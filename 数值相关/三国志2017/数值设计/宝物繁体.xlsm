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36D41599-77C7-461B-8316-028BD812619E}" xr6:coauthVersionLast="45" xr6:coauthVersionMax="47" xr10:uidLastSave="{00000000-0000-0000-0000-000000000000}"/>
  <bookViews>
    <workbookView xWindow="-120" yWindow="-120" windowWidth="29040" windowHeight="15840" tabRatio="899" xr2:uid="{00000000-000D-0000-FFFF-FFFF00000000}"/>
  </bookViews>
  <sheets>
    <sheet name="节奏总纲" sheetId="18" r:id="rId1"/>
    <sheet name="其他调用" sheetId="91" r:id="rId2"/>
    <sheet name="设计思路" sheetId="95" r:id="rId3"/>
    <sheet name="基础状态预期" sheetId="97" r:id="rId4"/>
    <sheet name="宝物升星" sheetId="99" r:id="rId5"/>
    <sheet name="宝物鉴赏" sheetId="100" r:id="rId6"/>
    <sheet name="宝物温养" sheetId="101" r:id="rId7"/>
    <sheet name="盗宝贼" sheetId="98" r:id="rId8"/>
    <sheet name="宝物实力" sheetId="102" r:id="rId9"/>
    <sheet name="投放验证" sheetId="96" r:id="rId10"/>
    <sheet name="武将升星（废弃）" sheetId="50" state="hidden" r:id="rId11"/>
    <sheet name="Sheet2" sheetId="48" state="hidden" r:id="rId12"/>
    <sheet name="武将觉醒(废弃）" sheetId="51" state="hidden" r:id="rId13"/>
    <sheet name="属性分配（废弃）" sheetId="47" state="hidden" r:id="rId14"/>
  </sheets>
  <functionGroups builtInGroupCount="19"/>
  <externalReferences>
    <externalReference r:id="rId15"/>
  </externalReferences>
  <calcPr calcId="191029"/>
  <customWorkbookViews>
    <customWorkbookView name="admin - 个人视图" guid="{459B7961-6E0F-4AD2-B1C7-0898323A2E74}" mergeInterval="0" personalView="1" maximized="1" windowWidth="1920" windowHeight="804" activeSheetId="3"/>
  </customWorkbookViews>
</workbook>
</file>

<file path=xl/calcChain.xml><?xml version="1.0" encoding="utf-8"?>
<calcChain xmlns="http://schemas.openxmlformats.org/spreadsheetml/2006/main">
  <c r="H18" i="96" l="1"/>
  <c r="E24" i="96"/>
  <c r="P17" i="96" l="1"/>
  <c r="P18" i="96"/>
  <c r="P19" i="96"/>
  <c r="P20" i="96"/>
  <c r="P21" i="96"/>
  <c r="P22" i="96"/>
  <c r="P23" i="96"/>
  <c r="P24" i="96"/>
  <c r="P25" i="96"/>
  <c r="P26" i="96"/>
  <c r="P27" i="96"/>
  <c r="P28" i="96"/>
  <c r="P29" i="96"/>
  <c r="P30" i="96"/>
  <c r="P31" i="96"/>
  <c r="P32" i="96"/>
  <c r="P33" i="96"/>
  <c r="P34" i="96"/>
  <c r="P35" i="96"/>
  <c r="P36" i="96"/>
  <c r="P37" i="96"/>
  <c r="P141" i="96"/>
  <c r="V141" i="96" s="1"/>
  <c r="P140" i="96"/>
  <c r="P139" i="96"/>
  <c r="V139" i="96" s="1"/>
  <c r="P138" i="96"/>
  <c r="V138" i="96" s="1"/>
  <c r="P137" i="96"/>
  <c r="P136" i="96"/>
  <c r="V136" i="96" s="1"/>
  <c r="P135" i="96"/>
  <c r="V135" i="96" s="1"/>
  <c r="P134" i="96"/>
  <c r="P133" i="96"/>
  <c r="V133" i="96" s="1"/>
  <c r="P132" i="96"/>
  <c r="V132" i="96" s="1"/>
  <c r="P131" i="96"/>
  <c r="V131" i="96" s="1"/>
  <c r="P130" i="96"/>
  <c r="V130" i="96" s="1"/>
  <c r="P129" i="96"/>
  <c r="V129" i="96" s="1"/>
  <c r="P128" i="96"/>
  <c r="P127" i="96"/>
  <c r="V127" i="96" s="1"/>
  <c r="P126" i="96"/>
  <c r="V126" i="96" s="1"/>
  <c r="P125" i="96"/>
  <c r="V125" i="96" s="1"/>
  <c r="P124" i="96"/>
  <c r="V124" i="96" s="1"/>
  <c r="P123" i="96"/>
  <c r="V123" i="96" s="1"/>
  <c r="P122" i="96"/>
  <c r="P121" i="96"/>
  <c r="V121" i="96" s="1"/>
  <c r="P115" i="96"/>
  <c r="V115" i="96" s="1"/>
  <c r="P114" i="96"/>
  <c r="V114" i="96" s="1"/>
  <c r="P113" i="96"/>
  <c r="P112" i="96"/>
  <c r="V112" i="96" s="1"/>
  <c r="P111" i="96"/>
  <c r="P110" i="96"/>
  <c r="V110" i="96" s="1"/>
  <c r="P109" i="96"/>
  <c r="V109" i="96" s="1"/>
  <c r="P108" i="96"/>
  <c r="V108" i="96" s="1"/>
  <c r="P107" i="96"/>
  <c r="V107" i="96" s="1"/>
  <c r="P106" i="96"/>
  <c r="V106" i="96" s="1"/>
  <c r="P105" i="96"/>
  <c r="V105" i="96" s="1"/>
  <c r="P104" i="96"/>
  <c r="V104" i="96" s="1"/>
  <c r="P103" i="96"/>
  <c r="V103" i="96" s="1"/>
  <c r="P102" i="96"/>
  <c r="V102" i="96" s="1"/>
  <c r="P101" i="96"/>
  <c r="P100" i="96"/>
  <c r="V100" i="96" s="1"/>
  <c r="P99" i="96"/>
  <c r="V99" i="96" s="1"/>
  <c r="P98" i="96"/>
  <c r="V98" i="96" s="1"/>
  <c r="P97" i="96"/>
  <c r="V97" i="96" s="1"/>
  <c r="P96" i="96"/>
  <c r="V96" i="96" s="1"/>
  <c r="P95" i="96"/>
  <c r="V95" i="96" s="1"/>
  <c r="P89" i="96"/>
  <c r="V89" i="96" s="1"/>
  <c r="P88" i="96"/>
  <c r="V88" i="96" s="1"/>
  <c r="P87" i="96"/>
  <c r="V87" i="96" s="1"/>
  <c r="P86" i="96"/>
  <c r="V86" i="96" s="1"/>
  <c r="P85" i="96"/>
  <c r="V85" i="96" s="1"/>
  <c r="P84" i="96"/>
  <c r="V84" i="96" s="1"/>
  <c r="P83" i="96"/>
  <c r="V83" i="96" s="1"/>
  <c r="P82" i="96"/>
  <c r="V82" i="96" s="1"/>
  <c r="P81" i="96"/>
  <c r="V81" i="96" s="1"/>
  <c r="P80" i="96"/>
  <c r="V80" i="96" s="1"/>
  <c r="P79" i="96"/>
  <c r="V79" i="96" s="1"/>
  <c r="P78" i="96"/>
  <c r="V78" i="96" s="1"/>
  <c r="P77" i="96"/>
  <c r="V77" i="96" s="1"/>
  <c r="P76" i="96"/>
  <c r="P75" i="96"/>
  <c r="V75" i="96" s="1"/>
  <c r="P74" i="96"/>
  <c r="V74" i="96" s="1"/>
  <c r="P73" i="96"/>
  <c r="V73" i="96" s="1"/>
  <c r="P72" i="96"/>
  <c r="P71" i="96"/>
  <c r="V71" i="96" s="1"/>
  <c r="P70" i="96"/>
  <c r="V70" i="96" s="1"/>
  <c r="P69" i="96"/>
  <c r="V69" i="96" s="1"/>
  <c r="P63" i="96"/>
  <c r="P62" i="96"/>
  <c r="P61" i="96"/>
  <c r="V61" i="96" s="1"/>
  <c r="P60" i="96"/>
  <c r="V60" i="96" s="1"/>
  <c r="P59" i="96"/>
  <c r="P58" i="96"/>
  <c r="V58" i="96" s="1"/>
  <c r="P57" i="96"/>
  <c r="V57" i="96" s="1"/>
  <c r="P56" i="96"/>
  <c r="V56" i="96" s="1"/>
  <c r="P55" i="96"/>
  <c r="P54" i="96"/>
  <c r="V54" i="96" s="1"/>
  <c r="P53" i="96"/>
  <c r="P52" i="96"/>
  <c r="V52" i="96" s="1"/>
  <c r="P51" i="96"/>
  <c r="P50" i="96"/>
  <c r="P49" i="96"/>
  <c r="V49" i="96" s="1"/>
  <c r="P48" i="96"/>
  <c r="V48" i="96" s="1"/>
  <c r="P47" i="96"/>
  <c r="V47" i="96" s="1"/>
  <c r="P46" i="96"/>
  <c r="V46" i="96" s="1"/>
  <c r="P45" i="96"/>
  <c r="V45" i="96" s="1"/>
  <c r="P44" i="96"/>
  <c r="V44" i="96" s="1"/>
  <c r="P43" i="96"/>
  <c r="V43" i="96" s="1"/>
  <c r="S33" i="96" l="1"/>
  <c r="T33" i="96"/>
  <c r="U33" i="96"/>
  <c r="V33" i="96"/>
  <c r="V21" i="96"/>
  <c r="S21" i="96"/>
  <c r="T21" i="96"/>
  <c r="U21" i="96"/>
  <c r="T22" i="96"/>
  <c r="U22" i="96"/>
  <c r="V22" i="96"/>
  <c r="AB22" i="96" s="1"/>
  <c r="S22" i="96"/>
  <c r="S32" i="96"/>
  <c r="T32" i="96"/>
  <c r="U32" i="96"/>
  <c r="V32" i="96"/>
  <c r="S20" i="96"/>
  <c r="T20" i="96"/>
  <c r="U20" i="96"/>
  <c r="V20" i="96"/>
  <c r="T36" i="96"/>
  <c r="U36" i="96"/>
  <c r="V36" i="96"/>
  <c r="AB36" i="96" s="1"/>
  <c r="S36" i="96"/>
  <c r="T31" i="96"/>
  <c r="U31" i="96"/>
  <c r="V31" i="96"/>
  <c r="AB31" i="96" s="1"/>
  <c r="S31" i="96"/>
  <c r="S19" i="96"/>
  <c r="T19" i="96"/>
  <c r="U19" i="96"/>
  <c r="V19" i="96"/>
  <c r="V30" i="96"/>
  <c r="AB30" i="96" s="1"/>
  <c r="U30" i="96"/>
  <c r="S30" i="96"/>
  <c r="T30" i="96"/>
  <c r="S18" i="96"/>
  <c r="T18" i="96"/>
  <c r="U18" i="96"/>
  <c r="V18" i="96"/>
  <c r="S35" i="96"/>
  <c r="T35" i="96"/>
  <c r="U35" i="96"/>
  <c r="V35" i="96"/>
  <c r="AB35" i="96" s="1"/>
  <c r="S29" i="96"/>
  <c r="T29" i="96"/>
  <c r="U29" i="96"/>
  <c r="V29" i="96"/>
  <c r="AB29" i="96" s="1"/>
  <c r="S17" i="96"/>
  <c r="T17" i="96"/>
  <c r="U17" i="96"/>
  <c r="T28" i="96"/>
  <c r="U28" i="96"/>
  <c r="V28" i="96"/>
  <c r="S28" i="96"/>
  <c r="U58" i="96"/>
  <c r="S23" i="96"/>
  <c r="T23" i="96"/>
  <c r="U23" i="96"/>
  <c r="V23" i="96"/>
  <c r="AB23" i="96" s="1"/>
  <c r="T34" i="96"/>
  <c r="U34" i="96"/>
  <c r="V34" i="96"/>
  <c r="AB34" i="96" s="1"/>
  <c r="S34" i="96"/>
  <c r="V27" i="96"/>
  <c r="S27" i="96"/>
  <c r="T27" i="96"/>
  <c r="U27" i="96"/>
  <c r="U81" i="96"/>
  <c r="S26" i="96"/>
  <c r="T26" i="96"/>
  <c r="U26" i="96"/>
  <c r="V26" i="96"/>
  <c r="U104" i="96"/>
  <c r="U24" i="96"/>
  <c r="S24" i="96"/>
  <c r="T24" i="96"/>
  <c r="V24" i="96"/>
  <c r="S37" i="96"/>
  <c r="T37" i="96"/>
  <c r="U37" i="96"/>
  <c r="V37" i="96"/>
  <c r="AB37" i="96" s="1"/>
  <c r="T25" i="96"/>
  <c r="U25" i="96"/>
  <c r="V25" i="96"/>
  <c r="S25" i="96"/>
  <c r="U127" i="96"/>
  <c r="U87" i="96"/>
  <c r="U46" i="96"/>
  <c r="U110" i="96"/>
  <c r="U69" i="96"/>
  <c r="U133" i="96"/>
  <c r="T63" i="96"/>
  <c r="V63" i="96"/>
  <c r="AB63" i="96" s="1"/>
  <c r="T58" i="96"/>
  <c r="T81" i="96"/>
  <c r="T104" i="96"/>
  <c r="T127" i="96"/>
  <c r="T101" i="96"/>
  <c r="V101" i="96"/>
  <c r="AB101" i="96" s="1"/>
  <c r="T113" i="96"/>
  <c r="V113" i="96"/>
  <c r="V50" i="96"/>
  <c r="AB50" i="96" s="1"/>
  <c r="V62" i="96"/>
  <c r="AB62" i="96" s="1"/>
  <c r="V137" i="96"/>
  <c r="AB137" i="96" s="1"/>
  <c r="T46" i="96"/>
  <c r="T69" i="96"/>
  <c r="T87" i="96"/>
  <c r="T110" i="96"/>
  <c r="T133" i="96"/>
  <c r="T55" i="96"/>
  <c r="V55" i="96"/>
  <c r="AB55" i="96" s="1"/>
  <c r="T72" i="96"/>
  <c r="V72" i="96"/>
  <c r="T51" i="96"/>
  <c r="V51" i="96"/>
  <c r="T52" i="96"/>
  <c r="T75" i="96"/>
  <c r="T98" i="96"/>
  <c r="T121" i="96"/>
  <c r="T139" i="96"/>
  <c r="V17" i="96"/>
  <c r="AB17" i="96" s="1"/>
  <c r="T53" i="96"/>
  <c r="V53" i="96"/>
  <c r="AB53" i="96" s="1"/>
  <c r="T59" i="96"/>
  <c r="V59" i="96"/>
  <c r="T76" i="96"/>
  <c r="V76" i="96"/>
  <c r="AB76" i="96" s="1"/>
  <c r="T111" i="96"/>
  <c r="V111" i="96"/>
  <c r="AB111" i="96" s="1"/>
  <c r="T122" i="96"/>
  <c r="V122" i="96"/>
  <c r="AB122" i="96" s="1"/>
  <c r="T128" i="96"/>
  <c r="V128" i="96"/>
  <c r="AB128" i="96" s="1"/>
  <c r="T134" i="96"/>
  <c r="V134" i="96"/>
  <c r="T140" i="96"/>
  <c r="V140" i="96"/>
  <c r="AB140" i="96" s="1"/>
  <c r="U52" i="96"/>
  <c r="U75" i="96"/>
  <c r="U98" i="96"/>
  <c r="U121" i="96"/>
  <c r="U139" i="96"/>
  <c r="AB70" i="96"/>
  <c r="AB114" i="96"/>
  <c r="AB47" i="96"/>
  <c r="AB99" i="96"/>
  <c r="AB88" i="96"/>
  <c r="AB33" i="96"/>
  <c r="AB59" i="96"/>
  <c r="AB71" i="96"/>
  <c r="AB77" i="96"/>
  <c r="AB83" i="96"/>
  <c r="AB89" i="96"/>
  <c r="AB123" i="96"/>
  <c r="AB129" i="96"/>
  <c r="AB135" i="96"/>
  <c r="AB141" i="96"/>
  <c r="AB27" i="96"/>
  <c r="AB73" i="96"/>
  <c r="AB105" i="96"/>
  <c r="AB74" i="96"/>
  <c r="AB80" i="96"/>
  <c r="AB86" i="96"/>
  <c r="AB138" i="96"/>
  <c r="AB82" i="96"/>
  <c r="U49" i="96"/>
  <c r="AB49" i="96"/>
  <c r="U61" i="96"/>
  <c r="AB61" i="96"/>
  <c r="AB78" i="96"/>
  <c r="U78" i="96"/>
  <c r="AB95" i="96"/>
  <c r="U95" i="96"/>
  <c r="U107" i="96"/>
  <c r="AB107" i="96"/>
  <c r="AB124" i="96"/>
  <c r="U124" i="96"/>
  <c r="AB25" i="96"/>
  <c r="T61" i="96"/>
  <c r="T107" i="96"/>
  <c r="U43" i="96"/>
  <c r="AB43" i="96"/>
  <c r="U55" i="96"/>
  <c r="U72" i="96"/>
  <c r="AB72" i="96"/>
  <c r="AB84" i="96"/>
  <c r="U84" i="96"/>
  <c r="U101" i="96"/>
  <c r="AB113" i="96"/>
  <c r="U113" i="96"/>
  <c r="AB130" i="96"/>
  <c r="U130" i="96"/>
  <c r="U136" i="96"/>
  <c r="AB136" i="96"/>
  <c r="AB19" i="96"/>
  <c r="T78" i="96"/>
  <c r="T124" i="96"/>
  <c r="T44" i="96"/>
  <c r="U44" i="96"/>
  <c r="T50" i="96"/>
  <c r="U50" i="96"/>
  <c r="T56" i="96"/>
  <c r="U56" i="96"/>
  <c r="T62" i="96"/>
  <c r="U62" i="96"/>
  <c r="T73" i="96"/>
  <c r="U73" i="96"/>
  <c r="T79" i="96"/>
  <c r="U79" i="96"/>
  <c r="T85" i="96"/>
  <c r="U85" i="96"/>
  <c r="T96" i="96"/>
  <c r="U96" i="96"/>
  <c r="T102" i="96"/>
  <c r="U102" i="96"/>
  <c r="T108" i="96"/>
  <c r="U108" i="96"/>
  <c r="T114" i="96"/>
  <c r="U114" i="96"/>
  <c r="T125" i="96"/>
  <c r="U125" i="96"/>
  <c r="T131" i="96"/>
  <c r="U131" i="96"/>
  <c r="T137" i="96"/>
  <c r="U137" i="96"/>
  <c r="AB18" i="96"/>
  <c r="T43" i="96"/>
  <c r="AB79" i="96"/>
  <c r="T84" i="96"/>
  <c r="AB125" i="96"/>
  <c r="T130" i="96"/>
  <c r="AB44" i="96"/>
  <c r="T49" i="96"/>
  <c r="AB85" i="96"/>
  <c r="T95" i="96"/>
  <c r="AB131" i="96"/>
  <c r="T136" i="96"/>
  <c r="AB32" i="96"/>
  <c r="AB26" i="96"/>
  <c r="AB20" i="96"/>
  <c r="U47" i="96"/>
  <c r="U53" i="96"/>
  <c r="U59" i="96"/>
  <c r="U70" i="96"/>
  <c r="U76" i="96"/>
  <c r="U82" i="96"/>
  <c r="U88" i="96"/>
  <c r="U99" i="96"/>
  <c r="U105" i="96"/>
  <c r="U111" i="96"/>
  <c r="U122" i="96"/>
  <c r="U128" i="96"/>
  <c r="U134" i="96"/>
  <c r="U140" i="96"/>
  <c r="T45" i="96"/>
  <c r="T48" i="96"/>
  <c r="T54" i="96"/>
  <c r="T57" i="96"/>
  <c r="T60" i="96"/>
  <c r="T71" i="96"/>
  <c r="T74" i="96"/>
  <c r="T77" i="96"/>
  <c r="T80" i="96"/>
  <c r="T83" i="96"/>
  <c r="T86" i="96"/>
  <c r="T89" i="96"/>
  <c r="T97" i="96"/>
  <c r="T100" i="96"/>
  <c r="T103" i="96"/>
  <c r="T106" i="96"/>
  <c r="T109" i="96"/>
  <c r="T112" i="96"/>
  <c r="T115" i="96"/>
  <c r="T123" i="96"/>
  <c r="T126" i="96"/>
  <c r="T129" i="96"/>
  <c r="T132" i="96"/>
  <c r="T135" i="96"/>
  <c r="T138" i="96"/>
  <c r="T141" i="96"/>
  <c r="U45" i="96"/>
  <c r="U48" i="96"/>
  <c r="U51" i="96"/>
  <c r="U54" i="96"/>
  <c r="U57" i="96"/>
  <c r="U60" i="96"/>
  <c r="U63" i="96"/>
  <c r="U71" i="96"/>
  <c r="U74" i="96"/>
  <c r="U77" i="96"/>
  <c r="U80" i="96"/>
  <c r="U83" i="96"/>
  <c r="U86" i="96"/>
  <c r="U89" i="96"/>
  <c r="U97" i="96"/>
  <c r="U100" i="96"/>
  <c r="U103" i="96"/>
  <c r="U106" i="96"/>
  <c r="U109" i="96"/>
  <c r="U112" i="96"/>
  <c r="U115" i="96"/>
  <c r="U123" i="96"/>
  <c r="U126" i="96"/>
  <c r="U129" i="96"/>
  <c r="U132" i="96"/>
  <c r="U135" i="96"/>
  <c r="U138" i="96"/>
  <c r="U141" i="96"/>
  <c r="AB45" i="96"/>
  <c r="T47" i="96"/>
  <c r="AB48" i="96"/>
  <c r="AB51" i="96"/>
  <c r="AB54" i="96"/>
  <c r="AB57" i="96"/>
  <c r="AB60" i="96"/>
  <c r="T70" i="96"/>
  <c r="T82" i="96"/>
  <c r="T88" i="96"/>
  <c r="AB97" i="96"/>
  <c r="T99" i="96"/>
  <c r="AB100" i="96"/>
  <c r="AB103" i="96"/>
  <c r="T105" i="96"/>
  <c r="AB106" i="96"/>
  <c r="AB109" i="96"/>
  <c r="AB112" i="96"/>
  <c r="AB115" i="96"/>
  <c r="AB126" i="96"/>
  <c r="AB132" i="96"/>
  <c r="AB96" i="96"/>
  <c r="AB102" i="96"/>
  <c r="AB108" i="96"/>
  <c r="AB56" i="96"/>
  <c r="AB24" i="96"/>
  <c r="AB134" i="96"/>
  <c r="AB21" i="96"/>
  <c r="AB46" i="96"/>
  <c r="AB52" i="96"/>
  <c r="AB58" i="96"/>
  <c r="AB69" i="96"/>
  <c r="AB75" i="96"/>
  <c r="AB81" i="96"/>
  <c r="AB87" i="96"/>
  <c r="AB98" i="96"/>
  <c r="AB104" i="96"/>
  <c r="AB110" i="96"/>
  <c r="AB121" i="96"/>
  <c r="AB127" i="96"/>
  <c r="AB133" i="96"/>
  <c r="AB139" i="96"/>
  <c r="AB28" i="96"/>
  <c r="F17" i="96"/>
  <c r="E17" i="96" l="1"/>
  <c r="Y6" i="98"/>
  <c r="S135" i="96" l="1"/>
  <c r="S115" i="96"/>
  <c r="S106" i="96"/>
  <c r="S77" i="96"/>
  <c r="S48" i="96"/>
  <c r="S141" i="96"/>
  <c r="S86" i="96"/>
  <c r="S57" i="96"/>
  <c r="S126" i="96"/>
  <c r="S112" i="96"/>
  <c r="S97" i="96"/>
  <c r="S83" i="96"/>
  <c r="S54" i="96"/>
  <c r="S129" i="96"/>
  <c r="S60" i="96"/>
  <c r="S80" i="96"/>
  <c r="S51" i="96"/>
  <c r="S132" i="96"/>
  <c r="S123" i="96"/>
  <c r="S103" i="96"/>
  <c r="S89" i="96"/>
  <c r="S63" i="96"/>
  <c r="S100" i="96"/>
  <c r="S74" i="96"/>
  <c r="S45" i="96"/>
  <c r="S109" i="96"/>
  <c r="S71" i="96"/>
  <c r="S138" i="96"/>
  <c r="S70" i="96"/>
  <c r="S69" i="96"/>
  <c r="S82" i="96"/>
  <c r="S49" i="96"/>
  <c r="S78" i="96"/>
  <c r="S107" i="96"/>
  <c r="S43" i="96"/>
  <c r="S72" i="96"/>
  <c r="S101" i="96"/>
  <c r="S44" i="96"/>
  <c r="S56" i="96"/>
  <c r="S73" i="96"/>
  <c r="S85" i="96"/>
  <c r="S102" i="96"/>
  <c r="S114" i="96"/>
  <c r="S131" i="96"/>
  <c r="S61" i="96"/>
  <c r="S55" i="96"/>
  <c r="S50" i="96"/>
  <c r="S108" i="96"/>
  <c r="S99" i="96"/>
  <c r="S52" i="96"/>
  <c r="S75" i="96"/>
  <c r="S98" i="96"/>
  <c r="S121" i="96"/>
  <c r="S139" i="96"/>
  <c r="S53" i="96"/>
  <c r="S105" i="96"/>
  <c r="S122" i="96"/>
  <c r="S134" i="96"/>
  <c r="S113" i="96"/>
  <c r="S62" i="96"/>
  <c r="S96" i="96"/>
  <c r="S58" i="96"/>
  <c r="S81" i="96"/>
  <c r="S127" i="96"/>
  <c r="S76" i="96"/>
  <c r="S95" i="96"/>
  <c r="S84" i="96"/>
  <c r="S88" i="96"/>
  <c r="S124" i="96"/>
  <c r="S136" i="96"/>
  <c r="S79" i="96"/>
  <c r="S125" i="96"/>
  <c r="S137" i="96"/>
  <c r="S104" i="96"/>
  <c r="S47" i="96"/>
  <c r="S59" i="96"/>
  <c r="S111" i="96"/>
  <c r="S128" i="96"/>
  <c r="S140" i="96"/>
  <c r="S130" i="96"/>
  <c r="S87" i="96"/>
  <c r="S110" i="96"/>
  <c r="S133" i="96"/>
  <c r="S46" i="96"/>
  <c r="Y7" i="98"/>
  <c r="Y8" i="98" l="1"/>
  <c r="E43" i="98"/>
  <c r="AS6" i="98" s="1"/>
  <c r="E42" i="98"/>
  <c r="Z8" i="98" s="1"/>
  <c r="L12" i="98"/>
  <c r="M12" i="98" s="1"/>
  <c r="D11" i="98"/>
  <c r="F11" i="98"/>
  <c r="G11" i="98"/>
  <c r="H11" i="98"/>
  <c r="I11" i="98"/>
  <c r="J11" i="98"/>
  <c r="K11" i="98"/>
  <c r="L11" i="98"/>
  <c r="M11" i="98"/>
  <c r="C11" i="98"/>
  <c r="Y9" i="98" l="1"/>
  <c r="AS149" i="98"/>
  <c r="Z97" i="98"/>
  <c r="Z91" i="98"/>
  <c r="AS113" i="98"/>
  <c r="F43" i="98"/>
  <c r="G43" i="98" s="1"/>
  <c r="Z61" i="98"/>
  <c r="AS77" i="98"/>
  <c r="Z163" i="98"/>
  <c r="Z55" i="98"/>
  <c r="AS41" i="98"/>
  <c r="Z133" i="98"/>
  <c r="Z25" i="98"/>
  <c r="Z127" i="98"/>
  <c r="Z19" i="98"/>
  <c r="AS143" i="98"/>
  <c r="AS107" i="98"/>
  <c r="AS71" i="98"/>
  <c r="AS35" i="98"/>
  <c r="Z157" i="98"/>
  <c r="Z121" i="98"/>
  <c r="Z85" i="98"/>
  <c r="Z49" i="98"/>
  <c r="Z13" i="98"/>
  <c r="AS137" i="98"/>
  <c r="AS101" i="98"/>
  <c r="AS65" i="98"/>
  <c r="AS29" i="98"/>
  <c r="Z151" i="98"/>
  <c r="Z115" i="98"/>
  <c r="Z79" i="98"/>
  <c r="Z43" i="98"/>
  <c r="Z7" i="98"/>
  <c r="AS131" i="98"/>
  <c r="AS95" i="98"/>
  <c r="AS59" i="98"/>
  <c r="AS23" i="98"/>
  <c r="Z145" i="98"/>
  <c r="Z109" i="98"/>
  <c r="Z73" i="98"/>
  <c r="Z37" i="98"/>
  <c r="AS161" i="98"/>
  <c r="AS125" i="98"/>
  <c r="AS89" i="98"/>
  <c r="AS53" i="98"/>
  <c r="AS17" i="98"/>
  <c r="F42" i="98"/>
  <c r="G42" i="98" s="1"/>
  <c r="Z139" i="98"/>
  <c r="Z103" i="98"/>
  <c r="Z67" i="98"/>
  <c r="Z31" i="98"/>
  <c r="AS155" i="98"/>
  <c r="AS119" i="98"/>
  <c r="AS83" i="98"/>
  <c r="AS47" i="98"/>
  <c r="AS11" i="98"/>
  <c r="Z162" i="98"/>
  <c r="Z156" i="98"/>
  <c r="Z150" i="98"/>
  <c r="Z144" i="98"/>
  <c r="Z138" i="98"/>
  <c r="Z132" i="98"/>
  <c r="Z126" i="98"/>
  <c r="Z120" i="98"/>
  <c r="Z114" i="98"/>
  <c r="Z108" i="98"/>
  <c r="Z102" i="98"/>
  <c r="Z96" i="98"/>
  <c r="Z90" i="98"/>
  <c r="Z84" i="98"/>
  <c r="Z78" i="98"/>
  <c r="Z72" i="98"/>
  <c r="Z66" i="98"/>
  <c r="Z60" i="98"/>
  <c r="Z54" i="98"/>
  <c r="Z48" i="98"/>
  <c r="Z42" i="98"/>
  <c r="Z36" i="98"/>
  <c r="Z30" i="98"/>
  <c r="Z24" i="98"/>
  <c r="Z18" i="98"/>
  <c r="Z12" i="98"/>
  <c r="Z6" i="98"/>
  <c r="AS160" i="98"/>
  <c r="AS154" i="98"/>
  <c r="AS148" i="98"/>
  <c r="AS142" i="98"/>
  <c r="AS136" i="98"/>
  <c r="AS130" i="98"/>
  <c r="AS124" i="98"/>
  <c r="AS118" i="98"/>
  <c r="AS112" i="98"/>
  <c r="AS106" i="98"/>
  <c r="AS100" i="98"/>
  <c r="AS94" i="98"/>
  <c r="AS88" i="98"/>
  <c r="AS82" i="98"/>
  <c r="AS76" i="98"/>
  <c r="AS70" i="98"/>
  <c r="AS64" i="98"/>
  <c r="AS58" i="98"/>
  <c r="AS52" i="98"/>
  <c r="AS46" i="98"/>
  <c r="AS40" i="98"/>
  <c r="AS34" i="98"/>
  <c r="AS28" i="98"/>
  <c r="AS22" i="98"/>
  <c r="AS16" i="98"/>
  <c r="AS10" i="98"/>
  <c r="Z161" i="98"/>
  <c r="Z155" i="98"/>
  <c r="Z149" i="98"/>
  <c r="Z143" i="98"/>
  <c r="Z137" i="98"/>
  <c r="Z131" i="98"/>
  <c r="Z125" i="98"/>
  <c r="Z119" i="98"/>
  <c r="Z113" i="98"/>
  <c r="Z107" i="98"/>
  <c r="Z101" i="98"/>
  <c r="Z95" i="98"/>
  <c r="Z89" i="98"/>
  <c r="Z83" i="98"/>
  <c r="Z77" i="98"/>
  <c r="Z71" i="98"/>
  <c r="Z65" i="98"/>
  <c r="Z59" i="98"/>
  <c r="Z53" i="98"/>
  <c r="Z47" i="98"/>
  <c r="Z41" i="98"/>
  <c r="Z35" i="98"/>
  <c r="Z29" i="98"/>
  <c r="Z23" i="98"/>
  <c r="Z17" i="98"/>
  <c r="Z11" i="98"/>
  <c r="AS5" i="98"/>
  <c r="AS159" i="98"/>
  <c r="AS153" i="98"/>
  <c r="AS147" i="98"/>
  <c r="AS141" i="98"/>
  <c r="AS135" i="98"/>
  <c r="AS129" i="98"/>
  <c r="AS123" i="98"/>
  <c r="AS117" i="98"/>
  <c r="AS111" i="98"/>
  <c r="AS105" i="98"/>
  <c r="AS99" i="98"/>
  <c r="AS93" i="98"/>
  <c r="AS87" i="98"/>
  <c r="AS81" i="98"/>
  <c r="AS75" i="98"/>
  <c r="AS69" i="98"/>
  <c r="AS63" i="98"/>
  <c r="AS57" i="98"/>
  <c r="AS51" i="98"/>
  <c r="AS45" i="98"/>
  <c r="AS39" i="98"/>
  <c r="AS33" i="98"/>
  <c r="AS27" i="98"/>
  <c r="AS21" i="98"/>
  <c r="AS15" i="98"/>
  <c r="AS9" i="98"/>
  <c r="Z160" i="98"/>
  <c r="Z154" i="98"/>
  <c r="Z148" i="98"/>
  <c r="Z142" i="98"/>
  <c r="Z136" i="98"/>
  <c r="Z130" i="98"/>
  <c r="Z124" i="98"/>
  <c r="Z118" i="98"/>
  <c r="Z112" i="98"/>
  <c r="Z106" i="98"/>
  <c r="Z100" i="98"/>
  <c r="Z94" i="98"/>
  <c r="Z88" i="98"/>
  <c r="Z82" i="98"/>
  <c r="Z76" i="98"/>
  <c r="Z70" i="98"/>
  <c r="Z64" i="98"/>
  <c r="Z58" i="98"/>
  <c r="Z52" i="98"/>
  <c r="Z46" i="98"/>
  <c r="Z40" i="98"/>
  <c r="Z34" i="98"/>
  <c r="Z28" i="98"/>
  <c r="Z22" i="98"/>
  <c r="Z16" i="98"/>
  <c r="Z10" i="98"/>
  <c r="AS164" i="98"/>
  <c r="AS158" i="98"/>
  <c r="AS152" i="98"/>
  <c r="AS146" i="98"/>
  <c r="AS140" i="98"/>
  <c r="AS134" i="98"/>
  <c r="AS128" i="98"/>
  <c r="AS122" i="98"/>
  <c r="AS116" i="98"/>
  <c r="AS110" i="98"/>
  <c r="AS104" i="98"/>
  <c r="AS98" i="98"/>
  <c r="AS92" i="98"/>
  <c r="AS86" i="98"/>
  <c r="AS80" i="98"/>
  <c r="AS74" i="98"/>
  <c r="AS68" i="98"/>
  <c r="AS62" i="98"/>
  <c r="AS56" i="98"/>
  <c r="AS50" i="98"/>
  <c r="AS44" i="98"/>
  <c r="AS38" i="98"/>
  <c r="AS32" i="98"/>
  <c r="AS26" i="98"/>
  <c r="AS20" i="98"/>
  <c r="AS14" i="98"/>
  <c r="AS8" i="98"/>
  <c r="Z5" i="98"/>
  <c r="Z159" i="98"/>
  <c r="Z153" i="98"/>
  <c r="Z147" i="98"/>
  <c r="Z141" i="98"/>
  <c r="Z135" i="98"/>
  <c r="Z129" i="98"/>
  <c r="Z123" i="98"/>
  <c r="Z117" i="98"/>
  <c r="Z111" i="98"/>
  <c r="Z105" i="98"/>
  <c r="Z99" i="98"/>
  <c r="Z93" i="98"/>
  <c r="Z87" i="98"/>
  <c r="Z81" i="98"/>
  <c r="Z75" i="98"/>
  <c r="Z69" i="98"/>
  <c r="Z63" i="98"/>
  <c r="Z57" i="98"/>
  <c r="Z51" i="98"/>
  <c r="Z45" i="98"/>
  <c r="Z39" i="98"/>
  <c r="Z33" i="98"/>
  <c r="Z27" i="98"/>
  <c r="Z21" i="98"/>
  <c r="Z15" i="98"/>
  <c r="Z9" i="98"/>
  <c r="AS163" i="98"/>
  <c r="AS157" i="98"/>
  <c r="AS151" i="98"/>
  <c r="AS145" i="98"/>
  <c r="AS139" i="98"/>
  <c r="AS133" i="98"/>
  <c r="AS127" i="98"/>
  <c r="AS121" i="98"/>
  <c r="AS115" i="98"/>
  <c r="AS109" i="98"/>
  <c r="AS103" i="98"/>
  <c r="AS97" i="98"/>
  <c r="AS91" i="98"/>
  <c r="AS85" i="98"/>
  <c r="AS79" i="98"/>
  <c r="AS73" i="98"/>
  <c r="AS67" i="98"/>
  <c r="AS61" i="98"/>
  <c r="AS55" i="98"/>
  <c r="AS49" i="98"/>
  <c r="AS43" i="98"/>
  <c r="AS37" i="98"/>
  <c r="AS31" i="98"/>
  <c r="AS25" i="98"/>
  <c r="AS19" i="98"/>
  <c r="AS13" i="98"/>
  <c r="AS7" i="98"/>
  <c r="Z164" i="98"/>
  <c r="Z158" i="98"/>
  <c r="Z152" i="98"/>
  <c r="Z146" i="98"/>
  <c r="Z140" i="98"/>
  <c r="Z134" i="98"/>
  <c r="Z128" i="98"/>
  <c r="Z122" i="98"/>
  <c r="Z116" i="98"/>
  <c r="Z110" i="98"/>
  <c r="Z104" i="98"/>
  <c r="Z98" i="98"/>
  <c r="Z92" i="98"/>
  <c r="Z86" i="98"/>
  <c r="Z80" i="98"/>
  <c r="Z74" i="98"/>
  <c r="Z68" i="98"/>
  <c r="Z62" i="98"/>
  <c r="Z56" i="98"/>
  <c r="Z50" i="98"/>
  <c r="Z44" i="98"/>
  <c r="Z38" i="98"/>
  <c r="Z32" i="98"/>
  <c r="Z26" i="98"/>
  <c r="Z20" i="98"/>
  <c r="Z14" i="98"/>
  <c r="AS162" i="98"/>
  <c r="AS156" i="98"/>
  <c r="AS150" i="98"/>
  <c r="AS144" i="98"/>
  <c r="AS138" i="98"/>
  <c r="AS132" i="98"/>
  <c r="AS126" i="98"/>
  <c r="AS120" i="98"/>
  <c r="AS114" i="98"/>
  <c r="AS108" i="98"/>
  <c r="AS102" i="98"/>
  <c r="AS96" i="98"/>
  <c r="AS90" i="98"/>
  <c r="AS84" i="98"/>
  <c r="AS78" i="98"/>
  <c r="AS72" i="98"/>
  <c r="AS66" i="98"/>
  <c r="AS60" i="98"/>
  <c r="AS54" i="98"/>
  <c r="AS48" i="98"/>
  <c r="AS42" i="98"/>
  <c r="AS36" i="98"/>
  <c r="AS30" i="98"/>
  <c r="AS24" i="98"/>
  <c r="AS18" i="98"/>
  <c r="AS12" i="98"/>
  <c r="J57" i="98"/>
  <c r="J58" i="98"/>
  <c r="J59" i="98"/>
  <c r="Y10" i="98" l="1"/>
  <c r="Y11" i="98" l="1"/>
  <c r="Y12" i="98" l="1"/>
  <c r="Y13" i="98" l="1"/>
  <c r="Y14" i="98" s="1"/>
  <c r="Y15" i="98" l="1"/>
  <c r="Y16" i="98" l="1"/>
  <c r="Y17" i="98" l="1"/>
  <c r="Y18" i="98" l="1"/>
  <c r="Y19" i="98" l="1"/>
  <c r="Y20" i="98" l="1"/>
  <c r="Y21" i="98" l="1"/>
  <c r="Y22" i="98" l="1"/>
  <c r="Y23" i="98" l="1"/>
  <c r="Y24" i="98" l="1"/>
  <c r="Y25" i="98" l="1"/>
  <c r="Y26" i="98" l="1"/>
  <c r="Y27" i="98" l="1"/>
  <c r="Y28" i="98" l="1"/>
  <c r="Y29" i="98" l="1"/>
  <c r="Y30" i="98" l="1"/>
  <c r="Y31" i="98" l="1"/>
  <c r="Y32" i="98" l="1"/>
  <c r="Y33" i="98" l="1"/>
  <c r="Y34" i="98" l="1"/>
  <c r="Y35" i="98" l="1"/>
  <c r="Y36" i="98" l="1"/>
  <c r="Y37" i="98" l="1"/>
  <c r="Y38" i="98" l="1"/>
  <c r="Y39" i="98" l="1"/>
  <c r="Y40" i="98" l="1"/>
  <c r="Y41" i="98" l="1"/>
  <c r="Y42" i="98" l="1"/>
  <c r="Y43" i="98" l="1"/>
  <c r="Y44" i="98" l="1"/>
  <c r="Y45" i="98" l="1"/>
  <c r="Y46" i="98" l="1"/>
  <c r="Y47" i="98" l="1"/>
  <c r="Y48" i="98" l="1"/>
  <c r="Y49" i="98" l="1"/>
  <c r="Y50" i="98" l="1"/>
  <c r="Y51" i="98" l="1"/>
  <c r="Y52" i="98" l="1"/>
  <c r="Y53" i="98" l="1"/>
  <c r="Y54" i="98" l="1"/>
  <c r="Y55" i="98" l="1"/>
  <c r="Y56" i="98" l="1"/>
  <c r="Y57" i="98" l="1"/>
  <c r="Y58" i="98" l="1"/>
  <c r="Y59" i="98" l="1"/>
  <c r="Y60" i="98" l="1"/>
  <c r="Y61" i="98" l="1"/>
  <c r="Y62" i="98" l="1"/>
  <c r="Y63" i="98" l="1"/>
  <c r="Y64" i="98" l="1"/>
  <c r="Y65" i="98" l="1"/>
  <c r="Y66" i="98" l="1"/>
  <c r="Y67" i="98" l="1"/>
  <c r="Y68" i="98" l="1"/>
  <c r="Y69" i="98" l="1"/>
  <c r="Y70" i="98" l="1"/>
  <c r="Y71" i="98" l="1"/>
  <c r="Y72" i="98" l="1"/>
  <c r="Y73" i="98" l="1"/>
  <c r="Y74" i="98" l="1"/>
  <c r="Y75" i="98" l="1"/>
  <c r="Y76" i="98" l="1"/>
  <c r="Y77" i="98" l="1"/>
  <c r="Y78" i="98" l="1"/>
  <c r="Y79" i="98" l="1"/>
  <c r="Y80" i="98" l="1"/>
  <c r="Y81" i="98" l="1"/>
  <c r="Y82" i="98" l="1"/>
  <c r="Y83" i="98" l="1"/>
  <c r="Y84" i="98" l="1"/>
  <c r="Y85" i="98" l="1"/>
  <c r="Y86" i="98" l="1"/>
  <c r="Y87" i="98" l="1"/>
  <c r="Y88" i="98" l="1"/>
  <c r="Y89" i="98" l="1"/>
  <c r="Y90" i="98" l="1"/>
  <c r="Y91" i="98" l="1"/>
  <c r="Y92" i="98" l="1"/>
  <c r="Y93" i="98" l="1"/>
  <c r="Y94" i="98" l="1"/>
  <c r="Y95" i="98" l="1"/>
  <c r="Y96" i="98" l="1"/>
  <c r="Y97" i="98" l="1"/>
  <c r="Y98" i="98" l="1"/>
  <c r="Y99" i="98" l="1"/>
  <c r="Y100" i="98" l="1"/>
  <c r="Y101" i="98" l="1"/>
  <c r="Y102" i="98" l="1"/>
  <c r="Y103" i="98" l="1"/>
  <c r="Y104" i="98" l="1"/>
  <c r="Y105" i="98" l="1"/>
  <c r="Y106" i="98" l="1"/>
  <c r="Y107" i="98" l="1"/>
  <c r="Y108" i="98" l="1"/>
  <c r="Y109" i="98" l="1"/>
  <c r="Y110" i="98" l="1"/>
  <c r="Y111" i="98" l="1"/>
  <c r="Y112" i="98" l="1"/>
  <c r="Y113" i="98" l="1"/>
  <c r="Y114" i="98" l="1"/>
  <c r="Y115" i="98" l="1"/>
  <c r="Y116" i="98" l="1"/>
  <c r="Y117" i="98" l="1"/>
  <c r="Y118" i="98" l="1"/>
  <c r="Y119" i="98" l="1"/>
  <c r="Y120" i="98" l="1"/>
  <c r="Y121" i="98" l="1"/>
  <c r="Y122" i="98" l="1"/>
  <c r="Y123" i="98" l="1"/>
  <c r="Y124" i="98" l="1"/>
  <c r="Y125" i="98" l="1"/>
  <c r="Y126" i="98" l="1"/>
  <c r="Y127" i="98" l="1"/>
  <c r="Y128" i="98" l="1"/>
  <c r="Y129" i="98" l="1"/>
  <c r="Y130" i="98" l="1"/>
  <c r="Y131" i="98" l="1"/>
  <c r="Y132" i="98" l="1"/>
  <c r="Y133" i="98" l="1"/>
  <c r="Y134" i="98" l="1"/>
  <c r="Y135" i="98" l="1"/>
  <c r="Y136" i="98" l="1"/>
  <c r="Y137" i="98" l="1"/>
  <c r="Y138" i="98" l="1"/>
  <c r="Y139" i="98" l="1"/>
  <c r="Y140" i="98" l="1"/>
  <c r="Y141" i="98" l="1"/>
  <c r="Y142" i="98" l="1"/>
  <c r="Y143" i="98" l="1"/>
  <c r="Y144" i="98" l="1"/>
  <c r="Y145" i="98" l="1"/>
  <c r="Y146" i="98" l="1"/>
  <c r="Y147" i="98" l="1"/>
  <c r="Y148" i="98" l="1"/>
  <c r="Y149" i="98" l="1"/>
  <c r="Y150" i="98" l="1"/>
  <c r="Y151" i="98" l="1"/>
  <c r="Y152" i="98" l="1"/>
  <c r="Y153" i="98" l="1"/>
  <c r="Y154" i="98" l="1"/>
  <c r="Y155" i="98" l="1"/>
  <c r="Y156" i="98" l="1"/>
  <c r="Y157" i="98" l="1"/>
  <c r="Y158" i="98" l="1"/>
  <c r="Y159" i="98" l="1"/>
  <c r="Y160" i="98" l="1"/>
  <c r="Y161" i="98" l="1"/>
  <c r="Y162" i="98" l="1"/>
  <c r="Y163" i="98" l="1"/>
  <c r="Y164" i="98" l="1"/>
  <c r="H29" i="101" l="1"/>
  <c r="I29" i="101"/>
  <c r="J29" i="101"/>
  <c r="G29" i="101"/>
  <c r="G32" i="101" l="1"/>
  <c r="H32" i="101"/>
  <c r="I32" i="101"/>
  <c r="J32" i="101"/>
  <c r="D32" i="101"/>
  <c r="H28" i="101" l="1"/>
  <c r="I28" i="101"/>
  <c r="J28" i="101"/>
  <c r="G28" i="101"/>
  <c r="D28" i="101" l="1"/>
  <c r="D29" i="101"/>
  <c r="D30" i="101"/>
  <c r="D31" i="101"/>
  <c r="E13" i="96" l="1"/>
  <c r="E14" i="96" s="1"/>
  <c r="N135" i="18" l="1"/>
  <c r="P135" i="18"/>
  <c r="Q135" i="18"/>
  <c r="R135" i="18"/>
  <c r="S135" i="18"/>
  <c r="T135" i="18"/>
  <c r="W135" i="18"/>
  <c r="X135" i="18"/>
  <c r="Y135" i="18"/>
  <c r="Z135" i="18"/>
  <c r="AA135" i="18"/>
  <c r="N136" i="18"/>
  <c r="P136" i="18"/>
  <c r="Q136" i="18"/>
  <c r="R136" i="18"/>
  <c r="S136" i="18"/>
  <c r="T136" i="18"/>
  <c r="W136" i="18"/>
  <c r="X136" i="18"/>
  <c r="Y136" i="18"/>
  <c r="Z136" i="18"/>
  <c r="AA136" i="18"/>
  <c r="N137" i="18"/>
  <c r="P137" i="18"/>
  <c r="Q137" i="18"/>
  <c r="R137" i="18"/>
  <c r="S137" i="18"/>
  <c r="T137" i="18"/>
  <c r="W137" i="18"/>
  <c r="X137" i="18"/>
  <c r="Y137" i="18"/>
  <c r="Z137" i="18"/>
  <c r="AA137" i="18"/>
  <c r="N138" i="18"/>
  <c r="P138" i="18"/>
  <c r="Q138" i="18"/>
  <c r="R138" i="18"/>
  <c r="S138" i="18"/>
  <c r="T138" i="18"/>
  <c r="W138" i="18"/>
  <c r="X138" i="18"/>
  <c r="Y138" i="18"/>
  <c r="Z138" i="18"/>
  <c r="AA138" i="18"/>
  <c r="N139" i="18"/>
  <c r="P139" i="18"/>
  <c r="Q139" i="18"/>
  <c r="R139" i="18"/>
  <c r="S139" i="18"/>
  <c r="T139" i="18"/>
  <c r="W139" i="18"/>
  <c r="X139" i="18"/>
  <c r="Y139" i="18"/>
  <c r="Z139" i="18"/>
  <c r="AA139" i="18"/>
  <c r="N140" i="18"/>
  <c r="P140" i="18"/>
  <c r="Q140" i="18"/>
  <c r="R140" i="18"/>
  <c r="S140" i="18"/>
  <c r="T140" i="18"/>
  <c r="W140" i="18"/>
  <c r="X140" i="18"/>
  <c r="Y140" i="18"/>
  <c r="Z140" i="18"/>
  <c r="AA140" i="18"/>
  <c r="N141" i="18"/>
  <c r="P141" i="18"/>
  <c r="Q141" i="18"/>
  <c r="R141" i="18"/>
  <c r="S141" i="18"/>
  <c r="T141" i="18"/>
  <c r="W141" i="18"/>
  <c r="X141" i="18"/>
  <c r="Y141" i="18"/>
  <c r="Z141" i="18"/>
  <c r="AA141" i="18"/>
  <c r="N142" i="18"/>
  <c r="P142" i="18"/>
  <c r="Q142" i="18"/>
  <c r="R142" i="18"/>
  <c r="S142" i="18"/>
  <c r="T142" i="18"/>
  <c r="W142" i="18"/>
  <c r="X142" i="18"/>
  <c r="Y142" i="18"/>
  <c r="Z142" i="18"/>
  <c r="AA142" i="18"/>
  <c r="N143" i="18"/>
  <c r="P143" i="18"/>
  <c r="Q143" i="18"/>
  <c r="R143" i="18"/>
  <c r="S143" i="18"/>
  <c r="T143" i="18"/>
  <c r="W143" i="18"/>
  <c r="X143" i="18"/>
  <c r="Y143" i="18"/>
  <c r="Z143" i="18"/>
  <c r="AA143" i="18"/>
  <c r="N144" i="18"/>
  <c r="P144" i="18"/>
  <c r="Q144" i="18"/>
  <c r="R144" i="18"/>
  <c r="S144" i="18"/>
  <c r="T144" i="18"/>
  <c r="W144" i="18"/>
  <c r="X144" i="18"/>
  <c r="Y144" i="18"/>
  <c r="Z144" i="18"/>
  <c r="AA144" i="18"/>
  <c r="N145" i="18"/>
  <c r="P145" i="18"/>
  <c r="Q145" i="18"/>
  <c r="R145" i="18"/>
  <c r="S145" i="18"/>
  <c r="T145" i="18"/>
  <c r="W145" i="18"/>
  <c r="X145" i="18"/>
  <c r="Y145" i="18"/>
  <c r="Z145" i="18"/>
  <c r="AA145" i="18"/>
  <c r="N146" i="18"/>
  <c r="P146" i="18"/>
  <c r="Q146" i="18"/>
  <c r="R146" i="18"/>
  <c r="S146" i="18"/>
  <c r="T146" i="18"/>
  <c r="W146" i="18"/>
  <c r="X146" i="18"/>
  <c r="Y146" i="18"/>
  <c r="Z146" i="18"/>
  <c r="AA146" i="18"/>
  <c r="N147" i="18"/>
  <c r="P147" i="18"/>
  <c r="Q147" i="18"/>
  <c r="R147" i="18"/>
  <c r="S147" i="18"/>
  <c r="T147" i="18"/>
  <c r="W147" i="18"/>
  <c r="X147" i="18"/>
  <c r="Y147" i="18"/>
  <c r="Z147" i="18"/>
  <c r="AA147" i="18"/>
  <c r="N148" i="18"/>
  <c r="P148" i="18"/>
  <c r="Q148" i="18"/>
  <c r="R148" i="18"/>
  <c r="S148" i="18"/>
  <c r="T148" i="18"/>
  <c r="W148" i="18"/>
  <c r="X148" i="18"/>
  <c r="Y148" i="18"/>
  <c r="Z148" i="18"/>
  <c r="AA148" i="18"/>
  <c r="N149" i="18"/>
  <c r="P149" i="18"/>
  <c r="Q149" i="18"/>
  <c r="R149" i="18"/>
  <c r="S149" i="18"/>
  <c r="T149" i="18"/>
  <c r="W149" i="18"/>
  <c r="X149" i="18"/>
  <c r="Y149" i="18"/>
  <c r="Z149" i="18"/>
  <c r="AA149" i="18"/>
  <c r="N150" i="18"/>
  <c r="P150" i="18"/>
  <c r="Q150" i="18"/>
  <c r="R150" i="18"/>
  <c r="S150" i="18"/>
  <c r="T150" i="18"/>
  <c r="W150" i="18"/>
  <c r="X150" i="18"/>
  <c r="Y150" i="18"/>
  <c r="Z150" i="18"/>
  <c r="AA150" i="18"/>
  <c r="N151" i="18"/>
  <c r="P151" i="18"/>
  <c r="Q151" i="18"/>
  <c r="R151" i="18"/>
  <c r="S151" i="18"/>
  <c r="T151" i="18"/>
  <c r="W151" i="18"/>
  <c r="X151" i="18"/>
  <c r="Y151" i="18"/>
  <c r="Z151" i="18"/>
  <c r="AA151" i="18"/>
  <c r="N152" i="18"/>
  <c r="P152" i="18"/>
  <c r="Q152" i="18"/>
  <c r="R152" i="18"/>
  <c r="S152" i="18"/>
  <c r="T152" i="18"/>
  <c r="W152" i="18"/>
  <c r="X152" i="18"/>
  <c r="Y152" i="18"/>
  <c r="Z152" i="18"/>
  <c r="AA152" i="18"/>
  <c r="N153" i="18"/>
  <c r="P153" i="18"/>
  <c r="Q153" i="18"/>
  <c r="R153" i="18"/>
  <c r="S153" i="18"/>
  <c r="T153" i="18"/>
  <c r="W153" i="18"/>
  <c r="X153" i="18"/>
  <c r="Y153" i="18"/>
  <c r="Z153" i="18"/>
  <c r="AA153" i="18"/>
  <c r="N154" i="18"/>
  <c r="P154" i="18"/>
  <c r="Q154" i="18"/>
  <c r="R154" i="18"/>
  <c r="S154" i="18"/>
  <c r="T154" i="18"/>
  <c r="W154" i="18"/>
  <c r="X154" i="18"/>
  <c r="Y154" i="18"/>
  <c r="Z154" i="18"/>
  <c r="AA154" i="18"/>
  <c r="N155" i="18"/>
  <c r="P155" i="18"/>
  <c r="Q155" i="18"/>
  <c r="R155" i="18"/>
  <c r="S155" i="18"/>
  <c r="T155" i="18"/>
  <c r="W155" i="18"/>
  <c r="X155" i="18"/>
  <c r="Y155" i="18"/>
  <c r="Z155" i="18"/>
  <c r="AA155" i="18"/>
  <c r="N156" i="18"/>
  <c r="P156" i="18"/>
  <c r="Q156" i="18"/>
  <c r="R156" i="18"/>
  <c r="S156" i="18"/>
  <c r="T156" i="18"/>
  <c r="W156" i="18"/>
  <c r="X156" i="18"/>
  <c r="Y156" i="18"/>
  <c r="Z156" i="18"/>
  <c r="AA156" i="18"/>
  <c r="N157" i="18"/>
  <c r="P157" i="18"/>
  <c r="Q157" i="18"/>
  <c r="R157" i="18"/>
  <c r="S157" i="18"/>
  <c r="T157" i="18"/>
  <c r="W157" i="18"/>
  <c r="X157" i="18"/>
  <c r="Y157" i="18"/>
  <c r="Z157" i="18"/>
  <c r="AA157" i="18"/>
  <c r="N158" i="18"/>
  <c r="P158" i="18"/>
  <c r="Q158" i="18"/>
  <c r="R158" i="18"/>
  <c r="S158" i="18"/>
  <c r="T158" i="18"/>
  <c r="W158" i="18"/>
  <c r="X158" i="18"/>
  <c r="Y158" i="18"/>
  <c r="Z158" i="18"/>
  <c r="AA158" i="18"/>
  <c r="N159" i="18"/>
  <c r="P159" i="18"/>
  <c r="Q159" i="18"/>
  <c r="R159" i="18"/>
  <c r="S159" i="18"/>
  <c r="T159" i="18"/>
  <c r="W159" i="18"/>
  <c r="X159" i="18"/>
  <c r="Y159" i="18"/>
  <c r="Z159" i="18"/>
  <c r="AA159" i="18"/>
  <c r="N160" i="18"/>
  <c r="P160" i="18"/>
  <c r="Q160" i="18"/>
  <c r="R160" i="18"/>
  <c r="S160" i="18"/>
  <c r="T160" i="18"/>
  <c r="W160" i="18"/>
  <c r="X160" i="18"/>
  <c r="Y160" i="18"/>
  <c r="Z160" i="18"/>
  <c r="AA160" i="18"/>
  <c r="N161" i="18"/>
  <c r="P161" i="18"/>
  <c r="Q161" i="18"/>
  <c r="R161" i="18"/>
  <c r="S161" i="18"/>
  <c r="T161" i="18"/>
  <c r="W161" i="18"/>
  <c r="X161" i="18"/>
  <c r="Y161" i="18"/>
  <c r="Z161" i="18"/>
  <c r="AA161" i="18"/>
  <c r="N162" i="18"/>
  <c r="P162" i="18"/>
  <c r="Q162" i="18"/>
  <c r="R162" i="18"/>
  <c r="S162" i="18"/>
  <c r="T162" i="18"/>
  <c r="W162" i="18"/>
  <c r="X162" i="18"/>
  <c r="Y162" i="18"/>
  <c r="Z162" i="18"/>
  <c r="AA162" i="18"/>
  <c r="N163" i="18"/>
  <c r="P163" i="18"/>
  <c r="Q163" i="18"/>
  <c r="R163" i="18"/>
  <c r="S163" i="18"/>
  <c r="T163" i="18"/>
  <c r="W163" i="18"/>
  <c r="X163" i="18"/>
  <c r="Y163" i="18"/>
  <c r="Z163" i="18"/>
  <c r="AA163" i="18"/>
  <c r="N114" i="18"/>
  <c r="P114" i="18"/>
  <c r="Q114" i="18"/>
  <c r="R114" i="18"/>
  <c r="S114" i="18"/>
  <c r="T114" i="18"/>
  <c r="W114" i="18"/>
  <c r="X114" i="18"/>
  <c r="Y114" i="18"/>
  <c r="Z114" i="18"/>
  <c r="AA114" i="18"/>
  <c r="N115" i="18"/>
  <c r="P115" i="18"/>
  <c r="Q115" i="18"/>
  <c r="R115" i="18"/>
  <c r="S115" i="18"/>
  <c r="T115" i="18"/>
  <c r="W115" i="18"/>
  <c r="X115" i="18"/>
  <c r="Y115" i="18"/>
  <c r="Z115" i="18"/>
  <c r="AA115" i="18"/>
  <c r="N116" i="18"/>
  <c r="P116" i="18"/>
  <c r="Q116" i="18"/>
  <c r="R116" i="18"/>
  <c r="S116" i="18"/>
  <c r="T116" i="18"/>
  <c r="W116" i="18"/>
  <c r="X116" i="18"/>
  <c r="Y116" i="18"/>
  <c r="Z116" i="18"/>
  <c r="AA116" i="18"/>
  <c r="N117" i="18"/>
  <c r="P117" i="18"/>
  <c r="Q117" i="18"/>
  <c r="R117" i="18"/>
  <c r="S117" i="18"/>
  <c r="T117" i="18"/>
  <c r="W117" i="18"/>
  <c r="X117" i="18"/>
  <c r="Y117" i="18"/>
  <c r="Z117" i="18"/>
  <c r="AA117" i="18"/>
  <c r="N118" i="18"/>
  <c r="P118" i="18"/>
  <c r="Q118" i="18"/>
  <c r="R118" i="18"/>
  <c r="S118" i="18"/>
  <c r="T118" i="18"/>
  <c r="W118" i="18"/>
  <c r="X118" i="18"/>
  <c r="Y118" i="18"/>
  <c r="Z118" i="18"/>
  <c r="AA118" i="18"/>
  <c r="N119" i="18"/>
  <c r="P119" i="18"/>
  <c r="Q119" i="18"/>
  <c r="R119" i="18"/>
  <c r="S119" i="18"/>
  <c r="T119" i="18"/>
  <c r="W119" i="18"/>
  <c r="X119" i="18"/>
  <c r="Y119" i="18"/>
  <c r="Z119" i="18"/>
  <c r="AA119" i="18"/>
  <c r="N120" i="18"/>
  <c r="P120" i="18"/>
  <c r="Q120" i="18"/>
  <c r="R120" i="18"/>
  <c r="S120" i="18"/>
  <c r="T120" i="18"/>
  <c r="W120" i="18"/>
  <c r="X120" i="18"/>
  <c r="Y120" i="18"/>
  <c r="Z120" i="18"/>
  <c r="AA120" i="18"/>
  <c r="N121" i="18"/>
  <c r="P121" i="18"/>
  <c r="Q121" i="18"/>
  <c r="R121" i="18"/>
  <c r="S121" i="18"/>
  <c r="T121" i="18"/>
  <c r="W121" i="18"/>
  <c r="X121" i="18"/>
  <c r="Y121" i="18"/>
  <c r="Z121" i="18"/>
  <c r="AA121" i="18"/>
  <c r="N122" i="18"/>
  <c r="P122" i="18"/>
  <c r="Q122" i="18"/>
  <c r="R122" i="18"/>
  <c r="S122" i="18"/>
  <c r="T122" i="18"/>
  <c r="W122" i="18"/>
  <c r="X122" i="18"/>
  <c r="Y122" i="18"/>
  <c r="Z122" i="18"/>
  <c r="AA122" i="18"/>
  <c r="N123" i="18"/>
  <c r="P123" i="18"/>
  <c r="Q123" i="18"/>
  <c r="R123" i="18"/>
  <c r="S123" i="18"/>
  <c r="T123" i="18"/>
  <c r="W123" i="18"/>
  <c r="X123" i="18"/>
  <c r="Y123" i="18"/>
  <c r="Z123" i="18"/>
  <c r="AA123" i="18"/>
  <c r="N124" i="18"/>
  <c r="P124" i="18"/>
  <c r="Q124" i="18"/>
  <c r="R124" i="18"/>
  <c r="S124" i="18"/>
  <c r="T124" i="18"/>
  <c r="W124" i="18"/>
  <c r="X124" i="18"/>
  <c r="Y124" i="18"/>
  <c r="Z124" i="18"/>
  <c r="AA124" i="18"/>
  <c r="N125" i="18"/>
  <c r="P125" i="18"/>
  <c r="Q125" i="18"/>
  <c r="R125" i="18"/>
  <c r="S125" i="18"/>
  <c r="T125" i="18"/>
  <c r="W125" i="18"/>
  <c r="X125" i="18"/>
  <c r="Y125" i="18"/>
  <c r="Z125" i="18"/>
  <c r="AA125" i="18"/>
  <c r="N126" i="18"/>
  <c r="P126" i="18"/>
  <c r="Q126" i="18"/>
  <c r="R126" i="18"/>
  <c r="S126" i="18"/>
  <c r="T126" i="18"/>
  <c r="W126" i="18"/>
  <c r="X126" i="18"/>
  <c r="Y126" i="18"/>
  <c r="Z126" i="18"/>
  <c r="AA126" i="18"/>
  <c r="N127" i="18"/>
  <c r="P127" i="18"/>
  <c r="Q127" i="18"/>
  <c r="R127" i="18"/>
  <c r="S127" i="18"/>
  <c r="T127" i="18"/>
  <c r="W127" i="18"/>
  <c r="X127" i="18"/>
  <c r="Y127" i="18"/>
  <c r="Z127" i="18"/>
  <c r="AA127" i="18"/>
  <c r="N128" i="18"/>
  <c r="P128" i="18"/>
  <c r="Q128" i="18"/>
  <c r="R128" i="18"/>
  <c r="S128" i="18"/>
  <c r="T128" i="18"/>
  <c r="W128" i="18"/>
  <c r="X128" i="18"/>
  <c r="Y128" i="18"/>
  <c r="Z128" i="18"/>
  <c r="AA128" i="18"/>
  <c r="N129" i="18"/>
  <c r="P129" i="18"/>
  <c r="Q129" i="18"/>
  <c r="R129" i="18"/>
  <c r="S129" i="18"/>
  <c r="T129" i="18"/>
  <c r="W129" i="18"/>
  <c r="X129" i="18"/>
  <c r="Y129" i="18"/>
  <c r="Z129" i="18"/>
  <c r="AA129" i="18"/>
  <c r="N130" i="18"/>
  <c r="P130" i="18"/>
  <c r="Q130" i="18"/>
  <c r="R130" i="18"/>
  <c r="S130" i="18"/>
  <c r="T130" i="18"/>
  <c r="W130" i="18"/>
  <c r="X130" i="18"/>
  <c r="Y130" i="18"/>
  <c r="Z130" i="18"/>
  <c r="AA130" i="18"/>
  <c r="N131" i="18"/>
  <c r="P131" i="18"/>
  <c r="Q131" i="18"/>
  <c r="R131" i="18"/>
  <c r="S131" i="18"/>
  <c r="T131" i="18"/>
  <c r="W131" i="18"/>
  <c r="X131" i="18"/>
  <c r="Y131" i="18"/>
  <c r="Z131" i="18"/>
  <c r="AA131" i="18"/>
  <c r="N132" i="18"/>
  <c r="P132" i="18"/>
  <c r="Q132" i="18"/>
  <c r="R132" i="18"/>
  <c r="S132" i="18"/>
  <c r="T132" i="18"/>
  <c r="W132" i="18"/>
  <c r="X132" i="18"/>
  <c r="Y132" i="18"/>
  <c r="Z132" i="18"/>
  <c r="AA132" i="18"/>
  <c r="N133" i="18"/>
  <c r="P133" i="18"/>
  <c r="Q133" i="18"/>
  <c r="R133" i="18"/>
  <c r="S133" i="18"/>
  <c r="T133" i="18"/>
  <c r="W133" i="18"/>
  <c r="X133" i="18"/>
  <c r="Y133" i="18"/>
  <c r="Z133" i="18"/>
  <c r="AA133" i="18"/>
  <c r="N134" i="18"/>
  <c r="P134" i="18"/>
  <c r="Q134" i="18"/>
  <c r="R134" i="18"/>
  <c r="S134" i="18"/>
  <c r="T134" i="18"/>
  <c r="W134" i="18"/>
  <c r="X134" i="18"/>
  <c r="Y134" i="18"/>
  <c r="Z134" i="18"/>
  <c r="AA134" i="18"/>
  <c r="O140" i="96"/>
  <c r="O85" i="96"/>
  <c r="D86" i="97"/>
  <c r="D141" i="97"/>
  <c r="O88" i="96"/>
  <c r="D87" i="97"/>
  <c r="O138" i="96"/>
  <c r="O137" i="96"/>
  <c r="D60" i="97"/>
  <c r="O33" i="96"/>
  <c r="O34" i="96"/>
  <c r="O86" i="96"/>
  <c r="D36" i="97"/>
  <c r="O36" i="96"/>
  <c r="O60" i="96"/>
  <c r="D62" i="97"/>
  <c r="D33" i="97"/>
  <c r="D112" i="97"/>
  <c r="D140" i="97"/>
  <c r="D89" i="97"/>
  <c r="D88" i="97"/>
  <c r="D111" i="97"/>
  <c r="D37" i="97"/>
  <c r="D59" i="97"/>
  <c r="D115" i="97"/>
  <c r="D113" i="97"/>
  <c r="O59" i="96"/>
  <c r="O112" i="96"/>
  <c r="O35" i="96"/>
  <c r="D85" i="97"/>
  <c r="O63" i="96"/>
  <c r="O115" i="96"/>
  <c r="O62" i="96"/>
  <c r="O139" i="96"/>
  <c r="D114" i="97"/>
  <c r="D61" i="97"/>
  <c r="O89" i="96"/>
  <c r="O113" i="96"/>
  <c r="O37" i="96"/>
  <c r="D138" i="97"/>
  <c r="D35" i="97"/>
  <c r="O87" i="96"/>
  <c r="O141" i="96"/>
  <c r="D139" i="97"/>
  <c r="O111" i="96"/>
  <c r="O61" i="96"/>
  <c r="D63" i="97"/>
  <c r="O114" i="96"/>
  <c r="D34" i="97"/>
  <c r="D137" i="97"/>
  <c r="R5" i="101" l="1"/>
  <c r="S5" i="101"/>
  <c r="T5" i="101"/>
  <c r="Q5" i="101"/>
  <c r="S21" i="101" l="1"/>
  <c r="S22" i="101" s="1"/>
  <c r="S55" i="101"/>
  <c r="S38" i="101"/>
  <c r="R21" i="101"/>
  <c r="R22" i="101" s="1"/>
  <c r="R55" i="101"/>
  <c r="R38" i="101"/>
  <c r="Q21" i="101"/>
  <c r="Q22" i="101" s="1"/>
  <c r="Q55" i="101"/>
  <c r="Q38" i="101"/>
  <c r="T55" i="101"/>
  <c r="T38" i="101"/>
  <c r="T21" i="101"/>
  <c r="T22" i="101" s="1"/>
  <c r="E50" i="99"/>
  <c r="F50" i="99"/>
  <c r="G50" i="99"/>
  <c r="H50" i="99"/>
  <c r="E51" i="99"/>
  <c r="F51" i="99"/>
  <c r="G51" i="99"/>
  <c r="H51" i="99"/>
  <c r="E52" i="99"/>
  <c r="F52" i="99"/>
  <c r="G52" i="99"/>
  <c r="H52" i="99"/>
  <c r="E53" i="99"/>
  <c r="F53" i="99"/>
  <c r="G53" i="99"/>
  <c r="H53" i="99"/>
  <c r="E54" i="99"/>
  <c r="F54" i="99"/>
  <c r="G54" i="99"/>
  <c r="H54" i="99"/>
  <c r="F49" i="99"/>
  <c r="G49" i="99"/>
  <c r="H49" i="99"/>
  <c r="E49" i="99"/>
  <c r="G30" i="101"/>
  <c r="H30" i="101"/>
  <c r="I30" i="101"/>
  <c r="G31" i="101"/>
  <c r="H31" i="101"/>
  <c r="I31" i="101"/>
  <c r="D16" i="101"/>
  <c r="D17" i="101"/>
  <c r="D18" i="101"/>
  <c r="D19" i="101"/>
  <c r="D20" i="101"/>
  <c r="D21" i="101"/>
  <c r="D22" i="101"/>
  <c r="D23" i="101"/>
  <c r="D24" i="101"/>
  <c r="D25" i="101"/>
  <c r="D26" i="101"/>
  <c r="D27" i="101"/>
  <c r="D15" i="101"/>
  <c r="G18" i="101"/>
  <c r="H18" i="101"/>
  <c r="I18" i="101"/>
  <c r="H17" i="101"/>
  <c r="I17" i="101"/>
  <c r="G17" i="101"/>
  <c r="H23" i="101"/>
  <c r="I23" i="101"/>
  <c r="G23" i="101"/>
  <c r="I27" i="101"/>
  <c r="H27" i="101"/>
  <c r="G27" i="101"/>
  <c r="I26" i="101"/>
  <c r="H26" i="101"/>
  <c r="G26" i="101"/>
  <c r="I25" i="101"/>
  <c r="H25" i="101"/>
  <c r="G25" i="101"/>
  <c r="I24" i="101"/>
  <c r="H24" i="101"/>
  <c r="G24" i="101"/>
  <c r="G21" i="101"/>
  <c r="H21" i="101"/>
  <c r="I21" i="101"/>
  <c r="G22" i="101"/>
  <c r="H22" i="101"/>
  <c r="I22" i="101"/>
  <c r="I20" i="101"/>
  <c r="H20" i="101"/>
  <c r="G20" i="101"/>
  <c r="I19" i="101"/>
  <c r="H19" i="101"/>
  <c r="G19" i="101"/>
  <c r="G16" i="101"/>
  <c r="H16" i="101"/>
  <c r="I16" i="101"/>
  <c r="H15" i="101"/>
  <c r="I15" i="101"/>
  <c r="G15" i="101"/>
  <c r="J30" i="101"/>
  <c r="S39" i="101" l="1"/>
  <c r="S23" i="101"/>
  <c r="T39" i="101"/>
  <c r="T23" i="101"/>
  <c r="Q39" i="101"/>
  <c r="Q23" i="101"/>
  <c r="R39" i="101"/>
  <c r="R23" i="101"/>
  <c r="J25" i="101"/>
  <c r="J26" i="101"/>
  <c r="J21" i="101"/>
  <c r="J17" i="101"/>
  <c r="J31" i="101"/>
  <c r="J20" i="101"/>
  <c r="J22" i="101"/>
  <c r="J18" i="101"/>
  <c r="J15" i="101"/>
  <c r="J24" i="101"/>
  <c r="J23" i="101"/>
  <c r="J19" i="101"/>
  <c r="J27" i="101"/>
  <c r="J16" i="101"/>
  <c r="AE30" i="100"/>
  <c r="AE29" i="100"/>
  <c r="AE28" i="100"/>
  <c r="AE27" i="100"/>
  <c r="AE26" i="100"/>
  <c r="AE25" i="100"/>
  <c r="AE24" i="100"/>
  <c r="AE23" i="100"/>
  <c r="AE16" i="100"/>
  <c r="AE17" i="100"/>
  <c r="AE18" i="100"/>
  <c r="AE19" i="100"/>
  <c r="AE20" i="100"/>
  <c r="AE10" i="100"/>
  <c r="AE11" i="100"/>
  <c r="AE12" i="100"/>
  <c r="AE13" i="100"/>
  <c r="AE14" i="100"/>
  <c r="AE15" i="100"/>
  <c r="AE21" i="100"/>
  <c r="AE22" i="100"/>
  <c r="AE9" i="100"/>
  <c r="R56" i="101" l="1"/>
  <c r="R57" i="101" s="1"/>
  <c r="R40" i="101"/>
  <c r="Q56" i="101"/>
  <c r="Q57" i="101" s="1"/>
  <c r="Q40" i="101"/>
  <c r="S56" i="101"/>
  <c r="S57" i="101" s="1"/>
  <c r="S40" i="101"/>
  <c r="T56" i="101"/>
  <c r="T57" i="101" s="1"/>
  <c r="T40" i="101"/>
  <c r="AD5" i="91"/>
  <c r="AE5" i="91"/>
  <c r="AF5" i="91"/>
  <c r="AG5" i="91"/>
  <c r="AH5" i="91"/>
  <c r="AD6" i="91"/>
  <c r="AE6" i="91"/>
  <c r="AF6" i="91"/>
  <c r="AG6" i="91"/>
  <c r="AH6" i="91"/>
  <c r="AD7" i="91"/>
  <c r="AE7" i="91"/>
  <c r="AF7" i="91"/>
  <c r="AG7" i="91"/>
  <c r="AH7" i="91"/>
  <c r="AD8" i="91"/>
  <c r="AE8" i="91"/>
  <c r="AF8" i="91"/>
  <c r="AG8" i="91"/>
  <c r="AH8" i="91"/>
  <c r="AD9" i="91"/>
  <c r="AE9" i="91"/>
  <c r="AF9" i="91"/>
  <c r="AG9" i="91"/>
  <c r="AH9" i="91"/>
  <c r="AD10" i="91"/>
  <c r="AE10" i="91"/>
  <c r="AF10" i="91"/>
  <c r="AG10" i="91"/>
  <c r="AH10" i="91"/>
  <c r="AD11" i="91"/>
  <c r="AE11" i="91"/>
  <c r="AF11" i="91"/>
  <c r="AG11" i="91"/>
  <c r="AH11" i="91"/>
  <c r="AD12" i="91"/>
  <c r="AE12" i="91"/>
  <c r="AF12" i="91"/>
  <c r="AG12" i="91"/>
  <c r="AH12" i="91"/>
  <c r="AD13" i="91"/>
  <c r="AE13" i="91"/>
  <c r="AF13" i="91"/>
  <c r="AG13" i="91"/>
  <c r="AH13" i="91"/>
  <c r="AD14" i="91"/>
  <c r="AE14" i="91"/>
  <c r="AF14" i="91"/>
  <c r="AG14" i="91"/>
  <c r="AH14" i="91"/>
  <c r="AD15" i="91"/>
  <c r="AE15" i="91"/>
  <c r="AF15" i="91"/>
  <c r="AG15" i="91"/>
  <c r="AH15" i="91"/>
  <c r="AD16" i="91"/>
  <c r="AE16" i="91"/>
  <c r="AF16" i="91"/>
  <c r="AG16" i="91"/>
  <c r="AH16" i="91"/>
  <c r="AD17" i="91"/>
  <c r="AE17" i="91"/>
  <c r="AF17" i="91"/>
  <c r="AG17" i="91"/>
  <c r="AH17" i="91"/>
  <c r="AD18" i="91"/>
  <c r="AE18" i="91"/>
  <c r="AF18" i="91"/>
  <c r="AG18" i="91"/>
  <c r="AH18" i="91"/>
  <c r="AD19" i="91"/>
  <c r="AE19" i="91"/>
  <c r="AF19" i="91"/>
  <c r="AG19" i="91"/>
  <c r="AH19" i="91"/>
  <c r="AD20" i="91"/>
  <c r="AE20" i="91"/>
  <c r="AF20" i="91"/>
  <c r="AG20" i="91"/>
  <c r="AH20" i="91"/>
  <c r="AD21" i="91"/>
  <c r="AE21" i="91"/>
  <c r="AF21" i="91"/>
  <c r="AG21" i="91"/>
  <c r="AH21" i="91"/>
  <c r="AD22" i="91"/>
  <c r="AE22" i="91"/>
  <c r="AF22" i="91"/>
  <c r="AG22" i="91"/>
  <c r="AH22" i="91"/>
  <c r="AD23" i="91"/>
  <c r="AE23" i="91"/>
  <c r="AF23" i="91"/>
  <c r="AG23" i="91"/>
  <c r="AH23" i="91"/>
  <c r="AD24" i="91"/>
  <c r="AE24" i="91"/>
  <c r="AF24" i="91"/>
  <c r="AG24" i="91"/>
  <c r="AH24" i="91"/>
  <c r="AD25" i="91"/>
  <c r="AE25" i="91"/>
  <c r="AF25" i="91"/>
  <c r="AG25" i="91"/>
  <c r="AH25" i="91"/>
  <c r="AD26" i="91"/>
  <c r="AE26" i="91"/>
  <c r="AF26" i="91"/>
  <c r="AG26" i="91"/>
  <c r="AH26" i="91"/>
  <c r="AD27" i="91"/>
  <c r="AE27" i="91"/>
  <c r="AF27" i="91"/>
  <c r="AG27" i="91"/>
  <c r="AH27" i="91"/>
  <c r="AD28" i="91"/>
  <c r="AE28" i="91"/>
  <c r="AF28" i="91"/>
  <c r="AG28" i="91"/>
  <c r="AH28" i="91"/>
  <c r="AD29" i="91"/>
  <c r="AE29" i="91"/>
  <c r="AF29" i="91"/>
  <c r="AG29" i="91"/>
  <c r="AH29" i="91"/>
  <c r="AD30" i="91"/>
  <c r="AE30" i="91"/>
  <c r="AF30" i="91"/>
  <c r="AG30" i="91"/>
  <c r="AH30" i="91"/>
  <c r="AD31" i="91"/>
  <c r="AE31" i="91"/>
  <c r="AF31" i="91"/>
  <c r="AG31" i="91"/>
  <c r="AH31" i="91"/>
  <c r="AD32" i="91"/>
  <c r="AE32" i="91"/>
  <c r="AF32" i="91"/>
  <c r="AG32" i="91"/>
  <c r="AH32" i="91"/>
  <c r="AD33" i="91"/>
  <c r="AE33" i="91"/>
  <c r="AF33" i="91"/>
  <c r="AG33" i="91"/>
  <c r="AH33" i="91"/>
  <c r="AD34" i="91"/>
  <c r="AE34" i="91"/>
  <c r="AF34" i="91"/>
  <c r="AG34" i="91"/>
  <c r="AH34" i="91"/>
  <c r="AD35" i="91"/>
  <c r="AE35" i="91"/>
  <c r="AF35" i="91"/>
  <c r="AG35" i="91"/>
  <c r="AH35" i="91"/>
  <c r="AD36" i="91"/>
  <c r="AE36" i="91"/>
  <c r="AF36" i="91"/>
  <c r="AG36" i="91"/>
  <c r="AH36" i="91"/>
  <c r="AD37" i="91"/>
  <c r="AE37" i="91"/>
  <c r="AF37" i="91"/>
  <c r="AG37" i="91"/>
  <c r="AH37" i="91"/>
  <c r="AD38" i="91"/>
  <c r="AE38" i="91"/>
  <c r="AF38" i="91"/>
  <c r="AG38" i="91"/>
  <c r="AH38" i="91"/>
  <c r="AD39" i="91"/>
  <c r="AE39" i="91"/>
  <c r="AF39" i="91"/>
  <c r="AG39" i="91"/>
  <c r="AH39" i="91"/>
  <c r="AD40" i="91"/>
  <c r="AE40" i="91"/>
  <c r="AF40" i="91"/>
  <c r="AG40" i="91"/>
  <c r="AH40" i="91"/>
  <c r="AD41" i="91"/>
  <c r="AE41" i="91"/>
  <c r="AF41" i="91"/>
  <c r="AG41" i="91"/>
  <c r="AH41" i="91"/>
  <c r="AD42" i="91"/>
  <c r="AE42" i="91"/>
  <c r="AF42" i="91"/>
  <c r="AG42" i="91"/>
  <c r="AH42" i="91"/>
  <c r="AD43" i="91"/>
  <c r="AE43" i="91"/>
  <c r="AF43" i="91"/>
  <c r="AG43" i="91"/>
  <c r="AH43" i="91"/>
  <c r="AD44" i="91"/>
  <c r="AE44" i="91"/>
  <c r="AF44" i="91"/>
  <c r="AG44" i="91"/>
  <c r="AH44" i="91"/>
  <c r="AD45" i="91"/>
  <c r="AE45" i="91"/>
  <c r="AF45" i="91"/>
  <c r="AG45" i="91"/>
  <c r="AH45" i="91"/>
  <c r="AD46" i="91"/>
  <c r="AE46" i="91"/>
  <c r="AF46" i="91"/>
  <c r="AG46" i="91"/>
  <c r="AH46" i="91"/>
  <c r="AD47" i="91"/>
  <c r="AE47" i="91"/>
  <c r="AF47" i="91"/>
  <c r="AG47" i="91"/>
  <c r="AH47" i="91"/>
  <c r="AD48" i="91"/>
  <c r="AE48" i="91"/>
  <c r="AF48" i="91"/>
  <c r="AG48" i="91"/>
  <c r="AH48" i="91"/>
  <c r="AD49" i="91"/>
  <c r="AE49" i="91"/>
  <c r="AF49" i="91"/>
  <c r="AG49" i="91"/>
  <c r="AH49" i="91"/>
  <c r="AD50" i="91"/>
  <c r="AE50" i="91"/>
  <c r="AF50" i="91"/>
  <c r="AG50" i="91"/>
  <c r="AH50" i="91"/>
  <c r="AD51" i="91"/>
  <c r="AE51" i="91"/>
  <c r="AF51" i="91"/>
  <c r="AG51" i="91"/>
  <c r="AH51" i="91"/>
  <c r="AD52" i="91"/>
  <c r="AE52" i="91"/>
  <c r="AF52" i="91"/>
  <c r="AG52" i="91"/>
  <c r="AH52" i="91"/>
  <c r="AD53" i="91"/>
  <c r="AE53" i="91"/>
  <c r="AF53" i="91"/>
  <c r="AG53" i="91"/>
  <c r="AH53" i="91"/>
  <c r="AD54" i="91"/>
  <c r="AE54" i="91"/>
  <c r="AF54" i="91"/>
  <c r="AG54" i="91"/>
  <c r="AH54" i="91"/>
  <c r="AD55" i="91"/>
  <c r="AE55" i="91"/>
  <c r="AF55" i="91"/>
  <c r="AG55" i="91"/>
  <c r="AH55" i="91"/>
  <c r="AD56" i="91"/>
  <c r="AE56" i="91"/>
  <c r="AF56" i="91"/>
  <c r="AG56" i="91"/>
  <c r="AH56" i="91"/>
  <c r="AD57" i="91"/>
  <c r="AE57" i="91"/>
  <c r="AF57" i="91"/>
  <c r="AG57" i="91"/>
  <c r="AH57" i="91"/>
  <c r="AD58" i="91"/>
  <c r="AE58" i="91"/>
  <c r="AF58" i="91"/>
  <c r="AG58" i="91"/>
  <c r="AH58" i="91"/>
  <c r="AD59" i="91"/>
  <c r="AE59" i="91"/>
  <c r="AF59" i="91"/>
  <c r="AG59" i="91"/>
  <c r="AH59" i="91"/>
  <c r="AD60" i="91"/>
  <c r="AE60" i="91"/>
  <c r="AF60" i="91"/>
  <c r="AG60" i="91"/>
  <c r="AH60" i="91"/>
  <c r="AD61" i="91"/>
  <c r="AE61" i="91"/>
  <c r="AF61" i="91"/>
  <c r="AG61" i="91"/>
  <c r="AH61" i="91"/>
  <c r="AD62" i="91"/>
  <c r="AE62" i="91"/>
  <c r="AF62" i="91"/>
  <c r="AG62" i="91"/>
  <c r="AH62" i="91"/>
  <c r="AD63" i="91"/>
  <c r="AE63" i="91"/>
  <c r="AF63" i="91"/>
  <c r="AG63" i="91"/>
  <c r="AH63" i="91"/>
  <c r="AD64" i="91"/>
  <c r="AE64" i="91"/>
  <c r="AF64" i="91"/>
  <c r="AG64" i="91"/>
  <c r="AH64" i="91"/>
  <c r="AD65" i="91"/>
  <c r="AE65" i="91"/>
  <c r="AF65" i="91"/>
  <c r="AG65" i="91"/>
  <c r="AH65" i="91"/>
  <c r="AD66" i="91"/>
  <c r="AE66" i="91"/>
  <c r="AF66" i="91"/>
  <c r="AG66" i="91"/>
  <c r="AH66" i="91"/>
  <c r="AD67" i="91"/>
  <c r="AE67" i="91"/>
  <c r="AF67" i="91"/>
  <c r="AG67" i="91"/>
  <c r="AH67" i="91"/>
  <c r="AD68" i="91"/>
  <c r="AE68" i="91"/>
  <c r="AF68" i="91"/>
  <c r="AG68" i="91"/>
  <c r="AH68" i="91"/>
  <c r="AD69" i="91"/>
  <c r="AE69" i="91"/>
  <c r="AF69" i="91"/>
  <c r="AG69" i="91"/>
  <c r="AH69" i="91"/>
  <c r="AD70" i="91"/>
  <c r="AE70" i="91"/>
  <c r="AF70" i="91"/>
  <c r="AG70" i="91"/>
  <c r="AH70" i="91"/>
  <c r="AD71" i="91"/>
  <c r="AE71" i="91"/>
  <c r="AF71" i="91"/>
  <c r="AG71" i="91"/>
  <c r="AH71" i="91"/>
  <c r="AD72" i="91"/>
  <c r="AE72" i="91"/>
  <c r="AF72" i="91"/>
  <c r="AG72" i="91"/>
  <c r="AH72" i="91"/>
  <c r="AD73" i="91"/>
  <c r="AE73" i="91"/>
  <c r="AF73" i="91"/>
  <c r="AG73" i="91"/>
  <c r="AH73" i="91"/>
  <c r="AD74" i="91"/>
  <c r="AE74" i="91"/>
  <c r="AF74" i="91"/>
  <c r="AG74" i="91"/>
  <c r="AH74" i="91"/>
  <c r="AD75" i="91"/>
  <c r="AE75" i="91"/>
  <c r="AF75" i="91"/>
  <c r="AG75" i="91"/>
  <c r="AH75" i="91"/>
  <c r="AD76" i="91"/>
  <c r="AE76" i="91"/>
  <c r="AF76" i="91"/>
  <c r="AG76" i="91"/>
  <c r="AH76" i="91"/>
  <c r="AD77" i="91"/>
  <c r="AE77" i="91"/>
  <c r="AF77" i="91"/>
  <c r="AG77" i="91"/>
  <c r="AH77" i="91"/>
  <c r="AD78" i="91"/>
  <c r="AE78" i="91"/>
  <c r="AF78" i="91"/>
  <c r="AG78" i="91"/>
  <c r="AH78" i="91"/>
  <c r="AD79" i="91"/>
  <c r="AE79" i="91"/>
  <c r="AF79" i="91"/>
  <c r="AG79" i="91"/>
  <c r="AH79" i="91"/>
  <c r="AD80" i="91"/>
  <c r="AE80" i="91"/>
  <c r="AF80" i="91"/>
  <c r="AG80" i="91"/>
  <c r="AH80" i="91"/>
  <c r="AD81" i="91"/>
  <c r="AE81" i="91"/>
  <c r="AF81" i="91"/>
  <c r="AG81" i="91"/>
  <c r="AH81" i="91"/>
  <c r="AD82" i="91"/>
  <c r="AE82" i="91"/>
  <c r="AF82" i="91"/>
  <c r="AG82" i="91"/>
  <c r="AH82" i="91"/>
  <c r="AD83" i="91"/>
  <c r="AE83" i="91"/>
  <c r="AF83" i="91"/>
  <c r="AG83" i="91"/>
  <c r="AH83" i="91"/>
  <c r="AD84" i="91"/>
  <c r="AE84" i="91"/>
  <c r="AF84" i="91"/>
  <c r="AG84" i="91"/>
  <c r="AH84" i="91"/>
  <c r="AD85" i="91"/>
  <c r="AE85" i="91"/>
  <c r="AF85" i="91"/>
  <c r="AG85" i="91"/>
  <c r="AH85" i="91"/>
  <c r="AD86" i="91"/>
  <c r="AE86" i="91"/>
  <c r="AF86" i="91"/>
  <c r="AG86" i="91"/>
  <c r="AH86" i="91"/>
  <c r="AD87" i="91"/>
  <c r="AE87" i="91"/>
  <c r="AF87" i="91"/>
  <c r="AG87" i="91"/>
  <c r="AH87" i="91"/>
  <c r="AD88" i="91"/>
  <c r="AE88" i="91"/>
  <c r="AF88" i="91"/>
  <c r="AG88" i="91"/>
  <c r="AH88" i="91"/>
  <c r="AD89" i="91"/>
  <c r="AE89" i="91"/>
  <c r="AF89" i="91"/>
  <c r="AG89" i="91"/>
  <c r="AH89" i="91"/>
  <c r="AD90" i="91"/>
  <c r="AE90" i="91"/>
  <c r="AF90" i="91"/>
  <c r="AG90" i="91"/>
  <c r="AH90" i="91"/>
  <c r="AD91" i="91"/>
  <c r="AE91" i="91"/>
  <c r="AF91" i="91"/>
  <c r="AG91" i="91"/>
  <c r="AH91" i="91"/>
  <c r="AD92" i="91"/>
  <c r="AE92" i="91"/>
  <c r="AF92" i="91"/>
  <c r="AG92" i="91"/>
  <c r="AH92" i="91"/>
  <c r="AD93" i="91"/>
  <c r="AE93" i="91"/>
  <c r="AF93" i="91"/>
  <c r="AG93" i="91"/>
  <c r="AH93" i="91"/>
  <c r="AD94" i="91"/>
  <c r="AE94" i="91"/>
  <c r="AF94" i="91"/>
  <c r="AG94" i="91"/>
  <c r="AH94" i="91"/>
  <c r="AD95" i="91"/>
  <c r="AE95" i="91"/>
  <c r="AF95" i="91"/>
  <c r="AG95" i="91"/>
  <c r="AH95" i="91"/>
  <c r="AD96" i="91"/>
  <c r="AE96" i="91"/>
  <c r="AF96" i="91"/>
  <c r="AG96" i="91"/>
  <c r="AH96" i="91"/>
  <c r="AD97" i="91"/>
  <c r="AE97" i="91"/>
  <c r="AF97" i="91"/>
  <c r="AG97" i="91"/>
  <c r="AH97" i="91"/>
  <c r="AD98" i="91"/>
  <c r="AE98" i="91"/>
  <c r="AF98" i="91"/>
  <c r="AG98" i="91"/>
  <c r="AH98" i="91"/>
  <c r="AD99" i="91"/>
  <c r="AE99" i="91"/>
  <c r="AF99" i="91"/>
  <c r="AG99" i="91"/>
  <c r="AH99" i="91"/>
  <c r="AD100" i="91"/>
  <c r="AE100" i="91"/>
  <c r="AF100" i="91"/>
  <c r="AG100" i="91"/>
  <c r="AH100" i="91"/>
  <c r="AD101" i="91"/>
  <c r="AE101" i="91"/>
  <c r="AF101" i="91"/>
  <c r="AG101" i="91"/>
  <c r="AH101" i="91"/>
  <c r="AD102" i="91"/>
  <c r="AE102" i="91"/>
  <c r="AF102" i="91"/>
  <c r="AG102" i="91"/>
  <c r="AH102" i="91"/>
  <c r="AD103" i="91"/>
  <c r="AE103" i="91"/>
  <c r="AF103" i="91"/>
  <c r="AG103" i="91"/>
  <c r="AH103" i="91"/>
  <c r="AD104" i="91"/>
  <c r="AE104" i="91"/>
  <c r="AF104" i="91"/>
  <c r="AG104" i="91"/>
  <c r="AH104" i="91"/>
  <c r="AD105" i="91"/>
  <c r="AE105" i="91"/>
  <c r="AF105" i="91"/>
  <c r="AG105" i="91"/>
  <c r="AH105" i="91"/>
  <c r="AD106" i="91"/>
  <c r="AE106" i="91"/>
  <c r="AF106" i="91"/>
  <c r="AG106" i="91"/>
  <c r="AH106" i="91"/>
  <c r="AD107" i="91"/>
  <c r="AE107" i="91"/>
  <c r="AF107" i="91"/>
  <c r="AG107" i="91"/>
  <c r="AH107" i="91"/>
  <c r="AD108" i="91"/>
  <c r="AE108" i="91"/>
  <c r="AF108" i="91"/>
  <c r="AG108" i="91"/>
  <c r="AH108" i="91"/>
  <c r="AD109" i="91"/>
  <c r="AE109" i="91"/>
  <c r="AF109" i="91"/>
  <c r="AG109" i="91"/>
  <c r="AH109" i="91"/>
  <c r="AD110" i="91"/>
  <c r="AE110" i="91"/>
  <c r="AF110" i="91"/>
  <c r="AG110" i="91"/>
  <c r="AH110" i="91"/>
  <c r="AD111" i="91"/>
  <c r="AE111" i="91"/>
  <c r="AF111" i="91"/>
  <c r="AG111" i="91"/>
  <c r="AH111" i="91"/>
  <c r="AD112" i="91"/>
  <c r="AE112" i="91"/>
  <c r="AF112" i="91"/>
  <c r="AG112" i="91"/>
  <c r="AH112" i="91"/>
  <c r="AD113" i="91"/>
  <c r="AE113" i="91"/>
  <c r="AF113" i="91"/>
  <c r="AG113" i="91"/>
  <c r="AH113" i="91"/>
  <c r="AD114" i="91"/>
  <c r="AE114" i="91"/>
  <c r="AF114" i="91"/>
  <c r="AG114" i="91"/>
  <c r="AH114" i="91"/>
  <c r="AD115" i="91"/>
  <c r="AE115" i="91"/>
  <c r="AF115" i="91"/>
  <c r="AG115" i="91"/>
  <c r="AH115" i="91"/>
  <c r="AD116" i="91"/>
  <c r="AE116" i="91"/>
  <c r="AF116" i="91"/>
  <c r="AG116" i="91"/>
  <c r="AH116" i="91"/>
  <c r="AD117" i="91"/>
  <c r="AE117" i="91"/>
  <c r="AF117" i="91"/>
  <c r="AG117" i="91"/>
  <c r="AH117" i="91"/>
  <c r="AD118" i="91"/>
  <c r="AE118" i="91"/>
  <c r="AF118" i="91"/>
  <c r="AG118" i="91"/>
  <c r="AH118" i="91"/>
  <c r="AD119" i="91"/>
  <c r="AE119" i="91"/>
  <c r="AF119" i="91"/>
  <c r="AG119" i="91"/>
  <c r="AH119" i="91"/>
  <c r="AD120" i="91"/>
  <c r="AE120" i="91"/>
  <c r="AF120" i="91"/>
  <c r="AG120" i="91"/>
  <c r="AH120" i="91"/>
  <c r="AD121" i="91"/>
  <c r="AE121" i="91"/>
  <c r="AF121" i="91"/>
  <c r="AG121" i="91"/>
  <c r="AH121" i="91"/>
  <c r="AD122" i="91"/>
  <c r="AE122" i="91"/>
  <c r="AF122" i="91"/>
  <c r="AG122" i="91"/>
  <c r="AH122" i="91"/>
  <c r="AD123" i="91"/>
  <c r="AE123" i="91"/>
  <c r="AF123" i="91"/>
  <c r="AG123" i="91"/>
  <c r="AH123" i="91"/>
  <c r="AD124" i="91"/>
  <c r="AE124" i="91"/>
  <c r="AF124" i="91"/>
  <c r="AG124" i="91"/>
  <c r="AH124" i="91"/>
  <c r="AD125" i="91"/>
  <c r="AE125" i="91"/>
  <c r="AF125" i="91"/>
  <c r="AG125" i="91"/>
  <c r="AH125" i="91"/>
  <c r="AD126" i="91"/>
  <c r="AE126" i="91"/>
  <c r="AF126" i="91"/>
  <c r="AG126" i="91"/>
  <c r="AH126" i="91"/>
  <c r="AD127" i="91"/>
  <c r="AE127" i="91"/>
  <c r="AF127" i="91"/>
  <c r="AG127" i="91"/>
  <c r="AH127" i="91"/>
  <c r="AD128" i="91"/>
  <c r="AE128" i="91"/>
  <c r="AF128" i="91"/>
  <c r="AG128" i="91"/>
  <c r="AH128" i="91"/>
  <c r="AD129" i="91"/>
  <c r="AE129" i="91"/>
  <c r="AF129" i="91"/>
  <c r="AG129" i="91"/>
  <c r="AH129" i="91"/>
  <c r="AD130" i="91"/>
  <c r="AE130" i="91"/>
  <c r="AF130" i="91"/>
  <c r="AG130" i="91"/>
  <c r="AH130" i="91"/>
  <c r="AD131" i="91"/>
  <c r="AE131" i="91"/>
  <c r="AF131" i="91"/>
  <c r="AG131" i="91"/>
  <c r="AH131" i="91"/>
  <c r="AD132" i="91"/>
  <c r="AE132" i="91"/>
  <c r="AF132" i="91"/>
  <c r="AG132" i="91"/>
  <c r="AH132" i="91"/>
  <c r="AD133" i="91"/>
  <c r="AE133" i="91"/>
  <c r="AF133" i="91"/>
  <c r="AG133" i="91"/>
  <c r="AH133" i="91"/>
  <c r="AD134" i="91"/>
  <c r="AE134" i="91"/>
  <c r="AF134" i="91"/>
  <c r="AG134" i="91"/>
  <c r="AH134" i="91"/>
  <c r="AD135" i="91"/>
  <c r="AE135" i="91"/>
  <c r="AF135" i="91"/>
  <c r="AG135" i="91"/>
  <c r="AH135" i="91"/>
  <c r="AD136" i="91"/>
  <c r="AE136" i="91"/>
  <c r="AF136" i="91"/>
  <c r="AG136" i="91"/>
  <c r="AH136" i="91"/>
  <c r="AD137" i="91"/>
  <c r="AE137" i="91"/>
  <c r="AF137" i="91"/>
  <c r="AG137" i="91"/>
  <c r="AH137" i="91"/>
  <c r="AD138" i="91"/>
  <c r="AE138" i="91"/>
  <c r="AF138" i="91"/>
  <c r="AG138" i="91"/>
  <c r="AH138" i="91"/>
  <c r="AD139" i="91"/>
  <c r="AE139" i="91"/>
  <c r="AF139" i="91"/>
  <c r="AG139" i="91"/>
  <c r="AH139" i="91"/>
  <c r="AD140" i="91"/>
  <c r="AE140" i="91"/>
  <c r="AF140" i="91"/>
  <c r="AG140" i="91"/>
  <c r="AH140" i="91"/>
  <c r="AD141" i="91"/>
  <c r="AE141" i="91"/>
  <c r="AF141" i="91"/>
  <c r="AG141" i="91"/>
  <c r="AH141" i="91"/>
  <c r="AD142" i="91"/>
  <c r="AE142" i="91"/>
  <c r="AF142" i="91"/>
  <c r="AG142" i="91"/>
  <c r="AH142" i="91"/>
  <c r="AD143" i="91"/>
  <c r="AE143" i="91"/>
  <c r="AF143" i="91"/>
  <c r="AG143" i="91"/>
  <c r="AH143" i="91"/>
  <c r="AD144" i="91"/>
  <c r="AE144" i="91"/>
  <c r="AF144" i="91"/>
  <c r="AG144" i="91"/>
  <c r="AH144" i="91"/>
  <c r="AD145" i="91"/>
  <c r="AE145" i="91"/>
  <c r="AF145" i="91"/>
  <c r="AG145" i="91"/>
  <c r="AH145" i="91"/>
  <c r="AD146" i="91"/>
  <c r="AE146" i="91"/>
  <c r="AF146" i="91"/>
  <c r="AG146" i="91"/>
  <c r="AH146" i="91"/>
  <c r="AD147" i="91"/>
  <c r="AE147" i="91"/>
  <c r="AF147" i="91"/>
  <c r="AG147" i="91"/>
  <c r="AH147" i="91"/>
  <c r="AD148" i="91"/>
  <c r="AE148" i="91"/>
  <c r="AF148" i="91"/>
  <c r="AG148" i="91"/>
  <c r="AH148" i="91"/>
  <c r="AD149" i="91"/>
  <c r="AE149" i="91"/>
  <c r="AF149" i="91"/>
  <c r="AG149" i="91"/>
  <c r="AH149" i="91"/>
  <c r="AD150" i="91"/>
  <c r="AE150" i="91"/>
  <c r="AF150" i="91"/>
  <c r="AG150" i="91"/>
  <c r="AH150" i="91"/>
  <c r="AD151" i="91"/>
  <c r="AE151" i="91"/>
  <c r="AF151" i="91"/>
  <c r="AG151" i="91"/>
  <c r="AH151" i="91"/>
  <c r="AD152" i="91"/>
  <c r="AE152" i="91"/>
  <c r="AF152" i="91"/>
  <c r="AG152" i="91"/>
  <c r="AH152" i="91"/>
  <c r="AD153" i="91"/>
  <c r="AE153" i="91"/>
  <c r="AF153" i="91"/>
  <c r="AG153" i="91"/>
  <c r="AH153" i="91"/>
  <c r="AD154" i="91"/>
  <c r="AE154" i="91"/>
  <c r="AF154" i="91"/>
  <c r="AG154" i="91"/>
  <c r="AH154" i="91"/>
  <c r="AD155" i="91"/>
  <c r="AE155" i="91"/>
  <c r="AF155" i="91"/>
  <c r="AG155" i="91"/>
  <c r="AH155" i="91"/>
  <c r="AD156" i="91"/>
  <c r="AE156" i="91"/>
  <c r="AF156" i="91"/>
  <c r="AG156" i="91"/>
  <c r="AH156" i="91"/>
  <c r="AD157" i="91"/>
  <c r="AE157" i="91"/>
  <c r="AF157" i="91"/>
  <c r="AG157" i="91"/>
  <c r="AH157" i="91"/>
  <c r="AD158" i="91"/>
  <c r="AE158" i="91"/>
  <c r="AF158" i="91"/>
  <c r="AG158" i="91"/>
  <c r="AH158" i="91"/>
  <c r="AD159" i="91"/>
  <c r="AE159" i="91"/>
  <c r="AF159" i="91"/>
  <c r="AG159" i="91"/>
  <c r="AH159" i="91"/>
  <c r="AD160" i="91"/>
  <c r="AE160" i="91"/>
  <c r="AF160" i="91"/>
  <c r="AG160" i="91"/>
  <c r="AH160" i="91"/>
  <c r="AD161" i="91"/>
  <c r="AE161" i="91"/>
  <c r="AF161" i="91"/>
  <c r="AG161" i="91"/>
  <c r="AH161" i="91"/>
  <c r="AD162" i="91"/>
  <c r="AE162" i="91"/>
  <c r="AF162" i="91"/>
  <c r="AG162" i="91"/>
  <c r="AH162" i="91"/>
  <c r="AD163" i="91"/>
  <c r="AE163" i="91"/>
  <c r="AF163" i="91"/>
  <c r="AG163" i="91"/>
  <c r="AH163" i="91"/>
  <c r="AE4" i="91"/>
  <c r="AF4" i="91"/>
  <c r="AG4" i="91"/>
  <c r="AH4" i="91"/>
  <c r="AD4" i="91"/>
  <c r="E62" i="99" l="1"/>
  <c r="F62" i="99"/>
  <c r="G62" i="99"/>
  <c r="H62" i="99"/>
  <c r="E63" i="99"/>
  <c r="F63" i="99"/>
  <c r="G63" i="99"/>
  <c r="H63" i="99"/>
  <c r="E64" i="99"/>
  <c r="F64" i="99"/>
  <c r="G64" i="99"/>
  <c r="H64" i="99"/>
  <c r="E65" i="99"/>
  <c r="F65" i="99"/>
  <c r="G65" i="99"/>
  <c r="H65" i="99"/>
  <c r="E66" i="99"/>
  <c r="F66" i="99"/>
  <c r="F13" i="96" s="1"/>
  <c r="G66" i="99"/>
  <c r="G13" i="96" s="1"/>
  <c r="H66" i="99"/>
  <c r="H13" i="96" s="1"/>
  <c r="F61" i="99"/>
  <c r="G61" i="99"/>
  <c r="H61" i="99"/>
  <c r="E61" i="99"/>
  <c r="H14" i="99" l="1"/>
  <c r="G14" i="99"/>
  <c r="F14" i="99"/>
  <c r="E14" i="99"/>
  <c r="D14" i="99"/>
  <c r="F55" i="98" l="1"/>
  <c r="G55" i="98"/>
  <c r="H55" i="98"/>
  <c r="E55" i="98"/>
  <c r="G11" i="96"/>
  <c r="G12" i="96" s="1"/>
  <c r="G14" i="96" s="1"/>
  <c r="F11" i="96"/>
  <c r="F12" i="96" s="1"/>
  <c r="F14" i="96" s="1"/>
  <c r="AY303" i="96" l="1"/>
  <c r="AZ303" i="96"/>
  <c r="AY304" i="96"/>
  <c r="AZ304" i="96"/>
  <c r="AY305" i="96"/>
  <c r="AZ305" i="96"/>
  <c r="AY306" i="96"/>
  <c r="AZ306" i="96"/>
  <c r="AY307" i="96"/>
  <c r="AZ307" i="96"/>
  <c r="AY308" i="96"/>
  <c r="AZ308" i="96"/>
  <c r="AY309" i="96"/>
  <c r="AZ309" i="96"/>
  <c r="AY294" i="96"/>
  <c r="AZ294" i="96"/>
  <c r="AY295" i="96"/>
  <c r="AZ295" i="96"/>
  <c r="AY296" i="96"/>
  <c r="AZ296" i="96"/>
  <c r="AY297" i="96"/>
  <c r="AZ297" i="96"/>
  <c r="AY298" i="96"/>
  <c r="AZ298" i="96"/>
  <c r="AY299" i="96"/>
  <c r="AZ299" i="96"/>
  <c r="AY300" i="96"/>
  <c r="AZ300" i="96"/>
  <c r="AY301" i="96"/>
  <c r="AZ301" i="96"/>
  <c r="AY302" i="96"/>
  <c r="AZ302" i="96"/>
  <c r="AY255" i="96"/>
  <c r="AZ255" i="96"/>
  <c r="AY256" i="96"/>
  <c r="AZ256" i="96"/>
  <c r="AY257" i="96"/>
  <c r="AZ257" i="96"/>
  <c r="AY258" i="96"/>
  <c r="AZ258" i="96"/>
  <c r="AY259" i="96"/>
  <c r="AZ259" i="96"/>
  <c r="AY260" i="96"/>
  <c r="AZ260" i="96"/>
  <c r="AY261" i="96"/>
  <c r="AZ261" i="96"/>
  <c r="AY262" i="96"/>
  <c r="AZ262" i="96"/>
  <c r="AY263" i="96"/>
  <c r="AZ263" i="96"/>
  <c r="AY264" i="96"/>
  <c r="AZ264" i="96"/>
  <c r="AY265" i="96"/>
  <c r="AZ265" i="96"/>
  <c r="AY266" i="96"/>
  <c r="AZ266" i="96"/>
  <c r="AY267" i="96"/>
  <c r="AZ267" i="96"/>
  <c r="AY268" i="96"/>
  <c r="AZ268" i="96"/>
  <c r="AY269" i="96"/>
  <c r="AZ269" i="96"/>
  <c r="AY270" i="96"/>
  <c r="AZ270" i="96"/>
  <c r="AY271" i="96"/>
  <c r="AZ271" i="96"/>
  <c r="AY272" i="96"/>
  <c r="AZ272" i="96"/>
  <c r="AY273" i="96"/>
  <c r="AZ273" i="96"/>
  <c r="AY274" i="96"/>
  <c r="AZ274" i="96"/>
  <c r="AY275" i="96"/>
  <c r="AZ275" i="96"/>
  <c r="AY276" i="96"/>
  <c r="AZ276" i="96"/>
  <c r="AY277" i="96"/>
  <c r="AZ277" i="96"/>
  <c r="AY278" i="96"/>
  <c r="AZ278" i="96"/>
  <c r="AY279" i="96"/>
  <c r="AZ279" i="96"/>
  <c r="AY280" i="96"/>
  <c r="AZ280" i="96"/>
  <c r="AY281" i="96"/>
  <c r="AZ281" i="96"/>
  <c r="AY282" i="96"/>
  <c r="AZ282" i="96"/>
  <c r="AY283" i="96"/>
  <c r="AZ283" i="96"/>
  <c r="AY284" i="96"/>
  <c r="AZ284" i="96"/>
  <c r="AY285" i="96"/>
  <c r="AZ285" i="96"/>
  <c r="AY286" i="96"/>
  <c r="AZ286" i="96"/>
  <c r="AY287" i="96"/>
  <c r="AZ287" i="96"/>
  <c r="AY288" i="96"/>
  <c r="AZ288" i="96"/>
  <c r="AY289" i="96"/>
  <c r="AZ289" i="96"/>
  <c r="AY290" i="96"/>
  <c r="AZ290" i="96"/>
  <c r="AY291" i="96"/>
  <c r="AZ291" i="96"/>
  <c r="AY292" i="96"/>
  <c r="AZ292" i="96"/>
  <c r="AY293" i="96"/>
  <c r="AZ293" i="96"/>
  <c r="AY121" i="96"/>
  <c r="AZ121" i="96"/>
  <c r="AY122" i="96"/>
  <c r="AZ122" i="96"/>
  <c r="AY123" i="96"/>
  <c r="AZ123" i="96"/>
  <c r="AY124" i="96"/>
  <c r="AZ124" i="96"/>
  <c r="AY125" i="96"/>
  <c r="AZ125" i="96"/>
  <c r="AY126" i="96"/>
  <c r="AZ126" i="96"/>
  <c r="AY127" i="96"/>
  <c r="AZ127" i="96"/>
  <c r="AY128" i="96"/>
  <c r="AZ128" i="96"/>
  <c r="AY129" i="96"/>
  <c r="AZ129" i="96"/>
  <c r="AY130" i="96"/>
  <c r="AZ130" i="96"/>
  <c r="AY131" i="96"/>
  <c r="AZ131" i="96"/>
  <c r="AY132" i="96"/>
  <c r="AZ132" i="96"/>
  <c r="AY133" i="96"/>
  <c r="AZ133" i="96"/>
  <c r="AY134" i="96"/>
  <c r="AZ134" i="96"/>
  <c r="AY135" i="96"/>
  <c r="AZ135" i="96"/>
  <c r="AY136" i="96"/>
  <c r="AZ136" i="96"/>
  <c r="AY137" i="96"/>
  <c r="AZ137" i="96"/>
  <c r="AY138" i="96"/>
  <c r="AZ138" i="96"/>
  <c r="AY139" i="96"/>
  <c r="AZ139" i="96"/>
  <c r="AY140" i="96"/>
  <c r="AZ140" i="96"/>
  <c r="AY141" i="96"/>
  <c r="AZ141" i="96"/>
  <c r="AY142" i="96"/>
  <c r="AZ142" i="96"/>
  <c r="AY143" i="96"/>
  <c r="AZ143" i="96"/>
  <c r="AY144" i="96"/>
  <c r="AZ144" i="96"/>
  <c r="AY145" i="96"/>
  <c r="AZ145" i="96"/>
  <c r="AY146" i="96"/>
  <c r="AZ146" i="96"/>
  <c r="AY147" i="96"/>
  <c r="AZ147" i="96"/>
  <c r="AY148" i="96"/>
  <c r="AZ148" i="96"/>
  <c r="AY149" i="96"/>
  <c r="AZ149" i="96"/>
  <c r="AY150" i="96"/>
  <c r="AZ150" i="96"/>
  <c r="AY151" i="96"/>
  <c r="AZ151" i="96"/>
  <c r="AY152" i="96"/>
  <c r="AZ152" i="96"/>
  <c r="AY153" i="96"/>
  <c r="AZ153" i="96"/>
  <c r="AY154" i="96"/>
  <c r="AZ154" i="96"/>
  <c r="AY155" i="96"/>
  <c r="AZ155" i="96"/>
  <c r="AY156" i="96"/>
  <c r="AZ156" i="96"/>
  <c r="AY157" i="96"/>
  <c r="AZ157" i="96"/>
  <c r="AY158" i="96"/>
  <c r="AZ158" i="96"/>
  <c r="AY159" i="96"/>
  <c r="AZ159" i="96"/>
  <c r="AY160" i="96"/>
  <c r="AZ160" i="96"/>
  <c r="AY161" i="96"/>
  <c r="AZ161" i="96"/>
  <c r="AY162" i="96"/>
  <c r="AZ162" i="96"/>
  <c r="AY163" i="96"/>
  <c r="AZ163" i="96"/>
  <c r="AY164" i="96"/>
  <c r="AZ164" i="96"/>
  <c r="AY165" i="96"/>
  <c r="AZ165" i="96"/>
  <c r="AY166" i="96"/>
  <c r="AZ166" i="96"/>
  <c r="AY167" i="96"/>
  <c r="AZ167" i="96"/>
  <c r="AY168" i="96"/>
  <c r="AZ168" i="96"/>
  <c r="AY169" i="96"/>
  <c r="AZ169" i="96"/>
  <c r="AY170" i="96"/>
  <c r="AZ170" i="96"/>
  <c r="AY171" i="96"/>
  <c r="AZ171" i="96"/>
  <c r="AY172" i="96"/>
  <c r="AZ172" i="96"/>
  <c r="AY173" i="96"/>
  <c r="AZ173" i="96"/>
  <c r="AY174" i="96"/>
  <c r="AZ174" i="96"/>
  <c r="AY175" i="96"/>
  <c r="AZ175" i="96"/>
  <c r="AY176" i="96"/>
  <c r="AZ176" i="96"/>
  <c r="AY177" i="96"/>
  <c r="AZ177" i="96"/>
  <c r="AY178" i="96"/>
  <c r="AZ178" i="96"/>
  <c r="AY179" i="96"/>
  <c r="AZ179" i="96"/>
  <c r="AY180" i="96"/>
  <c r="AZ180" i="96"/>
  <c r="AY181" i="96"/>
  <c r="AZ181" i="96"/>
  <c r="AY182" i="96"/>
  <c r="AZ182" i="96"/>
  <c r="AY183" i="96"/>
  <c r="AZ183" i="96"/>
  <c r="AY184" i="96"/>
  <c r="AZ184" i="96"/>
  <c r="AY185" i="96"/>
  <c r="AZ185" i="96"/>
  <c r="AY186" i="96"/>
  <c r="AZ186" i="96"/>
  <c r="AY187" i="96"/>
  <c r="AZ187" i="96"/>
  <c r="AY188" i="96"/>
  <c r="AZ188" i="96"/>
  <c r="AY189" i="96"/>
  <c r="AZ189" i="96"/>
  <c r="AY190" i="96"/>
  <c r="AZ190" i="96"/>
  <c r="AY191" i="96"/>
  <c r="AZ191" i="96"/>
  <c r="AY192" i="96"/>
  <c r="AZ192" i="96"/>
  <c r="AY193" i="96"/>
  <c r="AZ193" i="96"/>
  <c r="AY194" i="96"/>
  <c r="AZ194" i="96"/>
  <c r="AY195" i="96"/>
  <c r="AZ195" i="96"/>
  <c r="AY196" i="96"/>
  <c r="AZ196" i="96"/>
  <c r="AY197" i="96"/>
  <c r="AZ197" i="96"/>
  <c r="AY198" i="96"/>
  <c r="AZ198" i="96"/>
  <c r="AY199" i="96"/>
  <c r="AZ199" i="96"/>
  <c r="AY200" i="96"/>
  <c r="AZ200" i="96"/>
  <c r="AY201" i="96"/>
  <c r="AZ201" i="96"/>
  <c r="AY202" i="96"/>
  <c r="AZ202" i="96"/>
  <c r="AY203" i="96"/>
  <c r="AZ203" i="96"/>
  <c r="AY204" i="96"/>
  <c r="AZ204" i="96"/>
  <c r="AY205" i="96"/>
  <c r="AZ205" i="96"/>
  <c r="AY206" i="96"/>
  <c r="AZ206" i="96"/>
  <c r="AY207" i="96"/>
  <c r="AZ207" i="96"/>
  <c r="AY208" i="96"/>
  <c r="AZ208" i="96"/>
  <c r="AY209" i="96"/>
  <c r="AZ209" i="96"/>
  <c r="AY210" i="96"/>
  <c r="AZ210" i="96"/>
  <c r="AY211" i="96"/>
  <c r="AZ211" i="96"/>
  <c r="AY212" i="96"/>
  <c r="AZ212" i="96"/>
  <c r="AY213" i="96"/>
  <c r="AZ213" i="96"/>
  <c r="AY214" i="96"/>
  <c r="AZ214" i="96"/>
  <c r="AY215" i="96"/>
  <c r="AZ215" i="96"/>
  <c r="AY216" i="96"/>
  <c r="AZ216" i="96"/>
  <c r="AY217" i="96"/>
  <c r="AZ217" i="96"/>
  <c r="AY218" i="96"/>
  <c r="AZ218" i="96"/>
  <c r="AY219" i="96"/>
  <c r="AZ219" i="96"/>
  <c r="AY220" i="96"/>
  <c r="AZ220" i="96"/>
  <c r="AY221" i="96"/>
  <c r="AZ221" i="96"/>
  <c r="AY222" i="96"/>
  <c r="AZ222" i="96"/>
  <c r="AY223" i="96"/>
  <c r="AZ223" i="96"/>
  <c r="AY224" i="96"/>
  <c r="AZ224" i="96"/>
  <c r="AY225" i="96"/>
  <c r="AZ225" i="96"/>
  <c r="AY226" i="96"/>
  <c r="AZ226" i="96"/>
  <c r="AY227" i="96"/>
  <c r="AZ227" i="96"/>
  <c r="AY228" i="96"/>
  <c r="AZ228" i="96"/>
  <c r="AY229" i="96"/>
  <c r="AZ229" i="96"/>
  <c r="AY230" i="96"/>
  <c r="AZ230" i="96"/>
  <c r="AY231" i="96"/>
  <c r="AZ231" i="96"/>
  <c r="AY232" i="96"/>
  <c r="AZ232" i="96"/>
  <c r="AY233" i="96"/>
  <c r="AZ233" i="96"/>
  <c r="AY234" i="96"/>
  <c r="AZ234" i="96"/>
  <c r="AY235" i="96"/>
  <c r="AZ235" i="96"/>
  <c r="AY236" i="96"/>
  <c r="AZ236" i="96"/>
  <c r="AY237" i="96"/>
  <c r="AZ237" i="96"/>
  <c r="AY238" i="96"/>
  <c r="AZ238" i="96"/>
  <c r="AY239" i="96"/>
  <c r="AZ239" i="96"/>
  <c r="AY240" i="96"/>
  <c r="AZ240" i="96"/>
  <c r="AY241" i="96"/>
  <c r="AZ241" i="96"/>
  <c r="AY242" i="96"/>
  <c r="AZ242" i="96"/>
  <c r="AY243" i="96"/>
  <c r="AZ243" i="96"/>
  <c r="AY244" i="96"/>
  <c r="AZ244" i="96"/>
  <c r="AY245" i="96"/>
  <c r="AZ245" i="96"/>
  <c r="AY246" i="96"/>
  <c r="AZ246" i="96"/>
  <c r="AY247" i="96"/>
  <c r="AZ247" i="96"/>
  <c r="AY248" i="96"/>
  <c r="AZ248" i="96"/>
  <c r="AY249" i="96"/>
  <c r="AZ249" i="96"/>
  <c r="AY250" i="96"/>
  <c r="AZ250" i="96"/>
  <c r="AY251" i="96"/>
  <c r="AZ251" i="96"/>
  <c r="AY252" i="96"/>
  <c r="AZ252" i="96"/>
  <c r="AY253" i="96"/>
  <c r="AZ253" i="96"/>
  <c r="AY254" i="96"/>
  <c r="AZ254" i="96"/>
  <c r="AY57" i="96"/>
  <c r="AZ57" i="96"/>
  <c r="AY58" i="96"/>
  <c r="AZ58" i="96"/>
  <c r="AY59" i="96"/>
  <c r="AZ59" i="96"/>
  <c r="AY60" i="96"/>
  <c r="AZ60" i="96"/>
  <c r="AY61" i="96"/>
  <c r="AZ61" i="96"/>
  <c r="AY62" i="96"/>
  <c r="AZ62" i="96"/>
  <c r="AY63" i="96"/>
  <c r="AZ63" i="96"/>
  <c r="AY64" i="96"/>
  <c r="AZ64" i="96"/>
  <c r="AY65" i="96"/>
  <c r="AZ65" i="96"/>
  <c r="AY66" i="96"/>
  <c r="AZ66" i="96"/>
  <c r="AY67" i="96"/>
  <c r="AZ67" i="96"/>
  <c r="AY68" i="96"/>
  <c r="AZ68" i="96"/>
  <c r="AY69" i="96"/>
  <c r="AZ69" i="96"/>
  <c r="AY70" i="96"/>
  <c r="AZ70" i="96"/>
  <c r="AY71" i="96"/>
  <c r="AZ71" i="96"/>
  <c r="AY72" i="96"/>
  <c r="AZ72" i="96"/>
  <c r="AY73" i="96"/>
  <c r="AZ73" i="96"/>
  <c r="AY74" i="96"/>
  <c r="AZ74" i="96"/>
  <c r="AY75" i="96"/>
  <c r="AZ75" i="96"/>
  <c r="AY76" i="96"/>
  <c r="AZ76" i="96"/>
  <c r="AY77" i="96"/>
  <c r="AZ77" i="96"/>
  <c r="AY78" i="96"/>
  <c r="AZ78" i="96"/>
  <c r="AY79" i="96"/>
  <c r="AZ79" i="96"/>
  <c r="AY80" i="96"/>
  <c r="AZ80" i="96"/>
  <c r="AY81" i="96"/>
  <c r="AZ81" i="96"/>
  <c r="AY82" i="96"/>
  <c r="AZ82" i="96"/>
  <c r="AY83" i="96"/>
  <c r="AZ83" i="96"/>
  <c r="AY84" i="96"/>
  <c r="AZ84" i="96"/>
  <c r="AY85" i="96"/>
  <c r="AZ85" i="96"/>
  <c r="AY86" i="96"/>
  <c r="AZ86" i="96"/>
  <c r="AY87" i="96"/>
  <c r="AZ87" i="96"/>
  <c r="AY88" i="96"/>
  <c r="AZ88" i="96"/>
  <c r="AY89" i="96"/>
  <c r="AZ89" i="96"/>
  <c r="AY90" i="96"/>
  <c r="AZ90" i="96"/>
  <c r="AY91" i="96"/>
  <c r="AZ91" i="96"/>
  <c r="AY92" i="96"/>
  <c r="AZ92" i="96"/>
  <c r="AY93" i="96"/>
  <c r="AZ93" i="96"/>
  <c r="AY94" i="96"/>
  <c r="AZ94" i="96"/>
  <c r="AY95" i="96"/>
  <c r="AZ95" i="96"/>
  <c r="AY96" i="96"/>
  <c r="AZ96" i="96"/>
  <c r="AY97" i="96"/>
  <c r="AZ97" i="96"/>
  <c r="AY98" i="96"/>
  <c r="AZ98" i="96"/>
  <c r="AY99" i="96"/>
  <c r="AZ99" i="96"/>
  <c r="AY100" i="96"/>
  <c r="AZ100" i="96"/>
  <c r="AY101" i="96"/>
  <c r="AZ101" i="96"/>
  <c r="AY102" i="96"/>
  <c r="AZ102" i="96"/>
  <c r="AY103" i="96"/>
  <c r="AZ103" i="96"/>
  <c r="AY104" i="96"/>
  <c r="AZ104" i="96"/>
  <c r="AY105" i="96"/>
  <c r="AZ105" i="96"/>
  <c r="AY106" i="96"/>
  <c r="AZ106" i="96"/>
  <c r="AY107" i="96"/>
  <c r="AZ107" i="96"/>
  <c r="AY108" i="96"/>
  <c r="AZ108" i="96"/>
  <c r="AY109" i="96"/>
  <c r="AZ109" i="96"/>
  <c r="AY110" i="96"/>
  <c r="AZ110" i="96"/>
  <c r="AY111" i="96"/>
  <c r="AZ111" i="96"/>
  <c r="AY112" i="96"/>
  <c r="AZ112" i="96"/>
  <c r="AY113" i="96"/>
  <c r="AZ113" i="96"/>
  <c r="AY114" i="96"/>
  <c r="AZ114" i="96"/>
  <c r="AY115" i="96"/>
  <c r="AZ115" i="96"/>
  <c r="AY116" i="96"/>
  <c r="AZ116" i="96"/>
  <c r="AY117" i="96"/>
  <c r="AZ117" i="96"/>
  <c r="AY118" i="96"/>
  <c r="AZ118" i="96"/>
  <c r="AY119" i="96"/>
  <c r="AZ119" i="96"/>
  <c r="AY120" i="96"/>
  <c r="AZ120" i="96"/>
  <c r="BB10" i="96" l="1"/>
  <c r="BB11" i="96" s="1"/>
  <c r="BB12" i="96" s="1"/>
  <c r="BB13" i="96" s="1"/>
  <c r="BB14" i="96" s="1"/>
  <c r="BB15" i="96" s="1"/>
  <c r="BB16" i="96" s="1"/>
  <c r="BB17" i="96" s="1"/>
  <c r="BB18" i="96" s="1"/>
  <c r="BB19" i="96" s="1"/>
  <c r="BB20" i="96" s="1"/>
  <c r="BB21" i="96" s="1"/>
  <c r="BB22" i="96" s="1"/>
  <c r="BB23" i="96" s="1"/>
  <c r="BB24" i="96" s="1"/>
  <c r="BB25" i="96" s="1"/>
  <c r="BB26" i="96" s="1"/>
  <c r="BB27" i="96" s="1"/>
  <c r="BB28" i="96" s="1"/>
  <c r="BB29" i="96" s="1"/>
  <c r="BB30" i="96" s="1"/>
  <c r="BB31" i="96" s="1"/>
  <c r="BB32" i="96" s="1"/>
  <c r="BB33" i="96" s="1"/>
  <c r="BB34" i="96" s="1"/>
  <c r="BB35" i="96" s="1"/>
  <c r="BB36" i="96" s="1"/>
  <c r="BB37" i="96" s="1"/>
  <c r="BB38" i="96" s="1"/>
  <c r="BB39" i="96" s="1"/>
  <c r="BB40" i="96" s="1"/>
  <c r="BB41" i="96" s="1"/>
  <c r="BB42" i="96" s="1"/>
  <c r="BB43" i="96" s="1"/>
  <c r="BB44" i="96" s="1"/>
  <c r="BB45" i="96" s="1"/>
  <c r="BB46" i="96" s="1"/>
  <c r="BB47" i="96" s="1"/>
  <c r="BB48" i="96" s="1"/>
  <c r="BB49" i="96" s="1"/>
  <c r="BB50" i="96" s="1"/>
  <c r="BB51" i="96" s="1"/>
  <c r="BB52" i="96" s="1"/>
  <c r="BB53" i="96" s="1"/>
  <c r="BB54" i="96" s="1"/>
  <c r="BB55" i="96" s="1"/>
  <c r="BB56" i="96" s="1"/>
  <c r="BB57" i="96" s="1"/>
  <c r="BB58" i="96" s="1"/>
  <c r="BB59" i="96" s="1"/>
  <c r="BB60" i="96" s="1"/>
  <c r="BB61" i="96" s="1"/>
  <c r="BB62" i="96" s="1"/>
  <c r="BB63" i="96" s="1"/>
  <c r="BB64" i="96" s="1"/>
  <c r="BB65" i="96" s="1"/>
  <c r="BB66" i="96" s="1"/>
  <c r="BB67" i="96" s="1"/>
  <c r="BB68" i="96" s="1"/>
  <c r="BB69" i="96" s="1"/>
  <c r="BB70" i="96" s="1"/>
  <c r="BB71" i="96" s="1"/>
  <c r="BB72" i="96" s="1"/>
  <c r="BB73" i="96" s="1"/>
  <c r="BB74" i="96" s="1"/>
  <c r="BB75" i="96" s="1"/>
  <c r="BB76" i="96" s="1"/>
  <c r="BB77" i="96" s="1"/>
  <c r="BB78" i="96" s="1"/>
  <c r="BB79" i="96" s="1"/>
  <c r="BB80" i="96" s="1"/>
  <c r="BB81" i="96" s="1"/>
  <c r="BB82" i="96" s="1"/>
  <c r="BB83" i="96" s="1"/>
  <c r="BB84" i="96" s="1"/>
  <c r="BB85" i="96" s="1"/>
  <c r="BB86" i="96" s="1"/>
  <c r="BB87" i="96" s="1"/>
  <c r="BB88" i="96" s="1"/>
  <c r="BB89" i="96" s="1"/>
  <c r="BB90" i="96" s="1"/>
  <c r="BB91" i="96" s="1"/>
  <c r="BB92" i="96" s="1"/>
  <c r="BB93" i="96" s="1"/>
  <c r="BB94" i="96" s="1"/>
  <c r="BB95" i="96" s="1"/>
  <c r="BB96" i="96" s="1"/>
  <c r="BB97" i="96" s="1"/>
  <c r="BB98" i="96" s="1"/>
  <c r="BB99" i="96" s="1"/>
  <c r="BB100" i="96" s="1"/>
  <c r="BB101" i="96" s="1"/>
  <c r="BB102" i="96" s="1"/>
  <c r="BB103" i="96" s="1"/>
  <c r="BB104" i="96" s="1"/>
  <c r="BB105" i="96" s="1"/>
  <c r="BB106" i="96" s="1"/>
  <c r="BB107" i="96" s="1"/>
  <c r="BB108" i="96" s="1"/>
  <c r="BB109" i="96" s="1"/>
  <c r="BB110" i="96" s="1"/>
  <c r="BB111" i="96" s="1"/>
  <c r="BB112" i="96" s="1"/>
  <c r="BB113" i="96" s="1"/>
  <c r="BB114" i="96" s="1"/>
  <c r="BB115" i="96" s="1"/>
  <c r="BB116" i="96" s="1"/>
  <c r="BB117" i="96" s="1"/>
  <c r="BB118" i="96" s="1"/>
  <c r="BB119" i="96" s="1"/>
  <c r="BB120" i="96" s="1"/>
  <c r="BB121" i="96" s="1"/>
  <c r="BB122" i="96" s="1"/>
  <c r="BB123" i="96" s="1"/>
  <c r="BB124" i="96" s="1"/>
  <c r="BB125" i="96" s="1"/>
  <c r="BB126" i="96" s="1"/>
  <c r="BB127" i="96" s="1"/>
  <c r="BB128" i="96" s="1"/>
  <c r="BB129" i="96" s="1"/>
  <c r="BB130" i="96" s="1"/>
  <c r="BB131" i="96" s="1"/>
  <c r="BB132" i="96" s="1"/>
  <c r="BB133" i="96" s="1"/>
  <c r="BB134" i="96" s="1"/>
  <c r="BB135" i="96" s="1"/>
  <c r="BB136" i="96" s="1"/>
  <c r="BB137" i="96" s="1"/>
  <c r="BB138" i="96" s="1"/>
  <c r="BB139" i="96" s="1"/>
  <c r="BB140" i="96" s="1"/>
  <c r="BB141" i="96" s="1"/>
  <c r="BB142" i="96" s="1"/>
  <c r="BB143" i="96" s="1"/>
  <c r="BB144" i="96" s="1"/>
  <c r="BB145" i="96" s="1"/>
  <c r="BB146" i="96" s="1"/>
  <c r="BB147" i="96" s="1"/>
  <c r="BB148" i="96" s="1"/>
  <c r="BB149" i="96" s="1"/>
  <c r="BB150" i="96" s="1"/>
  <c r="BB151" i="96" s="1"/>
  <c r="BB152" i="96" s="1"/>
  <c r="BB153" i="96" s="1"/>
  <c r="BB154" i="96" s="1"/>
  <c r="BB155" i="96" s="1"/>
  <c r="BB156" i="96" s="1"/>
  <c r="BB157" i="96" s="1"/>
  <c r="BB158" i="96" s="1"/>
  <c r="BB159" i="96" s="1"/>
  <c r="BB160" i="96" s="1"/>
  <c r="BB161" i="96" s="1"/>
  <c r="BB162" i="96" s="1"/>
  <c r="BB163" i="96" s="1"/>
  <c r="BB164" i="96" s="1"/>
  <c r="BB165" i="96" s="1"/>
  <c r="BB166" i="96" s="1"/>
  <c r="BB167" i="96" s="1"/>
  <c r="BB168" i="96" s="1"/>
  <c r="BB169" i="96" s="1"/>
  <c r="BB170" i="96" s="1"/>
  <c r="BB171" i="96" s="1"/>
  <c r="BB172" i="96" s="1"/>
  <c r="BB173" i="96" s="1"/>
  <c r="BB174" i="96" s="1"/>
  <c r="BB175" i="96" s="1"/>
  <c r="BB176" i="96" s="1"/>
  <c r="BB177" i="96" s="1"/>
  <c r="BB178" i="96" s="1"/>
  <c r="BB179" i="96" s="1"/>
  <c r="BB180" i="96" s="1"/>
  <c r="BB181" i="96" s="1"/>
  <c r="BB182" i="96" s="1"/>
  <c r="BB183" i="96" s="1"/>
  <c r="BB184" i="96" s="1"/>
  <c r="BB185" i="96" s="1"/>
  <c r="BB186" i="96" s="1"/>
  <c r="BB187" i="96" s="1"/>
  <c r="BB188" i="96" s="1"/>
  <c r="BB189" i="96" s="1"/>
  <c r="BB190" i="96" s="1"/>
  <c r="BB191" i="96" s="1"/>
  <c r="BB192" i="96" s="1"/>
  <c r="BB193" i="96" s="1"/>
  <c r="BB194" i="96" s="1"/>
  <c r="BB195" i="96" s="1"/>
  <c r="BB196" i="96" s="1"/>
  <c r="BB197" i="96" s="1"/>
  <c r="BB198" i="96" s="1"/>
  <c r="BB199" i="96" s="1"/>
  <c r="BB200" i="96" s="1"/>
  <c r="BB201" i="96" s="1"/>
  <c r="BB202" i="96" s="1"/>
  <c r="BB203" i="96" s="1"/>
  <c r="BB204" i="96" s="1"/>
  <c r="BB205" i="96" s="1"/>
  <c r="BB206" i="96" s="1"/>
  <c r="BB207" i="96" s="1"/>
  <c r="BB208" i="96" s="1"/>
  <c r="BB209" i="96" s="1"/>
  <c r="BB210" i="96" s="1"/>
  <c r="BB211" i="96" s="1"/>
  <c r="BB212" i="96" s="1"/>
  <c r="BB213" i="96" s="1"/>
  <c r="BB214" i="96" s="1"/>
  <c r="BB215" i="96" s="1"/>
  <c r="BB216" i="96" s="1"/>
  <c r="BB217" i="96" s="1"/>
  <c r="BB218" i="96" s="1"/>
  <c r="BB219" i="96" s="1"/>
  <c r="BB220" i="96" s="1"/>
  <c r="BB221" i="96" s="1"/>
  <c r="BB222" i="96" s="1"/>
  <c r="BB223" i="96" s="1"/>
  <c r="BB224" i="96" s="1"/>
  <c r="BB225" i="96" s="1"/>
  <c r="BB226" i="96" s="1"/>
  <c r="BB227" i="96" s="1"/>
  <c r="BB228" i="96" s="1"/>
  <c r="BB229" i="96" s="1"/>
  <c r="BB230" i="96" s="1"/>
  <c r="BB231" i="96" s="1"/>
  <c r="BB232" i="96" s="1"/>
  <c r="BB233" i="96" s="1"/>
  <c r="BB234" i="96" s="1"/>
  <c r="BB235" i="96" s="1"/>
  <c r="BB236" i="96" s="1"/>
  <c r="BB237" i="96" s="1"/>
  <c r="BB238" i="96" s="1"/>
  <c r="BB239" i="96" s="1"/>
  <c r="BB240" i="96" s="1"/>
  <c r="BB241" i="96" s="1"/>
  <c r="BB242" i="96" s="1"/>
  <c r="BB243" i="96" s="1"/>
  <c r="BB244" i="96" s="1"/>
  <c r="BB245" i="96" s="1"/>
  <c r="BB246" i="96" s="1"/>
  <c r="BB247" i="96" s="1"/>
  <c r="BB248" i="96" s="1"/>
  <c r="BB249" i="96" s="1"/>
  <c r="BB250" i="96" s="1"/>
  <c r="BB251" i="96" s="1"/>
  <c r="BB252" i="96" s="1"/>
  <c r="BB253" i="96" s="1"/>
  <c r="BB254" i="96" s="1"/>
  <c r="BB255" i="96" s="1"/>
  <c r="BB256" i="96" s="1"/>
  <c r="BB257" i="96" s="1"/>
  <c r="BB258" i="96" s="1"/>
  <c r="BB259" i="96" s="1"/>
  <c r="BB260" i="96" s="1"/>
  <c r="BB261" i="96" s="1"/>
  <c r="BB262" i="96" s="1"/>
  <c r="BB263" i="96" s="1"/>
  <c r="BB264" i="96" s="1"/>
  <c r="BB265" i="96" s="1"/>
  <c r="BB266" i="96" s="1"/>
  <c r="BB267" i="96" s="1"/>
  <c r="BB268" i="96" s="1"/>
  <c r="BB269" i="96" s="1"/>
  <c r="BB270" i="96" s="1"/>
  <c r="BB271" i="96" s="1"/>
  <c r="BB272" i="96" s="1"/>
  <c r="BB273" i="96" s="1"/>
  <c r="BB274" i="96" s="1"/>
  <c r="BB275" i="96" s="1"/>
  <c r="BB276" i="96" s="1"/>
  <c r="BB277" i="96" s="1"/>
  <c r="BB278" i="96" s="1"/>
  <c r="BB279" i="96" s="1"/>
  <c r="BB280" i="96" s="1"/>
  <c r="BB281" i="96" s="1"/>
  <c r="BB282" i="96" s="1"/>
  <c r="BB283" i="96" s="1"/>
  <c r="BB284" i="96" s="1"/>
  <c r="BB285" i="96" s="1"/>
  <c r="BB286" i="96" s="1"/>
  <c r="BB287" i="96" s="1"/>
  <c r="BB288" i="96" s="1"/>
  <c r="BB289" i="96" s="1"/>
  <c r="BB290" i="96" s="1"/>
  <c r="BB291" i="96" s="1"/>
  <c r="BB292" i="96" s="1"/>
  <c r="BB293" i="96" s="1"/>
  <c r="BB294" i="96" s="1"/>
  <c r="BB295" i="96" s="1"/>
  <c r="BB296" i="96" s="1"/>
  <c r="BB297" i="96" s="1"/>
  <c r="BB298" i="96" s="1"/>
  <c r="BB299" i="96" s="1"/>
  <c r="BB300" i="96" s="1"/>
  <c r="BB301" i="96" s="1"/>
  <c r="BB302" i="96" s="1"/>
  <c r="BB303" i="96" s="1"/>
  <c r="BB304" i="96" s="1"/>
  <c r="BB305" i="96" s="1"/>
  <c r="BB306" i="96" s="1"/>
  <c r="BB307" i="96" s="1"/>
  <c r="BB308" i="96" s="1"/>
  <c r="BB309" i="96" s="1"/>
  <c r="BC10" i="96"/>
  <c r="BC11" i="96" s="1"/>
  <c r="BC12" i="96" s="1"/>
  <c r="BC13" i="96" s="1"/>
  <c r="BC14" i="96" s="1"/>
  <c r="BC15" i="96" s="1"/>
  <c r="BC16" i="96" s="1"/>
  <c r="BC17" i="96" s="1"/>
  <c r="BC18" i="96" s="1"/>
  <c r="BC19" i="96" s="1"/>
  <c r="BC20" i="96" s="1"/>
  <c r="BC21" i="96" s="1"/>
  <c r="BC22" i="96" s="1"/>
  <c r="BC23" i="96" s="1"/>
  <c r="BC24" i="96" s="1"/>
  <c r="BC25" i="96" s="1"/>
  <c r="BC26" i="96" s="1"/>
  <c r="BC27" i="96" s="1"/>
  <c r="BC28" i="96" s="1"/>
  <c r="BC29" i="96" s="1"/>
  <c r="BC30" i="96" s="1"/>
  <c r="BC31" i="96" s="1"/>
  <c r="BC32" i="96" s="1"/>
  <c r="BC33" i="96" s="1"/>
  <c r="BC34" i="96" s="1"/>
  <c r="BC35" i="96" s="1"/>
  <c r="BC36" i="96" s="1"/>
  <c r="BC37" i="96" s="1"/>
  <c r="BC38" i="96" s="1"/>
  <c r="BC39" i="96" s="1"/>
  <c r="BC40" i="96" s="1"/>
  <c r="BC41" i="96" s="1"/>
  <c r="BC42" i="96" s="1"/>
  <c r="BC43" i="96" s="1"/>
  <c r="BC44" i="96" s="1"/>
  <c r="BC45" i="96" s="1"/>
  <c r="BC46" i="96" s="1"/>
  <c r="BC47" i="96" s="1"/>
  <c r="BC48" i="96" s="1"/>
  <c r="BC49" i="96" s="1"/>
  <c r="BC50" i="96" s="1"/>
  <c r="BC51" i="96" s="1"/>
  <c r="BC52" i="96" s="1"/>
  <c r="BC53" i="96" s="1"/>
  <c r="BC54" i="96" s="1"/>
  <c r="BC55" i="96" s="1"/>
  <c r="BC56" i="96" s="1"/>
  <c r="BC57" i="96" s="1"/>
  <c r="BC58" i="96" s="1"/>
  <c r="BC59" i="96" s="1"/>
  <c r="BC60" i="96" s="1"/>
  <c r="BC61" i="96" s="1"/>
  <c r="BC62" i="96" s="1"/>
  <c r="BC63" i="96" s="1"/>
  <c r="BC64" i="96" s="1"/>
  <c r="BC65" i="96" s="1"/>
  <c r="BC66" i="96" s="1"/>
  <c r="BC67" i="96" s="1"/>
  <c r="BC68" i="96" s="1"/>
  <c r="BC69" i="96" s="1"/>
  <c r="BC70" i="96" s="1"/>
  <c r="BC71" i="96" s="1"/>
  <c r="BC72" i="96" s="1"/>
  <c r="BC73" i="96" s="1"/>
  <c r="BC74" i="96" s="1"/>
  <c r="BC75" i="96" s="1"/>
  <c r="BC76" i="96" s="1"/>
  <c r="BC77" i="96" s="1"/>
  <c r="BC78" i="96" s="1"/>
  <c r="BC79" i="96" s="1"/>
  <c r="BC80" i="96" s="1"/>
  <c r="BC81" i="96" s="1"/>
  <c r="BC82" i="96" s="1"/>
  <c r="BC83" i="96" s="1"/>
  <c r="BC84" i="96" s="1"/>
  <c r="BC85" i="96" s="1"/>
  <c r="BC86" i="96" s="1"/>
  <c r="BC87" i="96" s="1"/>
  <c r="BC88" i="96" s="1"/>
  <c r="BC89" i="96" s="1"/>
  <c r="BC90" i="96" s="1"/>
  <c r="BC91" i="96" s="1"/>
  <c r="BC92" i="96" s="1"/>
  <c r="BC93" i="96" s="1"/>
  <c r="BC94" i="96" s="1"/>
  <c r="BC95" i="96" s="1"/>
  <c r="BC96" i="96" s="1"/>
  <c r="BC97" i="96" s="1"/>
  <c r="BC98" i="96" s="1"/>
  <c r="BC99" i="96" s="1"/>
  <c r="BC100" i="96" s="1"/>
  <c r="BC101" i="96" s="1"/>
  <c r="BC102" i="96" s="1"/>
  <c r="BC103" i="96" s="1"/>
  <c r="BC104" i="96" s="1"/>
  <c r="BC105" i="96" s="1"/>
  <c r="BC106" i="96" s="1"/>
  <c r="BC107" i="96" s="1"/>
  <c r="BC108" i="96" s="1"/>
  <c r="BC109" i="96" s="1"/>
  <c r="BC110" i="96" s="1"/>
  <c r="BC111" i="96" s="1"/>
  <c r="BC112" i="96" s="1"/>
  <c r="BC113" i="96" s="1"/>
  <c r="BC114" i="96" s="1"/>
  <c r="BC115" i="96" s="1"/>
  <c r="BC116" i="96" s="1"/>
  <c r="BC117" i="96" s="1"/>
  <c r="BC118" i="96" s="1"/>
  <c r="BC119" i="96" s="1"/>
  <c r="BC120" i="96" s="1"/>
  <c r="BC121" i="96" s="1"/>
  <c r="BC122" i="96" s="1"/>
  <c r="BC123" i="96" s="1"/>
  <c r="BC124" i="96" s="1"/>
  <c r="BC125" i="96" s="1"/>
  <c r="BC126" i="96" s="1"/>
  <c r="BC127" i="96" s="1"/>
  <c r="BC128" i="96" s="1"/>
  <c r="BC129" i="96" s="1"/>
  <c r="BC130" i="96" s="1"/>
  <c r="BC131" i="96" s="1"/>
  <c r="BC132" i="96" s="1"/>
  <c r="BC133" i="96" s="1"/>
  <c r="BC134" i="96" s="1"/>
  <c r="BC135" i="96" s="1"/>
  <c r="BC136" i="96" s="1"/>
  <c r="BC137" i="96" s="1"/>
  <c r="BC138" i="96" s="1"/>
  <c r="BC139" i="96" s="1"/>
  <c r="BC140" i="96" s="1"/>
  <c r="BC141" i="96" s="1"/>
  <c r="BC142" i="96" s="1"/>
  <c r="BC143" i="96" s="1"/>
  <c r="BC144" i="96" s="1"/>
  <c r="BC145" i="96" s="1"/>
  <c r="BC146" i="96" s="1"/>
  <c r="BC147" i="96" s="1"/>
  <c r="BC148" i="96" s="1"/>
  <c r="BC149" i="96" s="1"/>
  <c r="BC150" i="96" s="1"/>
  <c r="BC151" i="96" s="1"/>
  <c r="BC152" i="96" s="1"/>
  <c r="BC153" i="96" s="1"/>
  <c r="BC154" i="96" s="1"/>
  <c r="BC155" i="96" s="1"/>
  <c r="BC156" i="96" s="1"/>
  <c r="BC157" i="96" s="1"/>
  <c r="BC158" i="96" s="1"/>
  <c r="BC159" i="96" s="1"/>
  <c r="BC160" i="96" s="1"/>
  <c r="BC161" i="96" s="1"/>
  <c r="BC162" i="96" s="1"/>
  <c r="BC163" i="96" s="1"/>
  <c r="BC164" i="96" s="1"/>
  <c r="BC165" i="96" s="1"/>
  <c r="BC166" i="96" s="1"/>
  <c r="BC167" i="96" s="1"/>
  <c r="BC168" i="96" s="1"/>
  <c r="BC169" i="96" s="1"/>
  <c r="BC170" i="96" s="1"/>
  <c r="BC171" i="96" s="1"/>
  <c r="BC172" i="96" s="1"/>
  <c r="BC173" i="96" s="1"/>
  <c r="BC174" i="96" s="1"/>
  <c r="BC175" i="96" s="1"/>
  <c r="BC176" i="96" s="1"/>
  <c r="BC177" i="96" s="1"/>
  <c r="BC178" i="96" s="1"/>
  <c r="BC179" i="96" s="1"/>
  <c r="BC180" i="96" s="1"/>
  <c r="BC181" i="96" s="1"/>
  <c r="BC182" i="96" s="1"/>
  <c r="BC183" i="96" s="1"/>
  <c r="BC184" i="96" s="1"/>
  <c r="BC185" i="96" s="1"/>
  <c r="BC186" i="96" s="1"/>
  <c r="BC187" i="96" s="1"/>
  <c r="BC188" i="96" s="1"/>
  <c r="BC189" i="96" s="1"/>
  <c r="BC190" i="96" s="1"/>
  <c r="BC191" i="96" s="1"/>
  <c r="BC192" i="96" s="1"/>
  <c r="BC193" i="96" s="1"/>
  <c r="BC194" i="96" s="1"/>
  <c r="BC195" i="96" s="1"/>
  <c r="BC196" i="96" s="1"/>
  <c r="BC197" i="96" s="1"/>
  <c r="BC198" i="96" s="1"/>
  <c r="BC199" i="96" s="1"/>
  <c r="BC200" i="96" s="1"/>
  <c r="BC201" i="96" s="1"/>
  <c r="BC202" i="96" s="1"/>
  <c r="BC203" i="96" s="1"/>
  <c r="BC204" i="96" s="1"/>
  <c r="BC205" i="96" s="1"/>
  <c r="BC206" i="96" s="1"/>
  <c r="BC207" i="96" s="1"/>
  <c r="BC208" i="96" s="1"/>
  <c r="BC209" i="96" s="1"/>
  <c r="BC210" i="96" s="1"/>
  <c r="BC211" i="96" s="1"/>
  <c r="BC212" i="96" s="1"/>
  <c r="BC213" i="96" s="1"/>
  <c r="BC214" i="96" s="1"/>
  <c r="BC215" i="96" s="1"/>
  <c r="BC216" i="96" s="1"/>
  <c r="BC217" i="96" s="1"/>
  <c r="BC218" i="96" s="1"/>
  <c r="BC219" i="96" s="1"/>
  <c r="BC220" i="96" s="1"/>
  <c r="BC221" i="96" s="1"/>
  <c r="BC222" i="96" s="1"/>
  <c r="BC223" i="96" s="1"/>
  <c r="BC224" i="96" s="1"/>
  <c r="BC225" i="96" s="1"/>
  <c r="BC226" i="96" s="1"/>
  <c r="BC227" i="96" s="1"/>
  <c r="BC228" i="96" s="1"/>
  <c r="BC229" i="96" s="1"/>
  <c r="BC230" i="96" s="1"/>
  <c r="BC231" i="96" s="1"/>
  <c r="BC232" i="96" s="1"/>
  <c r="BC233" i="96" s="1"/>
  <c r="BC234" i="96" s="1"/>
  <c r="BC235" i="96" s="1"/>
  <c r="BC236" i="96" s="1"/>
  <c r="BC237" i="96" s="1"/>
  <c r="BC238" i="96" s="1"/>
  <c r="BC239" i="96" s="1"/>
  <c r="BC240" i="96" s="1"/>
  <c r="BC241" i="96" s="1"/>
  <c r="BC242" i="96" s="1"/>
  <c r="BC243" i="96" s="1"/>
  <c r="BC244" i="96" s="1"/>
  <c r="BC245" i="96" s="1"/>
  <c r="BC246" i="96" s="1"/>
  <c r="BC247" i="96" s="1"/>
  <c r="BC248" i="96" s="1"/>
  <c r="BC249" i="96" s="1"/>
  <c r="BC250" i="96" s="1"/>
  <c r="BC251" i="96" s="1"/>
  <c r="BC252" i="96" s="1"/>
  <c r="BC253" i="96" s="1"/>
  <c r="BC254" i="96" s="1"/>
  <c r="BC255" i="96" s="1"/>
  <c r="BC256" i="96" s="1"/>
  <c r="BC257" i="96" s="1"/>
  <c r="BC258" i="96" s="1"/>
  <c r="BC259" i="96" s="1"/>
  <c r="BC260" i="96" s="1"/>
  <c r="BC261" i="96" s="1"/>
  <c r="BC262" i="96" s="1"/>
  <c r="BC263" i="96" s="1"/>
  <c r="BC264" i="96" s="1"/>
  <c r="BC265" i="96" s="1"/>
  <c r="BC266" i="96" s="1"/>
  <c r="BC267" i="96" s="1"/>
  <c r="BC268" i="96" s="1"/>
  <c r="BC269" i="96" s="1"/>
  <c r="BC270" i="96" s="1"/>
  <c r="BC271" i="96" s="1"/>
  <c r="BC272" i="96" s="1"/>
  <c r="BC273" i="96" s="1"/>
  <c r="BC274" i="96" s="1"/>
  <c r="BC275" i="96" s="1"/>
  <c r="BC276" i="96" s="1"/>
  <c r="BC277" i="96" s="1"/>
  <c r="BC278" i="96" s="1"/>
  <c r="BC279" i="96" s="1"/>
  <c r="BC280" i="96" s="1"/>
  <c r="BC281" i="96" s="1"/>
  <c r="BC282" i="96" s="1"/>
  <c r="BC283" i="96" s="1"/>
  <c r="BC284" i="96" s="1"/>
  <c r="BC285" i="96" s="1"/>
  <c r="BC286" i="96" s="1"/>
  <c r="BC287" i="96" s="1"/>
  <c r="BC288" i="96" s="1"/>
  <c r="BC289" i="96" s="1"/>
  <c r="BC290" i="96" s="1"/>
  <c r="BC291" i="96" s="1"/>
  <c r="BC292" i="96" s="1"/>
  <c r="BC293" i="96" s="1"/>
  <c r="BC294" i="96" s="1"/>
  <c r="BC295" i="96" s="1"/>
  <c r="BC296" i="96" s="1"/>
  <c r="BC297" i="96" s="1"/>
  <c r="BC298" i="96" s="1"/>
  <c r="BC299" i="96" s="1"/>
  <c r="BC300" i="96" s="1"/>
  <c r="BC301" i="96" s="1"/>
  <c r="BC302" i="96" s="1"/>
  <c r="BC303" i="96" s="1"/>
  <c r="BC304" i="96" s="1"/>
  <c r="BC305" i="96" s="1"/>
  <c r="BC306" i="96" s="1"/>
  <c r="BC307" i="96" s="1"/>
  <c r="BC308" i="96" s="1"/>
  <c r="BC309" i="96" s="1"/>
  <c r="BD10" i="96"/>
  <c r="BD11" i="96" s="1"/>
  <c r="BE10" i="96"/>
  <c r="BA10" i="96"/>
  <c r="BA11" i="96" s="1"/>
  <c r="BA12" i="96" s="1"/>
  <c r="BA13" i="96" s="1"/>
  <c r="BA14" i="96" s="1"/>
  <c r="BA15" i="96" s="1"/>
  <c r="BA16" i="96" s="1"/>
  <c r="BA17" i="96" s="1"/>
  <c r="BA18" i="96" s="1"/>
  <c r="BA19" i="96" s="1"/>
  <c r="BA20" i="96" s="1"/>
  <c r="BA21" i="96" s="1"/>
  <c r="BA22" i="96" s="1"/>
  <c r="BA23" i="96" s="1"/>
  <c r="BA24" i="96" s="1"/>
  <c r="BA25" i="96" s="1"/>
  <c r="BA26" i="96" s="1"/>
  <c r="BA27" i="96" s="1"/>
  <c r="BA28" i="96" s="1"/>
  <c r="BA29" i="96" s="1"/>
  <c r="BA30" i="96" s="1"/>
  <c r="BA31" i="96" s="1"/>
  <c r="BA32" i="96" s="1"/>
  <c r="BA33" i="96" s="1"/>
  <c r="BA34" i="96" s="1"/>
  <c r="BA35" i="96" s="1"/>
  <c r="BA36" i="96" s="1"/>
  <c r="BA37" i="96" s="1"/>
  <c r="BA38" i="96" s="1"/>
  <c r="BA39" i="96" s="1"/>
  <c r="BA40" i="96" s="1"/>
  <c r="BA41" i="96" s="1"/>
  <c r="BA42" i="96" s="1"/>
  <c r="BA43" i="96" s="1"/>
  <c r="BA44" i="96" s="1"/>
  <c r="BA45" i="96" s="1"/>
  <c r="BA46" i="96" s="1"/>
  <c r="BA47" i="96" s="1"/>
  <c r="BA48" i="96" s="1"/>
  <c r="BA49" i="96" s="1"/>
  <c r="BA50" i="96" s="1"/>
  <c r="BA51" i="96" s="1"/>
  <c r="BA52" i="96" s="1"/>
  <c r="BA53" i="96" s="1"/>
  <c r="BA54" i="96" s="1"/>
  <c r="BA55" i="96" s="1"/>
  <c r="BA56" i="96" s="1"/>
  <c r="BA57" i="96" s="1"/>
  <c r="BA58" i="96" s="1"/>
  <c r="BA59" i="96" s="1"/>
  <c r="BA60" i="96" s="1"/>
  <c r="BA61" i="96" s="1"/>
  <c r="BA62" i="96" s="1"/>
  <c r="BA63" i="96" s="1"/>
  <c r="BA64" i="96" s="1"/>
  <c r="BA65" i="96" s="1"/>
  <c r="BA66" i="96" s="1"/>
  <c r="BA67" i="96" s="1"/>
  <c r="BA68" i="96" s="1"/>
  <c r="BA69" i="96" s="1"/>
  <c r="BA70" i="96" s="1"/>
  <c r="BA71" i="96" s="1"/>
  <c r="BA72" i="96" s="1"/>
  <c r="BA73" i="96" s="1"/>
  <c r="BA74" i="96" s="1"/>
  <c r="BA75" i="96" s="1"/>
  <c r="BA76" i="96" s="1"/>
  <c r="BA77" i="96" s="1"/>
  <c r="BA78" i="96" s="1"/>
  <c r="BA79" i="96" s="1"/>
  <c r="BA80" i="96" s="1"/>
  <c r="BA81" i="96" s="1"/>
  <c r="BA82" i="96" s="1"/>
  <c r="BA83" i="96" s="1"/>
  <c r="BA84" i="96" s="1"/>
  <c r="BA85" i="96" s="1"/>
  <c r="BA86" i="96" s="1"/>
  <c r="BA87" i="96" s="1"/>
  <c r="BA88" i="96" s="1"/>
  <c r="BA89" i="96" s="1"/>
  <c r="BA90" i="96" s="1"/>
  <c r="BA91" i="96" s="1"/>
  <c r="BA92" i="96" s="1"/>
  <c r="BA93" i="96" s="1"/>
  <c r="BA94" i="96" s="1"/>
  <c r="BA95" i="96" s="1"/>
  <c r="BA96" i="96" s="1"/>
  <c r="BA97" i="96" s="1"/>
  <c r="BA98" i="96" s="1"/>
  <c r="BA99" i="96" s="1"/>
  <c r="BA100" i="96" s="1"/>
  <c r="BA101" i="96" s="1"/>
  <c r="BA102" i="96" s="1"/>
  <c r="BA103" i="96" s="1"/>
  <c r="BA104" i="96" s="1"/>
  <c r="BA105" i="96" s="1"/>
  <c r="BA106" i="96" s="1"/>
  <c r="BA107" i="96" s="1"/>
  <c r="BA108" i="96" s="1"/>
  <c r="BA109" i="96" s="1"/>
  <c r="BA110" i="96" s="1"/>
  <c r="BA111" i="96" s="1"/>
  <c r="BA112" i="96" s="1"/>
  <c r="BA113" i="96" s="1"/>
  <c r="BA114" i="96" s="1"/>
  <c r="BA115" i="96" s="1"/>
  <c r="BA116" i="96" s="1"/>
  <c r="BA117" i="96" s="1"/>
  <c r="BA118" i="96" s="1"/>
  <c r="BA119" i="96" s="1"/>
  <c r="BA120" i="96" s="1"/>
  <c r="BA121" i="96" s="1"/>
  <c r="BA122" i="96" s="1"/>
  <c r="BA123" i="96" s="1"/>
  <c r="BA124" i="96" s="1"/>
  <c r="BA125" i="96" s="1"/>
  <c r="BA126" i="96" s="1"/>
  <c r="BA127" i="96" s="1"/>
  <c r="BA128" i="96" s="1"/>
  <c r="BA129" i="96" s="1"/>
  <c r="BA130" i="96" s="1"/>
  <c r="BA131" i="96" s="1"/>
  <c r="BA132" i="96" s="1"/>
  <c r="BA133" i="96" s="1"/>
  <c r="BA134" i="96" s="1"/>
  <c r="BA135" i="96" s="1"/>
  <c r="BA136" i="96" s="1"/>
  <c r="BA137" i="96" s="1"/>
  <c r="BA138" i="96" s="1"/>
  <c r="BA139" i="96" s="1"/>
  <c r="BA140" i="96" s="1"/>
  <c r="BA141" i="96" s="1"/>
  <c r="BA142" i="96" s="1"/>
  <c r="BA143" i="96" s="1"/>
  <c r="BA144" i="96" s="1"/>
  <c r="BA145" i="96" s="1"/>
  <c r="BA146" i="96" s="1"/>
  <c r="BA147" i="96" s="1"/>
  <c r="BA148" i="96" s="1"/>
  <c r="BA149" i="96" s="1"/>
  <c r="BA150" i="96" s="1"/>
  <c r="BA151" i="96" s="1"/>
  <c r="BA152" i="96" s="1"/>
  <c r="BA153" i="96" s="1"/>
  <c r="BA154" i="96" s="1"/>
  <c r="BA155" i="96" s="1"/>
  <c r="BA156" i="96" s="1"/>
  <c r="BA157" i="96" s="1"/>
  <c r="BA158" i="96" s="1"/>
  <c r="BA159" i="96" s="1"/>
  <c r="BA160" i="96" s="1"/>
  <c r="BA161" i="96" s="1"/>
  <c r="BA162" i="96" s="1"/>
  <c r="BA163" i="96" s="1"/>
  <c r="BA164" i="96" s="1"/>
  <c r="BA165" i="96" s="1"/>
  <c r="BA166" i="96" s="1"/>
  <c r="BA167" i="96" s="1"/>
  <c r="BA168" i="96" s="1"/>
  <c r="BA169" i="96" s="1"/>
  <c r="BA170" i="96" s="1"/>
  <c r="BA171" i="96" s="1"/>
  <c r="BA172" i="96" s="1"/>
  <c r="BA173" i="96" s="1"/>
  <c r="BA174" i="96" s="1"/>
  <c r="BA175" i="96" s="1"/>
  <c r="BA176" i="96" s="1"/>
  <c r="BA177" i="96" s="1"/>
  <c r="BA178" i="96" s="1"/>
  <c r="BA179" i="96" s="1"/>
  <c r="BA180" i="96" s="1"/>
  <c r="BA181" i="96" s="1"/>
  <c r="BA182" i="96" s="1"/>
  <c r="BA183" i="96" s="1"/>
  <c r="BA184" i="96" s="1"/>
  <c r="BA185" i="96" s="1"/>
  <c r="BA186" i="96" s="1"/>
  <c r="BA187" i="96" s="1"/>
  <c r="BA188" i="96" s="1"/>
  <c r="BA189" i="96" s="1"/>
  <c r="BA190" i="96" s="1"/>
  <c r="BA191" i="96" s="1"/>
  <c r="BA192" i="96" s="1"/>
  <c r="BA193" i="96" s="1"/>
  <c r="BA194" i="96" s="1"/>
  <c r="BA195" i="96" s="1"/>
  <c r="BA196" i="96" s="1"/>
  <c r="BA197" i="96" s="1"/>
  <c r="BA198" i="96" s="1"/>
  <c r="BA199" i="96" s="1"/>
  <c r="BA200" i="96" s="1"/>
  <c r="BA201" i="96" s="1"/>
  <c r="BA202" i="96" s="1"/>
  <c r="BA203" i="96" s="1"/>
  <c r="BA204" i="96" s="1"/>
  <c r="BA205" i="96" s="1"/>
  <c r="BA206" i="96" s="1"/>
  <c r="BA207" i="96" s="1"/>
  <c r="BA208" i="96" s="1"/>
  <c r="BA209" i="96" s="1"/>
  <c r="BA210" i="96" s="1"/>
  <c r="BA211" i="96" s="1"/>
  <c r="BA212" i="96" s="1"/>
  <c r="BA213" i="96" s="1"/>
  <c r="BA214" i="96" s="1"/>
  <c r="BA215" i="96" s="1"/>
  <c r="BA216" i="96" s="1"/>
  <c r="BA217" i="96" s="1"/>
  <c r="BA218" i="96" s="1"/>
  <c r="BA219" i="96" s="1"/>
  <c r="BA220" i="96" s="1"/>
  <c r="BA221" i="96" s="1"/>
  <c r="BA222" i="96" s="1"/>
  <c r="BA223" i="96" s="1"/>
  <c r="BA224" i="96" s="1"/>
  <c r="BA225" i="96" s="1"/>
  <c r="BA226" i="96" s="1"/>
  <c r="BA227" i="96" s="1"/>
  <c r="BA228" i="96" s="1"/>
  <c r="BA229" i="96" s="1"/>
  <c r="BA230" i="96" s="1"/>
  <c r="BA231" i="96" s="1"/>
  <c r="BA232" i="96" s="1"/>
  <c r="BA233" i="96" s="1"/>
  <c r="BA234" i="96" s="1"/>
  <c r="BA235" i="96" s="1"/>
  <c r="BA236" i="96" s="1"/>
  <c r="BA237" i="96" s="1"/>
  <c r="BA238" i="96" s="1"/>
  <c r="BA239" i="96" s="1"/>
  <c r="BA240" i="96" s="1"/>
  <c r="BA241" i="96" s="1"/>
  <c r="BA242" i="96" s="1"/>
  <c r="BA243" i="96" s="1"/>
  <c r="BA244" i="96" s="1"/>
  <c r="BA245" i="96" s="1"/>
  <c r="BA246" i="96" s="1"/>
  <c r="BA247" i="96" s="1"/>
  <c r="BA248" i="96" s="1"/>
  <c r="BA249" i="96" s="1"/>
  <c r="BA250" i="96" s="1"/>
  <c r="BA251" i="96" s="1"/>
  <c r="BA252" i="96" s="1"/>
  <c r="BA253" i="96" s="1"/>
  <c r="BA254" i="96" s="1"/>
  <c r="BA255" i="96" s="1"/>
  <c r="BA256" i="96" s="1"/>
  <c r="BA257" i="96" s="1"/>
  <c r="BA258" i="96" s="1"/>
  <c r="BA259" i="96" s="1"/>
  <c r="BA260" i="96" s="1"/>
  <c r="BA261" i="96" s="1"/>
  <c r="BA262" i="96" s="1"/>
  <c r="BA263" i="96" s="1"/>
  <c r="BA264" i="96" s="1"/>
  <c r="BA265" i="96" s="1"/>
  <c r="BA266" i="96" s="1"/>
  <c r="BA267" i="96" s="1"/>
  <c r="BA268" i="96" s="1"/>
  <c r="BA269" i="96" s="1"/>
  <c r="BA270" i="96" s="1"/>
  <c r="BA271" i="96" s="1"/>
  <c r="BA272" i="96" s="1"/>
  <c r="BA273" i="96" s="1"/>
  <c r="BA274" i="96" s="1"/>
  <c r="BA275" i="96" s="1"/>
  <c r="BA276" i="96" s="1"/>
  <c r="BA277" i="96" s="1"/>
  <c r="BA278" i="96" s="1"/>
  <c r="BA279" i="96" s="1"/>
  <c r="BA280" i="96" s="1"/>
  <c r="BA281" i="96" s="1"/>
  <c r="BA282" i="96" s="1"/>
  <c r="BA283" i="96" s="1"/>
  <c r="BA284" i="96" s="1"/>
  <c r="BA285" i="96" s="1"/>
  <c r="BA286" i="96" s="1"/>
  <c r="BA287" i="96" s="1"/>
  <c r="BA288" i="96" s="1"/>
  <c r="BA289" i="96" s="1"/>
  <c r="BA290" i="96" s="1"/>
  <c r="BA291" i="96" s="1"/>
  <c r="BA292" i="96" s="1"/>
  <c r="BA293" i="96" s="1"/>
  <c r="BA294" i="96" s="1"/>
  <c r="BA295" i="96" s="1"/>
  <c r="BA296" i="96" s="1"/>
  <c r="BA297" i="96" s="1"/>
  <c r="BA298" i="96" s="1"/>
  <c r="BA299" i="96" s="1"/>
  <c r="BA300" i="96" s="1"/>
  <c r="BA301" i="96" s="1"/>
  <c r="BA302" i="96" s="1"/>
  <c r="BA303" i="96" s="1"/>
  <c r="BA304" i="96" s="1"/>
  <c r="BA305" i="96" s="1"/>
  <c r="BA306" i="96" s="1"/>
  <c r="BA307" i="96" s="1"/>
  <c r="BA308" i="96" s="1"/>
  <c r="BA309" i="96" s="1"/>
  <c r="AZ16" i="96"/>
  <c r="AZ17" i="96"/>
  <c r="AZ18" i="96"/>
  <c r="AZ19" i="96"/>
  <c r="AZ20" i="96"/>
  <c r="AZ21" i="96"/>
  <c r="AZ22" i="96"/>
  <c r="AZ23" i="96"/>
  <c r="AZ24" i="96"/>
  <c r="AZ25" i="96"/>
  <c r="AZ26" i="96"/>
  <c r="AZ27" i="96"/>
  <c r="AZ28" i="96"/>
  <c r="AZ29" i="96"/>
  <c r="AZ30" i="96"/>
  <c r="AZ31" i="96"/>
  <c r="AZ32" i="96"/>
  <c r="AZ33" i="96"/>
  <c r="AZ34" i="96"/>
  <c r="AZ35" i="96"/>
  <c r="AZ36" i="96"/>
  <c r="AZ37" i="96"/>
  <c r="AZ38" i="96"/>
  <c r="AZ39" i="96"/>
  <c r="AZ40" i="96"/>
  <c r="AZ41" i="96"/>
  <c r="AZ42" i="96"/>
  <c r="AZ43" i="96"/>
  <c r="AZ44" i="96"/>
  <c r="AZ45" i="96"/>
  <c r="AZ46" i="96"/>
  <c r="AZ47" i="96"/>
  <c r="AZ48" i="96"/>
  <c r="AZ49" i="96"/>
  <c r="AZ50" i="96"/>
  <c r="AZ51" i="96"/>
  <c r="AZ52" i="96"/>
  <c r="AZ53" i="96"/>
  <c r="AZ54" i="96"/>
  <c r="AZ55" i="96"/>
  <c r="AZ56" i="96"/>
  <c r="AZ15" i="96"/>
  <c r="AY14" i="96"/>
  <c r="AY15" i="96"/>
  <c r="AY16" i="96"/>
  <c r="AY17" i="96"/>
  <c r="AY18" i="96"/>
  <c r="AY19" i="96"/>
  <c r="AY20" i="96"/>
  <c r="AY21" i="96"/>
  <c r="AY22" i="96"/>
  <c r="AY23" i="96"/>
  <c r="AY24" i="96"/>
  <c r="AY25" i="96"/>
  <c r="AY26" i="96"/>
  <c r="AY27" i="96"/>
  <c r="AY28" i="96"/>
  <c r="AY29" i="96"/>
  <c r="AY30" i="96"/>
  <c r="AY31" i="96"/>
  <c r="AY32" i="96"/>
  <c r="AY33" i="96"/>
  <c r="AY34" i="96"/>
  <c r="AY35" i="96"/>
  <c r="AY36" i="96"/>
  <c r="AY37" i="96"/>
  <c r="AY38" i="96"/>
  <c r="AY39" i="96"/>
  <c r="AY40" i="96"/>
  <c r="AY41" i="96"/>
  <c r="AY42" i="96"/>
  <c r="AY43" i="96"/>
  <c r="AY44" i="96"/>
  <c r="AY45" i="96"/>
  <c r="AY46" i="96"/>
  <c r="AY47" i="96"/>
  <c r="AY48" i="96"/>
  <c r="AY49" i="96"/>
  <c r="AY50" i="96"/>
  <c r="AY51" i="96"/>
  <c r="AY52" i="96"/>
  <c r="AY53" i="96"/>
  <c r="AY54" i="96"/>
  <c r="AY55" i="96"/>
  <c r="AY56" i="96"/>
  <c r="AY13" i="96"/>
  <c r="BE11" i="96" l="1"/>
  <c r="BE12" i="96" s="1"/>
  <c r="BE13" i="96" s="1"/>
  <c r="BE14" i="96" s="1"/>
  <c r="BD12" i="96"/>
  <c r="Q5" i="91"/>
  <c r="R5" i="91"/>
  <c r="S5" i="91"/>
  <c r="T5" i="91"/>
  <c r="U5" i="91"/>
  <c r="V5" i="91"/>
  <c r="AA6" i="98" s="1"/>
  <c r="W5" i="91"/>
  <c r="AB6" i="98" s="1"/>
  <c r="X5" i="91"/>
  <c r="AC6" i="98" s="1"/>
  <c r="Y5" i="91"/>
  <c r="AD6" i="98" s="1"/>
  <c r="Z5" i="91"/>
  <c r="AE6" i="98" s="1"/>
  <c r="Q6" i="91"/>
  <c r="R6" i="91"/>
  <c r="S6" i="91"/>
  <c r="T6" i="91"/>
  <c r="U6" i="91"/>
  <c r="V6" i="91"/>
  <c r="AA7" i="98" s="1"/>
  <c r="W6" i="91"/>
  <c r="AB7" i="98" s="1"/>
  <c r="X6" i="91"/>
  <c r="AC7" i="98" s="1"/>
  <c r="Y6" i="91"/>
  <c r="AD7" i="98" s="1"/>
  <c r="Z6" i="91"/>
  <c r="AE7" i="98" s="1"/>
  <c r="Q7" i="91"/>
  <c r="R7" i="91"/>
  <c r="S7" i="91"/>
  <c r="T7" i="91"/>
  <c r="U7" i="91"/>
  <c r="V7" i="91"/>
  <c r="AA8" i="98" s="1"/>
  <c r="W7" i="91"/>
  <c r="AB8" i="98" s="1"/>
  <c r="X7" i="91"/>
  <c r="AC8" i="98" s="1"/>
  <c r="Y7" i="91"/>
  <c r="AD8" i="98" s="1"/>
  <c r="Z7" i="91"/>
  <c r="AE8" i="98" s="1"/>
  <c r="Q8" i="91"/>
  <c r="R8" i="91"/>
  <c r="S8" i="91"/>
  <c r="T8" i="91"/>
  <c r="U8" i="91"/>
  <c r="V8" i="91"/>
  <c r="AA9" i="98" s="1"/>
  <c r="W8" i="91"/>
  <c r="AB9" i="98" s="1"/>
  <c r="X8" i="91"/>
  <c r="AC9" i="98" s="1"/>
  <c r="Y8" i="91"/>
  <c r="AD9" i="98" s="1"/>
  <c r="Z8" i="91"/>
  <c r="AE9" i="98" s="1"/>
  <c r="Q9" i="91"/>
  <c r="R9" i="91"/>
  <c r="S9" i="91"/>
  <c r="T9" i="91"/>
  <c r="U9" i="91"/>
  <c r="V9" i="91"/>
  <c r="AA10" i="98" s="1"/>
  <c r="W9" i="91"/>
  <c r="AB10" i="98" s="1"/>
  <c r="X9" i="91"/>
  <c r="AC10" i="98" s="1"/>
  <c r="Y9" i="91"/>
  <c r="AD10" i="98" s="1"/>
  <c r="Z9" i="91"/>
  <c r="AE10" i="98" s="1"/>
  <c r="Q10" i="91"/>
  <c r="R10" i="91"/>
  <c r="S10" i="91"/>
  <c r="T10" i="91"/>
  <c r="U10" i="91"/>
  <c r="V10" i="91"/>
  <c r="AA11" i="98" s="1"/>
  <c r="W10" i="91"/>
  <c r="AB11" i="98" s="1"/>
  <c r="X10" i="91"/>
  <c r="AC11" i="98" s="1"/>
  <c r="Y10" i="91"/>
  <c r="AD11" i="98" s="1"/>
  <c r="Z10" i="91"/>
  <c r="AE11" i="98" s="1"/>
  <c r="Q11" i="91"/>
  <c r="R11" i="91"/>
  <c r="S11" i="91"/>
  <c r="T11" i="91"/>
  <c r="U11" i="91"/>
  <c r="V11" i="91"/>
  <c r="AA12" i="98" s="1"/>
  <c r="W11" i="91"/>
  <c r="AB12" i="98" s="1"/>
  <c r="X11" i="91"/>
  <c r="AC12" i="98" s="1"/>
  <c r="Y11" i="91"/>
  <c r="AD12" i="98" s="1"/>
  <c r="Z11" i="91"/>
  <c r="AE12" i="98" s="1"/>
  <c r="Q12" i="91"/>
  <c r="R12" i="91"/>
  <c r="S12" i="91"/>
  <c r="T12" i="91"/>
  <c r="U12" i="91"/>
  <c r="V12" i="91"/>
  <c r="AA13" i="98" s="1"/>
  <c r="W12" i="91"/>
  <c r="AB13" i="98" s="1"/>
  <c r="X12" i="91"/>
  <c r="AC13" i="98" s="1"/>
  <c r="Y12" i="91"/>
  <c r="AD13" i="98" s="1"/>
  <c r="Z12" i="91"/>
  <c r="AE13" i="98" s="1"/>
  <c r="Q13" i="91"/>
  <c r="R13" i="91"/>
  <c r="S13" i="91"/>
  <c r="T13" i="91"/>
  <c r="U13" i="91"/>
  <c r="V13" i="91"/>
  <c r="AA14" i="98" s="1"/>
  <c r="W13" i="91"/>
  <c r="AB14" i="98" s="1"/>
  <c r="X13" i="91"/>
  <c r="AC14" i="98" s="1"/>
  <c r="Y13" i="91"/>
  <c r="AD14" i="98" s="1"/>
  <c r="Z13" i="91"/>
  <c r="AE14" i="98" s="1"/>
  <c r="Q14" i="91"/>
  <c r="R14" i="91"/>
  <c r="S14" i="91"/>
  <c r="T14" i="91"/>
  <c r="U14" i="91"/>
  <c r="V14" i="91"/>
  <c r="AA15" i="98" s="1"/>
  <c r="W14" i="91"/>
  <c r="AB15" i="98" s="1"/>
  <c r="X14" i="91"/>
  <c r="AC15" i="98" s="1"/>
  <c r="Y14" i="91"/>
  <c r="AD15" i="98" s="1"/>
  <c r="Z14" i="91"/>
  <c r="AE15" i="98" s="1"/>
  <c r="Q15" i="91"/>
  <c r="R15" i="91"/>
  <c r="S15" i="91"/>
  <c r="T15" i="91"/>
  <c r="U15" i="91"/>
  <c r="V15" i="91"/>
  <c r="AA16" i="98" s="1"/>
  <c r="W15" i="91"/>
  <c r="AB16" i="98" s="1"/>
  <c r="X15" i="91"/>
  <c r="AC16" i="98" s="1"/>
  <c r="Y15" i="91"/>
  <c r="AD16" i="98" s="1"/>
  <c r="Z15" i="91"/>
  <c r="AE16" i="98" s="1"/>
  <c r="Q16" i="91"/>
  <c r="R16" i="91"/>
  <c r="S16" i="91"/>
  <c r="T16" i="91"/>
  <c r="U16" i="91"/>
  <c r="V16" i="91"/>
  <c r="AA17" i="98" s="1"/>
  <c r="W16" i="91"/>
  <c r="AB17" i="98" s="1"/>
  <c r="X16" i="91"/>
  <c r="AC17" i="98" s="1"/>
  <c r="Y16" i="91"/>
  <c r="AD17" i="98" s="1"/>
  <c r="Z16" i="91"/>
  <c r="AE17" i="98" s="1"/>
  <c r="Q17" i="91"/>
  <c r="R17" i="91"/>
  <c r="S17" i="91"/>
  <c r="T17" i="91"/>
  <c r="U17" i="91"/>
  <c r="V17" i="91"/>
  <c r="AA18" i="98" s="1"/>
  <c r="W17" i="91"/>
  <c r="AB18" i="98" s="1"/>
  <c r="X17" i="91"/>
  <c r="AC18" i="98" s="1"/>
  <c r="Y17" i="91"/>
  <c r="AD18" i="98" s="1"/>
  <c r="Z17" i="91"/>
  <c r="AE18" i="98" s="1"/>
  <c r="Q18" i="91"/>
  <c r="R18" i="91"/>
  <c r="S18" i="91"/>
  <c r="T18" i="91"/>
  <c r="U18" i="91"/>
  <c r="V18" i="91"/>
  <c r="AA19" i="98" s="1"/>
  <c r="W18" i="91"/>
  <c r="AB19" i="98" s="1"/>
  <c r="X18" i="91"/>
  <c r="AC19" i="98" s="1"/>
  <c r="Y18" i="91"/>
  <c r="AD19" i="98" s="1"/>
  <c r="Z18" i="91"/>
  <c r="AE19" i="98" s="1"/>
  <c r="Q19" i="91"/>
  <c r="R19" i="91"/>
  <c r="S19" i="91"/>
  <c r="T19" i="91"/>
  <c r="U19" i="91"/>
  <c r="V19" i="91"/>
  <c r="AA20" i="98" s="1"/>
  <c r="W19" i="91"/>
  <c r="AB20" i="98" s="1"/>
  <c r="X19" i="91"/>
  <c r="AC20" i="98" s="1"/>
  <c r="Y19" i="91"/>
  <c r="AD20" i="98" s="1"/>
  <c r="Z19" i="91"/>
  <c r="AE20" i="98" s="1"/>
  <c r="Q20" i="91"/>
  <c r="R20" i="91"/>
  <c r="S20" i="91"/>
  <c r="T20" i="91"/>
  <c r="U20" i="91"/>
  <c r="V20" i="91"/>
  <c r="AA21" i="98" s="1"/>
  <c r="W20" i="91"/>
  <c r="AB21" i="98" s="1"/>
  <c r="X20" i="91"/>
  <c r="AC21" i="98" s="1"/>
  <c r="Y20" i="91"/>
  <c r="AD21" i="98" s="1"/>
  <c r="Z20" i="91"/>
  <c r="AE21" i="98" s="1"/>
  <c r="Q21" i="91"/>
  <c r="R21" i="91"/>
  <c r="S21" i="91"/>
  <c r="T21" i="91"/>
  <c r="U21" i="91"/>
  <c r="V21" i="91"/>
  <c r="AA22" i="98" s="1"/>
  <c r="W21" i="91"/>
  <c r="AB22" i="98" s="1"/>
  <c r="X21" i="91"/>
  <c r="AC22" i="98" s="1"/>
  <c r="Y21" i="91"/>
  <c r="AD22" i="98" s="1"/>
  <c r="Z21" i="91"/>
  <c r="AE22" i="98" s="1"/>
  <c r="Q22" i="91"/>
  <c r="R22" i="91"/>
  <c r="S22" i="91"/>
  <c r="T22" i="91"/>
  <c r="U22" i="91"/>
  <c r="V22" i="91"/>
  <c r="AA23" i="98" s="1"/>
  <c r="W22" i="91"/>
  <c r="AB23" i="98" s="1"/>
  <c r="X22" i="91"/>
  <c r="AC23" i="98" s="1"/>
  <c r="Y22" i="91"/>
  <c r="AD23" i="98" s="1"/>
  <c r="Z22" i="91"/>
  <c r="AE23" i="98" s="1"/>
  <c r="Q23" i="91"/>
  <c r="R23" i="91"/>
  <c r="S23" i="91"/>
  <c r="T23" i="91"/>
  <c r="U23" i="91"/>
  <c r="V23" i="91"/>
  <c r="AA24" i="98" s="1"/>
  <c r="W23" i="91"/>
  <c r="AB24" i="98" s="1"/>
  <c r="X23" i="91"/>
  <c r="AC24" i="98" s="1"/>
  <c r="Y23" i="91"/>
  <c r="AD24" i="98" s="1"/>
  <c r="Z23" i="91"/>
  <c r="AE24" i="98" s="1"/>
  <c r="Q24" i="91"/>
  <c r="R24" i="91"/>
  <c r="S24" i="91"/>
  <c r="T24" i="91"/>
  <c r="U24" i="91"/>
  <c r="V24" i="91"/>
  <c r="AA25" i="98" s="1"/>
  <c r="W24" i="91"/>
  <c r="AB25" i="98" s="1"/>
  <c r="X24" i="91"/>
  <c r="AC25" i="98" s="1"/>
  <c r="Y24" i="91"/>
  <c r="AD25" i="98" s="1"/>
  <c r="Z24" i="91"/>
  <c r="AE25" i="98" s="1"/>
  <c r="Q25" i="91"/>
  <c r="R25" i="91"/>
  <c r="S25" i="91"/>
  <c r="T25" i="91"/>
  <c r="U25" i="91"/>
  <c r="V25" i="91"/>
  <c r="AA26" i="98" s="1"/>
  <c r="W25" i="91"/>
  <c r="AB26" i="98" s="1"/>
  <c r="X25" i="91"/>
  <c r="AC26" i="98" s="1"/>
  <c r="Y25" i="91"/>
  <c r="AD26" i="98" s="1"/>
  <c r="Z25" i="91"/>
  <c r="AE26" i="98" s="1"/>
  <c r="Q26" i="91"/>
  <c r="R26" i="91"/>
  <c r="S26" i="91"/>
  <c r="T26" i="91"/>
  <c r="U26" i="91"/>
  <c r="V26" i="91"/>
  <c r="AA27" i="98" s="1"/>
  <c r="W26" i="91"/>
  <c r="AB27" i="98" s="1"/>
  <c r="X26" i="91"/>
  <c r="AC27" i="98" s="1"/>
  <c r="Y26" i="91"/>
  <c r="AD27" i="98" s="1"/>
  <c r="Z26" i="91"/>
  <c r="AE27" i="98" s="1"/>
  <c r="Q27" i="91"/>
  <c r="R27" i="91"/>
  <c r="S27" i="91"/>
  <c r="T27" i="91"/>
  <c r="U27" i="91"/>
  <c r="V27" i="91"/>
  <c r="AA28" i="98" s="1"/>
  <c r="W27" i="91"/>
  <c r="AB28" i="98" s="1"/>
  <c r="X27" i="91"/>
  <c r="AC28" i="98" s="1"/>
  <c r="Y27" i="91"/>
  <c r="AD28" i="98" s="1"/>
  <c r="Z27" i="91"/>
  <c r="AE28" i="98" s="1"/>
  <c r="Q28" i="91"/>
  <c r="R28" i="91"/>
  <c r="S28" i="91"/>
  <c r="T28" i="91"/>
  <c r="U28" i="91"/>
  <c r="V28" i="91"/>
  <c r="AA29" i="98" s="1"/>
  <c r="W28" i="91"/>
  <c r="AB29" i="98" s="1"/>
  <c r="X28" i="91"/>
  <c r="AC29" i="98" s="1"/>
  <c r="Y28" i="91"/>
  <c r="AD29" i="98" s="1"/>
  <c r="Z28" i="91"/>
  <c r="AE29" i="98" s="1"/>
  <c r="Q29" i="91"/>
  <c r="R29" i="91"/>
  <c r="S29" i="91"/>
  <c r="T29" i="91"/>
  <c r="U29" i="91"/>
  <c r="V29" i="91"/>
  <c r="AA30" i="98" s="1"/>
  <c r="W29" i="91"/>
  <c r="AB30" i="98" s="1"/>
  <c r="X29" i="91"/>
  <c r="AC30" i="98" s="1"/>
  <c r="Y29" i="91"/>
  <c r="AD30" i="98" s="1"/>
  <c r="Z29" i="91"/>
  <c r="AE30" i="98" s="1"/>
  <c r="Q30" i="91"/>
  <c r="R30" i="91"/>
  <c r="S30" i="91"/>
  <c r="T30" i="91"/>
  <c r="U30" i="91"/>
  <c r="V30" i="91"/>
  <c r="AA31" i="98" s="1"/>
  <c r="W30" i="91"/>
  <c r="AB31" i="98" s="1"/>
  <c r="X30" i="91"/>
  <c r="AC31" i="98" s="1"/>
  <c r="Y30" i="91"/>
  <c r="AD31" i="98" s="1"/>
  <c r="Z30" i="91"/>
  <c r="AE31" i="98" s="1"/>
  <c r="Q31" i="91"/>
  <c r="R31" i="91"/>
  <c r="S31" i="91"/>
  <c r="T31" i="91"/>
  <c r="U31" i="91"/>
  <c r="V31" i="91"/>
  <c r="AA32" i="98" s="1"/>
  <c r="W31" i="91"/>
  <c r="AB32" i="98" s="1"/>
  <c r="X31" i="91"/>
  <c r="AC32" i="98" s="1"/>
  <c r="Y31" i="91"/>
  <c r="AD32" i="98" s="1"/>
  <c r="Z31" i="91"/>
  <c r="AE32" i="98" s="1"/>
  <c r="Q32" i="91"/>
  <c r="R32" i="91"/>
  <c r="S32" i="91"/>
  <c r="T32" i="91"/>
  <c r="U32" i="91"/>
  <c r="V32" i="91"/>
  <c r="AA33" i="98" s="1"/>
  <c r="W32" i="91"/>
  <c r="AB33" i="98" s="1"/>
  <c r="X32" i="91"/>
  <c r="AC33" i="98" s="1"/>
  <c r="Y32" i="91"/>
  <c r="AD33" i="98" s="1"/>
  <c r="Z32" i="91"/>
  <c r="AE33" i="98" s="1"/>
  <c r="Q33" i="91"/>
  <c r="R33" i="91"/>
  <c r="S33" i="91"/>
  <c r="T33" i="91"/>
  <c r="U33" i="91"/>
  <c r="V33" i="91"/>
  <c r="AA34" i="98" s="1"/>
  <c r="W33" i="91"/>
  <c r="AB34" i="98" s="1"/>
  <c r="X33" i="91"/>
  <c r="AC34" i="98" s="1"/>
  <c r="Y33" i="91"/>
  <c r="AD34" i="98" s="1"/>
  <c r="Z33" i="91"/>
  <c r="AE34" i="98" s="1"/>
  <c r="Q34" i="91"/>
  <c r="R34" i="91"/>
  <c r="S34" i="91"/>
  <c r="T34" i="91"/>
  <c r="U34" i="91"/>
  <c r="V34" i="91"/>
  <c r="AA35" i="98" s="1"/>
  <c r="W34" i="91"/>
  <c r="AB35" i="98" s="1"/>
  <c r="X34" i="91"/>
  <c r="AC35" i="98" s="1"/>
  <c r="Y34" i="91"/>
  <c r="AD35" i="98" s="1"/>
  <c r="Z34" i="91"/>
  <c r="AE35" i="98" s="1"/>
  <c r="Q35" i="91"/>
  <c r="R35" i="91"/>
  <c r="S35" i="91"/>
  <c r="T35" i="91"/>
  <c r="U35" i="91"/>
  <c r="V35" i="91"/>
  <c r="AA36" i="98" s="1"/>
  <c r="W35" i="91"/>
  <c r="AB36" i="98" s="1"/>
  <c r="X35" i="91"/>
  <c r="AC36" i="98" s="1"/>
  <c r="Y35" i="91"/>
  <c r="AD36" i="98" s="1"/>
  <c r="Z35" i="91"/>
  <c r="AE36" i="98" s="1"/>
  <c r="Q36" i="91"/>
  <c r="R36" i="91"/>
  <c r="S36" i="91"/>
  <c r="T36" i="91"/>
  <c r="U36" i="91"/>
  <c r="V36" i="91"/>
  <c r="AA37" i="98" s="1"/>
  <c r="W36" i="91"/>
  <c r="AB37" i="98" s="1"/>
  <c r="X36" i="91"/>
  <c r="AC37" i="98" s="1"/>
  <c r="Y36" i="91"/>
  <c r="AD37" i="98" s="1"/>
  <c r="Z36" i="91"/>
  <c r="AE37" i="98" s="1"/>
  <c r="Q37" i="91"/>
  <c r="R37" i="91"/>
  <c r="S37" i="91"/>
  <c r="T37" i="91"/>
  <c r="U37" i="91"/>
  <c r="V37" i="91"/>
  <c r="AA38" i="98" s="1"/>
  <c r="W37" i="91"/>
  <c r="AB38" i="98" s="1"/>
  <c r="X37" i="91"/>
  <c r="AC38" i="98" s="1"/>
  <c r="Y37" i="91"/>
  <c r="AD38" i="98" s="1"/>
  <c r="Z37" i="91"/>
  <c r="AE38" i="98" s="1"/>
  <c r="Q38" i="91"/>
  <c r="R38" i="91"/>
  <c r="S38" i="91"/>
  <c r="T38" i="91"/>
  <c r="U38" i="91"/>
  <c r="V38" i="91"/>
  <c r="AA39" i="98" s="1"/>
  <c r="W38" i="91"/>
  <c r="AB39" i="98" s="1"/>
  <c r="X38" i="91"/>
  <c r="AC39" i="98" s="1"/>
  <c r="Y38" i="91"/>
  <c r="AD39" i="98" s="1"/>
  <c r="Z38" i="91"/>
  <c r="AE39" i="98" s="1"/>
  <c r="Q39" i="91"/>
  <c r="R39" i="91"/>
  <c r="S39" i="91"/>
  <c r="T39" i="91"/>
  <c r="U39" i="91"/>
  <c r="V39" i="91"/>
  <c r="AA40" i="98" s="1"/>
  <c r="W39" i="91"/>
  <c r="AB40" i="98" s="1"/>
  <c r="X39" i="91"/>
  <c r="AC40" i="98" s="1"/>
  <c r="Y39" i="91"/>
  <c r="AD40" i="98" s="1"/>
  <c r="Z39" i="91"/>
  <c r="AE40" i="98" s="1"/>
  <c r="Q40" i="91"/>
  <c r="R40" i="91"/>
  <c r="S40" i="91"/>
  <c r="T40" i="91"/>
  <c r="U40" i="91"/>
  <c r="V40" i="91"/>
  <c r="AA41" i="98" s="1"/>
  <c r="W40" i="91"/>
  <c r="AB41" i="98" s="1"/>
  <c r="X40" i="91"/>
  <c r="AC41" i="98" s="1"/>
  <c r="Y40" i="91"/>
  <c r="AD41" i="98" s="1"/>
  <c r="Z40" i="91"/>
  <c r="AE41" i="98" s="1"/>
  <c r="Q41" i="91"/>
  <c r="R41" i="91"/>
  <c r="S41" i="91"/>
  <c r="T41" i="91"/>
  <c r="U41" i="91"/>
  <c r="V41" i="91"/>
  <c r="AA42" i="98" s="1"/>
  <c r="W41" i="91"/>
  <c r="AB42" i="98" s="1"/>
  <c r="X41" i="91"/>
  <c r="AC42" i="98" s="1"/>
  <c r="Y41" i="91"/>
  <c r="AD42" i="98" s="1"/>
  <c r="Z41" i="91"/>
  <c r="AE42" i="98" s="1"/>
  <c r="Q42" i="91"/>
  <c r="R42" i="91"/>
  <c r="S42" i="91"/>
  <c r="T42" i="91"/>
  <c r="U42" i="91"/>
  <c r="V42" i="91"/>
  <c r="AA43" i="98" s="1"/>
  <c r="W42" i="91"/>
  <c r="AB43" i="98" s="1"/>
  <c r="X42" i="91"/>
  <c r="AC43" i="98" s="1"/>
  <c r="Y42" i="91"/>
  <c r="AD43" i="98" s="1"/>
  <c r="Z42" i="91"/>
  <c r="AE43" i="98" s="1"/>
  <c r="Q43" i="91"/>
  <c r="R43" i="91"/>
  <c r="S43" i="91"/>
  <c r="T43" i="91"/>
  <c r="U43" i="91"/>
  <c r="V43" i="91"/>
  <c r="AA44" i="98" s="1"/>
  <c r="W43" i="91"/>
  <c r="AB44" i="98" s="1"/>
  <c r="X43" i="91"/>
  <c r="AC44" i="98" s="1"/>
  <c r="Y43" i="91"/>
  <c r="AD44" i="98" s="1"/>
  <c r="Z43" i="91"/>
  <c r="AE44" i="98" s="1"/>
  <c r="Q44" i="91"/>
  <c r="R44" i="91"/>
  <c r="S44" i="91"/>
  <c r="T44" i="91"/>
  <c r="U44" i="91"/>
  <c r="V44" i="91"/>
  <c r="AA45" i="98" s="1"/>
  <c r="W44" i="91"/>
  <c r="AB45" i="98" s="1"/>
  <c r="X44" i="91"/>
  <c r="AC45" i="98" s="1"/>
  <c r="Y44" i="91"/>
  <c r="AD45" i="98" s="1"/>
  <c r="Z44" i="91"/>
  <c r="AE45" i="98" s="1"/>
  <c r="Q45" i="91"/>
  <c r="R45" i="91"/>
  <c r="S45" i="91"/>
  <c r="T45" i="91"/>
  <c r="U45" i="91"/>
  <c r="V45" i="91"/>
  <c r="AA46" i="98" s="1"/>
  <c r="W45" i="91"/>
  <c r="AB46" i="98" s="1"/>
  <c r="X45" i="91"/>
  <c r="AC46" i="98" s="1"/>
  <c r="Y45" i="91"/>
  <c r="AD46" i="98" s="1"/>
  <c r="Z45" i="91"/>
  <c r="AE46" i="98" s="1"/>
  <c r="Q46" i="91"/>
  <c r="R46" i="91"/>
  <c r="S46" i="91"/>
  <c r="T46" i="91"/>
  <c r="U46" i="91"/>
  <c r="V46" i="91"/>
  <c r="AA47" i="98" s="1"/>
  <c r="W46" i="91"/>
  <c r="AB47" i="98" s="1"/>
  <c r="X46" i="91"/>
  <c r="AC47" i="98" s="1"/>
  <c r="Y46" i="91"/>
  <c r="AD47" i="98" s="1"/>
  <c r="Z46" i="91"/>
  <c r="AE47" i="98" s="1"/>
  <c r="Q47" i="91"/>
  <c r="R47" i="91"/>
  <c r="S47" i="91"/>
  <c r="T47" i="91"/>
  <c r="U47" i="91"/>
  <c r="V47" i="91"/>
  <c r="AA48" i="98" s="1"/>
  <c r="W47" i="91"/>
  <c r="AB48" i="98" s="1"/>
  <c r="X47" i="91"/>
  <c r="AC48" i="98" s="1"/>
  <c r="Y47" i="91"/>
  <c r="AD48" i="98" s="1"/>
  <c r="Z47" i="91"/>
  <c r="AE48" i="98" s="1"/>
  <c r="Q48" i="91"/>
  <c r="R48" i="91"/>
  <c r="S48" i="91"/>
  <c r="T48" i="91"/>
  <c r="U48" i="91"/>
  <c r="V48" i="91"/>
  <c r="AA49" i="98" s="1"/>
  <c r="W48" i="91"/>
  <c r="AB49" i="98" s="1"/>
  <c r="X48" i="91"/>
  <c r="AC49" i="98" s="1"/>
  <c r="Y48" i="91"/>
  <c r="AD49" i="98" s="1"/>
  <c r="Z48" i="91"/>
  <c r="AE49" i="98" s="1"/>
  <c r="Q49" i="91"/>
  <c r="R49" i="91"/>
  <c r="S49" i="91"/>
  <c r="T49" i="91"/>
  <c r="U49" i="91"/>
  <c r="V49" i="91"/>
  <c r="AA50" i="98" s="1"/>
  <c r="W49" i="91"/>
  <c r="AB50" i="98" s="1"/>
  <c r="X49" i="91"/>
  <c r="AC50" i="98" s="1"/>
  <c r="Y49" i="91"/>
  <c r="AD50" i="98" s="1"/>
  <c r="Z49" i="91"/>
  <c r="AE50" i="98" s="1"/>
  <c r="Q50" i="91"/>
  <c r="R50" i="91"/>
  <c r="S50" i="91"/>
  <c r="T50" i="91"/>
  <c r="U50" i="91"/>
  <c r="V50" i="91"/>
  <c r="AA51" i="98" s="1"/>
  <c r="W50" i="91"/>
  <c r="AB51" i="98" s="1"/>
  <c r="X50" i="91"/>
  <c r="AC51" i="98" s="1"/>
  <c r="Y50" i="91"/>
  <c r="AD51" i="98" s="1"/>
  <c r="Z50" i="91"/>
  <c r="AE51" i="98" s="1"/>
  <c r="Q51" i="91"/>
  <c r="R51" i="91"/>
  <c r="S51" i="91"/>
  <c r="T51" i="91"/>
  <c r="U51" i="91"/>
  <c r="V51" i="91"/>
  <c r="AA52" i="98" s="1"/>
  <c r="W51" i="91"/>
  <c r="AB52" i="98" s="1"/>
  <c r="X51" i="91"/>
  <c r="AC52" i="98" s="1"/>
  <c r="Y51" i="91"/>
  <c r="AD52" i="98" s="1"/>
  <c r="Z51" i="91"/>
  <c r="AE52" i="98" s="1"/>
  <c r="Q52" i="91"/>
  <c r="R52" i="91"/>
  <c r="S52" i="91"/>
  <c r="T52" i="91"/>
  <c r="U52" i="91"/>
  <c r="V52" i="91"/>
  <c r="AA53" i="98" s="1"/>
  <c r="W52" i="91"/>
  <c r="AB53" i="98" s="1"/>
  <c r="X52" i="91"/>
  <c r="AC53" i="98" s="1"/>
  <c r="Y52" i="91"/>
  <c r="AD53" i="98" s="1"/>
  <c r="Z52" i="91"/>
  <c r="AE53" i="98" s="1"/>
  <c r="Q53" i="91"/>
  <c r="R53" i="91"/>
  <c r="S53" i="91"/>
  <c r="T53" i="91"/>
  <c r="U53" i="91"/>
  <c r="V53" i="91"/>
  <c r="AA54" i="98" s="1"/>
  <c r="W53" i="91"/>
  <c r="AB54" i="98" s="1"/>
  <c r="X53" i="91"/>
  <c r="AC54" i="98" s="1"/>
  <c r="Y53" i="91"/>
  <c r="AD54" i="98" s="1"/>
  <c r="Z53" i="91"/>
  <c r="AE54" i="98" s="1"/>
  <c r="Q54" i="91"/>
  <c r="R54" i="91"/>
  <c r="S54" i="91"/>
  <c r="T54" i="91"/>
  <c r="U54" i="91"/>
  <c r="V54" i="91"/>
  <c r="AA55" i="98" s="1"/>
  <c r="W54" i="91"/>
  <c r="AB55" i="98" s="1"/>
  <c r="X54" i="91"/>
  <c r="AC55" i="98" s="1"/>
  <c r="Y54" i="91"/>
  <c r="AD55" i="98" s="1"/>
  <c r="Z54" i="91"/>
  <c r="AE55" i="98" s="1"/>
  <c r="Q55" i="91"/>
  <c r="R55" i="91"/>
  <c r="S55" i="91"/>
  <c r="T55" i="91"/>
  <c r="U55" i="91"/>
  <c r="V55" i="91"/>
  <c r="AA56" i="98" s="1"/>
  <c r="W55" i="91"/>
  <c r="AB56" i="98" s="1"/>
  <c r="X55" i="91"/>
  <c r="AC56" i="98" s="1"/>
  <c r="Y55" i="91"/>
  <c r="AD56" i="98" s="1"/>
  <c r="Z55" i="91"/>
  <c r="AE56" i="98" s="1"/>
  <c r="Q56" i="91"/>
  <c r="R56" i="91"/>
  <c r="S56" i="91"/>
  <c r="T56" i="91"/>
  <c r="U56" i="91"/>
  <c r="V56" i="91"/>
  <c r="AA57" i="98" s="1"/>
  <c r="W56" i="91"/>
  <c r="AB57" i="98" s="1"/>
  <c r="X56" i="91"/>
  <c r="AC57" i="98" s="1"/>
  <c r="Y56" i="91"/>
  <c r="AD57" i="98" s="1"/>
  <c r="Z56" i="91"/>
  <c r="AE57" i="98" s="1"/>
  <c r="Q57" i="91"/>
  <c r="R57" i="91"/>
  <c r="S57" i="91"/>
  <c r="T57" i="91"/>
  <c r="U57" i="91"/>
  <c r="V57" i="91"/>
  <c r="AA58" i="98" s="1"/>
  <c r="W57" i="91"/>
  <c r="AB58" i="98" s="1"/>
  <c r="X57" i="91"/>
  <c r="AC58" i="98" s="1"/>
  <c r="Y57" i="91"/>
  <c r="AD58" i="98" s="1"/>
  <c r="Z57" i="91"/>
  <c r="AE58" i="98" s="1"/>
  <c r="Q58" i="91"/>
  <c r="R58" i="91"/>
  <c r="S58" i="91"/>
  <c r="T58" i="91"/>
  <c r="U58" i="91"/>
  <c r="V58" i="91"/>
  <c r="AA59" i="98" s="1"/>
  <c r="W58" i="91"/>
  <c r="AB59" i="98" s="1"/>
  <c r="X58" i="91"/>
  <c r="AC59" i="98" s="1"/>
  <c r="Y58" i="91"/>
  <c r="AD59" i="98" s="1"/>
  <c r="Z58" i="91"/>
  <c r="AE59" i="98" s="1"/>
  <c r="Q59" i="91"/>
  <c r="R59" i="91"/>
  <c r="S59" i="91"/>
  <c r="T59" i="91"/>
  <c r="U59" i="91"/>
  <c r="V59" i="91"/>
  <c r="AA60" i="98" s="1"/>
  <c r="W59" i="91"/>
  <c r="AB60" i="98" s="1"/>
  <c r="X59" i="91"/>
  <c r="AC60" i="98" s="1"/>
  <c r="Y59" i="91"/>
  <c r="AD60" i="98" s="1"/>
  <c r="Z59" i="91"/>
  <c r="AE60" i="98" s="1"/>
  <c r="Q60" i="91"/>
  <c r="R60" i="91"/>
  <c r="S60" i="91"/>
  <c r="T60" i="91"/>
  <c r="U60" i="91"/>
  <c r="V60" i="91"/>
  <c r="AA61" i="98" s="1"/>
  <c r="W60" i="91"/>
  <c r="AB61" i="98" s="1"/>
  <c r="X60" i="91"/>
  <c r="AC61" i="98" s="1"/>
  <c r="Y60" i="91"/>
  <c r="AD61" i="98" s="1"/>
  <c r="Z60" i="91"/>
  <c r="AE61" i="98" s="1"/>
  <c r="Q61" i="91"/>
  <c r="R61" i="91"/>
  <c r="S61" i="91"/>
  <c r="T61" i="91"/>
  <c r="U61" i="91"/>
  <c r="V61" i="91"/>
  <c r="AA62" i="98" s="1"/>
  <c r="W61" i="91"/>
  <c r="AB62" i="98" s="1"/>
  <c r="X61" i="91"/>
  <c r="AC62" i="98" s="1"/>
  <c r="Y61" i="91"/>
  <c r="AD62" i="98" s="1"/>
  <c r="Z61" i="91"/>
  <c r="AE62" i="98" s="1"/>
  <c r="Q62" i="91"/>
  <c r="R62" i="91"/>
  <c r="S62" i="91"/>
  <c r="T62" i="91"/>
  <c r="U62" i="91"/>
  <c r="V62" i="91"/>
  <c r="AA63" i="98" s="1"/>
  <c r="W62" i="91"/>
  <c r="AB63" i="98" s="1"/>
  <c r="X62" i="91"/>
  <c r="AC63" i="98" s="1"/>
  <c r="Y62" i="91"/>
  <c r="AD63" i="98" s="1"/>
  <c r="Z62" i="91"/>
  <c r="AE63" i="98" s="1"/>
  <c r="Q63" i="91"/>
  <c r="R63" i="91"/>
  <c r="S63" i="91"/>
  <c r="T63" i="91"/>
  <c r="U63" i="91"/>
  <c r="V63" i="91"/>
  <c r="AA64" i="98" s="1"/>
  <c r="W63" i="91"/>
  <c r="AB64" i="98" s="1"/>
  <c r="X63" i="91"/>
  <c r="AC64" i="98" s="1"/>
  <c r="Y63" i="91"/>
  <c r="AD64" i="98" s="1"/>
  <c r="Z63" i="91"/>
  <c r="AE64" i="98" s="1"/>
  <c r="Q64" i="91"/>
  <c r="R64" i="91"/>
  <c r="S64" i="91"/>
  <c r="T64" i="91"/>
  <c r="U64" i="91"/>
  <c r="V64" i="91"/>
  <c r="AA65" i="98" s="1"/>
  <c r="W64" i="91"/>
  <c r="AB65" i="98" s="1"/>
  <c r="X64" i="91"/>
  <c r="AC65" i="98" s="1"/>
  <c r="Y64" i="91"/>
  <c r="AD65" i="98" s="1"/>
  <c r="Z64" i="91"/>
  <c r="AE65" i="98" s="1"/>
  <c r="Q65" i="91"/>
  <c r="R65" i="91"/>
  <c r="S65" i="91"/>
  <c r="T65" i="91"/>
  <c r="U65" i="91"/>
  <c r="V65" i="91"/>
  <c r="AA66" i="98" s="1"/>
  <c r="W65" i="91"/>
  <c r="AB66" i="98" s="1"/>
  <c r="X65" i="91"/>
  <c r="AC66" i="98" s="1"/>
  <c r="Y65" i="91"/>
  <c r="AD66" i="98" s="1"/>
  <c r="Z65" i="91"/>
  <c r="AE66" i="98" s="1"/>
  <c r="Q66" i="91"/>
  <c r="R66" i="91"/>
  <c r="S66" i="91"/>
  <c r="T66" i="91"/>
  <c r="U66" i="91"/>
  <c r="V66" i="91"/>
  <c r="AA67" i="98" s="1"/>
  <c r="W66" i="91"/>
  <c r="AB67" i="98" s="1"/>
  <c r="X66" i="91"/>
  <c r="AC67" i="98" s="1"/>
  <c r="Y66" i="91"/>
  <c r="AD67" i="98" s="1"/>
  <c r="Z66" i="91"/>
  <c r="AE67" i="98" s="1"/>
  <c r="Q67" i="91"/>
  <c r="R67" i="91"/>
  <c r="S67" i="91"/>
  <c r="T67" i="91"/>
  <c r="U67" i="91"/>
  <c r="V67" i="91"/>
  <c r="AA68" i="98" s="1"/>
  <c r="W67" i="91"/>
  <c r="AB68" i="98" s="1"/>
  <c r="X67" i="91"/>
  <c r="AC68" i="98" s="1"/>
  <c r="Y67" i="91"/>
  <c r="AD68" i="98" s="1"/>
  <c r="Z67" i="91"/>
  <c r="AE68" i="98" s="1"/>
  <c r="Q68" i="91"/>
  <c r="R68" i="91"/>
  <c r="S68" i="91"/>
  <c r="T68" i="91"/>
  <c r="U68" i="91"/>
  <c r="V68" i="91"/>
  <c r="AA69" i="98" s="1"/>
  <c r="W68" i="91"/>
  <c r="AB69" i="98" s="1"/>
  <c r="X68" i="91"/>
  <c r="AC69" i="98" s="1"/>
  <c r="Y68" i="91"/>
  <c r="AD69" i="98" s="1"/>
  <c r="Z68" i="91"/>
  <c r="AE69" i="98" s="1"/>
  <c r="Q69" i="91"/>
  <c r="R69" i="91"/>
  <c r="S69" i="91"/>
  <c r="T69" i="91"/>
  <c r="U69" i="91"/>
  <c r="V69" i="91"/>
  <c r="AA70" i="98" s="1"/>
  <c r="W69" i="91"/>
  <c r="AB70" i="98" s="1"/>
  <c r="X69" i="91"/>
  <c r="AC70" i="98" s="1"/>
  <c r="Y69" i="91"/>
  <c r="AD70" i="98" s="1"/>
  <c r="Z69" i="91"/>
  <c r="AE70" i="98" s="1"/>
  <c r="Q70" i="91"/>
  <c r="R70" i="91"/>
  <c r="S70" i="91"/>
  <c r="T70" i="91"/>
  <c r="U70" i="91"/>
  <c r="V70" i="91"/>
  <c r="AA71" i="98" s="1"/>
  <c r="W70" i="91"/>
  <c r="AB71" i="98" s="1"/>
  <c r="X70" i="91"/>
  <c r="AC71" i="98" s="1"/>
  <c r="Y70" i="91"/>
  <c r="AD71" i="98" s="1"/>
  <c r="Z70" i="91"/>
  <c r="AE71" i="98" s="1"/>
  <c r="Q71" i="91"/>
  <c r="R71" i="91"/>
  <c r="S71" i="91"/>
  <c r="T71" i="91"/>
  <c r="U71" i="91"/>
  <c r="V71" i="91"/>
  <c r="AA72" i="98" s="1"/>
  <c r="W71" i="91"/>
  <c r="AB72" i="98" s="1"/>
  <c r="X71" i="91"/>
  <c r="AC72" i="98" s="1"/>
  <c r="Y71" i="91"/>
  <c r="AD72" i="98" s="1"/>
  <c r="Z71" i="91"/>
  <c r="AE72" i="98" s="1"/>
  <c r="Q72" i="91"/>
  <c r="R72" i="91"/>
  <c r="S72" i="91"/>
  <c r="T72" i="91"/>
  <c r="U72" i="91"/>
  <c r="V72" i="91"/>
  <c r="AA73" i="98" s="1"/>
  <c r="W72" i="91"/>
  <c r="AB73" i="98" s="1"/>
  <c r="X72" i="91"/>
  <c r="AC73" i="98" s="1"/>
  <c r="Y72" i="91"/>
  <c r="AD73" i="98" s="1"/>
  <c r="Z72" i="91"/>
  <c r="AE73" i="98" s="1"/>
  <c r="Q73" i="91"/>
  <c r="R73" i="91"/>
  <c r="S73" i="91"/>
  <c r="T73" i="91"/>
  <c r="U73" i="91"/>
  <c r="V73" i="91"/>
  <c r="AA74" i="98" s="1"/>
  <c r="W73" i="91"/>
  <c r="AB74" i="98" s="1"/>
  <c r="X73" i="91"/>
  <c r="AC74" i="98" s="1"/>
  <c r="Y73" i="91"/>
  <c r="AD74" i="98" s="1"/>
  <c r="Z73" i="91"/>
  <c r="AE74" i="98" s="1"/>
  <c r="Q74" i="91"/>
  <c r="R74" i="91"/>
  <c r="S74" i="91"/>
  <c r="T74" i="91"/>
  <c r="U74" i="91"/>
  <c r="V74" i="91"/>
  <c r="AA75" i="98" s="1"/>
  <c r="W74" i="91"/>
  <c r="AB75" i="98" s="1"/>
  <c r="X74" i="91"/>
  <c r="AC75" i="98" s="1"/>
  <c r="Y74" i="91"/>
  <c r="AD75" i="98" s="1"/>
  <c r="Z74" i="91"/>
  <c r="AE75" i="98" s="1"/>
  <c r="Q75" i="91"/>
  <c r="R75" i="91"/>
  <c r="S75" i="91"/>
  <c r="T75" i="91"/>
  <c r="U75" i="91"/>
  <c r="V75" i="91"/>
  <c r="AA76" i="98" s="1"/>
  <c r="W75" i="91"/>
  <c r="AB76" i="98" s="1"/>
  <c r="X75" i="91"/>
  <c r="AC76" i="98" s="1"/>
  <c r="Y75" i="91"/>
  <c r="AD76" i="98" s="1"/>
  <c r="Z75" i="91"/>
  <c r="AE76" i="98" s="1"/>
  <c r="Q76" i="91"/>
  <c r="R76" i="91"/>
  <c r="S76" i="91"/>
  <c r="T76" i="91"/>
  <c r="U76" i="91"/>
  <c r="V76" i="91"/>
  <c r="AA77" i="98" s="1"/>
  <c r="W76" i="91"/>
  <c r="AB77" i="98" s="1"/>
  <c r="X76" i="91"/>
  <c r="AC77" i="98" s="1"/>
  <c r="Y76" i="91"/>
  <c r="AD77" i="98" s="1"/>
  <c r="Z76" i="91"/>
  <c r="AE77" i="98" s="1"/>
  <c r="Q77" i="91"/>
  <c r="R77" i="91"/>
  <c r="S77" i="91"/>
  <c r="T77" i="91"/>
  <c r="U77" i="91"/>
  <c r="V77" i="91"/>
  <c r="AA78" i="98" s="1"/>
  <c r="W77" i="91"/>
  <c r="AB78" i="98" s="1"/>
  <c r="X77" i="91"/>
  <c r="AC78" i="98" s="1"/>
  <c r="Y77" i="91"/>
  <c r="AD78" i="98" s="1"/>
  <c r="Z77" i="91"/>
  <c r="AE78" i="98" s="1"/>
  <c r="Q78" i="91"/>
  <c r="R78" i="91"/>
  <c r="S78" i="91"/>
  <c r="T78" i="91"/>
  <c r="U78" i="91"/>
  <c r="V78" i="91"/>
  <c r="AA79" i="98" s="1"/>
  <c r="W78" i="91"/>
  <c r="AB79" i="98" s="1"/>
  <c r="X78" i="91"/>
  <c r="AC79" i="98" s="1"/>
  <c r="Y78" i="91"/>
  <c r="AD79" i="98" s="1"/>
  <c r="Z78" i="91"/>
  <c r="AE79" i="98" s="1"/>
  <c r="Q79" i="91"/>
  <c r="R79" i="91"/>
  <c r="S79" i="91"/>
  <c r="T79" i="91"/>
  <c r="U79" i="91"/>
  <c r="V79" i="91"/>
  <c r="AA80" i="98" s="1"/>
  <c r="W79" i="91"/>
  <c r="AB80" i="98" s="1"/>
  <c r="X79" i="91"/>
  <c r="AC80" i="98" s="1"/>
  <c r="Y79" i="91"/>
  <c r="AD80" i="98" s="1"/>
  <c r="Z79" i="91"/>
  <c r="AE80" i="98" s="1"/>
  <c r="Q80" i="91"/>
  <c r="R80" i="91"/>
  <c r="S80" i="91"/>
  <c r="T80" i="91"/>
  <c r="U80" i="91"/>
  <c r="V80" i="91"/>
  <c r="AA81" i="98" s="1"/>
  <c r="W80" i="91"/>
  <c r="AB81" i="98" s="1"/>
  <c r="X80" i="91"/>
  <c r="AC81" i="98" s="1"/>
  <c r="Y80" i="91"/>
  <c r="AD81" i="98" s="1"/>
  <c r="Z80" i="91"/>
  <c r="AE81" i="98" s="1"/>
  <c r="Q81" i="91"/>
  <c r="R81" i="91"/>
  <c r="S81" i="91"/>
  <c r="T81" i="91"/>
  <c r="U81" i="91"/>
  <c r="V81" i="91"/>
  <c r="AA82" i="98" s="1"/>
  <c r="W81" i="91"/>
  <c r="AB82" i="98" s="1"/>
  <c r="X81" i="91"/>
  <c r="AC82" i="98" s="1"/>
  <c r="Y81" i="91"/>
  <c r="AD82" i="98" s="1"/>
  <c r="Z81" i="91"/>
  <c r="AE82" i="98" s="1"/>
  <c r="Q82" i="91"/>
  <c r="R82" i="91"/>
  <c r="S82" i="91"/>
  <c r="T82" i="91"/>
  <c r="U82" i="91"/>
  <c r="V82" i="91"/>
  <c r="AA83" i="98" s="1"/>
  <c r="W82" i="91"/>
  <c r="AB83" i="98" s="1"/>
  <c r="X82" i="91"/>
  <c r="AC83" i="98" s="1"/>
  <c r="Y82" i="91"/>
  <c r="AD83" i="98" s="1"/>
  <c r="Z82" i="91"/>
  <c r="AE83" i="98" s="1"/>
  <c r="Q83" i="91"/>
  <c r="R83" i="91"/>
  <c r="S83" i="91"/>
  <c r="T83" i="91"/>
  <c r="U83" i="91"/>
  <c r="V83" i="91"/>
  <c r="AA84" i="98" s="1"/>
  <c r="W83" i="91"/>
  <c r="AB84" i="98" s="1"/>
  <c r="X83" i="91"/>
  <c r="AC84" i="98" s="1"/>
  <c r="Y83" i="91"/>
  <c r="AD84" i="98" s="1"/>
  <c r="Z83" i="91"/>
  <c r="AE84" i="98" s="1"/>
  <c r="Q84" i="91"/>
  <c r="R84" i="91"/>
  <c r="S84" i="91"/>
  <c r="T84" i="91"/>
  <c r="U84" i="91"/>
  <c r="V84" i="91"/>
  <c r="AA85" i="98" s="1"/>
  <c r="W84" i="91"/>
  <c r="AB85" i="98" s="1"/>
  <c r="X84" i="91"/>
  <c r="AC85" i="98" s="1"/>
  <c r="Y84" i="91"/>
  <c r="AD85" i="98" s="1"/>
  <c r="Z84" i="91"/>
  <c r="AE85" i="98" s="1"/>
  <c r="Q85" i="91"/>
  <c r="R85" i="91"/>
  <c r="S85" i="91"/>
  <c r="T85" i="91"/>
  <c r="U85" i="91"/>
  <c r="V85" i="91"/>
  <c r="AA86" i="98" s="1"/>
  <c r="W85" i="91"/>
  <c r="AB86" i="98" s="1"/>
  <c r="X85" i="91"/>
  <c r="AC86" i="98" s="1"/>
  <c r="Y85" i="91"/>
  <c r="AD86" i="98" s="1"/>
  <c r="Z85" i="91"/>
  <c r="AE86" i="98" s="1"/>
  <c r="Q86" i="91"/>
  <c r="R86" i="91"/>
  <c r="S86" i="91"/>
  <c r="T86" i="91"/>
  <c r="U86" i="91"/>
  <c r="V86" i="91"/>
  <c r="AA87" i="98" s="1"/>
  <c r="W86" i="91"/>
  <c r="AB87" i="98" s="1"/>
  <c r="X86" i="91"/>
  <c r="AC87" i="98" s="1"/>
  <c r="Y86" i="91"/>
  <c r="AD87" i="98" s="1"/>
  <c r="Z86" i="91"/>
  <c r="AE87" i="98" s="1"/>
  <c r="Q87" i="91"/>
  <c r="R87" i="91"/>
  <c r="S87" i="91"/>
  <c r="T87" i="91"/>
  <c r="U87" i="91"/>
  <c r="V87" i="91"/>
  <c r="AA88" i="98" s="1"/>
  <c r="W87" i="91"/>
  <c r="AB88" i="98" s="1"/>
  <c r="X87" i="91"/>
  <c r="AC88" i="98" s="1"/>
  <c r="Y87" i="91"/>
  <c r="AD88" i="98" s="1"/>
  <c r="Z87" i="91"/>
  <c r="AE88" i="98" s="1"/>
  <c r="Q88" i="91"/>
  <c r="R88" i="91"/>
  <c r="S88" i="91"/>
  <c r="T88" i="91"/>
  <c r="U88" i="91"/>
  <c r="V88" i="91"/>
  <c r="AA89" i="98" s="1"/>
  <c r="W88" i="91"/>
  <c r="AB89" i="98" s="1"/>
  <c r="X88" i="91"/>
  <c r="AC89" i="98" s="1"/>
  <c r="Y88" i="91"/>
  <c r="AD89" i="98" s="1"/>
  <c r="Z88" i="91"/>
  <c r="AE89" i="98" s="1"/>
  <c r="Q89" i="91"/>
  <c r="R89" i="91"/>
  <c r="S89" i="91"/>
  <c r="T89" i="91"/>
  <c r="U89" i="91"/>
  <c r="V89" i="91"/>
  <c r="AA90" i="98" s="1"/>
  <c r="W89" i="91"/>
  <c r="AB90" i="98" s="1"/>
  <c r="X89" i="91"/>
  <c r="AC90" i="98" s="1"/>
  <c r="Y89" i="91"/>
  <c r="AD90" i="98" s="1"/>
  <c r="Z89" i="91"/>
  <c r="AE90" i="98" s="1"/>
  <c r="Q90" i="91"/>
  <c r="R90" i="91"/>
  <c r="S90" i="91"/>
  <c r="T90" i="91"/>
  <c r="U90" i="91"/>
  <c r="V90" i="91"/>
  <c r="AA91" i="98" s="1"/>
  <c r="W90" i="91"/>
  <c r="AB91" i="98" s="1"/>
  <c r="X90" i="91"/>
  <c r="AC91" i="98" s="1"/>
  <c r="Y90" i="91"/>
  <c r="AD91" i="98" s="1"/>
  <c r="Z90" i="91"/>
  <c r="AE91" i="98" s="1"/>
  <c r="Q91" i="91"/>
  <c r="R91" i="91"/>
  <c r="S91" i="91"/>
  <c r="T91" i="91"/>
  <c r="U91" i="91"/>
  <c r="V91" i="91"/>
  <c r="AA92" i="98" s="1"/>
  <c r="W91" i="91"/>
  <c r="AB92" i="98" s="1"/>
  <c r="X91" i="91"/>
  <c r="AC92" i="98" s="1"/>
  <c r="Y91" i="91"/>
  <c r="AD92" i="98" s="1"/>
  <c r="Z91" i="91"/>
  <c r="AE92" i="98" s="1"/>
  <c r="Q92" i="91"/>
  <c r="R92" i="91"/>
  <c r="S92" i="91"/>
  <c r="T92" i="91"/>
  <c r="U92" i="91"/>
  <c r="V92" i="91"/>
  <c r="AA93" i="98" s="1"/>
  <c r="W92" i="91"/>
  <c r="AB93" i="98" s="1"/>
  <c r="X92" i="91"/>
  <c r="AC93" i="98" s="1"/>
  <c r="Y92" i="91"/>
  <c r="AD93" i="98" s="1"/>
  <c r="Z92" i="91"/>
  <c r="AE93" i="98" s="1"/>
  <c r="Q93" i="91"/>
  <c r="R93" i="91"/>
  <c r="S93" i="91"/>
  <c r="T93" i="91"/>
  <c r="U93" i="91"/>
  <c r="V93" i="91"/>
  <c r="AA94" i="98" s="1"/>
  <c r="W93" i="91"/>
  <c r="AB94" i="98" s="1"/>
  <c r="X93" i="91"/>
  <c r="AC94" i="98" s="1"/>
  <c r="Y93" i="91"/>
  <c r="AD94" i="98" s="1"/>
  <c r="Z93" i="91"/>
  <c r="AE94" i="98" s="1"/>
  <c r="Q94" i="91"/>
  <c r="R94" i="91"/>
  <c r="S94" i="91"/>
  <c r="T94" i="91"/>
  <c r="U94" i="91"/>
  <c r="V94" i="91"/>
  <c r="AA95" i="98" s="1"/>
  <c r="W94" i="91"/>
  <c r="AB95" i="98" s="1"/>
  <c r="X94" i="91"/>
  <c r="AC95" i="98" s="1"/>
  <c r="Y94" i="91"/>
  <c r="AD95" i="98" s="1"/>
  <c r="Z94" i="91"/>
  <c r="AE95" i="98" s="1"/>
  <c r="Q95" i="91"/>
  <c r="R95" i="91"/>
  <c r="S95" i="91"/>
  <c r="T95" i="91"/>
  <c r="U95" i="91"/>
  <c r="V95" i="91"/>
  <c r="AA96" i="98" s="1"/>
  <c r="W95" i="91"/>
  <c r="AB96" i="98" s="1"/>
  <c r="X95" i="91"/>
  <c r="AC96" i="98" s="1"/>
  <c r="Y95" i="91"/>
  <c r="AD96" i="98" s="1"/>
  <c r="Z95" i="91"/>
  <c r="AE96" i="98" s="1"/>
  <c r="Q96" i="91"/>
  <c r="R96" i="91"/>
  <c r="S96" i="91"/>
  <c r="T96" i="91"/>
  <c r="U96" i="91"/>
  <c r="V96" i="91"/>
  <c r="AA97" i="98" s="1"/>
  <c r="W96" i="91"/>
  <c r="AB97" i="98" s="1"/>
  <c r="X96" i="91"/>
  <c r="AC97" i="98" s="1"/>
  <c r="Y96" i="91"/>
  <c r="AD97" i="98" s="1"/>
  <c r="Z96" i="91"/>
  <c r="AE97" i="98" s="1"/>
  <c r="Q97" i="91"/>
  <c r="R97" i="91"/>
  <c r="S97" i="91"/>
  <c r="T97" i="91"/>
  <c r="U97" i="91"/>
  <c r="V97" i="91"/>
  <c r="AA98" i="98" s="1"/>
  <c r="W97" i="91"/>
  <c r="AB98" i="98" s="1"/>
  <c r="X97" i="91"/>
  <c r="AC98" i="98" s="1"/>
  <c r="Y97" i="91"/>
  <c r="AD98" i="98" s="1"/>
  <c r="Z97" i="91"/>
  <c r="AE98" i="98" s="1"/>
  <c r="Q98" i="91"/>
  <c r="R98" i="91"/>
  <c r="S98" i="91"/>
  <c r="T98" i="91"/>
  <c r="U98" i="91"/>
  <c r="V98" i="91"/>
  <c r="AA99" i="98" s="1"/>
  <c r="W98" i="91"/>
  <c r="AB99" i="98" s="1"/>
  <c r="X98" i="91"/>
  <c r="AC99" i="98" s="1"/>
  <c r="Y98" i="91"/>
  <c r="AD99" i="98" s="1"/>
  <c r="Z98" i="91"/>
  <c r="AE99" i="98" s="1"/>
  <c r="Q99" i="91"/>
  <c r="R99" i="91"/>
  <c r="S99" i="91"/>
  <c r="T99" i="91"/>
  <c r="U99" i="91"/>
  <c r="V99" i="91"/>
  <c r="AA100" i="98" s="1"/>
  <c r="W99" i="91"/>
  <c r="AB100" i="98" s="1"/>
  <c r="X99" i="91"/>
  <c r="AC100" i="98" s="1"/>
  <c r="Y99" i="91"/>
  <c r="AD100" i="98" s="1"/>
  <c r="Z99" i="91"/>
  <c r="AE100" i="98" s="1"/>
  <c r="Q100" i="91"/>
  <c r="R100" i="91"/>
  <c r="S100" i="91"/>
  <c r="T100" i="91"/>
  <c r="U100" i="91"/>
  <c r="V100" i="91"/>
  <c r="AA101" i="98" s="1"/>
  <c r="W100" i="91"/>
  <c r="AB101" i="98" s="1"/>
  <c r="X100" i="91"/>
  <c r="AC101" i="98" s="1"/>
  <c r="Y100" i="91"/>
  <c r="AD101" i="98" s="1"/>
  <c r="Z100" i="91"/>
  <c r="AE101" i="98" s="1"/>
  <c r="Q101" i="91"/>
  <c r="R101" i="91"/>
  <c r="S101" i="91"/>
  <c r="T101" i="91"/>
  <c r="U101" i="91"/>
  <c r="V101" i="91"/>
  <c r="AA102" i="98" s="1"/>
  <c r="W101" i="91"/>
  <c r="AB102" i="98" s="1"/>
  <c r="X101" i="91"/>
  <c r="AC102" i="98" s="1"/>
  <c r="Y101" i="91"/>
  <c r="AD102" i="98" s="1"/>
  <c r="Z101" i="91"/>
  <c r="AE102" i="98" s="1"/>
  <c r="Q102" i="91"/>
  <c r="R102" i="91"/>
  <c r="S102" i="91"/>
  <c r="T102" i="91"/>
  <c r="U102" i="91"/>
  <c r="V102" i="91"/>
  <c r="AA103" i="98" s="1"/>
  <c r="W102" i="91"/>
  <c r="AB103" i="98" s="1"/>
  <c r="X102" i="91"/>
  <c r="AC103" i="98" s="1"/>
  <c r="Y102" i="91"/>
  <c r="AD103" i="98" s="1"/>
  <c r="Z102" i="91"/>
  <c r="AE103" i="98" s="1"/>
  <c r="Q103" i="91"/>
  <c r="R103" i="91"/>
  <c r="S103" i="91"/>
  <c r="T103" i="91"/>
  <c r="U103" i="91"/>
  <c r="V103" i="91"/>
  <c r="AA104" i="98" s="1"/>
  <c r="W103" i="91"/>
  <c r="AB104" i="98" s="1"/>
  <c r="X103" i="91"/>
  <c r="AC104" i="98" s="1"/>
  <c r="Y103" i="91"/>
  <c r="AD104" i="98" s="1"/>
  <c r="Z103" i="91"/>
  <c r="AE104" i="98" s="1"/>
  <c r="Q104" i="91"/>
  <c r="R104" i="91"/>
  <c r="S104" i="91"/>
  <c r="T104" i="91"/>
  <c r="U104" i="91"/>
  <c r="V104" i="91"/>
  <c r="AA105" i="98" s="1"/>
  <c r="W104" i="91"/>
  <c r="AB105" i="98" s="1"/>
  <c r="X104" i="91"/>
  <c r="AC105" i="98" s="1"/>
  <c r="Y104" i="91"/>
  <c r="AD105" i="98" s="1"/>
  <c r="Z104" i="91"/>
  <c r="AE105" i="98" s="1"/>
  <c r="Q105" i="91"/>
  <c r="R105" i="91"/>
  <c r="S105" i="91"/>
  <c r="T105" i="91"/>
  <c r="U105" i="91"/>
  <c r="V105" i="91"/>
  <c r="AA106" i="98" s="1"/>
  <c r="W105" i="91"/>
  <c r="AB106" i="98" s="1"/>
  <c r="X105" i="91"/>
  <c r="AC106" i="98" s="1"/>
  <c r="Y105" i="91"/>
  <c r="AD106" i="98" s="1"/>
  <c r="Z105" i="91"/>
  <c r="AE106" i="98" s="1"/>
  <c r="Q106" i="91"/>
  <c r="R106" i="91"/>
  <c r="S106" i="91"/>
  <c r="T106" i="91"/>
  <c r="U106" i="91"/>
  <c r="V106" i="91"/>
  <c r="AA107" i="98" s="1"/>
  <c r="W106" i="91"/>
  <c r="AB107" i="98" s="1"/>
  <c r="X106" i="91"/>
  <c r="AC107" i="98" s="1"/>
  <c r="Y106" i="91"/>
  <c r="AD107" i="98" s="1"/>
  <c r="Z106" i="91"/>
  <c r="AE107" i="98" s="1"/>
  <c r="Q107" i="91"/>
  <c r="R107" i="91"/>
  <c r="S107" i="91"/>
  <c r="T107" i="91"/>
  <c r="U107" i="91"/>
  <c r="V107" i="91"/>
  <c r="AA108" i="98" s="1"/>
  <c r="W107" i="91"/>
  <c r="AB108" i="98" s="1"/>
  <c r="X107" i="91"/>
  <c r="AC108" i="98" s="1"/>
  <c r="Y107" i="91"/>
  <c r="AD108" i="98" s="1"/>
  <c r="Z107" i="91"/>
  <c r="AE108" i="98" s="1"/>
  <c r="Q108" i="91"/>
  <c r="R108" i="91"/>
  <c r="S108" i="91"/>
  <c r="T108" i="91"/>
  <c r="U108" i="91"/>
  <c r="V108" i="91"/>
  <c r="AA109" i="98" s="1"/>
  <c r="W108" i="91"/>
  <c r="AB109" i="98" s="1"/>
  <c r="X108" i="91"/>
  <c r="AC109" i="98" s="1"/>
  <c r="Y108" i="91"/>
  <c r="AD109" i="98" s="1"/>
  <c r="Z108" i="91"/>
  <c r="AE109" i="98" s="1"/>
  <c r="Q109" i="91"/>
  <c r="R109" i="91"/>
  <c r="S109" i="91"/>
  <c r="T109" i="91"/>
  <c r="U109" i="91"/>
  <c r="V109" i="91"/>
  <c r="AA110" i="98" s="1"/>
  <c r="W109" i="91"/>
  <c r="AB110" i="98" s="1"/>
  <c r="X109" i="91"/>
  <c r="AC110" i="98" s="1"/>
  <c r="Y109" i="91"/>
  <c r="AD110" i="98" s="1"/>
  <c r="Z109" i="91"/>
  <c r="AE110" i="98" s="1"/>
  <c r="Q110" i="91"/>
  <c r="R110" i="91"/>
  <c r="S110" i="91"/>
  <c r="T110" i="91"/>
  <c r="U110" i="91"/>
  <c r="V110" i="91"/>
  <c r="AA111" i="98" s="1"/>
  <c r="W110" i="91"/>
  <c r="AB111" i="98" s="1"/>
  <c r="X110" i="91"/>
  <c r="AC111" i="98" s="1"/>
  <c r="Y110" i="91"/>
  <c r="AD111" i="98" s="1"/>
  <c r="Z110" i="91"/>
  <c r="AE111" i="98" s="1"/>
  <c r="Q111" i="91"/>
  <c r="R111" i="91"/>
  <c r="S111" i="91"/>
  <c r="T111" i="91"/>
  <c r="U111" i="91"/>
  <c r="V111" i="91"/>
  <c r="AA112" i="98" s="1"/>
  <c r="W111" i="91"/>
  <c r="AB112" i="98" s="1"/>
  <c r="X111" i="91"/>
  <c r="AC112" i="98" s="1"/>
  <c r="Y111" i="91"/>
  <c r="AD112" i="98" s="1"/>
  <c r="Z111" i="91"/>
  <c r="AE112" i="98" s="1"/>
  <c r="Q112" i="91"/>
  <c r="R112" i="91"/>
  <c r="S112" i="91"/>
  <c r="T112" i="91"/>
  <c r="U112" i="91"/>
  <c r="V112" i="91"/>
  <c r="AA113" i="98" s="1"/>
  <c r="W112" i="91"/>
  <c r="AB113" i="98" s="1"/>
  <c r="X112" i="91"/>
  <c r="AC113" i="98" s="1"/>
  <c r="Y112" i="91"/>
  <c r="AD113" i="98" s="1"/>
  <c r="Z112" i="91"/>
  <c r="AE113" i="98" s="1"/>
  <c r="Q113" i="91"/>
  <c r="R113" i="91"/>
  <c r="S113" i="91"/>
  <c r="T113" i="91"/>
  <c r="U113" i="91"/>
  <c r="V113" i="91"/>
  <c r="AA114" i="98" s="1"/>
  <c r="W113" i="91"/>
  <c r="AB114" i="98" s="1"/>
  <c r="X113" i="91"/>
  <c r="AC114" i="98" s="1"/>
  <c r="Y113" i="91"/>
  <c r="AD114" i="98" s="1"/>
  <c r="Z113" i="91"/>
  <c r="AE114" i="98" s="1"/>
  <c r="Q114" i="91"/>
  <c r="R114" i="91"/>
  <c r="S114" i="91"/>
  <c r="T114" i="91"/>
  <c r="U114" i="91"/>
  <c r="V114" i="91"/>
  <c r="AA115" i="98" s="1"/>
  <c r="W114" i="91"/>
  <c r="AB115" i="98" s="1"/>
  <c r="X114" i="91"/>
  <c r="AC115" i="98" s="1"/>
  <c r="Y114" i="91"/>
  <c r="AD115" i="98" s="1"/>
  <c r="Z114" i="91"/>
  <c r="AE115" i="98" s="1"/>
  <c r="Q115" i="91"/>
  <c r="R115" i="91"/>
  <c r="S115" i="91"/>
  <c r="T115" i="91"/>
  <c r="U115" i="91"/>
  <c r="V115" i="91"/>
  <c r="AA116" i="98" s="1"/>
  <c r="W115" i="91"/>
  <c r="AB116" i="98" s="1"/>
  <c r="X115" i="91"/>
  <c r="AC116" i="98" s="1"/>
  <c r="Y115" i="91"/>
  <c r="AD116" i="98" s="1"/>
  <c r="Z115" i="91"/>
  <c r="AE116" i="98" s="1"/>
  <c r="Q116" i="91"/>
  <c r="R116" i="91"/>
  <c r="S116" i="91"/>
  <c r="T116" i="91"/>
  <c r="U116" i="91"/>
  <c r="V116" i="91"/>
  <c r="AA117" i="98" s="1"/>
  <c r="W116" i="91"/>
  <c r="AB117" i="98" s="1"/>
  <c r="X116" i="91"/>
  <c r="AC117" i="98" s="1"/>
  <c r="Y116" i="91"/>
  <c r="AD117" i="98" s="1"/>
  <c r="Z116" i="91"/>
  <c r="AE117" i="98" s="1"/>
  <c r="Q117" i="91"/>
  <c r="R117" i="91"/>
  <c r="S117" i="91"/>
  <c r="T117" i="91"/>
  <c r="U117" i="91"/>
  <c r="V117" i="91"/>
  <c r="AA118" i="98" s="1"/>
  <c r="W117" i="91"/>
  <c r="AB118" i="98" s="1"/>
  <c r="X117" i="91"/>
  <c r="AC118" i="98" s="1"/>
  <c r="Y117" i="91"/>
  <c r="AD118" i="98" s="1"/>
  <c r="Z117" i="91"/>
  <c r="AE118" i="98" s="1"/>
  <c r="Q118" i="91"/>
  <c r="R118" i="91"/>
  <c r="S118" i="91"/>
  <c r="T118" i="91"/>
  <c r="U118" i="91"/>
  <c r="V118" i="91"/>
  <c r="AA119" i="98" s="1"/>
  <c r="W118" i="91"/>
  <c r="AB119" i="98" s="1"/>
  <c r="X118" i="91"/>
  <c r="AC119" i="98" s="1"/>
  <c r="Y118" i="91"/>
  <c r="AD119" i="98" s="1"/>
  <c r="Z118" i="91"/>
  <c r="AE119" i="98" s="1"/>
  <c r="Q119" i="91"/>
  <c r="R119" i="91"/>
  <c r="S119" i="91"/>
  <c r="T119" i="91"/>
  <c r="U119" i="91"/>
  <c r="V119" i="91"/>
  <c r="AA120" i="98" s="1"/>
  <c r="W119" i="91"/>
  <c r="AB120" i="98" s="1"/>
  <c r="X119" i="91"/>
  <c r="AC120" i="98" s="1"/>
  <c r="Y119" i="91"/>
  <c r="AD120" i="98" s="1"/>
  <c r="Z119" i="91"/>
  <c r="AE120" i="98" s="1"/>
  <c r="Q120" i="91"/>
  <c r="R120" i="91"/>
  <c r="S120" i="91"/>
  <c r="T120" i="91"/>
  <c r="U120" i="91"/>
  <c r="V120" i="91"/>
  <c r="AA121" i="98" s="1"/>
  <c r="W120" i="91"/>
  <c r="AB121" i="98" s="1"/>
  <c r="X120" i="91"/>
  <c r="AC121" i="98" s="1"/>
  <c r="Y120" i="91"/>
  <c r="AD121" i="98" s="1"/>
  <c r="Z120" i="91"/>
  <c r="AE121" i="98" s="1"/>
  <c r="Q121" i="91"/>
  <c r="R121" i="91"/>
  <c r="S121" i="91"/>
  <c r="T121" i="91"/>
  <c r="U121" i="91"/>
  <c r="V121" i="91"/>
  <c r="AA122" i="98" s="1"/>
  <c r="W121" i="91"/>
  <c r="AB122" i="98" s="1"/>
  <c r="X121" i="91"/>
  <c r="AC122" i="98" s="1"/>
  <c r="Y121" i="91"/>
  <c r="AD122" i="98" s="1"/>
  <c r="Z121" i="91"/>
  <c r="AE122" i="98" s="1"/>
  <c r="Q122" i="91"/>
  <c r="R122" i="91"/>
  <c r="S122" i="91"/>
  <c r="T122" i="91"/>
  <c r="U122" i="91"/>
  <c r="V122" i="91"/>
  <c r="AA123" i="98" s="1"/>
  <c r="W122" i="91"/>
  <c r="AB123" i="98" s="1"/>
  <c r="X122" i="91"/>
  <c r="AC123" i="98" s="1"/>
  <c r="Y122" i="91"/>
  <c r="AD123" i="98" s="1"/>
  <c r="Z122" i="91"/>
  <c r="AE123" i="98" s="1"/>
  <c r="Q123" i="91"/>
  <c r="R123" i="91"/>
  <c r="S123" i="91"/>
  <c r="T123" i="91"/>
  <c r="U123" i="91"/>
  <c r="V123" i="91"/>
  <c r="AA124" i="98" s="1"/>
  <c r="W123" i="91"/>
  <c r="AB124" i="98" s="1"/>
  <c r="X123" i="91"/>
  <c r="AC124" i="98" s="1"/>
  <c r="Y123" i="91"/>
  <c r="AD124" i="98" s="1"/>
  <c r="Z123" i="91"/>
  <c r="AE124" i="98" s="1"/>
  <c r="Q124" i="91"/>
  <c r="R124" i="91"/>
  <c r="S124" i="91"/>
  <c r="T124" i="91"/>
  <c r="U124" i="91"/>
  <c r="V124" i="91"/>
  <c r="AA125" i="98" s="1"/>
  <c r="W124" i="91"/>
  <c r="AB125" i="98" s="1"/>
  <c r="X124" i="91"/>
  <c r="AC125" i="98" s="1"/>
  <c r="Y124" i="91"/>
  <c r="AD125" i="98" s="1"/>
  <c r="Z124" i="91"/>
  <c r="AE125" i="98" s="1"/>
  <c r="Q125" i="91"/>
  <c r="R125" i="91"/>
  <c r="S125" i="91"/>
  <c r="T125" i="91"/>
  <c r="U125" i="91"/>
  <c r="V125" i="91"/>
  <c r="AA126" i="98" s="1"/>
  <c r="W125" i="91"/>
  <c r="AB126" i="98" s="1"/>
  <c r="X125" i="91"/>
  <c r="AC126" i="98" s="1"/>
  <c r="Y125" i="91"/>
  <c r="AD126" i="98" s="1"/>
  <c r="Z125" i="91"/>
  <c r="AE126" i="98" s="1"/>
  <c r="Q126" i="91"/>
  <c r="R126" i="91"/>
  <c r="S126" i="91"/>
  <c r="T126" i="91"/>
  <c r="U126" i="91"/>
  <c r="V126" i="91"/>
  <c r="AA127" i="98" s="1"/>
  <c r="W126" i="91"/>
  <c r="AB127" i="98" s="1"/>
  <c r="X126" i="91"/>
  <c r="AC127" i="98" s="1"/>
  <c r="Y126" i="91"/>
  <c r="AD127" i="98" s="1"/>
  <c r="Z126" i="91"/>
  <c r="AE127" i="98" s="1"/>
  <c r="Q127" i="91"/>
  <c r="R127" i="91"/>
  <c r="S127" i="91"/>
  <c r="T127" i="91"/>
  <c r="U127" i="91"/>
  <c r="V127" i="91"/>
  <c r="AA128" i="98" s="1"/>
  <c r="W127" i="91"/>
  <c r="AB128" i="98" s="1"/>
  <c r="X127" i="91"/>
  <c r="AC128" i="98" s="1"/>
  <c r="Y127" i="91"/>
  <c r="AD128" i="98" s="1"/>
  <c r="Z127" i="91"/>
  <c r="AE128" i="98" s="1"/>
  <c r="Q128" i="91"/>
  <c r="R128" i="91"/>
  <c r="S128" i="91"/>
  <c r="T128" i="91"/>
  <c r="U128" i="91"/>
  <c r="V128" i="91"/>
  <c r="AA129" i="98" s="1"/>
  <c r="W128" i="91"/>
  <c r="AB129" i="98" s="1"/>
  <c r="X128" i="91"/>
  <c r="AC129" i="98" s="1"/>
  <c r="Y128" i="91"/>
  <c r="AD129" i="98" s="1"/>
  <c r="Z128" i="91"/>
  <c r="AE129" i="98" s="1"/>
  <c r="Q129" i="91"/>
  <c r="R129" i="91"/>
  <c r="S129" i="91"/>
  <c r="T129" i="91"/>
  <c r="U129" i="91"/>
  <c r="V129" i="91"/>
  <c r="AA130" i="98" s="1"/>
  <c r="W129" i="91"/>
  <c r="AB130" i="98" s="1"/>
  <c r="X129" i="91"/>
  <c r="AC130" i="98" s="1"/>
  <c r="Y129" i="91"/>
  <c r="AD130" i="98" s="1"/>
  <c r="Z129" i="91"/>
  <c r="AE130" i="98" s="1"/>
  <c r="Q130" i="91"/>
  <c r="R130" i="91"/>
  <c r="S130" i="91"/>
  <c r="T130" i="91"/>
  <c r="U130" i="91"/>
  <c r="V130" i="91"/>
  <c r="AA131" i="98" s="1"/>
  <c r="W130" i="91"/>
  <c r="AB131" i="98" s="1"/>
  <c r="X130" i="91"/>
  <c r="AC131" i="98" s="1"/>
  <c r="Y130" i="91"/>
  <c r="AD131" i="98" s="1"/>
  <c r="Z130" i="91"/>
  <c r="AE131" i="98" s="1"/>
  <c r="Q131" i="91"/>
  <c r="R131" i="91"/>
  <c r="S131" i="91"/>
  <c r="T131" i="91"/>
  <c r="U131" i="91"/>
  <c r="V131" i="91"/>
  <c r="AA132" i="98" s="1"/>
  <c r="W131" i="91"/>
  <c r="AB132" i="98" s="1"/>
  <c r="X131" i="91"/>
  <c r="AC132" i="98" s="1"/>
  <c r="Y131" i="91"/>
  <c r="AD132" i="98" s="1"/>
  <c r="Z131" i="91"/>
  <c r="AE132" i="98" s="1"/>
  <c r="Q132" i="91"/>
  <c r="R132" i="91"/>
  <c r="S132" i="91"/>
  <c r="T132" i="91"/>
  <c r="U132" i="91"/>
  <c r="V132" i="91"/>
  <c r="AA133" i="98" s="1"/>
  <c r="W132" i="91"/>
  <c r="AB133" i="98" s="1"/>
  <c r="X132" i="91"/>
  <c r="AC133" i="98" s="1"/>
  <c r="Y132" i="91"/>
  <c r="AD133" i="98" s="1"/>
  <c r="Z132" i="91"/>
  <c r="AE133" i="98" s="1"/>
  <c r="Q133" i="91"/>
  <c r="R133" i="91"/>
  <c r="S133" i="91"/>
  <c r="T133" i="91"/>
  <c r="U133" i="91"/>
  <c r="V133" i="91"/>
  <c r="AA134" i="98" s="1"/>
  <c r="W133" i="91"/>
  <c r="AB134" i="98" s="1"/>
  <c r="X133" i="91"/>
  <c r="AC134" i="98" s="1"/>
  <c r="Y133" i="91"/>
  <c r="AD134" i="98" s="1"/>
  <c r="Z133" i="91"/>
  <c r="AE134" i="98" s="1"/>
  <c r="Q134" i="91"/>
  <c r="R134" i="91"/>
  <c r="S134" i="91"/>
  <c r="T134" i="91"/>
  <c r="U134" i="91"/>
  <c r="V134" i="91"/>
  <c r="AA135" i="98" s="1"/>
  <c r="W134" i="91"/>
  <c r="AB135" i="98" s="1"/>
  <c r="X134" i="91"/>
  <c r="AC135" i="98" s="1"/>
  <c r="Y134" i="91"/>
  <c r="AD135" i="98" s="1"/>
  <c r="Z134" i="91"/>
  <c r="AE135" i="98" s="1"/>
  <c r="Q135" i="91"/>
  <c r="R135" i="91"/>
  <c r="S135" i="91"/>
  <c r="T135" i="91"/>
  <c r="U135" i="91"/>
  <c r="V135" i="91"/>
  <c r="AA136" i="98" s="1"/>
  <c r="W135" i="91"/>
  <c r="AB136" i="98" s="1"/>
  <c r="X135" i="91"/>
  <c r="AC136" i="98" s="1"/>
  <c r="Y135" i="91"/>
  <c r="AD136" i="98" s="1"/>
  <c r="Z135" i="91"/>
  <c r="AE136" i="98" s="1"/>
  <c r="Q136" i="91"/>
  <c r="R136" i="91"/>
  <c r="S136" i="91"/>
  <c r="T136" i="91"/>
  <c r="U136" i="91"/>
  <c r="V136" i="91"/>
  <c r="AA137" i="98" s="1"/>
  <c r="W136" i="91"/>
  <c r="AB137" i="98" s="1"/>
  <c r="X136" i="91"/>
  <c r="AC137" i="98" s="1"/>
  <c r="Y136" i="91"/>
  <c r="AD137" i="98" s="1"/>
  <c r="Z136" i="91"/>
  <c r="AE137" i="98" s="1"/>
  <c r="Q137" i="91"/>
  <c r="R137" i="91"/>
  <c r="S137" i="91"/>
  <c r="T137" i="91"/>
  <c r="U137" i="91"/>
  <c r="V137" i="91"/>
  <c r="AA138" i="98" s="1"/>
  <c r="W137" i="91"/>
  <c r="AB138" i="98" s="1"/>
  <c r="X137" i="91"/>
  <c r="AC138" i="98" s="1"/>
  <c r="Y137" i="91"/>
  <c r="AD138" i="98" s="1"/>
  <c r="Z137" i="91"/>
  <c r="AE138" i="98" s="1"/>
  <c r="Q138" i="91"/>
  <c r="R138" i="91"/>
  <c r="S138" i="91"/>
  <c r="T138" i="91"/>
  <c r="U138" i="91"/>
  <c r="V138" i="91"/>
  <c r="AA139" i="98" s="1"/>
  <c r="W138" i="91"/>
  <c r="AB139" i="98" s="1"/>
  <c r="X138" i="91"/>
  <c r="AC139" i="98" s="1"/>
  <c r="Y138" i="91"/>
  <c r="AD139" i="98" s="1"/>
  <c r="Z138" i="91"/>
  <c r="AE139" i="98" s="1"/>
  <c r="Q139" i="91"/>
  <c r="R139" i="91"/>
  <c r="S139" i="91"/>
  <c r="T139" i="91"/>
  <c r="U139" i="91"/>
  <c r="V139" i="91"/>
  <c r="AA140" i="98" s="1"/>
  <c r="W139" i="91"/>
  <c r="AB140" i="98" s="1"/>
  <c r="X139" i="91"/>
  <c r="AC140" i="98" s="1"/>
  <c r="Y139" i="91"/>
  <c r="AD140" i="98" s="1"/>
  <c r="Z139" i="91"/>
  <c r="AE140" i="98" s="1"/>
  <c r="Q140" i="91"/>
  <c r="R140" i="91"/>
  <c r="S140" i="91"/>
  <c r="T140" i="91"/>
  <c r="U140" i="91"/>
  <c r="V140" i="91"/>
  <c r="AA141" i="98" s="1"/>
  <c r="W140" i="91"/>
  <c r="AB141" i="98" s="1"/>
  <c r="X140" i="91"/>
  <c r="AC141" i="98" s="1"/>
  <c r="Y140" i="91"/>
  <c r="AD141" i="98" s="1"/>
  <c r="Z140" i="91"/>
  <c r="AE141" i="98" s="1"/>
  <c r="Q141" i="91"/>
  <c r="R141" i="91"/>
  <c r="S141" i="91"/>
  <c r="T141" i="91"/>
  <c r="U141" i="91"/>
  <c r="V141" i="91"/>
  <c r="AA142" i="98" s="1"/>
  <c r="W141" i="91"/>
  <c r="AB142" i="98" s="1"/>
  <c r="X141" i="91"/>
  <c r="AC142" i="98" s="1"/>
  <c r="Y141" i="91"/>
  <c r="AD142" i="98" s="1"/>
  <c r="Z141" i="91"/>
  <c r="AE142" i="98" s="1"/>
  <c r="Q142" i="91"/>
  <c r="R142" i="91"/>
  <c r="S142" i="91"/>
  <c r="T142" i="91"/>
  <c r="U142" i="91"/>
  <c r="V142" i="91"/>
  <c r="AA143" i="98" s="1"/>
  <c r="W142" i="91"/>
  <c r="AB143" i="98" s="1"/>
  <c r="X142" i="91"/>
  <c r="AC143" i="98" s="1"/>
  <c r="Y142" i="91"/>
  <c r="AD143" i="98" s="1"/>
  <c r="Z142" i="91"/>
  <c r="AE143" i="98" s="1"/>
  <c r="Q143" i="91"/>
  <c r="R143" i="91"/>
  <c r="S143" i="91"/>
  <c r="T143" i="91"/>
  <c r="U143" i="91"/>
  <c r="V143" i="91"/>
  <c r="AA144" i="98" s="1"/>
  <c r="W143" i="91"/>
  <c r="AB144" i="98" s="1"/>
  <c r="X143" i="91"/>
  <c r="AC144" i="98" s="1"/>
  <c r="Y143" i="91"/>
  <c r="AD144" i="98" s="1"/>
  <c r="Z143" i="91"/>
  <c r="AE144" i="98" s="1"/>
  <c r="Q144" i="91"/>
  <c r="R144" i="91"/>
  <c r="S144" i="91"/>
  <c r="T144" i="91"/>
  <c r="U144" i="91"/>
  <c r="V144" i="91"/>
  <c r="AA145" i="98" s="1"/>
  <c r="W144" i="91"/>
  <c r="AB145" i="98" s="1"/>
  <c r="X144" i="91"/>
  <c r="AC145" i="98" s="1"/>
  <c r="Y144" i="91"/>
  <c r="AD145" i="98" s="1"/>
  <c r="Z144" i="91"/>
  <c r="AE145" i="98" s="1"/>
  <c r="Q145" i="91"/>
  <c r="R145" i="91"/>
  <c r="S145" i="91"/>
  <c r="T145" i="91"/>
  <c r="U145" i="91"/>
  <c r="V145" i="91"/>
  <c r="AA146" i="98" s="1"/>
  <c r="W145" i="91"/>
  <c r="AB146" i="98" s="1"/>
  <c r="X145" i="91"/>
  <c r="AC146" i="98" s="1"/>
  <c r="Y145" i="91"/>
  <c r="AD146" i="98" s="1"/>
  <c r="Z145" i="91"/>
  <c r="AE146" i="98" s="1"/>
  <c r="Q146" i="91"/>
  <c r="R146" i="91"/>
  <c r="S146" i="91"/>
  <c r="T146" i="91"/>
  <c r="U146" i="91"/>
  <c r="V146" i="91"/>
  <c r="AA147" i="98" s="1"/>
  <c r="W146" i="91"/>
  <c r="AB147" i="98" s="1"/>
  <c r="X146" i="91"/>
  <c r="AC147" i="98" s="1"/>
  <c r="Y146" i="91"/>
  <c r="AD147" i="98" s="1"/>
  <c r="Z146" i="91"/>
  <c r="AE147" i="98" s="1"/>
  <c r="Q147" i="91"/>
  <c r="R147" i="91"/>
  <c r="S147" i="91"/>
  <c r="T147" i="91"/>
  <c r="U147" i="91"/>
  <c r="V147" i="91"/>
  <c r="AA148" i="98" s="1"/>
  <c r="W147" i="91"/>
  <c r="AB148" i="98" s="1"/>
  <c r="X147" i="91"/>
  <c r="AC148" i="98" s="1"/>
  <c r="Y147" i="91"/>
  <c r="AD148" i="98" s="1"/>
  <c r="Z147" i="91"/>
  <c r="AE148" i="98" s="1"/>
  <c r="Q148" i="91"/>
  <c r="R148" i="91"/>
  <c r="S148" i="91"/>
  <c r="T148" i="91"/>
  <c r="U148" i="91"/>
  <c r="V148" i="91"/>
  <c r="AA149" i="98" s="1"/>
  <c r="W148" i="91"/>
  <c r="AB149" i="98" s="1"/>
  <c r="X148" i="91"/>
  <c r="AC149" i="98" s="1"/>
  <c r="Y148" i="91"/>
  <c r="AD149" i="98" s="1"/>
  <c r="Z148" i="91"/>
  <c r="AE149" i="98" s="1"/>
  <c r="Q149" i="91"/>
  <c r="R149" i="91"/>
  <c r="S149" i="91"/>
  <c r="T149" i="91"/>
  <c r="U149" i="91"/>
  <c r="V149" i="91"/>
  <c r="AA150" i="98" s="1"/>
  <c r="W149" i="91"/>
  <c r="AB150" i="98" s="1"/>
  <c r="X149" i="91"/>
  <c r="AC150" i="98" s="1"/>
  <c r="Y149" i="91"/>
  <c r="AD150" i="98" s="1"/>
  <c r="Z149" i="91"/>
  <c r="AE150" i="98" s="1"/>
  <c r="Q150" i="91"/>
  <c r="R150" i="91"/>
  <c r="S150" i="91"/>
  <c r="T150" i="91"/>
  <c r="U150" i="91"/>
  <c r="V150" i="91"/>
  <c r="AA151" i="98" s="1"/>
  <c r="W150" i="91"/>
  <c r="AB151" i="98" s="1"/>
  <c r="X150" i="91"/>
  <c r="AC151" i="98" s="1"/>
  <c r="Y150" i="91"/>
  <c r="AD151" i="98" s="1"/>
  <c r="Z150" i="91"/>
  <c r="AE151" i="98" s="1"/>
  <c r="Q151" i="91"/>
  <c r="R151" i="91"/>
  <c r="S151" i="91"/>
  <c r="T151" i="91"/>
  <c r="U151" i="91"/>
  <c r="V151" i="91"/>
  <c r="AA152" i="98" s="1"/>
  <c r="W151" i="91"/>
  <c r="AB152" i="98" s="1"/>
  <c r="X151" i="91"/>
  <c r="AC152" i="98" s="1"/>
  <c r="Y151" i="91"/>
  <c r="AD152" i="98" s="1"/>
  <c r="Z151" i="91"/>
  <c r="AE152" i="98" s="1"/>
  <c r="Q152" i="91"/>
  <c r="R152" i="91"/>
  <c r="S152" i="91"/>
  <c r="T152" i="91"/>
  <c r="U152" i="91"/>
  <c r="V152" i="91"/>
  <c r="AA153" i="98" s="1"/>
  <c r="W152" i="91"/>
  <c r="AB153" i="98" s="1"/>
  <c r="X152" i="91"/>
  <c r="AC153" i="98" s="1"/>
  <c r="Y152" i="91"/>
  <c r="AD153" i="98" s="1"/>
  <c r="Z152" i="91"/>
  <c r="AE153" i="98" s="1"/>
  <c r="Q153" i="91"/>
  <c r="R153" i="91"/>
  <c r="S153" i="91"/>
  <c r="T153" i="91"/>
  <c r="U153" i="91"/>
  <c r="V153" i="91"/>
  <c r="AA154" i="98" s="1"/>
  <c r="W153" i="91"/>
  <c r="AB154" i="98" s="1"/>
  <c r="X153" i="91"/>
  <c r="AC154" i="98" s="1"/>
  <c r="Y153" i="91"/>
  <c r="AD154" i="98" s="1"/>
  <c r="Z153" i="91"/>
  <c r="AE154" i="98" s="1"/>
  <c r="Q154" i="91"/>
  <c r="R154" i="91"/>
  <c r="S154" i="91"/>
  <c r="T154" i="91"/>
  <c r="U154" i="91"/>
  <c r="V154" i="91"/>
  <c r="AA155" i="98" s="1"/>
  <c r="W154" i="91"/>
  <c r="AB155" i="98" s="1"/>
  <c r="X154" i="91"/>
  <c r="AC155" i="98" s="1"/>
  <c r="Y154" i="91"/>
  <c r="AD155" i="98" s="1"/>
  <c r="Z154" i="91"/>
  <c r="AE155" i="98" s="1"/>
  <c r="Q155" i="91"/>
  <c r="R155" i="91"/>
  <c r="S155" i="91"/>
  <c r="T155" i="91"/>
  <c r="U155" i="91"/>
  <c r="V155" i="91"/>
  <c r="AA156" i="98" s="1"/>
  <c r="W155" i="91"/>
  <c r="AB156" i="98" s="1"/>
  <c r="X155" i="91"/>
  <c r="AC156" i="98" s="1"/>
  <c r="Y155" i="91"/>
  <c r="AD156" i="98" s="1"/>
  <c r="Z155" i="91"/>
  <c r="AE156" i="98" s="1"/>
  <c r="Q156" i="91"/>
  <c r="R156" i="91"/>
  <c r="S156" i="91"/>
  <c r="T156" i="91"/>
  <c r="U156" i="91"/>
  <c r="V156" i="91"/>
  <c r="AA157" i="98" s="1"/>
  <c r="W156" i="91"/>
  <c r="AB157" i="98" s="1"/>
  <c r="X156" i="91"/>
  <c r="AC157" i="98" s="1"/>
  <c r="Y156" i="91"/>
  <c r="AD157" i="98" s="1"/>
  <c r="Z156" i="91"/>
  <c r="AE157" i="98" s="1"/>
  <c r="Q157" i="91"/>
  <c r="R157" i="91"/>
  <c r="S157" i="91"/>
  <c r="T157" i="91"/>
  <c r="U157" i="91"/>
  <c r="V157" i="91"/>
  <c r="AA158" i="98" s="1"/>
  <c r="W157" i="91"/>
  <c r="AB158" i="98" s="1"/>
  <c r="X157" i="91"/>
  <c r="AC158" i="98" s="1"/>
  <c r="Y157" i="91"/>
  <c r="AD158" i="98" s="1"/>
  <c r="Z157" i="91"/>
  <c r="AE158" i="98" s="1"/>
  <c r="Q158" i="91"/>
  <c r="R158" i="91"/>
  <c r="S158" i="91"/>
  <c r="T158" i="91"/>
  <c r="U158" i="91"/>
  <c r="V158" i="91"/>
  <c r="AA159" i="98" s="1"/>
  <c r="W158" i="91"/>
  <c r="AB159" i="98" s="1"/>
  <c r="X158" i="91"/>
  <c r="AC159" i="98" s="1"/>
  <c r="Y158" i="91"/>
  <c r="AD159" i="98" s="1"/>
  <c r="Z158" i="91"/>
  <c r="AE159" i="98" s="1"/>
  <c r="Q159" i="91"/>
  <c r="R159" i="91"/>
  <c r="S159" i="91"/>
  <c r="T159" i="91"/>
  <c r="U159" i="91"/>
  <c r="V159" i="91"/>
  <c r="AA160" i="98" s="1"/>
  <c r="W159" i="91"/>
  <c r="AB160" i="98" s="1"/>
  <c r="X159" i="91"/>
  <c r="AC160" i="98" s="1"/>
  <c r="Y159" i="91"/>
  <c r="AD160" i="98" s="1"/>
  <c r="Z159" i="91"/>
  <c r="AE160" i="98" s="1"/>
  <c r="Q160" i="91"/>
  <c r="R160" i="91"/>
  <c r="S160" i="91"/>
  <c r="T160" i="91"/>
  <c r="U160" i="91"/>
  <c r="V160" i="91"/>
  <c r="AA161" i="98" s="1"/>
  <c r="W160" i="91"/>
  <c r="AB161" i="98" s="1"/>
  <c r="X160" i="91"/>
  <c r="AC161" i="98" s="1"/>
  <c r="Y160" i="91"/>
  <c r="AD161" i="98" s="1"/>
  <c r="Z160" i="91"/>
  <c r="AE161" i="98" s="1"/>
  <c r="Q161" i="91"/>
  <c r="R161" i="91"/>
  <c r="S161" i="91"/>
  <c r="T161" i="91"/>
  <c r="U161" i="91"/>
  <c r="V161" i="91"/>
  <c r="AA162" i="98" s="1"/>
  <c r="W161" i="91"/>
  <c r="AB162" i="98" s="1"/>
  <c r="X161" i="91"/>
  <c r="AC162" i="98" s="1"/>
  <c r="Y161" i="91"/>
  <c r="AD162" i="98" s="1"/>
  <c r="Z161" i="91"/>
  <c r="AE162" i="98" s="1"/>
  <c r="Q162" i="91"/>
  <c r="R162" i="91"/>
  <c r="S162" i="91"/>
  <c r="T162" i="91"/>
  <c r="U162" i="91"/>
  <c r="V162" i="91"/>
  <c r="AA163" i="98" s="1"/>
  <c r="W162" i="91"/>
  <c r="AB163" i="98" s="1"/>
  <c r="X162" i="91"/>
  <c r="AC163" i="98" s="1"/>
  <c r="Y162" i="91"/>
  <c r="AD163" i="98" s="1"/>
  <c r="Z162" i="91"/>
  <c r="AE163" i="98" s="1"/>
  <c r="Q163" i="91"/>
  <c r="R163" i="91"/>
  <c r="S163" i="91"/>
  <c r="T163" i="91"/>
  <c r="U163" i="91"/>
  <c r="V163" i="91"/>
  <c r="AA164" i="98" s="1"/>
  <c r="W163" i="91"/>
  <c r="AB164" i="98" s="1"/>
  <c r="X163" i="91"/>
  <c r="AC164" i="98" s="1"/>
  <c r="Y163" i="91"/>
  <c r="AD164" i="98" s="1"/>
  <c r="Z163" i="91"/>
  <c r="AE164" i="98" s="1"/>
  <c r="R4" i="91"/>
  <c r="S4" i="91"/>
  <c r="T4" i="91"/>
  <c r="U4" i="91"/>
  <c r="V4" i="91"/>
  <c r="AA5" i="98" s="1"/>
  <c r="W4" i="91"/>
  <c r="AB5" i="98" s="1"/>
  <c r="X4" i="91"/>
  <c r="AC5" i="98" s="1"/>
  <c r="Y4" i="91"/>
  <c r="AD5" i="98" s="1"/>
  <c r="Z4" i="91"/>
  <c r="AE5" i="98" s="1"/>
  <c r="Q4" i="91"/>
  <c r="E41" i="98"/>
  <c r="F41" i="98"/>
  <c r="G41" i="98"/>
  <c r="E44" i="98"/>
  <c r="F44" i="98"/>
  <c r="G44" i="98"/>
  <c r="E45" i="98"/>
  <c r="F45" i="98"/>
  <c r="G45" i="98"/>
  <c r="E46" i="98"/>
  <c r="F46" i="98"/>
  <c r="G46" i="98"/>
  <c r="E47" i="98"/>
  <c r="F47" i="98"/>
  <c r="G47" i="98"/>
  <c r="E48" i="98"/>
  <c r="F48" i="98"/>
  <c r="G48" i="98"/>
  <c r="E49" i="98"/>
  <c r="F49" i="98"/>
  <c r="G49" i="98"/>
  <c r="F40" i="98"/>
  <c r="G40" i="98"/>
  <c r="E40" i="98"/>
  <c r="BE15" i="96" l="1"/>
  <c r="BD13" i="96"/>
  <c r="E22" i="98"/>
  <c r="E23" i="98"/>
  <c r="J23" i="98" s="1"/>
  <c r="E24" i="98"/>
  <c r="J24" i="98" s="1"/>
  <c r="E21" i="98" l="1"/>
  <c r="J22" i="98"/>
  <c r="E25" i="98"/>
  <c r="F24" i="98"/>
  <c r="G24" i="98"/>
  <c r="H24" i="98"/>
  <c r="I24" i="98"/>
  <c r="G23" i="98"/>
  <c r="F23" i="98"/>
  <c r="H23" i="98"/>
  <c r="I23" i="98"/>
  <c r="F22" i="98"/>
  <c r="G22" i="98"/>
  <c r="H22" i="98"/>
  <c r="I22" i="98"/>
  <c r="BD14" i="96"/>
  <c r="BE16" i="96"/>
  <c r="J25" i="98" l="1"/>
  <c r="G21" i="98"/>
  <c r="F21" i="98"/>
  <c r="H21" i="98"/>
  <c r="I21" i="98"/>
  <c r="E26" i="98"/>
  <c r="F25" i="98"/>
  <c r="G25" i="98"/>
  <c r="I25" i="98"/>
  <c r="H25" i="98"/>
  <c r="BE17" i="96"/>
  <c r="BD15" i="96"/>
  <c r="J26" i="98" l="1"/>
  <c r="E27" i="98"/>
  <c r="G26" i="98"/>
  <c r="H26" i="98"/>
  <c r="I26" i="98"/>
  <c r="F26" i="98"/>
  <c r="BD16" i="96"/>
  <c r="BE18" i="96"/>
  <c r="J27" i="98" l="1"/>
  <c r="F27" i="98"/>
  <c r="G27" i="98"/>
  <c r="H27" i="98"/>
  <c r="I27" i="98"/>
  <c r="BE19" i="96"/>
  <c r="BD17" i="96"/>
  <c r="BD18" i="96" l="1"/>
  <c r="BE20" i="96"/>
  <c r="BE21" i="96" l="1"/>
  <c r="BD19" i="96"/>
  <c r="BD20" i="96" l="1"/>
  <c r="BE22" i="96"/>
  <c r="BE23" i="96" l="1"/>
  <c r="BE24" i="96" s="1"/>
  <c r="BD21" i="96"/>
  <c r="BD22" i="96" l="1"/>
  <c r="BE25" i="96"/>
  <c r="AL147" i="98" l="1"/>
  <c r="AI148" i="101" s="1"/>
  <c r="AL65" i="98"/>
  <c r="AI66" i="101" s="1"/>
  <c r="AL161" i="98"/>
  <c r="AI162" i="101" s="1"/>
  <c r="AL37" i="98"/>
  <c r="AI38" i="101" s="1"/>
  <c r="AL116" i="98"/>
  <c r="AI117" i="101" s="1"/>
  <c r="AL44" i="98"/>
  <c r="AI45" i="101" s="1"/>
  <c r="AL150" i="98"/>
  <c r="AI151" i="101" s="1"/>
  <c r="AL164" i="98"/>
  <c r="AI165" i="101" s="1"/>
  <c r="AL69" i="98"/>
  <c r="AI70" i="101" s="1"/>
  <c r="AL62" i="98"/>
  <c r="AI63" i="101" s="1"/>
  <c r="AL10" i="98"/>
  <c r="AI11" i="101" s="1"/>
  <c r="AL93" i="98"/>
  <c r="AI94" i="101" s="1"/>
  <c r="AL82" i="98"/>
  <c r="AI83" i="101" s="1"/>
  <c r="AL122" i="98"/>
  <c r="AI123" i="101" s="1"/>
  <c r="AL92" i="98"/>
  <c r="AI93" i="101" s="1"/>
  <c r="AL29" i="98"/>
  <c r="AI30" i="101" s="1"/>
  <c r="AL104" i="98"/>
  <c r="AI105" i="101" s="1"/>
  <c r="AL138" i="98"/>
  <c r="AI139" i="101" s="1"/>
  <c r="AL134" i="98"/>
  <c r="AI135" i="101" s="1"/>
  <c r="AL156" i="98"/>
  <c r="AI157" i="101" s="1"/>
  <c r="AL99" i="98"/>
  <c r="AI100" i="101" s="1"/>
  <c r="AL31" i="98"/>
  <c r="AI32" i="101" s="1"/>
  <c r="AL98" i="98"/>
  <c r="AI99" i="101" s="1"/>
  <c r="AL30" i="98"/>
  <c r="AI31" i="101" s="1"/>
  <c r="AL17" i="98"/>
  <c r="AI18" i="101" s="1"/>
  <c r="AL28" i="98"/>
  <c r="AI29" i="101" s="1"/>
  <c r="AL155" i="98"/>
  <c r="AI156" i="101" s="1"/>
  <c r="AL111" i="98"/>
  <c r="AI112" i="101" s="1"/>
  <c r="AL19" i="98"/>
  <c r="AI20" i="101" s="1"/>
  <c r="AL146" i="98"/>
  <c r="AI147" i="101" s="1"/>
  <c r="AL119" i="98"/>
  <c r="AI120" i="101" s="1"/>
  <c r="AL53" i="98"/>
  <c r="AI54" i="101" s="1"/>
  <c r="AL78" i="98"/>
  <c r="AI79" i="101" s="1"/>
  <c r="AL8" i="98"/>
  <c r="AI9" i="101" s="1"/>
  <c r="AL123" i="98"/>
  <c r="AI124" i="101" s="1"/>
  <c r="AL120" i="98"/>
  <c r="AI121" i="101" s="1"/>
  <c r="AL52" i="98"/>
  <c r="AI53" i="101" s="1"/>
  <c r="AL71" i="98"/>
  <c r="AI72" i="101" s="1"/>
  <c r="AL6" i="98"/>
  <c r="AI7" i="101" s="1"/>
  <c r="AL159" i="98"/>
  <c r="AI160" i="101" s="1"/>
  <c r="AL158" i="98"/>
  <c r="AI159" i="101" s="1"/>
  <c r="AL87" i="98"/>
  <c r="AI88" i="101" s="1"/>
  <c r="AL11" i="98"/>
  <c r="AI12" i="101" s="1"/>
  <c r="AL157" i="98"/>
  <c r="AI158" i="101" s="1"/>
  <c r="AL152" i="98"/>
  <c r="AI153" i="101" s="1"/>
  <c r="AL131" i="98"/>
  <c r="AI132" i="101" s="1"/>
  <c r="AL14" i="98"/>
  <c r="AI15" i="101" s="1"/>
  <c r="AL66" i="98"/>
  <c r="AI67" i="101" s="1"/>
  <c r="AL60" i="98"/>
  <c r="AI61" i="101" s="1"/>
  <c r="AL143" i="98"/>
  <c r="AI144" i="101" s="1"/>
  <c r="AL32" i="98"/>
  <c r="AI33" i="101" s="1"/>
  <c r="AL127" i="98"/>
  <c r="AI128" i="101" s="1"/>
  <c r="AL13" i="98"/>
  <c r="AI14" i="101" s="1"/>
  <c r="AL42" i="98"/>
  <c r="AI43" i="101" s="1"/>
  <c r="AL7" i="98"/>
  <c r="AI8" i="101" s="1"/>
  <c r="AL51" i="98"/>
  <c r="AI52" i="101" s="1"/>
  <c r="AL48" i="98"/>
  <c r="AI49" i="101" s="1"/>
  <c r="AL73" i="98"/>
  <c r="AI74" i="101" s="1"/>
  <c r="AL9" i="98"/>
  <c r="AI10" i="101" s="1"/>
  <c r="AL20" i="98"/>
  <c r="AI21" i="101" s="1"/>
  <c r="AL140" i="98"/>
  <c r="AI141" i="101" s="1"/>
  <c r="AL89" i="98"/>
  <c r="AI90" i="101" s="1"/>
  <c r="AL151" i="98"/>
  <c r="AI152" i="101" s="1"/>
  <c r="AL59" i="98"/>
  <c r="AI60" i="101" s="1"/>
  <c r="AL113" i="98"/>
  <c r="AI114" i="101" s="1"/>
  <c r="AL137" i="98"/>
  <c r="AI138" i="101" s="1"/>
  <c r="AL126" i="98"/>
  <c r="AI127" i="101" s="1"/>
  <c r="AL40" i="98"/>
  <c r="AI41" i="101" s="1"/>
  <c r="AL95" i="98"/>
  <c r="AI96" i="101" s="1"/>
  <c r="AL64" i="98"/>
  <c r="AI65" i="101" s="1"/>
  <c r="AL124" i="98"/>
  <c r="AI125" i="101" s="1"/>
  <c r="AL77" i="98"/>
  <c r="AI78" i="101" s="1"/>
  <c r="AL76" i="98"/>
  <c r="AI77" i="101" s="1"/>
  <c r="AL125" i="98"/>
  <c r="AI126" i="101" s="1"/>
  <c r="AL162" i="98"/>
  <c r="AI163" i="101" s="1"/>
  <c r="AL22" i="98"/>
  <c r="AI23" i="101" s="1"/>
  <c r="AL85" i="98"/>
  <c r="AI86" i="101" s="1"/>
  <c r="AL24" i="98"/>
  <c r="AI25" i="101" s="1"/>
  <c r="AL25" i="98"/>
  <c r="AI26" i="101" s="1"/>
  <c r="AL129" i="98"/>
  <c r="AI130" i="101" s="1"/>
  <c r="AL110" i="98"/>
  <c r="AI111" i="101" s="1"/>
  <c r="AL148" i="98"/>
  <c r="AI149" i="101" s="1"/>
  <c r="AL144" i="98"/>
  <c r="AI145" i="101" s="1"/>
  <c r="AL96" i="98"/>
  <c r="AI97" i="101" s="1"/>
  <c r="AL47" i="98"/>
  <c r="AI48" i="101" s="1"/>
  <c r="AL149" i="98"/>
  <c r="AI150" i="101" s="1"/>
  <c r="AL135" i="98"/>
  <c r="AI136" i="101" s="1"/>
  <c r="AL88" i="98"/>
  <c r="AI89" i="101" s="1"/>
  <c r="AL27" i="98"/>
  <c r="AI28" i="101" s="1"/>
  <c r="AL18" i="98"/>
  <c r="AI19" i="101" s="1"/>
  <c r="AL12" i="98"/>
  <c r="AI13" i="101" s="1"/>
  <c r="AL23" i="98"/>
  <c r="AI24" i="101" s="1"/>
  <c r="AL26" i="98"/>
  <c r="AI27" i="101" s="1"/>
  <c r="AL74" i="98"/>
  <c r="AI75" i="101" s="1"/>
  <c r="AL90" i="98"/>
  <c r="AI91" i="101" s="1"/>
  <c r="AL153" i="98"/>
  <c r="AI154" i="101" s="1"/>
  <c r="AL108" i="98"/>
  <c r="AI109" i="101" s="1"/>
  <c r="AL68" i="98"/>
  <c r="AI69" i="101" s="1"/>
  <c r="AL91" i="98"/>
  <c r="AI92" i="101" s="1"/>
  <c r="AL5" i="98"/>
  <c r="AI6" i="101" s="1"/>
  <c r="AL100" i="98"/>
  <c r="AI101" i="101" s="1"/>
  <c r="AL41" i="98"/>
  <c r="AI42" i="101" s="1"/>
  <c r="AL105" i="98"/>
  <c r="AI106" i="101" s="1"/>
  <c r="AL114" i="98"/>
  <c r="AI115" i="101" s="1"/>
  <c r="AL142" i="98"/>
  <c r="AI143" i="101" s="1"/>
  <c r="AL141" i="98"/>
  <c r="AI142" i="101" s="1"/>
  <c r="AL34" i="98"/>
  <c r="AI35" i="101" s="1"/>
  <c r="AL84" i="98"/>
  <c r="AI85" i="101" s="1"/>
  <c r="AL55" i="98"/>
  <c r="AI56" i="101" s="1"/>
  <c r="AL107" i="98"/>
  <c r="AI108" i="101" s="1"/>
  <c r="AL15" i="98"/>
  <c r="AI16" i="101" s="1"/>
  <c r="AL35" i="98"/>
  <c r="AI36" i="101" s="1"/>
  <c r="AL106" i="98"/>
  <c r="AI107" i="101" s="1"/>
  <c r="AL81" i="98"/>
  <c r="AI82" i="101" s="1"/>
  <c r="AL121" i="98"/>
  <c r="AI122" i="101" s="1"/>
  <c r="AL36" i="98"/>
  <c r="AI37" i="101" s="1"/>
  <c r="AL154" i="98"/>
  <c r="AI155" i="101" s="1"/>
  <c r="AL136" i="98"/>
  <c r="AI137" i="101" s="1"/>
  <c r="AL43" i="98"/>
  <c r="AI44" i="101" s="1"/>
  <c r="AL79" i="98"/>
  <c r="AI80" i="101" s="1"/>
  <c r="AL83" i="98"/>
  <c r="AI84" i="101" s="1"/>
  <c r="AL80" i="98"/>
  <c r="AI81" i="101" s="1"/>
  <c r="AL139" i="98"/>
  <c r="AI140" i="101" s="1"/>
  <c r="AL128" i="98"/>
  <c r="AI129" i="101" s="1"/>
  <c r="AL46" i="98"/>
  <c r="AI47" i="101" s="1"/>
  <c r="AL103" i="98"/>
  <c r="AI104" i="101" s="1"/>
  <c r="AL160" i="98"/>
  <c r="AI161" i="101" s="1"/>
  <c r="AL57" i="98"/>
  <c r="AI58" i="101" s="1"/>
  <c r="AL21" i="98"/>
  <c r="AI22" i="101" s="1"/>
  <c r="AL72" i="98"/>
  <c r="AI73" i="101" s="1"/>
  <c r="AL33" i="98"/>
  <c r="AI34" i="101" s="1"/>
  <c r="AL39" i="98"/>
  <c r="AI40" i="101" s="1"/>
  <c r="AL70" i="98"/>
  <c r="AI71" i="101" s="1"/>
  <c r="AL145" i="98"/>
  <c r="AI146" i="101" s="1"/>
  <c r="AL132" i="98"/>
  <c r="AI133" i="101" s="1"/>
  <c r="AL97" i="98"/>
  <c r="AI98" i="101" s="1"/>
  <c r="AL67" i="98"/>
  <c r="AI68" i="101" s="1"/>
  <c r="AL86" i="98"/>
  <c r="AI87" i="101" s="1"/>
  <c r="AL118" i="98"/>
  <c r="AI119" i="101" s="1"/>
  <c r="AL61" i="98"/>
  <c r="AI62" i="101" s="1"/>
  <c r="AL75" i="98"/>
  <c r="AI76" i="101" s="1"/>
  <c r="AL49" i="98"/>
  <c r="AI50" i="101" s="1"/>
  <c r="AL115" i="98"/>
  <c r="AI116" i="101" s="1"/>
  <c r="AL109" i="98"/>
  <c r="AI110" i="101" s="1"/>
  <c r="AL16" i="98"/>
  <c r="AI17" i="101" s="1"/>
  <c r="AL94" i="98"/>
  <c r="AI95" i="101" s="1"/>
  <c r="AL45" i="98"/>
  <c r="AI46" i="101" s="1"/>
  <c r="AL63" i="98"/>
  <c r="AI64" i="101" s="1"/>
  <c r="AL163" i="98"/>
  <c r="AI164" i="101" s="1"/>
  <c r="AL56" i="98"/>
  <c r="AI57" i="101" s="1"/>
  <c r="AL112" i="98"/>
  <c r="AI113" i="101" s="1"/>
  <c r="AL117" i="98"/>
  <c r="AI118" i="101" s="1"/>
  <c r="AL58" i="98"/>
  <c r="AI59" i="101" s="1"/>
  <c r="AL54" i="98"/>
  <c r="AI55" i="101" s="1"/>
  <c r="AL130" i="98"/>
  <c r="AI131" i="101" s="1"/>
  <c r="AL50" i="98"/>
  <c r="AI51" i="101" s="1"/>
  <c r="AL102" i="98"/>
  <c r="AI103" i="101" s="1"/>
  <c r="AL133" i="98"/>
  <c r="AI134" i="101" s="1"/>
  <c r="AL101" i="98"/>
  <c r="AI102" i="101" s="1"/>
  <c r="AL38" i="98"/>
  <c r="AI39" i="101" s="1"/>
  <c r="AM105" i="98"/>
  <c r="AJ106" i="101" s="1"/>
  <c r="AM66" i="98"/>
  <c r="AJ67" i="101" s="1"/>
  <c r="AM142" i="98"/>
  <c r="AJ143" i="101" s="1"/>
  <c r="AM148" i="98"/>
  <c r="AJ149" i="101" s="1"/>
  <c r="AM73" i="98"/>
  <c r="AJ74" i="101" s="1"/>
  <c r="AM102" i="98"/>
  <c r="AJ103" i="101" s="1"/>
  <c r="AM107" i="98"/>
  <c r="AJ108" i="101" s="1"/>
  <c r="AM22" i="98"/>
  <c r="AJ23" i="101" s="1"/>
  <c r="AM101" i="98"/>
  <c r="AJ102" i="101" s="1"/>
  <c r="AM110" i="98"/>
  <c r="AJ111" i="101" s="1"/>
  <c r="AM61" i="98"/>
  <c r="AJ62" i="101" s="1"/>
  <c r="AM31" i="98"/>
  <c r="AJ32" i="101" s="1"/>
  <c r="AM51" i="98"/>
  <c r="AJ52" i="101" s="1"/>
  <c r="AM156" i="98"/>
  <c r="AJ157" i="101" s="1"/>
  <c r="AM90" i="98"/>
  <c r="AJ91" i="101" s="1"/>
  <c r="AM99" i="98"/>
  <c r="AJ100" i="101" s="1"/>
  <c r="AM109" i="98"/>
  <c r="AJ110" i="101" s="1"/>
  <c r="AM119" i="98"/>
  <c r="AJ120" i="101" s="1"/>
  <c r="AM42" i="98"/>
  <c r="AJ43" i="101" s="1"/>
  <c r="AM63" i="98"/>
  <c r="AJ64" i="101" s="1"/>
  <c r="AM128" i="98"/>
  <c r="AJ129" i="101" s="1"/>
  <c r="AM75" i="98"/>
  <c r="AJ76" i="101" s="1"/>
  <c r="AM133" i="98"/>
  <c r="AJ134" i="101" s="1"/>
  <c r="AM64" i="98"/>
  <c r="AJ65" i="101" s="1"/>
  <c r="AM146" i="98"/>
  <c r="AJ147" i="101" s="1"/>
  <c r="AM33" i="98"/>
  <c r="AJ34" i="101" s="1"/>
  <c r="AM27" i="98"/>
  <c r="AJ28" i="101" s="1"/>
  <c r="AM12" i="98"/>
  <c r="AJ13" i="101" s="1"/>
  <c r="AM98" i="98"/>
  <c r="AJ99" i="101" s="1"/>
  <c r="AM149" i="98"/>
  <c r="AJ150" i="101" s="1"/>
  <c r="AM97" i="98"/>
  <c r="AJ98" i="101" s="1"/>
  <c r="AM144" i="98"/>
  <c r="AJ145" i="101" s="1"/>
  <c r="AM157" i="98"/>
  <c r="AJ158" i="101" s="1"/>
  <c r="AM44" i="98"/>
  <c r="AJ45" i="101" s="1"/>
  <c r="AM93" i="98"/>
  <c r="AJ94" i="101" s="1"/>
  <c r="AM138" i="98"/>
  <c r="AJ139" i="101" s="1"/>
  <c r="AM18" i="98"/>
  <c r="AJ19" i="101" s="1"/>
  <c r="AM60" i="98"/>
  <c r="AJ61" i="101" s="1"/>
  <c r="AM76" i="98"/>
  <c r="AJ77" i="101" s="1"/>
  <c r="AM113" i="98"/>
  <c r="AJ114" i="101" s="1"/>
  <c r="AM151" i="98"/>
  <c r="AJ152" i="101" s="1"/>
  <c r="AM112" i="98"/>
  <c r="AJ113" i="101" s="1"/>
  <c r="AM41" i="98"/>
  <c r="AJ42" i="101" s="1"/>
  <c r="AM58" i="98"/>
  <c r="AJ59" i="101" s="1"/>
  <c r="AM47" i="98"/>
  <c r="AJ48" i="101" s="1"/>
  <c r="AM11" i="98"/>
  <c r="AJ12" i="101" s="1"/>
  <c r="AM43" i="98"/>
  <c r="AJ44" i="101" s="1"/>
  <c r="AM50" i="98"/>
  <c r="AJ51" i="101" s="1"/>
  <c r="AM49" i="98"/>
  <c r="AJ50" i="101" s="1"/>
  <c r="AM158" i="98"/>
  <c r="AJ159" i="101" s="1"/>
  <c r="AM59" i="98"/>
  <c r="AJ60" i="101" s="1"/>
  <c r="AM78" i="98"/>
  <c r="AJ79" i="101" s="1"/>
  <c r="AM65" i="98"/>
  <c r="AJ66" i="101" s="1"/>
  <c r="AM28" i="98"/>
  <c r="AJ29" i="101" s="1"/>
  <c r="AM17" i="98"/>
  <c r="AJ18" i="101" s="1"/>
  <c r="AM115" i="98"/>
  <c r="AJ116" i="101" s="1"/>
  <c r="AM48" i="98"/>
  <c r="AJ49" i="101" s="1"/>
  <c r="AM153" i="98"/>
  <c r="AJ154" i="101" s="1"/>
  <c r="AM120" i="98"/>
  <c r="AJ121" i="101" s="1"/>
  <c r="AM81" i="98"/>
  <c r="AJ82" i="101" s="1"/>
  <c r="AM159" i="98"/>
  <c r="AJ160" i="101" s="1"/>
  <c r="AM155" i="98"/>
  <c r="AJ156" i="101" s="1"/>
  <c r="AM52" i="98"/>
  <c r="AJ53" i="101" s="1"/>
  <c r="AM162" i="98"/>
  <c r="AJ163" i="101" s="1"/>
  <c r="AM94" i="98"/>
  <c r="AJ95" i="101" s="1"/>
  <c r="AM45" i="98"/>
  <c r="AJ46" i="101" s="1"/>
  <c r="AM13" i="98"/>
  <c r="AJ14" i="101" s="1"/>
  <c r="AM111" i="98"/>
  <c r="AJ112" i="101" s="1"/>
  <c r="AM88" i="98"/>
  <c r="AJ89" i="101" s="1"/>
  <c r="AM108" i="98"/>
  <c r="AJ109" i="101" s="1"/>
  <c r="AM121" i="98"/>
  <c r="AJ122" i="101" s="1"/>
  <c r="AM103" i="98"/>
  <c r="AJ104" i="101" s="1"/>
  <c r="AM163" i="98"/>
  <c r="AJ164" i="101" s="1"/>
  <c r="AM136" i="98"/>
  <c r="AJ137" i="101" s="1"/>
  <c r="AM85" i="98"/>
  <c r="AJ86" i="101" s="1"/>
  <c r="AM83" i="98"/>
  <c r="AJ84" i="101" s="1"/>
  <c r="AM69" i="98"/>
  <c r="AJ70" i="101" s="1"/>
  <c r="AM164" i="98"/>
  <c r="AJ165" i="101" s="1"/>
  <c r="AM15" i="98"/>
  <c r="AJ16" i="101" s="1"/>
  <c r="AM80" i="98"/>
  <c r="AJ81" i="101" s="1"/>
  <c r="AM77" i="98"/>
  <c r="AJ78" i="101" s="1"/>
  <c r="AM141" i="98"/>
  <c r="AJ142" i="101" s="1"/>
  <c r="AM106" i="98"/>
  <c r="AJ107" i="101" s="1"/>
  <c r="AM72" i="98"/>
  <c r="AJ73" i="101" s="1"/>
  <c r="AM53" i="98"/>
  <c r="AJ54" i="101" s="1"/>
  <c r="AM125" i="98"/>
  <c r="AJ126" i="101" s="1"/>
  <c r="AM26" i="98"/>
  <c r="AJ27" i="101" s="1"/>
  <c r="AM131" i="98"/>
  <c r="AJ132" i="101" s="1"/>
  <c r="AM123" i="98"/>
  <c r="AJ124" i="101" s="1"/>
  <c r="AM24" i="98"/>
  <c r="AJ25" i="101" s="1"/>
  <c r="AM79" i="98"/>
  <c r="AJ80" i="101" s="1"/>
  <c r="AM62" i="98"/>
  <c r="AJ63" i="101" s="1"/>
  <c r="AM140" i="98"/>
  <c r="AJ141" i="101" s="1"/>
  <c r="AM39" i="98"/>
  <c r="AJ40" i="101" s="1"/>
  <c r="AM20" i="98"/>
  <c r="AJ21" i="101" s="1"/>
  <c r="AM30" i="98"/>
  <c r="AJ31" i="101" s="1"/>
  <c r="AM34" i="98"/>
  <c r="AJ35" i="101" s="1"/>
  <c r="AM70" i="98"/>
  <c r="AJ71" i="101" s="1"/>
  <c r="AM36" i="98"/>
  <c r="AJ37" i="101" s="1"/>
  <c r="AM25" i="98"/>
  <c r="AJ26" i="101" s="1"/>
  <c r="AM137" i="98"/>
  <c r="AJ138" i="101" s="1"/>
  <c r="AM16" i="98"/>
  <c r="AJ17" i="101" s="1"/>
  <c r="AM71" i="98"/>
  <c r="AJ72" i="101" s="1"/>
  <c r="AM8" i="98"/>
  <c r="AJ9" i="101" s="1"/>
  <c r="AM57" i="98"/>
  <c r="AJ58" i="101" s="1"/>
  <c r="AM147" i="98"/>
  <c r="AJ148" i="101" s="1"/>
  <c r="AM96" i="98"/>
  <c r="AJ97" i="101" s="1"/>
  <c r="AM161" i="98"/>
  <c r="AJ162" i="101" s="1"/>
  <c r="AM104" i="98"/>
  <c r="AJ105" i="101" s="1"/>
  <c r="AM54" i="98"/>
  <c r="AJ55" i="101" s="1"/>
  <c r="AM134" i="98"/>
  <c r="AJ135" i="101" s="1"/>
  <c r="AM117" i="98"/>
  <c r="AJ118" i="101" s="1"/>
  <c r="AM143" i="98"/>
  <c r="AJ144" i="101" s="1"/>
  <c r="AM135" i="98"/>
  <c r="AJ136" i="101" s="1"/>
  <c r="AM56" i="98"/>
  <c r="AJ57" i="101" s="1"/>
  <c r="AM122" i="98"/>
  <c r="AJ123" i="101" s="1"/>
  <c r="AM95" i="98"/>
  <c r="AJ96" i="101" s="1"/>
  <c r="AM32" i="98"/>
  <c r="AJ33" i="101" s="1"/>
  <c r="AM6" i="98"/>
  <c r="AJ7" i="101" s="1"/>
  <c r="AM10" i="98"/>
  <c r="AJ11" i="101" s="1"/>
  <c r="AM116" i="98"/>
  <c r="AJ117" i="101" s="1"/>
  <c r="AM145" i="98"/>
  <c r="AJ146" i="101" s="1"/>
  <c r="AM14" i="98"/>
  <c r="AJ15" i="101" s="1"/>
  <c r="AM29" i="98"/>
  <c r="AJ30" i="101" s="1"/>
  <c r="AM89" i="98"/>
  <c r="AJ90" i="101" s="1"/>
  <c r="AM118" i="98"/>
  <c r="AJ119" i="101" s="1"/>
  <c r="AM9" i="98"/>
  <c r="AJ10" i="101" s="1"/>
  <c r="AM37" i="98"/>
  <c r="AJ38" i="101" s="1"/>
  <c r="AM86" i="98"/>
  <c r="AJ87" i="101" s="1"/>
  <c r="AM7" i="98"/>
  <c r="AJ8" i="101" s="1"/>
  <c r="AM150" i="98"/>
  <c r="AJ151" i="101" s="1"/>
  <c r="AM67" i="98"/>
  <c r="AJ68" i="101" s="1"/>
  <c r="AM55" i="98"/>
  <c r="AJ56" i="101" s="1"/>
  <c r="AM91" i="98"/>
  <c r="AJ92" i="101" s="1"/>
  <c r="AM130" i="98"/>
  <c r="AJ131" i="101" s="1"/>
  <c r="AM114" i="98"/>
  <c r="AJ115" i="101" s="1"/>
  <c r="AM68" i="98"/>
  <c r="AJ69" i="101" s="1"/>
  <c r="AM35" i="98"/>
  <c r="AJ36" i="101" s="1"/>
  <c r="AM92" i="98"/>
  <c r="AJ93" i="101" s="1"/>
  <c r="AM126" i="98"/>
  <c r="AJ127" i="101" s="1"/>
  <c r="AM124" i="98"/>
  <c r="AJ125" i="101" s="1"/>
  <c r="AM129" i="98"/>
  <c r="AJ130" i="101" s="1"/>
  <c r="AM46" i="98"/>
  <c r="AJ47" i="101" s="1"/>
  <c r="AM21" i="98"/>
  <c r="AJ22" i="101" s="1"/>
  <c r="AM87" i="98"/>
  <c r="AJ88" i="101" s="1"/>
  <c r="AM139" i="98"/>
  <c r="AJ140" i="101" s="1"/>
  <c r="AM160" i="98"/>
  <c r="AJ161" i="101" s="1"/>
  <c r="AM40" i="98"/>
  <c r="AJ41" i="101" s="1"/>
  <c r="AM127" i="98"/>
  <c r="AJ128" i="101" s="1"/>
  <c r="AM154" i="98"/>
  <c r="AJ155" i="101" s="1"/>
  <c r="AM23" i="98"/>
  <c r="AJ24" i="101" s="1"/>
  <c r="AM82" i="98"/>
  <c r="AJ83" i="101" s="1"/>
  <c r="AM84" i="98"/>
  <c r="AJ85" i="101" s="1"/>
  <c r="AM19" i="98"/>
  <c r="AJ20" i="101" s="1"/>
  <c r="AM38" i="98"/>
  <c r="AJ39" i="101" s="1"/>
  <c r="AM100" i="98"/>
  <c r="AJ101" i="101" s="1"/>
  <c r="AM5" i="98"/>
  <c r="AJ6" i="101" s="1"/>
  <c r="AM132" i="98"/>
  <c r="AJ133" i="101" s="1"/>
  <c r="AM74" i="98"/>
  <c r="AJ75" i="101" s="1"/>
  <c r="AM152" i="98"/>
  <c r="AJ153" i="101" s="1"/>
  <c r="AJ127" i="98"/>
  <c r="AG128" i="101" s="1"/>
  <c r="AJ123" i="98"/>
  <c r="AG124" i="101" s="1"/>
  <c r="AJ108" i="98"/>
  <c r="AG109" i="101" s="1"/>
  <c r="AJ103" i="98"/>
  <c r="AG104" i="101" s="1"/>
  <c r="AJ69" i="98"/>
  <c r="AG70" i="101" s="1"/>
  <c r="AJ92" i="98"/>
  <c r="AG93" i="101" s="1"/>
  <c r="AJ34" i="98"/>
  <c r="AG35" i="101" s="1"/>
  <c r="AJ101" i="98"/>
  <c r="AG102" i="101" s="1"/>
  <c r="AJ23" i="98"/>
  <c r="AG24" i="101" s="1"/>
  <c r="AJ159" i="98"/>
  <c r="AG160" i="101" s="1"/>
  <c r="AJ73" i="98"/>
  <c r="AG74" i="101" s="1"/>
  <c r="AJ86" i="98"/>
  <c r="AG87" i="101" s="1"/>
  <c r="AJ25" i="98"/>
  <c r="AG26" i="101" s="1"/>
  <c r="AJ97" i="98"/>
  <c r="AG98" i="101" s="1"/>
  <c r="AJ155" i="98"/>
  <c r="AG156" i="101" s="1"/>
  <c r="AJ76" i="98"/>
  <c r="AG77" i="101" s="1"/>
  <c r="AJ144" i="98"/>
  <c r="AG145" i="101" s="1"/>
  <c r="AJ117" i="98"/>
  <c r="AG118" i="101" s="1"/>
  <c r="AJ145" i="98"/>
  <c r="AG146" i="101" s="1"/>
  <c r="AJ100" i="98"/>
  <c r="AG101" i="101" s="1"/>
  <c r="AJ16" i="98"/>
  <c r="AG17" i="101" s="1"/>
  <c r="AJ105" i="98"/>
  <c r="AG106" i="101" s="1"/>
  <c r="AJ109" i="98"/>
  <c r="AG110" i="101" s="1"/>
  <c r="AJ136" i="98"/>
  <c r="AG137" i="101" s="1"/>
  <c r="AJ137" i="98"/>
  <c r="AG138" i="101" s="1"/>
  <c r="AJ46" i="98"/>
  <c r="AG47" i="101" s="1"/>
  <c r="AJ89" i="98"/>
  <c r="AG90" i="101" s="1"/>
  <c r="AJ17" i="98"/>
  <c r="AG18" i="101" s="1"/>
  <c r="AJ55" i="98"/>
  <c r="AG56" i="101" s="1"/>
  <c r="AJ75" i="98"/>
  <c r="AG76" i="101" s="1"/>
  <c r="AJ33" i="98"/>
  <c r="AG34" i="101" s="1"/>
  <c r="AJ162" i="98"/>
  <c r="AG163" i="101" s="1"/>
  <c r="AJ15" i="98"/>
  <c r="AG16" i="101" s="1"/>
  <c r="AJ31" i="98"/>
  <c r="AG32" i="101" s="1"/>
  <c r="AJ124" i="98"/>
  <c r="AG125" i="101" s="1"/>
  <c r="AJ40" i="98"/>
  <c r="AG41" i="101" s="1"/>
  <c r="AJ142" i="98"/>
  <c r="AG143" i="101" s="1"/>
  <c r="AJ59" i="98"/>
  <c r="AG60" i="101" s="1"/>
  <c r="AJ126" i="98"/>
  <c r="AG127" i="101" s="1"/>
  <c r="AJ96" i="98"/>
  <c r="AG97" i="101" s="1"/>
  <c r="AJ83" i="98"/>
  <c r="AG84" i="101" s="1"/>
  <c r="AJ146" i="98"/>
  <c r="AG147" i="101" s="1"/>
  <c r="AJ52" i="98"/>
  <c r="AG53" i="101" s="1"/>
  <c r="AJ132" i="98"/>
  <c r="AG133" i="101" s="1"/>
  <c r="AJ82" i="98"/>
  <c r="AG83" i="101" s="1"/>
  <c r="AJ28" i="98"/>
  <c r="AG29" i="101" s="1"/>
  <c r="AJ113" i="98"/>
  <c r="AG114" i="101" s="1"/>
  <c r="AJ29" i="98"/>
  <c r="AG30" i="101" s="1"/>
  <c r="AJ130" i="98"/>
  <c r="AG131" i="101" s="1"/>
  <c r="AJ149" i="98"/>
  <c r="AG150" i="101" s="1"/>
  <c r="AJ47" i="98"/>
  <c r="AG48" i="101" s="1"/>
  <c r="AJ106" i="98"/>
  <c r="AG107" i="101" s="1"/>
  <c r="AJ129" i="98"/>
  <c r="AG130" i="101" s="1"/>
  <c r="AJ30" i="98"/>
  <c r="AG31" i="101" s="1"/>
  <c r="AJ128" i="98"/>
  <c r="AG129" i="101" s="1"/>
  <c r="AJ88" i="98"/>
  <c r="AG89" i="101" s="1"/>
  <c r="AJ51" i="98"/>
  <c r="AG52" i="101" s="1"/>
  <c r="AJ8" i="98"/>
  <c r="AG9" i="101" s="1"/>
  <c r="AJ71" i="98"/>
  <c r="AG72" i="101" s="1"/>
  <c r="AJ110" i="98"/>
  <c r="AG111" i="101" s="1"/>
  <c r="AJ141" i="98"/>
  <c r="AG142" i="101" s="1"/>
  <c r="AJ9" i="98"/>
  <c r="AG10" i="101" s="1"/>
  <c r="AJ65" i="98"/>
  <c r="AG66" i="101" s="1"/>
  <c r="AJ64" i="98"/>
  <c r="AG65" i="101" s="1"/>
  <c r="AJ44" i="98"/>
  <c r="AG45" i="101" s="1"/>
  <c r="AJ19" i="98"/>
  <c r="AG20" i="101" s="1"/>
  <c r="AJ45" i="98"/>
  <c r="AG46" i="101" s="1"/>
  <c r="AJ10" i="98"/>
  <c r="AG11" i="101" s="1"/>
  <c r="AJ78" i="98"/>
  <c r="AG79" i="101" s="1"/>
  <c r="AJ61" i="98"/>
  <c r="AG62" i="101" s="1"/>
  <c r="AJ81" i="98"/>
  <c r="AG82" i="101" s="1"/>
  <c r="AJ42" i="98"/>
  <c r="AG43" i="101" s="1"/>
  <c r="AJ79" i="98"/>
  <c r="AG80" i="101" s="1"/>
  <c r="AJ138" i="98"/>
  <c r="AG139" i="101" s="1"/>
  <c r="AJ140" i="98"/>
  <c r="AG141" i="101" s="1"/>
  <c r="AJ107" i="98"/>
  <c r="AG108" i="101" s="1"/>
  <c r="AJ102" i="98"/>
  <c r="AG103" i="101" s="1"/>
  <c r="AJ70" i="98"/>
  <c r="AG71" i="101" s="1"/>
  <c r="AJ24" i="98"/>
  <c r="AG25" i="101" s="1"/>
  <c r="AJ112" i="98"/>
  <c r="AG113" i="101" s="1"/>
  <c r="AJ67" i="98"/>
  <c r="AG68" i="101" s="1"/>
  <c r="AJ43" i="98"/>
  <c r="AG44" i="101" s="1"/>
  <c r="AJ111" i="98"/>
  <c r="AG112" i="101" s="1"/>
  <c r="AJ5" i="98"/>
  <c r="AG6" i="101" s="1"/>
  <c r="AJ53" i="98"/>
  <c r="AG54" i="101" s="1"/>
  <c r="AJ72" i="98"/>
  <c r="AG73" i="101" s="1"/>
  <c r="AJ27" i="98"/>
  <c r="AG28" i="101" s="1"/>
  <c r="AJ158" i="98"/>
  <c r="AG159" i="101" s="1"/>
  <c r="AJ57" i="98"/>
  <c r="AG58" i="101" s="1"/>
  <c r="AJ37" i="98"/>
  <c r="AG38" i="101" s="1"/>
  <c r="AJ32" i="98"/>
  <c r="AG33" i="101" s="1"/>
  <c r="AJ164" i="98"/>
  <c r="AG165" i="101" s="1"/>
  <c r="AJ62" i="98"/>
  <c r="AG63" i="101" s="1"/>
  <c r="AJ154" i="98"/>
  <c r="AG155" i="101" s="1"/>
  <c r="AJ66" i="98"/>
  <c r="AG67" i="101" s="1"/>
  <c r="AJ93" i="98"/>
  <c r="AG94" i="101" s="1"/>
  <c r="AJ49" i="98"/>
  <c r="AG50" i="101" s="1"/>
  <c r="AJ74" i="98"/>
  <c r="AG75" i="101" s="1"/>
  <c r="AJ91" i="98"/>
  <c r="AG92" i="101" s="1"/>
  <c r="AJ133" i="98"/>
  <c r="AG134" i="101" s="1"/>
  <c r="AJ121" i="98"/>
  <c r="AG122" i="101" s="1"/>
  <c r="AJ84" i="98"/>
  <c r="AG85" i="101" s="1"/>
  <c r="AJ94" i="98"/>
  <c r="AG95" i="101" s="1"/>
  <c r="AJ14" i="98"/>
  <c r="AG15" i="101" s="1"/>
  <c r="AJ36" i="98"/>
  <c r="AG37" i="101" s="1"/>
  <c r="AJ95" i="98"/>
  <c r="AG96" i="101" s="1"/>
  <c r="AJ68" i="98"/>
  <c r="AG69" i="101" s="1"/>
  <c r="AJ98" i="98"/>
  <c r="AG99" i="101" s="1"/>
  <c r="AJ147" i="98"/>
  <c r="AG148" i="101" s="1"/>
  <c r="AJ50" i="98"/>
  <c r="AG51" i="101" s="1"/>
  <c r="AJ131" i="98"/>
  <c r="AG132" i="101" s="1"/>
  <c r="AJ143" i="98"/>
  <c r="AG144" i="101" s="1"/>
  <c r="AJ161" i="98"/>
  <c r="AG162" i="101" s="1"/>
  <c r="AJ58" i="98"/>
  <c r="AG59" i="101" s="1"/>
  <c r="AJ139" i="98"/>
  <c r="AG140" i="101" s="1"/>
  <c r="AJ26" i="98"/>
  <c r="AG27" i="101" s="1"/>
  <c r="AJ54" i="98"/>
  <c r="AG55" i="101" s="1"/>
  <c r="AJ134" i="98"/>
  <c r="AG135" i="101" s="1"/>
  <c r="AJ115" i="98"/>
  <c r="AG116" i="101" s="1"/>
  <c r="AJ148" i="98"/>
  <c r="AG149" i="101" s="1"/>
  <c r="AJ116" i="98"/>
  <c r="AG117" i="101" s="1"/>
  <c r="AJ150" i="98"/>
  <c r="AG151" i="101" s="1"/>
  <c r="AJ77" i="98"/>
  <c r="AG78" i="101" s="1"/>
  <c r="AJ118" i="98"/>
  <c r="AG119" i="101" s="1"/>
  <c r="AJ60" i="98"/>
  <c r="AG61" i="101" s="1"/>
  <c r="AJ12" i="98"/>
  <c r="AG13" i="101" s="1"/>
  <c r="AJ87" i="98"/>
  <c r="AG88" i="101" s="1"/>
  <c r="AJ120" i="98"/>
  <c r="AG121" i="101" s="1"/>
  <c r="AJ160" i="98"/>
  <c r="AG161" i="101" s="1"/>
  <c r="AJ41" i="98"/>
  <c r="AG42" i="101" s="1"/>
  <c r="AJ157" i="98"/>
  <c r="AG158" i="101" s="1"/>
  <c r="AJ125" i="98"/>
  <c r="AG126" i="101" s="1"/>
  <c r="AJ11" i="98"/>
  <c r="AG12" i="101" s="1"/>
  <c r="AJ21" i="98"/>
  <c r="AG22" i="101" s="1"/>
  <c r="AJ151" i="98"/>
  <c r="AG152" i="101" s="1"/>
  <c r="AJ18" i="98"/>
  <c r="AG19" i="101" s="1"/>
  <c r="AJ114" i="98"/>
  <c r="AG115" i="101" s="1"/>
  <c r="AJ119" i="98"/>
  <c r="AG120" i="101" s="1"/>
  <c r="AJ80" i="98"/>
  <c r="AG81" i="101" s="1"/>
  <c r="AJ163" i="98"/>
  <c r="AG164" i="101" s="1"/>
  <c r="AJ152" i="98"/>
  <c r="AG153" i="101" s="1"/>
  <c r="AJ35" i="98"/>
  <c r="AG36" i="101" s="1"/>
  <c r="AJ39" i="98"/>
  <c r="AG40" i="101" s="1"/>
  <c r="AJ122" i="98"/>
  <c r="AG123" i="101" s="1"/>
  <c r="AJ104" i="98"/>
  <c r="AG105" i="101" s="1"/>
  <c r="AJ56" i="98"/>
  <c r="AG57" i="101" s="1"/>
  <c r="AJ63" i="98"/>
  <c r="AG64" i="101" s="1"/>
  <c r="AJ6" i="98"/>
  <c r="AG7" i="101" s="1"/>
  <c r="AJ7" i="98"/>
  <c r="AG8" i="101" s="1"/>
  <c r="AJ135" i="98"/>
  <c r="AG136" i="101" s="1"/>
  <c r="AJ22" i="98"/>
  <c r="AG23" i="101" s="1"/>
  <c r="AJ156" i="98"/>
  <c r="AG157" i="101" s="1"/>
  <c r="AJ20" i="98"/>
  <c r="AG21" i="101" s="1"/>
  <c r="AJ13" i="98"/>
  <c r="AG14" i="101" s="1"/>
  <c r="AJ90" i="98"/>
  <c r="AG91" i="101" s="1"/>
  <c r="AJ85" i="98"/>
  <c r="AG86" i="101" s="1"/>
  <c r="AJ38" i="98"/>
  <c r="AG39" i="101" s="1"/>
  <c r="AJ99" i="98"/>
  <c r="AG100" i="101" s="1"/>
  <c r="AJ48" i="98"/>
  <c r="AG49" i="101" s="1"/>
  <c r="AJ153" i="98"/>
  <c r="AG154" i="101" s="1"/>
  <c r="AK141" i="98"/>
  <c r="AH142" i="101" s="1"/>
  <c r="AK39" i="98"/>
  <c r="AH40" i="101" s="1"/>
  <c r="AK40" i="98"/>
  <c r="AH41" i="101" s="1"/>
  <c r="AK118" i="98"/>
  <c r="AH119" i="101" s="1"/>
  <c r="AK97" i="98"/>
  <c r="AH98" i="101" s="1"/>
  <c r="AK109" i="98"/>
  <c r="AH110" i="101" s="1"/>
  <c r="AK74" i="98"/>
  <c r="AH75" i="101" s="1"/>
  <c r="AK117" i="98"/>
  <c r="AH118" i="101" s="1"/>
  <c r="AK127" i="98"/>
  <c r="AH128" i="101" s="1"/>
  <c r="AK106" i="98"/>
  <c r="AH107" i="101" s="1"/>
  <c r="AK53" i="98"/>
  <c r="AH54" i="101" s="1"/>
  <c r="AK137" i="98"/>
  <c r="AH138" i="101" s="1"/>
  <c r="AK135" i="98"/>
  <c r="AH136" i="101" s="1"/>
  <c r="AK70" i="98"/>
  <c r="AH71" i="101" s="1"/>
  <c r="AK63" i="98"/>
  <c r="AH64" i="101" s="1"/>
  <c r="AK82" i="98"/>
  <c r="AH83" i="101" s="1"/>
  <c r="AK38" i="98"/>
  <c r="AH39" i="101" s="1"/>
  <c r="AK115" i="98"/>
  <c r="AH116" i="101" s="1"/>
  <c r="AK49" i="98"/>
  <c r="AH50" i="101" s="1"/>
  <c r="AK107" i="98"/>
  <c r="AH108" i="101" s="1"/>
  <c r="AK27" i="98"/>
  <c r="AH28" i="101" s="1"/>
  <c r="AK156" i="98"/>
  <c r="AH157" i="101" s="1"/>
  <c r="AK41" i="98"/>
  <c r="AH42" i="101" s="1"/>
  <c r="AK73" i="98"/>
  <c r="AH74" i="101" s="1"/>
  <c r="AK123" i="98"/>
  <c r="AH124" i="101" s="1"/>
  <c r="AK54" i="98"/>
  <c r="AH55" i="101" s="1"/>
  <c r="AK5" i="98"/>
  <c r="AH6" i="101" s="1"/>
  <c r="AK33" i="98"/>
  <c r="AH34" i="101" s="1"/>
  <c r="AK100" i="98"/>
  <c r="AH101" i="101" s="1"/>
  <c r="AK104" i="98"/>
  <c r="AH105" i="101" s="1"/>
  <c r="AK71" i="98"/>
  <c r="AH72" i="101" s="1"/>
  <c r="AK19" i="98"/>
  <c r="AH20" i="101" s="1"/>
  <c r="AK7" i="98"/>
  <c r="AH8" i="101" s="1"/>
  <c r="AK10" i="98"/>
  <c r="AH11" i="101" s="1"/>
  <c r="AK51" i="98"/>
  <c r="AH52" i="101" s="1"/>
  <c r="AK60" i="98"/>
  <c r="AH61" i="101" s="1"/>
  <c r="AK91" i="98"/>
  <c r="AH92" i="101" s="1"/>
  <c r="AK62" i="98"/>
  <c r="AH63" i="101" s="1"/>
  <c r="AK11" i="98"/>
  <c r="AH12" i="101" s="1"/>
  <c r="AK129" i="98"/>
  <c r="AH130" i="101" s="1"/>
  <c r="AK12" i="98"/>
  <c r="AH13" i="101" s="1"/>
  <c r="AK43" i="98"/>
  <c r="AH44" i="101" s="1"/>
  <c r="AK17" i="98"/>
  <c r="AH18" i="101" s="1"/>
  <c r="AK66" i="98"/>
  <c r="AH67" i="101" s="1"/>
  <c r="AK112" i="98"/>
  <c r="AH113" i="101" s="1"/>
  <c r="AK160" i="98"/>
  <c r="AH161" i="101" s="1"/>
  <c r="AK101" i="98"/>
  <c r="AH102" i="101" s="1"/>
  <c r="AK84" i="98"/>
  <c r="AH85" i="101" s="1"/>
  <c r="AK145" i="98"/>
  <c r="AH146" i="101" s="1"/>
  <c r="AK157" i="98"/>
  <c r="AH158" i="101" s="1"/>
  <c r="AK80" i="98"/>
  <c r="AH81" i="101" s="1"/>
  <c r="AK163" i="98"/>
  <c r="AH164" i="101" s="1"/>
  <c r="AK136" i="98"/>
  <c r="AH137" i="101" s="1"/>
  <c r="AK44" i="98"/>
  <c r="AH45" i="101" s="1"/>
  <c r="AK108" i="98"/>
  <c r="AH109" i="101" s="1"/>
  <c r="AK78" i="98"/>
  <c r="AH79" i="101" s="1"/>
  <c r="AK29" i="98"/>
  <c r="AH30" i="101" s="1"/>
  <c r="AK159" i="98"/>
  <c r="AH160" i="101" s="1"/>
  <c r="AK68" i="98"/>
  <c r="AH69" i="101" s="1"/>
  <c r="AK46" i="98"/>
  <c r="AH47" i="101" s="1"/>
  <c r="AK151" i="98"/>
  <c r="AH152" i="101" s="1"/>
  <c r="AK113" i="98"/>
  <c r="AH114" i="101" s="1"/>
  <c r="AK47" i="98"/>
  <c r="AH48" i="101" s="1"/>
  <c r="AK154" i="98"/>
  <c r="AH155" i="101" s="1"/>
  <c r="AK24" i="98"/>
  <c r="AH25" i="101" s="1"/>
  <c r="AK120" i="98"/>
  <c r="AH121" i="101" s="1"/>
  <c r="AK22" i="98"/>
  <c r="AH23" i="101" s="1"/>
  <c r="AK132" i="98"/>
  <c r="AH133" i="101" s="1"/>
  <c r="AK99" i="98"/>
  <c r="AH100" i="101" s="1"/>
  <c r="AK155" i="98"/>
  <c r="AH156" i="101" s="1"/>
  <c r="AK94" i="98"/>
  <c r="AH95" i="101" s="1"/>
  <c r="AK75" i="98"/>
  <c r="AH76" i="101" s="1"/>
  <c r="AK90" i="98"/>
  <c r="AH91" i="101" s="1"/>
  <c r="AK105" i="98"/>
  <c r="AH106" i="101" s="1"/>
  <c r="AK26" i="98"/>
  <c r="AH27" i="101" s="1"/>
  <c r="AK134" i="98"/>
  <c r="AH135" i="101" s="1"/>
  <c r="AK96" i="98"/>
  <c r="AH97" i="101" s="1"/>
  <c r="AK158" i="98"/>
  <c r="AH159" i="101" s="1"/>
  <c r="AK164" i="98"/>
  <c r="AH165" i="101" s="1"/>
  <c r="AK58" i="98"/>
  <c r="AH59" i="101" s="1"/>
  <c r="AK131" i="98"/>
  <c r="AH132" i="101" s="1"/>
  <c r="AK162" i="98"/>
  <c r="AH163" i="101" s="1"/>
  <c r="AK89" i="98"/>
  <c r="AH90" i="101" s="1"/>
  <c r="AK50" i="98"/>
  <c r="AH51" i="101" s="1"/>
  <c r="AK72" i="98"/>
  <c r="AH73" i="101" s="1"/>
  <c r="AK23" i="98"/>
  <c r="AH24" i="101" s="1"/>
  <c r="AK37" i="98"/>
  <c r="AH38" i="101" s="1"/>
  <c r="AK126" i="98"/>
  <c r="AH127" i="101" s="1"/>
  <c r="AK32" i="98"/>
  <c r="AH33" i="101" s="1"/>
  <c r="AK25" i="98"/>
  <c r="AH26" i="101" s="1"/>
  <c r="AK138" i="98"/>
  <c r="AH139" i="101" s="1"/>
  <c r="AK143" i="98"/>
  <c r="AH144" i="101" s="1"/>
  <c r="AK6" i="98"/>
  <c r="AH7" i="101" s="1"/>
  <c r="AK28" i="98"/>
  <c r="AH29" i="101" s="1"/>
  <c r="AK21" i="98"/>
  <c r="AH22" i="101" s="1"/>
  <c r="AK64" i="98"/>
  <c r="AH65" i="101" s="1"/>
  <c r="AK59" i="98"/>
  <c r="AH60" i="101" s="1"/>
  <c r="AK116" i="98"/>
  <c r="AH117" i="101" s="1"/>
  <c r="AK35" i="98"/>
  <c r="AH36" i="101" s="1"/>
  <c r="AK67" i="98"/>
  <c r="AH68" i="101" s="1"/>
  <c r="AK119" i="98"/>
  <c r="AH120" i="101" s="1"/>
  <c r="AK55" i="98"/>
  <c r="AH56" i="101" s="1"/>
  <c r="AK161" i="98"/>
  <c r="AH162" i="101" s="1"/>
  <c r="AK121" i="98"/>
  <c r="AH122" i="101" s="1"/>
  <c r="AK88" i="98"/>
  <c r="AH89" i="101" s="1"/>
  <c r="AK86" i="98"/>
  <c r="AH87" i="101" s="1"/>
  <c r="AK142" i="98"/>
  <c r="AH143" i="101" s="1"/>
  <c r="AK8" i="98"/>
  <c r="AH9" i="101" s="1"/>
  <c r="AK45" i="98"/>
  <c r="AH46" i="101" s="1"/>
  <c r="AK87" i="98"/>
  <c r="AH88" i="101" s="1"/>
  <c r="AK103" i="98"/>
  <c r="AH104" i="101" s="1"/>
  <c r="AK18" i="98"/>
  <c r="AH19" i="101" s="1"/>
  <c r="AK92" i="98"/>
  <c r="AH93" i="101" s="1"/>
  <c r="AK31" i="98"/>
  <c r="AH32" i="101" s="1"/>
  <c r="AK52" i="98"/>
  <c r="AH53" i="101" s="1"/>
  <c r="AK36" i="98"/>
  <c r="AH37" i="101" s="1"/>
  <c r="AK48" i="98"/>
  <c r="AH49" i="101" s="1"/>
  <c r="AK152" i="98"/>
  <c r="AH153" i="101" s="1"/>
  <c r="AK77" i="98"/>
  <c r="AH78" i="101" s="1"/>
  <c r="AK56" i="98"/>
  <c r="AH57" i="101" s="1"/>
  <c r="AK16" i="98"/>
  <c r="AH17" i="101" s="1"/>
  <c r="AK125" i="98"/>
  <c r="AH126" i="101" s="1"/>
  <c r="AK130" i="98"/>
  <c r="AH131" i="101" s="1"/>
  <c r="AK153" i="98"/>
  <c r="AH154" i="101" s="1"/>
  <c r="AK149" i="98"/>
  <c r="AH150" i="101" s="1"/>
  <c r="AK61" i="98"/>
  <c r="AH62" i="101" s="1"/>
  <c r="AK124" i="98"/>
  <c r="AH125" i="101" s="1"/>
  <c r="AK65" i="98"/>
  <c r="AH66" i="101" s="1"/>
  <c r="AK81" i="98"/>
  <c r="AH82" i="101" s="1"/>
  <c r="AK122" i="98"/>
  <c r="AH123" i="101" s="1"/>
  <c r="AK140" i="98"/>
  <c r="AH141" i="101" s="1"/>
  <c r="AK114" i="98"/>
  <c r="AH115" i="101" s="1"/>
  <c r="AK102" i="98"/>
  <c r="AH103" i="101" s="1"/>
  <c r="AK144" i="98"/>
  <c r="AH145" i="101" s="1"/>
  <c r="AK20" i="98"/>
  <c r="AH21" i="101" s="1"/>
  <c r="AK14" i="98"/>
  <c r="AH15" i="101" s="1"/>
  <c r="AK148" i="98"/>
  <c r="AH149" i="101" s="1"/>
  <c r="AK69" i="98"/>
  <c r="AH70" i="101" s="1"/>
  <c r="AK147" i="98"/>
  <c r="AH148" i="101" s="1"/>
  <c r="AK9" i="98"/>
  <c r="AH10" i="101" s="1"/>
  <c r="AK85" i="98"/>
  <c r="AH86" i="101" s="1"/>
  <c r="AK133" i="98"/>
  <c r="AH134" i="101" s="1"/>
  <c r="AK34" i="98"/>
  <c r="AH35" i="101" s="1"/>
  <c r="AK30" i="98"/>
  <c r="AH31" i="101" s="1"/>
  <c r="AK93" i="98"/>
  <c r="AH94" i="101" s="1"/>
  <c r="AK110" i="98"/>
  <c r="AH111" i="101" s="1"/>
  <c r="AK139" i="98"/>
  <c r="AH140" i="101" s="1"/>
  <c r="AK76" i="98"/>
  <c r="AH77" i="101" s="1"/>
  <c r="AK57" i="98"/>
  <c r="AH58" i="101" s="1"/>
  <c r="AK15" i="98"/>
  <c r="AH16" i="101" s="1"/>
  <c r="AK98" i="98"/>
  <c r="AH99" i="101" s="1"/>
  <c r="AK83" i="98"/>
  <c r="AH84" i="101" s="1"/>
  <c r="AK128" i="98"/>
  <c r="AH129" i="101" s="1"/>
  <c r="AK150" i="98"/>
  <c r="AH151" i="101" s="1"/>
  <c r="AK95" i="98"/>
  <c r="AH96" i="101" s="1"/>
  <c r="AK146" i="98"/>
  <c r="AH147" i="101" s="1"/>
  <c r="AK79" i="98"/>
  <c r="AH80" i="101" s="1"/>
  <c r="AK13" i="98"/>
  <c r="AH14" i="101" s="1"/>
  <c r="AK42" i="98"/>
  <c r="AH43" i="101" s="1"/>
  <c r="AK111" i="98"/>
  <c r="AH112" i="101" s="1"/>
  <c r="AI95" i="98"/>
  <c r="AF96" i="101" s="1"/>
  <c r="AI133" i="98"/>
  <c r="AF134" i="101" s="1"/>
  <c r="AI49" i="98"/>
  <c r="AF50" i="101" s="1"/>
  <c r="AI30" i="98"/>
  <c r="AF31" i="101" s="1"/>
  <c r="AI39" i="98"/>
  <c r="AF40" i="101" s="1"/>
  <c r="AI130" i="98"/>
  <c r="AF131" i="101" s="1"/>
  <c r="AI97" i="98"/>
  <c r="AF98" i="101" s="1"/>
  <c r="AI7" i="98"/>
  <c r="AF8" i="101" s="1"/>
  <c r="AI80" i="98"/>
  <c r="AF81" i="101" s="1"/>
  <c r="AI59" i="98"/>
  <c r="AF60" i="101" s="1"/>
  <c r="AI127" i="98"/>
  <c r="AF128" i="101" s="1"/>
  <c r="AI106" i="98"/>
  <c r="AF107" i="101" s="1"/>
  <c r="AI55" i="98"/>
  <c r="AF56" i="101" s="1"/>
  <c r="AI91" i="98"/>
  <c r="AF92" i="101" s="1"/>
  <c r="AI60" i="98"/>
  <c r="AF61" i="101" s="1"/>
  <c r="AI146" i="98"/>
  <c r="AF147" i="101" s="1"/>
  <c r="AI38" i="98"/>
  <c r="AF39" i="101" s="1"/>
  <c r="AI6" i="98"/>
  <c r="AF7" i="101" s="1"/>
  <c r="AI50" i="98"/>
  <c r="AF51" i="101" s="1"/>
  <c r="AI11" i="98"/>
  <c r="AF12" i="101" s="1"/>
  <c r="AI138" i="98"/>
  <c r="AF139" i="101" s="1"/>
  <c r="AI98" i="98"/>
  <c r="AF99" i="101" s="1"/>
  <c r="AI75" i="98"/>
  <c r="AF76" i="101" s="1"/>
  <c r="AI134" i="98"/>
  <c r="AF135" i="101" s="1"/>
  <c r="AI139" i="98"/>
  <c r="AF140" i="101" s="1"/>
  <c r="AI121" i="98"/>
  <c r="AF122" i="101" s="1"/>
  <c r="AI90" i="98"/>
  <c r="AF91" i="101" s="1"/>
  <c r="AI117" i="98"/>
  <c r="AF118" i="101" s="1"/>
  <c r="AI150" i="98"/>
  <c r="AF151" i="101" s="1"/>
  <c r="AI44" i="98"/>
  <c r="AF45" i="101" s="1"/>
  <c r="AI54" i="98"/>
  <c r="AF55" i="101" s="1"/>
  <c r="AI149" i="98"/>
  <c r="AF150" i="101" s="1"/>
  <c r="AI14" i="98"/>
  <c r="AF15" i="101" s="1"/>
  <c r="AI142" i="98"/>
  <c r="AF143" i="101" s="1"/>
  <c r="AI151" i="98"/>
  <c r="AF152" i="101" s="1"/>
  <c r="AI112" i="98"/>
  <c r="AF113" i="101" s="1"/>
  <c r="AI128" i="98"/>
  <c r="AF129" i="101" s="1"/>
  <c r="AI77" i="98"/>
  <c r="AF78" i="101" s="1"/>
  <c r="AI113" i="98"/>
  <c r="AF114" i="101" s="1"/>
  <c r="AI56" i="98"/>
  <c r="AF57" i="101" s="1"/>
  <c r="AI82" i="98"/>
  <c r="AF83" i="101" s="1"/>
  <c r="AI159" i="98"/>
  <c r="AF160" i="101" s="1"/>
  <c r="AI5" i="98"/>
  <c r="AF6" i="101" s="1"/>
  <c r="AI35" i="98"/>
  <c r="AF36" i="101" s="1"/>
  <c r="AI93" i="98"/>
  <c r="AF94" i="101" s="1"/>
  <c r="AI132" i="98"/>
  <c r="AF133" i="101" s="1"/>
  <c r="AI12" i="98"/>
  <c r="AF13" i="101" s="1"/>
  <c r="AI71" i="98"/>
  <c r="AF72" i="101" s="1"/>
  <c r="AI92" i="98"/>
  <c r="AF93" i="101" s="1"/>
  <c r="AI153" i="98"/>
  <c r="AF154" i="101" s="1"/>
  <c r="AI79" i="98"/>
  <c r="AF80" i="101" s="1"/>
  <c r="AI22" i="98"/>
  <c r="AF23" i="101" s="1"/>
  <c r="AI162" i="98"/>
  <c r="AF163" i="101" s="1"/>
  <c r="AI155" i="98"/>
  <c r="AF156" i="101" s="1"/>
  <c r="AI9" i="98"/>
  <c r="AF10" i="101" s="1"/>
  <c r="AI114" i="98"/>
  <c r="AF115" i="101" s="1"/>
  <c r="AI32" i="98"/>
  <c r="AF33" i="101" s="1"/>
  <c r="AI51" i="98"/>
  <c r="AF52" i="101" s="1"/>
  <c r="AI21" i="98"/>
  <c r="AF22" i="101" s="1"/>
  <c r="AI13" i="98"/>
  <c r="AF14" i="101" s="1"/>
  <c r="AI129" i="98"/>
  <c r="AF130" i="101" s="1"/>
  <c r="AI119" i="98"/>
  <c r="AF120" i="101" s="1"/>
  <c r="AI33" i="98"/>
  <c r="AF34" i="101" s="1"/>
  <c r="AI100" i="98"/>
  <c r="AF101" i="101" s="1"/>
  <c r="AI43" i="98"/>
  <c r="AF44" i="101" s="1"/>
  <c r="AI76" i="98"/>
  <c r="AF77" i="101" s="1"/>
  <c r="AI66" i="98"/>
  <c r="AF67" i="101" s="1"/>
  <c r="AI101" i="98"/>
  <c r="AF102" i="101" s="1"/>
  <c r="AI40" i="98"/>
  <c r="AF41" i="101" s="1"/>
  <c r="AI48" i="98"/>
  <c r="AF49" i="101" s="1"/>
  <c r="AI126" i="98"/>
  <c r="AF127" i="101" s="1"/>
  <c r="AI152" i="98"/>
  <c r="AF153" i="101" s="1"/>
  <c r="AI47" i="98"/>
  <c r="AF48" i="101" s="1"/>
  <c r="AI99" i="98"/>
  <c r="AF100" i="101" s="1"/>
  <c r="AI94" i="98"/>
  <c r="AF95" i="101" s="1"/>
  <c r="AI10" i="98"/>
  <c r="AF11" i="101" s="1"/>
  <c r="AI29" i="98"/>
  <c r="AF30" i="101" s="1"/>
  <c r="AI31" i="98"/>
  <c r="AF32" i="101" s="1"/>
  <c r="AI53" i="98"/>
  <c r="AF54" i="101" s="1"/>
  <c r="AI8" i="98"/>
  <c r="AF9" i="101" s="1"/>
  <c r="AI154" i="98"/>
  <c r="AF155" i="101" s="1"/>
  <c r="AI63" i="98"/>
  <c r="AF64" i="101" s="1"/>
  <c r="AI158" i="98"/>
  <c r="AF159" i="101" s="1"/>
  <c r="AI64" i="98"/>
  <c r="AF65" i="101" s="1"/>
  <c r="AI125" i="98"/>
  <c r="AF126" i="101" s="1"/>
  <c r="AI120" i="98"/>
  <c r="AF121" i="101" s="1"/>
  <c r="AI122" i="98"/>
  <c r="AF123" i="101" s="1"/>
  <c r="AI135" i="98"/>
  <c r="AF136" i="101" s="1"/>
  <c r="AI124" i="98"/>
  <c r="AF125" i="101" s="1"/>
  <c r="AI143" i="98"/>
  <c r="AF144" i="101" s="1"/>
  <c r="AI23" i="98"/>
  <c r="AF24" i="101" s="1"/>
  <c r="AI89" i="98"/>
  <c r="AF90" i="101" s="1"/>
  <c r="AI16" i="98"/>
  <c r="AF17" i="101" s="1"/>
  <c r="AI62" i="98"/>
  <c r="AF63" i="101" s="1"/>
  <c r="AI116" i="98"/>
  <c r="AF117" i="101" s="1"/>
  <c r="AI72" i="98"/>
  <c r="AF73" i="101" s="1"/>
  <c r="AI81" i="98"/>
  <c r="AF82" i="101" s="1"/>
  <c r="AI111" i="98"/>
  <c r="AF112" i="101" s="1"/>
  <c r="AI45" i="98"/>
  <c r="AF46" i="101" s="1"/>
  <c r="AI67" i="98"/>
  <c r="AF68" i="101" s="1"/>
  <c r="AI160" i="98"/>
  <c r="AF161" i="101" s="1"/>
  <c r="AI103" i="98"/>
  <c r="AF104" i="101" s="1"/>
  <c r="AI58" i="98"/>
  <c r="AF59" i="101" s="1"/>
  <c r="AI96" i="98"/>
  <c r="AF97" i="101" s="1"/>
  <c r="AI87" i="98"/>
  <c r="AF88" i="101" s="1"/>
  <c r="AI15" i="98"/>
  <c r="AF16" i="101" s="1"/>
  <c r="AI163" i="98"/>
  <c r="AF164" i="101" s="1"/>
  <c r="AI24" i="98"/>
  <c r="AF25" i="101" s="1"/>
  <c r="AI141" i="98"/>
  <c r="AF142" i="101" s="1"/>
  <c r="AI57" i="98"/>
  <c r="AF58" i="101" s="1"/>
  <c r="AI161" i="98"/>
  <c r="AF162" i="101" s="1"/>
  <c r="AI109" i="98"/>
  <c r="AF110" i="101" s="1"/>
  <c r="AI148" i="98"/>
  <c r="AF149" i="101" s="1"/>
  <c r="AI73" i="98"/>
  <c r="AF74" i="101" s="1"/>
  <c r="AI69" i="98"/>
  <c r="AF70" i="101" s="1"/>
  <c r="AI105" i="98"/>
  <c r="AF106" i="101" s="1"/>
  <c r="AI137" i="98"/>
  <c r="AF138" i="101" s="1"/>
  <c r="AI123" i="98"/>
  <c r="AF124" i="101" s="1"/>
  <c r="AI41" i="98"/>
  <c r="AF42" i="101" s="1"/>
  <c r="AI156" i="98"/>
  <c r="AF157" i="101" s="1"/>
  <c r="AI37" i="98"/>
  <c r="AF38" i="101" s="1"/>
  <c r="AI27" i="98"/>
  <c r="AF28" i="101" s="1"/>
  <c r="AI78" i="98"/>
  <c r="AF79" i="101" s="1"/>
  <c r="AI61" i="98"/>
  <c r="AF62" i="101" s="1"/>
  <c r="AI85" i="98"/>
  <c r="AF86" i="101" s="1"/>
  <c r="AI34" i="98"/>
  <c r="AF35" i="101" s="1"/>
  <c r="AI70" i="98"/>
  <c r="AF71" i="101" s="1"/>
  <c r="AI118" i="98"/>
  <c r="AF119" i="101" s="1"/>
  <c r="AI147" i="98"/>
  <c r="AF148" i="101" s="1"/>
  <c r="AI36" i="98"/>
  <c r="AF37" i="101" s="1"/>
  <c r="AI102" i="98"/>
  <c r="AF103" i="101" s="1"/>
  <c r="AI164" i="98"/>
  <c r="AF165" i="101" s="1"/>
  <c r="AI65" i="98"/>
  <c r="AF66" i="101" s="1"/>
  <c r="AI68" i="98"/>
  <c r="AF69" i="101" s="1"/>
  <c r="AI26" i="98"/>
  <c r="AF27" i="101" s="1"/>
  <c r="AI42" i="98"/>
  <c r="AF43" i="101" s="1"/>
  <c r="AI140" i="98"/>
  <c r="AF141" i="101" s="1"/>
  <c r="AI28" i="98"/>
  <c r="AF29" i="101" s="1"/>
  <c r="AI19" i="98"/>
  <c r="AF20" i="101" s="1"/>
  <c r="AI86" i="98"/>
  <c r="AF87" i="101" s="1"/>
  <c r="AI110" i="98"/>
  <c r="AF111" i="101" s="1"/>
  <c r="AI46" i="98"/>
  <c r="AF47" i="101" s="1"/>
  <c r="AI20" i="98"/>
  <c r="AF21" i="101" s="1"/>
  <c r="AI17" i="98"/>
  <c r="AF18" i="101" s="1"/>
  <c r="AI144" i="98"/>
  <c r="AF145" i="101" s="1"/>
  <c r="AI131" i="98"/>
  <c r="AF132" i="101" s="1"/>
  <c r="AI136" i="98"/>
  <c r="AF137" i="101" s="1"/>
  <c r="AI18" i="98"/>
  <c r="AF19" i="101" s="1"/>
  <c r="AI108" i="98"/>
  <c r="AF109" i="101" s="1"/>
  <c r="AI52" i="98"/>
  <c r="AF53" i="101" s="1"/>
  <c r="AI115" i="98"/>
  <c r="AF116" i="101" s="1"/>
  <c r="AI145" i="98"/>
  <c r="AF146" i="101" s="1"/>
  <c r="AI157" i="98"/>
  <c r="AF158" i="101" s="1"/>
  <c r="AI74" i="98"/>
  <c r="AF75" i="101" s="1"/>
  <c r="AI83" i="98"/>
  <c r="AF84" i="101" s="1"/>
  <c r="AI104" i="98"/>
  <c r="AF105" i="101" s="1"/>
  <c r="AI88" i="98"/>
  <c r="AF89" i="101" s="1"/>
  <c r="AI25" i="98"/>
  <c r="AF26" i="101" s="1"/>
  <c r="AI84" i="98"/>
  <c r="AF85" i="101" s="1"/>
  <c r="AI107" i="98"/>
  <c r="AF108" i="101" s="1"/>
  <c r="BE26" i="96"/>
  <c r="BE27" i="96" s="1"/>
  <c r="BD23" i="96"/>
  <c r="AU49" i="98"/>
  <c r="BE72" i="98"/>
  <c r="AY143" i="98"/>
  <c r="AT139" i="98"/>
  <c r="AT152" i="98"/>
  <c r="AT136" i="98"/>
  <c r="AT73" i="98"/>
  <c r="AY88" i="98"/>
  <c r="BD68" i="98"/>
  <c r="AT77" i="98"/>
  <c r="BA124" i="98"/>
  <c r="AU78" i="98"/>
  <c r="AU42" i="98"/>
  <c r="AT10" i="98"/>
  <c r="AU75" i="98"/>
  <c r="AT84" i="98"/>
  <c r="BD64" i="98"/>
  <c r="AT8" i="98"/>
  <c r="AU154" i="98"/>
  <c r="BE20" i="98"/>
  <c r="BE43" i="98"/>
  <c r="AY79" i="98"/>
  <c r="AV138" i="98"/>
  <c r="BA44" i="98"/>
  <c r="BD161" i="98"/>
  <c r="AT26" i="98"/>
  <c r="AT88" i="98"/>
  <c r="BD35" i="98"/>
  <c r="BD62" i="98"/>
  <c r="AT48" i="98"/>
  <c r="AY135" i="98"/>
  <c r="AW79" i="98"/>
  <c r="BD43" i="98"/>
  <c r="AU98" i="98"/>
  <c r="BE133" i="98"/>
  <c r="BE130" i="98"/>
  <c r="AU147" i="98"/>
  <c r="AT45" i="98"/>
  <c r="BD140" i="98"/>
  <c r="AT40" i="98"/>
  <c r="BD12" i="98"/>
  <c r="AT5" i="98"/>
  <c r="BD113" i="98"/>
  <c r="AY137" i="98"/>
  <c r="BD82" i="98"/>
  <c r="BD69" i="98"/>
  <c r="BD84" i="98"/>
  <c r="BD91" i="98"/>
  <c r="BE19" i="98"/>
  <c r="BD59" i="98"/>
  <c r="BA122" i="98"/>
  <c r="AW59" i="98"/>
  <c r="AU26" i="98"/>
  <c r="AY132" i="98"/>
  <c r="AT72" i="98"/>
  <c r="AU139" i="98"/>
  <c r="AT149" i="98"/>
  <c r="AY53" i="98"/>
  <c r="AY8" i="98"/>
  <c r="AV159" i="98"/>
  <c r="AZ36" i="98"/>
  <c r="AU72" i="98"/>
  <c r="BE76" i="98"/>
  <c r="BD144" i="98"/>
  <c r="AT121" i="98"/>
  <c r="AU8" i="98"/>
  <c r="AY145" i="98"/>
  <c r="BE9" i="98"/>
  <c r="AY41" i="98"/>
  <c r="AU74" i="98"/>
  <c r="AT154" i="98"/>
  <c r="AZ67" i="98"/>
  <c r="AY91" i="98"/>
  <c r="AV87" i="98"/>
  <c r="BD5" i="98"/>
  <c r="AY138" i="98"/>
  <c r="BE109" i="98"/>
  <c r="AY33" i="98"/>
  <c r="AT160" i="98"/>
  <c r="BD120" i="98"/>
  <c r="AV123" i="98"/>
  <c r="BA107" i="98"/>
  <c r="BA104" i="98"/>
  <c r="AV48" i="98"/>
  <c r="AT126" i="98"/>
  <c r="AT115" i="98"/>
  <c r="AV111" i="98"/>
  <c r="BE143" i="98"/>
  <c r="AZ32" i="98"/>
  <c r="BC120" i="98"/>
  <c r="AY100" i="98"/>
  <c r="AZ21" i="98"/>
  <c r="BE105" i="98"/>
  <c r="BA141" i="98"/>
  <c r="AZ31" i="98"/>
  <c r="AT157" i="98"/>
  <c r="AU114" i="98"/>
  <c r="BE18" i="98"/>
  <c r="BE120" i="98"/>
  <c r="AZ7" i="98"/>
  <c r="BB59" i="98"/>
  <c r="BB163" i="98"/>
  <c r="BB47" i="98"/>
  <c r="AW16" i="98"/>
  <c r="BG43" i="98"/>
  <c r="BD117" i="98"/>
  <c r="AU144" i="98"/>
  <c r="AU118" i="98"/>
  <c r="AW98" i="98"/>
  <c r="AZ54" i="98"/>
  <c r="BB112" i="98"/>
  <c r="AU137" i="98"/>
  <c r="AZ107" i="98"/>
  <c r="AU87" i="98"/>
  <c r="BF17" i="98"/>
  <c r="AY149" i="98"/>
  <c r="BD27" i="98"/>
  <c r="BE36" i="98"/>
  <c r="BF45" i="98"/>
  <c r="AU88" i="98"/>
  <c r="AV40" i="98"/>
  <c r="AV117" i="98"/>
  <c r="BB154" i="98"/>
  <c r="BF152" i="98"/>
  <c r="BB56" i="98"/>
  <c r="BC16" i="98"/>
  <c r="AU76" i="98"/>
  <c r="AU51" i="98"/>
  <c r="BG147" i="98"/>
  <c r="BA13" i="98"/>
  <c r="BG66" i="98"/>
  <c r="AV11" i="98"/>
  <c r="AZ30" i="98"/>
  <c r="AX50" i="98"/>
  <c r="BC67" i="98"/>
  <c r="AW77" i="98"/>
  <c r="BD66" i="98"/>
  <c r="BF63" i="98"/>
  <c r="AZ49" i="98"/>
  <c r="AX103" i="98"/>
  <c r="AV80" i="98"/>
  <c r="BH49" i="98"/>
  <c r="BC8" i="98"/>
  <c r="BG119" i="98"/>
  <c r="AW18" i="98"/>
  <c r="AU13" i="98"/>
  <c r="BD81" i="98"/>
  <c r="BF49" i="98"/>
  <c r="AZ160" i="98"/>
  <c r="BB129" i="98"/>
  <c r="BE32" i="98"/>
  <c r="AZ129" i="98"/>
  <c r="BF130" i="98"/>
  <c r="BA117" i="98"/>
  <c r="BB23" i="98"/>
  <c r="BF154" i="98"/>
  <c r="AU36" i="98"/>
  <c r="AZ141" i="98"/>
  <c r="BA96" i="98"/>
  <c r="AW71" i="98"/>
  <c r="AU58" i="98"/>
  <c r="BF115" i="98"/>
  <c r="BE11" i="98"/>
  <c r="AW6" i="98"/>
  <c r="AW19" i="98"/>
  <c r="BD15" i="98"/>
  <c r="AZ136" i="98"/>
  <c r="AU86" i="98"/>
  <c r="BD53" i="98"/>
  <c r="AU121" i="98"/>
  <c r="AY6" i="98"/>
  <c r="AY72" i="98"/>
  <c r="AZ25" i="98"/>
  <c r="BA9" i="98"/>
  <c r="AT82" i="98"/>
  <c r="BE81" i="98"/>
  <c r="BE23" i="98"/>
  <c r="AY11" i="98"/>
  <c r="AY70" i="98"/>
  <c r="BD108" i="98"/>
  <c r="BD137" i="98"/>
  <c r="AV106" i="98"/>
  <c r="AY62" i="98"/>
  <c r="AY115" i="98"/>
  <c r="BF123" i="98"/>
  <c r="AY112" i="98"/>
  <c r="AU122" i="98"/>
  <c r="AT95" i="98"/>
  <c r="AU90" i="98"/>
  <c r="AY103" i="98"/>
  <c r="AY67" i="98"/>
  <c r="BD105" i="98"/>
  <c r="AY106" i="98"/>
  <c r="AT137" i="98"/>
  <c r="BD104" i="98"/>
  <c r="BE102" i="98"/>
  <c r="BE86" i="98"/>
  <c r="BF34" i="98"/>
  <c r="AV32" i="98"/>
  <c r="AU15" i="98"/>
  <c r="AU100" i="98"/>
  <c r="AY131" i="98"/>
  <c r="BD155" i="98"/>
  <c r="BD49" i="98"/>
  <c r="BD143" i="98"/>
  <c r="AY17" i="98"/>
  <c r="AZ78" i="98"/>
  <c r="AU104" i="98"/>
  <c r="AZ131" i="98"/>
  <c r="AT138" i="98"/>
  <c r="AZ12" i="98"/>
  <c r="AT117" i="98"/>
  <c r="BE100" i="98"/>
  <c r="AW161" i="98"/>
  <c r="AU140" i="98"/>
  <c r="AY130" i="98"/>
  <c r="AW27" i="98"/>
  <c r="AV70" i="98"/>
  <c r="BC64" i="98"/>
  <c r="AY38" i="98"/>
  <c r="AY74" i="98"/>
  <c r="BA48" i="98"/>
  <c r="AW21" i="98"/>
  <c r="BE156" i="98"/>
  <c r="AU7" i="98"/>
  <c r="BB14" i="98"/>
  <c r="BE97" i="98"/>
  <c r="BF97" i="98"/>
  <c r="AX72" i="98"/>
  <c r="BH122" i="98"/>
  <c r="BD163" i="98"/>
  <c r="BD115" i="98"/>
  <c r="AU132" i="98"/>
  <c r="BF68" i="98"/>
  <c r="BE71" i="98"/>
  <c r="AW143" i="98"/>
  <c r="BA33" i="98"/>
  <c r="AV125" i="98"/>
  <c r="AZ71" i="98"/>
  <c r="AU5" i="98"/>
  <c r="BF119" i="98"/>
  <c r="AY127" i="98"/>
  <c r="AY154" i="98"/>
  <c r="BD61" i="98"/>
  <c r="AU25" i="98"/>
  <c r="BE15" i="98"/>
  <c r="BF70" i="98"/>
  <c r="BA68" i="98"/>
  <c r="BA90" i="98"/>
  <c r="AV81" i="98"/>
  <c r="BB117" i="98"/>
  <c r="AU164" i="98"/>
  <c r="BA111" i="98"/>
  <c r="BF135" i="98"/>
  <c r="AV109" i="98"/>
  <c r="BG67" i="98"/>
  <c r="BC71" i="98"/>
  <c r="BA51" i="98"/>
  <c r="BC66" i="98"/>
  <c r="AX79" i="98"/>
  <c r="BB65" i="98"/>
  <c r="BD125" i="98"/>
  <c r="AZ112" i="98"/>
  <c r="AY12" i="98"/>
  <c r="BH90" i="98"/>
  <c r="AW83" i="98"/>
  <c r="BC15" i="98"/>
  <c r="BG52" i="98"/>
  <c r="BC84" i="98"/>
  <c r="BB119" i="98"/>
  <c r="AW122" i="98"/>
  <c r="AT118" i="98"/>
  <c r="AZ35" i="98"/>
  <c r="BE162" i="98"/>
  <c r="AV76" i="98"/>
  <c r="AV57" i="98"/>
  <c r="BF129" i="98"/>
  <c r="BB160" i="98"/>
  <c r="BF58" i="98"/>
  <c r="BH50" i="98"/>
  <c r="AW159" i="98"/>
  <c r="AT119" i="98"/>
  <c r="AZ70" i="98"/>
  <c r="BG135" i="98"/>
  <c r="AZ164" i="98"/>
  <c r="AW60" i="98"/>
  <c r="BF93" i="98"/>
  <c r="BG26" i="98"/>
  <c r="BG22" i="98"/>
  <c r="AU18" i="98"/>
  <c r="BH36" i="98"/>
  <c r="BC108" i="98"/>
  <c r="AU124" i="98"/>
  <c r="AT32" i="98"/>
  <c r="AT29" i="98"/>
  <c r="BD103" i="98"/>
  <c r="BD55" i="98"/>
  <c r="AT17" i="98"/>
  <c r="BE66" i="98"/>
  <c r="BD58" i="98"/>
  <c r="BE50" i="98"/>
  <c r="AY92" i="98"/>
  <c r="AT53" i="98"/>
  <c r="AV156" i="98"/>
  <c r="BE91" i="98"/>
  <c r="BD88" i="98"/>
  <c r="AT128" i="98"/>
  <c r="BD99" i="98"/>
  <c r="BD95" i="98"/>
  <c r="BD135" i="98"/>
  <c r="AY99" i="98"/>
  <c r="AY126" i="98"/>
  <c r="BD134" i="98"/>
  <c r="AZ88" i="98"/>
  <c r="AT133" i="98"/>
  <c r="AU33" i="98"/>
  <c r="AT28" i="98"/>
  <c r="AT162" i="98"/>
  <c r="AY123" i="98"/>
  <c r="BE27" i="98"/>
  <c r="BD111" i="98"/>
  <c r="AZ127" i="98"/>
  <c r="BD129" i="98"/>
  <c r="AT98" i="98"/>
  <c r="AU84" i="98"/>
  <c r="BE135" i="98"/>
  <c r="AY20" i="98"/>
  <c r="BD40" i="98"/>
  <c r="AT69" i="98"/>
  <c r="AU48" i="98"/>
  <c r="BE132" i="98"/>
  <c r="AZ92" i="98"/>
  <c r="AT141" i="98"/>
  <c r="BE113" i="98"/>
  <c r="BA98" i="98"/>
  <c r="BF44" i="98"/>
  <c r="AY113" i="98"/>
  <c r="AY96" i="98"/>
  <c r="AZ29" i="98"/>
  <c r="AY148" i="98"/>
  <c r="AV112" i="98"/>
  <c r="BB58" i="98"/>
  <c r="AW124" i="98"/>
  <c r="AW45" i="98"/>
  <c r="AV145" i="98"/>
  <c r="BF16" i="98"/>
  <c r="BD37" i="98"/>
  <c r="AT99" i="98"/>
  <c r="BD151" i="98"/>
  <c r="BA114" i="98"/>
  <c r="BE28" i="98"/>
  <c r="AZ162" i="98"/>
  <c r="AV53" i="98"/>
  <c r="AZ59" i="98"/>
  <c r="BA135" i="98"/>
  <c r="AW94" i="98"/>
  <c r="BF72" i="98"/>
  <c r="AY109" i="98"/>
  <c r="AY31" i="98"/>
  <c r="BB156" i="98"/>
  <c r="AU45" i="98"/>
  <c r="AZ39" i="98"/>
  <c r="AV78" i="98"/>
  <c r="BE144" i="98"/>
  <c r="AX56" i="98"/>
  <c r="AT153" i="98"/>
  <c r="BF148" i="98"/>
  <c r="AY69" i="98"/>
  <c r="AY46" i="98"/>
  <c r="AZ89" i="98"/>
  <c r="BE61" i="98"/>
  <c r="AV51" i="98"/>
  <c r="BE136" i="98"/>
  <c r="BB87" i="98"/>
  <c r="BA87" i="98"/>
  <c r="AZ142" i="98"/>
  <c r="BH22" i="98"/>
  <c r="BG139" i="98"/>
  <c r="AW119" i="98"/>
  <c r="BF52" i="98"/>
  <c r="AU149" i="98"/>
  <c r="BH18" i="98"/>
  <c r="BE25" i="98"/>
  <c r="BB142" i="98"/>
  <c r="BA50" i="98"/>
  <c r="BH39" i="98"/>
  <c r="AU109" i="98"/>
  <c r="AW131" i="98"/>
  <c r="AT46" i="98"/>
  <c r="AW114" i="98"/>
  <c r="AV144" i="98"/>
  <c r="AU82" i="98"/>
  <c r="AX133" i="98"/>
  <c r="BB66" i="98"/>
  <c r="BC136" i="98"/>
  <c r="BH93" i="98"/>
  <c r="BG12" i="98"/>
  <c r="BC147" i="98"/>
  <c r="AY124" i="98"/>
  <c r="AW58" i="98"/>
  <c r="BH140" i="98"/>
  <c r="AV150" i="98"/>
  <c r="BG46" i="98"/>
  <c r="AW146" i="98"/>
  <c r="BA85" i="98"/>
  <c r="AU151" i="98"/>
  <c r="BC123" i="98"/>
  <c r="AX150" i="98"/>
  <c r="BE140" i="98"/>
  <c r="AU128" i="98"/>
  <c r="BF101" i="98"/>
  <c r="AV34" i="98"/>
  <c r="BF6" i="98"/>
  <c r="BA116" i="98"/>
  <c r="AV101" i="98"/>
  <c r="BH65" i="98"/>
  <c r="AY22" i="98"/>
  <c r="AY44" i="98"/>
  <c r="AY104" i="98"/>
  <c r="BE106" i="98"/>
  <c r="AY37" i="98"/>
  <c r="BD29" i="98"/>
  <c r="AT151" i="98"/>
  <c r="BD22" i="98"/>
  <c r="AZ119" i="98"/>
  <c r="AU79" i="98"/>
  <c r="AY14" i="98"/>
  <c r="AU37" i="98"/>
  <c r="BE150" i="98"/>
  <c r="BD130" i="98"/>
  <c r="AY77" i="98"/>
  <c r="AY141" i="98"/>
  <c r="AY159" i="98"/>
  <c r="BD156" i="98"/>
  <c r="AY82" i="98"/>
  <c r="BD10" i="98"/>
  <c r="AT85" i="98"/>
  <c r="AZ146" i="98"/>
  <c r="BA156" i="98"/>
  <c r="AZ40" i="98"/>
  <c r="AZ68" i="98"/>
  <c r="AT145" i="98"/>
  <c r="BD8" i="98"/>
  <c r="AY108" i="98"/>
  <c r="AY107" i="98"/>
  <c r="AY86" i="98"/>
  <c r="BD76" i="98"/>
  <c r="BA86" i="98"/>
  <c r="AV119" i="98"/>
  <c r="AY28" i="98"/>
  <c r="AT107" i="98"/>
  <c r="AT122" i="98"/>
  <c r="AT143" i="98"/>
  <c r="AY50" i="98"/>
  <c r="AT80" i="98"/>
  <c r="BD65" i="98"/>
  <c r="AY60" i="98"/>
  <c r="AY25" i="98"/>
  <c r="AU11" i="98"/>
  <c r="AY150" i="98"/>
  <c r="AU130" i="98"/>
  <c r="AW139" i="98"/>
  <c r="AT31" i="98"/>
  <c r="BE103" i="98"/>
  <c r="AU91" i="98"/>
  <c r="BF14" i="98"/>
  <c r="AW126" i="98"/>
  <c r="BB141" i="98"/>
  <c r="BF92" i="98"/>
  <c r="AV59" i="98"/>
  <c r="AY5" i="98"/>
  <c r="AZ139" i="98"/>
  <c r="BF55" i="98"/>
  <c r="BG120" i="98"/>
  <c r="AU32" i="98"/>
  <c r="BC25" i="98"/>
  <c r="AW145" i="98"/>
  <c r="BA38" i="98"/>
  <c r="BD42" i="98"/>
  <c r="BG141" i="98"/>
  <c r="BC93" i="98"/>
  <c r="AZ6" i="98"/>
  <c r="AT16" i="98"/>
  <c r="AU131" i="98"/>
  <c r="AV148" i="98"/>
  <c r="AT42" i="98"/>
  <c r="BA108" i="98"/>
  <c r="AU73" i="98"/>
  <c r="BF145" i="98"/>
  <c r="AX19" i="98"/>
  <c r="BE29" i="98"/>
  <c r="AY9" i="98"/>
  <c r="BE7" i="98"/>
  <c r="AZ159" i="98"/>
  <c r="BE49" i="98"/>
  <c r="AU20" i="98"/>
  <c r="BF15" i="98"/>
  <c r="AV85" i="98"/>
  <c r="BE121" i="98"/>
  <c r="AW148" i="98"/>
  <c r="AZ123" i="98"/>
  <c r="AZ64" i="98"/>
  <c r="AV39" i="98"/>
  <c r="AW55" i="98"/>
  <c r="BF9" i="98"/>
  <c r="BG5" i="98"/>
  <c r="AU55" i="98"/>
  <c r="BH85" i="98"/>
  <c r="BA160" i="98"/>
  <c r="AX60" i="98"/>
  <c r="BH162" i="98"/>
  <c r="BC78" i="98"/>
  <c r="BD31" i="98"/>
  <c r="BA5" i="98"/>
  <c r="BA153" i="98"/>
  <c r="AX63" i="98"/>
  <c r="BB88" i="98"/>
  <c r="BG34" i="98"/>
  <c r="AY34" i="98"/>
  <c r="AW49" i="98"/>
  <c r="BG163" i="98"/>
  <c r="BF53" i="98"/>
  <c r="BD46" i="98"/>
  <c r="AZ47" i="98"/>
  <c r="BF26" i="98"/>
  <c r="AX130" i="98"/>
  <c r="BG61" i="98"/>
  <c r="BA7" i="98"/>
  <c r="AX75" i="98"/>
  <c r="BC132" i="98"/>
  <c r="BB61" i="98"/>
  <c r="AW61" i="98"/>
  <c r="AZ149" i="98"/>
  <c r="BE12" i="98"/>
  <c r="BF71" i="98"/>
  <c r="AX31" i="98"/>
  <c r="AW81" i="98"/>
  <c r="BF118" i="98"/>
  <c r="BA53" i="98"/>
  <c r="BB31" i="98"/>
  <c r="AT15" i="98"/>
  <c r="AY129" i="98"/>
  <c r="AT76" i="98"/>
  <c r="AT18" i="98"/>
  <c r="AY21" i="98"/>
  <c r="BD7" i="98"/>
  <c r="AT67" i="98"/>
  <c r="BD28" i="98"/>
  <c r="AY45" i="98"/>
  <c r="AU92" i="98"/>
  <c r="AZ120" i="98"/>
  <c r="AX54" i="98"/>
  <c r="BF140" i="98"/>
  <c r="BD34" i="98"/>
  <c r="BD157" i="98"/>
  <c r="AY32" i="98"/>
  <c r="AT7" i="98"/>
  <c r="AT64" i="98"/>
  <c r="BE110" i="98"/>
  <c r="BD97" i="98"/>
  <c r="AU47" i="98"/>
  <c r="BE111" i="98"/>
  <c r="AZ105" i="98"/>
  <c r="AW74" i="98"/>
  <c r="AZ135" i="98"/>
  <c r="BD70" i="98"/>
  <c r="AY7" i="98"/>
  <c r="AZ44" i="98"/>
  <c r="BD122" i="98"/>
  <c r="BE74" i="98"/>
  <c r="AZ77" i="98"/>
  <c r="AT131" i="98"/>
  <c r="AZ17" i="98"/>
  <c r="BF146" i="98"/>
  <c r="BD142" i="98"/>
  <c r="AY40" i="98"/>
  <c r="AT108" i="98"/>
  <c r="BD93" i="98"/>
  <c r="AT90" i="98"/>
  <c r="AY59" i="98"/>
  <c r="AV69" i="98"/>
  <c r="AT87" i="98"/>
  <c r="BF136" i="98"/>
  <c r="AY156" i="98"/>
  <c r="BD149" i="98"/>
  <c r="BE126" i="98"/>
  <c r="BE98" i="98"/>
  <c r="AU38" i="98"/>
  <c r="AV28" i="98"/>
  <c r="AX143" i="98"/>
  <c r="AZ132" i="98"/>
  <c r="BA95" i="98"/>
  <c r="BG127" i="98"/>
  <c r="AX153" i="98"/>
  <c r="AV61" i="98"/>
  <c r="BD75" i="98"/>
  <c r="AV84" i="98"/>
  <c r="BE164" i="98"/>
  <c r="BA84" i="98"/>
  <c r="AV97" i="98"/>
  <c r="AT123" i="98"/>
  <c r="BE33" i="98"/>
  <c r="BE31" i="98"/>
  <c r="AZ140" i="98"/>
  <c r="AU160" i="98"/>
  <c r="AY23" i="98"/>
  <c r="AT134" i="98"/>
  <c r="AY162" i="98"/>
  <c r="AT81" i="98"/>
  <c r="BA77" i="98"/>
  <c r="BF39" i="98"/>
  <c r="BA120" i="98"/>
  <c r="AV22" i="98"/>
  <c r="AW137" i="98"/>
  <c r="BA123" i="98"/>
  <c r="AY15" i="98"/>
  <c r="AY114" i="98"/>
  <c r="AY13" i="98"/>
  <c r="BF81" i="98"/>
  <c r="AU6" i="98"/>
  <c r="BF36" i="98"/>
  <c r="BH19" i="98"/>
  <c r="AZ87" i="98"/>
  <c r="BB48" i="98"/>
  <c r="AW66" i="98"/>
  <c r="BD9" i="98"/>
  <c r="BA54" i="98"/>
  <c r="BG146" i="98"/>
  <c r="BA131" i="98"/>
  <c r="AZ108" i="98"/>
  <c r="AW149" i="98"/>
  <c r="BF24" i="98"/>
  <c r="BC157" i="98"/>
  <c r="AW32" i="98"/>
  <c r="BB68" i="98"/>
  <c r="BC5" i="98"/>
  <c r="AT101" i="98"/>
  <c r="AU133" i="98"/>
  <c r="BB73" i="98"/>
  <c r="BA21" i="98"/>
  <c r="AX99" i="98"/>
  <c r="AX25" i="98"/>
  <c r="AW44" i="98"/>
  <c r="AX134" i="98"/>
  <c r="AV96" i="98"/>
  <c r="BF83" i="98"/>
  <c r="AZ90" i="98"/>
  <c r="BE131" i="98"/>
  <c r="BE62" i="98"/>
  <c r="BA162" i="98"/>
  <c r="BB99" i="98"/>
  <c r="BH60" i="98"/>
  <c r="BH142" i="98"/>
  <c r="AX18" i="98"/>
  <c r="BE60" i="98"/>
  <c r="BH58" i="98"/>
  <c r="AZ10" i="98"/>
  <c r="BA67" i="98"/>
  <c r="AV105" i="98"/>
  <c r="BA163" i="98"/>
  <c r="BB11" i="98"/>
  <c r="AV146" i="98"/>
  <c r="BF33" i="98"/>
  <c r="AX163" i="98"/>
  <c r="BG19" i="98"/>
  <c r="BF7" i="98"/>
  <c r="AT47" i="98"/>
  <c r="AT91" i="98"/>
  <c r="BE157" i="98"/>
  <c r="AY47" i="98"/>
  <c r="AY64" i="98"/>
  <c r="BD126" i="98"/>
  <c r="AY51" i="98"/>
  <c r="BA31" i="98"/>
  <c r="AT6" i="98"/>
  <c r="BD21" i="98"/>
  <c r="BA34" i="98"/>
  <c r="BE127" i="98"/>
  <c r="AT39" i="98"/>
  <c r="BE118" i="98"/>
  <c r="BD20" i="98"/>
  <c r="AT33" i="98"/>
  <c r="BD33" i="98"/>
  <c r="AT44" i="98"/>
  <c r="AY122" i="98"/>
  <c r="AT111" i="98"/>
  <c r="AY98" i="98"/>
  <c r="BE94" i="98"/>
  <c r="AT52" i="98"/>
  <c r="BE153" i="98"/>
  <c r="AU29" i="98"/>
  <c r="AZ56" i="98"/>
  <c r="AT156" i="98"/>
  <c r="BD71" i="98"/>
  <c r="AT124" i="98"/>
  <c r="AY27" i="98"/>
  <c r="AZ156" i="98"/>
  <c r="AU57" i="98"/>
  <c r="AY105" i="98"/>
  <c r="AU106" i="98"/>
  <c r="AZ126" i="98"/>
  <c r="BD30" i="98"/>
  <c r="BD77" i="98"/>
  <c r="AT74" i="98"/>
  <c r="AU157" i="98"/>
  <c r="AV38" i="98"/>
  <c r="AZ72" i="98"/>
  <c r="BD159" i="98"/>
  <c r="BA99" i="98"/>
  <c r="AZ91" i="98"/>
  <c r="BD79" i="98"/>
  <c r="AY153" i="98"/>
  <c r="AU95" i="98"/>
  <c r="BE35" i="98"/>
  <c r="AZ83" i="98"/>
  <c r="AU30" i="98"/>
  <c r="BB158" i="98"/>
  <c r="BH59" i="98"/>
  <c r="AX108" i="98"/>
  <c r="BA115" i="98"/>
  <c r="AX76" i="98"/>
  <c r="AY78" i="98"/>
  <c r="BE46" i="98"/>
  <c r="AY54" i="98"/>
  <c r="AU53" i="98"/>
  <c r="AV72" i="98"/>
  <c r="AV74" i="98"/>
  <c r="AV24" i="98"/>
  <c r="AU136" i="98"/>
  <c r="BD80" i="98"/>
  <c r="BA161" i="98"/>
  <c r="AT51" i="98"/>
  <c r="BE128" i="98"/>
  <c r="AV42" i="98"/>
  <c r="AU110" i="98"/>
  <c r="AU10" i="98"/>
  <c r="AZ115" i="98"/>
  <c r="BF59" i="98"/>
  <c r="AW11" i="98"/>
  <c r="BF125" i="98"/>
  <c r="BB37" i="98"/>
  <c r="BG48" i="98"/>
  <c r="AT11" i="98"/>
  <c r="BF99" i="98"/>
  <c r="AZ62" i="98"/>
  <c r="AZ61" i="98"/>
  <c r="AZ117" i="98"/>
  <c r="BA140" i="98"/>
  <c r="BF155" i="98"/>
  <c r="AW92" i="98"/>
  <c r="AZ13" i="98"/>
  <c r="BG102" i="98"/>
  <c r="BD38" i="98"/>
  <c r="AZ109" i="98"/>
  <c r="AW147" i="98"/>
  <c r="BH131" i="98"/>
  <c r="AW162" i="98"/>
  <c r="BH94" i="98"/>
  <c r="BG142" i="98"/>
  <c r="AY146" i="98"/>
  <c r="BD87" i="98"/>
  <c r="AY16" i="98"/>
  <c r="AY111" i="98"/>
  <c r="AT71" i="98"/>
  <c r="AY81" i="98"/>
  <c r="BD114" i="98"/>
  <c r="BD32" i="98"/>
  <c r="BD18" i="98"/>
  <c r="BD48" i="98"/>
  <c r="AZ19" i="98"/>
  <c r="AY42" i="98"/>
  <c r="AU141" i="98"/>
  <c r="AU102" i="98"/>
  <c r="AU113" i="98"/>
  <c r="AT24" i="98"/>
  <c r="AT27" i="98"/>
  <c r="AY151" i="98"/>
  <c r="AY71" i="98"/>
  <c r="BD74" i="98"/>
  <c r="AY147" i="98"/>
  <c r="AU64" i="98"/>
  <c r="AU66" i="98"/>
  <c r="BE160" i="98"/>
  <c r="BD78" i="98"/>
  <c r="BD147" i="98"/>
  <c r="BD101" i="98"/>
  <c r="AT150" i="98"/>
  <c r="AY18" i="98"/>
  <c r="AZ58" i="98"/>
  <c r="BF107" i="98"/>
  <c r="AU148" i="98"/>
  <c r="AZ79" i="98"/>
  <c r="AV71" i="98"/>
  <c r="AY76" i="98"/>
  <c r="AY121" i="98"/>
  <c r="BD72" i="98"/>
  <c r="BD11" i="98"/>
  <c r="AY89" i="98"/>
  <c r="AZ41" i="98"/>
  <c r="BF19" i="98"/>
  <c r="AU21" i="98"/>
  <c r="AT159" i="98"/>
  <c r="AT135" i="98"/>
  <c r="BD110" i="98"/>
  <c r="AZ57" i="98"/>
  <c r="AT9" i="98"/>
  <c r="AU161" i="98"/>
  <c r="AZ101" i="98"/>
  <c r="BC113" i="98"/>
  <c r="BF127" i="98"/>
  <c r="BA60" i="98"/>
  <c r="AW43" i="98"/>
  <c r="BH74" i="98"/>
  <c r="AT55" i="98"/>
  <c r="AY116" i="98"/>
  <c r="AZ155" i="98"/>
  <c r="BE57" i="98"/>
  <c r="AT120" i="98"/>
  <c r="BF67" i="98"/>
  <c r="AU120" i="98"/>
  <c r="BA102" i="98"/>
  <c r="AZ66" i="98"/>
  <c r="AV102" i="98"/>
  <c r="AY161" i="98"/>
  <c r="BD89" i="98"/>
  <c r="AZ55" i="98"/>
  <c r="BE24" i="98"/>
  <c r="AU31" i="98"/>
  <c r="AU127" i="98"/>
  <c r="BB122" i="98"/>
  <c r="BA58" i="98"/>
  <c r="AW104" i="98"/>
  <c r="BF25" i="98"/>
  <c r="BC54" i="98"/>
  <c r="AY85" i="98"/>
  <c r="AT66" i="98"/>
  <c r="BA62" i="98"/>
  <c r="AU142" i="98"/>
  <c r="AY134" i="98"/>
  <c r="BB40" i="98"/>
  <c r="BD67" i="98"/>
  <c r="BE142" i="98"/>
  <c r="BE42" i="98"/>
  <c r="BH92" i="98"/>
  <c r="BE48" i="98"/>
  <c r="AZ138" i="98"/>
  <c r="AZ134" i="98"/>
  <c r="BB41" i="98"/>
  <c r="BF56" i="98"/>
  <c r="BA118" i="98"/>
  <c r="AW72" i="98"/>
  <c r="BA119" i="98"/>
  <c r="BH136" i="98"/>
  <c r="BG132" i="98"/>
  <c r="BE125" i="98"/>
  <c r="BE137" i="98"/>
  <c r="AV44" i="98"/>
  <c r="BF163" i="98"/>
  <c r="BH111" i="98"/>
  <c r="BE58" i="98"/>
  <c r="BA155" i="98"/>
  <c r="AV55" i="98"/>
  <c r="BB26" i="98"/>
  <c r="BF18" i="98"/>
  <c r="BE38" i="98"/>
  <c r="AU44" i="98"/>
  <c r="AV9" i="98"/>
  <c r="BC156" i="98"/>
  <c r="BF21" i="98"/>
  <c r="AW23" i="98"/>
  <c r="BA103" i="98"/>
  <c r="AU134" i="98"/>
  <c r="BH147" i="98"/>
  <c r="BA57" i="98"/>
  <c r="BA149" i="98"/>
  <c r="AY119" i="98"/>
  <c r="BE89" i="98"/>
  <c r="AV16" i="98"/>
  <c r="BA52" i="98"/>
  <c r="AZ22" i="98"/>
  <c r="BH98" i="98"/>
  <c r="AZ128" i="98"/>
  <c r="BH91" i="98"/>
  <c r="AY48" i="98"/>
  <c r="BE8" i="98"/>
  <c r="AY52" i="98"/>
  <c r="AY133" i="98"/>
  <c r="AT22" i="98"/>
  <c r="AT35" i="98"/>
  <c r="AZ103" i="98"/>
  <c r="BD112" i="98"/>
  <c r="AY128" i="98"/>
  <c r="AT125" i="98"/>
  <c r="AZ102" i="98"/>
  <c r="AV108" i="98"/>
  <c r="AU56" i="98"/>
  <c r="BD164" i="98"/>
  <c r="AT161" i="98"/>
  <c r="AT148" i="98"/>
  <c r="AZ152" i="98"/>
  <c r="AU34" i="98"/>
  <c r="AT163" i="98"/>
  <c r="AT61" i="98"/>
  <c r="BE14" i="98"/>
  <c r="BE64" i="98"/>
  <c r="AU59" i="98"/>
  <c r="BD121" i="98"/>
  <c r="AT57" i="98"/>
  <c r="BE44" i="98"/>
  <c r="AY35" i="98"/>
  <c r="BD25" i="98"/>
  <c r="AY61" i="98"/>
  <c r="AT144" i="98"/>
  <c r="BE152" i="98"/>
  <c r="AY139" i="98"/>
  <c r="BF159" i="98"/>
  <c r="BF149" i="98"/>
  <c r="BD150" i="98"/>
  <c r="AT21" i="98"/>
  <c r="AT103" i="98"/>
  <c r="AT142" i="98"/>
  <c r="BD119" i="98"/>
  <c r="AT62" i="98"/>
  <c r="AU69" i="98"/>
  <c r="BE108" i="98"/>
  <c r="AV153" i="98"/>
  <c r="AT70" i="98"/>
  <c r="AT94" i="98"/>
  <c r="BE159" i="98"/>
  <c r="AZ37" i="98"/>
  <c r="BA81" i="98"/>
  <c r="AV114" i="98"/>
  <c r="BF41" i="98"/>
  <c r="BA19" i="98"/>
  <c r="AV49" i="98"/>
  <c r="BH125" i="98"/>
  <c r="AX137" i="98"/>
  <c r="AY110" i="98"/>
  <c r="BD85" i="98"/>
  <c r="BF60" i="98"/>
  <c r="BE69" i="98"/>
  <c r="AZ20" i="98"/>
  <c r="AW106" i="98"/>
  <c r="AZ100" i="98"/>
  <c r="BC151" i="98"/>
  <c r="AV98" i="98"/>
  <c r="AX13" i="98"/>
  <c r="AY24" i="98"/>
  <c r="AY19" i="98"/>
  <c r="AZ99" i="98"/>
  <c r="BE13" i="98"/>
  <c r="AU65" i="98"/>
  <c r="AU50" i="98"/>
  <c r="AW39" i="98"/>
  <c r="BG25" i="98"/>
  <c r="AV56" i="98"/>
  <c r="AX100" i="98"/>
  <c r="AX17" i="98"/>
  <c r="AT19" i="98"/>
  <c r="AT23" i="98"/>
  <c r="AU156" i="98"/>
  <c r="AZ116" i="98"/>
  <c r="AZ163" i="98"/>
  <c r="BC69" i="98"/>
  <c r="AZ50" i="98"/>
  <c r="BB151" i="98"/>
  <c r="AV124" i="98"/>
  <c r="BB18" i="98"/>
  <c r="AY75" i="98"/>
  <c r="BD47" i="98"/>
  <c r="AX160" i="98"/>
  <c r="BF40" i="98"/>
  <c r="BC26" i="98"/>
  <c r="AV161" i="98"/>
  <c r="AV140" i="98"/>
  <c r="BB101" i="98"/>
  <c r="BG114" i="98"/>
  <c r="BG131" i="98"/>
  <c r="AY102" i="98"/>
  <c r="AZ74" i="98"/>
  <c r="AX41" i="98"/>
  <c r="BA148" i="98"/>
  <c r="AX113" i="98"/>
  <c r="AZ161" i="98"/>
  <c r="BG75" i="98"/>
  <c r="AX116" i="98"/>
  <c r="BG33" i="98"/>
  <c r="AZ110" i="98"/>
  <c r="BB70" i="98"/>
  <c r="BF122" i="98"/>
  <c r="BH105" i="98"/>
  <c r="AV94" i="98"/>
  <c r="BF111" i="98"/>
  <c r="BB107" i="98"/>
  <c r="BB91" i="98"/>
  <c r="AZ147" i="98"/>
  <c r="BC29" i="98"/>
  <c r="AV116" i="98"/>
  <c r="BD36" i="98"/>
  <c r="AU108" i="98"/>
  <c r="BC11" i="98"/>
  <c r="BA127" i="98"/>
  <c r="AV89" i="98"/>
  <c r="BB69" i="98"/>
  <c r="AV126" i="98"/>
  <c r="BF23" i="98"/>
  <c r="BB137" i="98"/>
  <c r="AT41" i="98"/>
  <c r="AU97" i="98"/>
  <c r="BD133" i="98"/>
  <c r="AY97" i="98"/>
  <c r="AT86" i="98"/>
  <c r="AZ43" i="98"/>
  <c r="AT78" i="98"/>
  <c r="AT97" i="98"/>
  <c r="AT36" i="98"/>
  <c r="AV103" i="98"/>
  <c r="AT102" i="98"/>
  <c r="AU138" i="98"/>
  <c r="AW101" i="98"/>
  <c r="AY73" i="98"/>
  <c r="BD141" i="98"/>
  <c r="BE53" i="98"/>
  <c r="AU89" i="98"/>
  <c r="AY65" i="98"/>
  <c r="BE124" i="98"/>
  <c r="AY26" i="98"/>
  <c r="BF62" i="98"/>
  <c r="AY125" i="98"/>
  <c r="BD128" i="98"/>
  <c r="AT37" i="98"/>
  <c r="AZ153" i="98"/>
  <c r="BD100" i="98"/>
  <c r="BD6" i="98"/>
  <c r="BD102" i="98"/>
  <c r="BD90" i="98"/>
  <c r="AT132" i="98"/>
  <c r="BD13" i="98"/>
  <c r="BE77" i="98"/>
  <c r="AU103" i="98"/>
  <c r="AZ144" i="98"/>
  <c r="AT50" i="98"/>
  <c r="BD152" i="98"/>
  <c r="AY83" i="98"/>
  <c r="BA15" i="98"/>
  <c r="AY84" i="98"/>
  <c r="AT155" i="98"/>
  <c r="BD160" i="98"/>
  <c r="BA93" i="98"/>
  <c r="BB143" i="98"/>
  <c r="BE6" i="98"/>
  <c r="AT65" i="98"/>
  <c r="AY10" i="98"/>
  <c r="BA24" i="98"/>
  <c r="AT14" i="98"/>
  <c r="BH69" i="98"/>
  <c r="AV151" i="98"/>
  <c r="AV93" i="98"/>
  <c r="AZ16" i="98"/>
  <c r="AV135" i="98"/>
  <c r="AW34" i="98"/>
  <c r="AY63" i="98"/>
  <c r="AV118" i="98"/>
  <c r="AU24" i="98"/>
  <c r="BF112" i="98"/>
  <c r="AV155" i="98"/>
  <c r="AX58" i="98"/>
  <c r="BF22" i="98"/>
  <c r="BA74" i="98"/>
  <c r="BA71" i="98"/>
  <c r="AV83" i="98"/>
  <c r="AY144" i="98"/>
  <c r="AY120" i="98"/>
  <c r="AY49" i="98"/>
  <c r="AU81" i="98"/>
  <c r="BF147" i="98"/>
  <c r="AU159" i="98"/>
  <c r="AW67" i="98"/>
  <c r="BF86" i="98"/>
  <c r="BC80" i="98"/>
  <c r="AZ28" i="98"/>
  <c r="AX49" i="98"/>
  <c r="BA125" i="98"/>
  <c r="AY142" i="98"/>
  <c r="AW30" i="98"/>
  <c r="AV99" i="98"/>
  <c r="AW17" i="98"/>
  <c r="BF12" i="98"/>
  <c r="BA20" i="98"/>
  <c r="BE149" i="98"/>
  <c r="BE78" i="98"/>
  <c r="BF150" i="98"/>
  <c r="BD98" i="98"/>
  <c r="BE63" i="98"/>
  <c r="BD136" i="98"/>
  <c r="AX14" i="98"/>
  <c r="BC117" i="98"/>
  <c r="BC63" i="98"/>
  <c r="AX36" i="98"/>
  <c r="BG94" i="98"/>
  <c r="AX48" i="98"/>
  <c r="AW88" i="98"/>
  <c r="AY57" i="98"/>
  <c r="AT59" i="98"/>
  <c r="AZ14" i="98"/>
  <c r="AV134" i="98"/>
  <c r="AW154" i="98"/>
  <c r="BA112" i="98"/>
  <c r="AZ80" i="98"/>
  <c r="AV50" i="98"/>
  <c r="BB12" i="98"/>
  <c r="AX6" i="98"/>
  <c r="AW50" i="98"/>
  <c r="BE5" i="98"/>
  <c r="BH124" i="98"/>
  <c r="AU39" i="98"/>
  <c r="BF142" i="98"/>
  <c r="BC13" i="98"/>
  <c r="AZ97" i="98"/>
  <c r="BA78" i="98"/>
  <c r="BH83" i="98"/>
  <c r="AW69" i="98"/>
  <c r="AU12" i="98"/>
  <c r="AU162" i="98"/>
  <c r="BA121" i="98"/>
  <c r="AW138" i="98"/>
  <c r="BB74" i="98"/>
  <c r="BG17" i="98"/>
  <c r="BC116" i="98"/>
  <c r="BG11" i="98"/>
  <c r="AV92" i="98"/>
  <c r="AT114" i="98"/>
  <c r="AT83" i="98"/>
  <c r="BD127" i="98"/>
  <c r="BE22" i="98"/>
  <c r="BE47" i="98"/>
  <c r="AY43" i="98"/>
  <c r="BE45" i="98"/>
  <c r="AT96" i="98"/>
  <c r="BD19" i="98"/>
  <c r="AZ63" i="98"/>
  <c r="AZ51" i="98"/>
  <c r="AU9" i="98"/>
  <c r="AT92" i="98"/>
  <c r="AU155" i="98"/>
  <c r="AY155" i="98"/>
  <c r="BF20" i="98"/>
  <c r="BG15" i="98"/>
  <c r="AU80" i="98"/>
  <c r="BE93" i="98"/>
  <c r="AU61" i="98"/>
  <c r="AZ52" i="98"/>
  <c r="BB15" i="98"/>
  <c r="AY140" i="98"/>
  <c r="AX83" i="98"/>
  <c r="BF137" i="98"/>
  <c r="BB93" i="98"/>
  <c r="BG14" i="98"/>
  <c r="AU35" i="98"/>
  <c r="AV64" i="98"/>
  <c r="AZ85" i="98"/>
  <c r="AV104" i="98"/>
  <c r="BA94" i="98"/>
  <c r="AX120" i="98"/>
  <c r="BH44" i="98"/>
  <c r="BG91" i="98"/>
  <c r="BG13" i="98"/>
  <c r="AV82" i="98"/>
  <c r="BC100" i="98"/>
  <c r="AV65" i="98"/>
  <c r="BH68" i="98"/>
  <c r="AX8" i="98"/>
  <c r="BH146" i="98"/>
  <c r="BB104" i="98"/>
  <c r="BF61" i="98"/>
  <c r="BH99" i="98"/>
  <c r="BG150" i="98"/>
  <c r="BC142" i="98"/>
  <c r="BA130" i="98"/>
  <c r="BG65" i="98"/>
  <c r="BC53" i="98"/>
  <c r="BF11" i="98"/>
  <c r="BC43" i="98"/>
  <c r="BC6" i="98"/>
  <c r="BG18" i="98"/>
  <c r="BH27" i="98"/>
  <c r="BC55" i="98"/>
  <c r="BC14" i="98"/>
  <c r="AW142" i="98"/>
  <c r="BC149" i="98"/>
  <c r="BF91" i="98"/>
  <c r="BB34" i="98"/>
  <c r="BG76" i="98"/>
  <c r="AX162" i="98"/>
  <c r="BG153" i="98"/>
  <c r="AX164" i="98"/>
  <c r="BA128" i="98"/>
  <c r="BA73" i="98"/>
  <c r="BF64" i="98"/>
  <c r="AU22" i="98"/>
  <c r="BG80" i="98"/>
  <c r="BG10" i="98"/>
  <c r="AZ69" i="98"/>
  <c r="BB85" i="98"/>
  <c r="AX51" i="98"/>
  <c r="AV60" i="98"/>
  <c r="BB38" i="98"/>
  <c r="BC135" i="98"/>
  <c r="BG20" i="98"/>
  <c r="BC60" i="98"/>
  <c r="AX148" i="98"/>
  <c r="BB43" i="98"/>
  <c r="BA113" i="98"/>
  <c r="BB19" i="98"/>
  <c r="BG98" i="98"/>
  <c r="AV20" i="98"/>
  <c r="BE16" i="98"/>
  <c r="BC81" i="98"/>
  <c r="BG88" i="98"/>
  <c r="BB16" i="98"/>
  <c r="BG81" i="98"/>
  <c r="AU17" i="98"/>
  <c r="BH40" i="98"/>
  <c r="BC7" i="98"/>
  <c r="AU14" i="98"/>
  <c r="BF162" i="98"/>
  <c r="BE141" i="98"/>
  <c r="AW90" i="98"/>
  <c r="BC77" i="98"/>
  <c r="BH41" i="98"/>
  <c r="BG143" i="98"/>
  <c r="BC65" i="98"/>
  <c r="BE55" i="98"/>
  <c r="BC144" i="98"/>
  <c r="BG156" i="98"/>
  <c r="AX118" i="98"/>
  <c r="BH14" i="98"/>
  <c r="BH32" i="98"/>
  <c r="BA143" i="98"/>
  <c r="BC160" i="98"/>
  <c r="BG96" i="98"/>
  <c r="AX43" i="98"/>
  <c r="AW127" i="98"/>
  <c r="BC30" i="98"/>
  <c r="BD57" i="98"/>
  <c r="BH55" i="98"/>
  <c r="AW132" i="98"/>
  <c r="AT104" i="98"/>
  <c r="BD14" i="98"/>
  <c r="AV46" i="98"/>
  <c r="AZ157" i="98"/>
  <c r="AT68" i="98"/>
  <c r="AV62" i="98"/>
  <c r="AT105" i="98"/>
  <c r="AZ124" i="98"/>
  <c r="BD54" i="98"/>
  <c r="BE52" i="98"/>
  <c r="AT43" i="98"/>
  <c r="BE80" i="98"/>
  <c r="BH63" i="98"/>
  <c r="AV18" i="98"/>
  <c r="BF128" i="98"/>
  <c r="BF78" i="98"/>
  <c r="BA16" i="98"/>
  <c r="BE88" i="98"/>
  <c r="BD17" i="98"/>
  <c r="BA91" i="98"/>
  <c r="BG110" i="98"/>
  <c r="BD39" i="98"/>
  <c r="BH7" i="98"/>
  <c r="BG74" i="98"/>
  <c r="AZ84" i="98"/>
  <c r="AW103" i="98"/>
  <c r="BA110" i="98"/>
  <c r="AU107" i="98"/>
  <c r="BG140" i="98"/>
  <c r="BE163" i="98"/>
  <c r="BC33" i="98"/>
  <c r="BC90" i="98"/>
  <c r="BB106" i="98"/>
  <c r="BA10" i="98"/>
  <c r="BA138" i="98"/>
  <c r="AV164" i="98"/>
  <c r="BB94" i="98"/>
  <c r="AW151" i="98"/>
  <c r="BB147" i="98"/>
  <c r="AV122" i="98"/>
  <c r="BG162" i="98"/>
  <c r="BH143" i="98"/>
  <c r="BB144" i="98"/>
  <c r="BC140" i="98"/>
  <c r="BF144" i="98"/>
  <c r="BH76" i="98"/>
  <c r="BE146" i="98"/>
  <c r="BC20" i="98"/>
  <c r="BG6" i="98"/>
  <c r="BH8" i="98"/>
  <c r="BA43" i="98"/>
  <c r="BC48" i="98"/>
  <c r="AW46" i="98"/>
  <c r="BC9" i="98"/>
  <c r="BG55" i="98"/>
  <c r="BH153" i="98"/>
  <c r="BG30" i="98"/>
  <c r="AX85" i="98"/>
  <c r="AX71" i="98"/>
  <c r="BH52" i="98"/>
  <c r="BF90" i="98"/>
  <c r="AW36" i="98"/>
  <c r="BC129" i="98"/>
  <c r="BE107" i="98"/>
  <c r="AX40" i="98"/>
  <c r="BH127" i="98"/>
  <c r="BF116" i="98"/>
  <c r="AV12" i="98"/>
  <c r="BH126" i="98"/>
  <c r="AX47" i="98"/>
  <c r="AW109" i="98"/>
  <c r="BC126" i="98"/>
  <c r="AV147" i="98"/>
  <c r="AX161" i="98"/>
  <c r="BG154" i="98"/>
  <c r="AX132" i="98"/>
  <c r="AX89" i="98"/>
  <c r="AZ33" i="98"/>
  <c r="AV37" i="98"/>
  <c r="BH79" i="98"/>
  <c r="BH38" i="98"/>
  <c r="BB90" i="98"/>
  <c r="AV128" i="98"/>
  <c r="BF84" i="98"/>
  <c r="BG152" i="98"/>
  <c r="BC70" i="98"/>
  <c r="AV137" i="98"/>
  <c r="AW8" i="98"/>
  <c r="AW89" i="98"/>
  <c r="BE56" i="98"/>
  <c r="BC128" i="98"/>
  <c r="BB82" i="98"/>
  <c r="AT130" i="98"/>
  <c r="AW56" i="98"/>
  <c r="AW65" i="98"/>
  <c r="BG69" i="98"/>
  <c r="AX82" i="98"/>
  <c r="BA41" i="98"/>
  <c r="BC52" i="98"/>
  <c r="BA39" i="98"/>
  <c r="AX109" i="98"/>
  <c r="AZ111" i="98"/>
  <c r="BG126" i="98"/>
  <c r="BH107" i="98"/>
  <c r="BA132" i="98"/>
  <c r="BH75" i="98"/>
  <c r="BC98" i="98"/>
  <c r="BC34" i="98"/>
  <c r="AV115" i="98"/>
  <c r="AW99" i="98"/>
  <c r="BB140" i="98"/>
  <c r="BC121" i="98"/>
  <c r="BA14" i="98"/>
  <c r="BB30" i="98"/>
  <c r="AV79" i="98"/>
  <c r="AY95" i="98"/>
  <c r="BE40" i="98"/>
  <c r="AU129" i="98"/>
  <c r="BD44" i="98"/>
  <c r="AT25" i="98"/>
  <c r="AU116" i="98"/>
  <c r="AY101" i="98"/>
  <c r="BD51" i="98"/>
  <c r="AU125" i="98"/>
  <c r="AV100" i="98"/>
  <c r="BD24" i="98"/>
  <c r="AZ45" i="98"/>
  <c r="BA70" i="98"/>
  <c r="BD56" i="98"/>
  <c r="BH73" i="98"/>
  <c r="BA23" i="98"/>
  <c r="AU146" i="98"/>
  <c r="AW40" i="98"/>
  <c r="AU101" i="98"/>
  <c r="AW87" i="98"/>
  <c r="AX111" i="98"/>
  <c r="AW80" i="98"/>
  <c r="AV120" i="98"/>
  <c r="BF126" i="98"/>
  <c r="AW25" i="98"/>
  <c r="BH82" i="98"/>
  <c r="BF151" i="98"/>
  <c r="BA28" i="98"/>
  <c r="AU152" i="98"/>
  <c r="BG116" i="98"/>
  <c r="AX73" i="98"/>
  <c r="AW153" i="98"/>
  <c r="AT106" i="98"/>
  <c r="BE82" i="98"/>
  <c r="BF50" i="98"/>
  <c r="AX147" i="98"/>
  <c r="BB67" i="98"/>
  <c r="BF89" i="98"/>
  <c r="AX88" i="98"/>
  <c r="BA145" i="98"/>
  <c r="AX92" i="98"/>
  <c r="AW29" i="98"/>
  <c r="BF66" i="98"/>
  <c r="AW163" i="98"/>
  <c r="BH129" i="98"/>
  <c r="BH6" i="98"/>
  <c r="BA32" i="98"/>
  <c r="BH15" i="98"/>
  <c r="AW115" i="98"/>
  <c r="AV10" i="98"/>
  <c r="BA11" i="98"/>
  <c r="BC28" i="98"/>
  <c r="BC24" i="98"/>
  <c r="BF108" i="98"/>
  <c r="AX98" i="98"/>
  <c r="BG103" i="98"/>
  <c r="BH10" i="98"/>
  <c r="AX35" i="98"/>
  <c r="BB133" i="98"/>
  <c r="BG92" i="98"/>
  <c r="BG23" i="98"/>
  <c r="AX96" i="98"/>
  <c r="BB54" i="98"/>
  <c r="AV63" i="98"/>
  <c r="BH62" i="98"/>
  <c r="BH148" i="98"/>
  <c r="BB121" i="98"/>
  <c r="BG37" i="98"/>
  <c r="BC72" i="98"/>
  <c r="AW37" i="98"/>
  <c r="BE59" i="98"/>
  <c r="AW130" i="98"/>
  <c r="BB60" i="98"/>
  <c r="AV21" i="98"/>
  <c r="BC35" i="98"/>
  <c r="BG72" i="98"/>
  <c r="AX125" i="98"/>
  <c r="BC10" i="98"/>
  <c r="BA47" i="98"/>
  <c r="AZ38" i="98"/>
  <c r="BH110" i="98"/>
  <c r="AY93" i="98"/>
  <c r="BC114" i="98"/>
  <c r="BH158" i="98"/>
  <c r="BB71" i="98"/>
  <c r="BB115" i="98"/>
  <c r="BG122" i="98"/>
  <c r="BC145" i="98"/>
  <c r="AZ73" i="98"/>
  <c r="AW22" i="98"/>
  <c r="BB97" i="98"/>
  <c r="BC110" i="98"/>
  <c r="AV90" i="98"/>
  <c r="BC133" i="98"/>
  <c r="BG109" i="98"/>
  <c r="AZ82" i="98"/>
  <c r="BC152" i="98"/>
  <c r="AW84" i="98"/>
  <c r="AW54" i="98"/>
  <c r="BG39" i="98"/>
  <c r="BC99" i="98"/>
  <c r="BF95" i="98"/>
  <c r="BH113" i="98"/>
  <c r="BG130" i="98"/>
  <c r="BB132" i="98"/>
  <c r="BC111" i="98"/>
  <c r="AX138" i="98"/>
  <c r="AX7" i="98"/>
  <c r="BB51" i="98"/>
  <c r="BB103" i="98"/>
  <c r="BH12" i="98"/>
  <c r="AV149" i="98"/>
  <c r="BE39" i="98"/>
  <c r="BG137" i="98"/>
  <c r="AW100" i="98"/>
  <c r="AY163" i="98"/>
  <c r="BF46" i="98"/>
  <c r="AU23" i="98"/>
  <c r="AU68" i="98"/>
  <c r="AZ26" i="98"/>
  <c r="BA66" i="98"/>
  <c r="BB118" i="98"/>
  <c r="AW157" i="98"/>
  <c r="BA36" i="98"/>
  <c r="BA69" i="98"/>
  <c r="AX67" i="98"/>
  <c r="BH33" i="98"/>
  <c r="BD41" i="98"/>
  <c r="AY68" i="98"/>
  <c r="AT147" i="98"/>
  <c r="AW20" i="98"/>
  <c r="BE92" i="98"/>
  <c r="AV25" i="98"/>
  <c r="AT12" i="98"/>
  <c r="AZ81" i="98"/>
  <c r="AU67" i="98"/>
  <c r="BB146" i="98"/>
  <c r="AT146" i="98"/>
  <c r="BD123" i="98"/>
  <c r="BG104" i="98"/>
  <c r="AT49" i="98"/>
  <c r="BB150" i="98"/>
  <c r="BB98" i="98"/>
  <c r="AU28" i="98"/>
  <c r="BF156" i="98"/>
  <c r="BE87" i="98"/>
  <c r="BB36" i="98"/>
  <c r="AZ104" i="98"/>
  <c r="AU62" i="98"/>
  <c r="AV133" i="98"/>
  <c r="BF109" i="98"/>
  <c r="AU105" i="98"/>
  <c r="BH17" i="98"/>
  <c r="BF75" i="98"/>
  <c r="AX69" i="98"/>
  <c r="AV58" i="98"/>
  <c r="BC95" i="98"/>
  <c r="BH135" i="98"/>
  <c r="AW134" i="98"/>
  <c r="BD86" i="98"/>
  <c r="BA88" i="98"/>
  <c r="AV47" i="98"/>
  <c r="BB105" i="98"/>
  <c r="BB77" i="98"/>
  <c r="BA82" i="98"/>
  <c r="BG128" i="98"/>
  <c r="AV75" i="98"/>
  <c r="BH87" i="98"/>
  <c r="BA40" i="98"/>
  <c r="BC154" i="98"/>
  <c r="AX101" i="98"/>
  <c r="BG157" i="98"/>
  <c r="AW158" i="98"/>
  <c r="AW86" i="98"/>
  <c r="AX28" i="98"/>
  <c r="BH86" i="98"/>
  <c r="AV142" i="98"/>
  <c r="BB145" i="98"/>
  <c r="BA158" i="98"/>
  <c r="AZ76" i="98"/>
  <c r="BA30" i="98"/>
  <c r="BH51" i="98"/>
  <c r="AZ11" i="98"/>
  <c r="BG64" i="98"/>
  <c r="BH100" i="98"/>
  <c r="AX32" i="98"/>
  <c r="BE101" i="98"/>
  <c r="BH23" i="98"/>
  <c r="AX80" i="98"/>
  <c r="BG93" i="98"/>
  <c r="AX30" i="98"/>
  <c r="AX29" i="98"/>
  <c r="AX68" i="98"/>
  <c r="BB128" i="98"/>
  <c r="BA134" i="98"/>
  <c r="BA37" i="98"/>
  <c r="BB155" i="98"/>
  <c r="BB22" i="98"/>
  <c r="AW140" i="98"/>
  <c r="AZ53" i="98"/>
  <c r="BB32" i="98"/>
  <c r="BF35" i="98"/>
  <c r="BC92" i="98"/>
  <c r="BG32" i="98"/>
  <c r="BF57" i="98"/>
  <c r="AW82" i="98"/>
  <c r="AV17" i="98"/>
  <c r="BB123" i="98"/>
  <c r="AU43" i="98"/>
  <c r="BH5" i="98"/>
  <c r="AV131" i="98"/>
  <c r="AW35" i="98"/>
  <c r="AW42" i="98"/>
  <c r="AV77" i="98"/>
  <c r="BC139" i="98"/>
  <c r="AX10" i="98"/>
  <c r="BG68" i="98"/>
  <c r="BE37" i="98"/>
  <c r="BH103" i="98"/>
  <c r="AV157" i="98"/>
  <c r="BG16" i="98"/>
  <c r="BH150" i="98"/>
  <c r="BC104" i="98"/>
  <c r="BG24" i="98"/>
  <c r="AX119" i="98"/>
  <c r="BG124" i="98"/>
  <c r="BB35" i="98"/>
  <c r="BC68" i="98"/>
  <c r="BC38" i="98"/>
  <c r="AX27" i="98"/>
  <c r="BG27" i="98"/>
  <c r="BB53" i="98"/>
  <c r="BB9" i="98"/>
  <c r="BH13" i="98"/>
  <c r="BB110" i="98"/>
  <c r="AW120" i="98"/>
  <c r="BA61" i="98"/>
  <c r="AU63" i="98"/>
  <c r="AW26" i="98"/>
  <c r="AT75" i="98"/>
  <c r="AT20" i="98"/>
  <c r="BD148" i="98"/>
  <c r="AU54" i="98"/>
  <c r="AY94" i="98"/>
  <c r="AT56" i="98"/>
  <c r="AZ65" i="98"/>
  <c r="AT140" i="98"/>
  <c r="BA45" i="98"/>
  <c r="BF88" i="98"/>
  <c r="BD16" i="98"/>
  <c r="AU111" i="98"/>
  <c r="BF77" i="98"/>
  <c r="BE83" i="98"/>
  <c r="AV33" i="98"/>
  <c r="BG40" i="98"/>
  <c r="AU83" i="98"/>
  <c r="AW123" i="98"/>
  <c r="BF121" i="98"/>
  <c r="AV162" i="98"/>
  <c r="BB44" i="98"/>
  <c r="BE138" i="98"/>
  <c r="BH159" i="98"/>
  <c r="BA92" i="98"/>
  <c r="AT110" i="98"/>
  <c r="BG107" i="98"/>
  <c r="AV23" i="98"/>
  <c r="BE96" i="98"/>
  <c r="AU46" i="98"/>
  <c r="AW97" i="98"/>
  <c r="BH16" i="98"/>
  <c r="AZ122" i="98"/>
  <c r="BA136" i="98"/>
  <c r="AX5" i="98"/>
  <c r="AZ121" i="98"/>
  <c r="BA105" i="98"/>
  <c r="AX16" i="98"/>
  <c r="BA164" i="98"/>
  <c r="AX65" i="98"/>
  <c r="BE129" i="98"/>
  <c r="AX149" i="98"/>
  <c r="BG41" i="98"/>
  <c r="AX61" i="98"/>
  <c r="BH102" i="98"/>
  <c r="BC44" i="98"/>
  <c r="BG79" i="98"/>
  <c r="BC58" i="98"/>
  <c r="BG28" i="98"/>
  <c r="AX57" i="98"/>
  <c r="AZ9" i="98"/>
  <c r="BG164" i="98"/>
  <c r="BA126" i="98"/>
  <c r="AX129" i="98"/>
  <c r="BH9" i="98"/>
  <c r="AW51" i="98"/>
  <c r="BF27" i="98"/>
  <c r="BH141" i="98"/>
  <c r="BC51" i="98"/>
  <c r="AW64" i="98"/>
  <c r="BG145" i="98"/>
  <c r="BB96" i="98"/>
  <c r="AX90" i="98"/>
  <c r="AX42" i="98"/>
  <c r="BG85" i="98"/>
  <c r="AX39" i="98"/>
  <c r="BA29" i="98"/>
  <c r="AZ118" i="98"/>
  <c r="AV27" i="98"/>
  <c r="BG73" i="98"/>
  <c r="AW144" i="98"/>
  <c r="AW9" i="98"/>
  <c r="BF79" i="98"/>
  <c r="BC21" i="98"/>
  <c r="AX21" i="98"/>
  <c r="BG99" i="98"/>
  <c r="BB127" i="98"/>
  <c r="BB125" i="98"/>
  <c r="BG31" i="98"/>
  <c r="BC49" i="98"/>
  <c r="BG53" i="98"/>
  <c r="BG155" i="98"/>
  <c r="AZ143" i="98"/>
  <c r="AW78" i="98"/>
  <c r="AV54" i="98"/>
  <c r="BD96" i="98"/>
  <c r="BH89" i="98"/>
  <c r="AX53" i="98"/>
  <c r="BC103" i="98"/>
  <c r="AX93" i="98"/>
  <c r="AZ151" i="98"/>
  <c r="AW133" i="98"/>
  <c r="AW155" i="98"/>
  <c r="BH106" i="98"/>
  <c r="AT129" i="98"/>
  <c r="AV36" i="98"/>
  <c r="BG70" i="98"/>
  <c r="AT79" i="98"/>
  <c r="AT89" i="98"/>
  <c r="BD52" i="98"/>
  <c r="BD109" i="98"/>
  <c r="AT34" i="98"/>
  <c r="BF113" i="98"/>
  <c r="BD23" i="98"/>
  <c r="BE147" i="98"/>
  <c r="BA49" i="98"/>
  <c r="BF43" i="98"/>
  <c r="BD83" i="98"/>
  <c r="BB55" i="98"/>
  <c r="BG44" i="98"/>
  <c r="BE54" i="98"/>
  <c r="BE41" i="98"/>
  <c r="AW13" i="98"/>
  <c r="AY157" i="98"/>
  <c r="AX9" i="98"/>
  <c r="AU19" i="98"/>
  <c r="BA26" i="98"/>
  <c r="BB95" i="98"/>
  <c r="BB25" i="98"/>
  <c r="BC23" i="98"/>
  <c r="BG63" i="98"/>
  <c r="BA55" i="98"/>
  <c r="AU117" i="98"/>
  <c r="BC27" i="98"/>
  <c r="BC125" i="98"/>
  <c r="AZ93" i="98"/>
  <c r="AV160" i="98"/>
  <c r="BH35" i="98"/>
  <c r="BE67" i="98"/>
  <c r="AZ94" i="98"/>
  <c r="AU52" i="98"/>
  <c r="BF139" i="98"/>
  <c r="BF5" i="98"/>
  <c r="BC82" i="98"/>
  <c r="BA89" i="98"/>
  <c r="BH164" i="98"/>
  <c r="BA129" i="98"/>
  <c r="AW108" i="98"/>
  <c r="BG7" i="98"/>
  <c r="AX131" i="98"/>
  <c r="AX23" i="98"/>
  <c r="BC107" i="98"/>
  <c r="BB49" i="98"/>
  <c r="BG129" i="98"/>
  <c r="BH134" i="98"/>
  <c r="AZ130" i="98"/>
  <c r="BE26" i="98"/>
  <c r="BA109" i="98"/>
  <c r="BB100" i="98"/>
  <c r="BH137" i="98"/>
  <c r="AV88" i="98"/>
  <c r="AW105" i="98"/>
  <c r="BA139" i="98"/>
  <c r="AW141" i="98"/>
  <c r="AX142" i="98"/>
  <c r="BG159" i="98"/>
  <c r="BC119" i="98"/>
  <c r="AV67" i="98"/>
  <c r="BH95" i="98"/>
  <c r="AW47" i="98"/>
  <c r="BB76" i="98"/>
  <c r="AX11" i="98"/>
  <c r="BD138" i="98"/>
  <c r="BF104" i="98"/>
  <c r="AW63" i="98"/>
  <c r="BA22" i="98"/>
  <c r="BB84" i="98"/>
  <c r="BF29" i="98"/>
  <c r="BC86" i="98"/>
  <c r="AV41" i="98"/>
  <c r="BH121" i="98"/>
  <c r="BH156" i="98"/>
  <c r="BF48" i="98"/>
  <c r="BH47" i="98"/>
  <c r="BC122" i="98"/>
  <c r="BG134" i="98"/>
  <c r="BF143" i="98"/>
  <c r="AX156" i="98"/>
  <c r="AY30" i="98"/>
  <c r="BE99" i="98"/>
  <c r="BB131" i="98"/>
  <c r="BE161" i="98"/>
  <c r="BB109" i="98"/>
  <c r="AV43" i="98"/>
  <c r="BB153" i="98"/>
  <c r="BB52" i="98"/>
  <c r="AU40" i="98"/>
  <c r="BH34" i="98"/>
  <c r="BH138" i="98"/>
  <c r="BG151" i="98"/>
  <c r="BB8" i="98"/>
  <c r="AX44" i="98"/>
  <c r="BB29" i="98"/>
  <c r="AW117" i="98"/>
  <c r="BC39" i="98"/>
  <c r="BE84" i="98"/>
  <c r="BG123" i="98"/>
  <c r="AX33" i="98"/>
  <c r="AW57" i="98"/>
  <c r="BH116" i="98"/>
  <c r="BB136" i="98"/>
  <c r="BB72" i="98"/>
  <c r="BG47" i="98"/>
  <c r="BE51" i="98"/>
  <c r="AU77" i="98"/>
  <c r="BC22" i="98"/>
  <c r="BF87" i="98"/>
  <c r="AU85" i="98"/>
  <c r="AX107" i="98"/>
  <c r="BE158" i="98"/>
  <c r="BD50" i="98"/>
  <c r="AU112" i="98"/>
  <c r="BC141" i="98"/>
  <c r="AW85" i="98"/>
  <c r="AT164" i="98"/>
  <c r="AU135" i="98"/>
  <c r="BD124" i="98"/>
  <c r="AZ86" i="98"/>
  <c r="AY29" i="98"/>
  <c r="BE148" i="98"/>
  <c r="AT112" i="98"/>
  <c r="BD26" i="98"/>
  <c r="AZ150" i="98"/>
  <c r="AU126" i="98"/>
  <c r="AY55" i="98"/>
  <c r="BG133" i="98"/>
  <c r="BF164" i="98"/>
  <c r="BE114" i="98"/>
  <c r="BE119" i="98"/>
  <c r="AT13" i="98"/>
  <c r="BF31" i="98"/>
  <c r="AU71" i="98"/>
  <c r="BA65" i="98"/>
  <c r="BG49" i="98"/>
  <c r="AX84" i="98"/>
  <c r="AU16" i="98"/>
  <c r="BG83" i="98"/>
  <c r="BH48" i="98"/>
  <c r="AY36" i="98"/>
  <c r="BB20" i="98"/>
  <c r="AU93" i="98"/>
  <c r="AT63" i="98"/>
  <c r="AV35" i="98"/>
  <c r="BE68" i="98"/>
  <c r="AX115" i="98"/>
  <c r="BG38" i="98"/>
  <c r="AZ75" i="98"/>
  <c r="BF96" i="98"/>
  <c r="AX46" i="98"/>
  <c r="AW62" i="98"/>
  <c r="BH144" i="98"/>
  <c r="BG50" i="98"/>
  <c r="AX140" i="98"/>
  <c r="BA147" i="98"/>
  <c r="BC109" i="98"/>
  <c r="BG158" i="98"/>
  <c r="AX24" i="98"/>
  <c r="BH30" i="98"/>
  <c r="BB162" i="98"/>
  <c r="BC75" i="98"/>
  <c r="BA150" i="98"/>
  <c r="AW15" i="98"/>
  <c r="BD139" i="98"/>
  <c r="BB126" i="98"/>
  <c r="BB5" i="98"/>
  <c r="BH155" i="98"/>
  <c r="BC118" i="98"/>
  <c r="BB10" i="98"/>
  <c r="AX128" i="98"/>
  <c r="BG89" i="98"/>
  <c r="AW52" i="98"/>
  <c r="BG100" i="98"/>
  <c r="BB80" i="98"/>
  <c r="BG108" i="98"/>
  <c r="AV121" i="98"/>
  <c r="AW28" i="98"/>
  <c r="BG77" i="98"/>
  <c r="BB130" i="98"/>
  <c r="AV143" i="98"/>
  <c r="BD63" i="98"/>
  <c r="BB78" i="98"/>
  <c r="AV107" i="98"/>
  <c r="BC163" i="98"/>
  <c r="BC137" i="98"/>
  <c r="AZ27" i="98"/>
  <c r="BG58" i="98"/>
  <c r="BG121" i="98"/>
  <c r="BH152" i="98"/>
  <c r="BC102" i="98"/>
  <c r="BC57" i="98"/>
  <c r="BH88" i="98"/>
  <c r="AX151" i="98"/>
  <c r="BB6" i="98"/>
  <c r="BC87" i="98"/>
  <c r="BB111" i="98"/>
  <c r="AZ125" i="98"/>
  <c r="BG101" i="98"/>
  <c r="AV5" i="98"/>
  <c r="AW136" i="98"/>
  <c r="BH67" i="98"/>
  <c r="BB17" i="98"/>
  <c r="BG51" i="98"/>
  <c r="BC158" i="98"/>
  <c r="AV127" i="98"/>
  <c r="AX117" i="98"/>
  <c r="BB28" i="98"/>
  <c r="AW128" i="98"/>
  <c r="BC130" i="98"/>
  <c r="AX114" i="98"/>
  <c r="AW121" i="98"/>
  <c r="BF76" i="98"/>
  <c r="AX22" i="98"/>
  <c r="BC40" i="98"/>
  <c r="BE123" i="98"/>
  <c r="BD116" i="98"/>
  <c r="BE73" i="98"/>
  <c r="BD153" i="98"/>
  <c r="AU27" i="98"/>
  <c r="BD107" i="98"/>
  <c r="AV130" i="98"/>
  <c r="AU163" i="98"/>
  <c r="BD146" i="98"/>
  <c r="BF117" i="98"/>
  <c r="BE122" i="98"/>
  <c r="AZ154" i="98"/>
  <c r="BA75" i="98"/>
  <c r="BF103" i="98"/>
  <c r="AV29" i="98"/>
  <c r="AZ5" i="98"/>
  <c r="BD118" i="98"/>
  <c r="BD162" i="98"/>
  <c r="BH160" i="98"/>
  <c r="AZ48" i="98"/>
  <c r="BH104" i="98"/>
  <c r="AX124" i="98"/>
  <c r="BE30" i="98"/>
  <c r="BF110" i="98"/>
  <c r="BC112" i="98"/>
  <c r="AY164" i="98"/>
  <c r="BG29" i="98"/>
  <c r="BF105" i="98"/>
  <c r="AY158" i="98"/>
  <c r="BA72" i="98"/>
  <c r="BF13" i="98"/>
  <c r="BB113" i="98"/>
  <c r="BF124" i="98"/>
  <c r="AU123" i="98"/>
  <c r="BH115" i="98"/>
  <c r="BG86" i="98"/>
  <c r="BB148" i="98"/>
  <c r="AX81" i="98"/>
  <c r="BE154" i="98"/>
  <c r="AW12" i="98"/>
  <c r="BG78" i="98"/>
  <c r="BB27" i="98"/>
  <c r="AX159" i="98"/>
  <c r="BH71" i="98"/>
  <c r="BB124" i="98"/>
  <c r="AX34" i="98"/>
  <c r="BC94" i="98"/>
  <c r="BH101" i="98"/>
  <c r="AW156" i="98"/>
  <c r="BD154" i="98"/>
  <c r="AT38" i="98"/>
  <c r="AW68" i="98"/>
  <c r="BH81" i="98"/>
  <c r="BH56" i="98"/>
  <c r="BH31" i="98"/>
  <c r="BH77" i="98"/>
  <c r="AZ34" i="98"/>
  <c r="AV141" i="98"/>
  <c r="BH133" i="98"/>
  <c r="BG45" i="98"/>
  <c r="BC61" i="98"/>
  <c r="AX112" i="98"/>
  <c r="AV14" i="98"/>
  <c r="BH139" i="98"/>
  <c r="BB75" i="98"/>
  <c r="BC127" i="98"/>
  <c r="BB42" i="98"/>
  <c r="AZ114" i="98"/>
  <c r="BG136" i="98"/>
  <c r="AU153" i="98"/>
  <c r="AX55" i="98"/>
  <c r="BA100" i="98"/>
  <c r="BG54" i="98"/>
  <c r="BG111" i="98"/>
  <c r="AW93" i="98"/>
  <c r="BB45" i="98"/>
  <c r="BB64" i="98"/>
  <c r="AX52" i="98"/>
  <c r="BB135" i="98"/>
  <c r="BC73" i="98"/>
  <c r="BC45" i="98"/>
  <c r="BC32" i="98"/>
  <c r="BE151" i="98"/>
  <c r="BA27" i="98"/>
  <c r="BC74" i="98"/>
  <c r="AX86" i="98"/>
  <c r="AX15" i="98"/>
  <c r="BF42" i="98"/>
  <c r="BG138" i="98"/>
  <c r="AV86" i="98"/>
  <c r="AZ148" i="98"/>
  <c r="BH84" i="98"/>
  <c r="BB161" i="98"/>
  <c r="BA83" i="98"/>
  <c r="AW110" i="98"/>
  <c r="BA79" i="98"/>
  <c r="BA159" i="98"/>
  <c r="AY136" i="98"/>
  <c r="BE95" i="98"/>
  <c r="BD132" i="98"/>
  <c r="AY87" i="98"/>
  <c r="BD94" i="98"/>
  <c r="BA64" i="98"/>
  <c r="AT116" i="98"/>
  <c r="BD145" i="98"/>
  <c r="AZ23" i="98"/>
  <c r="AT54" i="98"/>
  <c r="BE65" i="98"/>
  <c r="AZ106" i="98"/>
  <c r="AZ96" i="98"/>
  <c r="BE145" i="98"/>
  <c r="BG59" i="98"/>
  <c r="BE85" i="98"/>
  <c r="BE34" i="98"/>
  <c r="AT113" i="98"/>
  <c r="BF10" i="98"/>
  <c r="BG118" i="98"/>
  <c r="BA17" i="98"/>
  <c r="BE75" i="98"/>
  <c r="AZ98" i="98"/>
  <c r="BA46" i="98"/>
  <c r="AV129" i="98"/>
  <c r="BB134" i="98"/>
  <c r="AV68" i="98"/>
  <c r="AW102" i="98"/>
  <c r="BA154" i="98"/>
  <c r="AY39" i="98"/>
  <c r="BH130" i="98"/>
  <c r="AX78" i="98"/>
  <c r="BG57" i="98"/>
  <c r="AV45" i="98"/>
  <c r="BG117" i="98"/>
  <c r="BG148" i="98"/>
  <c r="BH157" i="98"/>
  <c r="BH25" i="98"/>
  <c r="AW96" i="98"/>
  <c r="BG106" i="98"/>
  <c r="BC41" i="98"/>
  <c r="AW135" i="98"/>
  <c r="BH128" i="98"/>
  <c r="AW152" i="98"/>
  <c r="BC19" i="98"/>
  <c r="AW70" i="98"/>
  <c r="AV6" i="98"/>
  <c r="BC62" i="98"/>
  <c r="BF153" i="98"/>
  <c r="BH154" i="98"/>
  <c r="AZ24" i="98"/>
  <c r="BF102" i="98"/>
  <c r="BF161" i="98"/>
  <c r="BA18" i="98"/>
  <c r="BC162" i="98"/>
  <c r="BE134" i="98"/>
  <c r="BH53" i="98"/>
  <c r="AW112" i="98"/>
  <c r="BC56" i="98"/>
  <c r="BG35" i="98"/>
  <c r="AW7" i="98"/>
  <c r="BH57" i="98"/>
  <c r="BA133" i="98"/>
  <c r="BF30" i="98"/>
  <c r="BB86" i="98"/>
  <c r="BG42" i="98"/>
  <c r="BC164" i="98"/>
  <c r="BD73" i="98"/>
  <c r="AV15" i="98"/>
  <c r="BE10" i="98"/>
  <c r="AU150" i="98"/>
  <c r="BG84" i="98"/>
  <c r="AX87" i="98"/>
  <c r="AX127" i="98"/>
  <c r="AX94" i="98"/>
  <c r="BF141" i="98"/>
  <c r="BH151" i="98"/>
  <c r="AW76" i="98"/>
  <c r="BH64" i="98"/>
  <c r="AX126" i="98"/>
  <c r="BF106" i="98"/>
  <c r="BB46" i="98"/>
  <c r="BG144" i="98"/>
  <c r="AZ158" i="98"/>
  <c r="BB149" i="98"/>
  <c r="BH163" i="98"/>
  <c r="AV52" i="98"/>
  <c r="BB63" i="98"/>
  <c r="BB138" i="98"/>
  <c r="BA144" i="98"/>
  <c r="BA76" i="98"/>
  <c r="BC148" i="98"/>
  <c r="BC161" i="98"/>
  <c r="AX97" i="98"/>
  <c r="AW118" i="98"/>
  <c r="AV139" i="98"/>
  <c r="AV8" i="98"/>
  <c r="BH20" i="98"/>
  <c r="AV158" i="98"/>
  <c r="BF32" i="98"/>
  <c r="BH21" i="98"/>
  <c r="AX141" i="98"/>
  <c r="BH117" i="98"/>
  <c r="BC59" i="98"/>
  <c r="BC101" i="98"/>
  <c r="BH42" i="98"/>
  <c r="BH54" i="98"/>
  <c r="AU115" i="98"/>
  <c r="BE79" i="98"/>
  <c r="BE155" i="98"/>
  <c r="BA151" i="98"/>
  <c r="AZ145" i="98"/>
  <c r="AY152" i="98"/>
  <c r="AW113" i="98"/>
  <c r="AV110" i="98"/>
  <c r="AU60" i="98"/>
  <c r="BE112" i="98"/>
  <c r="BG9" i="98"/>
  <c r="BH45" i="98"/>
  <c r="AX122" i="98"/>
  <c r="AZ133" i="98"/>
  <c r="AT127" i="98"/>
  <c r="AT100" i="98"/>
  <c r="AU119" i="98"/>
  <c r="BF38" i="98"/>
  <c r="AW24" i="98"/>
  <c r="AX37" i="98"/>
  <c r="BF100" i="98"/>
  <c r="AV163" i="98"/>
  <c r="BH123" i="98"/>
  <c r="AW5" i="98"/>
  <c r="BH118" i="98"/>
  <c r="BC124" i="98"/>
  <c r="BF157" i="98"/>
  <c r="AX155" i="98"/>
  <c r="AX20" i="98"/>
  <c r="AU145" i="98"/>
  <c r="BH80" i="98"/>
  <c r="BH43" i="98"/>
  <c r="AU99" i="98"/>
  <c r="BH70" i="98"/>
  <c r="BH26" i="98"/>
  <c r="BG8" i="98"/>
  <c r="BH61" i="98"/>
  <c r="AV31" i="98"/>
  <c r="BD158" i="98"/>
  <c r="AT109" i="98"/>
  <c r="AU41" i="98"/>
  <c r="BC143" i="98"/>
  <c r="BE104" i="98"/>
  <c r="BG113" i="98"/>
  <c r="AV19" i="98"/>
  <c r="BC31" i="98"/>
  <c r="BH28" i="98"/>
  <c r="AW91" i="98"/>
  <c r="BC36" i="98"/>
  <c r="AW75" i="98"/>
  <c r="BF114" i="98"/>
  <c r="BG112" i="98"/>
  <c r="AX105" i="98"/>
  <c r="AZ15" i="98"/>
  <c r="AV91" i="98"/>
  <c r="BC85" i="98"/>
  <c r="AX45" i="98"/>
  <c r="AU94" i="98"/>
  <c r="BC155" i="98"/>
  <c r="BH119" i="98"/>
  <c r="BC88" i="98"/>
  <c r="BH24" i="98"/>
  <c r="BE115" i="98"/>
  <c r="BC17" i="98"/>
  <c r="BC50" i="98"/>
  <c r="AU96" i="98"/>
  <c r="BA80" i="98"/>
  <c r="BF131" i="98"/>
  <c r="AW53" i="98"/>
  <c r="AV95" i="98"/>
  <c r="BE116" i="98"/>
  <c r="AY117" i="98"/>
  <c r="AX145" i="98"/>
  <c r="BF134" i="98"/>
  <c r="BE70" i="98"/>
  <c r="BG21" i="98"/>
  <c r="AX157" i="98"/>
  <c r="BF8" i="98"/>
  <c r="AX104" i="98"/>
  <c r="AX70" i="98"/>
  <c r="BC46" i="98"/>
  <c r="AZ8" i="98"/>
  <c r="BB57" i="98"/>
  <c r="BF120" i="98"/>
  <c r="BH114" i="98"/>
  <c r="BC76" i="98"/>
  <c r="BF74" i="98"/>
  <c r="BF132" i="98"/>
  <c r="BF69" i="98"/>
  <c r="BB120" i="98"/>
  <c r="BB50" i="98"/>
  <c r="BG62" i="98"/>
  <c r="AX110" i="98"/>
  <c r="BA137" i="98"/>
  <c r="BH72" i="98"/>
  <c r="BG36" i="98"/>
  <c r="BF82" i="98"/>
  <c r="AY90" i="98"/>
  <c r="BA63" i="98"/>
  <c r="AZ113" i="98"/>
  <c r="AY66" i="98"/>
  <c r="BC91" i="98"/>
  <c r="AV73" i="98"/>
  <c r="AW107" i="98"/>
  <c r="BH120" i="98"/>
  <c r="BD60" i="98"/>
  <c r="BC150" i="98"/>
  <c r="BC153" i="98"/>
  <c r="AX74" i="98"/>
  <c r="AW129" i="98"/>
  <c r="AW48" i="98"/>
  <c r="AX91" i="98"/>
  <c r="BG160" i="98"/>
  <c r="AW14" i="98"/>
  <c r="BH11" i="98"/>
  <c r="AZ60" i="98"/>
  <c r="AX12" i="98"/>
  <c r="AX106" i="98"/>
  <c r="BB92" i="98"/>
  <c r="BG125" i="98"/>
  <c r="BB24" i="98"/>
  <c r="AX158" i="98"/>
  <c r="BB116" i="98"/>
  <c r="AW125" i="98"/>
  <c r="AT93" i="98"/>
  <c r="AZ46" i="98"/>
  <c r="BE17" i="98"/>
  <c r="AY160" i="98"/>
  <c r="BC134" i="98"/>
  <c r="BF138" i="98"/>
  <c r="AX144" i="98"/>
  <c r="BH108" i="98"/>
  <c r="BD92" i="98"/>
  <c r="BH145" i="98"/>
  <c r="BB102" i="98"/>
  <c r="BF65" i="98"/>
  <c r="BB164" i="98"/>
  <c r="BG105" i="98"/>
  <c r="BF37" i="98"/>
  <c r="BG82" i="98"/>
  <c r="AX135" i="98"/>
  <c r="BB21" i="98"/>
  <c r="BA25" i="98"/>
  <c r="BC42" i="98"/>
  <c r="AW116" i="98"/>
  <c r="BD131" i="98"/>
  <c r="BF80" i="98"/>
  <c r="BG87" i="98"/>
  <c r="BF54" i="98"/>
  <c r="AV152" i="98"/>
  <c r="AW38" i="98"/>
  <c r="BE90" i="98"/>
  <c r="BA6" i="98"/>
  <c r="BE139" i="98"/>
  <c r="AX154" i="98"/>
  <c r="BH66" i="98"/>
  <c r="BC96" i="98"/>
  <c r="BA8" i="98"/>
  <c r="AV13" i="98"/>
  <c r="AX77" i="98"/>
  <c r="AW164" i="98"/>
  <c r="AV26" i="98"/>
  <c r="BH78" i="98"/>
  <c r="BH112" i="98"/>
  <c r="BC37" i="98"/>
  <c r="BB79" i="98"/>
  <c r="BC146" i="98"/>
  <c r="BF28" i="98"/>
  <c r="AX38" i="98"/>
  <c r="BC105" i="98"/>
  <c r="BA142" i="98"/>
  <c r="BG90" i="98"/>
  <c r="BB33" i="98"/>
  <c r="BF158" i="98"/>
  <c r="BB62" i="98"/>
  <c r="AY80" i="98"/>
  <c r="BG56" i="98"/>
  <c r="BE21" i="98"/>
  <c r="BH109" i="98"/>
  <c r="AU70" i="98"/>
  <c r="BH149" i="98"/>
  <c r="BA146" i="98"/>
  <c r="AW31" i="98"/>
  <c r="BB13" i="98"/>
  <c r="BC47" i="98"/>
  <c r="BF94" i="98"/>
  <c r="BB39" i="98"/>
  <c r="BC106" i="98"/>
  <c r="BC12" i="98"/>
  <c r="AZ18" i="98"/>
  <c r="BH37" i="98"/>
  <c r="BB157" i="98"/>
  <c r="BF133" i="98"/>
  <c r="BA59" i="98"/>
  <c r="BA12" i="98"/>
  <c r="BD45" i="98"/>
  <c r="BC18" i="98"/>
  <c r="AY56" i="98"/>
  <c r="AZ42" i="98"/>
  <c r="BF98" i="98"/>
  <c r="BG60" i="98"/>
  <c r="BC97" i="98"/>
  <c r="BH96" i="98"/>
  <c r="AV7" i="98"/>
  <c r="BD106" i="98"/>
  <c r="AX152" i="98"/>
  <c r="BF85" i="98"/>
  <c r="AW33" i="98"/>
  <c r="BA97" i="98"/>
  <c r="BG71" i="98"/>
  <c r="BC131" i="98"/>
  <c r="BF73" i="98"/>
  <c r="BH161" i="98"/>
  <c r="AV66" i="98"/>
  <c r="BE117" i="98"/>
  <c r="BA35" i="98"/>
  <c r="AX102" i="98"/>
  <c r="BG97" i="98"/>
  <c r="AY118" i="98"/>
  <c r="BB159" i="98"/>
  <c r="AT30" i="98"/>
  <c r="AV113" i="98"/>
  <c r="AW41" i="98"/>
  <c r="AW95" i="98"/>
  <c r="AV154" i="98"/>
  <c r="AU158" i="98"/>
  <c r="BB108" i="98"/>
  <c r="AX139" i="98"/>
  <c r="AX59" i="98"/>
  <c r="BC138" i="98"/>
  <c r="BG115" i="98"/>
  <c r="BF47" i="98"/>
  <c r="BC89" i="98"/>
  <c r="BF51" i="98"/>
  <c r="BH29" i="98"/>
  <c r="AX66" i="98"/>
  <c r="BA157" i="98"/>
  <c r="BC79" i="98"/>
  <c r="AU143" i="98"/>
  <c r="AV30" i="98"/>
  <c r="AY58" i="98"/>
  <c r="AT60" i="98"/>
  <c r="AX26" i="98"/>
  <c r="BA42" i="98"/>
  <c r="BA101" i="98"/>
  <c r="AZ137" i="98"/>
  <c r="BB152" i="98"/>
  <c r="AW111" i="98"/>
  <c r="BG95" i="98"/>
  <c r="AW160" i="98"/>
  <c r="AX62" i="98"/>
  <c r="AX136" i="98"/>
  <c r="BC115" i="98"/>
  <c r="BB139" i="98"/>
  <c r="BG149" i="98"/>
  <c r="AX95" i="98"/>
  <c r="BB81" i="98"/>
  <c r="AZ95" i="98"/>
  <c r="BH132" i="98"/>
  <c r="AW150" i="98"/>
  <c r="AT158" i="98"/>
  <c r="BA106" i="98"/>
  <c r="BC159" i="98"/>
  <c r="AX121" i="98"/>
  <c r="BB114" i="98"/>
  <c r="AX123" i="98"/>
  <c r="BB7" i="98"/>
  <c r="BA152" i="98"/>
  <c r="AV136" i="98"/>
  <c r="BB89" i="98"/>
  <c r="BH46" i="98"/>
  <c r="AT58" i="98"/>
  <c r="BA56" i="98"/>
  <c r="BB83" i="98"/>
  <c r="BC83" i="98"/>
  <c r="BH97" i="98"/>
  <c r="BF160" i="98"/>
  <c r="AX64" i="98"/>
  <c r="AW10" i="98"/>
  <c r="AX146" i="98"/>
  <c r="BG161" i="98"/>
  <c r="AW73" i="98"/>
  <c r="AV132" i="98"/>
  <c r="BN43" i="98" l="1"/>
  <c r="BN66" i="98"/>
  <c r="BN87" i="98"/>
  <c r="BN79" i="98"/>
  <c r="BN41" i="98"/>
  <c r="BN73" i="98"/>
  <c r="BN38" i="98"/>
  <c r="BN100" i="98"/>
  <c r="BN42" i="98"/>
  <c r="BN90" i="98"/>
  <c r="BN18" i="98"/>
  <c r="BN58" i="98"/>
  <c r="BN158" i="98"/>
  <c r="BN157" i="98"/>
  <c r="BN106" i="98"/>
  <c r="BN132" i="98"/>
  <c r="BN108" i="98"/>
  <c r="BN93" i="98"/>
  <c r="BN35" i="98"/>
  <c r="BN117" i="98"/>
  <c r="BN11" i="98"/>
  <c r="BN52" i="98"/>
  <c r="BN29" i="98"/>
  <c r="BN47" i="98"/>
  <c r="BN86" i="98"/>
  <c r="BN20" i="98"/>
  <c r="BN49" i="98"/>
  <c r="BN33" i="98"/>
  <c r="BN143" i="98"/>
  <c r="BN23" i="98"/>
  <c r="BN134" i="98"/>
  <c r="BN7" i="98"/>
  <c r="BN115" i="98"/>
  <c r="BN67" i="98"/>
  <c r="BN10" i="98"/>
  <c r="BN8" i="98"/>
  <c r="BN159" i="98"/>
  <c r="BN76" i="98"/>
  <c r="BN151" i="98"/>
  <c r="BN12" i="98"/>
  <c r="BN84" i="98"/>
  <c r="BN156" i="98"/>
  <c r="BN126" i="98"/>
  <c r="BN34" i="98"/>
  <c r="BN155" i="98"/>
  <c r="BN116" i="98"/>
  <c r="BN14" i="98"/>
  <c r="BN62" i="98"/>
  <c r="BN148" i="98"/>
  <c r="BN137" i="98"/>
  <c r="BN140" i="98"/>
  <c r="BN150" i="98"/>
  <c r="BN57" i="98"/>
  <c r="BN145" i="98"/>
  <c r="BN75" i="98"/>
  <c r="BN153" i="98"/>
  <c r="BN88" i="98"/>
  <c r="BN113" i="98"/>
  <c r="BN55" i="98"/>
  <c r="BN68" i="98"/>
  <c r="BN129" i="98"/>
  <c r="BN60" i="98"/>
  <c r="BN44" i="98"/>
  <c r="BN164" i="98"/>
  <c r="BN54" i="98"/>
  <c r="BN19" i="98"/>
  <c r="BN95" i="98"/>
  <c r="BN133" i="98"/>
  <c r="BN89" i="98"/>
  <c r="BN70" i="98"/>
  <c r="BN64" i="98"/>
  <c r="BN56" i="98"/>
  <c r="BN40" i="98"/>
  <c r="BN50" i="98"/>
  <c r="BN17" i="98"/>
  <c r="BN6" i="98"/>
  <c r="BN27" i="98"/>
  <c r="BN59" i="98"/>
  <c r="BN74" i="98"/>
  <c r="BN161" i="98"/>
  <c r="BN131" i="98"/>
  <c r="BN21" i="98"/>
  <c r="BN9" i="98"/>
  <c r="BN69" i="98"/>
  <c r="BN152" i="98"/>
  <c r="BN138" i="98"/>
  <c r="BN71" i="98"/>
  <c r="BN94" i="98"/>
  <c r="BN160" i="98"/>
  <c r="BN32" i="98"/>
  <c r="BN97" i="98"/>
  <c r="BN61" i="98"/>
  <c r="BN103" i="98"/>
  <c r="BN96" i="98"/>
  <c r="BN104" i="98"/>
  <c r="BN78" i="98"/>
  <c r="BN136" i="98"/>
  <c r="BN51" i="98"/>
  <c r="BN162" i="98"/>
  <c r="BN26" i="98"/>
  <c r="BN102" i="98"/>
  <c r="BN46" i="98"/>
  <c r="BN31" i="98"/>
  <c r="BN36" i="98"/>
  <c r="BN92" i="98"/>
  <c r="BN37" i="98"/>
  <c r="BN48" i="98"/>
  <c r="BN105" i="98"/>
  <c r="BN24" i="98"/>
  <c r="BN45" i="98"/>
  <c r="BN119" i="98"/>
  <c r="BN81" i="98"/>
  <c r="BN77" i="98"/>
  <c r="BN146" i="98"/>
  <c r="BN112" i="98"/>
  <c r="BN142" i="98"/>
  <c r="BN110" i="98"/>
  <c r="BN82" i="98"/>
  <c r="BN149" i="98"/>
  <c r="BN83" i="98"/>
  <c r="BN30" i="98"/>
  <c r="BN85" i="98"/>
  <c r="BN65" i="98"/>
  <c r="BN128" i="98"/>
  <c r="BN99" i="98"/>
  <c r="BN114" i="98"/>
  <c r="BN91" i="98"/>
  <c r="BN127" i="98"/>
  <c r="BN109" i="98"/>
  <c r="BN120" i="98"/>
  <c r="BN125" i="98"/>
  <c r="BN107" i="98"/>
  <c r="BN13" i="98"/>
  <c r="BN135" i="98"/>
  <c r="BN130" i="98"/>
  <c r="BN123" i="98"/>
  <c r="BN16" i="98"/>
  <c r="BN28" i="98"/>
  <c r="BN25" i="98"/>
  <c r="BN101" i="98"/>
  <c r="BN39" i="98"/>
  <c r="BN121" i="98"/>
  <c r="BN122" i="98"/>
  <c r="BN139" i="98"/>
  <c r="BN111" i="98"/>
  <c r="BN163" i="98"/>
  <c r="BN154" i="98"/>
  <c r="BN147" i="98"/>
  <c r="BN63" i="98"/>
  <c r="BN124" i="98"/>
  <c r="BN98" i="98"/>
  <c r="BN80" i="98"/>
  <c r="BN53" i="98"/>
  <c r="BN22" i="98"/>
  <c r="BN5" i="98"/>
  <c r="BN141" i="98"/>
  <c r="BN15" i="98"/>
  <c r="BN72" i="98"/>
  <c r="BN144" i="98"/>
  <c r="BN118" i="98"/>
  <c r="BZ153" i="98"/>
  <c r="BZ68" i="98"/>
  <c r="BZ145" i="98"/>
  <c r="BZ48" i="98"/>
  <c r="BZ6" i="98"/>
  <c r="BZ111" i="98"/>
  <c r="BZ133" i="98"/>
  <c r="BZ47" i="98"/>
  <c r="BZ160" i="98"/>
  <c r="BZ129" i="98"/>
  <c r="BZ95" i="98"/>
  <c r="BZ101" i="98"/>
  <c r="BZ150" i="98"/>
  <c r="BZ73" i="98"/>
  <c r="BZ117" i="98"/>
  <c r="BZ11" i="98"/>
  <c r="BZ136" i="98"/>
  <c r="BZ149" i="98"/>
  <c r="BZ50" i="98"/>
  <c r="BZ38" i="98"/>
  <c r="BZ37" i="98"/>
  <c r="BZ60" i="98"/>
  <c r="BZ84" i="98"/>
  <c r="BZ16" i="98"/>
  <c r="BZ104" i="98"/>
  <c r="BZ105" i="98"/>
  <c r="BZ42" i="98"/>
  <c r="BZ87" i="98"/>
  <c r="BZ46" i="98"/>
  <c r="BZ86" i="98"/>
  <c r="BZ27" i="98"/>
  <c r="BZ134" i="98"/>
  <c r="BZ92" i="98"/>
  <c r="BZ156" i="98"/>
  <c r="BZ140" i="98"/>
  <c r="BZ118" i="98"/>
  <c r="BZ13" i="98"/>
  <c r="BZ99" i="98"/>
  <c r="BZ23" i="98"/>
  <c r="BZ59" i="98"/>
  <c r="BZ90" i="98"/>
  <c r="BZ131" i="98"/>
  <c r="BZ20" i="98"/>
  <c r="BZ85" i="98"/>
  <c r="BZ146" i="98"/>
  <c r="BZ109" i="98"/>
  <c r="BZ103" i="98"/>
  <c r="BZ106" i="98"/>
  <c r="BZ49" i="98"/>
  <c r="BZ112" i="98"/>
  <c r="BZ31" i="98"/>
  <c r="BZ33" i="98"/>
  <c r="BZ15" i="98"/>
  <c r="BZ125" i="98"/>
  <c r="BZ10" i="98"/>
  <c r="BZ159" i="98"/>
  <c r="BZ152" i="98"/>
  <c r="BZ57" i="98"/>
  <c r="BZ32" i="98"/>
  <c r="BZ97" i="98"/>
  <c r="BZ51" i="98"/>
  <c r="BZ83" i="98"/>
  <c r="BZ80" i="98"/>
  <c r="BZ63" i="98"/>
  <c r="BZ8" i="98"/>
  <c r="BZ141" i="98"/>
  <c r="BZ142" i="98"/>
  <c r="BZ161" i="98"/>
  <c r="BZ143" i="98"/>
  <c r="BZ147" i="98"/>
  <c r="BZ40" i="98"/>
  <c r="BZ25" i="98"/>
  <c r="BZ107" i="98"/>
  <c r="BZ36" i="98"/>
  <c r="BZ135" i="98"/>
  <c r="BZ127" i="98"/>
  <c r="BZ43" i="98"/>
  <c r="BZ158" i="98"/>
  <c r="BZ18" i="98"/>
  <c r="BZ120" i="98"/>
  <c r="BZ138" i="98"/>
  <c r="BZ41" i="98"/>
  <c r="BZ28" i="98"/>
  <c r="BZ78" i="98"/>
  <c r="BZ69" i="98"/>
  <c r="BZ34" i="98"/>
  <c r="BZ89" i="98"/>
  <c r="BZ100" i="98"/>
  <c r="BZ67" i="98"/>
  <c r="BZ39" i="98"/>
  <c r="BZ98" i="98"/>
  <c r="BZ17" i="98"/>
  <c r="BZ53" i="98"/>
  <c r="BZ77" i="98"/>
  <c r="BZ96" i="98"/>
  <c r="BZ81" i="98"/>
  <c r="BZ144" i="98"/>
  <c r="BZ12" i="98"/>
  <c r="BZ155" i="98"/>
  <c r="BZ110" i="98"/>
  <c r="BZ164" i="98"/>
  <c r="BZ21" i="98"/>
  <c r="BZ74" i="98"/>
  <c r="BZ64" i="98"/>
  <c r="BZ72" i="98"/>
  <c r="BZ108" i="98"/>
  <c r="BZ123" i="98"/>
  <c r="BZ56" i="98"/>
  <c r="BZ9" i="98"/>
  <c r="BZ91" i="98"/>
  <c r="BZ93" i="98"/>
  <c r="BZ82" i="98"/>
  <c r="BZ52" i="98"/>
  <c r="BZ128" i="98"/>
  <c r="BZ45" i="98"/>
  <c r="BZ132" i="98"/>
  <c r="BZ76" i="98"/>
  <c r="BZ55" i="98"/>
  <c r="BZ79" i="98"/>
  <c r="BZ139" i="98"/>
  <c r="BZ75" i="98"/>
  <c r="BZ35" i="98"/>
  <c r="BZ24" i="98"/>
  <c r="BZ14" i="98"/>
  <c r="BZ154" i="98"/>
  <c r="BZ7" i="98"/>
  <c r="BZ121" i="98"/>
  <c r="BZ94" i="98"/>
  <c r="BZ54" i="98"/>
  <c r="BZ151" i="98"/>
  <c r="BZ62" i="98"/>
  <c r="BZ114" i="98"/>
  <c r="BZ119" i="98"/>
  <c r="BZ157" i="98"/>
  <c r="BZ162" i="98"/>
  <c r="BZ115" i="98"/>
  <c r="BZ29" i="98"/>
  <c r="BZ71" i="98"/>
  <c r="BZ22" i="98"/>
  <c r="BZ58" i="98"/>
  <c r="BZ122" i="98"/>
  <c r="BZ70" i="98"/>
  <c r="BZ148" i="98"/>
  <c r="BZ102" i="98"/>
  <c r="BZ19" i="98"/>
  <c r="BZ61" i="98"/>
  <c r="BZ124" i="98"/>
  <c r="BZ65" i="98"/>
  <c r="BZ26" i="98"/>
  <c r="BZ137" i="98"/>
  <c r="BZ116" i="98"/>
  <c r="BZ5" i="98"/>
  <c r="BZ163" i="98"/>
  <c r="BZ44" i="98"/>
  <c r="BZ113" i="98"/>
  <c r="BZ88" i="98"/>
  <c r="BZ130" i="98"/>
  <c r="BZ66" i="98"/>
  <c r="BZ30" i="98"/>
  <c r="BZ126" i="98"/>
  <c r="BO32" i="98"/>
  <c r="BO93" i="98"/>
  <c r="BO49" i="98"/>
  <c r="BO125" i="98"/>
  <c r="BO103" i="98"/>
  <c r="BO96" i="98"/>
  <c r="BO164" i="98"/>
  <c r="BO51" i="98"/>
  <c r="BO15" i="98"/>
  <c r="BO142" i="98"/>
  <c r="BO8" i="98"/>
  <c r="BO112" i="98"/>
  <c r="BO12" i="98"/>
  <c r="BO138" i="98"/>
  <c r="BO28" i="98"/>
  <c r="BO76" i="98"/>
  <c r="BO120" i="98"/>
  <c r="BO39" i="98"/>
  <c r="BO151" i="98"/>
  <c r="BO90" i="98"/>
  <c r="BO73" i="98"/>
  <c r="BO111" i="98"/>
  <c r="BO62" i="98"/>
  <c r="BO65" i="98"/>
  <c r="BO80" i="98"/>
  <c r="BO6" i="98"/>
  <c r="BO98" i="98"/>
  <c r="BO45" i="98"/>
  <c r="BO17" i="98"/>
  <c r="BO25" i="98"/>
  <c r="BO143" i="98"/>
  <c r="BO126" i="98"/>
  <c r="BO160" i="98"/>
  <c r="BO71" i="98"/>
  <c r="BO43" i="98"/>
  <c r="BO31" i="98"/>
  <c r="BO64" i="98"/>
  <c r="BO95" i="98"/>
  <c r="BO116" i="98"/>
  <c r="BO92" i="98"/>
  <c r="BO34" i="98"/>
  <c r="BO23" i="98"/>
  <c r="BO123" i="98"/>
  <c r="BO21" i="98"/>
  <c r="BO124" i="98"/>
  <c r="BO149" i="98"/>
  <c r="BO132" i="98"/>
  <c r="BO54" i="98"/>
  <c r="BO139" i="98"/>
  <c r="BO141" i="98"/>
  <c r="BO68" i="98"/>
  <c r="BO7" i="98"/>
  <c r="BO117" i="98"/>
  <c r="BO155" i="98"/>
  <c r="BO148" i="98"/>
  <c r="BO108" i="98"/>
  <c r="BO33" i="98"/>
  <c r="BO79" i="98"/>
  <c r="BO61" i="98"/>
  <c r="BO158" i="98"/>
  <c r="BO144" i="98"/>
  <c r="BO41" i="98"/>
  <c r="BO154" i="98"/>
  <c r="BO131" i="98"/>
  <c r="BO115" i="98"/>
  <c r="BO101" i="98"/>
  <c r="BO89" i="98"/>
  <c r="BO56" i="98"/>
  <c r="BO104" i="98"/>
  <c r="BO9" i="98"/>
  <c r="BO130" i="98"/>
  <c r="BO134" i="98"/>
  <c r="BO72" i="98"/>
  <c r="BO152" i="98"/>
  <c r="BO38" i="98"/>
  <c r="BO58" i="98"/>
  <c r="BO30" i="98"/>
  <c r="BO75" i="98"/>
  <c r="BO91" i="98"/>
  <c r="BO102" i="98"/>
  <c r="BO57" i="98"/>
  <c r="BO122" i="98"/>
  <c r="BO70" i="98"/>
  <c r="BO145" i="98"/>
  <c r="BO113" i="98"/>
  <c r="BO27" i="98"/>
  <c r="BO47" i="98"/>
  <c r="BO140" i="98"/>
  <c r="BO99" i="98"/>
  <c r="BO110" i="98"/>
  <c r="BO114" i="98"/>
  <c r="BO24" i="98"/>
  <c r="BO127" i="98"/>
  <c r="BO88" i="98"/>
  <c r="BO106" i="98"/>
  <c r="BO22" i="98"/>
  <c r="BO97" i="98"/>
  <c r="BO161" i="98"/>
  <c r="BO66" i="98"/>
  <c r="BO105" i="98"/>
  <c r="BO10" i="98"/>
  <c r="BO107" i="98"/>
  <c r="BO157" i="98"/>
  <c r="BO133" i="98"/>
  <c r="BO128" i="98"/>
  <c r="BO67" i="98"/>
  <c r="BO119" i="98"/>
  <c r="BO77" i="98"/>
  <c r="BO135" i="98"/>
  <c r="BO69" i="98"/>
  <c r="BO52" i="98"/>
  <c r="BO44" i="98"/>
  <c r="BO153" i="98"/>
  <c r="BO84" i="98"/>
  <c r="BO53" i="98"/>
  <c r="BO150" i="98"/>
  <c r="BO14" i="98"/>
  <c r="BO48" i="98"/>
  <c r="BO5" i="98"/>
  <c r="BO86" i="98"/>
  <c r="BO46" i="98"/>
  <c r="BO121" i="98"/>
  <c r="BO129" i="98"/>
  <c r="BO109" i="98"/>
  <c r="BO50" i="98"/>
  <c r="BO36" i="98"/>
  <c r="BO137" i="98"/>
  <c r="BO59" i="98"/>
  <c r="BO100" i="98"/>
  <c r="BO146" i="98"/>
  <c r="BO78" i="98"/>
  <c r="BO11" i="98"/>
  <c r="BO29" i="98"/>
  <c r="BO74" i="98"/>
  <c r="BO20" i="98"/>
  <c r="BO16" i="98"/>
  <c r="BO55" i="98"/>
  <c r="BO156" i="98"/>
  <c r="BO147" i="98"/>
  <c r="BO87" i="98"/>
  <c r="BO63" i="98"/>
  <c r="BO35" i="98"/>
  <c r="BO82" i="98"/>
  <c r="BO163" i="98"/>
  <c r="BO60" i="98"/>
  <c r="BO81" i="98"/>
  <c r="BO18" i="98"/>
  <c r="BO159" i="98"/>
  <c r="BO13" i="98"/>
  <c r="BO85" i="98"/>
  <c r="BO42" i="98"/>
  <c r="BO136" i="98"/>
  <c r="BO118" i="98"/>
  <c r="BO83" i="98"/>
  <c r="BO40" i="98"/>
  <c r="BO94" i="98"/>
  <c r="BO37" i="98"/>
  <c r="BO19" i="98"/>
  <c r="BO26" i="98"/>
  <c r="BO162" i="98"/>
  <c r="BT70" i="98"/>
  <c r="BT113" i="98"/>
  <c r="BT34" i="98"/>
  <c r="BT162" i="98"/>
  <c r="BT94" i="98"/>
  <c r="BT106" i="98"/>
  <c r="BT142" i="98"/>
  <c r="BT6" i="98"/>
  <c r="BT75" i="98"/>
  <c r="BT10" i="98"/>
  <c r="BT156" i="98"/>
  <c r="BT96" i="98"/>
  <c r="BT163" i="98"/>
  <c r="BT8" i="98"/>
  <c r="BT74" i="98"/>
  <c r="BT103" i="98"/>
  <c r="BT80" i="98"/>
  <c r="BT11" i="98"/>
  <c r="BT117" i="98"/>
  <c r="BT38" i="98"/>
  <c r="BT160" i="98"/>
  <c r="BT138" i="98"/>
  <c r="BT164" i="98"/>
  <c r="BT68" i="98"/>
  <c r="BT12" i="98"/>
  <c r="BT28" i="98"/>
  <c r="BT111" i="98"/>
  <c r="BT56" i="98"/>
  <c r="BT71" i="98"/>
  <c r="BT59" i="98"/>
  <c r="BT145" i="98"/>
  <c r="BT102" i="98"/>
  <c r="BT84" i="98"/>
  <c r="BT18" i="98"/>
  <c r="BT107" i="98"/>
  <c r="BT62" i="98"/>
  <c r="BT20" i="98"/>
  <c r="BT77" i="98"/>
  <c r="BT57" i="98"/>
  <c r="BT128" i="98"/>
  <c r="BT104" i="98"/>
  <c r="BT149" i="98"/>
  <c r="BT126" i="98"/>
  <c r="BT81" i="98"/>
  <c r="BT69" i="98"/>
  <c r="BT87" i="98"/>
  <c r="BT105" i="98"/>
  <c r="BT154" i="98"/>
  <c r="BT67" i="98"/>
  <c r="BT148" i="98"/>
  <c r="BT40" i="98"/>
  <c r="BT86" i="98"/>
  <c r="BT153" i="98"/>
  <c r="BT88" i="98"/>
  <c r="BT48" i="98"/>
  <c r="BT24" i="98"/>
  <c r="BT82" i="98"/>
  <c r="BT52" i="98"/>
  <c r="BT31" i="98"/>
  <c r="BT15" i="98"/>
  <c r="BT60" i="98"/>
  <c r="BT134" i="98"/>
  <c r="BT25" i="98"/>
  <c r="BT95" i="98"/>
  <c r="BT93" i="98"/>
  <c r="BT79" i="98"/>
  <c r="BT32" i="98"/>
  <c r="BT49" i="98"/>
  <c r="BT120" i="98"/>
  <c r="BT85" i="98"/>
  <c r="BT150" i="98"/>
  <c r="BT17" i="98"/>
  <c r="BT76" i="98"/>
  <c r="BT73" i="98"/>
  <c r="BT119" i="98"/>
  <c r="BT130" i="98"/>
  <c r="BT33" i="98"/>
  <c r="BT30" i="98"/>
  <c r="BT136" i="98"/>
  <c r="BT92" i="98"/>
  <c r="BT45" i="98"/>
  <c r="BT9" i="98"/>
  <c r="BT83" i="98"/>
  <c r="BT133" i="98"/>
  <c r="BT19" i="98"/>
  <c r="BT21" i="98"/>
  <c r="BT63" i="98"/>
  <c r="BT23" i="98"/>
  <c r="BT141" i="98"/>
  <c r="BT147" i="98"/>
  <c r="BT39" i="98"/>
  <c r="BT27" i="98"/>
  <c r="BT159" i="98"/>
  <c r="BT115" i="98"/>
  <c r="BT140" i="98"/>
  <c r="BT26" i="98"/>
  <c r="BT157" i="98"/>
  <c r="BT109" i="98"/>
  <c r="BT7" i="98"/>
  <c r="BT100" i="98"/>
  <c r="BT125" i="98"/>
  <c r="BT42" i="98"/>
  <c r="BT5" i="98"/>
  <c r="BT112" i="98"/>
  <c r="BT144" i="98"/>
  <c r="BT101" i="98"/>
  <c r="BT135" i="98"/>
  <c r="BT97" i="98"/>
  <c r="BT151" i="98"/>
  <c r="BT90" i="98"/>
  <c r="BT44" i="98"/>
  <c r="BT132" i="98"/>
  <c r="BT155" i="98"/>
  <c r="BT161" i="98"/>
  <c r="BT72" i="98"/>
  <c r="BT61" i="98"/>
  <c r="BT66" i="98"/>
  <c r="BT51" i="98"/>
  <c r="BT54" i="98"/>
  <c r="BT98" i="98"/>
  <c r="BT78" i="98"/>
  <c r="BT129" i="98"/>
  <c r="BT35" i="98"/>
  <c r="BT116" i="98"/>
  <c r="BT124" i="98"/>
  <c r="BT123" i="98"/>
  <c r="BT14" i="98"/>
  <c r="BT108" i="98"/>
  <c r="BT146" i="98"/>
  <c r="BT137" i="98"/>
  <c r="BT13" i="98"/>
  <c r="BT118" i="98"/>
  <c r="BT29" i="98"/>
  <c r="BT89" i="98"/>
  <c r="BT50" i="98"/>
  <c r="BT43" i="98"/>
  <c r="BT114" i="98"/>
  <c r="BT41" i="98"/>
  <c r="BT91" i="98"/>
  <c r="BT53" i="98"/>
  <c r="BT47" i="98"/>
  <c r="BT16" i="98"/>
  <c r="BT143" i="98"/>
  <c r="BT122" i="98"/>
  <c r="BT152" i="98"/>
  <c r="BT99" i="98"/>
  <c r="BT55" i="98"/>
  <c r="BT139" i="98"/>
  <c r="BT127" i="98"/>
  <c r="BT158" i="98"/>
  <c r="BT22" i="98"/>
  <c r="BT36" i="98"/>
  <c r="BT65" i="98"/>
  <c r="BT58" i="98"/>
  <c r="BT64" i="98"/>
  <c r="BT110" i="98"/>
  <c r="BT121" i="98"/>
  <c r="BT46" i="98"/>
  <c r="BT131" i="98"/>
  <c r="BT37" i="98"/>
  <c r="BX145" i="98"/>
  <c r="BX41" i="98"/>
  <c r="BX75" i="98"/>
  <c r="BX22" i="98"/>
  <c r="BX31" i="98"/>
  <c r="BX105" i="98"/>
  <c r="BX136" i="98"/>
  <c r="BX29" i="98"/>
  <c r="BX162" i="98"/>
  <c r="BX115" i="98"/>
  <c r="BX95" i="98"/>
  <c r="BX129" i="98"/>
  <c r="BX35" i="98"/>
  <c r="BX43" i="98"/>
  <c r="BX17" i="98"/>
  <c r="BX18" i="98"/>
  <c r="BX151" i="98"/>
  <c r="BX158" i="98"/>
  <c r="BX67" i="98"/>
  <c r="BX49" i="98"/>
  <c r="BX14" i="98"/>
  <c r="BX13" i="98"/>
  <c r="BX9" i="98"/>
  <c r="BX125" i="98"/>
  <c r="BX98" i="98"/>
  <c r="BX37" i="98"/>
  <c r="BX149" i="98"/>
  <c r="BX8" i="98"/>
  <c r="BX77" i="98"/>
  <c r="BX19" i="98"/>
  <c r="BX96" i="98"/>
  <c r="BX160" i="98"/>
  <c r="BX89" i="98"/>
  <c r="BX128" i="98"/>
  <c r="BX51" i="98"/>
  <c r="BX78" i="98"/>
  <c r="BX6" i="98"/>
  <c r="BX100" i="98"/>
  <c r="BX7" i="98"/>
  <c r="BX84" i="98"/>
  <c r="BX61" i="98"/>
  <c r="BX58" i="98"/>
  <c r="BX60" i="98"/>
  <c r="BX144" i="98"/>
  <c r="BX66" i="98"/>
  <c r="BX94" i="98"/>
  <c r="BX36" i="98"/>
  <c r="BX130" i="98"/>
  <c r="BX102" i="98"/>
  <c r="BX103" i="98"/>
  <c r="BX164" i="98"/>
  <c r="BX64" i="98"/>
  <c r="BX63" i="98"/>
  <c r="BX28" i="98"/>
  <c r="BX119" i="98"/>
  <c r="BX52" i="98"/>
  <c r="BX137" i="98"/>
  <c r="BX124" i="98"/>
  <c r="BX157" i="98"/>
  <c r="BX74" i="98"/>
  <c r="BX80" i="98"/>
  <c r="BX112" i="98"/>
  <c r="BX106" i="98"/>
  <c r="BX141" i="98"/>
  <c r="BX118" i="98"/>
  <c r="BX154" i="98"/>
  <c r="BX142" i="98"/>
  <c r="BX47" i="98"/>
  <c r="BX120" i="98"/>
  <c r="BX90" i="98"/>
  <c r="BX156" i="98"/>
  <c r="BX54" i="98"/>
  <c r="BX126" i="98"/>
  <c r="BX101" i="98"/>
  <c r="BX81" i="98"/>
  <c r="BX132" i="98"/>
  <c r="BX11" i="98"/>
  <c r="BX150" i="98"/>
  <c r="BX39" i="98"/>
  <c r="BX140" i="98"/>
  <c r="BX38" i="98"/>
  <c r="BX123" i="98"/>
  <c r="BX79" i="98"/>
  <c r="BX15" i="98"/>
  <c r="BX109" i="98"/>
  <c r="BX135" i="98"/>
  <c r="BX27" i="98"/>
  <c r="BX5" i="98"/>
  <c r="BX34" i="98"/>
  <c r="BX134" i="98"/>
  <c r="BX117" i="98"/>
  <c r="BX92" i="98"/>
  <c r="BX85" i="98"/>
  <c r="BX91" i="98"/>
  <c r="BX139" i="98"/>
  <c r="BX114" i="98"/>
  <c r="BX159" i="98"/>
  <c r="BX110" i="98"/>
  <c r="BX121" i="98"/>
  <c r="BX50" i="98"/>
  <c r="BX155" i="98"/>
  <c r="BX57" i="98"/>
  <c r="BX76" i="98"/>
  <c r="BX133" i="98"/>
  <c r="BX59" i="98"/>
  <c r="BX163" i="98"/>
  <c r="BX32" i="98"/>
  <c r="BX88" i="98"/>
  <c r="BX46" i="98"/>
  <c r="BX86" i="98"/>
  <c r="BX127" i="98"/>
  <c r="BX68" i="98"/>
  <c r="BX40" i="98"/>
  <c r="BX153" i="98"/>
  <c r="BX23" i="98"/>
  <c r="BX108" i="98"/>
  <c r="BX25" i="98"/>
  <c r="BX24" i="98"/>
  <c r="BX30" i="98"/>
  <c r="BX143" i="98"/>
  <c r="BX71" i="98"/>
  <c r="BX20" i="98"/>
  <c r="BX148" i="98"/>
  <c r="BX21" i="98"/>
  <c r="BX16" i="98"/>
  <c r="BX12" i="98"/>
  <c r="BX147" i="98"/>
  <c r="BX53" i="98"/>
  <c r="BX26" i="98"/>
  <c r="BX111" i="98"/>
  <c r="BX116" i="98"/>
  <c r="BX56" i="98"/>
  <c r="BX113" i="98"/>
  <c r="BX83" i="98"/>
  <c r="BX48" i="98"/>
  <c r="BX55" i="98"/>
  <c r="BX45" i="98"/>
  <c r="BX65" i="98"/>
  <c r="BX73" i="98"/>
  <c r="BX44" i="98"/>
  <c r="BX62" i="98"/>
  <c r="BX99" i="98"/>
  <c r="BX161" i="98"/>
  <c r="BX33" i="98"/>
  <c r="BX131" i="98"/>
  <c r="BX107" i="98"/>
  <c r="BX82" i="98"/>
  <c r="BX10" i="98"/>
  <c r="BX122" i="98"/>
  <c r="BX72" i="98"/>
  <c r="BX97" i="98"/>
  <c r="BX138" i="98"/>
  <c r="BX152" i="98"/>
  <c r="BX70" i="98"/>
  <c r="BX146" i="98"/>
  <c r="BX42" i="98"/>
  <c r="BX93" i="98"/>
  <c r="BX69" i="98"/>
  <c r="BX104" i="98"/>
  <c r="BX87" i="98"/>
  <c r="BP5" i="98"/>
  <c r="BP36" i="98"/>
  <c r="BP84" i="98"/>
  <c r="BP94" i="98"/>
  <c r="BP153" i="98"/>
  <c r="BP9" i="98"/>
  <c r="BP53" i="98"/>
  <c r="BP91" i="98"/>
  <c r="BP110" i="98"/>
  <c r="BP40" i="98"/>
  <c r="BP108" i="98"/>
  <c r="BP22" i="98"/>
  <c r="BP111" i="98"/>
  <c r="BP12" i="98"/>
  <c r="BP161" i="98"/>
  <c r="BP18" i="98"/>
  <c r="BP37" i="98"/>
  <c r="BP158" i="98"/>
  <c r="BP152" i="98"/>
  <c r="BP100" i="98"/>
  <c r="BP74" i="98"/>
  <c r="BP44" i="98"/>
  <c r="BP15" i="98"/>
  <c r="BP47" i="98"/>
  <c r="BP95" i="98"/>
  <c r="BP89" i="98"/>
  <c r="BP50" i="98"/>
  <c r="BP151" i="98"/>
  <c r="BP23" i="98"/>
  <c r="BP65" i="98"/>
  <c r="BP96" i="98"/>
  <c r="BP93" i="98"/>
  <c r="BP117" i="98"/>
  <c r="BP52" i="98"/>
  <c r="BP49" i="98"/>
  <c r="BP19" i="98"/>
  <c r="BP147" i="98"/>
  <c r="BP145" i="98"/>
  <c r="BP121" i="98"/>
  <c r="BP31" i="98"/>
  <c r="BP127" i="98"/>
  <c r="BP13" i="98"/>
  <c r="BP163" i="98"/>
  <c r="BP123" i="98"/>
  <c r="BP136" i="98"/>
  <c r="BP114" i="98"/>
  <c r="BP32" i="98"/>
  <c r="BP17" i="98"/>
  <c r="BP29" i="98"/>
  <c r="BP150" i="98"/>
  <c r="BP80" i="98"/>
  <c r="BP164" i="98"/>
  <c r="BP103" i="98"/>
  <c r="BP20" i="98"/>
  <c r="BP63" i="98"/>
  <c r="BP42" i="98"/>
  <c r="BP92" i="98"/>
  <c r="BP124" i="98"/>
  <c r="BP149" i="98"/>
  <c r="BP102" i="98"/>
  <c r="BP122" i="98"/>
  <c r="BP135" i="98"/>
  <c r="BP86" i="98"/>
  <c r="BP104" i="98"/>
  <c r="BP59" i="98"/>
  <c r="BP33" i="98"/>
  <c r="BP24" i="98"/>
  <c r="BP157" i="98"/>
  <c r="BP148" i="98"/>
  <c r="BP115" i="98"/>
  <c r="BP39" i="98"/>
  <c r="BP142" i="98"/>
  <c r="BP120" i="98"/>
  <c r="BP14" i="98"/>
  <c r="BP125" i="98"/>
  <c r="BP54" i="98"/>
  <c r="CM54" i="98" s="1"/>
  <c r="BP66" i="98"/>
  <c r="BP129" i="98"/>
  <c r="BP61" i="98"/>
  <c r="BP8" i="98"/>
  <c r="BP21" i="98"/>
  <c r="BP75" i="98"/>
  <c r="BP116" i="98"/>
  <c r="BP107" i="98"/>
  <c r="BP140" i="98"/>
  <c r="BP159" i="98"/>
  <c r="BP144" i="98"/>
  <c r="BP51" i="98"/>
  <c r="BP27" i="98"/>
  <c r="BP156" i="98"/>
  <c r="BP25" i="98"/>
  <c r="BP83" i="98"/>
  <c r="BP138" i="98"/>
  <c r="BP118" i="98"/>
  <c r="BP106" i="98"/>
  <c r="BP55" i="98"/>
  <c r="BP141" i="98"/>
  <c r="BP160" i="98"/>
  <c r="BP43" i="98"/>
  <c r="BP82" i="98"/>
  <c r="BP131" i="98"/>
  <c r="BP162" i="98"/>
  <c r="BP68" i="98"/>
  <c r="BP46" i="98"/>
  <c r="BP72" i="98"/>
  <c r="BP146" i="98"/>
  <c r="BP87" i="98"/>
  <c r="BP11" i="98"/>
  <c r="BP155" i="98"/>
  <c r="BP137" i="98"/>
  <c r="BP71" i="98"/>
  <c r="BP69" i="98"/>
  <c r="BP60" i="98"/>
  <c r="BP56" i="98"/>
  <c r="BP77" i="98"/>
  <c r="BP113" i="98"/>
  <c r="BP7" i="98"/>
  <c r="BP45" i="98"/>
  <c r="BP79" i="98"/>
  <c r="BP130" i="98"/>
  <c r="BP73" i="98"/>
  <c r="BP76" i="98"/>
  <c r="BP97" i="98"/>
  <c r="BP81" i="98"/>
  <c r="BP78" i="98"/>
  <c r="BP67" i="98"/>
  <c r="BP70" i="98"/>
  <c r="BP88" i="98"/>
  <c r="BP128" i="98"/>
  <c r="BP119" i="98"/>
  <c r="BP57" i="98"/>
  <c r="BP143" i="98"/>
  <c r="BP41" i="98"/>
  <c r="BP90" i="98"/>
  <c r="BP132" i="98"/>
  <c r="BP48" i="98"/>
  <c r="BP64" i="98"/>
  <c r="BP62" i="98"/>
  <c r="BP139" i="98"/>
  <c r="BP28" i="98"/>
  <c r="BP30" i="98"/>
  <c r="BP134" i="98"/>
  <c r="BP35" i="98"/>
  <c r="BP34" i="98"/>
  <c r="BP105" i="98"/>
  <c r="BP99" i="98"/>
  <c r="BP16" i="98"/>
  <c r="BP126" i="98"/>
  <c r="BP101" i="98"/>
  <c r="BP133" i="98"/>
  <c r="BP38" i="98"/>
  <c r="BP85" i="98"/>
  <c r="BP98" i="98"/>
  <c r="BP58" i="98"/>
  <c r="BP109" i="98"/>
  <c r="BP112" i="98"/>
  <c r="BP10" i="98"/>
  <c r="BP154" i="98"/>
  <c r="BP6" i="98"/>
  <c r="BP26" i="98"/>
  <c r="BW147" i="98"/>
  <c r="BW71" i="98"/>
  <c r="BW140" i="98"/>
  <c r="BW156" i="98"/>
  <c r="BW84" i="98"/>
  <c r="BW164" i="98"/>
  <c r="BW126" i="98"/>
  <c r="BW46" i="98"/>
  <c r="BW52" i="98"/>
  <c r="BW49" i="98"/>
  <c r="BW62" i="98"/>
  <c r="BW38" i="98"/>
  <c r="BW47" i="98"/>
  <c r="BW9" i="98"/>
  <c r="BW34" i="98"/>
  <c r="BW110" i="98"/>
  <c r="BW100" i="98"/>
  <c r="BW109" i="98"/>
  <c r="BW75" i="98"/>
  <c r="BW58" i="98"/>
  <c r="BW106" i="98"/>
  <c r="BW13" i="98"/>
  <c r="BW31" i="98"/>
  <c r="BW5" i="98"/>
  <c r="BW25" i="98"/>
  <c r="BW123" i="98"/>
  <c r="BW21" i="98"/>
  <c r="BW158" i="98"/>
  <c r="BW150" i="98"/>
  <c r="BW113" i="98"/>
  <c r="BW15" i="98"/>
  <c r="BW161" i="98"/>
  <c r="BW115" i="98"/>
  <c r="BW151" i="98"/>
  <c r="BW12" i="98"/>
  <c r="BW78" i="98"/>
  <c r="BW69" i="98"/>
  <c r="BW6" i="98"/>
  <c r="BW145" i="98"/>
  <c r="BW55" i="98"/>
  <c r="BW67" i="98"/>
  <c r="BW81" i="98"/>
  <c r="BW56" i="98"/>
  <c r="BW48" i="98"/>
  <c r="BW117" i="98"/>
  <c r="BW19" i="98"/>
  <c r="BW134" i="98"/>
  <c r="BW155" i="98"/>
  <c r="BW139" i="98"/>
  <c r="BW79" i="98"/>
  <c r="BW23" i="98"/>
  <c r="BW131" i="98"/>
  <c r="BW132" i="98"/>
  <c r="BW65" i="98"/>
  <c r="BW68" i="98"/>
  <c r="BW61" i="98"/>
  <c r="BW59" i="98"/>
  <c r="BW82" i="98"/>
  <c r="BW29" i="98"/>
  <c r="BW66" i="98"/>
  <c r="BW92" i="98"/>
  <c r="BW108" i="98"/>
  <c r="BW18" i="98"/>
  <c r="BW80" i="98"/>
  <c r="BW72" i="98"/>
  <c r="BW122" i="98"/>
  <c r="BW128" i="98"/>
  <c r="BW118" i="98"/>
  <c r="BW51" i="98"/>
  <c r="BW142" i="98"/>
  <c r="BW121" i="98"/>
  <c r="BW54" i="98"/>
  <c r="BW17" i="98"/>
  <c r="BW28" i="98"/>
  <c r="BW129" i="98"/>
  <c r="BW146" i="98"/>
  <c r="BW44" i="98"/>
  <c r="BW64" i="98"/>
  <c r="BW57" i="98"/>
  <c r="BW63" i="98"/>
  <c r="BW27" i="98"/>
  <c r="BW124" i="98"/>
  <c r="BW95" i="98"/>
  <c r="BW94" i="98"/>
  <c r="BW42" i="98"/>
  <c r="BW20" i="98"/>
  <c r="BW33" i="98"/>
  <c r="BW153" i="98"/>
  <c r="BW159" i="98"/>
  <c r="BW157" i="98"/>
  <c r="BW37" i="98"/>
  <c r="BW41" i="98"/>
  <c r="BW32" i="98"/>
  <c r="BW76" i="98"/>
  <c r="BW120" i="98"/>
  <c r="BW86" i="98"/>
  <c r="BW141" i="98"/>
  <c r="BW10" i="98"/>
  <c r="BW102" i="98"/>
  <c r="BW35" i="98"/>
  <c r="BW114" i="98"/>
  <c r="BW43" i="98"/>
  <c r="BW105" i="98"/>
  <c r="BW130" i="98"/>
  <c r="BW70" i="98"/>
  <c r="BW137" i="98"/>
  <c r="BW77" i="98"/>
  <c r="BW45" i="98"/>
  <c r="BW16" i="98"/>
  <c r="BW87" i="98"/>
  <c r="BW144" i="98"/>
  <c r="BW50" i="98"/>
  <c r="BW22" i="98"/>
  <c r="BW60" i="98"/>
  <c r="BW160" i="98"/>
  <c r="BW30" i="98"/>
  <c r="BW154" i="98"/>
  <c r="BW125" i="98"/>
  <c r="BW14" i="98"/>
  <c r="BW39" i="98"/>
  <c r="BW24" i="98"/>
  <c r="BW74" i="98"/>
  <c r="BW96" i="98"/>
  <c r="BW88" i="98"/>
  <c r="BW116" i="98"/>
  <c r="BW136" i="98"/>
  <c r="BW97" i="98"/>
  <c r="BW89" i="98"/>
  <c r="BW7" i="98"/>
  <c r="BW93" i="98"/>
  <c r="BW90" i="98"/>
  <c r="BW73" i="98"/>
  <c r="BW8" i="98"/>
  <c r="BW152" i="98"/>
  <c r="BW40" i="98"/>
  <c r="BW112" i="98"/>
  <c r="BW91" i="98"/>
  <c r="BW111" i="98"/>
  <c r="BW135" i="98"/>
  <c r="BW11" i="98"/>
  <c r="BW83" i="98"/>
  <c r="BW98" i="98"/>
  <c r="BW36" i="98"/>
  <c r="BW104" i="98"/>
  <c r="BW148" i="98"/>
  <c r="BW85" i="98"/>
  <c r="BW107" i="98"/>
  <c r="BW99" i="98"/>
  <c r="BW26" i="98"/>
  <c r="BW119" i="98"/>
  <c r="BW163" i="98"/>
  <c r="BW101" i="98"/>
  <c r="BW138" i="98"/>
  <c r="BW149" i="98"/>
  <c r="BW133" i="98"/>
  <c r="BW103" i="98"/>
  <c r="BW143" i="98"/>
  <c r="BW53" i="98"/>
  <c r="BW162" i="98"/>
  <c r="BW127" i="98"/>
  <c r="BS123" i="98"/>
  <c r="BS116" i="98"/>
  <c r="BS64" i="98"/>
  <c r="BS163" i="98"/>
  <c r="BS54" i="98"/>
  <c r="BS8" i="98"/>
  <c r="BS48" i="98"/>
  <c r="BS36" i="98"/>
  <c r="BS57" i="98"/>
  <c r="BS130" i="98"/>
  <c r="BS16" i="98"/>
  <c r="BS53" i="98"/>
  <c r="BS144" i="98"/>
  <c r="BS66" i="98"/>
  <c r="BS79" i="98"/>
  <c r="BS121" i="98"/>
  <c r="BS70" i="98"/>
  <c r="BS5" i="98"/>
  <c r="BS134" i="98"/>
  <c r="BS14" i="98"/>
  <c r="BS109" i="98"/>
  <c r="BS152" i="98"/>
  <c r="BS39" i="98"/>
  <c r="BS34" i="98"/>
  <c r="BS32" i="98"/>
  <c r="BS145" i="98"/>
  <c r="BS23" i="98"/>
  <c r="BS128" i="98"/>
  <c r="BS141" i="98"/>
  <c r="BS72" i="98"/>
  <c r="BS133" i="98"/>
  <c r="CF133" i="98" s="1"/>
  <c r="BS68" i="98"/>
  <c r="BS69" i="98"/>
  <c r="BS29" i="98"/>
  <c r="BS20" i="98"/>
  <c r="BS47" i="98"/>
  <c r="BS103" i="98"/>
  <c r="BS91" i="98"/>
  <c r="BS158" i="98"/>
  <c r="BS89" i="98"/>
  <c r="BS151" i="98"/>
  <c r="BS44" i="98"/>
  <c r="BS33" i="98"/>
  <c r="CK33" i="98" s="1"/>
  <c r="BS99" i="98"/>
  <c r="CK99" i="98" s="1"/>
  <c r="BS96" i="98"/>
  <c r="BS111" i="98"/>
  <c r="BS110" i="98"/>
  <c r="BS105" i="98"/>
  <c r="BS85" i="98"/>
  <c r="BS77" i="98"/>
  <c r="BS21" i="98"/>
  <c r="BS37" i="98"/>
  <c r="BS17" i="98"/>
  <c r="BS11" i="98"/>
  <c r="BS74" i="98"/>
  <c r="CF74" i="98" s="1"/>
  <c r="BS95" i="98"/>
  <c r="CK95" i="98" s="1"/>
  <c r="BS55" i="98"/>
  <c r="BS63" i="98"/>
  <c r="BS49" i="98"/>
  <c r="BS9" i="98"/>
  <c r="BS84" i="98"/>
  <c r="BS125" i="98"/>
  <c r="BS136" i="98"/>
  <c r="BS154" i="98"/>
  <c r="BS28" i="98"/>
  <c r="BS113" i="98"/>
  <c r="BS161" i="98"/>
  <c r="BS10" i="98"/>
  <c r="BS75" i="98"/>
  <c r="BS60" i="98"/>
  <c r="BS41" i="98"/>
  <c r="BS25" i="98"/>
  <c r="BS81" i="98"/>
  <c r="BS150" i="98"/>
  <c r="BS107" i="98"/>
  <c r="BS117" i="98"/>
  <c r="BS129" i="98"/>
  <c r="BS13" i="98"/>
  <c r="BS138" i="98"/>
  <c r="BS94" i="98"/>
  <c r="BS51" i="98"/>
  <c r="BS160" i="98"/>
  <c r="BS120" i="98"/>
  <c r="BS149" i="98"/>
  <c r="BS38" i="98"/>
  <c r="BS137" i="98"/>
  <c r="BS155" i="98"/>
  <c r="BS146" i="98"/>
  <c r="BS139" i="98"/>
  <c r="BS122" i="98"/>
  <c r="BS27" i="98"/>
  <c r="BS31" i="98"/>
  <c r="CK31" i="98" s="1"/>
  <c r="BS12" i="98"/>
  <c r="BS50" i="98"/>
  <c r="BS101" i="98"/>
  <c r="BS40" i="98"/>
  <c r="BS6" i="98"/>
  <c r="BS15" i="98"/>
  <c r="BS26" i="98"/>
  <c r="BS97" i="98"/>
  <c r="BS42" i="98"/>
  <c r="BS71" i="98"/>
  <c r="BS127" i="98"/>
  <c r="BS142" i="98"/>
  <c r="CK142" i="98" s="1"/>
  <c r="BS135" i="98"/>
  <c r="BS80" i="98"/>
  <c r="BS147" i="98"/>
  <c r="BS104" i="98"/>
  <c r="BS157" i="98"/>
  <c r="BS46" i="98"/>
  <c r="BS143" i="98"/>
  <c r="BS87" i="98"/>
  <c r="BS82" i="98"/>
  <c r="BS114" i="98"/>
  <c r="BS45" i="98"/>
  <c r="BS119" i="98"/>
  <c r="BS35" i="98"/>
  <c r="BS106" i="98"/>
  <c r="BS73" i="98"/>
  <c r="BS140" i="98"/>
  <c r="BS132" i="98"/>
  <c r="BS93" i="98"/>
  <c r="BS62" i="98"/>
  <c r="BS83" i="98"/>
  <c r="BS90" i="98"/>
  <c r="BS162" i="98"/>
  <c r="BS88" i="98"/>
  <c r="CF88" i="98" s="1"/>
  <c r="BS43" i="98"/>
  <c r="BS61" i="98"/>
  <c r="BS22" i="98"/>
  <c r="BS98" i="98"/>
  <c r="BS131" i="98"/>
  <c r="BS30" i="98"/>
  <c r="BS118" i="98"/>
  <c r="BS126" i="98"/>
  <c r="BS59" i="98"/>
  <c r="BS7" i="98"/>
  <c r="BS102" i="98"/>
  <c r="BS67" i="98"/>
  <c r="BS164" i="98"/>
  <c r="BS78" i="98"/>
  <c r="BS76" i="98"/>
  <c r="BS100" i="98"/>
  <c r="BS112" i="98"/>
  <c r="BS18" i="98"/>
  <c r="BS148" i="98"/>
  <c r="BS58" i="98"/>
  <c r="BS19" i="98"/>
  <c r="BS153" i="98"/>
  <c r="BS124" i="98"/>
  <c r="BS156" i="98"/>
  <c r="BS56" i="98"/>
  <c r="CP56" i="98" s="1"/>
  <c r="BS108" i="98"/>
  <c r="BS92" i="98"/>
  <c r="BS115" i="98"/>
  <c r="BS159" i="98"/>
  <c r="BS86" i="98"/>
  <c r="BS24" i="98"/>
  <c r="BS65" i="98"/>
  <c r="BS52" i="98"/>
  <c r="BU59" i="98"/>
  <c r="BU32" i="98"/>
  <c r="BU93" i="98"/>
  <c r="BU33" i="98"/>
  <c r="CH33" i="98" s="1"/>
  <c r="BU10" i="98"/>
  <c r="BU151" i="98"/>
  <c r="BU100" i="98"/>
  <c r="BU107" i="98"/>
  <c r="BU82" i="98"/>
  <c r="BU130" i="98"/>
  <c r="BU9" i="98"/>
  <c r="BU160" i="98"/>
  <c r="BU8" i="98"/>
  <c r="BU11" i="98"/>
  <c r="BU152" i="98"/>
  <c r="BU58" i="98"/>
  <c r="CR58" i="98" s="1"/>
  <c r="BU88" i="98"/>
  <c r="BU94" i="98"/>
  <c r="BU41" i="98"/>
  <c r="BU61" i="98"/>
  <c r="BU97" i="98"/>
  <c r="BU158" i="98"/>
  <c r="BU43" i="98"/>
  <c r="BU40" i="98"/>
  <c r="BU80" i="98"/>
  <c r="BU96" i="98"/>
  <c r="BU102" i="98"/>
  <c r="BU159" i="98"/>
  <c r="CM159" i="98" s="1"/>
  <c r="BU99" i="98"/>
  <c r="BU15" i="98"/>
  <c r="BU67" i="98"/>
  <c r="CM67" i="98" s="1"/>
  <c r="BU30" i="98"/>
  <c r="BU141" i="98"/>
  <c r="BU153" i="98"/>
  <c r="BU156" i="98"/>
  <c r="BU54" i="98"/>
  <c r="BU53" i="98"/>
  <c r="BU78" i="98"/>
  <c r="BU139" i="98"/>
  <c r="CR139" i="98" s="1"/>
  <c r="BU62" i="98"/>
  <c r="BU27" i="98"/>
  <c r="BU75" i="98"/>
  <c r="BU87" i="98"/>
  <c r="BU124" i="98"/>
  <c r="BU137" i="98"/>
  <c r="BU133" i="98"/>
  <c r="BU85" i="98"/>
  <c r="BU71" i="98"/>
  <c r="BU149" i="98"/>
  <c r="BU117" i="98"/>
  <c r="BU56" i="98"/>
  <c r="BU111" i="98"/>
  <c r="CR111" i="98" s="1"/>
  <c r="BU84" i="98"/>
  <c r="BU129" i="98"/>
  <c r="BU29" i="98"/>
  <c r="BU131" i="98"/>
  <c r="BU18" i="98"/>
  <c r="BU37" i="98"/>
  <c r="BU154" i="98"/>
  <c r="BU105" i="98"/>
  <c r="BU109" i="98"/>
  <c r="BU31" i="98"/>
  <c r="BU34" i="98"/>
  <c r="BU161" i="98"/>
  <c r="BU42" i="98"/>
  <c r="BU50" i="98"/>
  <c r="BU150" i="98"/>
  <c r="BU6" i="98"/>
  <c r="BU127" i="98"/>
  <c r="BU48" i="98"/>
  <c r="BU7" i="98"/>
  <c r="BU98" i="98"/>
  <c r="BU68" i="98"/>
  <c r="BU81" i="98"/>
  <c r="BU24" i="98"/>
  <c r="CR24" i="98" s="1"/>
  <c r="BU65" i="98"/>
  <c r="BU79" i="98"/>
  <c r="BU119" i="98"/>
  <c r="BU163" i="98"/>
  <c r="BU74" i="98"/>
  <c r="BU57" i="98"/>
  <c r="BU22" i="98"/>
  <c r="BU122" i="98"/>
  <c r="BU144" i="98"/>
  <c r="BU51" i="98"/>
  <c r="BU140" i="98"/>
  <c r="BU162" i="98"/>
  <c r="BU101" i="98"/>
  <c r="CM101" i="98" s="1"/>
  <c r="BU135" i="98"/>
  <c r="BU20" i="98"/>
  <c r="BU92" i="98"/>
  <c r="BU72" i="98"/>
  <c r="BU90" i="98"/>
  <c r="BU63" i="98"/>
  <c r="BU12" i="98"/>
  <c r="BU157" i="98"/>
  <c r="BU5" i="98"/>
  <c r="BU86" i="98"/>
  <c r="BU55" i="98"/>
  <c r="BU147" i="98"/>
  <c r="BU136" i="98"/>
  <c r="BU35" i="98"/>
  <c r="BU95" i="98"/>
  <c r="BU89" i="98"/>
  <c r="BU114" i="98"/>
  <c r="BU145" i="98"/>
  <c r="BU64" i="98"/>
  <c r="BU13" i="98"/>
  <c r="BU104" i="98"/>
  <c r="BU164" i="98"/>
  <c r="BU146" i="98"/>
  <c r="BU108" i="98"/>
  <c r="BU19" i="98"/>
  <c r="BU16" i="98"/>
  <c r="BU120" i="98"/>
  <c r="BU49" i="98"/>
  <c r="BU148" i="98"/>
  <c r="BU21" i="98"/>
  <c r="BU39" i="98"/>
  <c r="BU25" i="98"/>
  <c r="BU47" i="98"/>
  <c r="BU73" i="98"/>
  <c r="BU70" i="98"/>
  <c r="CR70" i="98" s="1"/>
  <c r="BU128" i="98"/>
  <c r="CM128" i="98" s="1"/>
  <c r="BU116" i="98"/>
  <c r="BU103" i="98"/>
  <c r="BU66" i="98"/>
  <c r="BU121" i="98"/>
  <c r="BU142" i="98"/>
  <c r="BU60" i="98"/>
  <c r="BU69" i="98"/>
  <c r="BU23" i="98"/>
  <c r="BU143" i="98"/>
  <c r="BU113" i="98"/>
  <c r="BU138" i="98"/>
  <c r="BU36" i="98"/>
  <c r="CM36" i="98" s="1"/>
  <c r="BU134" i="98"/>
  <c r="BU115" i="98"/>
  <c r="BU106" i="98"/>
  <c r="CH106" i="98" s="1"/>
  <c r="BU45" i="98"/>
  <c r="BU125" i="98"/>
  <c r="BU77" i="98"/>
  <c r="BU118" i="98"/>
  <c r="BU112" i="98"/>
  <c r="BU38" i="98"/>
  <c r="BU46" i="98"/>
  <c r="BU26" i="98"/>
  <c r="BU28" i="98"/>
  <c r="BU17" i="98"/>
  <c r="BU76" i="98"/>
  <c r="BU52" i="98"/>
  <c r="BU132" i="98"/>
  <c r="BU110" i="98"/>
  <c r="BU14" i="98"/>
  <c r="BU155" i="98"/>
  <c r="BU83" i="98"/>
  <c r="BU44" i="98"/>
  <c r="BU91" i="98"/>
  <c r="BU123" i="98"/>
  <c r="CM123" i="98" s="1"/>
  <c r="BU126" i="98"/>
  <c r="BY14" i="98"/>
  <c r="BY63" i="98"/>
  <c r="BY70" i="98"/>
  <c r="CG70" i="98" s="1"/>
  <c r="BY144" i="98"/>
  <c r="BY115" i="98"/>
  <c r="BY56" i="98"/>
  <c r="BY28" i="98"/>
  <c r="BY96" i="98"/>
  <c r="BY157" i="98"/>
  <c r="BY11" i="98"/>
  <c r="BY35" i="98"/>
  <c r="CL35" i="98" s="1"/>
  <c r="BY107" i="98"/>
  <c r="CQ107" i="98" s="1"/>
  <c r="BY20" i="98"/>
  <c r="BY140" i="98"/>
  <c r="BY121" i="98"/>
  <c r="BY47" i="98"/>
  <c r="BY29" i="98"/>
  <c r="BY77" i="98"/>
  <c r="BY119" i="98"/>
  <c r="BY159" i="98"/>
  <c r="BY45" i="98"/>
  <c r="BY67" i="98"/>
  <c r="BY42" i="98"/>
  <c r="BY118" i="98"/>
  <c r="BY102" i="98"/>
  <c r="BY108" i="98"/>
  <c r="BY26" i="98"/>
  <c r="BY44" i="98"/>
  <c r="BY64" i="98"/>
  <c r="BY78" i="98"/>
  <c r="BY48" i="98"/>
  <c r="BY27" i="98"/>
  <c r="BY85" i="98"/>
  <c r="BY21" i="98"/>
  <c r="BY91" i="98"/>
  <c r="BY61" i="98"/>
  <c r="CL61" i="98" s="1"/>
  <c r="BY30" i="98"/>
  <c r="BY43" i="98"/>
  <c r="BY100" i="98"/>
  <c r="BY50" i="98"/>
  <c r="BY94" i="98"/>
  <c r="BY52" i="98"/>
  <c r="BY76" i="98"/>
  <c r="BY24" i="98"/>
  <c r="BY164" i="98"/>
  <c r="BY51" i="98"/>
  <c r="BY160" i="98"/>
  <c r="CQ160" i="98" s="1"/>
  <c r="BY105" i="98"/>
  <c r="BY33" i="98"/>
  <c r="BY10" i="98"/>
  <c r="BY145" i="98"/>
  <c r="CG145" i="98" s="1"/>
  <c r="BY133" i="98"/>
  <c r="BY106" i="98"/>
  <c r="BY130" i="98"/>
  <c r="BY68" i="98"/>
  <c r="BY72" i="98"/>
  <c r="BY124" i="98"/>
  <c r="BY109" i="98"/>
  <c r="BY152" i="98"/>
  <c r="CL152" i="98" s="1"/>
  <c r="BY113" i="98"/>
  <c r="BY104" i="98"/>
  <c r="BY150" i="98"/>
  <c r="BY162" i="98"/>
  <c r="BY129" i="98"/>
  <c r="BY116" i="98"/>
  <c r="BY69" i="98"/>
  <c r="BY112" i="98"/>
  <c r="BY163" i="98"/>
  <c r="BY46" i="98"/>
  <c r="CQ46" i="98" s="1"/>
  <c r="BY114" i="98"/>
  <c r="BY95" i="98"/>
  <c r="BY84" i="98"/>
  <c r="BY39" i="98"/>
  <c r="BY13" i="98"/>
  <c r="BY17" i="98"/>
  <c r="BY99" i="98"/>
  <c r="BY120" i="98"/>
  <c r="BY5" i="98"/>
  <c r="BY59" i="98"/>
  <c r="BY22" i="98"/>
  <c r="BY53" i="98"/>
  <c r="CG53" i="98" s="1"/>
  <c r="BY151" i="98"/>
  <c r="BY73" i="98"/>
  <c r="BY156" i="98"/>
  <c r="CQ156" i="98" s="1"/>
  <c r="BY80" i="98"/>
  <c r="BY87" i="98"/>
  <c r="BY57" i="98"/>
  <c r="CG57" i="98" s="1"/>
  <c r="BY12" i="98"/>
  <c r="BY89" i="98"/>
  <c r="BY31" i="98"/>
  <c r="BY153" i="98"/>
  <c r="BY82" i="98"/>
  <c r="BY98" i="98"/>
  <c r="BY127" i="98"/>
  <c r="BY154" i="98"/>
  <c r="BY34" i="98"/>
  <c r="BY6" i="98"/>
  <c r="BY147" i="98"/>
  <c r="BY54" i="98"/>
  <c r="BY55" i="98"/>
  <c r="BY139" i="98"/>
  <c r="BY38" i="98"/>
  <c r="BY131" i="98"/>
  <c r="BY81" i="98"/>
  <c r="BY101" i="98"/>
  <c r="BY117" i="98"/>
  <c r="BY83" i="98"/>
  <c r="BY122" i="98"/>
  <c r="BY158" i="98"/>
  <c r="CG158" i="98" s="1"/>
  <c r="BY93" i="98"/>
  <c r="BY36" i="98"/>
  <c r="BY123" i="98"/>
  <c r="BY132" i="98"/>
  <c r="BY41" i="98"/>
  <c r="BY19" i="98"/>
  <c r="BY86" i="98"/>
  <c r="BY23" i="98"/>
  <c r="BY62" i="98"/>
  <c r="BY49" i="98"/>
  <c r="BY60" i="98"/>
  <c r="CL60" i="98" s="1"/>
  <c r="BY18" i="98"/>
  <c r="BY15" i="98"/>
  <c r="BY138" i="98"/>
  <c r="CL138" i="98" s="1"/>
  <c r="BY16" i="98"/>
  <c r="BY149" i="98"/>
  <c r="BY66" i="98"/>
  <c r="BY125" i="98"/>
  <c r="BY135" i="98"/>
  <c r="BY137" i="98"/>
  <c r="CQ137" i="98" s="1"/>
  <c r="BY88" i="98"/>
  <c r="BY128" i="98"/>
  <c r="BY8" i="98"/>
  <c r="BY32" i="98"/>
  <c r="BY136" i="98"/>
  <c r="BY155" i="98"/>
  <c r="BY111" i="98"/>
  <c r="BY65" i="98"/>
  <c r="BY71" i="98"/>
  <c r="BY25" i="98"/>
  <c r="BY74" i="98"/>
  <c r="BY134" i="98"/>
  <c r="BY40" i="98"/>
  <c r="BY79" i="98"/>
  <c r="CQ79" i="98" s="1"/>
  <c r="BY126" i="98"/>
  <c r="BY161" i="98"/>
  <c r="BY110" i="98"/>
  <c r="BY92" i="98"/>
  <c r="BY75" i="98"/>
  <c r="BY143" i="98"/>
  <c r="BY37" i="98"/>
  <c r="BY7" i="98"/>
  <c r="BY97" i="98"/>
  <c r="BY90" i="98"/>
  <c r="CL90" i="98" s="1"/>
  <c r="BY146" i="98"/>
  <c r="BY9" i="98"/>
  <c r="CG9" i="98" s="1"/>
  <c r="BY148" i="98"/>
  <c r="CG148" i="98" s="1"/>
  <c r="BY103" i="98"/>
  <c r="BY142" i="98"/>
  <c r="BY58" i="98"/>
  <c r="BY141" i="98"/>
  <c r="BM139" i="98"/>
  <c r="BM38" i="98"/>
  <c r="BM34" i="98"/>
  <c r="BM86" i="98"/>
  <c r="BM124" i="98"/>
  <c r="BM119" i="98"/>
  <c r="BM81" i="98"/>
  <c r="BM129" i="98"/>
  <c r="BM53" i="98"/>
  <c r="BM158" i="98"/>
  <c r="BM89" i="98"/>
  <c r="BM29" i="98"/>
  <c r="BM67" i="98"/>
  <c r="BM71" i="98"/>
  <c r="BM43" i="98"/>
  <c r="BM76" i="98"/>
  <c r="BM145" i="98"/>
  <c r="BM74" i="98"/>
  <c r="BM100" i="98"/>
  <c r="CO100" i="98" s="1"/>
  <c r="BM122" i="98"/>
  <c r="CE122" i="98" s="1"/>
  <c r="BM154" i="98"/>
  <c r="BM106" i="98"/>
  <c r="BM6" i="98"/>
  <c r="BM149" i="98"/>
  <c r="BM156" i="98"/>
  <c r="BM13" i="98"/>
  <c r="BM142" i="98"/>
  <c r="BM121" i="98"/>
  <c r="BM123" i="98"/>
  <c r="BM92" i="98"/>
  <c r="BM9" i="98"/>
  <c r="BM118" i="98"/>
  <c r="BM164" i="98"/>
  <c r="BM114" i="98"/>
  <c r="BM36" i="98"/>
  <c r="BM160" i="98"/>
  <c r="BM25" i="98"/>
  <c r="BM8" i="98"/>
  <c r="BM96" i="98"/>
  <c r="BM42" i="98"/>
  <c r="BM140" i="98"/>
  <c r="BM5" i="98"/>
  <c r="BM22" i="98"/>
  <c r="BM56" i="98"/>
  <c r="BM50" i="98"/>
  <c r="BM162" i="98"/>
  <c r="BM41" i="98"/>
  <c r="BM125" i="98"/>
  <c r="BM98" i="98"/>
  <c r="BM135" i="98"/>
  <c r="BM16" i="98"/>
  <c r="BM127" i="98"/>
  <c r="BM134" i="98"/>
  <c r="BM115" i="98"/>
  <c r="BM44" i="98"/>
  <c r="CJ44" i="98" s="1"/>
  <c r="BM130" i="98"/>
  <c r="BM103" i="98"/>
  <c r="BM101" i="98"/>
  <c r="BM37" i="98"/>
  <c r="BM153" i="98"/>
  <c r="BM105" i="98"/>
  <c r="BM163" i="98"/>
  <c r="BM78" i="98"/>
  <c r="BM109" i="98"/>
  <c r="BM69" i="98"/>
  <c r="BM128" i="98"/>
  <c r="BM45" i="98"/>
  <c r="BM79" i="98"/>
  <c r="BM39" i="98"/>
  <c r="BM150" i="98"/>
  <c r="BM68" i="98"/>
  <c r="BM146" i="98"/>
  <c r="BM14" i="98"/>
  <c r="BM108" i="98"/>
  <c r="BM30" i="98"/>
  <c r="BM19" i="98"/>
  <c r="BM137" i="98"/>
  <c r="BM77" i="98"/>
  <c r="BM20" i="98"/>
  <c r="BM147" i="98"/>
  <c r="BM35" i="98"/>
  <c r="BM126" i="98"/>
  <c r="BM47" i="98"/>
  <c r="BM144" i="98"/>
  <c r="BM72" i="98"/>
  <c r="BM80" i="98"/>
  <c r="BM117" i="98"/>
  <c r="BM83" i="98"/>
  <c r="BM116" i="98"/>
  <c r="BM90" i="98"/>
  <c r="BM21" i="98"/>
  <c r="BM151" i="98"/>
  <c r="BM23" i="98"/>
  <c r="BM10" i="98"/>
  <c r="BM24" i="98"/>
  <c r="BM112" i="98"/>
  <c r="BM66" i="98"/>
  <c r="BM65" i="98"/>
  <c r="BM28" i="98"/>
  <c r="BM99" i="98"/>
  <c r="BM18" i="98"/>
  <c r="BM15" i="98"/>
  <c r="BM46" i="98"/>
  <c r="BM102" i="98"/>
  <c r="CO102" i="98" s="1"/>
  <c r="BM104" i="98"/>
  <c r="BM157" i="98"/>
  <c r="BM57" i="98"/>
  <c r="BM61" i="98"/>
  <c r="BM7" i="98"/>
  <c r="BM136" i="98"/>
  <c r="BM88" i="98"/>
  <c r="BM95" i="98"/>
  <c r="BM133" i="98"/>
  <c r="BM49" i="98"/>
  <c r="BM59" i="98"/>
  <c r="BM51" i="98"/>
  <c r="BM12" i="98"/>
  <c r="BM138" i="98"/>
  <c r="BM73" i="98"/>
  <c r="BM93" i="98"/>
  <c r="BM84" i="98"/>
  <c r="BM113" i="98"/>
  <c r="BM141" i="98"/>
  <c r="BM26" i="98"/>
  <c r="BM17" i="98"/>
  <c r="BM31" i="98"/>
  <c r="BM82" i="98"/>
  <c r="BM70" i="98"/>
  <c r="CJ70" i="98" s="1"/>
  <c r="BM143" i="98"/>
  <c r="BM85" i="98"/>
  <c r="BM120" i="98"/>
  <c r="BM94" i="98"/>
  <c r="BM54" i="98"/>
  <c r="BM75" i="98"/>
  <c r="BM107" i="98"/>
  <c r="BM48" i="98"/>
  <c r="BM97" i="98"/>
  <c r="BM11" i="98"/>
  <c r="BM152" i="98"/>
  <c r="CO152" i="98" s="1"/>
  <c r="BM91" i="98"/>
  <c r="BM161" i="98"/>
  <c r="BM40" i="98"/>
  <c r="BM33" i="98"/>
  <c r="BM131" i="98"/>
  <c r="BM132" i="98"/>
  <c r="BM111" i="98"/>
  <c r="BM55" i="98"/>
  <c r="BM64" i="98"/>
  <c r="BM32" i="98"/>
  <c r="BM148" i="98"/>
  <c r="BM27" i="98"/>
  <c r="CJ27" i="98" s="1"/>
  <c r="BM87" i="98"/>
  <c r="BM60" i="98"/>
  <c r="BM58" i="98"/>
  <c r="BM159" i="98"/>
  <c r="BM110" i="98"/>
  <c r="BM155" i="98"/>
  <c r="BM52" i="98"/>
  <c r="BM62" i="98"/>
  <c r="BM63" i="98"/>
  <c r="BR29" i="98"/>
  <c r="BR163" i="98"/>
  <c r="BR162" i="98"/>
  <c r="CO162" i="98" s="1"/>
  <c r="BR140" i="98"/>
  <c r="CE140" i="98" s="1"/>
  <c r="BR112" i="98"/>
  <c r="BR10" i="98"/>
  <c r="BR8" i="98"/>
  <c r="BR70" i="98"/>
  <c r="BR41" i="98"/>
  <c r="BR40" i="98"/>
  <c r="BR9" i="98"/>
  <c r="BR31" i="98"/>
  <c r="BR78" i="98"/>
  <c r="BR93" i="98"/>
  <c r="BR124" i="98"/>
  <c r="BR66" i="98"/>
  <c r="BR63" i="98"/>
  <c r="BR96" i="98"/>
  <c r="BR138" i="98"/>
  <c r="BR45" i="98"/>
  <c r="BR33" i="98"/>
  <c r="BR49" i="98"/>
  <c r="BR132" i="98"/>
  <c r="BR118" i="98"/>
  <c r="BR130" i="98"/>
  <c r="BR83" i="98"/>
  <c r="BR159" i="98"/>
  <c r="BR107" i="98"/>
  <c r="CE107" i="98" s="1"/>
  <c r="BR65" i="98"/>
  <c r="BR44" i="98"/>
  <c r="BR68" i="98"/>
  <c r="BR150" i="98"/>
  <c r="BR36" i="98"/>
  <c r="BR34" i="98"/>
  <c r="BR142" i="98"/>
  <c r="BR37" i="98"/>
  <c r="BR39" i="98"/>
  <c r="BR144" i="98"/>
  <c r="BR129" i="98"/>
  <c r="BR157" i="98"/>
  <c r="BR92" i="98"/>
  <c r="BR115" i="98"/>
  <c r="BR54" i="98"/>
  <c r="BR23" i="98"/>
  <c r="BR48" i="98"/>
  <c r="BR67" i="98"/>
  <c r="BR61" i="98"/>
  <c r="BR55" i="98"/>
  <c r="BR38" i="98"/>
  <c r="BR106" i="98"/>
  <c r="BR103" i="98"/>
  <c r="BR147" i="98"/>
  <c r="BR19" i="98"/>
  <c r="BR77" i="98"/>
  <c r="BR84" i="98"/>
  <c r="BR109" i="98"/>
  <c r="BR62" i="98"/>
  <c r="BR154" i="98"/>
  <c r="BR59" i="98"/>
  <c r="BR100" i="98"/>
  <c r="BR135" i="98"/>
  <c r="BR91" i="98"/>
  <c r="BR111" i="98"/>
  <c r="BR120" i="98"/>
  <c r="CJ120" i="98" s="1"/>
  <c r="BR27" i="98"/>
  <c r="BR82" i="98"/>
  <c r="BR134" i="98"/>
  <c r="BR53" i="98"/>
  <c r="BR158" i="98"/>
  <c r="BR149" i="98"/>
  <c r="BR81" i="98"/>
  <c r="BR17" i="98"/>
  <c r="BR74" i="98"/>
  <c r="BR114" i="98"/>
  <c r="BR58" i="98"/>
  <c r="BR51" i="98"/>
  <c r="BR24" i="98"/>
  <c r="BR123" i="98"/>
  <c r="BR7" i="98"/>
  <c r="BR16" i="98"/>
  <c r="BR50" i="98"/>
  <c r="BR46" i="98"/>
  <c r="BR72" i="98"/>
  <c r="BR121" i="98"/>
  <c r="BR145" i="98"/>
  <c r="BR137" i="98"/>
  <c r="BR30" i="98"/>
  <c r="BR28" i="98"/>
  <c r="BR98" i="98"/>
  <c r="BR152" i="98"/>
  <c r="BR94" i="98"/>
  <c r="BR148" i="98"/>
  <c r="BR69" i="98"/>
  <c r="BR116" i="98"/>
  <c r="BR156" i="98"/>
  <c r="BR141" i="98"/>
  <c r="BR155" i="98"/>
  <c r="BR56" i="98"/>
  <c r="BR15" i="98"/>
  <c r="CO15" i="98" s="1"/>
  <c r="BR146" i="98"/>
  <c r="BR75" i="98"/>
  <c r="BR128" i="98"/>
  <c r="BR57" i="98"/>
  <c r="CJ57" i="98" s="1"/>
  <c r="BR139" i="98"/>
  <c r="BR12" i="98"/>
  <c r="BR18" i="98"/>
  <c r="BR14" i="98"/>
  <c r="BR6" i="98"/>
  <c r="BR71" i="98"/>
  <c r="BR119" i="98"/>
  <c r="BR64" i="98"/>
  <c r="BR131" i="98"/>
  <c r="CJ131" i="98" s="1"/>
  <c r="BR108" i="98"/>
  <c r="BR47" i="98"/>
  <c r="BR13" i="98"/>
  <c r="BR89" i="98"/>
  <c r="BR21" i="98"/>
  <c r="BR117" i="98"/>
  <c r="BR90" i="98"/>
  <c r="BR32" i="98"/>
  <c r="BR153" i="98"/>
  <c r="BR25" i="98"/>
  <c r="BR95" i="98"/>
  <c r="BR136" i="98"/>
  <c r="CJ136" i="98" s="1"/>
  <c r="BR26" i="98"/>
  <c r="BR97" i="98"/>
  <c r="BR20" i="98"/>
  <c r="BR122" i="98"/>
  <c r="BR102" i="98"/>
  <c r="BR104" i="98"/>
  <c r="BR11" i="98"/>
  <c r="BR43" i="98"/>
  <c r="BR125" i="98"/>
  <c r="BR105" i="98"/>
  <c r="BR80" i="98"/>
  <c r="CJ80" i="98" s="1"/>
  <c r="BR88" i="98"/>
  <c r="CO88" i="98" s="1"/>
  <c r="BR73" i="98"/>
  <c r="BR160" i="98"/>
  <c r="BR5" i="98"/>
  <c r="BR113" i="98"/>
  <c r="BR133" i="98"/>
  <c r="BR60" i="98"/>
  <c r="BR85" i="98"/>
  <c r="BR52" i="98"/>
  <c r="BR164" i="98"/>
  <c r="CE164" i="98" s="1"/>
  <c r="BR126" i="98"/>
  <c r="BR99" i="98"/>
  <c r="CE99" i="98" s="1"/>
  <c r="BR76" i="98"/>
  <c r="BR143" i="98"/>
  <c r="BR127" i="98"/>
  <c r="BR86" i="98"/>
  <c r="BR22" i="98"/>
  <c r="BR161" i="98"/>
  <c r="BR42" i="98"/>
  <c r="BR79" i="98"/>
  <c r="BR101" i="98"/>
  <c r="BR35" i="98"/>
  <c r="CJ35" i="98" s="1"/>
  <c r="BR151" i="98"/>
  <c r="BR110" i="98"/>
  <c r="CJ110" i="98" s="1"/>
  <c r="BR87" i="98"/>
  <c r="BQ75" i="98"/>
  <c r="BQ132" i="98"/>
  <c r="BQ39" i="98"/>
  <c r="BQ55" i="98"/>
  <c r="BQ138" i="98"/>
  <c r="BQ36" i="98"/>
  <c r="BQ54" i="98"/>
  <c r="BQ88" i="98"/>
  <c r="BQ71" i="98"/>
  <c r="BQ116" i="98"/>
  <c r="BQ61" i="98"/>
  <c r="BQ33" i="98"/>
  <c r="CD33" i="98" s="1"/>
  <c r="BQ5" i="98"/>
  <c r="BQ38" i="98"/>
  <c r="BQ146" i="98"/>
  <c r="BQ124" i="98"/>
  <c r="BQ12" i="98"/>
  <c r="BQ159" i="98"/>
  <c r="BQ108" i="98"/>
  <c r="BQ77" i="98"/>
  <c r="BQ80" i="98"/>
  <c r="BQ111" i="98"/>
  <c r="BQ103" i="98"/>
  <c r="BQ145" i="98"/>
  <c r="BQ100" i="98"/>
  <c r="BQ83" i="98"/>
  <c r="BQ120" i="98"/>
  <c r="BQ9" i="98"/>
  <c r="BQ155" i="98"/>
  <c r="BQ47" i="98"/>
  <c r="BQ35" i="98"/>
  <c r="BQ81" i="98"/>
  <c r="BQ153" i="98"/>
  <c r="BQ28" i="98"/>
  <c r="BQ148" i="98"/>
  <c r="BQ58" i="98"/>
  <c r="BQ34" i="98"/>
  <c r="BQ14" i="98"/>
  <c r="BQ102" i="98"/>
  <c r="BQ104" i="98"/>
  <c r="BQ43" i="98"/>
  <c r="BQ93" i="98"/>
  <c r="BQ73" i="98"/>
  <c r="BQ129" i="98"/>
  <c r="BQ17" i="98"/>
  <c r="BQ139" i="98"/>
  <c r="BQ67" i="98"/>
  <c r="BQ163" i="98"/>
  <c r="BQ56" i="98"/>
  <c r="BQ76" i="98"/>
  <c r="BQ156" i="98"/>
  <c r="BQ84" i="98"/>
  <c r="BQ57" i="98"/>
  <c r="BQ48" i="98"/>
  <c r="BQ23" i="98"/>
  <c r="BQ141" i="98"/>
  <c r="BQ13" i="98"/>
  <c r="BQ59" i="98"/>
  <c r="BQ50" i="98"/>
  <c r="BQ164" i="98"/>
  <c r="CD164" i="98" s="1"/>
  <c r="BQ94" i="98"/>
  <c r="BQ22" i="98"/>
  <c r="BQ16" i="98"/>
  <c r="BQ21" i="98"/>
  <c r="BQ40" i="98"/>
  <c r="BQ147" i="98"/>
  <c r="BQ101" i="98"/>
  <c r="BQ125" i="98"/>
  <c r="BQ41" i="98"/>
  <c r="BQ97" i="98"/>
  <c r="BQ66" i="98"/>
  <c r="BQ46" i="98"/>
  <c r="BQ158" i="98"/>
  <c r="BQ115" i="98"/>
  <c r="BQ78" i="98"/>
  <c r="BQ91" i="98"/>
  <c r="BQ63" i="98"/>
  <c r="BQ95" i="98"/>
  <c r="BQ117" i="98"/>
  <c r="BQ10" i="98"/>
  <c r="BQ90" i="98"/>
  <c r="BQ98" i="98"/>
  <c r="BQ87" i="98"/>
  <c r="BQ107" i="98"/>
  <c r="CN107" i="98" s="1"/>
  <c r="BQ105" i="98"/>
  <c r="BQ70" i="98"/>
  <c r="BQ122" i="98"/>
  <c r="BQ160" i="98"/>
  <c r="BQ69" i="98"/>
  <c r="BQ96" i="98"/>
  <c r="BQ89" i="98"/>
  <c r="BQ37" i="98"/>
  <c r="BQ20" i="98"/>
  <c r="BQ149" i="98"/>
  <c r="BQ112" i="98"/>
  <c r="BQ60" i="98"/>
  <c r="CN60" i="98" s="1"/>
  <c r="BQ128" i="98"/>
  <c r="BQ26" i="98"/>
  <c r="BQ6" i="98"/>
  <c r="BQ8" i="98"/>
  <c r="BQ106" i="98"/>
  <c r="BQ62" i="98"/>
  <c r="BQ114" i="98"/>
  <c r="BQ11" i="98"/>
  <c r="BQ82" i="98"/>
  <c r="BQ51" i="98"/>
  <c r="BQ49" i="98"/>
  <c r="BQ127" i="98"/>
  <c r="BQ119" i="98"/>
  <c r="BQ30" i="98"/>
  <c r="BQ44" i="98"/>
  <c r="BQ135" i="98"/>
  <c r="BQ162" i="98"/>
  <c r="BQ136" i="98"/>
  <c r="BQ18" i="98"/>
  <c r="BQ140" i="98"/>
  <c r="BQ133" i="98"/>
  <c r="BQ31" i="98"/>
  <c r="BQ152" i="98"/>
  <c r="BQ123" i="98"/>
  <c r="BQ131" i="98"/>
  <c r="BQ118" i="98"/>
  <c r="BQ109" i="98"/>
  <c r="BQ19" i="98"/>
  <c r="BQ99" i="98"/>
  <c r="BQ121" i="98"/>
  <c r="BQ15" i="98"/>
  <c r="BQ134" i="98"/>
  <c r="BQ137" i="98"/>
  <c r="BQ130" i="98"/>
  <c r="BQ29" i="98"/>
  <c r="BQ150" i="98"/>
  <c r="CN150" i="98" s="1"/>
  <c r="BQ25" i="98"/>
  <c r="BQ74" i="98"/>
  <c r="BQ126" i="98"/>
  <c r="BQ52" i="98"/>
  <c r="BQ24" i="98"/>
  <c r="BQ68" i="98"/>
  <c r="BQ53" i="98"/>
  <c r="BQ144" i="98"/>
  <c r="BQ72" i="98"/>
  <c r="BQ79" i="98"/>
  <c r="BQ45" i="98"/>
  <c r="BQ64" i="98"/>
  <c r="CI64" i="98" s="1"/>
  <c r="BQ151" i="98"/>
  <c r="BQ27" i="98"/>
  <c r="BQ142" i="98"/>
  <c r="BQ157" i="98"/>
  <c r="BQ7" i="98"/>
  <c r="BQ113" i="98"/>
  <c r="BQ86" i="98"/>
  <c r="BQ85" i="98"/>
  <c r="BQ161" i="98"/>
  <c r="BQ110" i="98"/>
  <c r="BQ65" i="98"/>
  <c r="BQ92" i="98"/>
  <c r="CN92" i="98" s="1"/>
  <c r="BQ42" i="98"/>
  <c r="BQ154" i="98"/>
  <c r="BQ32" i="98"/>
  <c r="BQ143" i="98"/>
  <c r="BV5" i="98"/>
  <c r="BV99" i="98"/>
  <c r="BV82" i="98"/>
  <c r="BV113" i="98"/>
  <c r="BV73" i="98"/>
  <c r="BV109" i="98"/>
  <c r="BV67" i="98"/>
  <c r="BV147" i="98"/>
  <c r="CN147" i="98" s="1"/>
  <c r="BV33" i="98"/>
  <c r="BV152" i="98"/>
  <c r="BV72" i="98"/>
  <c r="BV115" i="98"/>
  <c r="BV158" i="98"/>
  <c r="BV78" i="98"/>
  <c r="BV124" i="98"/>
  <c r="BV96" i="98"/>
  <c r="BV26" i="98"/>
  <c r="BV54" i="98"/>
  <c r="BV74" i="98"/>
  <c r="BV41" i="98"/>
  <c r="BV50" i="98"/>
  <c r="BV164" i="98"/>
  <c r="BV83" i="98"/>
  <c r="BV70" i="98"/>
  <c r="BV58" i="98"/>
  <c r="BV22" i="98"/>
  <c r="BV95" i="98"/>
  <c r="BV94" i="98"/>
  <c r="BV134" i="98"/>
  <c r="BV122" i="98"/>
  <c r="BV108" i="98"/>
  <c r="BV154" i="98"/>
  <c r="BV101" i="98"/>
  <c r="BV90" i="98"/>
  <c r="BV136" i="98"/>
  <c r="BV17" i="98"/>
  <c r="BV120" i="98"/>
  <c r="BV35" i="98"/>
  <c r="BV75" i="98"/>
  <c r="BV61" i="98"/>
  <c r="BV44" i="98"/>
  <c r="BV36" i="98"/>
  <c r="BV11" i="98"/>
  <c r="BV77" i="98"/>
  <c r="BV48" i="98"/>
  <c r="BV118" i="98"/>
  <c r="BV6" i="98"/>
  <c r="BV16" i="98"/>
  <c r="BV62" i="98"/>
  <c r="BV135" i="98"/>
  <c r="BV9" i="98"/>
  <c r="BV38" i="98"/>
  <c r="BV10" i="98"/>
  <c r="BV86" i="98"/>
  <c r="BV145" i="98"/>
  <c r="BV43" i="98"/>
  <c r="CI43" i="98" s="1"/>
  <c r="BV159" i="98"/>
  <c r="BV129" i="98"/>
  <c r="BV126" i="98"/>
  <c r="BV12" i="98"/>
  <c r="BV146" i="98"/>
  <c r="BV24" i="98"/>
  <c r="BV155" i="98"/>
  <c r="BV114" i="98"/>
  <c r="BV53" i="98"/>
  <c r="BV37" i="98"/>
  <c r="BV23" i="98"/>
  <c r="BV127" i="98"/>
  <c r="BV148" i="98"/>
  <c r="BV49" i="98"/>
  <c r="BV59" i="98"/>
  <c r="BV137" i="98"/>
  <c r="BV45" i="98"/>
  <c r="BV40" i="98"/>
  <c r="BV157" i="98"/>
  <c r="BV140" i="98"/>
  <c r="BV52" i="98"/>
  <c r="BV51" i="98"/>
  <c r="BV142" i="98"/>
  <c r="CN142" i="98" s="1"/>
  <c r="BV29" i="98"/>
  <c r="BV119" i="98"/>
  <c r="BV15" i="98"/>
  <c r="BV69" i="98"/>
  <c r="BV139" i="98"/>
  <c r="BV31" i="98"/>
  <c r="BV13" i="98"/>
  <c r="BV100" i="98"/>
  <c r="BV91" i="98"/>
  <c r="BV98" i="98"/>
  <c r="BV121" i="98"/>
  <c r="BV93" i="98"/>
  <c r="BV151" i="98"/>
  <c r="BV160" i="98"/>
  <c r="BV84" i="98"/>
  <c r="BV14" i="98"/>
  <c r="BV27" i="98"/>
  <c r="BV141" i="98"/>
  <c r="BV39" i="98"/>
  <c r="BV42" i="98"/>
  <c r="BV71" i="98"/>
  <c r="BV85" i="98"/>
  <c r="BV138" i="98"/>
  <c r="BV66" i="98"/>
  <c r="BV57" i="98"/>
  <c r="CD57" i="98" s="1"/>
  <c r="BV103" i="98"/>
  <c r="BV92" i="98"/>
  <c r="BV34" i="98"/>
  <c r="BV107" i="98"/>
  <c r="BV63" i="98"/>
  <c r="BV106" i="98"/>
  <c r="BV111" i="98"/>
  <c r="BV153" i="98"/>
  <c r="BV47" i="98"/>
  <c r="BV20" i="98"/>
  <c r="BV104" i="98"/>
  <c r="CI104" i="98" s="1"/>
  <c r="BV131" i="98"/>
  <c r="CN131" i="98" s="1"/>
  <c r="BV7" i="98"/>
  <c r="BV88" i="98"/>
  <c r="BV133" i="98"/>
  <c r="BV18" i="98"/>
  <c r="BV112" i="98"/>
  <c r="BV8" i="98"/>
  <c r="BV161" i="98"/>
  <c r="BV60" i="98"/>
  <c r="BV68" i="98"/>
  <c r="BV55" i="98"/>
  <c r="BV156" i="98"/>
  <c r="BV130" i="98"/>
  <c r="BV143" i="98"/>
  <c r="BV19" i="98"/>
  <c r="BV87" i="98"/>
  <c r="BV132" i="98"/>
  <c r="BV117" i="98"/>
  <c r="BV32" i="98"/>
  <c r="BV123" i="98"/>
  <c r="BV65" i="98"/>
  <c r="BV97" i="98"/>
  <c r="BV105" i="98"/>
  <c r="BV125" i="98"/>
  <c r="BV30" i="98"/>
  <c r="BV162" i="98"/>
  <c r="BV144" i="98"/>
  <c r="BV28" i="98"/>
  <c r="BV80" i="98"/>
  <c r="BV89" i="98"/>
  <c r="BV149" i="98"/>
  <c r="BV21" i="98"/>
  <c r="BV116" i="98"/>
  <c r="BV64" i="98"/>
  <c r="BV102" i="98"/>
  <c r="BV150" i="98"/>
  <c r="BV110" i="98"/>
  <c r="CI110" i="98" s="1"/>
  <c r="BV76" i="98"/>
  <c r="BV79" i="98"/>
  <c r="BV163" i="98"/>
  <c r="BV46" i="98"/>
  <c r="BV56" i="98"/>
  <c r="CI56" i="98" s="1"/>
  <c r="BV128" i="98"/>
  <c r="BV81" i="98"/>
  <c r="BV25" i="98"/>
  <c r="BL66" i="98"/>
  <c r="BL52" i="98"/>
  <c r="BL38" i="98"/>
  <c r="CD38" i="98" s="1"/>
  <c r="BL63" i="98"/>
  <c r="BL60" i="98"/>
  <c r="BL70" i="98"/>
  <c r="BL125" i="98"/>
  <c r="BL111" i="98"/>
  <c r="BL12" i="98"/>
  <c r="CI12" i="98" s="1"/>
  <c r="BL164" i="98"/>
  <c r="BL56" i="98"/>
  <c r="BL48" i="98"/>
  <c r="BL64" i="98"/>
  <c r="BL58" i="98"/>
  <c r="BL77" i="98"/>
  <c r="BL106" i="98"/>
  <c r="CI106" i="98" s="1"/>
  <c r="BL147" i="98"/>
  <c r="BL53" i="98"/>
  <c r="BL161" i="98"/>
  <c r="BL122" i="98"/>
  <c r="BL159" i="98"/>
  <c r="BL31" i="98"/>
  <c r="BL90" i="98"/>
  <c r="BL138" i="98"/>
  <c r="BL135" i="98"/>
  <c r="BL21" i="98"/>
  <c r="BL119" i="98"/>
  <c r="CN119" i="98" s="1"/>
  <c r="BL99" i="98"/>
  <c r="CN99" i="98" s="1"/>
  <c r="BL46" i="98"/>
  <c r="BL105" i="98"/>
  <c r="BL143" i="98"/>
  <c r="BL19" i="98"/>
  <c r="BL29" i="98"/>
  <c r="BL129" i="98"/>
  <c r="BL149" i="98"/>
  <c r="BL96" i="98"/>
  <c r="BL148" i="98"/>
  <c r="BL79" i="98"/>
  <c r="BL7" i="98"/>
  <c r="BL163" i="98"/>
  <c r="CN163" i="98" s="1"/>
  <c r="BL134" i="98"/>
  <c r="BL67" i="98"/>
  <c r="BL84" i="98"/>
  <c r="BL28" i="98"/>
  <c r="BL108" i="98"/>
  <c r="BL36" i="98"/>
  <c r="BL95" i="98"/>
  <c r="BL102" i="98"/>
  <c r="BL26" i="98"/>
  <c r="CD26" i="98" s="1"/>
  <c r="BL83" i="98"/>
  <c r="BL15" i="98"/>
  <c r="CN15" i="98" s="1"/>
  <c r="BL130" i="98"/>
  <c r="BL18" i="98"/>
  <c r="BL150" i="98"/>
  <c r="BL47" i="98"/>
  <c r="BL136" i="98"/>
  <c r="BL152" i="98"/>
  <c r="BL126" i="98"/>
  <c r="BL98" i="98"/>
  <c r="BL114" i="98"/>
  <c r="BL59" i="98"/>
  <c r="CN59" i="98" s="1"/>
  <c r="BL87" i="98"/>
  <c r="BL14" i="98"/>
  <c r="CN14" i="98" s="1"/>
  <c r="BL154" i="98"/>
  <c r="CN154" i="98" s="1"/>
  <c r="BL8" i="98"/>
  <c r="BL107" i="98"/>
  <c r="BL160" i="98"/>
  <c r="CN160" i="98" s="1"/>
  <c r="BL27" i="98"/>
  <c r="BL112" i="98"/>
  <c r="BL23" i="98"/>
  <c r="BL44" i="98"/>
  <c r="BL88" i="98"/>
  <c r="BL132" i="98"/>
  <c r="CN132" i="98" s="1"/>
  <c r="BL74" i="98"/>
  <c r="BL71" i="98"/>
  <c r="CN71" i="98" s="1"/>
  <c r="BL146" i="98"/>
  <c r="CN146" i="98" s="1"/>
  <c r="BL43" i="98"/>
  <c r="BL142" i="98"/>
  <c r="BL62" i="98"/>
  <c r="CN62" i="98" s="1"/>
  <c r="BL34" i="98"/>
  <c r="BL86" i="98"/>
  <c r="CN86" i="98" s="1"/>
  <c r="BL89" i="98"/>
  <c r="BL127" i="98"/>
  <c r="BL82" i="98"/>
  <c r="BL33" i="98"/>
  <c r="BL54" i="98"/>
  <c r="BL5" i="98"/>
  <c r="CD5" i="98" s="1"/>
  <c r="BL101" i="98"/>
  <c r="CD101" i="98" s="1"/>
  <c r="BL116" i="98"/>
  <c r="BL140" i="98"/>
  <c r="BL137" i="98"/>
  <c r="CD137" i="98" s="1"/>
  <c r="BL65" i="98"/>
  <c r="BL51" i="98"/>
  <c r="CD51" i="98" s="1"/>
  <c r="BL92" i="98"/>
  <c r="BL22" i="98"/>
  <c r="BL61" i="98"/>
  <c r="BL11" i="98"/>
  <c r="BL68" i="98"/>
  <c r="BL6" i="98"/>
  <c r="CN6" i="98" s="1"/>
  <c r="BL73" i="98"/>
  <c r="CD73" i="98" s="1"/>
  <c r="BL155" i="98"/>
  <c r="BL9" i="98"/>
  <c r="BL37" i="98"/>
  <c r="BL10" i="98"/>
  <c r="BL42" i="98"/>
  <c r="CD42" i="98" s="1"/>
  <c r="BL123" i="98"/>
  <c r="BL115" i="98"/>
  <c r="BL104" i="98"/>
  <c r="BL120" i="98"/>
  <c r="CD120" i="98" s="1"/>
  <c r="BL49" i="98"/>
  <c r="BL45" i="98"/>
  <c r="CN45" i="98" s="1"/>
  <c r="BL144" i="98"/>
  <c r="BL35" i="98"/>
  <c r="BL103" i="98"/>
  <c r="BL128" i="98"/>
  <c r="BL41" i="98"/>
  <c r="BL109" i="98"/>
  <c r="BL156" i="98"/>
  <c r="BL121" i="98"/>
  <c r="BL16" i="98"/>
  <c r="BL80" i="98"/>
  <c r="CD80" i="98" s="1"/>
  <c r="BL75" i="98"/>
  <c r="BL32" i="98"/>
  <c r="CI32" i="98" s="1"/>
  <c r="BL139" i="98"/>
  <c r="BL117" i="98"/>
  <c r="BL97" i="98"/>
  <c r="BL13" i="98"/>
  <c r="BL24" i="98"/>
  <c r="BL118" i="98"/>
  <c r="BL94" i="98"/>
  <c r="BL25" i="98"/>
  <c r="BL40" i="98"/>
  <c r="BL93" i="98"/>
  <c r="BL162" i="98"/>
  <c r="BL69" i="98"/>
  <c r="BL81" i="98"/>
  <c r="BL141" i="98"/>
  <c r="BL20" i="98"/>
  <c r="BL110" i="98"/>
  <c r="BL157" i="98"/>
  <c r="BL153" i="98"/>
  <c r="CD153" i="98" s="1"/>
  <c r="BL72" i="98"/>
  <c r="CN72" i="98" s="1"/>
  <c r="BL57" i="98"/>
  <c r="BL76" i="98"/>
  <c r="BL17" i="98"/>
  <c r="CN17" i="98" s="1"/>
  <c r="BL39" i="98"/>
  <c r="BL145" i="98"/>
  <c r="BL85" i="98"/>
  <c r="CD85" i="98" s="1"/>
  <c r="BL131" i="98"/>
  <c r="BL78" i="98"/>
  <c r="BL55" i="98"/>
  <c r="BL158" i="98"/>
  <c r="BL100" i="98"/>
  <c r="BL91" i="98"/>
  <c r="CD91" i="98" s="1"/>
  <c r="BL133" i="98"/>
  <c r="BL50" i="98"/>
  <c r="BL113" i="98"/>
  <c r="CI113" i="98" s="1"/>
  <c r="BL124" i="98"/>
  <c r="BL30" i="98"/>
  <c r="BL151" i="98"/>
  <c r="CR15" i="98"/>
  <c r="CL88" i="98"/>
  <c r="CL24" i="98"/>
  <c r="CH148" i="98"/>
  <c r="CL145" i="98"/>
  <c r="CP118" i="98"/>
  <c r="CQ33" i="98"/>
  <c r="CR115" i="98"/>
  <c r="CH75" i="98"/>
  <c r="CK116" i="98"/>
  <c r="CR102" i="98"/>
  <c r="CP128" i="98"/>
  <c r="CH66" i="98"/>
  <c r="CG37" i="98"/>
  <c r="CM78" i="98"/>
  <c r="CM90" i="98"/>
  <c r="CH15" i="98"/>
  <c r="CL136" i="98"/>
  <c r="CG78" i="98"/>
  <c r="CQ153" i="98"/>
  <c r="CQ136" i="98"/>
  <c r="CJ49" i="98"/>
  <c r="CK153" i="98"/>
  <c r="CF19" i="98"/>
  <c r="CG127" i="98"/>
  <c r="CK91" i="98"/>
  <c r="CP40" i="98"/>
  <c r="CQ67" i="98"/>
  <c r="CO75" i="98"/>
  <c r="CR67" i="98"/>
  <c r="CH78" i="98"/>
  <c r="CR122" i="98"/>
  <c r="CL53" i="98"/>
  <c r="CQ78" i="98"/>
  <c r="CL89" i="98"/>
  <c r="CF128" i="98"/>
  <c r="CK110" i="98"/>
  <c r="CP24" i="98"/>
  <c r="CM83" i="98"/>
  <c r="CR155" i="98"/>
  <c r="CH44" i="98"/>
  <c r="CH115" i="98"/>
  <c r="CQ81" i="98"/>
  <c r="CL37" i="98"/>
  <c r="CL87" i="98"/>
  <c r="CG136" i="98"/>
  <c r="CG153" i="98"/>
  <c r="CF91" i="98"/>
  <c r="CH67" i="98"/>
  <c r="CK128" i="98"/>
  <c r="CE116" i="98"/>
  <c r="CP143" i="98"/>
  <c r="CP148" i="98"/>
  <c r="CR78" i="98"/>
  <c r="CN12" i="98"/>
  <c r="CQ24" i="98"/>
  <c r="CE49" i="98"/>
  <c r="CL121" i="98"/>
  <c r="CP13" i="98"/>
  <c r="CP151" i="98"/>
  <c r="CP115" i="98"/>
  <c r="CM158" i="98"/>
  <c r="CH8" i="98"/>
  <c r="CR107" i="98"/>
  <c r="CH59" i="98"/>
  <c r="CK87" i="98"/>
  <c r="CK22" i="98"/>
  <c r="CR61" i="98"/>
  <c r="CF35" i="98"/>
  <c r="CM61" i="98"/>
  <c r="CP43" i="98"/>
  <c r="CP129" i="98"/>
  <c r="CF151" i="98"/>
  <c r="CM59" i="98"/>
  <c r="CH100" i="98"/>
  <c r="CO49" i="98"/>
  <c r="CM107" i="98"/>
  <c r="CQ93" i="98"/>
  <c r="CP35" i="98"/>
  <c r="CH61" i="98"/>
  <c r="CG67" i="98"/>
  <c r="CK151" i="98"/>
  <c r="CR100" i="98"/>
  <c r="CM8" i="98"/>
  <c r="CK115" i="98"/>
  <c r="CR158" i="98"/>
  <c r="CL67" i="98"/>
  <c r="CF13" i="98"/>
  <c r="CG81" i="98"/>
  <c r="CG87" i="98"/>
  <c r="CG12" i="98"/>
  <c r="CG80" i="98"/>
  <c r="CQ127" i="98"/>
  <c r="CP159" i="98"/>
  <c r="CP91" i="98"/>
  <c r="CH90" i="98"/>
  <c r="CM140" i="98"/>
  <c r="CL78" i="98"/>
  <c r="CQ121" i="98"/>
  <c r="CQ77" i="98"/>
  <c r="CL81" i="98"/>
  <c r="CK159" i="98"/>
  <c r="CQ82" i="98"/>
  <c r="CL86" i="98"/>
  <c r="CG121" i="98"/>
  <c r="CM122" i="98"/>
  <c r="CK109" i="98"/>
  <c r="CP85" i="98"/>
  <c r="CF110" i="98"/>
  <c r="CL82" i="98"/>
  <c r="CR90" i="98"/>
  <c r="CQ86" i="98"/>
  <c r="CG137" i="98"/>
  <c r="CL153" i="98"/>
  <c r="CO18" i="98"/>
  <c r="CG89" i="98"/>
  <c r="CP110" i="98"/>
  <c r="CR140" i="98"/>
  <c r="CL77" i="98"/>
  <c r="CG82" i="98"/>
  <c r="CG86" i="98"/>
  <c r="CQ50" i="98"/>
  <c r="CF114" i="98"/>
  <c r="CF155" i="98"/>
  <c r="CK114" i="98"/>
  <c r="CJ18" i="98"/>
  <c r="CQ89" i="98"/>
  <c r="CP15" i="98"/>
  <c r="CQ11" i="98"/>
  <c r="CE13" i="98"/>
  <c r="CH140" i="98"/>
  <c r="CG77" i="98"/>
  <c r="CF159" i="98"/>
  <c r="CL127" i="98"/>
  <c r="CG50" i="98"/>
  <c r="CG29" i="98"/>
  <c r="CI161" i="98"/>
  <c r="CM103" i="98"/>
  <c r="CQ134" i="98"/>
  <c r="CR95" i="98"/>
  <c r="CI121" i="98"/>
  <c r="CJ26" i="98"/>
  <c r="CJ6" i="98"/>
  <c r="CM143" i="98"/>
  <c r="CJ43" i="98"/>
  <c r="CL130" i="98"/>
  <c r="CG33" i="98"/>
  <c r="CJ132" i="98"/>
  <c r="CJ148" i="98"/>
  <c r="CR124" i="98"/>
  <c r="CO132" i="98"/>
  <c r="CE16" i="98"/>
  <c r="CL115" i="98"/>
  <c r="CQ147" i="98"/>
  <c r="CP103" i="98"/>
  <c r="CK74" i="98"/>
  <c r="CH79" i="98"/>
  <c r="CJ40" i="98"/>
  <c r="CH112" i="98"/>
  <c r="CH76" i="98"/>
  <c r="CH122" i="98"/>
  <c r="CI79" i="98"/>
  <c r="CJ108" i="98"/>
  <c r="CK15" i="98"/>
  <c r="CF15" i="98"/>
  <c r="CP146" i="98"/>
  <c r="CF146" i="98"/>
  <c r="CK155" i="98"/>
  <c r="CP155" i="98"/>
  <c r="CE132" i="98"/>
  <c r="CE93" i="98"/>
  <c r="CO43" i="98"/>
  <c r="CE43" i="98"/>
  <c r="CP50" i="98"/>
  <c r="CJ93" i="98"/>
  <c r="CF40" i="98"/>
  <c r="CM113" i="98"/>
  <c r="CO64" i="98"/>
  <c r="CK40" i="98"/>
  <c r="CO93" i="98"/>
  <c r="CM115" i="98"/>
  <c r="CQ130" i="98"/>
  <c r="CG24" i="98"/>
  <c r="CL50" i="98"/>
  <c r="CM100" i="98"/>
  <c r="AL28" i="101"/>
  <c r="CP25" i="98"/>
  <c r="CK55" i="98"/>
  <c r="CM63" i="98"/>
  <c r="CR57" i="98"/>
  <c r="CR88" i="98"/>
  <c r="CL104" i="98"/>
  <c r="CG144" i="98"/>
  <c r="CL27" i="98"/>
  <c r="CQ39" i="98"/>
  <c r="CL147" i="98"/>
  <c r="CP37" i="98"/>
  <c r="CF26" i="98"/>
  <c r="CK103" i="98"/>
  <c r="CK90" i="98"/>
  <c r="CF120" i="98"/>
  <c r="CH109" i="98"/>
  <c r="CM131" i="98"/>
  <c r="CL43" i="98"/>
  <c r="AL134" i="101"/>
  <c r="CL163" i="98"/>
  <c r="CO42" i="98"/>
  <c r="CF143" i="98"/>
  <c r="CD121" i="98"/>
  <c r="CI70" i="98"/>
  <c r="CI54" i="98"/>
  <c r="CL99" i="98"/>
  <c r="CR131" i="98"/>
  <c r="CH57" i="98"/>
  <c r="CN42" i="98"/>
  <c r="CI8" i="98"/>
  <c r="CK19" i="98"/>
  <c r="CP59" i="98"/>
  <c r="CI102" i="98"/>
  <c r="AL41" i="101"/>
  <c r="CI157" i="98"/>
  <c r="CI86" i="98"/>
  <c r="CI9" i="98"/>
  <c r="AL88" i="101"/>
  <c r="CJ16" i="98"/>
  <c r="CJ96" i="98"/>
  <c r="CR117" i="98"/>
  <c r="CH23" i="98"/>
  <c r="CG163" i="98"/>
  <c r="CG124" i="98"/>
  <c r="CG147" i="98"/>
  <c r="CL21" i="98"/>
  <c r="CF37" i="98"/>
  <c r="CP81" i="98"/>
  <c r="CM163" i="98"/>
  <c r="CD114" i="98"/>
  <c r="CI95" i="98"/>
  <c r="CQ29" i="98"/>
  <c r="CF126" i="98"/>
  <c r="CP126" i="98"/>
  <c r="CK126" i="98"/>
  <c r="CF98" i="98"/>
  <c r="CP98" i="98"/>
  <c r="CE55" i="98"/>
  <c r="CG22" i="98"/>
  <c r="CL46" i="98"/>
  <c r="CG46" i="98"/>
  <c r="CG39" i="98"/>
  <c r="CL39" i="98"/>
  <c r="CP31" i="98"/>
  <c r="CK26" i="98"/>
  <c r="CK101" i="98"/>
  <c r="CP120" i="98"/>
  <c r="CF137" i="98"/>
  <c r="CP137" i="98"/>
  <c r="CK137" i="98"/>
  <c r="CR79" i="98"/>
  <c r="CM24" i="98"/>
  <c r="CH7" i="98"/>
  <c r="CR7" i="98"/>
  <c r="CM127" i="98"/>
  <c r="CM109" i="98"/>
  <c r="CH154" i="98"/>
  <c r="CR154" i="98"/>
  <c r="CH131" i="98"/>
  <c r="CQ132" i="98"/>
  <c r="CL132" i="98"/>
  <c r="CG132" i="98"/>
  <c r="CQ124" i="98"/>
  <c r="CL124" i="98"/>
  <c r="CG21" i="98"/>
  <c r="CQ21" i="98"/>
  <c r="CG43" i="98"/>
  <c r="CQ43" i="98"/>
  <c r="CI25" i="98"/>
  <c r="CN76" i="98"/>
  <c r="CD76" i="98"/>
  <c r="CE6" i="98"/>
  <c r="CP124" i="98"/>
  <c r="CF124" i="98"/>
  <c r="CK124" i="98"/>
  <c r="CF22" i="98"/>
  <c r="CO25" i="98"/>
  <c r="CH21" i="98"/>
  <c r="CR21" i="98"/>
  <c r="CM21" i="98"/>
  <c r="CM57" i="98"/>
  <c r="CH119" i="98"/>
  <c r="CR119" i="98"/>
  <c r="CH88" i="98"/>
  <c r="CM49" i="98"/>
  <c r="CR49" i="98"/>
  <c r="CR52" i="98"/>
  <c r="CH52" i="98"/>
  <c r="CM52" i="98"/>
  <c r="CL59" i="98"/>
  <c r="CQ59" i="98"/>
  <c r="CQ99" i="98"/>
  <c r="CG99" i="98"/>
  <c r="CQ114" i="98"/>
  <c r="CG114" i="98"/>
  <c r="CG115" i="98"/>
  <c r="CO161" i="98"/>
  <c r="CO96" i="98"/>
  <c r="CF118" i="98"/>
  <c r="CR109" i="98"/>
  <c r="CM135" i="98"/>
  <c r="CQ45" i="98"/>
  <c r="CP22" i="98"/>
  <c r="CM154" i="98"/>
  <c r="AL122" i="101"/>
  <c r="CN121" i="98"/>
  <c r="CK143" i="98"/>
  <c r="CO61" i="98"/>
  <c r="CE61" i="98"/>
  <c r="CO16" i="98"/>
  <c r="CR113" i="98"/>
  <c r="CH113" i="98"/>
  <c r="CR72" i="98"/>
  <c r="CH72" i="98"/>
  <c r="CM72" i="98"/>
  <c r="CH143" i="98"/>
  <c r="CR143" i="98"/>
  <c r="CR35" i="98"/>
  <c r="CM35" i="98"/>
  <c r="CM19" i="98"/>
  <c r="CH19" i="98"/>
  <c r="CR19" i="98"/>
  <c r="CM96" i="98"/>
  <c r="CR96" i="98"/>
  <c r="CH96" i="98"/>
  <c r="CQ69" i="98"/>
  <c r="CG69" i="98"/>
  <c r="CG104" i="98"/>
  <c r="CL5" i="98"/>
  <c r="CG5" i="98"/>
  <c r="CQ5" i="98"/>
  <c r="CL19" i="98"/>
  <c r="CQ19" i="98"/>
  <c r="CE42" i="98"/>
  <c r="CJ161" i="98"/>
  <c r="CF103" i="98"/>
  <c r="CG27" i="98"/>
  <c r="CE113" i="98"/>
  <c r="CQ115" i="98"/>
  <c r="CP46" i="98"/>
  <c r="CG19" i="98"/>
  <c r="CI76" i="98"/>
  <c r="CL69" i="98"/>
  <c r="CM7" i="98"/>
  <c r="CH35" i="98"/>
  <c r="CM119" i="98"/>
  <c r="CK59" i="98"/>
  <c r="CF59" i="98"/>
  <c r="CE161" i="98"/>
  <c r="CK118" i="98"/>
  <c r="CP19" i="98"/>
  <c r="CJ61" i="98"/>
  <c r="CO41" i="98"/>
  <c r="CL114" i="98"/>
  <c r="CG59" i="98"/>
  <c r="CN134" i="98"/>
  <c r="CN84" i="98"/>
  <c r="CP153" i="98"/>
  <c r="CF153" i="98"/>
  <c r="CF148" i="98"/>
  <c r="CK148" i="98"/>
  <c r="CH135" i="98"/>
  <c r="CR135" i="98"/>
  <c r="CP26" i="98"/>
  <c r="CQ163" i="98"/>
  <c r="CM88" i="98"/>
  <c r="CQ104" i="98"/>
  <c r="CH49" i="98"/>
  <c r="CK98" i="98"/>
  <c r="CK120" i="98"/>
  <c r="CI111" i="98"/>
  <c r="AL21" i="101"/>
  <c r="CN155" i="98"/>
  <c r="CP32" i="98"/>
  <c r="CE135" i="98"/>
  <c r="CD9" i="98"/>
  <c r="AL143" i="101"/>
  <c r="CD115" i="98"/>
  <c r="CO160" i="98"/>
  <c r="CE96" i="98"/>
  <c r="CJ42" i="98"/>
  <c r="CJ69" i="98"/>
  <c r="CO83" i="98"/>
  <c r="CM23" i="98"/>
  <c r="CH141" i="98"/>
  <c r="AL160" i="101"/>
  <c r="CD159" i="98"/>
  <c r="CN157" i="98"/>
  <c r="AL158" i="101"/>
  <c r="CD157" i="98"/>
  <c r="CD54" i="98"/>
  <c r="CN48" i="98"/>
  <c r="CO89" i="98"/>
  <c r="CD39" i="98"/>
  <c r="AL112" i="101"/>
  <c r="CJ41" i="98"/>
  <c r="CD75" i="98"/>
  <c r="CE41" i="98"/>
  <c r="CN70" i="98"/>
  <c r="CD95" i="98"/>
  <c r="CN95" i="98"/>
  <c r="AL14" i="101"/>
  <c r="CE32" i="98"/>
  <c r="CO32" i="98"/>
  <c r="CD149" i="98"/>
  <c r="CK129" i="98"/>
  <c r="CF129" i="98"/>
  <c r="CK81" i="98"/>
  <c r="CF81" i="98"/>
  <c r="CF75" i="98"/>
  <c r="CK75" i="98"/>
  <c r="CP161" i="98"/>
  <c r="CK154" i="98"/>
  <c r="CP154" i="98"/>
  <c r="CK37" i="98"/>
  <c r="CE139" i="98"/>
  <c r="CO139" i="98"/>
  <c r="CJ139" i="98"/>
  <c r="CJ75" i="98"/>
  <c r="CE75" i="98"/>
  <c r="CE57" i="98"/>
  <c r="CJ116" i="98"/>
  <c r="CO116" i="98"/>
  <c r="CE47" i="98"/>
  <c r="CD126" i="98"/>
  <c r="CD78" i="98"/>
  <c r="CI141" i="98"/>
  <c r="CN141" i="98"/>
  <c r="CJ160" i="98"/>
  <c r="CE160" i="98"/>
  <c r="CJ89" i="98"/>
  <c r="CE89" i="98"/>
  <c r="CF154" i="98"/>
  <c r="CP75" i="98"/>
  <c r="CJ32" i="98"/>
  <c r="CR23" i="98"/>
  <c r="CE117" i="98"/>
  <c r="CR141" i="98"/>
  <c r="CI155" i="98"/>
  <c r="CJ47" i="98"/>
  <c r="CJ126" i="98"/>
  <c r="CF115" i="98"/>
  <c r="CP67" i="98"/>
  <c r="CN79" i="98"/>
  <c r="CK7" i="98"/>
  <c r="CJ117" i="98"/>
  <c r="CL12" i="98"/>
  <c r="CL11" i="98"/>
  <c r="CL80" i="98"/>
  <c r="CJ25" i="98"/>
  <c r="CE25" i="98"/>
  <c r="CO117" i="98"/>
  <c r="CP11" i="98"/>
  <c r="CK117" i="98"/>
  <c r="CK35" i="98"/>
  <c r="CR66" i="98"/>
  <c r="CR106" i="98"/>
  <c r="AL57" i="101"/>
  <c r="CD56" i="98"/>
  <c r="CN54" i="98"/>
  <c r="CI48" i="98"/>
  <c r="CD12" i="98"/>
  <c r="CO133" i="98"/>
  <c r="CJ142" i="98"/>
  <c r="CO142" i="98"/>
  <c r="CE142" i="98"/>
  <c r="CF145" i="98"/>
  <c r="CP145" i="98"/>
  <c r="CK145" i="98"/>
  <c r="CK32" i="98"/>
  <c r="CF32" i="98"/>
  <c r="CF109" i="98"/>
  <c r="CK16" i="98"/>
  <c r="CK57" i="98"/>
  <c r="CP57" i="98"/>
  <c r="CF57" i="98"/>
  <c r="CK123" i="98"/>
  <c r="CF123" i="98"/>
  <c r="CP123" i="98"/>
  <c r="CO123" i="98"/>
  <c r="CE123" i="98"/>
  <c r="CO24" i="98"/>
  <c r="CJ24" i="98"/>
  <c r="CE24" i="98"/>
  <c r="CO158" i="98"/>
  <c r="CO53" i="98"/>
  <c r="CE53" i="98"/>
  <c r="CJ53" i="98"/>
  <c r="CJ135" i="98"/>
  <c r="CO135" i="98"/>
  <c r="CE35" i="98"/>
  <c r="CO137" i="98"/>
  <c r="CE137" i="98"/>
  <c r="CJ137" i="98"/>
  <c r="CJ30" i="98"/>
  <c r="CJ37" i="98"/>
  <c r="CE37" i="98"/>
  <c r="CO37" i="98"/>
  <c r="CM41" i="98"/>
  <c r="CR41" i="98"/>
  <c r="CM11" i="98"/>
  <c r="CR11" i="98"/>
  <c r="CH11" i="98"/>
  <c r="CM129" i="98"/>
  <c r="CH133" i="98"/>
  <c r="CM124" i="98"/>
  <c r="CH124" i="98"/>
  <c r="CR42" i="98"/>
  <c r="CH42" i="98"/>
  <c r="CM42" i="98"/>
  <c r="CR63" i="98"/>
  <c r="CH63" i="98"/>
  <c r="CH103" i="98"/>
  <c r="CR103" i="98"/>
  <c r="CR29" i="98"/>
  <c r="CM114" i="98"/>
  <c r="CR163" i="98"/>
  <c r="CM91" i="98"/>
  <c r="CH91" i="98"/>
  <c r="CR91" i="98"/>
  <c r="CH53" i="98"/>
  <c r="CR53" i="98"/>
  <c r="CM53" i="98"/>
  <c r="CM9" i="98"/>
  <c r="CH9" i="98"/>
  <c r="CR9" i="98"/>
  <c r="CG103" i="98"/>
  <c r="CQ90" i="98"/>
  <c r="CG65" i="98"/>
  <c r="CQ65" i="98"/>
  <c r="CL65" i="98"/>
  <c r="CG111" i="98"/>
  <c r="CQ111" i="98"/>
  <c r="CL103" i="98"/>
  <c r="CP109" i="98"/>
  <c r="CG138" i="98"/>
  <c r="CH114" i="98"/>
  <c r="CO95" i="98"/>
  <c r="CO86" i="98"/>
  <c r="CO148" i="98"/>
  <c r="CF152" i="98"/>
  <c r="CK152" i="98"/>
  <c r="CP152" i="98"/>
  <c r="CK121" i="98"/>
  <c r="CP54" i="98"/>
  <c r="CP116" i="98"/>
  <c r="CF116" i="98"/>
  <c r="CO149" i="98"/>
  <c r="CE149" i="98"/>
  <c r="CO84" i="98"/>
  <c r="CE108" i="98"/>
  <c r="CO108" i="98"/>
  <c r="CO150" i="98"/>
  <c r="CJ150" i="98"/>
  <c r="CE150" i="98"/>
  <c r="CE163" i="98"/>
  <c r="CJ163" i="98"/>
  <c r="CO163" i="98"/>
  <c r="CE105" i="98"/>
  <c r="CR37" i="98"/>
  <c r="CM37" i="98"/>
  <c r="CH37" i="98"/>
  <c r="CM117" i="98"/>
  <c r="CH117" i="98"/>
  <c r="CM95" i="98"/>
  <c r="CM160" i="98"/>
  <c r="CH160" i="98"/>
  <c r="CR160" i="98"/>
  <c r="CR68" i="98"/>
  <c r="CM68" i="98"/>
  <c r="CH68" i="98"/>
  <c r="CR149" i="98"/>
  <c r="CH149" i="98"/>
  <c r="CM149" i="98"/>
  <c r="CH32" i="98"/>
  <c r="CM32" i="98"/>
  <c r="CR32" i="98"/>
  <c r="CH136" i="98"/>
  <c r="CM136" i="98"/>
  <c r="CG149" i="98"/>
  <c r="CG40" i="98"/>
  <c r="CQ40" i="98"/>
  <c r="CL40" i="98"/>
  <c r="CL134" i="98"/>
  <c r="CG134" i="98"/>
  <c r="CQ146" i="98"/>
  <c r="CL146" i="98"/>
  <c r="CG146" i="98"/>
  <c r="CQ25" i="98"/>
  <c r="CL25" i="98"/>
  <c r="CG25" i="98"/>
  <c r="CQ155" i="98"/>
  <c r="CL155" i="98"/>
  <c r="CG155" i="98"/>
  <c r="CQ103" i="98"/>
  <c r="CH163" i="98"/>
  <c r="CR114" i="98"/>
  <c r="CH95" i="98"/>
  <c r="CE148" i="98"/>
  <c r="CJ123" i="98"/>
  <c r="CR136" i="98"/>
  <c r="CL111" i="98"/>
  <c r="CQ117" i="98"/>
  <c r="CL117" i="98"/>
  <c r="CL74" i="98"/>
  <c r="CG74" i="98"/>
  <c r="CQ10" i="98"/>
  <c r="CL10" i="98"/>
  <c r="CG10" i="98"/>
  <c r="CQ6" i="98"/>
  <c r="CG6" i="98"/>
  <c r="CQ70" i="98"/>
  <c r="CL70" i="98"/>
  <c r="CP93" i="98"/>
  <c r="CK93" i="98"/>
  <c r="CF93" i="98"/>
  <c r="CK106" i="98"/>
  <c r="CP106" i="98"/>
  <c r="CF106" i="98"/>
  <c r="CK157" i="98"/>
  <c r="CF157" i="98"/>
  <c r="CP157" i="98"/>
  <c r="CF90" i="98"/>
  <c r="CP42" i="98"/>
  <c r="CK100" i="98"/>
  <c r="CF100" i="98"/>
  <c r="CP100" i="98"/>
  <c r="CP38" i="98"/>
  <c r="CF38" i="98"/>
  <c r="CK38" i="98"/>
  <c r="CP41" i="98"/>
  <c r="CF41" i="98"/>
  <c r="CK41" i="98"/>
  <c r="CK71" i="98"/>
  <c r="CF71" i="98"/>
  <c r="CP82" i="98"/>
  <c r="CF82" i="98"/>
  <c r="CK24" i="98"/>
  <c r="CF24" i="98"/>
  <c r="CK25" i="98"/>
  <c r="CF25" i="98"/>
  <c r="CR83" i="98"/>
  <c r="CM76" i="98"/>
  <c r="CR76" i="98"/>
  <c r="CR112" i="98"/>
  <c r="CM112" i="98"/>
  <c r="CH155" i="98"/>
  <c r="CM77" i="98"/>
  <c r="CM44" i="98"/>
  <c r="CR44" i="98"/>
  <c r="CL57" i="98"/>
  <c r="CQ57" i="98"/>
  <c r="CG102" i="98"/>
  <c r="CQ102" i="98"/>
  <c r="CL102" i="98"/>
  <c r="CQ91" i="98"/>
  <c r="CL30" i="98"/>
  <c r="CQ30" i="98"/>
  <c r="CG30" i="98"/>
  <c r="CL144" i="98"/>
  <c r="CQ144" i="98"/>
  <c r="CL158" i="98"/>
  <c r="CG11" i="98"/>
  <c r="CQ80" i="98"/>
  <c r="CP90" i="98"/>
  <c r="CQ74" i="98"/>
  <c r="CQ138" i="98"/>
  <c r="CQ12" i="98"/>
  <c r="CM66" i="98"/>
  <c r="CP71" i="98"/>
  <c r="CM155" i="98"/>
  <c r="CH83" i="98"/>
  <c r="CG117" i="98"/>
  <c r="CL6" i="98"/>
  <c r="CO47" i="98"/>
  <c r="CE126" i="98"/>
  <c r="CO126" i="98"/>
  <c r="CP114" i="98"/>
  <c r="CF42" i="98"/>
  <c r="CF20" i="98"/>
  <c r="CD48" i="98"/>
  <c r="CD83" i="98"/>
  <c r="CN75" i="98"/>
  <c r="CD34" i="98"/>
  <c r="CN22" i="98"/>
  <c r="CI114" i="98"/>
  <c r="CN26" i="98"/>
  <c r="CN25" i="98"/>
  <c r="CI34" i="98"/>
  <c r="CD141" i="98"/>
  <c r="CN21" i="98"/>
  <c r="CI21" i="98"/>
  <c r="CD21" i="98"/>
  <c r="CD135" i="98"/>
  <c r="CI138" i="98"/>
  <c r="CD138" i="98"/>
  <c r="CN138" i="98"/>
  <c r="CN31" i="98"/>
  <c r="CI31" i="98"/>
  <c r="CD31" i="98"/>
  <c r="CN159" i="98"/>
  <c r="CI159" i="98"/>
  <c r="CD122" i="98"/>
  <c r="CN161" i="98"/>
  <c r="CN53" i="98"/>
  <c r="CD111" i="98"/>
  <c r="CN111" i="98"/>
  <c r="CD70" i="98"/>
  <c r="CE19" i="98"/>
  <c r="CO19" i="98"/>
  <c r="CJ19" i="98"/>
  <c r="CE68" i="98"/>
  <c r="CO68" i="98"/>
  <c r="CJ68" i="98"/>
  <c r="CE79" i="98"/>
  <c r="CJ128" i="98"/>
  <c r="CO128" i="98"/>
  <c r="CE128" i="98"/>
  <c r="CO69" i="98"/>
  <c r="CE69" i="98"/>
  <c r="CO109" i="98"/>
  <c r="CE109" i="98"/>
  <c r="CJ109" i="98"/>
  <c r="CO105" i="98"/>
  <c r="CO153" i="98"/>
  <c r="CE153" i="98"/>
  <c r="CJ153" i="98"/>
  <c r="CO101" i="98"/>
  <c r="CJ101" i="98"/>
  <c r="CE101" i="98"/>
  <c r="CR92" i="98"/>
  <c r="CM92" i="98"/>
  <c r="CH92" i="98"/>
  <c r="CM150" i="98"/>
  <c r="CR150" i="98"/>
  <c r="CH150" i="98"/>
  <c r="CM29" i="98"/>
  <c r="CH29" i="98"/>
  <c r="CM13" i="98"/>
  <c r="CH13" i="98"/>
  <c r="CR13" i="98"/>
  <c r="CM110" i="98"/>
  <c r="CH110" i="98"/>
  <c r="CR110" i="98"/>
  <c r="CR153" i="98"/>
  <c r="CH153" i="98"/>
  <c r="CM153" i="98"/>
  <c r="CK20" i="98"/>
  <c r="CP20" i="98"/>
  <c r="CF86" i="98"/>
  <c r="CP86" i="98"/>
  <c r="CK86" i="98"/>
  <c r="CK11" i="98"/>
  <c r="CF11" i="98"/>
  <c r="CP132" i="98"/>
  <c r="CF132" i="98"/>
  <c r="CK132" i="98"/>
  <c r="CK158" i="98"/>
  <c r="CP158" i="98"/>
  <c r="CF158" i="98"/>
  <c r="CP79" i="98"/>
  <c r="CK79" i="98"/>
  <c r="CF79" i="98"/>
  <c r="CP87" i="98"/>
  <c r="CF87" i="98"/>
  <c r="CK66" i="98"/>
  <c r="CP66" i="98"/>
  <c r="CF66" i="98"/>
  <c r="CG75" i="98"/>
  <c r="CQ75" i="98"/>
  <c r="CL75" i="98"/>
  <c r="CQ72" i="98"/>
  <c r="CL72" i="98"/>
  <c r="CG72" i="98"/>
  <c r="CL9" i="98"/>
  <c r="CG56" i="98"/>
  <c r="CL56" i="98"/>
  <c r="CQ56" i="98"/>
  <c r="CQ101" i="98"/>
  <c r="CG101" i="98"/>
  <c r="CL101" i="98"/>
  <c r="CL41" i="98"/>
  <c r="CQ41" i="98"/>
  <c r="CG41" i="98"/>
  <c r="CQ158" i="98"/>
  <c r="CG108" i="98"/>
  <c r="CL108" i="98"/>
  <c r="CQ108" i="98"/>
  <c r="CD22" i="98"/>
  <c r="CI82" i="98"/>
  <c r="CN8" i="98"/>
  <c r="CN115" i="98"/>
  <c r="CD155" i="98"/>
  <c r="CI89" i="98"/>
  <c r="CI149" i="98"/>
  <c r="CN89" i="98"/>
  <c r="CN37" i="98"/>
  <c r="CN56" i="98"/>
  <c r="CJ105" i="98"/>
  <c r="CE83" i="98"/>
  <c r="CI136" i="98"/>
  <c r="CI80" i="98"/>
  <c r="CD117" i="98"/>
  <c r="CI117" i="98"/>
  <c r="CN117" i="98"/>
  <c r="CN16" i="98"/>
  <c r="CI16" i="98"/>
  <c r="CD16" i="98"/>
  <c r="CI39" i="98"/>
  <c r="CN94" i="98"/>
  <c r="CI94" i="98"/>
  <c r="CD94" i="98"/>
  <c r="CD40" i="98"/>
  <c r="CN40" i="98"/>
  <c r="CI40" i="98"/>
  <c r="CD17" i="98"/>
  <c r="CN118" i="98"/>
  <c r="CI118" i="98"/>
  <c r="CD118" i="98"/>
  <c r="CI162" i="98"/>
  <c r="CN162" i="98"/>
  <c r="CD162" i="98"/>
  <c r="CD25" i="98"/>
  <c r="CN109" i="98"/>
  <c r="CI109" i="98"/>
  <c r="CD109" i="98"/>
  <c r="CN24" i="98"/>
  <c r="CI24" i="98"/>
  <c r="CD24" i="98"/>
  <c r="CN124" i="98"/>
  <c r="CD124" i="98"/>
  <c r="CI124" i="98"/>
  <c r="CE115" i="98"/>
  <c r="CJ115" i="98"/>
  <c r="CO115" i="98"/>
  <c r="CO127" i="98"/>
  <c r="CJ127" i="98"/>
  <c r="CE127" i="98"/>
  <c r="CO98" i="98"/>
  <c r="CJ98" i="98"/>
  <c r="CE98" i="98"/>
  <c r="CO125" i="98"/>
  <c r="CJ125" i="98"/>
  <c r="CE125" i="98"/>
  <c r="CJ162" i="98"/>
  <c r="CO50" i="98"/>
  <c r="CE50" i="98"/>
  <c r="CJ50" i="98"/>
  <c r="CE8" i="98"/>
  <c r="CO8" i="98"/>
  <c r="CJ8" i="98"/>
  <c r="CE114" i="98"/>
  <c r="CO114" i="98"/>
  <c r="CJ114" i="98"/>
  <c r="CE92" i="98"/>
  <c r="CO92" i="98"/>
  <c r="CJ92" i="98"/>
  <c r="CH41" i="98"/>
  <c r="CR99" i="98"/>
  <c r="CM99" i="98"/>
  <c r="CH99" i="98"/>
  <c r="CH105" i="98"/>
  <c r="CM105" i="98"/>
  <c r="CR105" i="98"/>
  <c r="CM145" i="98"/>
  <c r="CH145" i="98"/>
  <c r="CR145" i="98"/>
  <c r="CF46" i="98"/>
  <c r="CK46" i="98"/>
  <c r="CF102" i="98"/>
  <c r="CK102" i="98"/>
  <c r="CP102" i="98"/>
  <c r="CP162" i="98"/>
  <c r="CK162" i="98"/>
  <c r="CF162" i="98"/>
  <c r="CP51" i="98"/>
  <c r="CF51" i="98"/>
  <c r="CK51" i="98"/>
  <c r="CK61" i="98"/>
  <c r="CF61" i="98"/>
  <c r="CP61" i="98"/>
  <c r="CF9" i="98"/>
  <c r="CP21" i="98"/>
  <c r="CF21" i="98"/>
  <c r="CK21" i="98"/>
  <c r="CF131" i="98"/>
  <c r="CP131" i="98"/>
  <c r="CK131" i="98"/>
  <c r="CG141" i="98"/>
  <c r="CL141" i="98"/>
  <c r="CQ141" i="98"/>
  <c r="CQ139" i="98"/>
  <c r="CG139" i="98"/>
  <c r="CL139" i="98"/>
  <c r="CL149" i="98"/>
  <c r="CQ149" i="98"/>
  <c r="CQ123" i="98"/>
  <c r="CL123" i="98"/>
  <c r="CG123" i="98"/>
  <c r="CL23" i="98"/>
  <c r="CQ23" i="98"/>
  <c r="CG23" i="98"/>
  <c r="CL71" i="98"/>
  <c r="CG71" i="98"/>
  <c r="CQ71" i="98"/>
  <c r="CN68" i="98"/>
  <c r="CI137" i="98"/>
  <c r="CN137" i="98"/>
  <c r="CI140" i="98"/>
  <c r="CN140" i="98"/>
  <c r="CD140" i="98"/>
  <c r="CN116" i="98"/>
  <c r="CD116" i="98"/>
  <c r="CI116" i="98"/>
  <c r="CJ156" i="98"/>
  <c r="CE156" i="98"/>
  <c r="CO156" i="98"/>
  <c r="CJ149" i="98"/>
  <c r="CO106" i="98"/>
  <c r="CE106" i="98"/>
  <c r="CJ106" i="98"/>
  <c r="CJ154" i="98"/>
  <c r="CO154" i="98"/>
  <c r="CE154" i="98"/>
  <c r="CO74" i="98"/>
  <c r="CJ74" i="98"/>
  <c r="CE74" i="98"/>
  <c r="CE145" i="98"/>
  <c r="CO145" i="98"/>
  <c r="CJ145" i="98"/>
  <c r="CE71" i="98"/>
  <c r="CJ71" i="98"/>
  <c r="CO71" i="98"/>
  <c r="CE67" i="98"/>
  <c r="CJ67" i="98"/>
  <c r="CO67" i="98"/>
  <c r="CJ158" i="98"/>
  <c r="CE158" i="98"/>
  <c r="CJ119" i="98"/>
  <c r="CE119" i="98"/>
  <c r="CO119" i="98"/>
  <c r="CO34" i="98"/>
  <c r="CJ34" i="98"/>
  <c r="CE34" i="98"/>
  <c r="CR73" i="98"/>
  <c r="CH73" i="98"/>
  <c r="CM73" i="98"/>
  <c r="CM30" i="98"/>
  <c r="CR30" i="98"/>
  <c r="CH30" i="98"/>
  <c r="CP121" i="98"/>
  <c r="CF121" i="98"/>
  <c r="CP65" i="98"/>
  <c r="CK65" i="98"/>
  <c r="CF65" i="98"/>
  <c r="CP101" i="98"/>
  <c r="CF101" i="98"/>
  <c r="CF85" i="98"/>
  <c r="CK85" i="98"/>
  <c r="CK30" i="98"/>
  <c r="CP30" i="98"/>
  <c r="CF30" i="98"/>
  <c r="CK28" i="98"/>
  <c r="CP28" i="98"/>
  <c r="CF28" i="98"/>
  <c r="CP16" i="98"/>
  <c r="CF16" i="98"/>
  <c r="CK80" i="98"/>
  <c r="CF80" i="98"/>
  <c r="CP80" i="98"/>
  <c r="CK82" i="98"/>
  <c r="CK163" i="98"/>
  <c r="CP163" i="98"/>
  <c r="CF163" i="98"/>
  <c r="CP130" i="98"/>
  <c r="CF130" i="98"/>
  <c r="CK130" i="98"/>
  <c r="CP135" i="98"/>
  <c r="CK135" i="98"/>
  <c r="CF135" i="98"/>
  <c r="CG151" i="98"/>
  <c r="CQ151" i="98"/>
  <c r="CL151" i="98"/>
  <c r="CG120" i="98"/>
  <c r="CQ120" i="98"/>
  <c r="CL120" i="98"/>
  <c r="CL112" i="98"/>
  <c r="CG112" i="98"/>
  <c r="CQ112" i="98"/>
  <c r="CQ142" i="98"/>
  <c r="CG142" i="98"/>
  <c r="CL142" i="98"/>
  <c r="CQ51" i="98"/>
  <c r="CL51" i="98"/>
  <c r="CG51" i="98"/>
  <c r="CL96" i="98"/>
  <c r="CL93" i="98"/>
  <c r="CG93" i="98"/>
  <c r="CQ32" i="98"/>
  <c r="CL32" i="98"/>
  <c r="CG32" i="98"/>
  <c r="AL6" i="101"/>
  <c r="CI22" i="98"/>
  <c r="CD8" i="98"/>
  <c r="CN9" i="98"/>
  <c r="CN149" i="98"/>
  <c r="CI65" i="98"/>
  <c r="CI83" i="98"/>
  <c r="CI52" i="98"/>
  <c r="CI75" i="98"/>
  <c r="CN128" i="98"/>
  <c r="CD133" i="98"/>
  <c r="CI133" i="98"/>
  <c r="CN133" i="98"/>
  <c r="CN35" i="98"/>
  <c r="CD35" i="98"/>
  <c r="CI35" i="98"/>
  <c r="CN153" i="98"/>
  <c r="CI153" i="98"/>
  <c r="CN100" i="98"/>
  <c r="CI100" i="98"/>
  <c r="CD100" i="98"/>
  <c r="CD158" i="98"/>
  <c r="CN158" i="98"/>
  <c r="CI158" i="98"/>
  <c r="CI20" i="98"/>
  <c r="CN20" i="98"/>
  <c r="CD20" i="98"/>
  <c r="CE26" i="98"/>
  <c r="CO26" i="98"/>
  <c r="CO62" i="98"/>
  <c r="CJ141" i="98"/>
  <c r="CE141" i="98"/>
  <c r="CO141" i="98"/>
  <c r="CJ52" i="98"/>
  <c r="CE52" i="98"/>
  <c r="CO52" i="98"/>
  <c r="CJ113" i="98"/>
  <c r="CO113" i="98"/>
  <c r="CE33" i="98"/>
  <c r="CJ33" i="98"/>
  <c r="CO33" i="98"/>
  <c r="CJ84" i="98"/>
  <c r="CE84" i="98"/>
  <c r="CO40" i="98"/>
  <c r="CE40" i="98"/>
  <c r="CJ58" i="98"/>
  <c r="CO138" i="98"/>
  <c r="CJ138" i="98"/>
  <c r="CE138" i="98"/>
  <c r="CO60" i="98"/>
  <c r="CJ60" i="98"/>
  <c r="CE60" i="98"/>
  <c r="CE11" i="98"/>
  <c r="CJ11" i="98"/>
  <c r="CO11" i="98"/>
  <c r="CE51" i="98"/>
  <c r="CM79" i="98"/>
  <c r="CH77" i="98"/>
  <c r="CR77" i="98"/>
  <c r="CH60" i="98"/>
  <c r="CM60" i="98"/>
  <c r="CR60" i="98"/>
  <c r="CH137" i="98"/>
  <c r="CM137" i="98"/>
  <c r="CR137" i="98"/>
  <c r="CM87" i="98"/>
  <c r="CR87" i="98"/>
  <c r="CH87" i="98"/>
  <c r="CM46" i="98"/>
  <c r="CH46" i="98"/>
  <c r="CR46" i="98"/>
  <c r="CH89" i="98"/>
  <c r="CR89" i="98"/>
  <c r="CM89" i="98"/>
  <c r="CM15" i="98"/>
  <c r="CH152" i="98"/>
  <c r="CK6" i="98"/>
  <c r="CP6" i="98"/>
  <c r="CF6" i="98"/>
  <c r="CF17" i="98"/>
  <c r="CK17" i="98"/>
  <c r="CP17" i="98"/>
  <c r="CF50" i="98"/>
  <c r="CK50" i="98"/>
  <c r="CP70" i="98"/>
  <c r="CF70" i="98"/>
  <c r="CK70" i="98"/>
  <c r="CF89" i="98"/>
  <c r="CK89" i="98"/>
  <c r="CP89" i="98"/>
  <c r="CK54" i="98"/>
  <c r="CF54" i="98"/>
  <c r="CF113" i="98"/>
  <c r="CK113" i="98"/>
  <c r="CP113" i="98"/>
  <c r="CL29" i="98"/>
  <c r="CQ100" i="98"/>
  <c r="CL100" i="98"/>
  <c r="CG100" i="98"/>
  <c r="CG36" i="98"/>
  <c r="CL36" i="98"/>
  <c r="CQ36" i="98"/>
  <c r="CG48" i="98"/>
  <c r="CL48" i="98"/>
  <c r="CQ48" i="98"/>
  <c r="CQ14" i="98"/>
  <c r="CL14" i="98"/>
  <c r="CG14" i="98"/>
  <c r="CN51" i="98"/>
  <c r="CD90" i="98"/>
  <c r="CI26" i="98"/>
  <c r="CD89" i="98"/>
  <c r="CD65" i="98"/>
  <c r="CD86" i="98"/>
  <c r="CI115" i="98"/>
  <c r="CJ83" i="98"/>
  <c r="CK42" i="98"/>
  <c r="CN136" i="98"/>
  <c r="CD62" i="98"/>
  <c r="CI62" i="98"/>
  <c r="CI142" i="98"/>
  <c r="CN88" i="98"/>
  <c r="CI88" i="98"/>
  <c r="CD88" i="98"/>
  <c r="CN44" i="98"/>
  <c r="CD44" i="98"/>
  <c r="CI44" i="98"/>
  <c r="CN112" i="98"/>
  <c r="CD27" i="98"/>
  <c r="CI27" i="98"/>
  <c r="CN27" i="98"/>
  <c r="CN114" i="98"/>
  <c r="CN126" i="98"/>
  <c r="CO46" i="98"/>
  <c r="CO65" i="98"/>
  <c r="CE65" i="98"/>
  <c r="CJ65" i="98"/>
  <c r="CJ112" i="98"/>
  <c r="CE112" i="98"/>
  <c r="CO112" i="98"/>
  <c r="CJ10" i="98"/>
  <c r="CO10" i="98"/>
  <c r="CE10" i="98"/>
  <c r="CO23" i="98"/>
  <c r="CE23" i="98"/>
  <c r="CJ23" i="98"/>
  <c r="CO72" i="98"/>
  <c r="CJ72" i="98"/>
  <c r="CE72" i="98"/>
  <c r="CO144" i="98"/>
  <c r="CJ144" i="98"/>
  <c r="CE144" i="98"/>
  <c r="CH118" i="98"/>
  <c r="CR118" i="98"/>
  <c r="CM118" i="98"/>
  <c r="CR25" i="98"/>
  <c r="CH25" i="98"/>
  <c r="CM25" i="98"/>
  <c r="CM156" i="98"/>
  <c r="CR156" i="98"/>
  <c r="CH156" i="98"/>
  <c r="CM27" i="98"/>
  <c r="CH12" i="98"/>
  <c r="CR12" i="98"/>
  <c r="CM12" i="98"/>
  <c r="CH40" i="98"/>
  <c r="CM40" i="98"/>
  <c r="CR40" i="98"/>
  <c r="CF150" i="98"/>
  <c r="CK150" i="98"/>
  <c r="CP150" i="98"/>
  <c r="CP34" i="98"/>
  <c r="CK34" i="98"/>
  <c r="CF34" i="98"/>
  <c r="CK84" i="98"/>
  <c r="CP84" i="98"/>
  <c r="CF84" i="98"/>
  <c r="CF12" i="98"/>
  <c r="CP12" i="98"/>
  <c r="CK12" i="98"/>
  <c r="CF7" i="98"/>
  <c r="CP7" i="98"/>
  <c r="CF23" i="98"/>
  <c r="CP23" i="98"/>
  <c r="CL85" i="98"/>
  <c r="CG85" i="98"/>
  <c r="CQ85" i="98"/>
  <c r="CQ37" i="98"/>
  <c r="CQ63" i="98"/>
  <c r="CG63" i="98"/>
  <c r="CL63" i="98"/>
  <c r="CQ55" i="98"/>
  <c r="CG55" i="98"/>
  <c r="CL55" i="98"/>
  <c r="CQ94" i="98"/>
  <c r="CL94" i="98"/>
  <c r="CG94" i="98"/>
  <c r="CQ87" i="98"/>
  <c r="CL18" i="98"/>
  <c r="CI5" i="98"/>
  <c r="CI42" i="98"/>
  <c r="CI51" i="98"/>
  <c r="AL100" i="101"/>
  <c r="CI18" i="98"/>
  <c r="CD18" i="98"/>
  <c r="CN18" i="98"/>
  <c r="CI36" i="98"/>
  <c r="CN36" i="98"/>
  <c r="CD36" i="98"/>
  <c r="CD108" i="98"/>
  <c r="CD28" i="98"/>
  <c r="CN28" i="98"/>
  <c r="CI28" i="98"/>
  <c r="CN96" i="98"/>
  <c r="CI96" i="98"/>
  <c r="CD96" i="98"/>
  <c r="CD129" i="98"/>
  <c r="CN129" i="98"/>
  <c r="CI129" i="98"/>
  <c r="CI19" i="98"/>
  <c r="CD19" i="98"/>
  <c r="CN19" i="98"/>
  <c r="CI143" i="98"/>
  <c r="CD143" i="98"/>
  <c r="CN143" i="98"/>
  <c r="CD105" i="98"/>
  <c r="CI105" i="98"/>
  <c r="CN105" i="98"/>
  <c r="CI119" i="98"/>
  <c r="CD119" i="98"/>
  <c r="CJ63" i="98"/>
  <c r="CO63" i="98"/>
  <c r="CE63" i="98"/>
  <c r="CJ97" i="98"/>
  <c r="CE85" i="98"/>
  <c r="CJ85" i="98"/>
  <c r="CO85" i="98"/>
  <c r="CO48" i="98"/>
  <c r="CJ48" i="98"/>
  <c r="CE48" i="98"/>
  <c r="CO143" i="98"/>
  <c r="CJ143" i="98"/>
  <c r="CE143" i="98"/>
  <c r="CE31" i="98"/>
  <c r="CE7" i="98"/>
  <c r="CO7" i="98"/>
  <c r="CJ7" i="98"/>
  <c r="CJ55" i="98"/>
  <c r="CO55" i="98"/>
  <c r="CJ17" i="98"/>
  <c r="CO17" i="98"/>
  <c r="CE17" i="98"/>
  <c r="CH129" i="98"/>
  <c r="CR129" i="98"/>
  <c r="CR14" i="98"/>
  <c r="CH14" i="98"/>
  <c r="CM14" i="98"/>
  <c r="CH39" i="98"/>
  <c r="CM39" i="98"/>
  <c r="CR39" i="98"/>
  <c r="CR148" i="98"/>
  <c r="CM148" i="98"/>
  <c r="CR157" i="98"/>
  <c r="CH157" i="98"/>
  <c r="CM157" i="98"/>
  <c r="CM75" i="98"/>
  <c r="CR75" i="98"/>
  <c r="CH127" i="98"/>
  <c r="CR127" i="98"/>
  <c r="CR130" i="98"/>
  <c r="CM130" i="98"/>
  <c r="CR121" i="98"/>
  <c r="CK13" i="98"/>
  <c r="CF112" i="98"/>
  <c r="CP112" i="98"/>
  <c r="CK112" i="98"/>
  <c r="CK111" i="98"/>
  <c r="CP111" i="98"/>
  <c r="CF111" i="98"/>
  <c r="CP125" i="98"/>
  <c r="CK125" i="98"/>
  <c r="CF77" i="98"/>
  <c r="CP77" i="98"/>
  <c r="CK77" i="98"/>
  <c r="CF63" i="98"/>
  <c r="CK63" i="98"/>
  <c r="CP63" i="98"/>
  <c r="CF72" i="98"/>
  <c r="CP72" i="98"/>
  <c r="CK72" i="98"/>
  <c r="CL119" i="98"/>
  <c r="CG119" i="98"/>
  <c r="CQ119" i="98"/>
  <c r="CG157" i="98"/>
  <c r="CL157" i="98"/>
  <c r="CQ157" i="98"/>
  <c r="CL107" i="98"/>
  <c r="CL161" i="98"/>
  <c r="CQ161" i="98"/>
  <c r="CG161" i="98"/>
  <c r="CL22" i="98"/>
  <c r="CQ22" i="98"/>
  <c r="CG106" i="98"/>
  <c r="CL106" i="98"/>
  <c r="CQ106" i="98"/>
  <c r="CQ27" i="98"/>
  <c r="CQ122" i="98"/>
  <c r="BD24" i="96"/>
  <c r="BD25" i="96" s="1"/>
  <c r="BE28" i="96"/>
  <c r="Z80" i="96"/>
  <c r="Y98" i="96"/>
  <c r="Z98" i="96"/>
  <c r="Y80" i="96"/>
  <c r="AA106" i="96"/>
  <c r="Z88" i="96"/>
  <c r="Z31" i="96"/>
  <c r="Y88" i="96"/>
  <c r="Z101" i="96"/>
  <c r="Z125" i="96"/>
  <c r="Y136" i="96"/>
  <c r="Z27" i="96"/>
  <c r="Y20" i="96"/>
  <c r="Y48" i="96"/>
  <c r="AA84" i="96"/>
  <c r="Y74" i="96"/>
  <c r="Z127" i="96"/>
  <c r="Z74" i="96"/>
  <c r="Z113" i="96"/>
  <c r="AA71" i="96"/>
  <c r="Y125" i="96"/>
  <c r="Z71" i="96"/>
  <c r="AA19" i="96"/>
  <c r="AA140" i="96"/>
  <c r="AA98" i="96"/>
  <c r="Z84" i="96"/>
  <c r="Z51" i="96"/>
  <c r="Z30" i="96"/>
  <c r="AA74" i="96"/>
  <c r="AA24" i="96"/>
  <c r="AA36" i="96"/>
  <c r="AA55" i="96"/>
  <c r="AA85" i="96"/>
  <c r="Y54" i="96"/>
  <c r="AA58" i="96"/>
  <c r="Y122" i="96"/>
  <c r="Z32" i="96"/>
  <c r="Y19" i="96"/>
  <c r="Y30" i="96"/>
  <c r="Y113" i="96"/>
  <c r="Y84" i="96"/>
  <c r="Z19" i="96"/>
  <c r="Z122" i="96"/>
  <c r="Z81" i="96"/>
  <c r="Y55" i="96"/>
  <c r="AA30" i="96"/>
  <c r="Z55" i="96"/>
  <c r="Z72" i="96"/>
  <c r="Y23" i="96"/>
  <c r="Y106" i="96"/>
  <c r="Y61" i="96"/>
  <c r="AA124" i="96"/>
  <c r="AA101" i="96"/>
  <c r="Z136" i="96"/>
  <c r="AA81" i="96"/>
  <c r="Z58" i="96"/>
  <c r="Y140" i="96"/>
  <c r="Y22" i="96"/>
  <c r="AA54" i="96"/>
  <c r="Y81" i="96"/>
  <c r="Z20" i="96"/>
  <c r="Y99" i="96"/>
  <c r="Z54" i="96"/>
  <c r="AA136" i="96"/>
  <c r="Z48" i="96"/>
  <c r="Z110" i="96"/>
  <c r="Z23" i="96"/>
  <c r="AA127" i="96"/>
  <c r="AA20" i="96"/>
  <c r="Z95" i="96"/>
  <c r="Y32" i="96"/>
  <c r="Z78" i="96"/>
  <c r="AA18" i="96"/>
  <c r="Z85" i="96"/>
  <c r="Y51" i="96"/>
  <c r="Y110" i="96"/>
  <c r="Z46" i="96"/>
  <c r="Y63" i="96"/>
  <c r="Z124" i="96"/>
  <c r="AA110" i="96"/>
  <c r="Z22" i="96"/>
  <c r="Z61" i="96"/>
  <c r="AA99" i="96"/>
  <c r="Y95" i="96"/>
  <c r="Z99" i="96"/>
  <c r="Y46" i="96"/>
  <c r="AA32" i="96"/>
  <c r="Y37" i="96"/>
  <c r="AA61" i="96"/>
  <c r="AA51" i="96"/>
  <c r="AA88" i="96"/>
  <c r="Y127" i="96"/>
  <c r="Y71" i="96"/>
  <c r="Y101" i="96"/>
  <c r="Y58" i="96"/>
  <c r="AA53" i="96"/>
  <c r="AA46" i="96"/>
  <c r="AA122" i="96"/>
  <c r="Z106" i="96"/>
  <c r="Y72" i="96"/>
  <c r="Z140" i="96"/>
  <c r="AA125" i="96"/>
  <c r="AA72" i="96"/>
  <c r="CN91" i="98" l="1"/>
  <c r="CI91" i="98"/>
  <c r="CN135" i="98"/>
  <c r="CI13" i="98"/>
  <c r="CI128" i="98"/>
  <c r="CJ13" i="98"/>
  <c r="CN78" i="98"/>
  <c r="CN32" i="98"/>
  <c r="CI127" i="98"/>
  <c r="CE104" i="98"/>
  <c r="CO73" i="98"/>
  <c r="CJ86" i="98"/>
  <c r="CO155" i="98"/>
  <c r="CE5" i="98"/>
  <c r="CJ38" i="98"/>
  <c r="CM48" i="98"/>
  <c r="CM104" i="98"/>
  <c r="CM151" i="98"/>
  <c r="CF140" i="98"/>
  <c r="CK144" i="98"/>
  <c r="CL110" i="98"/>
  <c r="CG122" i="98"/>
  <c r="CQ118" i="98"/>
  <c r="CG97" i="98"/>
  <c r="CG17" i="98"/>
  <c r="CQ159" i="98"/>
  <c r="CQ16" i="98"/>
  <c r="CL105" i="98"/>
  <c r="CG140" i="98"/>
  <c r="CG131" i="98"/>
  <c r="CQ7" i="98"/>
  <c r="CG92" i="98"/>
  <c r="CR5" i="98"/>
  <c r="CH85" i="98"/>
  <c r="CM134" i="98"/>
  <c r="CM38" i="98"/>
  <c r="CK141" i="98"/>
  <c r="CF56" i="98"/>
  <c r="CF8" i="98"/>
  <c r="CF47" i="98"/>
  <c r="CN77" i="98"/>
  <c r="CD156" i="98"/>
  <c r="CI23" i="98"/>
  <c r="CI11" i="98"/>
  <c r="CI108" i="98"/>
  <c r="CN65" i="98"/>
  <c r="CN152" i="98"/>
  <c r="CI112" i="98"/>
  <c r="CN87" i="98"/>
  <c r="CN67" i="98"/>
  <c r="CD148" i="98"/>
  <c r="CN61" i="98"/>
  <c r="CJ111" i="98"/>
  <c r="CJ46" i="98"/>
  <c r="CJ21" i="98"/>
  <c r="CE22" i="98"/>
  <c r="CE9" i="98"/>
  <c r="CE81" i="98"/>
  <c r="CE133" i="98"/>
  <c r="CO36" i="98"/>
  <c r="CE14" i="98"/>
  <c r="CO121" i="98"/>
  <c r="CJ134" i="98"/>
  <c r="CO31" i="98"/>
  <c r="CE62" i="98"/>
  <c r="CM16" i="98"/>
  <c r="CR144" i="98"/>
  <c r="CR86" i="98"/>
  <c r="CR80" i="98"/>
  <c r="CM121" i="98"/>
  <c r="CR161" i="98"/>
  <c r="CK23" i="98"/>
  <c r="CF39" i="98"/>
  <c r="CK60" i="98"/>
  <c r="CK136" i="98"/>
  <c r="CG13" i="98"/>
  <c r="CG150" i="98"/>
  <c r="CL31" i="98"/>
  <c r="CG107" i="98"/>
  <c r="CL156" i="98"/>
  <c r="CG18" i="98"/>
  <c r="CL129" i="98"/>
  <c r="CL52" i="98"/>
  <c r="CG66" i="98"/>
  <c r="CL47" i="98"/>
  <c r="CG68" i="98"/>
  <c r="CL49" i="98"/>
  <c r="CH116" i="98"/>
  <c r="CH45" i="98"/>
  <c r="CM74" i="98"/>
  <c r="CH98" i="98"/>
  <c r="CR142" i="98"/>
  <c r="CM10" i="98"/>
  <c r="CR27" i="98"/>
  <c r="CF122" i="98"/>
  <c r="CF125" i="98"/>
  <c r="CP104" i="98"/>
  <c r="CK9" i="98"/>
  <c r="CP64" i="98"/>
  <c r="CE76" i="98"/>
  <c r="CJ76" i="98"/>
  <c r="CO76" i="98"/>
  <c r="CF18" i="98"/>
  <c r="CK18" i="98"/>
  <c r="CO136" i="98"/>
  <c r="CQ18" i="98"/>
  <c r="CP140" i="98"/>
  <c r="CJ102" i="98"/>
  <c r="CD112" i="98"/>
  <c r="CD142" i="98"/>
  <c r="CI61" i="98"/>
  <c r="CE73" i="98"/>
  <c r="CR16" i="98"/>
  <c r="CE100" i="98"/>
  <c r="CD92" i="98"/>
  <c r="CP9" i="98"/>
  <c r="CE36" i="98"/>
  <c r="CH80" i="98"/>
  <c r="CP144" i="98"/>
  <c r="CJ133" i="98"/>
  <c r="CD32" i="98"/>
  <c r="CH54" i="98"/>
  <c r="CH86" i="98"/>
  <c r="CN130" i="98"/>
  <c r="CD130" i="98"/>
  <c r="CI130" i="98"/>
  <c r="CI46" i="98"/>
  <c r="CN46" i="98"/>
  <c r="CD46" i="98"/>
  <c r="CO146" i="98"/>
  <c r="CJ146" i="98"/>
  <c r="CJ66" i="98"/>
  <c r="CO66" i="98"/>
  <c r="CE91" i="98"/>
  <c r="CJ91" i="98"/>
  <c r="CO130" i="98"/>
  <c r="CE130" i="98"/>
  <c r="CJ130" i="98"/>
  <c r="CH108" i="98"/>
  <c r="CM108" i="98"/>
  <c r="CR62" i="98"/>
  <c r="CM62" i="98"/>
  <c r="CH62" i="98"/>
  <c r="CF43" i="98"/>
  <c r="CK43" i="98"/>
  <c r="CR126" i="98"/>
  <c r="CM126" i="98"/>
  <c r="CP53" i="98"/>
  <c r="CK53" i="98"/>
  <c r="CG162" i="98"/>
  <c r="CL162" i="98"/>
  <c r="CQ162" i="98"/>
  <c r="CQ58" i="98"/>
  <c r="CG58" i="98"/>
  <c r="CL45" i="98"/>
  <c r="CG45" i="98"/>
  <c r="CF107" i="98"/>
  <c r="CK107" i="98"/>
  <c r="CP107" i="98"/>
  <c r="CE102" i="98"/>
  <c r="CG73" i="98"/>
  <c r="CQ73" i="98"/>
  <c r="CR162" i="98"/>
  <c r="CH162" i="98"/>
  <c r="CM162" i="98"/>
  <c r="CM93" i="98"/>
  <c r="CR93" i="98"/>
  <c r="CH93" i="98"/>
  <c r="CJ77" i="98"/>
  <c r="CE77" i="98"/>
  <c r="CH132" i="98"/>
  <c r="CM132" i="98"/>
  <c r="CF117" i="98"/>
  <c r="CP117" i="98"/>
  <c r="CK5" i="98"/>
  <c r="CF5" i="98"/>
  <c r="CP5" i="98"/>
  <c r="CK29" i="98"/>
  <c r="CP29" i="98"/>
  <c r="CF29" i="98"/>
  <c r="CQ47" i="98"/>
  <c r="CK122" i="98"/>
  <c r="CE136" i="98"/>
  <c r="CI99" i="98"/>
  <c r="CQ35" i="98"/>
  <c r="CM161" i="98"/>
  <c r="CD150" i="98"/>
  <c r="CF60" i="98"/>
  <c r="CJ73" i="98"/>
  <c r="CO131" i="98"/>
  <c r="CE111" i="98"/>
  <c r="CH16" i="98"/>
  <c r="CJ100" i="98"/>
  <c r="CI92" i="98"/>
  <c r="CQ92" i="98"/>
  <c r="CH101" i="98"/>
  <c r="CJ36" i="98"/>
  <c r="CD61" i="98"/>
  <c r="CQ131" i="98"/>
  <c r="CM80" i="98"/>
  <c r="CK8" i="98"/>
  <c r="CP39" i="98"/>
  <c r="CR134" i="98"/>
  <c r="CQ17" i="98"/>
  <c r="CR36" i="98"/>
  <c r="CK56" i="98"/>
  <c r="CO151" i="98"/>
  <c r="CJ151" i="98"/>
  <c r="CE151" i="98"/>
  <c r="CO54" i="98"/>
  <c r="CE54" i="98"/>
  <c r="CR82" i="98"/>
  <c r="CH82" i="98"/>
  <c r="CM82" i="98"/>
  <c r="CF108" i="98"/>
  <c r="CP108" i="98"/>
  <c r="CK108" i="98"/>
  <c r="CP78" i="98"/>
  <c r="CF78" i="98"/>
  <c r="CK78" i="98"/>
  <c r="CI145" i="98"/>
  <c r="CI103" i="98"/>
  <c r="CD103" i="98"/>
  <c r="CN103" i="98"/>
  <c r="CE30" i="98"/>
  <c r="CO30" i="98"/>
  <c r="CJ124" i="98"/>
  <c r="CO124" i="98"/>
  <c r="CJ45" i="98"/>
  <c r="CO45" i="98"/>
  <c r="CE45" i="98"/>
  <c r="CQ95" i="98"/>
  <c r="CL95" i="98"/>
  <c r="CG95" i="98"/>
  <c r="CR55" i="98"/>
  <c r="CM55" i="98"/>
  <c r="CR34" i="98"/>
  <c r="CH34" i="98"/>
  <c r="CM34" i="98"/>
  <c r="CK67" i="98"/>
  <c r="CF67" i="98"/>
  <c r="CK27" i="98"/>
  <c r="CP27" i="98"/>
  <c r="CF97" i="98"/>
  <c r="CK97" i="98"/>
  <c r="CP97" i="98"/>
  <c r="CG135" i="98"/>
  <c r="CQ135" i="98"/>
  <c r="CL26" i="98"/>
  <c r="CR133" i="98"/>
  <c r="CM133" i="98"/>
  <c r="CK10" i="98"/>
  <c r="CP10" i="98"/>
  <c r="CF10" i="98"/>
  <c r="CG47" i="98"/>
  <c r="CP122" i="98"/>
  <c r="CE70" i="98"/>
  <c r="CO120" i="98"/>
  <c r="CD99" i="98"/>
  <c r="CD15" i="98"/>
  <c r="CG16" i="98"/>
  <c r="CG35" i="98"/>
  <c r="CH161" i="98"/>
  <c r="CP60" i="98"/>
  <c r="CE152" i="98"/>
  <c r="CE131" i="98"/>
  <c r="CO111" i="98"/>
  <c r="CD45" i="98"/>
  <c r="CM70" i="98"/>
  <c r="CN101" i="98"/>
  <c r="CL92" i="98"/>
  <c r="CR101" i="98"/>
  <c r="CL131" i="98"/>
  <c r="CG152" i="98"/>
  <c r="CP8" i="98"/>
  <c r="CK39" i="98"/>
  <c r="CH55" i="98"/>
  <c r="CH126" i="98"/>
  <c r="CI139" i="98"/>
  <c r="CD139" i="98"/>
  <c r="CD123" i="98"/>
  <c r="CI123" i="98"/>
  <c r="CN123" i="98"/>
  <c r="CO28" i="98"/>
  <c r="CE28" i="98"/>
  <c r="CO51" i="98"/>
  <c r="CQ126" i="98"/>
  <c r="CG126" i="98"/>
  <c r="CK94" i="98"/>
  <c r="CP94" i="98"/>
  <c r="CH26" i="98"/>
  <c r="CR26" i="98"/>
  <c r="CM26" i="98"/>
  <c r="CG109" i="98"/>
  <c r="CL109" i="98"/>
  <c r="CQ109" i="98"/>
  <c r="CP69" i="98"/>
  <c r="CF69" i="98"/>
  <c r="CL122" i="98"/>
  <c r="CI30" i="98"/>
  <c r="CN38" i="98"/>
  <c r="CI38" i="98"/>
  <c r="CE58" i="98"/>
  <c r="CO58" i="98"/>
  <c r="CE20" i="98"/>
  <c r="CO20" i="98"/>
  <c r="CJ20" i="98"/>
  <c r="CM139" i="98"/>
  <c r="CH139" i="98"/>
  <c r="CF138" i="98"/>
  <c r="CJ14" i="98"/>
  <c r="CO14" i="98"/>
  <c r="CO12" i="98"/>
  <c r="CE12" i="98"/>
  <c r="CP73" i="98"/>
  <c r="CF73" i="98"/>
  <c r="CK73" i="98"/>
  <c r="CG164" i="98"/>
  <c r="CL164" i="98"/>
  <c r="CQ164" i="98"/>
  <c r="CQ98" i="98"/>
  <c r="CP48" i="98"/>
  <c r="CF48" i="98"/>
  <c r="CO70" i="98"/>
  <c r="CJ152" i="98"/>
  <c r="CD131" i="98"/>
  <c r="CI45" i="98"/>
  <c r="CI57" i="98"/>
  <c r="CI107" i="98"/>
  <c r="CL98" i="98"/>
  <c r="CH70" i="98"/>
  <c r="CI101" i="98"/>
  <c r="CD11" i="98"/>
  <c r="CD87" i="98"/>
  <c r="CQ152" i="98"/>
  <c r="CP18" i="98"/>
  <c r="CF53" i="98"/>
  <c r="CD127" i="98"/>
  <c r="CL135" i="98"/>
  <c r="CD151" i="98"/>
  <c r="CN151" i="98"/>
  <c r="CN63" i="98"/>
  <c r="CI63" i="98"/>
  <c r="CD147" i="98"/>
  <c r="CI147" i="98"/>
  <c r="CO147" i="98"/>
  <c r="CJ56" i="98"/>
  <c r="CO56" i="98"/>
  <c r="CG61" i="98"/>
  <c r="CQ61" i="98"/>
  <c r="CM28" i="98"/>
  <c r="CH28" i="98"/>
  <c r="CR65" i="98"/>
  <c r="CH65" i="98"/>
  <c r="CF119" i="98"/>
  <c r="CK119" i="98"/>
  <c r="CP119" i="98"/>
  <c r="CP36" i="98"/>
  <c r="CF36" i="98"/>
  <c r="CK36" i="98"/>
  <c r="CE78" i="98"/>
  <c r="CO78" i="98"/>
  <c r="CJ78" i="98"/>
  <c r="CR48" i="98"/>
  <c r="CH48" i="98"/>
  <c r="CM31" i="98"/>
  <c r="CH31" i="98"/>
  <c r="CK44" i="98"/>
  <c r="CP44" i="98"/>
  <c r="CF44" i="98"/>
  <c r="CP52" i="98"/>
  <c r="CK52" i="98"/>
  <c r="CF52" i="98"/>
  <c r="CG96" i="98"/>
  <c r="CQ96" i="98"/>
  <c r="CL44" i="98"/>
  <c r="CG44" i="98"/>
  <c r="CQ44" i="98"/>
  <c r="CG125" i="98"/>
  <c r="CQ125" i="98"/>
  <c r="CH38" i="98"/>
  <c r="CR38" i="98"/>
  <c r="CK58" i="98"/>
  <c r="CP58" i="98"/>
  <c r="CN74" i="98"/>
  <c r="CI74" i="98"/>
  <c r="CD74" i="98"/>
  <c r="CE95" i="98"/>
  <c r="CJ95" i="98"/>
  <c r="CE59" i="98"/>
  <c r="CJ59" i="98"/>
  <c r="CO59" i="98"/>
  <c r="CM138" i="98"/>
  <c r="CH138" i="98"/>
  <c r="CR138" i="98"/>
  <c r="CK156" i="98"/>
  <c r="CP156" i="98"/>
  <c r="CF156" i="98"/>
  <c r="CK133" i="98"/>
  <c r="CP133" i="98"/>
  <c r="CJ90" i="98"/>
  <c r="CO90" i="98"/>
  <c r="CE29" i="98"/>
  <c r="CO29" i="98"/>
  <c r="CJ29" i="98"/>
  <c r="CM97" i="98"/>
  <c r="CH97" i="98"/>
  <c r="CR97" i="98"/>
  <c r="CG64" i="98"/>
  <c r="CQ64" i="98"/>
  <c r="CL150" i="98"/>
  <c r="CQ150" i="98"/>
  <c r="CQ154" i="98"/>
  <c r="CG154" i="98"/>
  <c r="CL154" i="98"/>
  <c r="CQ28" i="98"/>
  <c r="CL28" i="98"/>
  <c r="CR22" i="98"/>
  <c r="CM22" i="98"/>
  <c r="CH22" i="98"/>
  <c r="CL140" i="98"/>
  <c r="CE120" i="98"/>
  <c r="CM116" i="98"/>
  <c r="CO21" i="98"/>
  <c r="CN5" i="98"/>
  <c r="CO110" i="98"/>
  <c r="CI131" i="98"/>
  <c r="CN57" i="98"/>
  <c r="CG98" i="98"/>
  <c r="CE124" i="98"/>
  <c r="CF104" i="98"/>
  <c r="CQ148" i="98"/>
  <c r="CF58" i="98"/>
  <c r="CJ147" i="98"/>
  <c r="CO38" i="98"/>
  <c r="CL125" i="98"/>
  <c r="CQ97" i="98"/>
  <c r="CI144" i="98"/>
  <c r="CD144" i="98"/>
  <c r="CN144" i="98"/>
  <c r="CN106" i="98"/>
  <c r="CD106" i="98"/>
  <c r="CN41" i="98"/>
  <c r="CD41" i="98"/>
  <c r="CO104" i="98"/>
  <c r="CJ104" i="98"/>
  <c r="CH81" i="98"/>
  <c r="CR81" i="98"/>
  <c r="CM81" i="98"/>
  <c r="CR51" i="98"/>
  <c r="CM51" i="98"/>
  <c r="CH51" i="98"/>
  <c r="CM18" i="98"/>
  <c r="CR18" i="98"/>
  <c r="CH18" i="98"/>
  <c r="CK160" i="98"/>
  <c r="CP160" i="98"/>
  <c r="CP83" i="98"/>
  <c r="CK83" i="98"/>
  <c r="CF83" i="98"/>
  <c r="CI29" i="98"/>
  <c r="CE80" i="98"/>
  <c r="CO80" i="98"/>
  <c r="CE103" i="98"/>
  <c r="CR146" i="98"/>
  <c r="CH146" i="98"/>
  <c r="CM146" i="98"/>
  <c r="CR56" i="98"/>
  <c r="CH56" i="98"/>
  <c r="CM56" i="98"/>
  <c r="CF45" i="98"/>
  <c r="CK45" i="98"/>
  <c r="CP45" i="98"/>
  <c r="CE121" i="98"/>
  <c r="CJ121" i="98"/>
  <c r="CH71" i="98"/>
  <c r="CM71" i="98"/>
  <c r="CL143" i="98"/>
  <c r="CG143" i="98"/>
  <c r="CQ143" i="98"/>
  <c r="CG83" i="98"/>
  <c r="CL83" i="98"/>
  <c r="CQ83" i="98"/>
  <c r="CG31" i="98"/>
  <c r="CQ31" i="98"/>
  <c r="CG20" i="98"/>
  <c r="CQ20" i="98"/>
  <c r="CL20" i="98"/>
  <c r="CQ116" i="98"/>
  <c r="CG116" i="98"/>
  <c r="CM45" i="98"/>
  <c r="CR45" i="98"/>
  <c r="CI15" i="98"/>
  <c r="CQ140" i="98"/>
  <c r="CR33" i="98"/>
  <c r="CG159" i="98"/>
  <c r="CQ60" i="98"/>
  <c r="CR116" i="98"/>
  <c r="CE21" i="98"/>
  <c r="CI14" i="98"/>
  <c r="CQ52" i="98"/>
  <c r="CE110" i="98"/>
  <c r="CD104" i="98"/>
  <c r="CF142" i="98"/>
  <c r="CD6" i="98"/>
  <c r="CK104" i="98"/>
  <c r="CL148" i="98"/>
  <c r="CR123" i="98"/>
  <c r="CJ103" i="98"/>
  <c r="CD63" i="98"/>
  <c r="CE147" i="98"/>
  <c r="CK64" i="98"/>
  <c r="CD107" i="98"/>
  <c r="CJ140" i="98"/>
  <c r="CL64" i="98"/>
  <c r="CP142" i="98"/>
  <c r="CP74" i="98"/>
  <c r="CG28" i="98"/>
  <c r="CO122" i="98"/>
  <c r="CL73" i="98"/>
  <c r="CD81" i="98"/>
  <c r="CN81" i="98"/>
  <c r="CI81" i="98"/>
  <c r="CI164" i="98"/>
  <c r="CN164" i="98"/>
  <c r="CE88" i="98"/>
  <c r="CJ88" i="98"/>
  <c r="CO107" i="98"/>
  <c r="CJ107" i="98"/>
  <c r="CJ118" i="98"/>
  <c r="CE118" i="98"/>
  <c r="CQ8" i="98"/>
  <c r="CG8" i="98"/>
  <c r="CL8" i="98"/>
  <c r="CH69" i="98"/>
  <c r="CM69" i="98"/>
  <c r="CR69" i="98"/>
  <c r="CM94" i="98"/>
  <c r="CR94" i="98"/>
  <c r="CK92" i="98"/>
  <c r="CF92" i="98"/>
  <c r="CP92" i="98"/>
  <c r="CL62" i="98"/>
  <c r="CG62" i="98"/>
  <c r="CQ62" i="98"/>
  <c r="CM5" i="98"/>
  <c r="CH5" i="98"/>
  <c r="CH120" i="98"/>
  <c r="CR120" i="98"/>
  <c r="CP139" i="98"/>
  <c r="CF139" i="98"/>
  <c r="CK139" i="98"/>
  <c r="CK68" i="98"/>
  <c r="CP68" i="98"/>
  <c r="CF68" i="98"/>
  <c r="CI69" i="98"/>
  <c r="CD69" i="98"/>
  <c r="CI77" i="98"/>
  <c r="CD77" i="98"/>
  <c r="CD49" i="98"/>
  <c r="CI49" i="98"/>
  <c r="CN49" i="98"/>
  <c r="CD50" i="98"/>
  <c r="CI50" i="98"/>
  <c r="CE64" i="98"/>
  <c r="CJ64" i="98"/>
  <c r="CO22" i="98"/>
  <c r="CJ22" i="98"/>
  <c r="CG42" i="98"/>
  <c r="CQ42" i="98"/>
  <c r="CL42" i="98"/>
  <c r="CH102" i="98"/>
  <c r="CM102" i="98"/>
  <c r="CK161" i="98"/>
  <c r="CF161" i="98"/>
  <c r="CP147" i="98"/>
  <c r="CF147" i="98"/>
  <c r="CK147" i="98"/>
  <c r="CQ129" i="98"/>
  <c r="CG129" i="98"/>
  <c r="CQ38" i="98"/>
  <c r="CG38" i="98"/>
  <c r="CL38" i="98"/>
  <c r="CG49" i="98"/>
  <c r="CQ49" i="98"/>
  <c r="CR74" i="98"/>
  <c r="CH74" i="98"/>
  <c r="CH10" i="98"/>
  <c r="CR10" i="98"/>
  <c r="CP55" i="98"/>
  <c r="CF55" i="98"/>
  <c r="CM33" i="98"/>
  <c r="CM120" i="98"/>
  <c r="CL159" i="98"/>
  <c r="CG60" i="98"/>
  <c r="CH159" i="98"/>
  <c r="CE15" i="98"/>
  <c r="CD14" i="98"/>
  <c r="CG52" i="98"/>
  <c r="CP95" i="98"/>
  <c r="CE27" i="98"/>
  <c r="CN104" i="98"/>
  <c r="CI6" i="98"/>
  <c r="CF136" i="98"/>
  <c r="CO9" i="98"/>
  <c r="CH36" i="98"/>
  <c r="CH123" i="98"/>
  <c r="CO103" i="98"/>
  <c r="CO77" i="98"/>
  <c r="CF64" i="98"/>
  <c r="CK69" i="98"/>
  <c r="CN139" i="98"/>
  <c r="CG26" i="98"/>
  <c r="CL116" i="98"/>
  <c r="CR54" i="98"/>
  <c r="CR132" i="98"/>
  <c r="CE129" i="98"/>
  <c r="CJ129" i="98"/>
  <c r="CO129" i="98"/>
  <c r="CG84" i="98"/>
  <c r="CL84" i="98"/>
  <c r="CR147" i="98"/>
  <c r="CM147" i="98"/>
  <c r="CH147" i="98"/>
  <c r="CK164" i="98"/>
  <c r="CP164" i="98"/>
  <c r="CF164" i="98"/>
  <c r="CH104" i="98"/>
  <c r="CR104" i="98"/>
  <c r="CP49" i="98"/>
  <c r="CF49" i="98"/>
  <c r="CK49" i="98"/>
  <c r="CL133" i="98"/>
  <c r="CQ133" i="98"/>
  <c r="CQ15" i="98"/>
  <c r="CL15" i="98"/>
  <c r="CG15" i="98"/>
  <c r="CL76" i="98"/>
  <c r="CG76" i="98"/>
  <c r="CR64" i="98"/>
  <c r="CH64" i="98"/>
  <c r="CM64" i="98"/>
  <c r="CR47" i="98"/>
  <c r="CM47" i="98"/>
  <c r="CH47" i="98"/>
  <c r="CK62" i="98"/>
  <c r="CP62" i="98"/>
  <c r="CI151" i="98"/>
  <c r="CF144" i="98"/>
  <c r="CN7" i="98"/>
  <c r="CI7" i="98"/>
  <c r="CJ99" i="98"/>
  <c r="CO99" i="98"/>
  <c r="CE82" i="98"/>
  <c r="CJ82" i="98"/>
  <c r="CO82" i="98"/>
  <c r="CO44" i="98"/>
  <c r="CE44" i="98"/>
  <c r="CG79" i="98"/>
  <c r="CL79" i="98"/>
  <c r="CL91" i="98"/>
  <c r="CG91" i="98"/>
  <c r="CP88" i="98"/>
  <c r="CK88" i="98"/>
  <c r="CP134" i="98"/>
  <c r="CK134" i="98"/>
  <c r="CM6" i="98"/>
  <c r="CR6" i="98"/>
  <c r="CR125" i="98"/>
  <c r="CH125" i="98"/>
  <c r="CM125" i="98"/>
  <c r="CR50" i="98"/>
  <c r="CH50" i="98"/>
  <c r="CM50" i="98"/>
  <c r="CP76" i="98"/>
  <c r="CF76" i="98"/>
  <c r="CK76" i="98"/>
  <c r="CP96" i="98"/>
  <c r="CF96" i="98"/>
  <c r="CK96" i="98"/>
  <c r="CG54" i="98"/>
  <c r="CQ54" i="98"/>
  <c r="CL54" i="98"/>
  <c r="CQ66" i="98"/>
  <c r="CL66" i="98"/>
  <c r="CP14" i="98"/>
  <c r="CF14" i="98"/>
  <c r="CK14" i="98"/>
  <c r="CQ105" i="98"/>
  <c r="CG110" i="98"/>
  <c r="CP33" i="98"/>
  <c r="CH111" i="98"/>
  <c r="CR159" i="98"/>
  <c r="CJ15" i="98"/>
  <c r="CF95" i="98"/>
  <c r="CO27" i="98"/>
  <c r="CH58" i="98"/>
  <c r="CL126" i="98"/>
  <c r="CP136" i="98"/>
  <c r="CF31" i="98"/>
  <c r="CR85" i="98"/>
  <c r="CJ9" i="98"/>
  <c r="CD145" i="98"/>
  <c r="CH94" i="98"/>
  <c r="CI60" i="98"/>
  <c r="CP138" i="98"/>
  <c r="CL58" i="98"/>
  <c r="CO91" i="98"/>
  <c r="CE56" i="98"/>
  <c r="CN23" i="98"/>
  <c r="CJ12" i="98"/>
  <c r="CH144" i="98"/>
  <c r="CR108" i="98"/>
  <c r="CQ26" i="98"/>
  <c r="CR31" i="98"/>
  <c r="CJ122" i="98"/>
  <c r="CF134" i="98"/>
  <c r="CD154" i="98"/>
  <c r="CI154" i="98"/>
  <c r="CN127" i="98"/>
  <c r="CI58" i="98"/>
  <c r="CD58" i="98"/>
  <c r="CO157" i="98"/>
  <c r="CJ157" i="98"/>
  <c r="CE157" i="98"/>
  <c r="CE87" i="98"/>
  <c r="CJ87" i="98"/>
  <c r="CO87" i="98"/>
  <c r="CG113" i="98"/>
  <c r="CQ113" i="98"/>
  <c r="CL113" i="98"/>
  <c r="CR128" i="98"/>
  <c r="CH128" i="98"/>
  <c r="CM164" i="98"/>
  <c r="CH164" i="98"/>
  <c r="CR164" i="98"/>
  <c r="CG118" i="98"/>
  <c r="CL118" i="98"/>
  <c r="CG7" i="98"/>
  <c r="CL7" i="98"/>
  <c r="CR17" i="98"/>
  <c r="CM17" i="98"/>
  <c r="CH17" i="98"/>
  <c r="CP141" i="98"/>
  <c r="CF141" i="98"/>
  <c r="CK47" i="98"/>
  <c r="CP47" i="98"/>
  <c r="CK140" i="98"/>
  <c r="CE66" i="98"/>
  <c r="CG133" i="98"/>
  <c r="CE159" i="98"/>
  <c r="CJ159" i="98"/>
  <c r="CQ128" i="98"/>
  <c r="CG128" i="98"/>
  <c r="CR152" i="98"/>
  <c r="CM152" i="98"/>
  <c r="CP127" i="98"/>
  <c r="CK127" i="98"/>
  <c r="CF127" i="98"/>
  <c r="CH43" i="98"/>
  <c r="CR43" i="98"/>
  <c r="CH84" i="98"/>
  <c r="CR84" i="98"/>
  <c r="CG156" i="98"/>
  <c r="CL68" i="98"/>
  <c r="CQ68" i="98"/>
  <c r="CR98" i="98"/>
  <c r="CM98" i="98"/>
  <c r="CR20" i="98"/>
  <c r="CH20" i="98"/>
  <c r="CM20" i="98"/>
  <c r="CL128" i="98"/>
  <c r="CL16" i="98"/>
  <c r="CG105" i="98"/>
  <c r="CF99" i="98"/>
  <c r="CQ110" i="98"/>
  <c r="CP99" i="98"/>
  <c r="CH121" i="98"/>
  <c r="CH24" i="98"/>
  <c r="CJ31" i="98"/>
  <c r="CL13" i="98"/>
  <c r="CF33" i="98"/>
  <c r="CM111" i="98"/>
  <c r="CE46" i="98"/>
  <c r="CD71" i="98"/>
  <c r="CQ84" i="98"/>
  <c r="CQ76" i="98"/>
  <c r="CM58" i="98"/>
  <c r="CJ81" i="98"/>
  <c r="CL160" i="98"/>
  <c r="CK48" i="98"/>
  <c r="CM85" i="98"/>
  <c r="CO118" i="98"/>
  <c r="CE134" i="98"/>
  <c r="CN145" i="98"/>
  <c r="CN156" i="98"/>
  <c r="CD60" i="98"/>
  <c r="CI41" i="98"/>
  <c r="CK138" i="98"/>
  <c r="CR28" i="98"/>
  <c r="CJ28" i="98"/>
  <c r="CR151" i="98"/>
  <c r="CH134" i="98"/>
  <c r="CF94" i="98"/>
  <c r="CM86" i="98"/>
  <c r="CF27" i="98"/>
  <c r="CF62" i="98"/>
  <c r="CD43" i="98"/>
  <c r="CN43" i="98"/>
  <c r="CO79" i="98"/>
  <c r="CJ79" i="98"/>
  <c r="CL34" i="98"/>
  <c r="CG34" i="98"/>
  <c r="CQ34" i="98"/>
  <c r="CO39" i="98"/>
  <c r="CJ39" i="98"/>
  <c r="CE39" i="98"/>
  <c r="CP105" i="98"/>
  <c r="CK105" i="98"/>
  <c r="CF105" i="98"/>
  <c r="CK149" i="98"/>
  <c r="CF149" i="98"/>
  <c r="CP149" i="98"/>
  <c r="CJ54" i="98"/>
  <c r="CN108" i="98"/>
  <c r="CQ13" i="98"/>
  <c r="CH27" i="98"/>
  <c r="CI71" i="98"/>
  <c r="CJ51" i="98"/>
  <c r="CJ62" i="98"/>
  <c r="CO81" i="98"/>
  <c r="CG160" i="98"/>
  <c r="CM65" i="98"/>
  <c r="CE162" i="98"/>
  <c r="CO134" i="98"/>
  <c r="CQ9" i="98"/>
  <c r="CM84" i="98"/>
  <c r="CH6" i="98"/>
  <c r="CE146" i="98"/>
  <c r="CF160" i="98"/>
  <c r="CH151" i="98"/>
  <c r="CM144" i="98"/>
  <c r="CE90" i="98"/>
  <c r="CD79" i="98"/>
  <c r="CN93" i="98"/>
  <c r="CN11" i="98"/>
  <c r="CN33" i="98"/>
  <c r="CI148" i="98"/>
  <c r="CN64" i="98"/>
  <c r="CN66" i="98"/>
  <c r="CI98" i="98"/>
  <c r="CN10" i="98"/>
  <c r="CI134" i="98"/>
  <c r="CN82" i="98"/>
  <c r="CJ155" i="98"/>
  <c r="CE38" i="98"/>
  <c r="CO140" i="98"/>
  <c r="CI152" i="98"/>
  <c r="CD29" i="98"/>
  <c r="CN110" i="98"/>
  <c r="CN125" i="98"/>
  <c r="CE86" i="98"/>
  <c r="CJ5" i="98"/>
  <c r="CO94" i="98"/>
  <c r="CL17" i="98"/>
  <c r="CI150" i="98"/>
  <c r="CD23" i="98"/>
  <c r="CN50" i="98"/>
  <c r="CD67" i="98"/>
  <c r="CR71" i="98"/>
  <c r="CM43" i="98"/>
  <c r="CI97" i="98"/>
  <c r="CI68" i="98"/>
  <c r="CN85" i="98"/>
  <c r="CN52" i="98"/>
  <c r="CD53" i="98"/>
  <c r="CI73" i="98"/>
  <c r="CI72" i="98"/>
  <c r="CI90" i="98"/>
  <c r="CO97" i="98"/>
  <c r="CM141" i="98"/>
  <c r="CI132" i="98"/>
  <c r="CN58" i="98"/>
  <c r="CN55" i="98"/>
  <c r="CD37" i="98"/>
  <c r="CI47" i="98"/>
  <c r="CI84" i="98"/>
  <c r="CD161" i="98"/>
  <c r="CI163" i="98"/>
  <c r="CI87" i="98"/>
  <c r="CN34" i="98"/>
  <c r="CN69" i="98"/>
  <c r="CD136" i="98"/>
  <c r="CN83" i="98"/>
  <c r="CI126" i="98"/>
  <c r="CN122" i="98"/>
  <c r="CI78" i="98"/>
  <c r="CI156" i="98"/>
  <c r="CN102" i="98"/>
  <c r="CD146" i="98"/>
  <c r="CN39" i="98"/>
  <c r="CO159" i="98"/>
  <c r="CO6" i="98"/>
  <c r="CN148" i="98"/>
  <c r="CN120" i="98"/>
  <c r="CD160" i="98"/>
  <c r="CD64" i="98"/>
  <c r="CI53" i="98"/>
  <c r="CI160" i="98"/>
  <c r="CI55" i="98"/>
  <c r="CN113" i="98"/>
  <c r="CD82" i="98"/>
  <c r="CD59" i="98"/>
  <c r="CI125" i="98"/>
  <c r="CI66" i="98"/>
  <c r="CD134" i="98"/>
  <c r="CI85" i="98"/>
  <c r="CD7" i="98"/>
  <c r="CJ164" i="98"/>
  <c r="CD10" i="98"/>
  <c r="CD30" i="98"/>
  <c r="CI146" i="98"/>
  <c r="CO13" i="98"/>
  <c r="CD128" i="98"/>
  <c r="CD163" i="98"/>
  <c r="CQ88" i="98"/>
  <c r="CG88" i="98"/>
  <c r="CD47" i="98"/>
  <c r="CD55" i="98"/>
  <c r="CI17" i="98"/>
  <c r="CD93" i="98"/>
  <c r="CD125" i="98"/>
  <c r="CI59" i="98"/>
  <c r="CI93" i="98"/>
  <c r="CL33" i="98"/>
  <c r="CD110" i="98"/>
  <c r="CI33" i="98"/>
  <c r="CD97" i="98"/>
  <c r="CD66" i="98"/>
  <c r="CN73" i="98"/>
  <c r="CD113" i="98"/>
  <c r="CD13" i="98"/>
  <c r="CI120" i="98"/>
  <c r="CN97" i="98"/>
  <c r="CI37" i="98"/>
  <c r="CD98" i="98"/>
  <c r="CN30" i="98"/>
  <c r="CN47" i="98"/>
  <c r="CI10" i="98"/>
  <c r="CN90" i="98"/>
  <c r="CE97" i="98"/>
  <c r="CQ53" i="98"/>
  <c r="CG90" i="98"/>
  <c r="CJ94" i="98"/>
  <c r="CL137" i="98"/>
  <c r="CR8" i="98"/>
  <c r="CG130" i="98"/>
  <c r="CE18" i="98"/>
  <c r="CL97" i="98"/>
  <c r="CD68" i="98"/>
  <c r="CN80" i="98"/>
  <c r="CD52" i="98"/>
  <c r="CI122" i="98"/>
  <c r="CI135" i="98"/>
  <c r="CN98" i="98"/>
  <c r="CO35" i="98"/>
  <c r="CN13" i="98"/>
  <c r="CO5" i="98"/>
  <c r="CE94" i="98"/>
  <c r="CD72" i="98"/>
  <c r="CD152" i="98"/>
  <c r="CD84" i="98"/>
  <c r="CN29" i="98"/>
  <c r="CM106" i="98"/>
  <c r="CD102" i="98"/>
  <c r="CK146" i="98"/>
  <c r="CH130" i="98"/>
  <c r="CH107" i="98"/>
  <c r="CM142" i="98"/>
  <c r="CH142" i="98"/>
  <c r="CH158" i="98"/>
  <c r="CQ145" i="98"/>
  <c r="CR59" i="98"/>
  <c r="CD132" i="98"/>
  <c r="CE155" i="98"/>
  <c r="CO164" i="98"/>
  <c r="CI67" i="98"/>
  <c r="CO57" i="98"/>
  <c r="G84" i="97"/>
  <c r="AL10" i="101"/>
  <c r="AL82" i="101"/>
  <c r="F63" i="97"/>
  <c r="F113" i="97"/>
  <c r="AL99" i="101"/>
  <c r="AL31" i="101"/>
  <c r="AL157" i="101"/>
  <c r="AL140" i="101"/>
  <c r="G110" i="97"/>
  <c r="F110" i="97"/>
  <c r="F32" i="97"/>
  <c r="AL58" i="101"/>
  <c r="AL98" i="101"/>
  <c r="AL154" i="101"/>
  <c r="AL130" i="101"/>
  <c r="AL60" i="101"/>
  <c r="AL54" i="101"/>
  <c r="F80" i="97"/>
  <c r="F84" i="97"/>
  <c r="F88" i="97"/>
  <c r="G80" i="97"/>
  <c r="G88" i="97"/>
  <c r="AL53" i="101"/>
  <c r="AL75" i="101"/>
  <c r="F99" i="97"/>
  <c r="F140" i="97"/>
  <c r="G72" i="97"/>
  <c r="G98" i="97"/>
  <c r="G113" i="97"/>
  <c r="F71" i="97"/>
  <c r="F72" i="97"/>
  <c r="F136" i="97"/>
  <c r="G136" i="97"/>
  <c r="G46" i="97"/>
  <c r="G101" i="97"/>
  <c r="G140" i="97"/>
  <c r="F46" i="97"/>
  <c r="F101" i="97"/>
  <c r="F98" i="97"/>
  <c r="AL147" i="101"/>
  <c r="AL105" i="101"/>
  <c r="AL164" i="101"/>
  <c r="AL40" i="101"/>
  <c r="AL116" i="101"/>
  <c r="AL52" i="101"/>
  <c r="AL127" i="101"/>
  <c r="AL51" i="101"/>
  <c r="AL125" i="101"/>
  <c r="AL124" i="101"/>
  <c r="AL146" i="101"/>
  <c r="AL39" i="101"/>
  <c r="AL19" i="101"/>
  <c r="AL9" i="101"/>
  <c r="AL90" i="101"/>
  <c r="AL72" i="101"/>
  <c r="AL79" i="101"/>
  <c r="AL23" i="101"/>
  <c r="AL38" i="101"/>
  <c r="AL46" i="101"/>
  <c r="AL95" i="101"/>
  <c r="AL133" i="101"/>
  <c r="AL137" i="101"/>
  <c r="AL77" i="101"/>
  <c r="AL111" i="101"/>
  <c r="AL44" i="101"/>
  <c r="AL113" i="101"/>
  <c r="AL27" i="101"/>
  <c r="AL76" i="101"/>
  <c r="AL49" i="101"/>
  <c r="AL151" i="101"/>
  <c r="AL24" i="101"/>
  <c r="AL59" i="101"/>
  <c r="AL148" i="101"/>
  <c r="AL26" i="101"/>
  <c r="AL93" i="101"/>
  <c r="AL126" i="101"/>
  <c r="AL89" i="101"/>
  <c r="AL161" i="101"/>
  <c r="AL139" i="101"/>
  <c r="AL108" i="101"/>
  <c r="AL106" i="101"/>
  <c r="AL135" i="101"/>
  <c r="AL132" i="101"/>
  <c r="AL25" i="101"/>
  <c r="AL102" i="101"/>
  <c r="AL81" i="101"/>
  <c r="AL15" i="101"/>
  <c r="AL42" i="101"/>
  <c r="AL48" i="101"/>
  <c r="AL85" i="101"/>
  <c r="AL115" i="101"/>
  <c r="AL86" i="101"/>
  <c r="AL83" i="101"/>
  <c r="AL84" i="101"/>
  <c r="AL109" i="101"/>
  <c r="AL67" i="101"/>
  <c r="AL29" i="101"/>
  <c r="AL104" i="101"/>
  <c r="AL120" i="101"/>
  <c r="AL69" i="101"/>
  <c r="AL11" i="101"/>
  <c r="AL43" i="101"/>
  <c r="AL128" i="101"/>
  <c r="AL87" i="101"/>
  <c r="AL156" i="101"/>
  <c r="AL153" i="101"/>
  <c r="AL152" i="101"/>
  <c r="AL68" i="101"/>
  <c r="AL123" i="101"/>
  <c r="AL20" i="101"/>
  <c r="AL101" i="101"/>
  <c r="AL144" i="101"/>
  <c r="AL119" i="101"/>
  <c r="AL66" i="101"/>
  <c r="AL78" i="101"/>
  <c r="AL138" i="101"/>
  <c r="AL142" i="101"/>
  <c r="AL13" i="101"/>
  <c r="AL37" i="101"/>
  <c r="AL145" i="101"/>
  <c r="AL16" i="101"/>
  <c r="AL163" i="101"/>
  <c r="AL55" i="101"/>
  <c r="AL107" i="101"/>
  <c r="AL56" i="101"/>
  <c r="AL12" i="101"/>
  <c r="AL114" i="101"/>
  <c r="AL33" i="101"/>
  <c r="AL50" i="101"/>
  <c r="AL129" i="101"/>
  <c r="AL36" i="101"/>
  <c r="AL45" i="101"/>
  <c r="AL149" i="101"/>
  <c r="AL73" i="101"/>
  <c r="AL94" i="101"/>
  <c r="AL136" i="101"/>
  <c r="AL34" i="101"/>
  <c r="AL61" i="101"/>
  <c r="AL32" i="101"/>
  <c r="AL118" i="101"/>
  <c r="AL131" i="101"/>
  <c r="AL103" i="101"/>
  <c r="AL97" i="101"/>
  <c r="AL165" i="101"/>
  <c r="AL8" i="101"/>
  <c r="AL121" i="101"/>
  <c r="AL71" i="101"/>
  <c r="AL7" i="101"/>
  <c r="AL150" i="101"/>
  <c r="AL64" i="101"/>
  <c r="AL30" i="101"/>
  <c r="AL92" i="101"/>
  <c r="AL65" i="101"/>
  <c r="AL110" i="101"/>
  <c r="AL141" i="101"/>
  <c r="AL17" i="101"/>
  <c r="AL162" i="101"/>
  <c r="AL47" i="101"/>
  <c r="AL117" i="101"/>
  <c r="AL18" i="101"/>
  <c r="AL91" i="101"/>
  <c r="AL159" i="101"/>
  <c r="AL155" i="101"/>
  <c r="AL74" i="101"/>
  <c r="AL22" i="101"/>
  <c r="AL80" i="101"/>
  <c r="AL96" i="101"/>
  <c r="AL63" i="101"/>
  <c r="AL35" i="101"/>
  <c r="AL70" i="101"/>
  <c r="F127" i="97"/>
  <c r="F81" i="97"/>
  <c r="G124" i="97"/>
  <c r="F61" i="97"/>
  <c r="F58" i="97"/>
  <c r="G23" i="97"/>
  <c r="F95" i="97"/>
  <c r="G106" i="97"/>
  <c r="G27" i="97"/>
  <c r="F19" i="97"/>
  <c r="G61" i="97"/>
  <c r="G32" i="97"/>
  <c r="F55" i="97"/>
  <c r="F48" i="97"/>
  <c r="F125" i="97"/>
  <c r="F37" i="97"/>
  <c r="G122" i="97"/>
  <c r="G19" i="97"/>
  <c r="G81" i="97"/>
  <c r="G78" i="97"/>
  <c r="G55" i="97"/>
  <c r="G31" i="97"/>
  <c r="G48" i="97"/>
  <c r="F23" i="97"/>
  <c r="G95" i="97"/>
  <c r="F106" i="97"/>
  <c r="G125" i="97"/>
  <c r="F122" i="97"/>
  <c r="F74" i="97"/>
  <c r="G99" i="97"/>
  <c r="F54" i="97"/>
  <c r="F30" i="97"/>
  <c r="G74" i="97"/>
  <c r="G22" i="97"/>
  <c r="G54" i="97"/>
  <c r="G58" i="97"/>
  <c r="G51" i="97"/>
  <c r="F20" i="97"/>
  <c r="G30" i="97"/>
  <c r="G85" i="97"/>
  <c r="G127" i="97"/>
  <c r="F22" i="97"/>
  <c r="F51" i="97"/>
  <c r="G20" i="97"/>
  <c r="G71" i="97"/>
  <c r="BE29" i="96"/>
  <c r="BE30" i="96" s="1"/>
  <c r="BE31" i="96" s="1"/>
  <c r="BE32" i="96" s="1"/>
  <c r="BE33" i="96" s="1"/>
  <c r="BE34" i="96" s="1"/>
  <c r="BD26" i="96"/>
  <c r="AA62" i="96"/>
  <c r="Y75" i="96"/>
  <c r="AA34" i="96"/>
  <c r="Z60" i="96"/>
  <c r="Z103" i="96"/>
  <c r="AA79" i="96"/>
  <c r="Z109" i="96"/>
  <c r="Z135" i="96"/>
  <c r="Y128" i="96"/>
  <c r="Z132" i="96"/>
  <c r="AA139" i="96"/>
  <c r="Z87" i="96"/>
  <c r="Y43" i="96"/>
  <c r="Z121" i="96"/>
  <c r="Y57" i="96"/>
  <c r="Z138" i="96"/>
  <c r="Y85" i="96"/>
  <c r="AA108" i="96"/>
  <c r="Y24" i="96"/>
  <c r="Z102" i="96"/>
  <c r="Z111" i="96"/>
  <c r="Y135" i="96"/>
  <c r="AA131" i="96"/>
  <c r="Z70" i="96"/>
  <c r="Y139" i="96"/>
  <c r="AA141" i="96"/>
  <c r="Z108" i="96"/>
  <c r="Y45" i="96"/>
  <c r="Y102" i="96"/>
  <c r="AA114" i="96"/>
  <c r="Z21" i="96"/>
  <c r="AA43" i="96"/>
  <c r="AA135" i="96"/>
  <c r="Y131" i="96"/>
  <c r="AA86" i="96"/>
  <c r="AA109" i="96"/>
  <c r="AA52" i="96"/>
  <c r="Y108" i="96"/>
  <c r="AA45" i="96"/>
  <c r="Y115" i="96"/>
  <c r="AA102" i="96"/>
  <c r="Y114" i="96"/>
  <c r="Z35" i="96"/>
  <c r="Y97" i="96"/>
  <c r="AA77" i="96"/>
  <c r="Z131" i="96"/>
  <c r="Z86" i="96"/>
  <c r="Z43" i="96"/>
  <c r="Y133" i="96"/>
  <c r="Y109" i="96"/>
  <c r="AA107" i="96"/>
  <c r="Y52" i="96"/>
  <c r="Y112" i="96"/>
  <c r="Z45" i="96"/>
  <c r="Z115" i="96"/>
  <c r="Y111" i="96"/>
  <c r="Y47" i="96"/>
  <c r="Z114" i="96"/>
  <c r="Y35" i="96"/>
  <c r="AA97" i="96"/>
  <c r="Y77" i="96"/>
  <c r="AA133" i="96"/>
  <c r="AA60" i="96"/>
  <c r="AA69" i="96"/>
  <c r="Z130" i="96"/>
  <c r="AA112" i="96"/>
  <c r="AA115" i="96"/>
  <c r="Z76" i="96"/>
  <c r="AA111" i="96"/>
  <c r="AA47" i="96"/>
  <c r="AA35" i="96"/>
  <c r="Z97" i="96"/>
  <c r="Z18" i="96"/>
  <c r="Z79" i="96"/>
  <c r="Z37" i="96"/>
  <c r="Y25" i="96"/>
  <c r="Y103" i="96"/>
  <c r="Y107" i="96"/>
  <c r="Z77" i="96"/>
  <c r="Y134" i="96"/>
  <c r="Z100" i="96"/>
  <c r="Z52" i="96"/>
  <c r="AA95" i="96"/>
  <c r="AA126" i="96"/>
  <c r="AA76" i="96"/>
  <c r="Z47" i="96"/>
  <c r="AA37" i="96"/>
  <c r="Z25" i="96"/>
  <c r="AA103" i="96"/>
  <c r="Y44" i="96"/>
  <c r="Z107" i="96"/>
  <c r="AA50" i="96"/>
  <c r="AA137" i="96"/>
  <c r="Y104" i="96"/>
  <c r="Y86" i="96"/>
  <c r="Y100" i="96"/>
  <c r="Z133" i="96"/>
  <c r="AA27" i="96"/>
  <c r="AA33" i="96"/>
  <c r="Z73" i="96"/>
  <c r="AA75" i="96"/>
  <c r="Y126" i="96"/>
  <c r="Y76" i="96"/>
  <c r="Y59" i="96"/>
  <c r="Z134" i="96"/>
  <c r="AA132" i="96"/>
  <c r="Y18" i="96"/>
  <c r="Y79" i="96"/>
  <c r="Y50" i="96"/>
  <c r="Y137" i="96"/>
  <c r="AA104" i="96"/>
  <c r="Y36" i="96"/>
  <c r="AA100" i="96"/>
  <c r="AA87" i="96"/>
  <c r="AA73" i="96"/>
  <c r="AA138" i="96"/>
  <c r="Z59" i="96"/>
  <c r="Z126" i="96"/>
  <c r="Z44" i="96"/>
  <c r="Y83" i="96"/>
  <c r="Z128" i="96"/>
  <c r="Y31" i="96"/>
  <c r="Z105" i="96"/>
  <c r="AA134" i="96"/>
  <c r="Y132" i="96"/>
  <c r="AA96" i="96"/>
  <c r="Z137" i="96"/>
  <c r="Z104" i="96"/>
  <c r="Z36" i="96"/>
  <c r="Y124" i="96"/>
  <c r="Y138" i="96"/>
  <c r="AA49" i="96"/>
  <c r="Y73" i="96"/>
  <c r="AA59" i="96"/>
  <c r="Z69" i="96"/>
  <c r="Z75" i="96"/>
  <c r="AA44" i="96"/>
  <c r="AA128" i="96"/>
  <c r="Y121" i="96"/>
  <c r="Z96" i="96"/>
  <c r="AA129" i="96"/>
  <c r="Y82" i="96"/>
  <c r="Z49" i="96"/>
  <c r="AA17" i="96"/>
  <c r="AA56" i="96"/>
  <c r="Z50" i="96"/>
  <c r="Z82" i="96"/>
  <c r="AA28" i="96"/>
  <c r="Y105" i="96"/>
  <c r="AA57" i="96"/>
  <c r="AA80" i="96"/>
  <c r="Y53" i="96"/>
  <c r="AA121" i="96"/>
  <c r="Z89" i="96"/>
  <c r="Y96" i="96"/>
  <c r="Y87" i="96"/>
  <c r="Y129" i="96"/>
  <c r="AA123" i="96"/>
  <c r="Y49" i="96"/>
  <c r="Y130" i="96"/>
  <c r="Y69" i="96"/>
  <c r="AA82" i="96"/>
  <c r="Z28" i="96"/>
  <c r="AA105" i="96"/>
  <c r="Z57" i="96"/>
  <c r="Z83" i="96"/>
  <c r="Z53" i="96"/>
  <c r="AA78" i="96"/>
  <c r="AA31" i="96"/>
  <c r="AA89" i="96"/>
  <c r="Z129" i="96"/>
  <c r="AA70" i="96"/>
  <c r="Z141" i="96"/>
  <c r="Y123" i="96"/>
  <c r="Y60" i="96"/>
  <c r="AA83" i="96"/>
  <c r="Z139" i="96"/>
  <c r="Z24" i="96"/>
  <c r="Z112" i="96"/>
  <c r="Y28" i="96"/>
  <c r="Y78" i="96"/>
  <c r="AA130" i="96"/>
  <c r="Y89" i="96"/>
  <c r="Y70" i="96"/>
  <c r="Y141" i="96"/>
  <c r="Z123" i="96"/>
  <c r="Z62" i="96"/>
  <c r="AD115" i="96"/>
  <c r="AA63" i="96"/>
  <c r="AD31" i="96"/>
  <c r="AE50" i="96"/>
  <c r="AE107" i="96"/>
  <c r="AD104" i="96"/>
  <c r="AD108" i="96"/>
  <c r="AE46" i="96"/>
  <c r="AE80" i="96"/>
  <c r="AE140" i="96"/>
  <c r="Y26" i="96"/>
  <c r="AE47" i="96"/>
  <c r="AD126" i="96"/>
  <c r="AE139" i="96"/>
  <c r="AE61" i="96"/>
  <c r="AD121" i="96"/>
  <c r="AE59" i="96"/>
  <c r="AD75" i="96"/>
  <c r="AE108" i="96"/>
  <c r="AD24" i="96"/>
  <c r="AA22" i="96"/>
  <c r="AE111" i="96"/>
  <c r="AE23" i="96"/>
  <c r="AE132" i="96"/>
  <c r="AD129" i="96"/>
  <c r="AD78" i="96"/>
  <c r="AE75" i="96"/>
  <c r="AE48" i="96"/>
  <c r="Q48" i="99" s="1"/>
  <c r="Z26" i="96"/>
  <c r="AE126" i="96"/>
  <c r="AD114" i="96"/>
  <c r="AD52" i="96"/>
  <c r="AD58" i="96"/>
  <c r="AE110" i="96"/>
  <c r="AD36" i="96"/>
  <c r="AD134" i="96"/>
  <c r="AD59" i="96"/>
  <c r="AD45" i="96"/>
  <c r="AE28" i="96"/>
  <c r="Z34" i="96"/>
  <c r="AD70" i="96"/>
  <c r="P108" i="99"/>
  <c r="AE24" i="96"/>
  <c r="AD135" i="96"/>
  <c r="AA25" i="96"/>
  <c r="AD50" i="96"/>
  <c r="AE36" i="96"/>
  <c r="AE25" i="96"/>
  <c r="AD76" i="96"/>
  <c r="AE109" i="96"/>
  <c r="Q109" i="99" s="1"/>
  <c r="Q107" i="99"/>
  <c r="AA21" i="96"/>
  <c r="AE104" i="96"/>
  <c r="AE115" i="96"/>
  <c r="AA113" i="96"/>
  <c r="AE74" i="96"/>
  <c r="AD123" i="96"/>
  <c r="AE44" i="96"/>
  <c r="AE62" i="96"/>
  <c r="AE128" i="96"/>
  <c r="Y29" i="96"/>
  <c r="AD51" i="96"/>
  <c r="Y27" i="96"/>
  <c r="AE137" i="96"/>
  <c r="AD49" i="96"/>
  <c r="AE69" i="96"/>
  <c r="AE113" i="96"/>
  <c r="AD79" i="96"/>
  <c r="AD127" i="96"/>
  <c r="AE20" i="96"/>
  <c r="AE78" i="96"/>
  <c r="Q28" i="99"/>
  <c r="AE88" i="96"/>
  <c r="AE30" i="96"/>
  <c r="AD44" i="96"/>
  <c r="AE76" i="96"/>
  <c r="AD139" i="96"/>
  <c r="P139" i="99" s="1"/>
  <c r="AE106" i="96"/>
  <c r="AD138" i="96"/>
  <c r="AE77" i="96"/>
  <c r="AE18" i="96"/>
  <c r="Z63" i="96"/>
  <c r="AD98" i="96"/>
  <c r="AE135" i="96"/>
  <c r="AE71" i="96"/>
  <c r="AD102" i="96"/>
  <c r="AE122" i="96"/>
  <c r="AD86" i="96"/>
  <c r="P86" i="99" s="1"/>
  <c r="AD107" i="96"/>
  <c r="P107" i="99" s="1"/>
  <c r="AE19" i="96"/>
  <c r="AE103" i="96"/>
  <c r="AD53" i="96"/>
  <c r="AD96" i="96"/>
  <c r="AE105" i="96"/>
  <c r="AE85" i="96"/>
  <c r="AE96" i="96"/>
  <c r="Q96" i="99" s="1"/>
  <c r="AD89" i="96"/>
  <c r="AD82" i="96"/>
  <c r="AE51" i="96"/>
  <c r="Q135" i="99"/>
  <c r="AE45" i="96"/>
  <c r="AD55" i="96"/>
  <c r="AD111" i="96"/>
  <c r="AE32" i="96"/>
  <c r="AE100" i="96"/>
  <c r="AE134" i="96"/>
  <c r="AD43" i="96"/>
  <c r="AD106" i="96"/>
  <c r="P106" i="99" s="1"/>
  <c r="AD57" i="96"/>
  <c r="AD125" i="96"/>
  <c r="P125" i="99" s="1"/>
  <c r="Q69" i="99"/>
  <c r="AE37" i="96"/>
  <c r="Q37" i="99" s="1"/>
  <c r="AE127" i="96"/>
  <c r="AD60" i="96"/>
  <c r="AE53" i="96"/>
  <c r="AD136" i="96"/>
  <c r="AE86" i="96"/>
  <c r="AD97" i="96"/>
  <c r="AD85" i="96"/>
  <c r="AE70" i="96"/>
  <c r="AA26" i="96"/>
  <c r="AD103" i="96"/>
  <c r="AD25" i="96"/>
  <c r="AE55" i="96"/>
  <c r="AD71" i="96"/>
  <c r="AE141" i="96"/>
  <c r="AD19" i="96"/>
  <c r="P19" i="99" s="1"/>
  <c r="AD47" i="96"/>
  <c r="AD22" i="96"/>
  <c r="Q132" i="99"/>
  <c r="AD101" i="96"/>
  <c r="AE58" i="96"/>
  <c r="AD73" i="96"/>
  <c r="AE130" i="96"/>
  <c r="AD54" i="96"/>
  <c r="P54" i="99" s="1"/>
  <c r="AE83" i="96"/>
  <c r="Q83" i="99" s="1"/>
  <c r="Q78" i="99"/>
  <c r="AD130" i="96"/>
  <c r="AE21" i="96"/>
  <c r="AE82" i="96"/>
  <c r="Q32" i="99"/>
  <c r="Y62" i="96"/>
  <c r="AA29" i="96"/>
  <c r="AD72" i="96"/>
  <c r="Y17" i="96"/>
  <c r="AD124" i="96"/>
  <c r="AD99" i="96"/>
  <c r="Y21" i="96"/>
  <c r="AD61" i="96"/>
  <c r="AD95" i="96"/>
  <c r="P95" i="99" s="1"/>
  <c r="P78" i="99"/>
  <c r="AD100" i="96"/>
  <c r="AD131" i="96"/>
  <c r="AE112" i="96"/>
  <c r="AD122" i="96"/>
  <c r="Q74" i="99"/>
  <c r="AD105" i="96"/>
  <c r="AE133" i="96"/>
  <c r="Q133" i="99" s="1"/>
  <c r="Q53" i="99"/>
  <c r="AD63" i="96"/>
  <c r="AE49" i="96"/>
  <c r="Q49" i="99" s="1"/>
  <c r="AE95" i="96"/>
  <c r="AD87" i="96"/>
  <c r="AE124" i="96"/>
  <c r="AD83" i="96"/>
  <c r="Q19" i="99"/>
  <c r="Q71" i="99"/>
  <c r="AE27" i="96"/>
  <c r="AD113" i="96"/>
  <c r="AE99" i="96"/>
  <c r="Q99" i="99" s="1"/>
  <c r="AD133" i="96"/>
  <c r="AD46" i="96"/>
  <c r="AD140" i="96"/>
  <c r="Y34" i="96"/>
  <c r="AE31" i="96"/>
  <c r="P47" i="99"/>
  <c r="AD32" i="96"/>
  <c r="Q23" i="99"/>
  <c r="AE101" i="96"/>
  <c r="AD37" i="96"/>
  <c r="AE87" i="96"/>
  <c r="Z17" i="96"/>
  <c r="AD35" i="96"/>
  <c r="AD74" i="96"/>
  <c r="AE54" i="96"/>
  <c r="AE114" i="96"/>
  <c r="P133" i="99"/>
  <c r="AD88" i="96"/>
  <c r="AE121" i="96"/>
  <c r="P49" i="99"/>
  <c r="AD69" i="96"/>
  <c r="Q36" i="99"/>
  <c r="AE22" i="96"/>
  <c r="Q22" i="99" s="1"/>
  <c r="AE131" i="96"/>
  <c r="Q131" i="99" s="1"/>
  <c r="AE35" i="96"/>
  <c r="AA23" i="96"/>
  <c r="AD132" i="96"/>
  <c r="Y33" i="96"/>
  <c r="AE57" i="96"/>
  <c r="Q57" i="99" s="1"/>
  <c r="AE89" i="96"/>
  <c r="Y56" i="96"/>
  <c r="AD30" i="96"/>
  <c r="P30" i="99" s="1"/>
  <c r="AE79" i="96"/>
  <c r="Q79" i="99" s="1"/>
  <c r="P124" i="99"/>
  <c r="AD18" i="96"/>
  <c r="AD77" i="96"/>
  <c r="AE136" i="96"/>
  <c r="Q20" i="99"/>
  <c r="AD110" i="96"/>
  <c r="Z29" i="96"/>
  <c r="AE60" i="96"/>
  <c r="P45" i="99"/>
  <c r="P104" i="99"/>
  <c r="AD28" i="96"/>
  <c r="AE73" i="96"/>
  <c r="AD20" i="96"/>
  <c r="P69" i="99"/>
  <c r="AD84" i="96"/>
  <c r="AD81" i="96"/>
  <c r="AE84" i="96"/>
  <c r="AE125" i="96"/>
  <c r="Q125" i="99" s="1"/>
  <c r="AD109" i="96"/>
  <c r="AE102" i="96"/>
  <c r="Z56" i="96"/>
  <c r="AD80" i="96"/>
  <c r="P37" i="99"/>
  <c r="AD128" i="96"/>
  <c r="AE52" i="96"/>
  <c r="AA48" i="96"/>
  <c r="Q106" i="99"/>
  <c r="AE72" i="96"/>
  <c r="AE138" i="96"/>
  <c r="AD112" i="96"/>
  <c r="AD141" i="96"/>
  <c r="AE123" i="96"/>
  <c r="AE97" i="96"/>
  <c r="P22" i="99"/>
  <c r="AD137" i="96"/>
  <c r="Z33" i="96"/>
  <c r="AE129" i="96"/>
  <c r="AE81" i="96"/>
  <c r="Q81" i="99" s="1"/>
  <c r="Q25" i="99"/>
  <c r="AE98" i="96"/>
  <c r="Q30" i="99"/>
  <c r="AE43" i="96"/>
  <c r="Q43" i="99" s="1"/>
  <c r="P61" i="99"/>
  <c r="AD23" i="96"/>
  <c r="P23" i="99" s="1"/>
  <c r="P134" i="99"/>
  <c r="AD48" i="96"/>
  <c r="F85" i="97" l="1"/>
  <c r="G138" i="97"/>
  <c r="F57" i="97"/>
  <c r="G121" i="97"/>
  <c r="F43" i="97"/>
  <c r="G87" i="97"/>
  <c r="G132" i="97"/>
  <c r="F128" i="97"/>
  <c r="G135" i="97"/>
  <c r="G109" i="97"/>
  <c r="G103" i="97"/>
  <c r="G60" i="97"/>
  <c r="F75" i="97"/>
  <c r="G62" i="97"/>
  <c r="G123" i="97"/>
  <c r="F141" i="97"/>
  <c r="F70" i="97"/>
  <c r="F89" i="97"/>
  <c r="F78" i="97"/>
  <c r="F28" i="97"/>
  <c r="G112" i="97"/>
  <c r="G24" i="97"/>
  <c r="G139" i="97"/>
  <c r="F60" i="97"/>
  <c r="F123" i="97"/>
  <c r="G141" i="97"/>
  <c r="G129" i="97"/>
  <c r="G53" i="97"/>
  <c r="G83" i="97"/>
  <c r="G57" i="97"/>
  <c r="G28" i="97"/>
  <c r="F69" i="97"/>
  <c r="F130" i="97"/>
  <c r="F49" i="97"/>
  <c r="F129" i="97"/>
  <c r="F87" i="97"/>
  <c r="F96" i="97"/>
  <c r="G89" i="97"/>
  <c r="F53" i="97"/>
  <c r="F105" i="97"/>
  <c r="G82" i="97"/>
  <c r="G50" i="97"/>
  <c r="G49" i="97"/>
  <c r="F82" i="97"/>
  <c r="G96" i="97"/>
  <c r="F121" i="97"/>
  <c r="G75" i="97"/>
  <c r="G69" i="97"/>
  <c r="F73" i="97"/>
  <c r="F138" i="97"/>
  <c r="F124" i="97"/>
  <c r="G36" i="97"/>
  <c r="G104" i="97"/>
  <c r="G137" i="97"/>
  <c r="F132" i="97"/>
  <c r="G105" i="97"/>
  <c r="F31" i="97"/>
  <c r="G128" i="97"/>
  <c r="F83" i="97"/>
  <c r="G44" i="97"/>
  <c r="G126" i="97"/>
  <c r="G59" i="97"/>
  <c r="F36" i="97"/>
  <c r="F137" i="97"/>
  <c r="F50" i="97"/>
  <c r="F79" i="97"/>
  <c r="F18" i="97"/>
  <c r="G134" i="97"/>
  <c r="F59" i="97"/>
  <c r="F76" i="97"/>
  <c r="F126" i="97"/>
  <c r="G73" i="97"/>
  <c r="G133" i="97"/>
  <c r="F100" i="97"/>
  <c r="F86" i="97"/>
  <c r="F104" i="97"/>
  <c r="G107" i="97"/>
  <c r="F44" i="97"/>
  <c r="G25" i="97"/>
  <c r="G47" i="97"/>
  <c r="G52" i="97"/>
  <c r="G100" i="97"/>
  <c r="F134" i="97"/>
  <c r="G77" i="97"/>
  <c r="F107" i="97"/>
  <c r="F103" i="97"/>
  <c r="F25" i="97"/>
  <c r="G37" i="97"/>
  <c r="G79" i="97"/>
  <c r="G18" i="97"/>
  <c r="G97" i="97"/>
  <c r="G76" i="97"/>
  <c r="G130" i="97"/>
  <c r="F77" i="97"/>
  <c r="F35" i="97"/>
  <c r="G114" i="97"/>
  <c r="F47" i="97"/>
  <c r="F111" i="97"/>
  <c r="G115" i="97"/>
  <c r="G45" i="97"/>
  <c r="F112" i="97"/>
  <c r="F52" i="97"/>
  <c r="F109" i="97"/>
  <c r="F133" i="97"/>
  <c r="G43" i="97"/>
  <c r="G86" i="97"/>
  <c r="G131" i="97"/>
  <c r="F97" i="97"/>
  <c r="G35" i="97"/>
  <c r="F114" i="97"/>
  <c r="F115" i="97"/>
  <c r="F108" i="97"/>
  <c r="F131" i="97"/>
  <c r="G21" i="97"/>
  <c r="F102" i="97"/>
  <c r="F45" i="97"/>
  <c r="G108" i="97"/>
  <c r="F139" i="97"/>
  <c r="G70" i="97"/>
  <c r="F135" i="97"/>
  <c r="G111" i="97"/>
  <c r="G102" i="97"/>
  <c r="F24" i="97"/>
  <c r="F62" i="97"/>
  <c r="G63" i="97"/>
  <c r="F27" i="97"/>
  <c r="K88" i="97"/>
  <c r="L101" i="97"/>
  <c r="K113" i="97"/>
  <c r="K121" i="97"/>
  <c r="K84" i="97"/>
  <c r="K87" i="97"/>
  <c r="L70" i="97"/>
  <c r="K137" i="97"/>
  <c r="L72" i="97"/>
  <c r="F29" i="97"/>
  <c r="G56" i="97"/>
  <c r="L84" i="97"/>
  <c r="K126" i="97"/>
  <c r="K28" i="97"/>
  <c r="K63" i="97"/>
  <c r="K97" i="97"/>
  <c r="L134" i="97"/>
  <c r="K89" i="97"/>
  <c r="K130" i="97"/>
  <c r="K138" i="97"/>
  <c r="L128" i="97"/>
  <c r="L114" i="97"/>
  <c r="K32" i="97"/>
  <c r="F26" i="97"/>
  <c r="G29" i="97"/>
  <c r="K105" i="97"/>
  <c r="K136" i="97"/>
  <c r="L97" i="97"/>
  <c r="L105" i="97"/>
  <c r="L130" i="97"/>
  <c r="L76" i="97"/>
  <c r="K123" i="97"/>
  <c r="K70" i="97"/>
  <c r="L102" i="97"/>
  <c r="L126" i="97"/>
  <c r="L140" i="97"/>
  <c r="K110" i="97"/>
  <c r="L110" i="97"/>
  <c r="G34" i="97"/>
  <c r="F34" i="97"/>
  <c r="G26" i="97"/>
  <c r="L80" i="97"/>
  <c r="L136" i="97"/>
  <c r="L112" i="97"/>
  <c r="L98" i="97"/>
  <c r="L123" i="97"/>
  <c r="L103" i="97"/>
  <c r="K101" i="97"/>
  <c r="L88" i="97"/>
  <c r="L115" i="97"/>
  <c r="K128" i="97"/>
  <c r="K140" i="97"/>
  <c r="K75" i="97"/>
  <c r="L46" i="97"/>
  <c r="K111" i="97"/>
  <c r="L75" i="97"/>
  <c r="G17" i="97"/>
  <c r="K46" i="97"/>
  <c r="F56" i="97"/>
  <c r="F21" i="97"/>
  <c r="L129" i="97"/>
  <c r="K112" i="97"/>
  <c r="K102" i="97"/>
  <c r="K71" i="97"/>
  <c r="L113" i="97"/>
  <c r="K76" i="97"/>
  <c r="L87" i="97"/>
  <c r="K52" i="97"/>
  <c r="K129" i="97"/>
  <c r="L50" i="97"/>
  <c r="L89" i="97"/>
  <c r="K99" i="97"/>
  <c r="F33" i="97"/>
  <c r="F17" i="97"/>
  <c r="G33" i="97"/>
  <c r="L138" i="97"/>
  <c r="K98" i="97"/>
  <c r="K103" i="97"/>
  <c r="L137" i="97"/>
  <c r="K50" i="97"/>
  <c r="K80" i="97"/>
  <c r="K114" i="97"/>
  <c r="L111" i="97"/>
  <c r="K115" i="97"/>
  <c r="K132" i="97"/>
  <c r="K72" i="97"/>
  <c r="K57" i="97"/>
  <c r="L121" i="97"/>
  <c r="AL62" i="101"/>
  <c r="L71" i="97"/>
  <c r="L59" i="97"/>
  <c r="K24" i="97"/>
  <c r="L86" i="97"/>
  <c r="K122" i="97"/>
  <c r="L55" i="97"/>
  <c r="L32" i="97"/>
  <c r="L61" i="97"/>
  <c r="L131" i="97"/>
  <c r="K35" i="97"/>
  <c r="L107" i="97"/>
  <c r="L69" i="97"/>
  <c r="L127" i="97"/>
  <c r="K20" i="97"/>
  <c r="L96" i="97"/>
  <c r="K104" i="97"/>
  <c r="K30" i="97"/>
  <c r="L25" i="97"/>
  <c r="K96" i="97"/>
  <c r="L95" i="97"/>
  <c r="L83" i="97"/>
  <c r="L53" i="97"/>
  <c r="L19" i="97"/>
  <c r="K37" i="97"/>
  <c r="K85" i="97"/>
  <c r="L106" i="97"/>
  <c r="K58" i="97"/>
  <c r="K61" i="97"/>
  <c r="L125" i="97"/>
  <c r="K83" i="97"/>
  <c r="K43" i="97"/>
  <c r="L62" i="97"/>
  <c r="L79" i="97"/>
  <c r="K22" i="97"/>
  <c r="L132" i="97"/>
  <c r="K141" i="97"/>
  <c r="L51" i="97"/>
  <c r="L54" i="97"/>
  <c r="L22" i="97"/>
  <c r="L37" i="97"/>
  <c r="K73" i="97"/>
  <c r="L82" i="97"/>
  <c r="K36" i="97"/>
  <c r="L48" i="97"/>
  <c r="L78" i="97"/>
  <c r="K77" i="97"/>
  <c r="L18" i="97"/>
  <c r="L108" i="97"/>
  <c r="K95" i="97"/>
  <c r="K69" i="97"/>
  <c r="K31" i="97"/>
  <c r="L124" i="97"/>
  <c r="K51" i="97"/>
  <c r="L47" i="97"/>
  <c r="L57" i="97"/>
  <c r="K107" i="97"/>
  <c r="L24" i="97"/>
  <c r="L60" i="97"/>
  <c r="K53" i="97"/>
  <c r="L104" i="97"/>
  <c r="K124" i="97"/>
  <c r="K44" i="97"/>
  <c r="K134" i="97"/>
  <c r="L133" i="97"/>
  <c r="L81" i="97"/>
  <c r="L122" i="97"/>
  <c r="K125" i="97"/>
  <c r="K48" i="97"/>
  <c r="L27" i="97"/>
  <c r="L43" i="97"/>
  <c r="K108" i="97"/>
  <c r="L28" i="97"/>
  <c r="L45" i="97"/>
  <c r="K131" i="97"/>
  <c r="L139" i="97"/>
  <c r="L100" i="97"/>
  <c r="K55" i="97"/>
  <c r="L141" i="97"/>
  <c r="L135" i="97"/>
  <c r="K47" i="97"/>
  <c r="L73" i="97"/>
  <c r="L85" i="97"/>
  <c r="L58" i="97"/>
  <c r="K79" i="97"/>
  <c r="K25" i="97"/>
  <c r="L74" i="97"/>
  <c r="L49" i="97"/>
  <c r="K54" i="97"/>
  <c r="K86" i="97"/>
  <c r="L109" i="97"/>
  <c r="K49" i="97"/>
  <c r="K106" i="97"/>
  <c r="K23" i="97"/>
  <c r="K139" i="97"/>
  <c r="K18" i="97"/>
  <c r="K109" i="97"/>
  <c r="L36" i="97"/>
  <c r="K60" i="97"/>
  <c r="L35" i="97"/>
  <c r="L44" i="97"/>
  <c r="K19" i="97"/>
  <c r="K45" i="97"/>
  <c r="K59" i="97"/>
  <c r="L20" i="97"/>
  <c r="K82" i="97"/>
  <c r="L52" i="97"/>
  <c r="L30" i="97"/>
  <c r="K133" i="97"/>
  <c r="L99" i="97"/>
  <c r="K74" i="97"/>
  <c r="L21" i="97"/>
  <c r="L31" i="97"/>
  <c r="K100" i="97"/>
  <c r="K78" i="97"/>
  <c r="L23" i="97"/>
  <c r="K135" i="97"/>
  <c r="L77" i="97"/>
  <c r="K81" i="97"/>
  <c r="K127" i="97"/>
  <c r="BD27" i="96"/>
  <c r="BD28" i="96" s="1"/>
  <c r="BE35" i="96"/>
  <c r="P48" i="99"/>
  <c r="Q27" i="99"/>
  <c r="P60" i="99"/>
  <c r="Q44" i="99"/>
  <c r="AE29" i="96"/>
  <c r="P71" i="99"/>
  <c r="P24" i="99"/>
  <c r="P55" i="99"/>
  <c r="Q128" i="99"/>
  <c r="AE63" i="96"/>
  <c r="Q126" i="99"/>
  <c r="Q89" i="99"/>
  <c r="Q130" i="99"/>
  <c r="P52" i="99"/>
  <c r="P141" i="99"/>
  <c r="P83" i="99"/>
  <c r="P43" i="99"/>
  <c r="Q104" i="99"/>
  <c r="Q97" i="99"/>
  <c r="Q87" i="99"/>
  <c r="P87" i="99"/>
  <c r="Q122" i="99"/>
  <c r="P136" i="99"/>
  <c r="Q101" i="99"/>
  <c r="Q110" i="99"/>
  <c r="AD17" i="96"/>
  <c r="AE34" i="96"/>
  <c r="Q34" i="99"/>
  <c r="Q129" i="99"/>
  <c r="Q52" i="99"/>
  <c r="Q124" i="99"/>
  <c r="Q100" i="99"/>
  <c r="P135" i="99"/>
  <c r="Q76" i="99"/>
  <c r="Q50" i="99"/>
  <c r="Q72" i="99"/>
  <c r="Q31" i="99"/>
  <c r="P70" i="99"/>
  <c r="P84" i="99"/>
  <c r="AE26" i="96"/>
  <c r="P98" i="99"/>
  <c r="P128" i="99"/>
  <c r="Q62" i="99"/>
  <c r="P109" i="99"/>
  <c r="Q95" i="99"/>
  <c r="Q51" i="99"/>
  <c r="P36" i="99"/>
  <c r="Q102" i="99"/>
  <c r="AD33" i="96"/>
  <c r="P89" i="99"/>
  <c r="AD62" i="96"/>
  <c r="Q80" i="99"/>
  <c r="P137" i="99"/>
  <c r="Q112" i="99"/>
  <c r="P50" i="99"/>
  <c r="AD21" i="96"/>
  <c r="P123" i="99"/>
  <c r="P81" i="99"/>
  <c r="P122" i="99"/>
  <c r="P82" i="99"/>
  <c r="Q108" i="99"/>
  <c r="P88" i="99"/>
  <c r="P110" i="99"/>
  <c r="Q138" i="99"/>
  <c r="AD26" i="96"/>
  <c r="AD34" i="96"/>
  <c r="P34" i="99" s="1"/>
  <c r="P101" i="99"/>
  <c r="AE56" i="96"/>
  <c r="Q103" i="99"/>
  <c r="Q111" i="99"/>
  <c r="P99" i="99"/>
  <c r="Q84" i="99"/>
  <c r="P20" i="99"/>
  <c r="P131" i="99"/>
  <c r="Q85" i="99"/>
  <c r="Q59" i="99"/>
  <c r="P121" i="99"/>
  <c r="Q136" i="99"/>
  <c r="Q137" i="99"/>
  <c r="Q140" i="99"/>
  <c r="Q18" i="99"/>
  <c r="AE17" i="96"/>
  <c r="P28" i="99"/>
  <c r="Q115" i="99"/>
  <c r="P72" i="99"/>
  <c r="P80" i="99"/>
  <c r="Q114" i="99"/>
  <c r="Q73" i="99"/>
  <c r="P100" i="99"/>
  <c r="P96" i="99"/>
  <c r="Q139" i="99"/>
  <c r="Q70" i="99"/>
  <c r="Q123" i="99"/>
  <c r="P114" i="99"/>
  <c r="Q98" i="99"/>
  <c r="P127" i="99"/>
  <c r="P129" i="99"/>
  <c r="Q134" i="99"/>
  <c r="P75" i="99"/>
  <c r="P18" i="99"/>
  <c r="Q35" i="99"/>
  <c r="Q86" i="99"/>
  <c r="Q141" i="99"/>
  <c r="Q60" i="99"/>
  <c r="Q82" i="99"/>
  <c r="P53" i="99"/>
  <c r="Q47" i="99"/>
  <c r="AD29" i="96"/>
  <c r="Q88" i="99"/>
  <c r="P132" i="99"/>
  <c r="Q46" i="99"/>
  <c r="P59" i="99"/>
  <c r="P103" i="99"/>
  <c r="P138" i="99"/>
  <c r="Q75" i="99"/>
  <c r="Q24" i="99"/>
  <c r="Q45" i="99"/>
  <c r="P62" i="99"/>
  <c r="P63" i="99"/>
  <c r="P77" i="99"/>
  <c r="Q21" i="99"/>
  <c r="Q77" i="99"/>
  <c r="P126" i="99"/>
  <c r="P140" i="99"/>
  <c r="Q121" i="99"/>
  <c r="P102" i="99"/>
  <c r="P31" i="99"/>
  <c r="P57" i="99"/>
  <c r="P32" i="99"/>
  <c r="AD56" i="96"/>
  <c r="Q61" i="99"/>
  <c r="P33" i="99"/>
  <c r="Q54" i="99"/>
  <c r="P73" i="99"/>
  <c r="P79" i="99"/>
  <c r="P97" i="99"/>
  <c r="P111" i="99"/>
  <c r="Q55" i="99"/>
  <c r="P76" i="99"/>
  <c r="Q127" i="99"/>
  <c r="P58" i="99"/>
  <c r="P105" i="99"/>
  <c r="P112" i="99"/>
  <c r="P44" i="99"/>
  <c r="P35" i="99"/>
  <c r="P74" i="99"/>
  <c r="P85" i="99"/>
  <c r="P51" i="99"/>
  <c r="P130" i="99"/>
  <c r="P46" i="99"/>
  <c r="P25" i="99"/>
  <c r="AE33" i="96"/>
  <c r="Q33" i="99" s="1"/>
  <c r="P113" i="99"/>
  <c r="Q58" i="99"/>
  <c r="Q105" i="99"/>
  <c r="Q113" i="99"/>
  <c r="AD27" i="96"/>
  <c r="P27" i="99" s="1"/>
  <c r="P115" i="99"/>
  <c r="K21" i="97" l="1"/>
  <c r="L34" i="97"/>
  <c r="K27" i="97"/>
  <c r="K17" i="97"/>
  <c r="K56" i="97"/>
  <c r="L26" i="97"/>
  <c r="L56" i="97"/>
  <c r="L63" i="97"/>
  <c r="L17" i="97"/>
  <c r="K34" i="97"/>
  <c r="K62" i="97"/>
  <c r="L33" i="97"/>
  <c r="K26" i="97"/>
  <c r="K33" i="97"/>
  <c r="L29" i="97"/>
  <c r="K29" i="97"/>
  <c r="BE36" i="96"/>
  <c r="BE37" i="96" s="1"/>
  <c r="BE38" i="96" s="1"/>
  <c r="BE39" i="96" s="1"/>
  <c r="BE40" i="96" s="1"/>
  <c r="BD29" i="96"/>
  <c r="P21" i="99"/>
  <c r="P56" i="99"/>
  <c r="Q63" i="99"/>
  <c r="P29" i="99"/>
  <c r="Q26" i="99"/>
  <c r="P26" i="99"/>
  <c r="Q17" i="99"/>
  <c r="Q29" i="99"/>
  <c r="P17" i="99"/>
  <c r="Q56" i="99"/>
  <c r="BD30" i="96" l="1"/>
  <c r="BE41" i="96"/>
  <c r="BD31" i="96" l="1"/>
  <c r="BE42" i="96"/>
  <c r="BE43" i="96" s="1"/>
  <c r="BE44" i="96" s="1"/>
  <c r="BE45" i="96" l="1"/>
  <c r="BE46" i="96" s="1"/>
  <c r="BD32" i="96"/>
  <c r="BD33" i="96" l="1"/>
  <c r="BD34" i="96" s="1"/>
  <c r="BD35" i="96" s="1"/>
  <c r="BD36" i="96" s="1"/>
  <c r="BD37" i="96" s="1"/>
  <c r="BD38" i="96" s="1"/>
  <c r="BD39" i="96" s="1"/>
  <c r="BD40" i="96" s="1"/>
  <c r="BD41" i="96" s="1"/>
  <c r="BD42" i="96" s="1"/>
  <c r="BD43" i="96" s="1"/>
  <c r="BD44" i="96" s="1"/>
  <c r="BE47" i="96"/>
  <c r="BE48" i="96" s="1"/>
  <c r="BE49" i="96" s="1"/>
  <c r="BE50" i="96" s="1"/>
  <c r="BE51" i="96" s="1"/>
  <c r="BE52" i="96" s="1"/>
  <c r="BE53" i="96" s="1"/>
  <c r="BE54" i="96" s="1"/>
  <c r="BE55" i="96" s="1"/>
  <c r="BE56" i="96" s="1"/>
  <c r="BE57" i="96" s="1"/>
  <c r="BE58" i="96" s="1"/>
  <c r="BE59" i="96" s="1"/>
  <c r="BE60" i="96" s="1"/>
  <c r="BE61" i="96" s="1"/>
  <c r="BE62" i="96" s="1"/>
  <c r="BE63" i="96" s="1"/>
  <c r="BE64" i="96" s="1"/>
  <c r="BE65" i="96" s="1"/>
  <c r="BE66" i="96" s="1"/>
  <c r="BE67" i="96" s="1"/>
  <c r="BE68" i="96" s="1"/>
  <c r="BD45" i="96" l="1"/>
  <c r="BD46" i="96" s="1"/>
  <c r="BE69" i="96"/>
  <c r="BE70" i="96" l="1"/>
  <c r="BE71" i="96" s="1"/>
  <c r="BE72" i="96" s="1"/>
  <c r="BE73" i="96" s="1"/>
  <c r="BD47" i="96"/>
  <c r="BD48" i="96" s="1"/>
  <c r="BD49" i="96" s="1"/>
  <c r="BD50" i="96" s="1"/>
  <c r="BD51" i="96" s="1"/>
  <c r="BD52" i="96" s="1"/>
  <c r="BD53" i="96" s="1"/>
  <c r="BD54" i="96" s="1"/>
  <c r="BD55" i="96" s="1"/>
  <c r="BD56" i="96" s="1"/>
  <c r="BD57" i="96" s="1"/>
  <c r="BD58" i="96" s="1"/>
  <c r="BD59" i="96" s="1"/>
  <c r="BD60" i="96" s="1"/>
  <c r="BD61" i="96" s="1"/>
  <c r="BD62" i="96" s="1"/>
  <c r="BD63" i="96" s="1"/>
  <c r="BD64" i="96" s="1"/>
  <c r="BD65" i="96" s="1"/>
  <c r="BD66" i="96" s="1"/>
  <c r="BD67" i="96" s="1"/>
  <c r="BD68" i="96" s="1"/>
  <c r="BD69" i="96" l="1"/>
  <c r="BE74" i="96"/>
  <c r="BE75" i="96" l="1"/>
  <c r="BD70" i="96"/>
  <c r="BD71" i="96" s="1"/>
  <c r="BD72" i="96" s="1"/>
  <c r="BD73" i="96" s="1"/>
  <c r="BE76" i="96" l="1"/>
  <c r="BD74" i="96"/>
  <c r="BE77" i="96" l="1"/>
  <c r="BE78" i="96" s="1"/>
  <c r="BE79" i="96" s="1"/>
  <c r="BD75" i="96"/>
  <c r="BD76" i="96" l="1"/>
  <c r="BE80" i="96"/>
  <c r="BE81" i="96" l="1"/>
  <c r="BE82" i="96" s="1"/>
  <c r="BE83" i="96" s="1"/>
  <c r="BE84" i="96" s="1"/>
  <c r="BE85" i="96" s="1"/>
  <c r="BE86" i="96" s="1"/>
  <c r="BE87" i="96" s="1"/>
  <c r="BE88" i="96" s="1"/>
  <c r="BE89" i="96" s="1"/>
  <c r="BE90" i="96" s="1"/>
  <c r="BE91" i="96" s="1"/>
  <c r="BE92" i="96" s="1"/>
  <c r="BE93" i="96" s="1"/>
  <c r="BE94" i="96" s="1"/>
  <c r="BE95" i="96" s="1"/>
  <c r="BE96" i="96" s="1"/>
  <c r="BE97" i="96" s="1"/>
  <c r="BE98" i="96" s="1"/>
  <c r="BE99" i="96" s="1"/>
  <c r="BE100" i="96" s="1"/>
  <c r="BE101" i="96" s="1"/>
  <c r="BE102" i="96" s="1"/>
  <c r="BD77" i="96"/>
  <c r="BD78" i="96" s="1"/>
  <c r="BD79" i="96" s="1"/>
  <c r="BD80" i="96" l="1"/>
  <c r="BE103" i="96"/>
  <c r="BE104" i="96" l="1"/>
  <c r="BE105" i="96" s="1"/>
  <c r="BE106" i="96" s="1"/>
  <c r="BE107" i="96" s="1"/>
  <c r="BE108" i="96" s="1"/>
  <c r="BE109" i="96" s="1"/>
  <c r="BE110" i="96" s="1"/>
  <c r="BE111" i="96" s="1"/>
  <c r="BE112" i="96" s="1"/>
  <c r="BE113" i="96" s="1"/>
  <c r="BE114" i="96" s="1"/>
  <c r="BE115" i="96" s="1"/>
  <c r="BE116" i="96" s="1"/>
  <c r="BE117" i="96" s="1"/>
  <c r="BE118" i="96" s="1"/>
  <c r="BE119" i="96" s="1"/>
  <c r="BE120" i="96" s="1"/>
  <c r="BE121" i="96" s="1"/>
  <c r="BE122" i="96" s="1"/>
  <c r="BE123" i="96" s="1"/>
  <c r="BE124" i="96" s="1"/>
  <c r="BE125" i="96" s="1"/>
  <c r="BD81" i="96"/>
  <c r="BD82" i="96" s="1"/>
  <c r="BD83" i="96" s="1"/>
  <c r="BD84" i="96" s="1"/>
  <c r="BD85" i="96" s="1"/>
  <c r="BD86" i="96" s="1"/>
  <c r="BD87" i="96" s="1"/>
  <c r="BD88" i="96" s="1"/>
  <c r="BD89" i="96" s="1"/>
  <c r="BD90" i="96" s="1"/>
  <c r="BD91" i="96" s="1"/>
  <c r="BD92" i="96" s="1"/>
  <c r="BD93" i="96" s="1"/>
  <c r="BD94" i="96" s="1"/>
  <c r="BD95" i="96" s="1"/>
  <c r="BD96" i="96" s="1"/>
  <c r="BD97" i="96" s="1"/>
  <c r="BD98" i="96" s="1"/>
  <c r="BD99" i="96" s="1"/>
  <c r="BD100" i="96" s="1"/>
  <c r="BD101" i="96" s="1"/>
  <c r="BD102" i="96" s="1"/>
  <c r="BE126" i="96" l="1"/>
  <c r="BD103" i="96"/>
  <c r="BD104" i="96" l="1"/>
  <c r="BD105" i="96" s="1"/>
  <c r="BD106" i="96" s="1"/>
  <c r="BD107" i="96" s="1"/>
  <c r="BD108" i="96" s="1"/>
  <c r="BD109" i="96" s="1"/>
  <c r="BD110" i="96" s="1"/>
  <c r="BD111" i="96" s="1"/>
  <c r="BD112" i="96" s="1"/>
  <c r="BD113" i="96" s="1"/>
  <c r="BD114" i="96" s="1"/>
  <c r="BD115" i="96" s="1"/>
  <c r="BD116" i="96" s="1"/>
  <c r="BD117" i="96" s="1"/>
  <c r="BD118" i="96" s="1"/>
  <c r="BD119" i="96" s="1"/>
  <c r="BD120" i="96" s="1"/>
  <c r="BD121" i="96" s="1"/>
  <c r="BD122" i="96" s="1"/>
  <c r="BD123" i="96" s="1"/>
  <c r="BD124" i="96" s="1"/>
  <c r="BD125" i="96" s="1"/>
  <c r="BE127" i="96"/>
  <c r="BE128" i="96" s="1"/>
  <c r="BE129" i="96" s="1"/>
  <c r="BE130" i="96" s="1"/>
  <c r="BE131" i="96" s="1"/>
  <c r="BE132" i="96" s="1"/>
  <c r="BE133" i="96" s="1"/>
  <c r="BE134" i="96" s="1"/>
  <c r="BE135" i="96" s="1"/>
  <c r="BE136" i="96" s="1"/>
  <c r="BE137" i="96" s="1"/>
  <c r="BE138" i="96" s="1"/>
  <c r="BE139" i="96" s="1"/>
  <c r="BE140" i="96" s="1"/>
  <c r="BE141" i="96" l="1"/>
  <c r="BD126" i="96"/>
  <c r="BE142" i="96" l="1"/>
  <c r="BE143" i="96" s="1"/>
  <c r="BE144" i="96" s="1"/>
  <c r="BE145" i="96" s="1"/>
  <c r="BD127" i="96"/>
  <c r="BD128" i="96" s="1"/>
  <c r="BD129" i="96" s="1"/>
  <c r="BD130" i="96" s="1"/>
  <c r="BD131" i="96" s="1"/>
  <c r="BD132" i="96" s="1"/>
  <c r="BD133" i="96" s="1"/>
  <c r="BD134" i="96" s="1"/>
  <c r="BD135" i="96" s="1"/>
  <c r="BD136" i="96" s="1"/>
  <c r="BD137" i="96" s="1"/>
  <c r="BD138" i="96" s="1"/>
  <c r="BD139" i="96" s="1"/>
  <c r="BD140" i="96" s="1"/>
  <c r="BE146" i="96" l="1"/>
  <c r="BD141" i="96"/>
  <c r="N4" i="18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34" i="18"/>
  <c r="N35" i="18"/>
  <c r="N36" i="18"/>
  <c r="N37" i="18"/>
  <c r="N38" i="18"/>
  <c r="N39" i="18"/>
  <c r="N40" i="18"/>
  <c r="N41" i="18"/>
  <c r="N42" i="18"/>
  <c r="N43" i="18"/>
  <c r="N44" i="18"/>
  <c r="N45" i="18"/>
  <c r="N46" i="18"/>
  <c r="N47" i="18"/>
  <c r="N48" i="18"/>
  <c r="N49" i="18"/>
  <c r="N50" i="18"/>
  <c r="N51" i="18"/>
  <c r="N52" i="18"/>
  <c r="N53" i="18"/>
  <c r="N54" i="18"/>
  <c r="N55" i="18"/>
  <c r="N56" i="18"/>
  <c r="N57" i="18"/>
  <c r="N58" i="18"/>
  <c r="N59" i="18"/>
  <c r="N60" i="18"/>
  <c r="N61" i="18"/>
  <c r="N62" i="18"/>
  <c r="N63" i="18"/>
  <c r="N64" i="18"/>
  <c r="N65" i="18"/>
  <c r="N66" i="18"/>
  <c r="N67" i="18"/>
  <c r="N68" i="18"/>
  <c r="N69" i="18"/>
  <c r="N70" i="18"/>
  <c r="N71" i="18"/>
  <c r="N72" i="18"/>
  <c r="N73" i="18"/>
  <c r="N74" i="18"/>
  <c r="N75" i="18"/>
  <c r="N76" i="18"/>
  <c r="N77" i="18"/>
  <c r="N78" i="18"/>
  <c r="N79" i="18"/>
  <c r="N80" i="18"/>
  <c r="N81" i="18"/>
  <c r="N82" i="18"/>
  <c r="N83" i="18"/>
  <c r="N84" i="18"/>
  <c r="N85" i="18"/>
  <c r="N86" i="18"/>
  <c r="N87" i="18"/>
  <c r="N88" i="18"/>
  <c r="N89" i="18"/>
  <c r="N90" i="18"/>
  <c r="N91" i="18"/>
  <c r="N92" i="18"/>
  <c r="N93" i="18"/>
  <c r="N94" i="18"/>
  <c r="N95" i="18"/>
  <c r="N96" i="18"/>
  <c r="N97" i="18"/>
  <c r="N98" i="18"/>
  <c r="N99" i="18"/>
  <c r="N100" i="18"/>
  <c r="N101" i="18"/>
  <c r="N102" i="18"/>
  <c r="N103" i="18"/>
  <c r="N104" i="18"/>
  <c r="N105" i="18"/>
  <c r="N106" i="18"/>
  <c r="N107" i="18"/>
  <c r="N108" i="18"/>
  <c r="N109" i="18"/>
  <c r="N110" i="18"/>
  <c r="N111" i="18"/>
  <c r="N112" i="18"/>
  <c r="N113" i="18"/>
  <c r="N3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A113" i="18"/>
  <c r="Z113" i="18"/>
  <c r="Y113" i="18"/>
  <c r="X113" i="18"/>
  <c r="W113" i="18"/>
  <c r="T113" i="18"/>
  <c r="S113" i="18"/>
  <c r="R113" i="18"/>
  <c r="Q113" i="18"/>
  <c r="P113" i="18"/>
  <c r="AD112" i="18"/>
  <c r="AA112" i="18"/>
  <c r="Z112" i="18"/>
  <c r="Y112" i="18"/>
  <c r="X112" i="18"/>
  <c r="W112" i="18"/>
  <c r="T112" i="18"/>
  <c r="S112" i="18"/>
  <c r="R112" i="18"/>
  <c r="Q112" i="18"/>
  <c r="P112" i="18"/>
  <c r="AD111" i="18"/>
  <c r="AA111" i="18"/>
  <c r="Z111" i="18"/>
  <c r="Y111" i="18"/>
  <c r="X111" i="18"/>
  <c r="W111" i="18"/>
  <c r="T111" i="18"/>
  <c r="S111" i="18"/>
  <c r="R111" i="18"/>
  <c r="Q111" i="18"/>
  <c r="P111" i="18"/>
  <c r="AD110" i="18"/>
  <c r="AA110" i="18"/>
  <c r="Z110" i="18"/>
  <c r="Y110" i="18"/>
  <c r="X110" i="18"/>
  <c r="W110" i="18"/>
  <c r="T110" i="18"/>
  <c r="S110" i="18"/>
  <c r="R110" i="18"/>
  <c r="Q110" i="18"/>
  <c r="P110" i="18"/>
  <c r="AD109" i="18"/>
  <c r="AA109" i="18"/>
  <c r="Z109" i="18"/>
  <c r="Y109" i="18"/>
  <c r="X109" i="18"/>
  <c r="W109" i="18"/>
  <c r="T109" i="18"/>
  <c r="S109" i="18"/>
  <c r="R109" i="18"/>
  <c r="Q109" i="18"/>
  <c r="P109" i="18"/>
  <c r="AD108" i="18"/>
  <c r="AA108" i="18"/>
  <c r="Z108" i="18"/>
  <c r="Y108" i="18"/>
  <c r="X108" i="18"/>
  <c r="W108" i="18"/>
  <c r="T108" i="18"/>
  <c r="S108" i="18"/>
  <c r="R108" i="18"/>
  <c r="Q108" i="18"/>
  <c r="P108" i="18"/>
  <c r="AD107" i="18"/>
  <c r="AA107" i="18"/>
  <c r="Z107" i="18"/>
  <c r="Y107" i="18"/>
  <c r="X107" i="18"/>
  <c r="W107" i="18"/>
  <c r="T107" i="18"/>
  <c r="S107" i="18"/>
  <c r="R107" i="18"/>
  <c r="Q107" i="18"/>
  <c r="P107" i="18"/>
  <c r="AD106" i="18"/>
  <c r="AA106" i="18"/>
  <c r="Z106" i="18"/>
  <c r="Y106" i="18"/>
  <c r="X106" i="18"/>
  <c r="W106" i="18"/>
  <c r="T106" i="18"/>
  <c r="S106" i="18"/>
  <c r="R106" i="18"/>
  <c r="Q106" i="18"/>
  <c r="P106" i="18"/>
  <c r="AD105" i="18"/>
  <c r="AA105" i="18"/>
  <c r="Z105" i="18"/>
  <c r="Y105" i="18"/>
  <c r="X105" i="18"/>
  <c r="W105" i="18"/>
  <c r="T105" i="18"/>
  <c r="S105" i="18"/>
  <c r="R105" i="18"/>
  <c r="Q105" i="18"/>
  <c r="P105" i="18"/>
  <c r="AD104" i="18"/>
  <c r="AA104" i="18"/>
  <c r="Z104" i="18"/>
  <c r="Y104" i="18"/>
  <c r="X104" i="18"/>
  <c r="W104" i="18"/>
  <c r="T104" i="18"/>
  <c r="S104" i="18"/>
  <c r="R104" i="18"/>
  <c r="Q104" i="18"/>
  <c r="P104" i="18"/>
  <c r="AD103" i="18"/>
  <c r="AA103" i="18"/>
  <c r="Z103" i="18"/>
  <c r="Y103" i="18"/>
  <c r="X103" i="18"/>
  <c r="W103" i="18"/>
  <c r="T103" i="18"/>
  <c r="S103" i="18"/>
  <c r="R103" i="18"/>
  <c r="Q103" i="18"/>
  <c r="P103" i="18"/>
  <c r="AD102" i="18"/>
  <c r="AA102" i="18"/>
  <c r="Z102" i="18"/>
  <c r="Y102" i="18"/>
  <c r="X102" i="18"/>
  <c r="W102" i="18"/>
  <c r="T102" i="18"/>
  <c r="S102" i="18"/>
  <c r="R102" i="18"/>
  <c r="Q102" i="18"/>
  <c r="P102" i="18"/>
  <c r="AD101" i="18"/>
  <c r="AA101" i="18"/>
  <c r="Z101" i="18"/>
  <c r="Y101" i="18"/>
  <c r="X101" i="18"/>
  <c r="W101" i="18"/>
  <c r="T101" i="18"/>
  <c r="S101" i="18"/>
  <c r="R101" i="18"/>
  <c r="Q101" i="18"/>
  <c r="P101" i="18"/>
  <c r="AD100" i="18"/>
  <c r="AA100" i="18"/>
  <c r="Z100" i="18"/>
  <c r="Y100" i="18"/>
  <c r="X100" i="18"/>
  <c r="W100" i="18"/>
  <c r="T100" i="18"/>
  <c r="S100" i="18"/>
  <c r="R100" i="18"/>
  <c r="Q100" i="18"/>
  <c r="P100" i="18"/>
  <c r="AD99" i="18"/>
  <c r="AA99" i="18"/>
  <c r="Z99" i="18"/>
  <c r="Y99" i="18"/>
  <c r="X99" i="18"/>
  <c r="W99" i="18"/>
  <c r="T99" i="18"/>
  <c r="S99" i="18"/>
  <c r="R99" i="18"/>
  <c r="Q99" i="18"/>
  <c r="P99" i="18"/>
  <c r="AD98" i="18"/>
  <c r="AA98" i="18"/>
  <c r="Z98" i="18"/>
  <c r="Y98" i="18"/>
  <c r="X98" i="18"/>
  <c r="W98" i="18"/>
  <c r="T98" i="18"/>
  <c r="S98" i="18"/>
  <c r="R98" i="18"/>
  <c r="Q98" i="18"/>
  <c r="P98" i="18"/>
  <c r="AD97" i="18"/>
  <c r="AA97" i="18"/>
  <c r="Z97" i="18"/>
  <c r="Y97" i="18"/>
  <c r="X97" i="18"/>
  <c r="W97" i="18"/>
  <c r="T97" i="18"/>
  <c r="S97" i="18"/>
  <c r="R97" i="18"/>
  <c r="Q97" i="18"/>
  <c r="P97" i="18"/>
  <c r="AD96" i="18"/>
  <c r="AA96" i="18"/>
  <c r="Z96" i="18"/>
  <c r="Y96" i="18"/>
  <c r="X96" i="18"/>
  <c r="W96" i="18"/>
  <c r="T96" i="18"/>
  <c r="S96" i="18"/>
  <c r="R96" i="18"/>
  <c r="Q96" i="18"/>
  <c r="P96" i="18"/>
  <c r="AD95" i="18"/>
  <c r="AA95" i="18"/>
  <c r="Z95" i="18"/>
  <c r="Y95" i="18"/>
  <c r="X95" i="18"/>
  <c r="W95" i="18"/>
  <c r="T95" i="18"/>
  <c r="S95" i="18"/>
  <c r="R95" i="18"/>
  <c r="Q95" i="18"/>
  <c r="P95" i="18"/>
  <c r="AD94" i="18"/>
  <c r="AA94" i="18"/>
  <c r="Z94" i="18"/>
  <c r="Y94" i="18"/>
  <c r="X94" i="18"/>
  <c r="W94" i="18"/>
  <c r="T94" i="18"/>
  <c r="S94" i="18"/>
  <c r="R94" i="18"/>
  <c r="W54" i="50" s="1"/>
  <c r="Q94" i="18"/>
  <c r="W39" i="50" s="1"/>
  <c r="X39" i="50" s="1"/>
  <c r="P94" i="18"/>
  <c r="W20" i="50" s="1"/>
  <c r="AD93" i="18"/>
  <c r="AA93" i="18"/>
  <c r="Z93" i="18"/>
  <c r="Y93" i="18"/>
  <c r="X93" i="18"/>
  <c r="W93" i="18"/>
  <c r="T93" i="18"/>
  <c r="S93" i="18"/>
  <c r="R93" i="18"/>
  <c r="Q93" i="18"/>
  <c r="P93" i="18"/>
  <c r="AD92" i="18"/>
  <c r="AA92" i="18"/>
  <c r="Z92" i="18"/>
  <c r="Y92" i="18"/>
  <c r="X92" i="18"/>
  <c r="W92" i="18"/>
  <c r="T92" i="18"/>
  <c r="S92" i="18"/>
  <c r="R92" i="18"/>
  <c r="Q92" i="18"/>
  <c r="P92" i="18"/>
  <c r="AD91" i="18"/>
  <c r="AA91" i="18"/>
  <c r="Z91" i="18"/>
  <c r="Y91" i="18"/>
  <c r="X91" i="18"/>
  <c r="W91" i="18"/>
  <c r="T91" i="18"/>
  <c r="S91" i="18"/>
  <c r="R91" i="18"/>
  <c r="Q91" i="18"/>
  <c r="W38" i="50" s="1"/>
  <c r="X38" i="50" s="1"/>
  <c r="P91" i="18"/>
  <c r="W19" i="50" s="1"/>
  <c r="AD90" i="18"/>
  <c r="AA90" i="18"/>
  <c r="Z90" i="18"/>
  <c r="Y90" i="18"/>
  <c r="X90" i="18"/>
  <c r="W90" i="18"/>
  <c r="T90" i="18"/>
  <c r="S90" i="18"/>
  <c r="R90" i="18"/>
  <c r="Q90" i="18"/>
  <c r="P90" i="18"/>
  <c r="AD89" i="18"/>
  <c r="AA89" i="18"/>
  <c r="Z89" i="18"/>
  <c r="Y89" i="18"/>
  <c r="X89" i="18"/>
  <c r="W89" i="18"/>
  <c r="T89" i="18"/>
  <c r="S89" i="18"/>
  <c r="R89" i="18"/>
  <c r="Q89" i="18"/>
  <c r="P89" i="18"/>
  <c r="AD88" i="18"/>
  <c r="AA88" i="18"/>
  <c r="Z88" i="18"/>
  <c r="Y88" i="18"/>
  <c r="X88" i="18"/>
  <c r="W88" i="18"/>
  <c r="T88" i="18"/>
  <c r="S88" i="18"/>
  <c r="R88" i="18"/>
  <c r="Q88" i="18"/>
  <c r="P88" i="18"/>
  <c r="AD87" i="18"/>
  <c r="AA87" i="18"/>
  <c r="Z87" i="18"/>
  <c r="Y87" i="18"/>
  <c r="X87" i="18"/>
  <c r="W87" i="18"/>
  <c r="T87" i="18"/>
  <c r="S87" i="18"/>
  <c r="R87" i="18"/>
  <c r="W53" i="50" s="1"/>
  <c r="Q87" i="18"/>
  <c r="W37" i="50" s="1"/>
  <c r="X37" i="50" s="1"/>
  <c r="P87" i="18"/>
  <c r="AD86" i="18"/>
  <c r="AA86" i="18"/>
  <c r="Z86" i="18"/>
  <c r="Y86" i="18"/>
  <c r="X86" i="18"/>
  <c r="W86" i="18"/>
  <c r="T86" i="18"/>
  <c r="S86" i="18"/>
  <c r="R86" i="18"/>
  <c r="Q86" i="18"/>
  <c r="P86" i="18"/>
  <c r="AD85" i="18"/>
  <c r="AA85" i="18"/>
  <c r="Z85" i="18"/>
  <c r="Y85" i="18"/>
  <c r="X85" i="18"/>
  <c r="W85" i="18"/>
  <c r="T85" i="18"/>
  <c r="W68" i="50" s="1"/>
  <c r="S85" i="18"/>
  <c r="R85" i="18"/>
  <c r="Q85" i="18"/>
  <c r="P85" i="18"/>
  <c r="AD84" i="18"/>
  <c r="AA84" i="18"/>
  <c r="Z84" i="18"/>
  <c r="Y84" i="18"/>
  <c r="X84" i="18"/>
  <c r="W84" i="18"/>
  <c r="T84" i="18"/>
  <c r="S84" i="18"/>
  <c r="R84" i="18"/>
  <c r="Q84" i="18"/>
  <c r="P84" i="18"/>
  <c r="AD83" i="18"/>
  <c r="AA83" i="18"/>
  <c r="Z83" i="18"/>
  <c r="Y83" i="18"/>
  <c r="X83" i="18"/>
  <c r="W83" i="18"/>
  <c r="T83" i="18"/>
  <c r="S83" i="18"/>
  <c r="R83" i="18"/>
  <c r="Q83" i="18"/>
  <c r="P83" i="18"/>
  <c r="AD82" i="18"/>
  <c r="AA82" i="18"/>
  <c r="Z82" i="18"/>
  <c r="Y82" i="18"/>
  <c r="X82" i="18"/>
  <c r="W82" i="18"/>
  <c r="T82" i="18"/>
  <c r="S82" i="18"/>
  <c r="R82" i="18"/>
  <c r="Q82" i="18"/>
  <c r="P82" i="18"/>
  <c r="AD81" i="18"/>
  <c r="AA81" i="18"/>
  <c r="Z81" i="18"/>
  <c r="Y81" i="18"/>
  <c r="X81" i="18"/>
  <c r="W81" i="18"/>
  <c r="T81" i="18"/>
  <c r="S81" i="18"/>
  <c r="R81" i="18"/>
  <c r="Q81" i="18"/>
  <c r="P81" i="18"/>
  <c r="AD80" i="18"/>
  <c r="AA80" i="18"/>
  <c r="Z80" i="18"/>
  <c r="Y80" i="18"/>
  <c r="X80" i="18"/>
  <c r="W80" i="18"/>
  <c r="T80" i="18"/>
  <c r="W80" i="50" s="1"/>
  <c r="S80" i="18"/>
  <c r="R80" i="18"/>
  <c r="Q80" i="18"/>
  <c r="P80" i="18"/>
  <c r="AD79" i="18"/>
  <c r="AA79" i="18"/>
  <c r="Z79" i="18"/>
  <c r="Y79" i="18"/>
  <c r="X79" i="18"/>
  <c r="W79" i="18"/>
  <c r="T79" i="18"/>
  <c r="S79" i="18"/>
  <c r="R79" i="18"/>
  <c r="Q79" i="18"/>
  <c r="P79" i="18"/>
  <c r="AD78" i="18"/>
  <c r="AA78" i="18"/>
  <c r="Z78" i="18"/>
  <c r="Y78" i="18"/>
  <c r="X78" i="18"/>
  <c r="W78" i="18"/>
  <c r="T78" i="18"/>
  <c r="W67" i="50" s="1"/>
  <c r="S78" i="18"/>
  <c r="R78" i="18"/>
  <c r="W52" i="50" s="1"/>
  <c r="Q78" i="18"/>
  <c r="P78" i="18"/>
  <c r="AD77" i="18"/>
  <c r="AA77" i="18"/>
  <c r="Z77" i="18"/>
  <c r="Y77" i="18"/>
  <c r="X77" i="18"/>
  <c r="W77" i="18"/>
  <c r="T77" i="18"/>
  <c r="S77" i="18"/>
  <c r="R77" i="18"/>
  <c r="Q77" i="18"/>
  <c r="P77" i="18"/>
  <c r="AD76" i="18"/>
  <c r="AA76" i="18"/>
  <c r="Z76" i="18"/>
  <c r="Y76" i="18"/>
  <c r="X76" i="18"/>
  <c r="W76" i="18"/>
  <c r="T76" i="18"/>
  <c r="S76" i="18"/>
  <c r="R76" i="18"/>
  <c r="Q76" i="18"/>
  <c r="P76" i="18"/>
  <c r="AD75" i="18"/>
  <c r="AA75" i="18"/>
  <c r="Z75" i="18"/>
  <c r="Y75" i="18"/>
  <c r="X75" i="18"/>
  <c r="W75" i="18"/>
  <c r="T75" i="18"/>
  <c r="W79" i="50" s="1"/>
  <c r="S75" i="18"/>
  <c r="R75" i="18"/>
  <c r="Q75" i="18"/>
  <c r="P75" i="18"/>
  <c r="AD74" i="18"/>
  <c r="AA74" i="18"/>
  <c r="Z74" i="18"/>
  <c r="Y74" i="18"/>
  <c r="X74" i="18"/>
  <c r="W74" i="18"/>
  <c r="T74" i="18"/>
  <c r="S74" i="18"/>
  <c r="R74" i="18"/>
  <c r="Q74" i="18"/>
  <c r="P74" i="18"/>
  <c r="AD73" i="18"/>
  <c r="AA73" i="18"/>
  <c r="Z73" i="18"/>
  <c r="Y73" i="18"/>
  <c r="X73" i="18"/>
  <c r="W73" i="18"/>
  <c r="T73" i="18"/>
  <c r="S73" i="18"/>
  <c r="R73" i="18"/>
  <c r="Q73" i="18"/>
  <c r="P73" i="18"/>
  <c r="AD72" i="18"/>
  <c r="AA72" i="18"/>
  <c r="Z72" i="18"/>
  <c r="Y72" i="18"/>
  <c r="X72" i="18"/>
  <c r="W72" i="18"/>
  <c r="T72" i="18"/>
  <c r="S72" i="18"/>
  <c r="R72" i="18"/>
  <c r="W51" i="50" s="1"/>
  <c r="Q72" i="18"/>
  <c r="P72" i="18"/>
  <c r="AD71" i="18"/>
  <c r="AA71" i="18"/>
  <c r="Z71" i="18"/>
  <c r="Y71" i="18"/>
  <c r="X71" i="18"/>
  <c r="W71" i="18"/>
  <c r="T71" i="18"/>
  <c r="S71" i="18"/>
  <c r="R71" i="18"/>
  <c r="Q71" i="18"/>
  <c r="W34" i="50" s="1"/>
  <c r="X34" i="50" s="1"/>
  <c r="P71" i="18"/>
  <c r="R13" i="51" s="1"/>
  <c r="AD70" i="18"/>
  <c r="AA70" i="18"/>
  <c r="Z70" i="18"/>
  <c r="Y70" i="18"/>
  <c r="X70" i="18"/>
  <c r="W70" i="18"/>
  <c r="T70" i="18"/>
  <c r="S70" i="18"/>
  <c r="R70" i="18"/>
  <c r="Q70" i="18"/>
  <c r="W33" i="50" s="1"/>
  <c r="X33" i="50" s="1"/>
  <c r="P70" i="18"/>
  <c r="W14" i="50" s="1"/>
  <c r="AD69" i="18"/>
  <c r="AA69" i="18"/>
  <c r="Z69" i="18"/>
  <c r="Y69" i="18"/>
  <c r="X69" i="18"/>
  <c r="W69" i="18"/>
  <c r="T69" i="18"/>
  <c r="W78" i="50" s="1"/>
  <c r="S69" i="18"/>
  <c r="R69" i="18"/>
  <c r="Q69" i="18"/>
  <c r="P69" i="18"/>
  <c r="AD68" i="18"/>
  <c r="AA68" i="18"/>
  <c r="Z68" i="18"/>
  <c r="Y68" i="18"/>
  <c r="X68" i="18"/>
  <c r="W68" i="18"/>
  <c r="T68" i="18"/>
  <c r="S68" i="18"/>
  <c r="R68" i="18"/>
  <c r="Q68" i="18"/>
  <c r="P68" i="18"/>
  <c r="AD67" i="18"/>
  <c r="AA67" i="18"/>
  <c r="Z67" i="18"/>
  <c r="Y67" i="18"/>
  <c r="X67" i="18"/>
  <c r="W67" i="18"/>
  <c r="T67" i="18"/>
  <c r="W65" i="50" s="1"/>
  <c r="S67" i="18"/>
  <c r="R67" i="18"/>
  <c r="Q67" i="18"/>
  <c r="P67" i="18"/>
  <c r="AD66" i="18"/>
  <c r="AA66" i="18"/>
  <c r="Z66" i="18"/>
  <c r="Y66" i="18"/>
  <c r="X66" i="18"/>
  <c r="W66" i="18"/>
  <c r="T66" i="18"/>
  <c r="S66" i="18"/>
  <c r="R66" i="18"/>
  <c r="W50" i="50" s="1"/>
  <c r="Q66" i="18"/>
  <c r="P66" i="18"/>
  <c r="AD65" i="18"/>
  <c r="AA65" i="18"/>
  <c r="Z65" i="18"/>
  <c r="Y65" i="18"/>
  <c r="X65" i="18"/>
  <c r="W65" i="18"/>
  <c r="T65" i="18"/>
  <c r="S65" i="18"/>
  <c r="R65" i="18"/>
  <c r="Q65" i="18"/>
  <c r="P65" i="18"/>
  <c r="AD64" i="18"/>
  <c r="AA64" i="18"/>
  <c r="Z64" i="18"/>
  <c r="Y64" i="18"/>
  <c r="X64" i="18"/>
  <c r="W64" i="18"/>
  <c r="T64" i="18"/>
  <c r="S64" i="18"/>
  <c r="R64" i="18"/>
  <c r="Q64" i="18"/>
  <c r="P64" i="18"/>
  <c r="AD63" i="18"/>
  <c r="AA63" i="18"/>
  <c r="Z63" i="18"/>
  <c r="Y63" i="18"/>
  <c r="X63" i="18"/>
  <c r="W63" i="18"/>
  <c r="T63" i="18"/>
  <c r="S63" i="18"/>
  <c r="R63" i="18"/>
  <c r="Q63" i="18"/>
  <c r="P63" i="18"/>
  <c r="AD62" i="18"/>
  <c r="AA62" i="18"/>
  <c r="Z62" i="18"/>
  <c r="Y62" i="18"/>
  <c r="X62" i="18"/>
  <c r="W62" i="18"/>
  <c r="T62" i="18"/>
  <c r="S62" i="18"/>
  <c r="R62" i="18"/>
  <c r="Q62" i="18"/>
  <c r="P62" i="18"/>
  <c r="AD61" i="18"/>
  <c r="AA61" i="18"/>
  <c r="Z61" i="18"/>
  <c r="Y61" i="18"/>
  <c r="X61" i="18"/>
  <c r="W61" i="18"/>
  <c r="T61" i="18"/>
  <c r="S61" i="18"/>
  <c r="R61" i="18"/>
  <c r="W49" i="50" s="1"/>
  <c r="Q61" i="18"/>
  <c r="W32" i="50" s="1"/>
  <c r="X32" i="50" s="1"/>
  <c r="P61" i="18"/>
  <c r="W13" i="50" s="1"/>
  <c r="AD60" i="18"/>
  <c r="AA60" i="18"/>
  <c r="Z60" i="18"/>
  <c r="Y60" i="18"/>
  <c r="X60" i="18"/>
  <c r="W60" i="18"/>
  <c r="T60" i="18"/>
  <c r="S60" i="18"/>
  <c r="R60" i="18"/>
  <c r="Q60" i="18"/>
  <c r="P60" i="18"/>
  <c r="AD59" i="18"/>
  <c r="AA59" i="18"/>
  <c r="Z59" i="18"/>
  <c r="Y59" i="18"/>
  <c r="X59" i="18"/>
  <c r="W59" i="18"/>
  <c r="T59" i="18"/>
  <c r="S59" i="18"/>
  <c r="R59" i="18"/>
  <c r="Q59" i="18"/>
  <c r="P59" i="18"/>
  <c r="AD58" i="18"/>
  <c r="AA58" i="18"/>
  <c r="Z58" i="18"/>
  <c r="Y58" i="18"/>
  <c r="X58" i="18"/>
  <c r="W58" i="18"/>
  <c r="T58" i="18"/>
  <c r="S58" i="18"/>
  <c r="R58" i="18"/>
  <c r="Q58" i="18"/>
  <c r="P58" i="18"/>
  <c r="AD57" i="18"/>
  <c r="AA57" i="18"/>
  <c r="Z57" i="18"/>
  <c r="Y57" i="18"/>
  <c r="X57" i="18"/>
  <c r="W57" i="18"/>
  <c r="T57" i="18"/>
  <c r="S57" i="18"/>
  <c r="R57" i="18"/>
  <c r="Q57" i="18"/>
  <c r="P57" i="18"/>
  <c r="AD56" i="18"/>
  <c r="AA56" i="18"/>
  <c r="Z56" i="18"/>
  <c r="Y56" i="18"/>
  <c r="X56" i="18"/>
  <c r="W56" i="18"/>
  <c r="T56" i="18"/>
  <c r="S56" i="18"/>
  <c r="R56" i="18"/>
  <c r="Q56" i="18"/>
  <c r="P56" i="18"/>
  <c r="R12" i="51" s="1"/>
  <c r="AD55" i="18"/>
  <c r="AA55" i="18"/>
  <c r="Z55" i="18"/>
  <c r="Y55" i="18"/>
  <c r="X55" i="18"/>
  <c r="W55" i="18"/>
  <c r="T55" i="18"/>
  <c r="S55" i="18"/>
  <c r="R55" i="18"/>
  <c r="W48" i="50" s="1"/>
  <c r="Q55" i="18"/>
  <c r="P55" i="18"/>
  <c r="AD54" i="18"/>
  <c r="AA54" i="18"/>
  <c r="Z54" i="18"/>
  <c r="Y54" i="18"/>
  <c r="X54" i="18"/>
  <c r="W54" i="18"/>
  <c r="T54" i="18"/>
  <c r="W63" i="50" s="1"/>
  <c r="S54" i="18"/>
  <c r="R54" i="18"/>
  <c r="Q54" i="18"/>
  <c r="P54" i="18"/>
  <c r="BE53" i="18"/>
  <c r="BD53" i="18"/>
  <c r="BC53" i="18"/>
  <c r="BB53" i="18"/>
  <c r="BA53" i="18"/>
  <c r="AX53" i="18"/>
  <c r="AW53" i="18"/>
  <c r="AV53" i="18"/>
  <c r="AU53" i="18"/>
  <c r="AT53" i="18"/>
  <c r="AQ53" i="18"/>
  <c r="AP53" i="18"/>
  <c r="AO53" i="18"/>
  <c r="AN53" i="18"/>
  <c r="AM53" i="18"/>
  <c r="AD53" i="18"/>
  <c r="AA53" i="18"/>
  <c r="Z53" i="18"/>
  <c r="Y53" i="18"/>
  <c r="X53" i="18"/>
  <c r="W53" i="18"/>
  <c r="T53" i="18"/>
  <c r="S53" i="18"/>
  <c r="R53" i="18"/>
  <c r="Q53" i="18"/>
  <c r="P53" i="18"/>
  <c r="BE52" i="18"/>
  <c r="BD52" i="18"/>
  <c r="BC52" i="18"/>
  <c r="BB52" i="18"/>
  <c r="BA52" i="18"/>
  <c r="AX52" i="18"/>
  <c r="AW52" i="18"/>
  <c r="AV52" i="18"/>
  <c r="AU52" i="18"/>
  <c r="AT52" i="18"/>
  <c r="AQ52" i="18"/>
  <c r="AP52" i="18"/>
  <c r="AO52" i="18"/>
  <c r="AN52" i="18"/>
  <c r="AM52" i="18"/>
  <c r="AD52" i="18"/>
  <c r="AA52" i="18"/>
  <c r="Z52" i="18"/>
  <c r="Y52" i="18"/>
  <c r="X52" i="18"/>
  <c r="W52" i="18"/>
  <c r="T52" i="18"/>
  <c r="S52" i="18"/>
  <c r="R52" i="18"/>
  <c r="Q52" i="18"/>
  <c r="P52" i="18"/>
  <c r="BE51" i="18"/>
  <c r="BD51" i="18"/>
  <c r="BC51" i="18"/>
  <c r="BB51" i="18"/>
  <c r="BA51" i="18"/>
  <c r="AX51" i="18"/>
  <c r="AW51" i="18"/>
  <c r="AV51" i="18"/>
  <c r="AU51" i="18"/>
  <c r="AT51" i="18"/>
  <c r="AQ51" i="18"/>
  <c r="AP51" i="18"/>
  <c r="AO51" i="18"/>
  <c r="AN51" i="18"/>
  <c r="AM51" i="18"/>
  <c r="AD51" i="18"/>
  <c r="AA51" i="18"/>
  <c r="Z51" i="18"/>
  <c r="Y51" i="18"/>
  <c r="X51" i="18"/>
  <c r="W51" i="18"/>
  <c r="T51" i="18"/>
  <c r="S51" i="18"/>
  <c r="R51" i="18"/>
  <c r="Q51" i="18"/>
  <c r="P51" i="18"/>
  <c r="R11" i="51" s="1"/>
  <c r="BE50" i="18"/>
  <c r="BD50" i="18"/>
  <c r="BC50" i="18"/>
  <c r="BB50" i="18"/>
  <c r="BA50" i="18"/>
  <c r="AX50" i="18"/>
  <c r="AW50" i="18"/>
  <c r="AV50" i="18"/>
  <c r="AU50" i="18"/>
  <c r="AT50" i="18"/>
  <c r="AQ50" i="18"/>
  <c r="AP50" i="18"/>
  <c r="AO50" i="18"/>
  <c r="AN50" i="18"/>
  <c r="AM50" i="18"/>
  <c r="AD50" i="18"/>
  <c r="AA50" i="18"/>
  <c r="Z50" i="18"/>
  <c r="Y50" i="18"/>
  <c r="X50" i="18"/>
  <c r="W50" i="18"/>
  <c r="T50" i="18"/>
  <c r="S50" i="18"/>
  <c r="R50" i="18"/>
  <c r="Q50" i="18"/>
  <c r="P50" i="18"/>
  <c r="BE49" i="18"/>
  <c r="BD49" i="18"/>
  <c r="BC49" i="18"/>
  <c r="BB49" i="18"/>
  <c r="BA49" i="18"/>
  <c r="AX49" i="18"/>
  <c r="AW49" i="18"/>
  <c r="AV49" i="18"/>
  <c r="AU49" i="18"/>
  <c r="AT49" i="18"/>
  <c r="AQ49" i="18"/>
  <c r="AP49" i="18"/>
  <c r="AO49" i="18"/>
  <c r="AN49" i="18"/>
  <c r="AM49" i="18"/>
  <c r="AD49" i="18"/>
  <c r="AA49" i="18"/>
  <c r="Z49" i="18"/>
  <c r="Y49" i="18"/>
  <c r="X49" i="18"/>
  <c r="W49" i="18"/>
  <c r="T49" i="18"/>
  <c r="W62" i="50" s="1"/>
  <c r="S49" i="18"/>
  <c r="R49" i="18"/>
  <c r="Q49" i="18"/>
  <c r="W31" i="50" s="1"/>
  <c r="X31" i="50" s="1"/>
  <c r="P49" i="18"/>
  <c r="W12" i="50" s="1"/>
  <c r="BE48" i="18"/>
  <c r="BD48" i="18"/>
  <c r="BC48" i="18"/>
  <c r="BB48" i="18"/>
  <c r="BA48" i="18"/>
  <c r="AX48" i="18"/>
  <c r="AW48" i="18"/>
  <c r="AV48" i="18"/>
  <c r="AU48" i="18"/>
  <c r="AT48" i="18"/>
  <c r="AQ48" i="18"/>
  <c r="AP48" i="18"/>
  <c r="AO48" i="18"/>
  <c r="AN48" i="18"/>
  <c r="AM48" i="18"/>
  <c r="AD48" i="18"/>
  <c r="AA48" i="18"/>
  <c r="Z48" i="18"/>
  <c r="Y48" i="18"/>
  <c r="X48" i="18"/>
  <c r="W48" i="18"/>
  <c r="T48" i="18"/>
  <c r="S48" i="18"/>
  <c r="R48" i="18"/>
  <c r="Q48" i="18"/>
  <c r="P48" i="18"/>
  <c r="BE47" i="18"/>
  <c r="BD47" i="18"/>
  <c r="BC47" i="18"/>
  <c r="BB47" i="18"/>
  <c r="BA47" i="18"/>
  <c r="AX47" i="18"/>
  <c r="AW47" i="18"/>
  <c r="AV47" i="18"/>
  <c r="AU47" i="18"/>
  <c r="AT47" i="18"/>
  <c r="AQ47" i="18"/>
  <c r="AP47" i="18"/>
  <c r="AO47" i="18"/>
  <c r="AN47" i="18"/>
  <c r="AM47" i="18"/>
  <c r="AD47" i="18"/>
  <c r="AA47" i="18"/>
  <c r="Z47" i="18"/>
  <c r="Y47" i="18"/>
  <c r="X47" i="18"/>
  <c r="W47" i="18"/>
  <c r="T47" i="18"/>
  <c r="S47" i="18"/>
  <c r="R47" i="18"/>
  <c r="Q47" i="18"/>
  <c r="P47" i="18"/>
  <c r="BE46" i="18"/>
  <c r="BD46" i="18"/>
  <c r="BC46" i="18"/>
  <c r="BB46" i="18"/>
  <c r="BA46" i="18"/>
  <c r="AX46" i="18"/>
  <c r="AW46" i="18"/>
  <c r="AV46" i="18"/>
  <c r="AU46" i="18"/>
  <c r="AT46" i="18"/>
  <c r="AQ46" i="18"/>
  <c r="AP46" i="18"/>
  <c r="AO46" i="18"/>
  <c r="AN46" i="18"/>
  <c r="AM46" i="18"/>
  <c r="AD46" i="18"/>
  <c r="AA46" i="18"/>
  <c r="Z46" i="18"/>
  <c r="Y46" i="18"/>
  <c r="X46" i="18"/>
  <c r="W46" i="18"/>
  <c r="T46" i="18"/>
  <c r="S46" i="18"/>
  <c r="R46" i="18"/>
  <c r="Q46" i="18"/>
  <c r="P46" i="18"/>
  <c r="BE45" i="18"/>
  <c r="BD45" i="18"/>
  <c r="BC45" i="18"/>
  <c r="BB45" i="18"/>
  <c r="BA45" i="18"/>
  <c r="AX45" i="18"/>
  <c r="AW45" i="18"/>
  <c r="AV45" i="18"/>
  <c r="AU45" i="18"/>
  <c r="AT45" i="18"/>
  <c r="AQ45" i="18"/>
  <c r="AP45" i="18"/>
  <c r="AO45" i="18"/>
  <c r="AN45" i="18"/>
  <c r="AM45" i="18"/>
  <c r="AD45" i="18"/>
  <c r="AA45" i="18"/>
  <c r="Z45" i="18"/>
  <c r="Y45" i="18"/>
  <c r="X45" i="18"/>
  <c r="W45" i="18"/>
  <c r="T45" i="18"/>
  <c r="S45" i="18"/>
  <c r="R45" i="18"/>
  <c r="Q45" i="18"/>
  <c r="P45" i="18"/>
  <c r="BE44" i="18"/>
  <c r="BD44" i="18"/>
  <c r="BC44" i="18"/>
  <c r="BB44" i="18"/>
  <c r="BA44" i="18"/>
  <c r="AX44" i="18"/>
  <c r="AW44" i="18"/>
  <c r="AV44" i="18"/>
  <c r="AU44" i="18"/>
  <c r="AT44" i="18"/>
  <c r="AQ44" i="18"/>
  <c r="AP44" i="18"/>
  <c r="AO44" i="18"/>
  <c r="AN44" i="18"/>
  <c r="AM44" i="18"/>
  <c r="AD44" i="18"/>
  <c r="AA44" i="18"/>
  <c r="Z44" i="18"/>
  <c r="Y44" i="18"/>
  <c r="X44" i="18"/>
  <c r="W44" i="18"/>
  <c r="T44" i="18"/>
  <c r="S44" i="18"/>
  <c r="R44" i="18"/>
  <c r="Q44" i="18"/>
  <c r="P44" i="18"/>
  <c r="BE43" i="18"/>
  <c r="BD43" i="18"/>
  <c r="BC43" i="18"/>
  <c r="BB43" i="18"/>
  <c r="BA43" i="18"/>
  <c r="AX43" i="18"/>
  <c r="AW43" i="18"/>
  <c r="AV43" i="18"/>
  <c r="AU43" i="18"/>
  <c r="AT43" i="18"/>
  <c r="AQ43" i="18"/>
  <c r="AP43" i="18"/>
  <c r="AO43" i="18"/>
  <c r="AN43" i="18"/>
  <c r="AM43" i="18"/>
  <c r="AD43" i="18"/>
  <c r="AA43" i="18"/>
  <c r="Z43" i="18"/>
  <c r="Y43" i="18"/>
  <c r="X43" i="18"/>
  <c r="W43" i="18"/>
  <c r="T43" i="18"/>
  <c r="S43" i="18"/>
  <c r="R43" i="18"/>
  <c r="Q43" i="18"/>
  <c r="P43" i="18"/>
  <c r="BE42" i="18"/>
  <c r="BD42" i="18"/>
  <c r="BC42" i="18"/>
  <c r="BB42" i="18"/>
  <c r="BA42" i="18"/>
  <c r="AX42" i="18"/>
  <c r="AW42" i="18"/>
  <c r="AV42" i="18"/>
  <c r="AU42" i="18"/>
  <c r="AT42" i="18"/>
  <c r="AQ42" i="18"/>
  <c r="AP42" i="18"/>
  <c r="AO42" i="18"/>
  <c r="AN42" i="18"/>
  <c r="AM42" i="18"/>
  <c r="AD42" i="18"/>
  <c r="AA42" i="18"/>
  <c r="Z42" i="18"/>
  <c r="Y42" i="18"/>
  <c r="X42" i="18"/>
  <c r="W42" i="18"/>
  <c r="T42" i="18"/>
  <c r="W61" i="50" s="1"/>
  <c r="S42" i="18"/>
  <c r="R42" i="18"/>
  <c r="Q42" i="18"/>
  <c r="P42" i="18"/>
  <c r="BE41" i="18"/>
  <c r="BD41" i="18"/>
  <c r="BC41" i="18"/>
  <c r="BB41" i="18"/>
  <c r="BA41" i="18"/>
  <c r="AX41" i="18"/>
  <c r="AW41" i="18"/>
  <c r="AV41" i="18"/>
  <c r="AU41" i="18"/>
  <c r="AT41" i="18"/>
  <c r="AQ41" i="18"/>
  <c r="AP41" i="18"/>
  <c r="AO41" i="18"/>
  <c r="AN41" i="18"/>
  <c r="AM41" i="18"/>
  <c r="AD41" i="18"/>
  <c r="AA41" i="18"/>
  <c r="Z41" i="18"/>
  <c r="Y41" i="18"/>
  <c r="X41" i="18"/>
  <c r="W41" i="18"/>
  <c r="T41" i="18"/>
  <c r="S41" i="18"/>
  <c r="R41" i="18"/>
  <c r="W46" i="50" s="1"/>
  <c r="Q41" i="18"/>
  <c r="W30" i="50" s="1"/>
  <c r="X30" i="50" s="1"/>
  <c r="P41" i="18"/>
  <c r="W11" i="50" s="1"/>
  <c r="BE40" i="18"/>
  <c r="BD40" i="18"/>
  <c r="BC40" i="18"/>
  <c r="BB40" i="18"/>
  <c r="BA40" i="18"/>
  <c r="AX40" i="18"/>
  <c r="AW40" i="18"/>
  <c r="AV40" i="18"/>
  <c r="AU40" i="18"/>
  <c r="AT40" i="18"/>
  <c r="AQ40" i="18"/>
  <c r="AP40" i="18"/>
  <c r="AO40" i="18"/>
  <c r="AN40" i="18"/>
  <c r="AM40" i="18"/>
  <c r="AD40" i="18"/>
  <c r="AA40" i="18"/>
  <c r="Z40" i="18"/>
  <c r="Y40" i="18"/>
  <c r="X40" i="18"/>
  <c r="W40" i="18"/>
  <c r="T40" i="18"/>
  <c r="S40" i="18"/>
  <c r="R40" i="18"/>
  <c r="Q40" i="18"/>
  <c r="P40" i="18"/>
  <c r="BE39" i="18"/>
  <c r="BD39" i="18"/>
  <c r="BC39" i="18"/>
  <c r="BB39" i="18"/>
  <c r="BA39" i="18"/>
  <c r="AX39" i="18"/>
  <c r="AW39" i="18"/>
  <c r="AV39" i="18"/>
  <c r="AU39" i="18"/>
  <c r="AT39" i="18"/>
  <c r="AQ39" i="18"/>
  <c r="AP39" i="18"/>
  <c r="AO39" i="18"/>
  <c r="AN39" i="18"/>
  <c r="AM39" i="18"/>
  <c r="AD39" i="18"/>
  <c r="AA39" i="18"/>
  <c r="Z39" i="18"/>
  <c r="Y39" i="18"/>
  <c r="X39" i="18"/>
  <c r="W39" i="18"/>
  <c r="T39" i="18"/>
  <c r="S39" i="18"/>
  <c r="R39" i="18"/>
  <c r="Q39" i="18"/>
  <c r="P39" i="18"/>
  <c r="BE38" i="18"/>
  <c r="BD38" i="18"/>
  <c r="BC38" i="18"/>
  <c r="BB38" i="18"/>
  <c r="BA38" i="18"/>
  <c r="AX38" i="18"/>
  <c r="AW38" i="18"/>
  <c r="AV38" i="18"/>
  <c r="AU38" i="18"/>
  <c r="AT38" i="18"/>
  <c r="AQ38" i="18"/>
  <c r="AP38" i="18"/>
  <c r="AO38" i="18"/>
  <c r="AN38" i="18"/>
  <c r="AM38" i="18"/>
  <c r="AD38" i="18"/>
  <c r="AA38" i="18"/>
  <c r="Z38" i="18"/>
  <c r="Y38" i="18"/>
  <c r="X38" i="18"/>
  <c r="W38" i="18"/>
  <c r="T38" i="18"/>
  <c r="S38" i="18"/>
  <c r="R38" i="18"/>
  <c r="Q38" i="18"/>
  <c r="P38" i="18"/>
  <c r="BE37" i="18"/>
  <c r="BD37" i="18"/>
  <c r="BC37" i="18"/>
  <c r="BB37" i="18"/>
  <c r="BA37" i="18"/>
  <c r="AX37" i="18"/>
  <c r="AW37" i="18"/>
  <c r="AV37" i="18"/>
  <c r="AU37" i="18"/>
  <c r="AT37" i="18"/>
  <c r="AQ37" i="18"/>
  <c r="AP37" i="18"/>
  <c r="AO37" i="18"/>
  <c r="AN37" i="18"/>
  <c r="AM37" i="18"/>
  <c r="AD37" i="18"/>
  <c r="AA37" i="18"/>
  <c r="Z37" i="18"/>
  <c r="Y37" i="18"/>
  <c r="X37" i="18"/>
  <c r="W37" i="18"/>
  <c r="T37" i="18"/>
  <c r="S37" i="18"/>
  <c r="R37" i="18"/>
  <c r="Q37" i="18"/>
  <c r="P37" i="18"/>
  <c r="R9" i="51" s="1"/>
  <c r="BE36" i="18"/>
  <c r="BD36" i="18"/>
  <c r="BC36" i="18"/>
  <c r="BB36" i="18"/>
  <c r="BA36" i="18"/>
  <c r="AX36" i="18"/>
  <c r="AW36" i="18"/>
  <c r="AV36" i="18"/>
  <c r="AU36" i="18"/>
  <c r="AT36" i="18"/>
  <c r="AQ36" i="18"/>
  <c r="AP36" i="18"/>
  <c r="AO36" i="18"/>
  <c r="AN36" i="18"/>
  <c r="AM36" i="18"/>
  <c r="AD36" i="18"/>
  <c r="AA36" i="18"/>
  <c r="Z36" i="18"/>
  <c r="Y36" i="18"/>
  <c r="X36" i="18"/>
  <c r="W36" i="18"/>
  <c r="T36" i="18"/>
  <c r="S36" i="18"/>
  <c r="R36" i="18"/>
  <c r="Q36" i="18"/>
  <c r="P36" i="18"/>
  <c r="BE35" i="18"/>
  <c r="BD35" i="18"/>
  <c r="BC35" i="18"/>
  <c r="BB35" i="18"/>
  <c r="BA35" i="18"/>
  <c r="AX35" i="18"/>
  <c r="AW35" i="18"/>
  <c r="AV35" i="18"/>
  <c r="AU35" i="18"/>
  <c r="AT35" i="18"/>
  <c r="AQ35" i="18"/>
  <c r="AP35" i="18"/>
  <c r="AO35" i="18"/>
  <c r="AN35" i="18"/>
  <c r="AM35" i="18"/>
  <c r="AD35" i="18"/>
  <c r="AA35" i="18"/>
  <c r="Z35" i="18"/>
  <c r="Y35" i="18"/>
  <c r="X35" i="18"/>
  <c r="W35" i="18"/>
  <c r="T35" i="18"/>
  <c r="W60" i="50" s="1"/>
  <c r="S35" i="18"/>
  <c r="R35" i="18"/>
  <c r="Q35" i="18"/>
  <c r="P35" i="18"/>
  <c r="BE34" i="18"/>
  <c r="BD34" i="18"/>
  <c r="BC34" i="18"/>
  <c r="BB34" i="18"/>
  <c r="BA34" i="18"/>
  <c r="AX34" i="18"/>
  <c r="AW34" i="18"/>
  <c r="AV34" i="18"/>
  <c r="AU34" i="18"/>
  <c r="AT34" i="18"/>
  <c r="AQ34" i="18"/>
  <c r="AP34" i="18"/>
  <c r="AO34" i="18"/>
  <c r="AN34" i="18"/>
  <c r="AM34" i="18"/>
  <c r="AD34" i="18"/>
  <c r="AA34" i="18"/>
  <c r="Z34" i="18"/>
  <c r="Y34" i="18"/>
  <c r="X34" i="18"/>
  <c r="W34" i="18"/>
  <c r="T34" i="18"/>
  <c r="S34" i="18"/>
  <c r="R34" i="18"/>
  <c r="Q34" i="18"/>
  <c r="P34" i="18"/>
  <c r="BE33" i="18"/>
  <c r="BD33" i="18"/>
  <c r="BC33" i="18"/>
  <c r="BB33" i="18"/>
  <c r="BA33" i="18"/>
  <c r="AX33" i="18"/>
  <c r="AW33" i="18"/>
  <c r="AV33" i="18"/>
  <c r="AU33" i="18"/>
  <c r="AT33" i="18"/>
  <c r="AQ33" i="18"/>
  <c r="AP33" i="18"/>
  <c r="AO33" i="18"/>
  <c r="AN33" i="18"/>
  <c r="AM33" i="18"/>
  <c r="AD33" i="18"/>
  <c r="AA33" i="18"/>
  <c r="Z33" i="18"/>
  <c r="Y33" i="18"/>
  <c r="X33" i="18"/>
  <c r="W33" i="18"/>
  <c r="T33" i="18"/>
  <c r="S33" i="18"/>
  <c r="R33" i="18"/>
  <c r="Q33" i="18"/>
  <c r="P33" i="18"/>
  <c r="BE32" i="18"/>
  <c r="BD32" i="18"/>
  <c r="BC32" i="18"/>
  <c r="BB32" i="18"/>
  <c r="BA32" i="18"/>
  <c r="AX32" i="18"/>
  <c r="AW32" i="18"/>
  <c r="AV32" i="18"/>
  <c r="AU32" i="18"/>
  <c r="AT32" i="18"/>
  <c r="AQ32" i="18"/>
  <c r="AP32" i="18"/>
  <c r="AO32" i="18"/>
  <c r="AN32" i="18"/>
  <c r="AM32" i="18"/>
  <c r="AD32" i="18"/>
  <c r="AA32" i="18"/>
  <c r="Z32" i="18"/>
  <c r="Y32" i="18"/>
  <c r="X32" i="18"/>
  <c r="W32" i="18"/>
  <c r="T32" i="18"/>
  <c r="S32" i="18"/>
  <c r="R32" i="18"/>
  <c r="W45" i="50" s="1"/>
  <c r="Q32" i="18"/>
  <c r="P32" i="18"/>
  <c r="BE31" i="18"/>
  <c r="BD31" i="18"/>
  <c r="BC31" i="18"/>
  <c r="BB31" i="18"/>
  <c r="BA31" i="18"/>
  <c r="AX31" i="18"/>
  <c r="AW31" i="18"/>
  <c r="AV31" i="18"/>
  <c r="AU31" i="18"/>
  <c r="AT31" i="18"/>
  <c r="AQ31" i="18"/>
  <c r="AP31" i="18"/>
  <c r="AO31" i="18"/>
  <c r="AN31" i="18"/>
  <c r="AM31" i="18"/>
  <c r="AD31" i="18"/>
  <c r="AA31" i="18"/>
  <c r="Z31" i="18"/>
  <c r="Y31" i="18"/>
  <c r="X31" i="18"/>
  <c r="W31" i="18"/>
  <c r="T31" i="18"/>
  <c r="S31" i="18"/>
  <c r="R31" i="18"/>
  <c r="Q31" i="18"/>
  <c r="P31" i="18"/>
  <c r="BE30" i="18"/>
  <c r="BD30" i="18"/>
  <c r="BC30" i="18"/>
  <c r="BB30" i="18"/>
  <c r="BA30" i="18"/>
  <c r="AX30" i="18"/>
  <c r="AW30" i="18"/>
  <c r="AV30" i="18"/>
  <c r="AU30" i="18"/>
  <c r="AT30" i="18"/>
  <c r="AQ30" i="18"/>
  <c r="AP30" i="18"/>
  <c r="AO30" i="18"/>
  <c r="AN30" i="18"/>
  <c r="AM30" i="18"/>
  <c r="AD30" i="18"/>
  <c r="AA30" i="18"/>
  <c r="Z30" i="18"/>
  <c r="Y30" i="18"/>
  <c r="X30" i="18"/>
  <c r="W30" i="18"/>
  <c r="T30" i="18"/>
  <c r="S30" i="18"/>
  <c r="R30" i="18"/>
  <c r="Q30" i="18"/>
  <c r="P30" i="18"/>
  <c r="BE29" i="18"/>
  <c r="BD29" i="18"/>
  <c r="BC29" i="18"/>
  <c r="BB29" i="18"/>
  <c r="BA29" i="18"/>
  <c r="AX29" i="18"/>
  <c r="AW29" i="18"/>
  <c r="AV29" i="18"/>
  <c r="AU29" i="18"/>
  <c r="AT29" i="18"/>
  <c r="AQ29" i="18"/>
  <c r="AP29" i="18"/>
  <c r="AO29" i="18"/>
  <c r="AN29" i="18"/>
  <c r="AM29" i="18"/>
  <c r="AD29" i="18"/>
  <c r="AA29" i="18"/>
  <c r="Z29" i="18"/>
  <c r="Y29" i="18"/>
  <c r="X29" i="18"/>
  <c r="W29" i="18"/>
  <c r="T29" i="18"/>
  <c r="S29" i="18"/>
  <c r="R29" i="18"/>
  <c r="Q29" i="18"/>
  <c r="P29" i="18"/>
  <c r="BE28" i="18"/>
  <c r="BD28" i="18"/>
  <c r="BC28" i="18"/>
  <c r="BB28" i="18"/>
  <c r="BA28" i="18"/>
  <c r="AX28" i="18"/>
  <c r="AW28" i="18"/>
  <c r="AV28" i="18"/>
  <c r="AU28" i="18"/>
  <c r="AT28" i="18"/>
  <c r="AQ28" i="18"/>
  <c r="AP28" i="18"/>
  <c r="AO28" i="18"/>
  <c r="AN28" i="18"/>
  <c r="AM28" i="18"/>
  <c r="AD28" i="18"/>
  <c r="AA28" i="18"/>
  <c r="Z28" i="18"/>
  <c r="Y28" i="18"/>
  <c r="X28" i="18"/>
  <c r="W28" i="18"/>
  <c r="T28" i="18"/>
  <c r="S28" i="18"/>
  <c r="R28" i="18"/>
  <c r="Q28" i="18"/>
  <c r="P28" i="18"/>
  <c r="BE27" i="18"/>
  <c r="BD27" i="18"/>
  <c r="BC27" i="18"/>
  <c r="BB27" i="18"/>
  <c r="BA27" i="18"/>
  <c r="AX27" i="18"/>
  <c r="AW27" i="18"/>
  <c r="AV27" i="18"/>
  <c r="AU27" i="18"/>
  <c r="AT27" i="18"/>
  <c r="AQ27" i="18"/>
  <c r="AP27" i="18"/>
  <c r="AO27" i="18"/>
  <c r="AN27" i="18"/>
  <c r="AM27" i="18"/>
  <c r="AD27" i="18"/>
  <c r="AA27" i="18"/>
  <c r="Z27" i="18"/>
  <c r="Y27" i="18"/>
  <c r="X27" i="18"/>
  <c r="W27" i="18"/>
  <c r="T27" i="18"/>
  <c r="S27" i="18"/>
  <c r="R27" i="18"/>
  <c r="Q27" i="18"/>
  <c r="P27" i="18"/>
  <c r="BE26" i="18"/>
  <c r="BD26" i="18"/>
  <c r="BC26" i="18"/>
  <c r="BB26" i="18"/>
  <c r="BA26" i="18"/>
  <c r="AX26" i="18"/>
  <c r="AW26" i="18"/>
  <c r="AV26" i="18"/>
  <c r="AU26" i="18"/>
  <c r="AT26" i="18"/>
  <c r="AQ26" i="18"/>
  <c r="AP26" i="18"/>
  <c r="AO26" i="18"/>
  <c r="AN26" i="18"/>
  <c r="AM26" i="18"/>
  <c r="AD26" i="18"/>
  <c r="AA26" i="18"/>
  <c r="Z26" i="18"/>
  <c r="Y26" i="18"/>
  <c r="X26" i="18"/>
  <c r="W26" i="18"/>
  <c r="T26" i="18"/>
  <c r="W59" i="50" s="1"/>
  <c r="S26" i="18"/>
  <c r="R26" i="18"/>
  <c r="Q26" i="18"/>
  <c r="P26" i="18"/>
  <c r="BE25" i="18"/>
  <c r="BD25" i="18"/>
  <c r="BC25" i="18"/>
  <c r="BB25" i="18"/>
  <c r="BA25" i="18"/>
  <c r="AX25" i="18"/>
  <c r="AW25" i="18"/>
  <c r="AV25" i="18"/>
  <c r="AU25" i="18"/>
  <c r="AT25" i="18"/>
  <c r="AQ25" i="18"/>
  <c r="AP25" i="18"/>
  <c r="AO25" i="18"/>
  <c r="AN25" i="18"/>
  <c r="AM25" i="18"/>
  <c r="AD25" i="18"/>
  <c r="AA25" i="18"/>
  <c r="Z25" i="18"/>
  <c r="Y25" i="18"/>
  <c r="X25" i="18"/>
  <c r="W25" i="18"/>
  <c r="T25" i="18"/>
  <c r="S25" i="18"/>
  <c r="R25" i="18"/>
  <c r="Q25" i="18"/>
  <c r="P25" i="18"/>
  <c r="BE24" i="18"/>
  <c r="BD24" i="18"/>
  <c r="BC24" i="18"/>
  <c r="BB24" i="18"/>
  <c r="BA24" i="18"/>
  <c r="AX24" i="18"/>
  <c r="AW24" i="18"/>
  <c r="AV24" i="18"/>
  <c r="AU24" i="18"/>
  <c r="AT24" i="18"/>
  <c r="AQ24" i="18"/>
  <c r="AP24" i="18"/>
  <c r="AO24" i="18"/>
  <c r="AN24" i="18"/>
  <c r="AM24" i="18"/>
  <c r="AD24" i="18"/>
  <c r="AA24" i="18"/>
  <c r="Z24" i="18"/>
  <c r="Y24" i="18"/>
  <c r="X24" i="18"/>
  <c r="W24" i="18"/>
  <c r="T24" i="18"/>
  <c r="S24" i="18"/>
  <c r="R24" i="18"/>
  <c r="Q24" i="18"/>
  <c r="P24" i="18"/>
  <c r="BE23" i="18"/>
  <c r="BD23" i="18"/>
  <c r="BC23" i="18"/>
  <c r="BB23" i="18"/>
  <c r="BA23" i="18"/>
  <c r="AX23" i="18"/>
  <c r="AW23" i="18"/>
  <c r="AV23" i="18"/>
  <c r="AU23" i="18"/>
  <c r="AT23" i="18"/>
  <c r="AQ23" i="18"/>
  <c r="AP23" i="18"/>
  <c r="AO23" i="18"/>
  <c r="AN23" i="18"/>
  <c r="AM23" i="18"/>
  <c r="AD23" i="18"/>
  <c r="AA23" i="18"/>
  <c r="Z23" i="18"/>
  <c r="Y23" i="18"/>
  <c r="X23" i="18"/>
  <c r="W23" i="18"/>
  <c r="T23" i="18"/>
  <c r="S23" i="18"/>
  <c r="R23" i="18"/>
  <c r="Q23" i="18"/>
  <c r="P23" i="18"/>
  <c r="BE22" i="18"/>
  <c r="BD22" i="18"/>
  <c r="BC22" i="18"/>
  <c r="BB22" i="18"/>
  <c r="BA22" i="18"/>
  <c r="AX22" i="18"/>
  <c r="AW22" i="18"/>
  <c r="AV22" i="18"/>
  <c r="AU22" i="18"/>
  <c r="AT22" i="18"/>
  <c r="AQ22" i="18"/>
  <c r="AP22" i="18"/>
  <c r="AO22" i="18"/>
  <c r="AN22" i="18"/>
  <c r="AM22" i="18"/>
  <c r="AD22" i="18"/>
  <c r="AA22" i="18"/>
  <c r="Z22" i="18"/>
  <c r="Y22" i="18"/>
  <c r="X22" i="18"/>
  <c r="W22" i="18"/>
  <c r="T22" i="18"/>
  <c r="S22" i="18"/>
  <c r="R22" i="18"/>
  <c r="Q22" i="18"/>
  <c r="W28" i="50" s="1"/>
  <c r="X28" i="50" s="1"/>
  <c r="P22" i="18"/>
  <c r="BE21" i="18"/>
  <c r="BD21" i="18"/>
  <c r="BC21" i="18"/>
  <c r="BB21" i="18"/>
  <c r="BA21" i="18"/>
  <c r="AX21" i="18"/>
  <c r="AW21" i="18"/>
  <c r="AV21" i="18"/>
  <c r="AU21" i="18"/>
  <c r="AT21" i="18"/>
  <c r="AQ21" i="18"/>
  <c r="AP21" i="18"/>
  <c r="AO21" i="18"/>
  <c r="AN21" i="18"/>
  <c r="AM21" i="18"/>
  <c r="AD21" i="18"/>
  <c r="W21" i="18"/>
  <c r="T21" i="18"/>
  <c r="S21" i="18"/>
  <c r="R21" i="18"/>
  <c r="W44" i="50" s="1"/>
  <c r="Q21" i="18"/>
  <c r="P21" i="18"/>
  <c r="BE20" i="18"/>
  <c r="BD20" i="18"/>
  <c r="BC20" i="18"/>
  <c r="BB20" i="18"/>
  <c r="BA20" i="18"/>
  <c r="AX20" i="18"/>
  <c r="AW20" i="18"/>
  <c r="AV20" i="18"/>
  <c r="AU20" i="18"/>
  <c r="AT20" i="18"/>
  <c r="AQ20" i="18"/>
  <c r="AP20" i="18"/>
  <c r="AO20" i="18"/>
  <c r="AN20" i="18"/>
  <c r="AM20" i="18"/>
  <c r="AD20" i="18"/>
  <c r="W20" i="18"/>
  <c r="P20" i="18"/>
  <c r="BE19" i="18"/>
  <c r="BD19" i="18"/>
  <c r="BC19" i="18"/>
  <c r="BB19" i="18"/>
  <c r="BA19" i="18"/>
  <c r="AX19" i="18"/>
  <c r="AW19" i="18"/>
  <c r="AV19" i="18"/>
  <c r="AU19" i="18"/>
  <c r="AT19" i="18"/>
  <c r="AQ19" i="18"/>
  <c r="AP19" i="18"/>
  <c r="AO19" i="18"/>
  <c r="AN19" i="18"/>
  <c r="AM19" i="18"/>
  <c r="AD19" i="18"/>
  <c r="W19" i="18"/>
  <c r="P19" i="18"/>
  <c r="BE18" i="18"/>
  <c r="BD18" i="18"/>
  <c r="BC18" i="18"/>
  <c r="BB18" i="18"/>
  <c r="BA18" i="18"/>
  <c r="AX18" i="18"/>
  <c r="AW18" i="18"/>
  <c r="AV18" i="18"/>
  <c r="AU18" i="18"/>
  <c r="AT18" i="18"/>
  <c r="AQ18" i="18"/>
  <c r="AP18" i="18"/>
  <c r="AO18" i="18"/>
  <c r="AN18" i="18"/>
  <c r="AM18" i="18"/>
  <c r="AD18" i="18"/>
  <c r="W18" i="18"/>
  <c r="P18" i="18"/>
  <c r="BE17" i="18"/>
  <c r="BD17" i="18"/>
  <c r="BC17" i="18"/>
  <c r="BB17" i="18"/>
  <c r="BA17" i="18"/>
  <c r="AX17" i="18"/>
  <c r="AW17" i="18"/>
  <c r="AV17" i="18"/>
  <c r="AU17" i="18"/>
  <c r="AT17" i="18"/>
  <c r="AQ17" i="18"/>
  <c r="AP17" i="18"/>
  <c r="AO17" i="18"/>
  <c r="AN17" i="18"/>
  <c r="AM17" i="18"/>
  <c r="AD17" i="18"/>
  <c r="W17" i="18"/>
  <c r="P17" i="18"/>
  <c r="BE16" i="18"/>
  <c r="BD16" i="18"/>
  <c r="BC16" i="18"/>
  <c r="BB16" i="18"/>
  <c r="BA16" i="18"/>
  <c r="AX16" i="18"/>
  <c r="AW16" i="18"/>
  <c r="AV16" i="18"/>
  <c r="AU16" i="18"/>
  <c r="AT16" i="18"/>
  <c r="AQ16" i="18"/>
  <c r="AP16" i="18"/>
  <c r="AO16" i="18"/>
  <c r="AN16" i="18"/>
  <c r="AM16" i="18"/>
  <c r="AD16" i="18"/>
  <c r="W16" i="18"/>
  <c r="P16" i="18"/>
  <c r="BE15" i="18"/>
  <c r="BD15" i="18"/>
  <c r="BC15" i="18"/>
  <c r="BB15" i="18"/>
  <c r="BA15" i="18"/>
  <c r="AX15" i="18"/>
  <c r="AW15" i="18"/>
  <c r="AV15" i="18"/>
  <c r="AU15" i="18"/>
  <c r="AT15" i="18"/>
  <c r="AQ15" i="18"/>
  <c r="AP15" i="18"/>
  <c r="AO15" i="18"/>
  <c r="AN15" i="18"/>
  <c r="AM15" i="18"/>
  <c r="AD15" i="18"/>
  <c r="W15" i="18"/>
  <c r="P15" i="18"/>
  <c r="BE14" i="18"/>
  <c r="BD14" i="18"/>
  <c r="BC14" i="18"/>
  <c r="BB14" i="18"/>
  <c r="BA14" i="18"/>
  <c r="AX14" i="18"/>
  <c r="AW14" i="18"/>
  <c r="AV14" i="18"/>
  <c r="AU14" i="18"/>
  <c r="AT14" i="18"/>
  <c r="AQ14" i="18"/>
  <c r="AP14" i="18"/>
  <c r="AO14" i="18"/>
  <c r="AN14" i="18"/>
  <c r="AM14" i="18"/>
  <c r="AD14" i="18"/>
  <c r="W14" i="18"/>
  <c r="P14" i="18"/>
  <c r="BE13" i="18"/>
  <c r="BD13" i="18"/>
  <c r="BC13" i="18"/>
  <c r="BB13" i="18"/>
  <c r="BA13" i="18"/>
  <c r="AX13" i="18"/>
  <c r="AW13" i="18"/>
  <c r="AV13" i="18"/>
  <c r="AU13" i="18"/>
  <c r="AT13" i="18"/>
  <c r="AQ13" i="18"/>
  <c r="AP13" i="18"/>
  <c r="AO13" i="18"/>
  <c r="AN13" i="18"/>
  <c r="AM13" i="18"/>
  <c r="AD13" i="18"/>
  <c r="W13" i="18"/>
  <c r="P13" i="18"/>
  <c r="BE12" i="18"/>
  <c r="BD12" i="18"/>
  <c r="BC12" i="18"/>
  <c r="BB12" i="18"/>
  <c r="BA12" i="18"/>
  <c r="AX12" i="18"/>
  <c r="AW12" i="18"/>
  <c r="AV12" i="18"/>
  <c r="AU12" i="18"/>
  <c r="AT12" i="18"/>
  <c r="AQ12" i="18"/>
  <c r="AP12" i="18"/>
  <c r="AO12" i="18"/>
  <c r="AN12" i="18"/>
  <c r="AM12" i="18"/>
  <c r="AD12" i="18"/>
  <c r="W12" i="18"/>
  <c r="P12" i="18"/>
  <c r="BE11" i="18"/>
  <c r="BD11" i="18"/>
  <c r="BC11" i="18"/>
  <c r="BB11" i="18"/>
  <c r="BA11" i="18"/>
  <c r="AX11" i="18"/>
  <c r="AW11" i="18"/>
  <c r="AV11" i="18"/>
  <c r="AU11" i="18"/>
  <c r="AT11" i="18"/>
  <c r="AQ11" i="18"/>
  <c r="AP11" i="18"/>
  <c r="AO11" i="18"/>
  <c r="AN11" i="18"/>
  <c r="AM11" i="18"/>
  <c r="AD11" i="18"/>
  <c r="W11" i="18"/>
  <c r="P11" i="18"/>
  <c r="BE10" i="18"/>
  <c r="BD10" i="18"/>
  <c r="BC10" i="18"/>
  <c r="BB10" i="18"/>
  <c r="BA10" i="18"/>
  <c r="AX10" i="18"/>
  <c r="AW10" i="18"/>
  <c r="AV10" i="18"/>
  <c r="AU10" i="18"/>
  <c r="AT10" i="18"/>
  <c r="AQ10" i="18"/>
  <c r="AP10" i="18"/>
  <c r="AO10" i="18"/>
  <c r="AN10" i="18"/>
  <c r="AM10" i="18"/>
  <c r="AD10" i="18"/>
  <c r="W10" i="18"/>
  <c r="P10" i="18"/>
  <c r="BE9" i="18"/>
  <c r="BD9" i="18"/>
  <c r="BC9" i="18"/>
  <c r="BB9" i="18"/>
  <c r="BA9" i="18"/>
  <c r="AX9" i="18"/>
  <c r="AW9" i="18"/>
  <c r="AV9" i="18"/>
  <c r="AU9" i="18"/>
  <c r="AT9" i="18"/>
  <c r="AQ9" i="18"/>
  <c r="AP9" i="18"/>
  <c r="AO9" i="18"/>
  <c r="AN9" i="18"/>
  <c r="AM9" i="18"/>
  <c r="AD9" i="18"/>
  <c r="W9" i="18"/>
  <c r="P9" i="18"/>
  <c r="W7" i="50" s="1"/>
  <c r="X7" i="50" s="1"/>
  <c r="BE8" i="18"/>
  <c r="BD8" i="18"/>
  <c r="BC8" i="18"/>
  <c r="BB8" i="18"/>
  <c r="BA8" i="18"/>
  <c r="AX8" i="18"/>
  <c r="AW8" i="18"/>
  <c r="AV8" i="18"/>
  <c r="AU8" i="18"/>
  <c r="AT8" i="18"/>
  <c r="AQ8" i="18"/>
  <c r="AP8" i="18"/>
  <c r="AO8" i="18"/>
  <c r="AN8" i="18"/>
  <c r="AM8" i="18"/>
  <c r="AD8" i="18"/>
  <c r="W8" i="18"/>
  <c r="P8" i="18"/>
  <c r="BE7" i="18"/>
  <c r="BD7" i="18"/>
  <c r="BC7" i="18"/>
  <c r="BB7" i="18"/>
  <c r="BA7" i="18"/>
  <c r="AX7" i="18"/>
  <c r="AW7" i="18"/>
  <c r="AV7" i="18"/>
  <c r="AU7" i="18"/>
  <c r="AT7" i="18"/>
  <c r="AQ7" i="18"/>
  <c r="AP7" i="18"/>
  <c r="AO7" i="18"/>
  <c r="AN7" i="18"/>
  <c r="AM7" i="18"/>
  <c r="AD7" i="18"/>
  <c r="W7" i="18"/>
  <c r="P7" i="18"/>
  <c r="BE6" i="18"/>
  <c r="BD6" i="18"/>
  <c r="BC6" i="18"/>
  <c r="BB6" i="18"/>
  <c r="BA6" i="18"/>
  <c r="AX6" i="18"/>
  <c r="AW6" i="18"/>
  <c r="AV6" i="18"/>
  <c r="AU6" i="18"/>
  <c r="AT6" i="18"/>
  <c r="AQ6" i="18"/>
  <c r="AP6" i="18"/>
  <c r="AO6" i="18"/>
  <c r="AN6" i="18"/>
  <c r="AM6" i="18"/>
  <c r="AD6" i="18"/>
  <c r="W6" i="18"/>
  <c r="P6" i="18"/>
  <c r="BE5" i="18"/>
  <c r="BD5" i="18"/>
  <c r="BC5" i="18"/>
  <c r="BB5" i="18"/>
  <c r="BA5" i="18"/>
  <c r="AX5" i="18"/>
  <c r="AW5" i="18"/>
  <c r="AV5" i="18"/>
  <c r="AU5" i="18"/>
  <c r="AT5" i="18"/>
  <c r="AQ5" i="18"/>
  <c r="AP5" i="18"/>
  <c r="AO5" i="18"/>
  <c r="AN5" i="18"/>
  <c r="AM5" i="18"/>
  <c r="AD5" i="18"/>
  <c r="AA5" i="18"/>
  <c r="Z5" i="18"/>
  <c r="Y5" i="18"/>
  <c r="X5" i="18"/>
  <c r="W5" i="18"/>
  <c r="T5" i="18"/>
  <c r="S5" i="18"/>
  <c r="R5" i="18"/>
  <c r="Q5" i="18"/>
  <c r="P5" i="18"/>
  <c r="BE4" i="18"/>
  <c r="BD4" i="18"/>
  <c r="BC4" i="18"/>
  <c r="BB4" i="18"/>
  <c r="BA4" i="18"/>
  <c r="AX4" i="18"/>
  <c r="AW4" i="18"/>
  <c r="AV4" i="18"/>
  <c r="AU4" i="18"/>
  <c r="AT4" i="18"/>
  <c r="AQ4" i="18"/>
  <c r="AP4" i="18"/>
  <c r="AO4" i="18"/>
  <c r="AN4" i="18"/>
  <c r="AM4" i="18"/>
  <c r="AD4" i="18"/>
  <c r="AA4" i="18"/>
  <c r="Z4" i="18"/>
  <c r="Y4" i="18"/>
  <c r="X4" i="18"/>
  <c r="W4" i="18"/>
  <c r="T4" i="18"/>
  <c r="S4" i="18"/>
  <c r="R4" i="18"/>
  <c r="Q4" i="18"/>
  <c r="P4" i="18"/>
  <c r="K11" i="47"/>
  <c r="J6" i="47"/>
  <c r="Y8" i="51"/>
  <c r="X8" i="51"/>
  <c r="W8" i="51"/>
  <c r="V8" i="51"/>
  <c r="U8" i="51"/>
  <c r="T8" i="51"/>
  <c r="S8" i="51"/>
  <c r="Y9" i="51"/>
  <c r="Y10" i="51"/>
  <c r="Y11" i="51"/>
  <c r="Y12" i="51"/>
  <c r="Y13" i="51"/>
  <c r="Y14" i="51"/>
  <c r="X9" i="51"/>
  <c r="X10" i="51"/>
  <c r="X11" i="51"/>
  <c r="X12" i="51"/>
  <c r="X13" i="51"/>
  <c r="X14" i="51"/>
  <c r="W9" i="51"/>
  <c r="W10" i="51"/>
  <c r="W11" i="51"/>
  <c r="W12" i="51"/>
  <c r="W13" i="51"/>
  <c r="W14" i="51"/>
  <c r="V13" i="51"/>
  <c r="V14" i="51"/>
  <c r="V9" i="51"/>
  <c r="V10" i="51"/>
  <c r="V11" i="51"/>
  <c r="V12" i="51"/>
  <c r="U9" i="51"/>
  <c r="U10" i="51"/>
  <c r="U11" i="51"/>
  <c r="U12" i="51"/>
  <c r="U13" i="51"/>
  <c r="U14" i="51"/>
  <c r="T9" i="51"/>
  <c r="T10" i="51"/>
  <c r="T11" i="51"/>
  <c r="T12" i="51"/>
  <c r="T13" i="51"/>
  <c r="T14" i="51"/>
  <c r="S9" i="51"/>
  <c r="S10" i="51"/>
  <c r="S11" i="51"/>
  <c r="S12" i="51"/>
  <c r="S13" i="51"/>
  <c r="S14" i="51"/>
  <c r="D20" i="50"/>
  <c r="AD49" i="50" s="1"/>
  <c r="D21" i="50"/>
  <c r="AC48" i="50" s="1"/>
  <c r="D22" i="50"/>
  <c r="AC74" i="50" s="1"/>
  <c r="AE74" i="50" s="1"/>
  <c r="D23" i="50"/>
  <c r="D24" i="50"/>
  <c r="D25" i="50"/>
  <c r="D26" i="50"/>
  <c r="D19" i="50"/>
  <c r="D13" i="50"/>
  <c r="D12" i="50"/>
  <c r="D11" i="50"/>
  <c r="D10" i="50"/>
  <c r="D9" i="50"/>
  <c r="D8" i="50"/>
  <c r="D7" i="50"/>
  <c r="D6" i="50"/>
  <c r="AB49" i="50"/>
  <c r="AD54" i="50"/>
  <c r="AC49" i="50"/>
  <c r="Z48" i="50"/>
  <c r="AD48" i="50"/>
  <c r="AA48" i="50"/>
  <c r="AC54" i="50"/>
  <c r="AA54" i="50"/>
  <c r="AB53" i="50"/>
  <c r="AD52" i="50"/>
  <c r="AA39" i="50"/>
  <c r="AA38" i="50"/>
  <c r="AA37" i="50"/>
  <c r="AA36" i="50"/>
  <c r="AA35" i="50"/>
  <c r="AD39" i="50"/>
  <c r="Z39" i="50"/>
  <c r="AD38" i="50"/>
  <c r="Z38" i="50"/>
  <c r="AD37" i="50"/>
  <c r="Z37" i="50"/>
  <c r="AE37" i="50" s="1"/>
  <c r="AD36" i="50"/>
  <c r="Z36" i="50"/>
  <c r="AD35" i="50"/>
  <c r="Z35" i="50"/>
  <c r="AE35" i="50" s="1"/>
  <c r="AC39" i="50"/>
  <c r="AC38" i="50"/>
  <c r="AC37" i="50"/>
  <c r="AC36" i="50"/>
  <c r="AC35" i="50"/>
  <c r="AB36" i="50"/>
  <c r="AB35" i="50"/>
  <c r="AB39" i="50"/>
  <c r="AB38" i="50"/>
  <c r="AB37" i="50"/>
  <c r="AC14" i="50"/>
  <c r="AC64" i="50"/>
  <c r="Z73" i="50"/>
  <c r="AC59" i="50"/>
  <c r="AB60" i="50"/>
  <c r="AA61" i="50"/>
  <c r="Z62" i="50"/>
  <c r="AD62" i="50"/>
  <c r="AB64" i="50"/>
  <c r="AA65" i="50"/>
  <c r="AE65" i="50" s="1"/>
  <c r="Z66" i="50"/>
  <c r="AC67" i="50"/>
  <c r="AB68" i="50"/>
  <c r="AB58" i="50"/>
  <c r="AC66" i="50"/>
  <c r="Z59" i="50"/>
  <c r="AD59" i="50"/>
  <c r="AC60" i="50"/>
  <c r="AB61" i="50"/>
  <c r="AA62" i="50"/>
  <c r="Z63" i="50"/>
  <c r="AD63" i="50"/>
  <c r="AB65" i="50"/>
  <c r="AA66" i="50"/>
  <c r="Z67" i="50"/>
  <c r="AC68" i="50"/>
  <c r="AC58" i="50"/>
  <c r="AB59" i="50"/>
  <c r="AA60" i="50"/>
  <c r="Z61" i="50"/>
  <c r="AA64" i="50"/>
  <c r="AD65" i="50"/>
  <c r="AA68" i="50"/>
  <c r="Z58" i="50"/>
  <c r="AA59" i="50"/>
  <c r="Z60" i="50"/>
  <c r="AD60" i="50"/>
  <c r="AB62" i="50"/>
  <c r="AA63" i="50"/>
  <c r="Z64" i="50"/>
  <c r="AD64" i="50"/>
  <c r="AC65" i="50"/>
  <c r="AB66" i="50"/>
  <c r="AA67" i="50"/>
  <c r="Z68" i="50"/>
  <c r="AD58" i="50"/>
  <c r="AD61" i="50"/>
  <c r="AB63" i="50"/>
  <c r="Z65" i="50"/>
  <c r="AB67" i="50"/>
  <c r="AA58" i="50"/>
  <c r="AC75" i="50"/>
  <c r="AC63" i="50"/>
  <c r="AD78" i="50"/>
  <c r="AD66" i="50"/>
  <c r="AC61" i="50"/>
  <c r="AB80" i="50"/>
  <c r="AA77" i="50"/>
  <c r="AE77" i="50" s="1"/>
  <c r="Z74" i="50"/>
  <c r="Z7" i="50"/>
  <c r="AE7" i="50" s="1"/>
  <c r="AC79" i="50"/>
  <c r="AB76" i="50"/>
  <c r="AA73" i="50"/>
  <c r="AA7" i="50"/>
  <c r="AB72" i="50"/>
  <c r="Z78" i="50"/>
  <c r="AD74" i="50"/>
  <c r="AC12" i="50"/>
  <c r="AB9" i="50"/>
  <c r="AD7" i="50"/>
  <c r="Z72" i="50"/>
  <c r="AA72" i="50"/>
  <c r="AA80" i="50"/>
  <c r="AB79" i="50"/>
  <c r="AC78" i="50"/>
  <c r="AD77" i="50"/>
  <c r="Z77" i="50"/>
  <c r="AA76" i="50"/>
  <c r="AB75" i="50"/>
  <c r="AD73" i="50"/>
  <c r="Z15" i="50"/>
  <c r="AD15" i="50"/>
  <c r="AB16" i="50"/>
  <c r="AA17" i="50"/>
  <c r="AC18" i="50"/>
  <c r="AB19" i="50"/>
  <c r="Z20" i="50"/>
  <c r="AD20" i="50"/>
  <c r="AA13" i="50"/>
  <c r="AA11" i="50"/>
  <c r="AD10" i="50"/>
  <c r="Z10" i="50"/>
  <c r="AD8" i="50"/>
  <c r="Z8" i="50"/>
  <c r="AD17" i="50"/>
  <c r="AA10" i="50"/>
  <c r="AA15" i="50"/>
  <c r="AC16" i="50"/>
  <c r="AB17" i="50"/>
  <c r="Z18" i="50"/>
  <c r="AD18" i="50"/>
  <c r="AC19" i="50"/>
  <c r="AA20" i="50"/>
  <c r="AE20" i="50" s="1"/>
  <c r="AB14" i="50"/>
  <c r="AD13" i="50"/>
  <c r="Z13" i="50"/>
  <c r="AB12" i="50"/>
  <c r="AD11" i="50"/>
  <c r="Z11" i="50"/>
  <c r="AC10" i="50"/>
  <c r="AA9" i="50"/>
  <c r="AC8" i="50"/>
  <c r="AA16" i="50"/>
  <c r="AB18" i="50"/>
  <c r="Z14" i="50"/>
  <c r="AE14" i="50" s="1"/>
  <c r="AD12" i="50"/>
  <c r="AB15" i="50"/>
  <c r="Z16" i="50"/>
  <c r="AD16" i="50"/>
  <c r="AC17" i="50"/>
  <c r="AA18" i="50"/>
  <c r="Z19" i="50"/>
  <c r="AD19" i="50"/>
  <c r="AB20" i="50"/>
  <c r="AA14" i="50"/>
  <c r="AA12" i="50"/>
  <c r="AC11" i="50"/>
  <c r="AD9" i="50"/>
  <c r="Z9" i="50"/>
  <c r="AB8" i="50"/>
  <c r="AC15" i="50"/>
  <c r="Z17" i="50"/>
  <c r="AE17" i="50" s="1"/>
  <c r="AA19" i="50"/>
  <c r="AC20" i="50"/>
  <c r="AD14" i="50"/>
  <c r="AB13" i="50"/>
  <c r="Z12" i="50"/>
  <c r="AB11" i="50"/>
  <c r="AC9" i="50"/>
  <c r="AA8" i="50"/>
  <c r="AE8" i="50" s="1"/>
  <c r="AC7" i="50"/>
  <c r="AD72" i="50"/>
  <c r="Z80" i="50"/>
  <c r="AA79" i="50"/>
  <c r="AB78" i="50"/>
  <c r="AC77" i="50"/>
  <c r="AD76" i="50"/>
  <c r="Z76" i="50"/>
  <c r="AA75" i="50"/>
  <c r="AB74" i="50"/>
  <c r="AC73" i="50"/>
  <c r="AB7" i="50"/>
  <c r="AC72" i="50"/>
  <c r="AC80" i="50"/>
  <c r="AD79" i="50"/>
  <c r="Z79" i="50"/>
  <c r="AA78" i="50"/>
  <c r="AB77" i="50"/>
  <c r="AC76" i="50"/>
  <c r="AD75" i="50"/>
  <c r="Z75" i="50"/>
  <c r="AA74" i="50"/>
  <c r="AB73" i="50"/>
  <c r="AA27" i="50"/>
  <c r="Z28" i="50"/>
  <c r="AD28" i="50"/>
  <c r="Z29" i="50"/>
  <c r="AD29" i="50"/>
  <c r="AC30" i="50"/>
  <c r="AB31" i="50"/>
  <c r="AA32" i="50"/>
  <c r="Z33" i="50"/>
  <c r="AD33" i="50"/>
  <c r="Z43" i="50"/>
  <c r="AE43" i="50" s="1"/>
  <c r="AD43" i="50"/>
  <c r="AA44" i="50"/>
  <c r="AC45" i="50"/>
  <c r="AA46" i="50"/>
  <c r="Z47" i="50"/>
  <c r="AD47" i="50"/>
  <c r="AB50" i="50"/>
  <c r="Z51" i="50"/>
  <c r="AD51" i="50"/>
  <c r="AB27" i="50"/>
  <c r="AA28" i="50"/>
  <c r="AA29" i="50"/>
  <c r="Z30" i="50"/>
  <c r="AD30" i="50"/>
  <c r="AB32" i="50"/>
  <c r="AA33" i="50"/>
  <c r="Z34" i="50"/>
  <c r="AD34" i="50"/>
  <c r="AA43" i="50"/>
  <c r="AB44" i="50"/>
  <c r="Z45" i="50"/>
  <c r="AD45" i="50"/>
  <c r="AE45" i="50" s="1"/>
  <c r="AB46" i="50"/>
  <c r="AA47" i="50"/>
  <c r="AE47" i="50" s="1"/>
  <c r="AC50" i="50"/>
  <c r="AA51" i="50"/>
  <c r="AC27" i="50"/>
  <c r="AB29" i="50"/>
  <c r="AA30" i="50"/>
  <c r="Z31" i="50"/>
  <c r="AD31" i="50"/>
  <c r="AC32" i="50"/>
  <c r="AB33" i="50"/>
  <c r="AA34" i="50"/>
  <c r="AB43" i="50"/>
  <c r="AC44" i="50"/>
  <c r="AA45" i="50"/>
  <c r="AC46" i="50"/>
  <c r="AB47" i="50"/>
  <c r="Z50" i="50"/>
  <c r="AD50" i="50"/>
  <c r="AB51" i="50"/>
  <c r="Z27" i="50"/>
  <c r="AD27" i="50"/>
  <c r="AC28" i="50"/>
  <c r="AC29" i="50"/>
  <c r="AB30" i="50"/>
  <c r="AE30" i="50" s="1"/>
  <c r="AA31" i="50"/>
  <c r="Z32" i="50"/>
  <c r="AD32" i="50"/>
  <c r="AB34" i="50"/>
  <c r="AC43" i="50"/>
  <c r="Z44" i="50"/>
  <c r="AD44" i="50"/>
  <c r="AB45" i="50"/>
  <c r="Z46" i="50"/>
  <c r="AD46" i="50"/>
  <c r="AC47" i="50"/>
  <c r="AA50" i="50"/>
  <c r="AC51" i="50"/>
  <c r="AL70" i="47"/>
  <c r="AL71" i="47"/>
  <c r="AL72" i="47"/>
  <c r="AL73" i="47"/>
  <c r="AL74" i="47"/>
  <c r="AL75" i="47"/>
  <c r="AL76" i="47"/>
  <c r="AL77" i="47"/>
  <c r="AL78" i="47"/>
  <c r="AL79" i="47"/>
  <c r="AL80" i="47"/>
  <c r="AL81" i="47"/>
  <c r="AL82" i="47"/>
  <c r="AL83" i="47"/>
  <c r="AL84" i="47"/>
  <c r="AL85" i="47"/>
  <c r="AL86" i="47"/>
  <c r="AL87" i="47"/>
  <c r="AL88" i="47"/>
  <c r="AL89" i="47"/>
  <c r="AL90" i="47"/>
  <c r="AL91" i="47"/>
  <c r="AL92" i="47"/>
  <c r="AL93" i="47"/>
  <c r="AL94" i="47"/>
  <c r="AL95" i="47"/>
  <c r="AL96" i="47"/>
  <c r="AL97" i="47"/>
  <c r="AL98" i="47"/>
  <c r="AL99" i="47"/>
  <c r="AL100" i="47"/>
  <c r="AL101" i="47"/>
  <c r="AL102" i="47"/>
  <c r="AL103" i="47"/>
  <c r="AE36" i="50"/>
  <c r="AE16" i="50"/>
  <c r="AE60" i="50"/>
  <c r="AE27" i="50"/>
  <c r="AE73" i="50"/>
  <c r="AE32" i="50"/>
  <c r="AE66" i="50"/>
  <c r="AE59" i="50"/>
  <c r="Q4" i="47"/>
  <c r="Q5" i="47"/>
  <c r="R5" i="47"/>
  <c r="S5" i="47"/>
  <c r="T5" i="47"/>
  <c r="U5" i="47"/>
  <c r="Q6" i="47"/>
  <c r="R6" i="47"/>
  <c r="S6" i="47"/>
  <c r="T6" i="47"/>
  <c r="U6" i="47"/>
  <c r="Q7" i="47"/>
  <c r="R7" i="47"/>
  <c r="S7" i="47"/>
  <c r="T7" i="47"/>
  <c r="U7" i="47"/>
  <c r="Q8" i="47"/>
  <c r="R8" i="47"/>
  <c r="T8" i="47"/>
  <c r="U8" i="47"/>
  <c r="Q9" i="47"/>
  <c r="R9" i="47"/>
  <c r="T9" i="47"/>
  <c r="U9" i="47"/>
  <c r="Q10" i="47"/>
  <c r="R10" i="47"/>
  <c r="T10" i="47"/>
  <c r="U10" i="47"/>
  <c r="R4" i="47"/>
  <c r="S4" i="47"/>
  <c r="T4" i="47"/>
  <c r="U4" i="47"/>
  <c r="J7" i="47"/>
  <c r="K7" i="47"/>
  <c r="L7" i="47"/>
  <c r="M7" i="47"/>
  <c r="N7" i="47"/>
  <c r="J8" i="47"/>
  <c r="K8" i="47"/>
  <c r="L8" i="47"/>
  <c r="M8" i="47"/>
  <c r="N8" i="47"/>
  <c r="J9" i="47"/>
  <c r="K9" i="47"/>
  <c r="L9" i="47"/>
  <c r="M9" i="47"/>
  <c r="N9" i="47"/>
  <c r="J10" i="47"/>
  <c r="K10" i="47"/>
  <c r="L10" i="47"/>
  <c r="M10" i="47"/>
  <c r="N10" i="47"/>
  <c r="J11" i="47"/>
  <c r="L11" i="47"/>
  <c r="M11" i="47"/>
  <c r="N11" i="47"/>
  <c r="J12" i="47"/>
  <c r="K12" i="47"/>
  <c r="AH5" i="47" s="1"/>
  <c r="L12" i="47"/>
  <c r="M12" i="47"/>
  <c r="N12" i="47"/>
  <c r="J13" i="47"/>
  <c r="K13" i="47"/>
  <c r="L13" i="47"/>
  <c r="M13" i="47"/>
  <c r="N13" i="47"/>
  <c r="J14" i="47"/>
  <c r="K14" i="47"/>
  <c r="L14" i="47"/>
  <c r="M14" i="47"/>
  <c r="N14" i="47"/>
  <c r="J15" i="47"/>
  <c r="K15" i="47"/>
  <c r="L15" i="47"/>
  <c r="M15" i="47"/>
  <c r="N15" i="47"/>
  <c r="J16" i="47"/>
  <c r="K16" i="47"/>
  <c r="L16" i="47"/>
  <c r="AH6" i="47" s="1"/>
  <c r="M16" i="47"/>
  <c r="N16" i="47"/>
  <c r="J17" i="47"/>
  <c r="K17" i="47"/>
  <c r="L17" i="47"/>
  <c r="M17" i="47"/>
  <c r="N17" i="47"/>
  <c r="J18" i="47"/>
  <c r="K18" i="47"/>
  <c r="L18" i="47"/>
  <c r="M18" i="47"/>
  <c r="N18" i="47"/>
  <c r="J19" i="47"/>
  <c r="K19" i="47"/>
  <c r="L19" i="47"/>
  <c r="M19" i="47"/>
  <c r="N19" i="47"/>
  <c r="J20" i="47"/>
  <c r="K20" i="47"/>
  <c r="L20" i="47"/>
  <c r="M20" i="47"/>
  <c r="N20" i="47"/>
  <c r="J21" i="47"/>
  <c r="K21" i="47"/>
  <c r="L21" i="47"/>
  <c r="M21" i="47"/>
  <c r="N21" i="47"/>
  <c r="J22" i="47"/>
  <c r="K22" i="47"/>
  <c r="L22" i="47"/>
  <c r="M22" i="47"/>
  <c r="N22" i="47"/>
  <c r="J23" i="47"/>
  <c r="K23" i="47"/>
  <c r="L23" i="47"/>
  <c r="M23" i="47"/>
  <c r="N23" i="47"/>
  <c r="J24" i="47"/>
  <c r="K24" i="47"/>
  <c r="L24" i="47"/>
  <c r="M24" i="47"/>
  <c r="N24" i="47"/>
  <c r="K25" i="47"/>
  <c r="L25" i="47"/>
  <c r="M25" i="47"/>
  <c r="N25" i="47"/>
  <c r="K26" i="47"/>
  <c r="L26" i="47"/>
  <c r="M26" i="47"/>
  <c r="N26" i="47"/>
  <c r="K27" i="47"/>
  <c r="L27" i="47"/>
  <c r="M27" i="47"/>
  <c r="N27" i="47"/>
  <c r="K28" i="47"/>
  <c r="L28" i="47"/>
  <c r="M28" i="47"/>
  <c r="N28" i="47"/>
  <c r="K29" i="47"/>
  <c r="L29" i="47"/>
  <c r="M29" i="47"/>
  <c r="N29" i="47"/>
  <c r="K30" i="47"/>
  <c r="L30" i="47"/>
  <c r="M30" i="47"/>
  <c r="N30" i="47"/>
  <c r="K31" i="47"/>
  <c r="L31" i="47"/>
  <c r="M31" i="47"/>
  <c r="N31" i="47"/>
  <c r="K32" i="47"/>
  <c r="L32" i="47"/>
  <c r="M32" i="47"/>
  <c r="N32" i="47"/>
  <c r="K33" i="47"/>
  <c r="L33" i="47"/>
  <c r="M33" i="47"/>
  <c r="N33" i="47"/>
  <c r="K34" i="47"/>
  <c r="L34" i="47"/>
  <c r="AH9" i="47" s="1"/>
  <c r="M34" i="47"/>
  <c r="N34" i="47"/>
  <c r="K35" i="47"/>
  <c r="L35" i="47"/>
  <c r="M35" i="47"/>
  <c r="N35" i="47"/>
  <c r="K36" i="47"/>
  <c r="L36" i="47"/>
  <c r="M36" i="47"/>
  <c r="N36" i="47"/>
  <c r="K37" i="47"/>
  <c r="L37" i="47"/>
  <c r="M37" i="47"/>
  <c r="N37" i="47"/>
  <c r="K38" i="47"/>
  <c r="L38" i="47"/>
  <c r="M38" i="47"/>
  <c r="N38" i="47"/>
  <c r="K39" i="47"/>
  <c r="L39" i="47"/>
  <c r="M39" i="47"/>
  <c r="AH10" i="47"/>
  <c r="N39" i="47"/>
  <c r="K40" i="47"/>
  <c r="L40" i="47"/>
  <c r="M40" i="47"/>
  <c r="N40" i="47"/>
  <c r="K41" i="47"/>
  <c r="L41" i="47"/>
  <c r="M41" i="47"/>
  <c r="N41" i="47"/>
  <c r="K42" i="47"/>
  <c r="L42" i="47"/>
  <c r="M42" i="47"/>
  <c r="N42" i="47"/>
  <c r="K43" i="47"/>
  <c r="L43" i="47"/>
  <c r="M43" i="47"/>
  <c r="N43" i="47"/>
  <c r="K44" i="47"/>
  <c r="L44" i="47"/>
  <c r="M44" i="47"/>
  <c r="AH11" i="47"/>
  <c r="N44" i="47"/>
  <c r="K45" i="47"/>
  <c r="L45" i="47"/>
  <c r="M45" i="47"/>
  <c r="N45" i="47"/>
  <c r="K46" i="47"/>
  <c r="L46" i="47"/>
  <c r="M46" i="47"/>
  <c r="N46" i="47"/>
  <c r="K47" i="47"/>
  <c r="L47" i="47"/>
  <c r="M47" i="47"/>
  <c r="N47" i="47"/>
  <c r="K48" i="47"/>
  <c r="L48" i="47"/>
  <c r="M48" i="47"/>
  <c r="N48" i="47"/>
  <c r="K49" i="47"/>
  <c r="L49" i="47"/>
  <c r="M49" i="47"/>
  <c r="N49" i="47"/>
  <c r="K50" i="47"/>
  <c r="L50" i="47"/>
  <c r="M50" i="47"/>
  <c r="N50" i="47"/>
  <c r="K51" i="47"/>
  <c r="L51" i="47"/>
  <c r="M51" i="47"/>
  <c r="N51" i="47"/>
  <c r="K52" i="47"/>
  <c r="L52" i="47"/>
  <c r="M52" i="47"/>
  <c r="N52" i="47"/>
  <c r="K53" i="47"/>
  <c r="L53" i="47"/>
  <c r="M53" i="47"/>
  <c r="N53" i="47"/>
  <c r="K54" i="47"/>
  <c r="L54" i="47"/>
  <c r="M54" i="47"/>
  <c r="AH12" i="47" s="1"/>
  <c r="N54" i="47"/>
  <c r="K55" i="47"/>
  <c r="L55" i="47"/>
  <c r="M55" i="47"/>
  <c r="N55" i="47"/>
  <c r="K56" i="47"/>
  <c r="L56" i="47"/>
  <c r="M56" i="47"/>
  <c r="N56" i="47"/>
  <c r="K57" i="47"/>
  <c r="L57" i="47"/>
  <c r="M57" i="47"/>
  <c r="N57" i="47"/>
  <c r="K58" i="47"/>
  <c r="L58" i="47"/>
  <c r="M58" i="47"/>
  <c r="N58" i="47"/>
  <c r="K59" i="47"/>
  <c r="L59" i="47"/>
  <c r="M59" i="47"/>
  <c r="N59" i="47"/>
  <c r="K60" i="47"/>
  <c r="L60" i="47"/>
  <c r="M60" i="47"/>
  <c r="N60" i="47"/>
  <c r="K61" i="47"/>
  <c r="L61" i="47"/>
  <c r="M61" i="47"/>
  <c r="N61" i="47"/>
  <c r="K62" i="47"/>
  <c r="L62" i="47"/>
  <c r="M62" i="47"/>
  <c r="N62" i="47"/>
  <c r="K63" i="47"/>
  <c r="L63" i="47"/>
  <c r="M63" i="47"/>
  <c r="N63" i="47"/>
  <c r="K64" i="47"/>
  <c r="L64" i="47"/>
  <c r="M64" i="47"/>
  <c r="AH13" i="47" s="1"/>
  <c r="N64" i="47"/>
  <c r="K65" i="47"/>
  <c r="L65" i="47"/>
  <c r="M65" i="47"/>
  <c r="N65" i="47"/>
  <c r="K66" i="47"/>
  <c r="L66" i="47"/>
  <c r="M66" i="47"/>
  <c r="N66" i="47"/>
  <c r="K67" i="47"/>
  <c r="L67" i="47"/>
  <c r="M67" i="47"/>
  <c r="N67" i="47"/>
  <c r="K68" i="47"/>
  <c r="L68" i="47"/>
  <c r="M68" i="47"/>
  <c r="N68" i="47"/>
  <c r="K69" i="47"/>
  <c r="L69" i="47"/>
  <c r="M69" i="47"/>
  <c r="N69" i="47"/>
  <c r="K70" i="47"/>
  <c r="L70" i="47"/>
  <c r="M70" i="47"/>
  <c r="N70" i="47"/>
  <c r="K71" i="47"/>
  <c r="L71" i="47"/>
  <c r="M71" i="47"/>
  <c r="N71" i="47"/>
  <c r="K72" i="47"/>
  <c r="L72" i="47"/>
  <c r="M72" i="47"/>
  <c r="N72" i="47"/>
  <c r="K73" i="47"/>
  <c r="L73" i="47"/>
  <c r="M73" i="47"/>
  <c r="N73" i="47"/>
  <c r="K74" i="47"/>
  <c r="L74" i="47"/>
  <c r="M74" i="47"/>
  <c r="AH14" i="47" s="1"/>
  <c r="N74" i="47"/>
  <c r="K75" i="47"/>
  <c r="L75" i="47"/>
  <c r="M75" i="47"/>
  <c r="N75" i="47"/>
  <c r="K76" i="47"/>
  <c r="L76" i="47"/>
  <c r="M76" i="47"/>
  <c r="N76" i="47"/>
  <c r="K77" i="47"/>
  <c r="L77" i="47"/>
  <c r="M77" i="47"/>
  <c r="N77" i="47"/>
  <c r="K78" i="47"/>
  <c r="L78" i="47"/>
  <c r="M78" i="47"/>
  <c r="N78" i="47"/>
  <c r="K79" i="47"/>
  <c r="L79" i="47"/>
  <c r="M79" i="47"/>
  <c r="N79" i="47"/>
  <c r="K80" i="47"/>
  <c r="L80" i="47"/>
  <c r="M80" i="47"/>
  <c r="N80" i="47"/>
  <c r="K81" i="47"/>
  <c r="L81" i="47"/>
  <c r="M81" i="47"/>
  <c r="N81" i="47"/>
  <c r="K82" i="47"/>
  <c r="L82" i="47"/>
  <c r="M82" i="47"/>
  <c r="N82" i="47"/>
  <c r="K83" i="47"/>
  <c r="L83" i="47"/>
  <c r="M83" i="47"/>
  <c r="N83" i="47"/>
  <c r="K84" i="47"/>
  <c r="L84" i="47"/>
  <c r="M84" i="47"/>
  <c r="AH15" i="47" s="1"/>
  <c r="N84" i="47"/>
  <c r="K85" i="47"/>
  <c r="L85" i="47"/>
  <c r="M85" i="47"/>
  <c r="N85" i="47"/>
  <c r="K86" i="47"/>
  <c r="L86" i="47"/>
  <c r="M86" i="47"/>
  <c r="N86" i="47"/>
  <c r="K87" i="47"/>
  <c r="L87" i="47"/>
  <c r="M87" i="47"/>
  <c r="N87" i="47"/>
  <c r="K88" i="47"/>
  <c r="L88" i="47"/>
  <c r="M88" i="47"/>
  <c r="N88" i="47"/>
  <c r="K89" i="47"/>
  <c r="L89" i="47"/>
  <c r="M89" i="47"/>
  <c r="N89" i="47"/>
  <c r="K90" i="47"/>
  <c r="L90" i="47"/>
  <c r="M90" i="47"/>
  <c r="N90" i="47"/>
  <c r="K91" i="47"/>
  <c r="L91" i="47"/>
  <c r="M91" i="47"/>
  <c r="N91" i="47"/>
  <c r="K92" i="47"/>
  <c r="L92" i="47"/>
  <c r="M92" i="47"/>
  <c r="N92" i="47"/>
  <c r="K93" i="47"/>
  <c r="L93" i="47"/>
  <c r="M93" i="47"/>
  <c r="N93" i="47"/>
  <c r="K94" i="47"/>
  <c r="L94" i="47"/>
  <c r="M94" i="47"/>
  <c r="AH16" i="47" s="1"/>
  <c r="N94" i="47"/>
  <c r="K95" i="47"/>
  <c r="L95" i="47"/>
  <c r="M95" i="47"/>
  <c r="N95" i="47"/>
  <c r="K96" i="47"/>
  <c r="L96" i="47"/>
  <c r="M96" i="47"/>
  <c r="N96" i="47"/>
  <c r="K97" i="47"/>
  <c r="L97" i="47"/>
  <c r="M97" i="47"/>
  <c r="N97" i="47"/>
  <c r="K98" i="47"/>
  <c r="L98" i="47"/>
  <c r="M98" i="47"/>
  <c r="N98" i="47"/>
  <c r="K99" i="47"/>
  <c r="L99" i="47"/>
  <c r="M99" i="47"/>
  <c r="N99" i="47"/>
  <c r="K100" i="47"/>
  <c r="L100" i="47"/>
  <c r="M100" i="47"/>
  <c r="N100" i="47"/>
  <c r="K101" i="47"/>
  <c r="L101" i="47"/>
  <c r="M101" i="47"/>
  <c r="N101" i="47"/>
  <c r="K102" i="47"/>
  <c r="L102" i="47"/>
  <c r="M102" i="47"/>
  <c r="N102" i="47"/>
  <c r="K103" i="47"/>
  <c r="L103" i="47"/>
  <c r="M103" i="47"/>
  <c r="N103" i="47"/>
  <c r="K104" i="47"/>
  <c r="L104" i="47"/>
  <c r="M104" i="47"/>
  <c r="AH17" i="47"/>
  <c r="N104" i="47"/>
  <c r="K6" i="47"/>
  <c r="L6" i="47"/>
  <c r="M6" i="47"/>
  <c r="N6" i="47"/>
  <c r="K5" i="47"/>
  <c r="L5" i="47"/>
  <c r="M5" i="47"/>
  <c r="N5" i="47"/>
  <c r="J5" i="47"/>
  <c r="AH8" i="47"/>
  <c r="T20" i="18"/>
  <c r="S20" i="18"/>
  <c r="R20" i="18"/>
  <c r="Q20" i="18"/>
  <c r="T19" i="18"/>
  <c r="S19" i="18"/>
  <c r="Q19" i="18"/>
  <c r="R19" i="18"/>
  <c r="T18" i="18"/>
  <c r="S18" i="18"/>
  <c r="Q18" i="18"/>
  <c r="R18" i="18"/>
  <c r="T17" i="18"/>
  <c r="S17" i="18"/>
  <c r="Q17" i="18"/>
  <c r="R17" i="18"/>
  <c r="T16" i="18"/>
  <c r="S16" i="18"/>
  <c r="Q16" i="18"/>
  <c r="R16" i="18"/>
  <c r="T15" i="18"/>
  <c r="S15" i="18"/>
  <c r="Q15" i="18"/>
  <c r="R15" i="18"/>
  <c r="T14" i="18"/>
  <c r="S14" i="18"/>
  <c r="Q14" i="18"/>
  <c r="R14" i="18"/>
  <c r="T13" i="18"/>
  <c r="S13" i="18"/>
  <c r="Q13" i="18"/>
  <c r="R13" i="18"/>
  <c r="T12" i="18"/>
  <c r="Q12" i="18"/>
  <c r="R12" i="18"/>
  <c r="T11" i="18"/>
  <c r="R11" i="18"/>
  <c r="W43" i="50" s="1"/>
  <c r="S11" i="18"/>
  <c r="Q11" i="18"/>
  <c r="T10" i="18"/>
  <c r="Q10" i="18"/>
  <c r="S10" i="18"/>
  <c r="R10" i="18"/>
  <c r="T9" i="18"/>
  <c r="Q9" i="18"/>
  <c r="W27" i="50" s="1"/>
  <c r="X27" i="50" s="1"/>
  <c r="R9" i="18"/>
  <c r="S9" i="18"/>
  <c r="T8" i="18"/>
  <c r="Q8" i="18"/>
  <c r="S8" i="18"/>
  <c r="R8" i="18"/>
  <c r="T7" i="18"/>
  <c r="Q7" i="18"/>
  <c r="R7" i="18"/>
  <c r="S7" i="18"/>
  <c r="T6" i="18"/>
  <c r="Q6" i="18"/>
  <c r="S6" i="18"/>
  <c r="R6" i="18"/>
  <c r="S12" i="18"/>
  <c r="AA6" i="18"/>
  <c r="AA7" i="18"/>
  <c r="AA8" i="18"/>
  <c r="AA9" i="18"/>
  <c r="AA10" i="18"/>
  <c r="AA11" i="18"/>
  <c r="AA12" i="18"/>
  <c r="AA13" i="18"/>
  <c r="AA14" i="18"/>
  <c r="AA15" i="18"/>
  <c r="AA16" i="18"/>
  <c r="AA17" i="18"/>
  <c r="AA18" i="18"/>
  <c r="AA19" i="18"/>
  <c r="AA20" i="18"/>
  <c r="AA21" i="18"/>
  <c r="Z6" i="18"/>
  <c r="Z10" i="18"/>
  <c r="Z13" i="18"/>
  <c r="Z14" i="18"/>
  <c r="Z12" i="18"/>
  <c r="Z17" i="18"/>
  <c r="Z20" i="18"/>
  <c r="Z19" i="18"/>
  <c r="Z15" i="18"/>
  <c r="Z21" i="18"/>
  <c r="Z8" i="18"/>
  <c r="Z11" i="18"/>
  <c r="Z16" i="18"/>
  <c r="Z7" i="18"/>
  <c r="Z9" i="18"/>
  <c r="Z18" i="18"/>
  <c r="AH333" i="18"/>
  <c r="AG106" i="18"/>
  <c r="AH168" i="18"/>
  <c r="AH158" i="18"/>
  <c r="AH234" i="18"/>
  <c r="AG212" i="18"/>
  <c r="AH224" i="18"/>
  <c r="AG169" i="18"/>
  <c r="AH191" i="18"/>
  <c r="AG123" i="18"/>
  <c r="AG74" i="18"/>
  <c r="AG326" i="18"/>
  <c r="AH341" i="18"/>
  <c r="AH200" i="18"/>
  <c r="AH325" i="18"/>
  <c r="AH298" i="18"/>
  <c r="AG93" i="18"/>
  <c r="AG168" i="18"/>
  <c r="AH131" i="18"/>
  <c r="AH295" i="18"/>
  <c r="AH134" i="18"/>
  <c r="AH228" i="18"/>
  <c r="AG345" i="18"/>
  <c r="AG185" i="18"/>
  <c r="AH288" i="18"/>
  <c r="AG76" i="18"/>
  <c r="AG152" i="18"/>
  <c r="AH143" i="18"/>
  <c r="AG239" i="18"/>
  <c r="AH9" i="18"/>
  <c r="AH33" i="18"/>
  <c r="AG188" i="18"/>
  <c r="AH146" i="18"/>
  <c r="AG295" i="18"/>
  <c r="AH26" i="18"/>
  <c r="AG181" i="18"/>
  <c r="AG50" i="18"/>
  <c r="AH343" i="18"/>
  <c r="AG175" i="18"/>
  <c r="AH305" i="18"/>
  <c r="AG143" i="18"/>
  <c r="AH281" i="18"/>
  <c r="AH163" i="18"/>
  <c r="AH346" i="18"/>
  <c r="AG60" i="18"/>
  <c r="AG85" i="18"/>
  <c r="AG104" i="18"/>
  <c r="AG216" i="18"/>
  <c r="AH31" i="18"/>
  <c r="AH337" i="18"/>
  <c r="AH265" i="18"/>
  <c r="AG324" i="18"/>
  <c r="AG65" i="18"/>
  <c r="AH215" i="18"/>
  <c r="AH324" i="18"/>
  <c r="AH217" i="18"/>
  <c r="AH141" i="18"/>
  <c r="AG279" i="18"/>
  <c r="AH329" i="18"/>
  <c r="AH133" i="18"/>
  <c r="AH136" i="18"/>
  <c r="AH176" i="18"/>
  <c r="AG54" i="18"/>
  <c r="AH151" i="18"/>
  <c r="AH24" i="18"/>
  <c r="AG77" i="18"/>
  <c r="AG178" i="18"/>
  <c r="AH139" i="18"/>
  <c r="AG79" i="18"/>
  <c r="AG224" i="18"/>
  <c r="AG294" i="18"/>
  <c r="AG352" i="18"/>
  <c r="AH42" i="18"/>
  <c r="AG186" i="18"/>
  <c r="AG127" i="18"/>
  <c r="AH165" i="18"/>
  <c r="AH294" i="18"/>
  <c r="AH184" i="18"/>
  <c r="AH241" i="18"/>
  <c r="AG82" i="18"/>
  <c r="AG125" i="18"/>
  <c r="AH178" i="18"/>
  <c r="AH72" i="18"/>
  <c r="AH207" i="18"/>
  <c r="AG247" i="18"/>
  <c r="AH137" i="18"/>
  <c r="AG310" i="18"/>
  <c r="AG362" i="18"/>
  <c r="AH275" i="18"/>
  <c r="AG252" i="18"/>
  <c r="AH149" i="18"/>
  <c r="AG196" i="18"/>
  <c r="AG111" i="18"/>
  <c r="AH209" i="18"/>
  <c r="AG222" i="18"/>
  <c r="AH167" i="18"/>
  <c r="AH43" i="18"/>
  <c r="AG293" i="18"/>
  <c r="AG217" i="18"/>
  <c r="AG132" i="18"/>
  <c r="AG8" i="18"/>
  <c r="AG349" i="18"/>
  <c r="AG199" i="18"/>
  <c r="AG283" i="18"/>
  <c r="AG39" i="18"/>
  <c r="AH266" i="18"/>
  <c r="AH320" i="18"/>
  <c r="AH117" i="18"/>
  <c r="AH339" i="18"/>
  <c r="AG25" i="18"/>
  <c r="AG280" i="18"/>
  <c r="AH35" i="18"/>
  <c r="AH216" i="18"/>
  <c r="AH359" i="18"/>
  <c r="AH300" i="18"/>
  <c r="AG89" i="18"/>
  <c r="AH87" i="18"/>
  <c r="AG223" i="18"/>
  <c r="AG204" i="18"/>
  <c r="AH187" i="18"/>
  <c r="AH11" i="18"/>
  <c r="AH235" i="18"/>
  <c r="AG206" i="18"/>
  <c r="AG4" i="18"/>
  <c r="AG202" i="18"/>
  <c r="AG43" i="18"/>
  <c r="AH292" i="18"/>
  <c r="AG10" i="18"/>
  <c r="AG281" i="18"/>
  <c r="AH116" i="18"/>
  <c r="AG80" i="18"/>
  <c r="AH145" i="18"/>
  <c r="AH352" i="18"/>
  <c r="AH34" i="18"/>
  <c r="AG275" i="18"/>
  <c r="AH351" i="18"/>
  <c r="AG131" i="18"/>
  <c r="AH350" i="18"/>
  <c r="AG61" i="18"/>
  <c r="AG120" i="18"/>
  <c r="AG299" i="18"/>
  <c r="AG215" i="18"/>
  <c r="AG109" i="18"/>
  <c r="AH249" i="18"/>
  <c r="AG129" i="18"/>
  <c r="AG331" i="18"/>
  <c r="AG256" i="18"/>
  <c r="AG298" i="18"/>
  <c r="AH174" i="18"/>
  <c r="AH258" i="18"/>
  <c r="AH89" i="18"/>
  <c r="AH36" i="18"/>
  <c r="AH268" i="18"/>
  <c r="AG105" i="18"/>
  <c r="AG172" i="18"/>
  <c r="AG320" i="18"/>
  <c r="AH38" i="18"/>
  <c r="AH264" i="18"/>
  <c r="AH238" i="18"/>
  <c r="AH355" i="18"/>
  <c r="AH7" i="18"/>
  <c r="AG69" i="18"/>
  <c r="AG42" i="18"/>
  <c r="AH96" i="18"/>
  <c r="AG210" i="18"/>
  <c r="AG339" i="18"/>
  <c r="AH14" i="18"/>
  <c r="AH259" i="18"/>
  <c r="AH166" i="18"/>
  <c r="AG88" i="18"/>
  <c r="AG46" i="18"/>
  <c r="AG58" i="18"/>
  <c r="AH13" i="18"/>
  <c r="AH231" i="18"/>
  <c r="AH32" i="18"/>
  <c r="AG308" i="18"/>
  <c r="AG122" i="18"/>
  <c r="AH315" i="18"/>
  <c r="AG312" i="18"/>
  <c r="AH225" i="18"/>
  <c r="AG250" i="18"/>
  <c r="AH155" i="18"/>
  <c r="AG56" i="18"/>
  <c r="AH57" i="18"/>
  <c r="AG59" i="18"/>
  <c r="AH27" i="18"/>
  <c r="AG300" i="18"/>
  <c r="AG315" i="18"/>
  <c r="AG92" i="18"/>
  <c r="AG338" i="18"/>
  <c r="AG141" i="18"/>
  <c r="AG285" i="18"/>
  <c r="AG297" i="18"/>
  <c r="AH6" i="18"/>
  <c r="AG195" i="18"/>
  <c r="AG49" i="18"/>
  <c r="AG140" i="18"/>
  <c r="AG102" i="18"/>
  <c r="AH132" i="18"/>
  <c r="AH293" i="18"/>
  <c r="AG146" i="18"/>
  <c r="AG277" i="18"/>
  <c r="AG37" i="18"/>
  <c r="AH153" i="18"/>
  <c r="AG238" i="18"/>
  <c r="AG87" i="18"/>
  <c r="AH327" i="18"/>
  <c r="AG220" i="18"/>
  <c r="AG343" i="18"/>
  <c r="AG13" i="18"/>
  <c r="AG130" i="18"/>
  <c r="AH335" i="18"/>
  <c r="AG137" i="18"/>
  <c r="AH45" i="18"/>
  <c r="AH299" i="18"/>
  <c r="AH60" i="18"/>
  <c r="AH252" i="18"/>
  <c r="AG20" i="18"/>
  <c r="AG70" i="18"/>
  <c r="AG289" i="18"/>
  <c r="AH247" i="18"/>
  <c r="AG314" i="18"/>
  <c r="AG183" i="18"/>
  <c r="AH303" i="18"/>
  <c r="AG284" i="18"/>
  <c r="AG189" i="18"/>
  <c r="AG258" i="18"/>
  <c r="AG11" i="18"/>
  <c r="AH107" i="18"/>
  <c r="AG276" i="18"/>
  <c r="AG176" i="18"/>
  <c r="AG350" i="18"/>
  <c r="AH282" i="18"/>
  <c r="AG255" i="18"/>
  <c r="AH347" i="18"/>
  <c r="AG325" i="18"/>
  <c r="AH5" i="18"/>
  <c r="AG57" i="18"/>
  <c r="AG86" i="18"/>
  <c r="AH51" i="18"/>
  <c r="AH190" i="18"/>
  <c r="AG108" i="18"/>
  <c r="AG139" i="18"/>
  <c r="AG114" i="18"/>
  <c r="AH99" i="18"/>
  <c r="AH85" i="18"/>
  <c r="AH243" i="18"/>
  <c r="AH316" i="18"/>
  <c r="AG126" i="18"/>
  <c r="AH175" i="18"/>
  <c r="AG121" i="18"/>
  <c r="AH222" i="18"/>
  <c r="AG307" i="18"/>
  <c r="AG236" i="18"/>
  <c r="AH194" i="18"/>
  <c r="AG103" i="18"/>
  <c r="AG356" i="18"/>
  <c r="AH73" i="18"/>
  <c r="AH171" i="18"/>
  <c r="AG164" i="18"/>
  <c r="AG208" i="18"/>
  <c r="AG24" i="18"/>
  <c r="AH144" i="18"/>
  <c r="AG240" i="18"/>
  <c r="AG160" i="18"/>
  <c r="AG340" i="18"/>
  <c r="AG353" i="18"/>
  <c r="AG134" i="18"/>
  <c r="AG67" i="18"/>
  <c r="AH80" i="18"/>
  <c r="AH348" i="18"/>
  <c r="AG266" i="18"/>
  <c r="AH30" i="18"/>
  <c r="AH283" i="18"/>
  <c r="AH302" i="18"/>
  <c r="AG282" i="18"/>
  <c r="AH193" i="18"/>
  <c r="AG214" i="18"/>
  <c r="AG30" i="18"/>
  <c r="AH61" i="18"/>
  <c r="AG302" i="18"/>
  <c r="AH338" i="18"/>
  <c r="AG304" i="18"/>
  <c r="AG117" i="18"/>
  <c r="AH120" i="18"/>
  <c r="AH93" i="18"/>
  <c r="AG235" i="18"/>
  <c r="AH260" i="18"/>
  <c r="AH54" i="18"/>
  <c r="AG162" i="18"/>
  <c r="AG232" i="18"/>
  <c r="AH53" i="18"/>
  <c r="AH170" i="18"/>
  <c r="AG173" i="18"/>
  <c r="AH181" i="18"/>
  <c r="AH55" i="18"/>
  <c r="AG12" i="18"/>
  <c r="AG190" i="18"/>
  <c r="AH310" i="18"/>
  <c r="AG198" i="18"/>
  <c r="AG337" i="18"/>
  <c r="AH127" i="18"/>
  <c r="AH219" i="18"/>
  <c r="AG263" i="18"/>
  <c r="AH105" i="18"/>
  <c r="AH47" i="18"/>
  <c r="AH110" i="18"/>
  <c r="AH128" i="18"/>
  <c r="AG98" i="18"/>
  <c r="AH280" i="18"/>
  <c r="AG101" i="18"/>
  <c r="AG158" i="18"/>
  <c r="AH322" i="18"/>
  <c r="AH152" i="18"/>
  <c r="AG336" i="18"/>
  <c r="AG27" i="18"/>
  <c r="AG171" i="18"/>
  <c r="AG200" i="18"/>
  <c r="AG292" i="18"/>
  <c r="AH140" i="18"/>
  <c r="AG47" i="18"/>
  <c r="AH64" i="18"/>
  <c r="AH201" i="18"/>
  <c r="AG156" i="18"/>
  <c r="AH56" i="18"/>
  <c r="AG241" i="18"/>
  <c r="AG357" i="18"/>
  <c r="AG107" i="18"/>
  <c r="AH46" i="18"/>
  <c r="AG333" i="18"/>
  <c r="AG251" i="18"/>
  <c r="AG17" i="18"/>
  <c r="AH186" i="18"/>
  <c r="AG96" i="18"/>
  <c r="AG26" i="18"/>
  <c r="AG15" i="18"/>
  <c r="AH185" i="18"/>
  <c r="AH108" i="18"/>
  <c r="AH197" i="18"/>
  <c r="AH156" i="18"/>
  <c r="AH213" i="18"/>
  <c r="AH313" i="18"/>
  <c r="AH239" i="18"/>
  <c r="AH78" i="18"/>
  <c r="AH75" i="18"/>
  <c r="AG321" i="18"/>
  <c r="AG330" i="18"/>
  <c r="AH236" i="18"/>
  <c r="AG14" i="18"/>
  <c r="AG201" i="18"/>
  <c r="AH129" i="18"/>
  <c r="AH81" i="18"/>
  <c r="AG118" i="18"/>
  <c r="AH353" i="18"/>
  <c r="AG346" i="18"/>
  <c r="AH309" i="18"/>
  <c r="AH71" i="18"/>
  <c r="AG226" i="18"/>
  <c r="AH237" i="18"/>
  <c r="AH357" i="18"/>
  <c r="AH69" i="18"/>
  <c r="AH286" i="18"/>
  <c r="AH308" i="18"/>
  <c r="AG211" i="18"/>
  <c r="AH304" i="18"/>
  <c r="AH342" i="18"/>
  <c r="AH88" i="18"/>
  <c r="AG44" i="18"/>
  <c r="AG35" i="18"/>
  <c r="AH362" i="18"/>
  <c r="AG136" i="18"/>
  <c r="AG71" i="18"/>
  <c r="AG48" i="18"/>
  <c r="AH177" i="18"/>
  <c r="AG262" i="18"/>
  <c r="AH195" i="18"/>
  <c r="AG28" i="18"/>
  <c r="AH173" i="18"/>
  <c r="AH233" i="18"/>
  <c r="AG159" i="18"/>
  <c r="AG351" i="18"/>
  <c r="AH312" i="18"/>
  <c r="AH210" i="18"/>
  <c r="AH40" i="18"/>
  <c r="AG218" i="18"/>
  <c r="AH257" i="18"/>
  <c r="AG287" i="18"/>
  <c r="AH19" i="18"/>
  <c r="AG21" i="18"/>
  <c r="AH25" i="18"/>
  <c r="AG219" i="18"/>
  <c r="AH218" i="18"/>
  <c r="AG29" i="18"/>
  <c r="AG260" i="18"/>
  <c r="AG303" i="18"/>
  <c r="AH334" i="18"/>
  <c r="AG332" i="18"/>
  <c r="AG237" i="18"/>
  <c r="AG64" i="18"/>
  <c r="AH50" i="18"/>
  <c r="AH39" i="18"/>
  <c r="AH307" i="18"/>
  <c r="AH269" i="18"/>
  <c r="AG213" i="18"/>
  <c r="AG167" i="18"/>
  <c r="AG33" i="18"/>
  <c r="AG124" i="18"/>
  <c r="AG253" i="18"/>
  <c r="AG184" i="18"/>
  <c r="AH10" i="18"/>
  <c r="AG323" i="18"/>
  <c r="AH261" i="18"/>
  <c r="AG147" i="18"/>
  <c r="AH162" i="18"/>
  <c r="AG272" i="18"/>
  <c r="AG112" i="18"/>
  <c r="AH122" i="18"/>
  <c r="AG243" i="18"/>
  <c r="AG348" i="18"/>
  <c r="AH226" i="18"/>
  <c r="AG191" i="18"/>
  <c r="AG360" i="18"/>
  <c r="AG157" i="18"/>
  <c r="AG358" i="18"/>
  <c r="AG254" i="18"/>
  <c r="AH150" i="18"/>
  <c r="AH90" i="18"/>
  <c r="AH130" i="18"/>
  <c r="AH169" i="18"/>
  <c r="AG53" i="18"/>
  <c r="AH159" i="18"/>
  <c r="AH44" i="18"/>
  <c r="AH147" i="18"/>
  <c r="AG84" i="18"/>
  <c r="AH48" i="18"/>
  <c r="AH336" i="18"/>
  <c r="AG163" i="18"/>
  <c r="AH113" i="18"/>
  <c r="AH279" i="18"/>
  <c r="AH211" i="18"/>
  <c r="AG182" i="18"/>
  <c r="AH223" i="18"/>
  <c r="AH94" i="18"/>
  <c r="AG328" i="18"/>
  <c r="AH271" i="18"/>
  <c r="AH317" i="18"/>
  <c r="AG81" i="18"/>
  <c r="AH182" i="18"/>
  <c r="AG274" i="18"/>
  <c r="AH262" i="18"/>
  <c r="AG34" i="18"/>
  <c r="AG270" i="18"/>
  <c r="AG316" i="18"/>
  <c r="AG16" i="18"/>
  <c r="AG40" i="18"/>
  <c r="AH148" i="18"/>
  <c r="AG273" i="18"/>
  <c r="AG148" i="18"/>
  <c r="AG110" i="18"/>
  <c r="AG192" i="18"/>
  <c r="AH331" i="18"/>
  <c r="AH326" i="18"/>
  <c r="AG317" i="18"/>
  <c r="AH111" i="18"/>
  <c r="AH344" i="18"/>
  <c r="AH330" i="18"/>
  <c r="AG197" i="18"/>
  <c r="AH318" i="18"/>
  <c r="AH230" i="18"/>
  <c r="AH41" i="18"/>
  <c r="AG145" i="18"/>
  <c r="AH15" i="18"/>
  <c r="AH363" i="18"/>
  <c r="AH70" i="18"/>
  <c r="AG207" i="18"/>
  <c r="AG267" i="18"/>
  <c r="AH289" i="18"/>
  <c r="AG291" i="18"/>
  <c r="AG265" i="18"/>
  <c r="AG23" i="18"/>
  <c r="AG311" i="18"/>
  <c r="AH240" i="18"/>
  <c r="AH28" i="18"/>
  <c r="AH301" i="18"/>
  <c r="AG62" i="18"/>
  <c r="AH255" i="18"/>
  <c r="AH360" i="18"/>
  <c r="AG174" i="18"/>
  <c r="AG95" i="18"/>
  <c r="AG83" i="18"/>
  <c r="AG73" i="18"/>
  <c r="AG138" i="18"/>
  <c r="AH18" i="18"/>
  <c r="AH296" i="18"/>
  <c r="AG41" i="18"/>
  <c r="AH196" i="18"/>
  <c r="AG32" i="18"/>
  <c r="AH84" i="18"/>
  <c r="AH29" i="18"/>
  <c r="AH160" i="18"/>
  <c r="AG6" i="18"/>
  <c r="AH291" i="18"/>
  <c r="AG116" i="18"/>
  <c r="AH245" i="18"/>
  <c r="AH306" i="18"/>
  <c r="AG271" i="18"/>
  <c r="AH101" i="18"/>
  <c r="AG341" i="18"/>
  <c r="AG259" i="18"/>
  <c r="AH125" i="18"/>
  <c r="AG248" i="18"/>
  <c r="AG234" i="18"/>
  <c r="AH188" i="18"/>
  <c r="AG18" i="18"/>
  <c r="AG231" i="18"/>
  <c r="AG361" i="18"/>
  <c r="AG180" i="18"/>
  <c r="AG305" i="18"/>
  <c r="AH189" i="18"/>
  <c r="AH311" i="18"/>
  <c r="AH16" i="18"/>
  <c r="AG52" i="18"/>
  <c r="AH135" i="18"/>
  <c r="AH68" i="18"/>
  <c r="AG99" i="18"/>
  <c r="AH76" i="18"/>
  <c r="AH138" i="18"/>
  <c r="AG230" i="18"/>
  <c r="AH267" i="18"/>
  <c r="AH221" i="18"/>
  <c r="AG7" i="18"/>
  <c r="AH123" i="18"/>
  <c r="AH358" i="18"/>
  <c r="AH66" i="18"/>
  <c r="AH214" i="18"/>
  <c r="AH276" i="18"/>
  <c r="AH65" i="18"/>
  <c r="AH102" i="18"/>
  <c r="AH12" i="18"/>
  <c r="AH229" i="18"/>
  <c r="AG36" i="18"/>
  <c r="AG150" i="18"/>
  <c r="AG151" i="18"/>
  <c r="AH314" i="18"/>
  <c r="AH172" i="18"/>
  <c r="AG334" i="18"/>
  <c r="AH323" i="18"/>
  <c r="AH332" i="18"/>
  <c r="AH79" i="18"/>
  <c r="AG97" i="18"/>
  <c r="AH205" i="18"/>
  <c r="AG228" i="18"/>
  <c r="AH297" i="18"/>
  <c r="AG170" i="18"/>
  <c r="AG278" i="18"/>
  <c r="AG290" i="18"/>
  <c r="AH232" i="18"/>
  <c r="AG78" i="18"/>
  <c r="AG177" i="18"/>
  <c r="AG142" i="18"/>
  <c r="AH244" i="18"/>
  <c r="AG233" i="18"/>
  <c r="AH202" i="18"/>
  <c r="AH109" i="18"/>
  <c r="AG45" i="18"/>
  <c r="AH164" i="18"/>
  <c r="AH227" i="18"/>
  <c r="AG347" i="18"/>
  <c r="AG161" i="18"/>
  <c r="AH254" i="18"/>
  <c r="AG269" i="18"/>
  <c r="AH253" i="18"/>
  <c r="AG359" i="18"/>
  <c r="AH272" i="18"/>
  <c r="AG91" i="18"/>
  <c r="AG209" i="18"/>
  <c r="AG286" i="18"/>
  <c r="AH199" i="18"/>
  <c r="AH212" i="18"/>
  <c r="AH208" i="18"/>
  <c r="AG166" i="18"/>
  <c r="AG19" i="18"/>
  <c r="AH345" i="18"/>
  <c r="AG149" i="18"/>
  <c r="AG155" i="18"/>
  <c r="AG227" i="18"/>
  <c r="AH142" i="18"/>
  <c r="AH67" i="18"/>
  <c r="AH287" i="18"/>
  <c r="AH106" i="18"/>
  <c r="AG51" i="18"/>
  <c r="AG242" i="18"/>
  <c r="AG75" i="18"/>
  <c r="AG194" i="18"/>
  <c r="AG309" i="18"/>
  <c r="AH180" i="18"/>
  <c r="AG329" i="18"/>
  <c r="AH198" i="18"/>
  <c r="AH328" i="18"/>
  <c r="AG38" i="18"/>
  <c r="AG249" i="18"/>
  <c r="AH119" i="18"/>
  <c r="AH21" i="18"/>
  <c r="AG229" i="18"/>
  <c r="AH20" i="18"/>
  <c r="AG319" i="18"/>
  <c r="AH83" i="18"/>
  <c r="AG221" i="18"/>
  <c r="AH59" i="18"/>
  <c r="AH256" i="18"/>
  <c r="AG128" i="18"/>
  <c r="AG244" i="18"/>
  <c r="AH248" i="18"/>
  <c r="AH95" i="18"/>
  <c r="AH285" i="18"/>
  <c r="AH273" i="18"/>
  <c r="AG94" i="18"/>
  <c r="AH77" i="18"/>
  <c r="AH86" i="18"/>
  <c r="AH321" i="18"/>
  <c r="AH23" i="18"/>
  <c r="AG55" i="18"/>
  <c r="AG313" i="18"/>
  <c r="AH270" i="18"/>
  <c r="AH114" i="18"/>
  <c r="AG187" i="18"/>
  <c r="AH92" i="18"/>
  <c r="AG5" i="18"/>
  <c r="AG113" i="18"/>
  <c r="AH17" i="18"/>
  <c r="AG261" i="18"/>
  <c r="AG363" i="18"/>
  <c r="AG355" i="18"/>
  <c r="AH112" i="18"/>
  <c r="AH263" i="18"/>
  <c r="AH63" i="18"/>
  <c r="AH246" i="18"/>
  <c r="AG31" i="18"/>
  <c r="AG322" i="18"/>
  <c r="AG288" i="18"/>
  <c r="AH220" i="18"/>
  <c r="AG165" i="18"/>
  <c r="AH115" i="18"/>
  <c r="AG327" i="18"/>
  <c r="AG68" i="18"/>
  <c r="AH206" i="18"/>
  <c r="AG268" i="18"/>
  <c r="AH349" i="18"/>
  <c r="AG193" i="18"/>
  <c r="AH103" i="18"/>
  <c r="AG9" i="18"/>
  <c r="AH356" i="18"/>
  <c r="AG257" i="18"/>
  <c r="AG135" i="18"/>
  <c r="AH204" i="18"/>
  <c r="AH104" i="18"/>
  <c r="AH340" i="18"/>
  <c r="AG344" i="18"/>
  <c r="AG225" i="18"/>
  <c r="AH22" i="18"/>
  <c r="AH284" i="18"/>
  <c r="AG119" i="18"/>
  <c r="AH118" i="18"/>
  <c r="AH179" i="18"/>
  <c r="AG205" i="18"/>
  <c r="AH250" i="18"/>
  <c r="AH97" i="18"/>
  <c r="AG264" i="18"/>
  <c r="AG179" i="18"/>
  <c r="AG144" i="18"/>
  <c r="AG100" i="18"/>
  <c r="AH8" i="18"/>
  <c r="AH4" i="18"/>
  <c r="AH58" i="18"/>
  <c r="AH274" i="18"/>
  <c r="AH49" i="18"/>
  <c r="AG342" i="18"/>
  <c r="AH319" i="18"/>
  <c r="AG318" i="18"/>
  <c r="AH126" i="18"/>
  <c r="AH361" i="18"/>
  <c r="AH251" i="18"/>
  <c r="AH121" i="18"/>
  <c r="AH62" i="18"/>
  <c r="AH157" i="18"/>
  <c r="AG203" i="18"/>
  <c r="AG22" i="18"/>
  <c r="AH203" i="18"/>
  <c r="AH161" i="18"/>
  <c r="AH100" i="18"/>
  <c r="AG72" i="18"/>
  <c r="AH278" i="18"/>
  <c r="AG66" i="18"/>
  <c r="AG154" i="18"/>
  <c r="AG63" i="18"/>
  <c r="AH82" i="18"/>
  <c r="AG296" i="18"/>
  <c r="AG90" i="18"/>
  <c r="AH354" i="18"/>
  <c r="AH290" i="18"/>
  <c r="AG354" i="18"/>
  <c r="AG306" i="18"/>
  <c r="AH192" i="18"/>
  <c r="AG153" i="18"/>
  <c r="AG133" i="18"/>
  <c r="AH98" i="18"/>
  <c r="AH154" i="18"/>
  <c r="AH124" i="18"/>
  <c r="AG246" i="18"/>
  <c r="AH242" i="18"/>
  <c r="AH277" i="18"/>
  <c r="AG335" i="18"/>
  <c r="AG301" i="18"/>
  <c r="AH91" i="18"/>
  <c r="AH37" i="18"/>
  <c r="AH52" i="18"/>
  <c r="AG115" i="18"/>
  <c r="AH74" i="18"/>
  <c r="AH183" i="18"/>
  <c r="AG245" i="18"/>
  <c r="Y17" i="18"/>
  <c r="X15" i="18"/>
  <c r="X16" i="18"/>
  <c r="Y6" i="18"/>
  <c r="Y9" i="18"/>
  <c r="Y10" i="18"/>
  <c r="Y21" i="18"/>
  <c r="Y11" i="18"/>
  <c r="Y18" i="18"/>
  <c r="Y14" i="18"/>
  <c r="Y7" i="18"/>
  <c r="Y15" i="18"/>
  <c r="Y20" i="18"/>
  <c r="Y19" i="18"/>
  <c r="X12" i="18"/>
  <c r="X11" i="18"/>
  <c r="X7" i="18"/>
  <c r="X17" i="18"/>
  <c r="X20" i="18"/>
  <c r="X21" i="18"/>
  <c r="X19" i="18"/>
  <c r="X18" i="18"/>
  <c r="X10" i="18"/>
  <c r="X14" i="18"/>
  <c r="X13" i="18"/>
  <c r="Y16" i="18"/>
  <c r="X9" i="18"/>
  <c r="Y8" i="18"/>
  <c r="Y12" i="18"/>
  <c r="X6" i="18"/>
  <c r="Y13" i="18"/>
  <c r="X8" i="18"/>
  <c r="AF171" i="18"/>
  <c r="AF313" i="18"/>
  <c r="AE260" i="18"/>
  <c r="AE303" i="18"/>
  <c r="AF100" i="18"/>
  <c r="AF243" i="18"/>
  <c r="AF351" i="18"/>
  <c r="AE119" i="18"/>
  <c r="AE116" i="18"/>
  <c r="AF153" i="18"/>
  <c r="AF249" i="18"/>
  <c r="AE236" i="18"/>
  <c r="AE337" i="18"/>
  <c r="AF63" i="18"/>
  <c r="AF352" i="18"/>
  <c r="AF201" i="18"/>
  <c r="AE102" i="18"/>
  <c r="AF240" i="18"/>
  <c r="AF84" i="18"/>
  <c r="AE149" i="18"/>
  <c r="AE211" i="18"/>
  <c r="AF19" i="18"/>
  <c r="AE272" i="18"/>
  <c r="AE270" i="18"/>
  <c r="AF273" i="18"/>
  <c r="AF46" i="18"/>
  <c r="AE198" i="18"/>
  <c r="AE207" i="18"/>
  <c r="AF198" i="18"/>
  <c r="AE348" i="18"/>
  <c r="AF5" i="18"/>
  <c r="AF338" i="18"/>
  <c r="AE184" i="18"/>
  <c r="AF348" i="18"/>
  <c r="AE289" i="18"/>
  <c r="AF69" i="18"/>
  <c r="AF67" i="18"/>
  <c r="AF43" i="18"/>
  <c r="AE137" i="18"/>
  <c r="AE33" i="18"/>
  <c r="AF167" i="18"/>
  <c r="AF253" i="18"/>
  <c r="AF4" i="18"/>
  <c r="AF304" i="18"/>
  <c r="AE90" i="18"/>
  <c r="AF51" i="18"/>
  <c r="AF168" i="18"/>
  <c r="AF130" i="18"/>
  <c r="AE126" i="18"/>
  <c r="AE176" i="18"/>
  <c r="AE136" i="18"/>
  <c r="AE138" i="18"/>
  <c r="AF151" i="18"/>
  <c r="AE154" i="18"/>
  <c r="AE358" i="18"/>
  <c r="AE354" i="18"/>
  <c r="AF70" i="18"/>
  <c r="AF333" i="18"/>
  <c r="AE155" i="18"/>
  <c r="AE96" i="18"/>
  <c r="AE159" i="18"/>
  <c r="AE21" i="18"/>
  <c r="AE4" i="18"/>
  <c r="AE340" i="18"/>
  <c r="AF190" i="18"/>
  <c r="AE103" i="18"/>
  <c r="AF353" i="18"/>
  <c r="AF289" i="18"/>
  <c r="AF290" i="18"/>
  <c r="AE57" i="18"/>
  <c r="AE131" i="18"/>
  <c r="AE217" i="18"/>
  <c r="AF344" i="18"/>
  <c r="AF244" i="18"/>
  <c r="AF204" i="18"/>
  <c r="AE319" i="18"/>
  <c r="AE91" i="18"/>
  <c r="AF121" i="18"/>
  <c r="AF55" i="18"/>
  <c r="AF76" i="18"/>
  <c r="AF179" i="18"/>
  <c r="AE240" i="18"/>
  <c r="AE315" i="18"/>
  <c r="AE135" i="18"/>
  <c r="AF235" i="18"/>
  <c r="AE230" i="18"/>
  <c r="AE263" i="18"/>
  <c r="AE249" i="18"/>
  <c r="AE172" i="18"/>
  <c r="AF292" i="18"/>
  <c r="AF202" i="18"/>
  <c r="AF225" i="18"/>
  <c r="AE232" i="18"/>
  <c r="AE304" i="18"/>
  <c r="AE87" i="18"/>
  <c r="AF326" i="18"/>
  <c r="AE74" i="18"/>
  <c r="AF87" i="18"/>
  <c r="AF349" i="18"/>
  <c r="AF343" i="18"/>
  <c r="AE228" i="18"/>
  <c r="AF291" i="18"/>
  <c r="AE48" i="18"/>
  <c r="AF176" i="18"/>
  <c r="AF152" i="18"/>
  <c r="AF328" i="18"/>
  <c r="AF337" i="18"/>
  <c r="AE123" i="18"/>
  <c r="AF195" i="18"/>
  <c r="AF279" i="18"/>
  <c r="AE360" i="18"/>
  <c r="AF178" i="18"/>
  <c r="AF331" i="18"/>
  <c r="AF156" i="18"/>
  <c r="AE85" i="18"/>
  <c r="AE301" i="18"/>
  <c r="AF262" i="18"/>
  <c r="AF299" i="18"/>
  <c r="AE147" i="18"/>
  <c r="AF339" i="18"/>
  <c r="AE234" i="18"/>
  <c r="AF311" i="18"/>
  <c r="AE339" i="18"/>
  <c r="AF149" i="18"/>
  <c r="AE133" i="18"/>
  <c r="AF232" i="18"/>
  <c r="AE284" i="18"/>
  <c r="AF258" i="18"/>
  <c r="AE302" i="18"/>
  <c r="AF108" i="18"/>
  <c r="AE362" i="18"/>
  <c r="AE243" i="18"/>
  <c r="AE276" i="18"/>
  <c r="AF216" i="18"/>
  <c r="AF203" i="18"/>
  <c r="AE92" i="18"/>
  <c r="AE361" i="18"/>
  <c r="AE193" i="18"/>
  <c r="AE53" i="18"/>
  <c r="AF89" i="18"/>
  <c r="AF11" i="18"/>
  <c r="AE113" i="18"/>
  <c r="AF64" i="18"/>
  <c r="AF155" i="18"/>
  <c r="AE105" i="18"/>
  <c r="AF335" i="18"/>
  <c r="AF107" i="18"/>
  <c r="AF26" i="18"/>
  <c r="AF284" i="18"/>
  <c r="AE322" i="18"/>
  <c r="AF300" i="18"/>
  <c r="AF36" i="18"/>
  <c r="AE231" i="18"/>
  <c r="AE32" i="18"/>
  <c r="AE189" i="18"/>
  <c r="AF49" i="18"/>
  <c r="AE219" i="18"/>
  <c r="AF200" i="18"/>
  <c r="AF248" i="18"/>
  <c r="AE44" i="18"/>
  <c r="AE247" i="18"/>
  <c r="AF186" i="18"/>
  <c r="AE306" i="18"/>
  <c r="AE262" i="18"/>
  <c r="AE221" i="18"/>
  <c r="AE346" i="18"/>
  <c r="AF330" i="18"/>
  <c r="AE257" i="18"/>
  <c r="AE312" i="18"/>
  <c r="AF37" i="18"/>
  <c r="AE209" i="18"/>
  <c r="AE336" i="18"/>
  <c r="AF209" i="18"/>
  <c r="AE50" i="18"/>
  <c r="AE89" i="18"/>
  <c r="AF140" i="18"/>
  <c r="AF263" i="18"/>
  <c r="AE125" i="18"/>
  <c r="AF27" i="18"/>
  <c r="AE26" i="18"/>
  <c r="AE31" i="18"/>
  <c r="AE216" i="18"/>
  <c r="AE203" i="18"/>
  <c r="AE343" i="18"/>
  <c r="AE12" i="18"/>
  <c r="AF226" i="18"/>
  <c r="AE27" i="18"/>
  <c r="AE294" i="18"/>
  <c r="AE215" i="18"/>
  <c r="AF29" i="18"/>
  <c r="AF120" i="18"/>
  <c r="AF218" i="18"/>
  <c r="AF99" i="18"/>
  <c r="AE163" i="18"/>
  <c r="AF184" i="18"/>
  <c r="AF254" i="18"/>
  <c r="AE258" i="18"/>
  <c r="AF228" i="18"/>
  <c r="AE280" i="18"/>
  <c r="AE71" i="18"/>
  <c r="AF193" i="18"/>
  <c r="AF175" i="18"/>
  <c r="AF213" i="18"/>
  <c r="AE164" i="18"/>
  <c r="AE241" i="18"/>
  <c r="AF124" i="18"/>
  <c r="AF158" i="18"/>
  <c r="AF229" i="18"/>
  <c r="AE309" i="18"/>
  <c r="AF267" i="18"/>
  <c r="AE37" i="18"/>
  <c r="AF261" i="18"/>
  <c r="AF210" i="18"/>
  <c r="AF194" i="18"/>
  <c r="AF297" i="18"/>
  <c r="AE15" i="18"/>
  <c r="AE59" i="18"/>
  <c r="AE206" i="18"/>
  <c r="AF137" i="18"/>
  <c r="AE139" i="18"/>
  <c r="AE40" i="18"/>
  <c r="AF23" i="18"/>
  <c r="AF296" i="18"/>
  <c r="AF310" i="18"/>
  <c r="AF8" i="18"/>
  <c r="AF271" i="18"/>
  <c r="AF319" i="18"/>
  <c r="AE183" i="18"/>
  <c r="AF95" i="18"/>
  <c r="AE106" i="18"/>
  <c r="AF355" i="18"/>
  <c r="AF118" i="18"/>
  <c r="AE28" i="18"/>
  <c r="AE72" i="18"/>
  <c r="AE17" i="18"/>
  <c r="AE242" i="18"/>
  <c r="AF165" i="18"/>
  <c r="AE65" i="18"/>
  <c r="AF265" i="18"/>
  <c r="AE345" i="18"/>
  <c r="AF360" i="18"/>
  <c r="AF39" i="18"/>
  <c r="AE266" i="18"/>
  <c r="AF77" i="18"/>
  <c r="AE185" i="18"/>
  <c r="AF7" i="18"/>
  <c r="AE156" i="18"/>
  <c r="AF88" i="18"/>
  <c r="AE144" i="18"/>
  <c r="AF315" i="18"/>
  <c r="AE313" i="18"/>
  <c r="AF363" i="18"/>
  <c r="AE76" i="18"/>
  <c r="AE52" i="18"/>
  <c r="AE79" i="18"/>
  <c r="AE317" i="18"/>
  <c r="AE101" i="18"/>
  <c r="AE352" i="18"/>
  <c r="AE165" i="18"/>
  <c r="AE177" i="18"/>
  <c r="AF111" i="18"/>
  <c r="AF97" i="18"/>
  <c r="AF114" i="18"/>
  <c r="AF264" i="18"/>
  <c r="AF189" i="18"/>
  <c r="AF346" i="18"/>
  <c r="AE287" i="18"/>
  <c r="AF135" i="18"/>
  <c r="AF28" i="18"/>
  <c r="AF199" i="18"/>
  <c r="AF132" i="18"/>
  <c r="AF83" i="18"/>
  <c r="AE97" i="18"/>
  <c r="AF283" i="18"/>
  <c r="AF269" i="18"/>
  <c r="AF177" i="18"/>
  <c r="AE146" i="18"/>
  <c r="AF60" i="18"/>
  <c r="AF357" i="18"/>
  <c r="AE248" i="18"/>
  <c r="AF215" i="18"/>
  <c r="AE68" i="18"/>
  <c r="AE347" i="18"/>
  <c r="AF85" i="18"/>
  <c r="AF13" i="18"/>
  <c r="AE140" i="18"/>
  <c r="AE14" i="18"/>
  <c r="AE169" i="18"/>
  <c r="AE268" i="18"/>
  <c r="AE186" i="18"/>
  <c r="AE104" i="18"/>
  <c r="AE6" i="18"/>
  <c r="AE86" i="18"/>
  <c r="AE295" i="18"/>
  <c r="AF116" i="18"/>
  <c r="AF302" i="18"/>
  <c r="AE25" i="18"/>
  <c r="AF294" i="18"/>
  <c r="AF187" i="18"/>
  <c r="AF25" i="18"/>
  <c r="AE199" i="18"/>
  <c r="AE325" i="18"/>
  <c r="AE200" i="18"/>
  <c r="AF98" i="18"/>
  <c r="AF318" i="18"/>
  <c r="AE334" i="18"/>
  <c r="AE265" i="18"/>
  <c r="AE310" i="18"/>
  <c r="AE70" i="18"/>
  <c r="AE349" i="18"/>
  <c r="AF145" i="18"/>
  <c r="AE18" i="18"/>
  <c r="AE204" i="18"/>
  <c r="AE167" i="18"/>
  <c r="AE255" i="18"/>
  <c r="AE95" i="18"/>
  <c r="AE142" i="18"/>
  <c r="AE63" i="18"/>
  <c r="AE41" i="18"/>
  <c r="AE10" i="18"/>
  <c r="AE107" i="18"/>
  <c r="AF57" i="18"/>
  <c r="AE259" i="18"/>
  <c r="AE291" i="18"/>
  <c r="AE45" i="18"/>
  <c r="AE127" i="18"/>
  <c r="AE256" i="18"/>
  <c r="AE195" i="18"/>
  <c r="AF329" i="18"/>
  <c r="AF117" i="18"/>
  <c r="AF74" i="18"/>
  <c r="AE237" i="18"/>
  <c r="AE114" i="18"/>
  <c r="AE192" i="18"/>
  <c r="AE78" i="18"/>
  <c r="AF307" i="18"/>
  <c r="AE158" i="18"/>
  <c r="AE281" i="18"/>
  <c r="AE66" i="18"/>
  <c r="AF327" i="18"/>
  <c r="AF166" i="18"/>
  <c r="AF59" i="18"/>
  <c r="AF180" i="18"/>
  <c r="AE80" i="18"/>
  <c r="AE36" i="18"/>
  <c r="AE335" i="18"/>
  <c r="AF238" i="18"/>
  <c r="AF324" i="18"/>
  <c r="AE166" i="18"/>
  <c r="AF82" i="18"/>
  <c r="AE77" i="18"/>
  <c r="AE60" i="18"/>
  <c r="AE83" i="18"/>
  <c r="AE187" i="18"/>
  <c r="AF293" i="18"/>
  <c r="AF358" i="18"/>
  <c r="AE275" i="18"/>
  <c r="AE143" i="18"/>
  <c r="AF73" i="18"/>
  <c r="AE338" i="18"/>
  <c r="AE152" i="18"/>
  <c r="AE278" i="18"/>
  <c r="AF91" i="18"/>
  <c r="AE150" i="18"/>
  <c r="AF277" i="18"/>
  <c r="AF222" i="18"/>
  <c r="AE112" i="18"/>
  <c r="AE67" i="18"/>
  <c r="AE308" i="18"/>
  <c r="AE277" i="18"/>
  <c r="AE69" i="18"/>
  <c r="AE202" i="18"/>
  <c r="AF309" i="18"/>
  <c r="AF133" i="18"/>
  <c r="AF219" i="18"/>
  <c r="AE264" i="18"/>
  <c r="AE168" i="18"/>
  <c r="AF127" i="18"/>
  <c r="AE324" i="18"/>
  <c r="AE213" i="18"/>
  <c r="AE161" i="18"/>
  <c r="AE134" i="18"/>
  <c r="AF6" i="18"/>
  <c r="AE180" i="18"/>
  <c r="AE98" i="18"/>
  <c r="AE320" i="18"/>
  <c r="AE201" i="18"/>
  <c r="AF241" i="18"/>
  <c r="AE300" i="18"/>
  <c r="AE22" i="18"/>
  <c r="AE299" i="18"/>
  <c r="AE196" i="18"/>
  <c r="AE124" i="18"/>
  <c r="AE333" i="18"/>
  <c r="AE141" i="18"/>
  <c r="AE181" i="18"/>
  <c r="AF52" i="18"/>
  <c r="AE174" i="18"/>
  <c r="AE218" i="18"/>
  <c r="AF101" i="18"/>
  <c r="AE94" i="18"/>
  <c r="AE356" i="18"/>
  <c r="AF206" i="18"/>
  <c r="AE238" i="18"/>
  <c r="AE81" i="18"/>
  <c r="AF103" i="18"/>
  <c r="AF22" i="18"/>
  <c r="AF58" i="18"/>
  <c r="AF257" i="18"/>
  <c r="AE75" i="18"/>
  <c r="AF20" i="18"/>
  <c r="AF325" i="18"/>
  <c r="AE194" i="18"/>
  <c r="AE108" i="18"/>
  <c r="AF181" i="18"/>
  <c r="AF50" i="18"/>
  <c r="AF276" i="18"/>
  <c r="AE274" i="18"/>
  <c r="AE39" i="18"/>
  <c r="AF54" i="18"/>
  <c r="AF361" i="18"/>
  <c r="AF182" i="18"/>
  <c r="AE20" i="18"/>
  <c r="AE321" i="18"/>
  <c r="AE271" i="18"/>
  <c r="AF16" i="18"/>
  <c r="AF157" i="18"/>
  <c r="AF66" i="18"/>
  <c r="AE19" i="18"/>
  <c r="AF247" i="18"/>
  <c r="AE239" i="18"/>
  <c r="AE246" i="18"/>
  <c r="AF231" i="18"/>
  <c r="AE205" i="18"/>
  <c r="AE355" i="18"/>
  <c r="AF147" i="18"/>
  <c r="AE13" i="18"/>
  <c r="AF162" i="18"/>
  <c r="AE332" i="18"/>
  <c r="AF223" i="18"/>
  <c r="AE111" i="18"/>
  <c r="AE323" i="18"/>
  <c r="AE296" i="18"/>
  <c r="AF40" i="18"/>
  <c r="AF234" i="18"/>
  <c r="AE179" i="18"/>
  <c r="AE110" i="18"/>
  <c r="AE82" i="18"/>
  <c r="AE251" i="18"/>
  <c r="AF142" i="18"/>
  <c r="AF266" i="18"/>
  <c r="AE122" i="18"/>
  <c r="AF320" i="18"/>
  <c r="AE130" i="18"/>
  <c r="AF280" i="18"/>
  <c r="AE38" i="18"/>
  <c r="AF139" i="18"/>
  <c r="AF316" i="18"/>
  <c r="AF196" i="18"/>
  <c r="AE43" i="18"/>
  <c r="AE342" i="18"/>
  <c r="AF56" i="18"/>
  <c r="AF233" i="18"/>
  <c r="AE117" i="18"/>
  <c r="AF134" i="18"/>
  <c r="AF105" i="18"/>
  <c r="AE250" i="18"/>
  <c r="AE273" i="18"/>
  <c r="AF81" i="18"/>
  <c r="AF169" i="18"/>
  <c r="AE314" i="18"/>
  <c r="AE285" i="18"/>
  <c r="AF9" i="18"/>
  <c r="AF305" i="18"/>
  <c r="AE318" i="18"/>
  <c r="AF47" i="18"/>
  <c r="AF301" i="18"/>
  <c r="AE162" i="18"/>
  <c r="AF10" i="18"/>
  <c r="AE157" i="18"/>
  <c r="AE227" i="18"/>
  <c r="AE311" i="18"/>
  <c r="AE109" i="18"/>
  <c r="AF164" i="18"/>
  <c r="AE128" i="18"/>
  <c r="AF242" i="18"/>
  <c r="AE190" i="18"/>
  <c r="AF34" i="18"/>
  <c r="AE341" i="18"/>
  <c r="AF68" i="18"/>
  <c r="AE269" i="18"/>
  <c r="AF285" i="18"/>
  <c r="AF281" i="18"/>
  <c r="AE153" i="18"/>
  <c r="AF278" i="18"/>
  <c r="AE245" i="18"/>
  <c r="AF317" i="18"/>
  <c r="AE160" i="18"/>
  <c r="AF75" i="18"/>
  <c r="AE55" i="18"/>
  <c r="AE93" i="18"/>
  <c r="AF192" i="18"/>
  <c r="AE178" i="18"/>
  <c r="AE326" i="18"/>
  <c r="AE297" i="18"/>
  <c r="AE170" i="18"/>
  <c r="AF306" i="18"/>
  <c r="AE305" i="18"/>
  <c r="AF239" i="18"/>
  <c r="AF62" i="18"/>
  <c r="AE175" i="18"/>
  <c r="AF80" i="18"/>
  <c r="AE118" i="18"/>
  <c r="AE357" i="18"/>
  <c r="AE224" i="18"/>
  <c r="AF65" i="18"/>
  <c r="AE8" i="18"/>
  <c r="AF356" i="18"/>
  <c r="AE350" i="18"/>
  <c r="AE49" i="18"/>
  <c r="AF154" i="18"/>
  <c r="AF159" i="18"/>
  <c r="AF362" i="18"/>
  <c r="AE120" i="18"/>
  <c r="AF260" i="18"/>
  <c r="AF102" i="18"/>
  <c r="AF224" i="18"/>
  <c r="AE62" i="18"/>
  <c r="AE16" i="18"/>
  <c r="AF322" i="18"/>
  <c r="AF143" i="18"/>
  <c r="AF128" i="18"/>
  <c r="AE288" i="18"/>
  <c r="AF221" i="18"/>
  <c r="AF345" i="18"/>
  <c r="AF32" i="18"/>
  <c r="AF251" i="18"/>
  <c r="AF183" i="18"/>
  <c r="AE29" i="18"/>
  <c r="AF286" i="18"/>
  <c r="AF227" i="18"/>
  <c r="AE171" i="18"/>
  <c r="AF94" i="18"/>
  <c r="AE51" i="18"/>
  <c r="AF104" i="18"/>
  <c r="AF272" i="18"/>
  <c r="AF250" i="18"/>
  <c r="AE5" i="18"/>
  <c r="AF217" i="18"/>
  <c r="AF323" i="18"/>
  <c r="AE47" i="18"/>
  <c r="AE233" i="18"/>
  <c r="AE359" i="18"/>
  <c r="AF208" i="18"/>
  <c r="AF38" i="18"/>
  <c r="AF35" i="18"/>
  <c r="AF268" i="18"/>
  <c r="AE132" i="18"/>
  <c r="AE61" i="18"/>
  <c r="AE307" i="18"/>
  <c r="AE267" i="18"/>
  <c r="AE182" i="18"/>
  <c r="AF122" i="18"/>
  <c r="AE46" i="18"/>
  <c r="AE54" i="18"/>
  <c r="AE7" i="18"/>
  <c r="AE254" i="18"/>
  <c r="AF295" i="18"/>
  <c r="AE121" i="18"/>
  <c r="AF220" i="18"/>
  <c r="AF119" i="18"/>
  <c r="AE145" i="18"/>
  <c r="AE293" i="18"/>
  <c r="AF79" i="18"/>
  <c r="AF188" i="18"/>
  <c r="AE290" i="18"/>
  <c r="AF205" i="18"/>
  <c r="AF336" i="18"/>
  <c r="AF246" i="18"/>
  <c r="AF78" i="18"/>
  <c r="AF136" i="18"/>
  <c r="AE344" i="18"/>
  <c r="AE292" i="18"/>
  <c r="AF48" i="18"/>
  <c r="AF33" i="18"/>
  <c r="AE191" i="18"/>
  <c r="AF41" i="18"/>
  <c r="AF42" i="18"/>
  <c r="AE220" i="18"/>
  <c r="AE223" i="18"/>
  <c r="AF332" i="18"/>
  <c r="AE188" i="18"/>
  <c r="AE282" i="18"/>
  <c r="AF170" i="18"/>
  <c r="AF14" i="18"/>
  <c r="AF308" i="18"/>
  <c r="AE148" i="18"/>
  <c r="AE129" i="18"/>
  <c r="AE73" i="18"/>
  <c r="AF126" i="18"/>
  <c r="AE115" i="18"/>
  <c r="AF197" i="18"/>
  <c r="AE283" i="18"/>
  <c r="AE253" i="18"/>
  <c r="AE261" i="18"/>
  <c r="AF163" i="18"/>
  <c r="AF342" i="18"/>
  <c r="AF106" i="18"/>
  <c r="AE327" i="18"/>
  <c r="AF237" i="18"/>
  <c r="AF131" i="18"/>
  <c r="AE279" i="18"/>
  <c r="AF31" i="18"/>
  <c r="AE225" i="18"/>
  <c r="AF350" i="18"/>
  <c r="AF236" i="18"/>
  <c r="AF314" i="18"/>
  <c r="AE84" i="18"/>
  <c r="AE151" i="18"/>
  <c r="AF303" i="18"/>
  <c r="AE88" i="18"/>
  <c r="AE24" i="18"/>
  <c r="AF191" i="18"/>
  <c r="AE56" i="18"/>
  <c r="AE11" i="18"/>
  <c r="AE35" i="18"/>
  <c r="AE316" i="18"/>
  <c r="AF172" i="18"/>
  <c r="AF141" i="18"/>
  <c r="AF30" i="18"/>
  <c r="AE100" i="18"/>
  <c r="AF45" i="18"/>
  <c r="AE353" i="18"/>
  <c r="AF144" i="18"/>
  <c r="AE286" i="18"/>
  <c r="AF340" i="18"/>
  <c r="AF125" i="18"/>
  <c r="AF18" i="18"/>
  <c r="AE331" i="18"/>
  <c r="AF347" i="18"/>
  <c r="AF288" i="18"/>
  <c r="AF92" i="18"/>
  <c r="AF112" i="18"/>
  <c r="AE330" i="18"/>
  <c r="AF211" i="18"/>
  <c r="AF90" i="18"/>
  <c r="AF129" i="18"/>
  <c r="AF21" i="18"/>
  <c r="AF71" i="18"/>
  <c r="AF274" i="18"/>
  <c r="AF185" i="18"/>
  <c r="AF146" i="18"/>
  <c r="AF207" i="18"/>
  <c r="AF245" i="18"/>
  <c r="AE298" i="18"/>
  <c r="AE197" i="18"/>
  <c r="AF44" i="18"/>
  <c r="AE363" i="18"/>
  <c r="AE212" i="18"/>
  <c r="AF287" i="18"/>
  <c r="AE30" i="18"/>
  <c r="AF93" i="18"/>
  <c r="AF148" i="18"/>
  <c r="AE58" i="18"/>
  <c r="AF174" i="18"/>
  <c r="AE328" i="18"/>
  <c r="AE226" i="18"/>
  <c r="AF256" i="18"/>
  <c r="AF96" i="18"/>
  <c r="AF214" i="18"/>
  <c r="AE99" i="18"/>
  <c r="AE229" i="18"/>
  <c r="AF270" i="18"/>
  <c r="AE173" i="18"/>
  <c r="AE222" i="18"/>
  <c r="AE64" i="18"/>
  <c r="AF230" i="18"/>
  <c r="AF255" i="18"/>
  <c r="AF298" i="18"/>
  <c r="AF150" i="18"/>
  <c r="AE23" i="18"/>
  <c r="AF312" i="18"/>
  <c r="AE34" i="18"/>
  <c r="AF86" i="18"/>
  <c r="AE235" i="18"/>
  <c r="AF123" i="18"/>
  <c r="AE351" i="18"/>
  <c r="AF212" i="18"/>
  <c r="AE208" i="18"/>
  <c r="AF138" i="18"/>
  <c r="AE244" i="18"/>
  <c r="AF61" i="18"/>
  <c r="AF334" i="18"/>
  <c r="AF109" i="18"/>
  <c r="AF115" i="18"/>
  <c r="AF12" i="18"/>
  <c r="AF113" i="18"/>
  <c r="AF354" i="18"/>
  <c r="AF173" i="18"/>
  <c r="AE329" i="18"/>
  <c r="AF17" i="18"/>
  <c r="AF282" i="18"/>
  <c r="AE210" i="18"/>
  <c r="AF275" i="18"/>
  <c r="AF359" i="18"/>
  <c r="AE252" i="18"/>
  <c r="AE9" i="18"/>
  <c r="AF53" i="18"/>
  <c r="AF259" i="18"/>
  <c r="AE42" i="18"/>
  <c r="AF252" i="18"/>
  <c r="AF24" i="18"/>
  <c r="AF160" i="18"/>
  <c r="AF341" i="18"/>
  <c r="AF15" i="18"/>
  <c r="AF72" i="18"/>
  <c r="AF161" i="18"/>
  <c r="AF110" i="18"/>
  <c r="AE214" i="18"/>
  <c r="AF321" i="18"/>
  <c r="AL98" i="50"/>
  <c r="AI8" i="50"/>
  <c r="AK31" i="50"/>
  <c r="AB37" i="51"/>
  <c r="AF33" i="51"/>
  <c r="AB52" i="51"/>
  <c r="AJ16" i="50"/>
  <c r="AD103" i="51"/>
  <c r="AE70" i="51"/>
  <c r="AK86" i="47"/>
  <c r="AJ17" i="50"/>
  <c r="AB78" i="51"/>
  <c r="AL25" i="50"/>
  <c r="AD91" i="51"/>
  <c r="AF88" i="51"/>
  <c r="AL41" i="50"/>
  <c r="AE93" i="51"/>
  <c r="AL83" i="50"/>
  <c r="AC70" i="51"/>
  <c r="AK16" i="50"/>
  <c r="AC87" i="51"/>
  <c r="AK18" i="50"/>
  <c r="AI54" i="50"/>
  <c r="AI62" i="50"/>
  <c r="AJ19" i="50"/>
  <c r="AH70" i="50"/>
  <c r="AK41" i="47"/>
  <c r="AD15" i="51"/>
  <c r="AB61" i="51"/>
  <c r="AE75" i="51"/>
  <c r="AC10" i="51"/>
  <c r="AL75" i="50"/>
  <c r="AL52" i="47"/>
  <c r="AK22" i="47"/>
  <c r="AK90" i="47"/>
  <c r="AK74" i="47"/>
  <c r="AC89" i="51"/>
  <c r="AJ9" i="50"/>
  <c r="AJ63" i="50"/>
  <c r="AB17" i="51"/>
  <c r="AC24" i="51"/>
  <c r="AL21" i="50"/>
  <c r="AE80" i="51"/>
  <c r="AE91" i="51"/>
  <c r="AB56" i="51"/>
  <c r="AE66" i="51"/>
  <c r="AF27" i="51"/>
  <c r="AK61" i="47"/>
  <c r="AI89" i="50"/>
  <c r="AL21" i="47"/>
  <c r="AH32" i="50"/>
  <c r="AK96" i="47"/>
  <c r="AJ43" i="50"/>
  <c r="AL34" i="50"/>
  <c r="AK40" i="47"/>
  <c r="AK5" i="47"/>
  <c r="AJ50" i="50"/>
  <c r="AK9" i="47"/>
  <c r="AK101" i="47"/>
  <c r="AB64" i="51"/>
  <c r="AF48" i="51"/>
  <c r="AD63" i="51"/>
  <c r="AC96" i="51"/>
  <c r="AK23" i="47"/>
  <c r="AD27" i="51"/>
  <c r="AH67" i="50"/>
  <c r="AD83" i="51"/>
  <c r="AK79" i="47"/>
  <c r="AC38" i="51"/>
  <c r="AI19" i="50"/>
  <c r="AI80" i="50"/>
  <c r="AB41" i="51"/>
  <c r="AF10" i="51"/>
  <c r="AL7" i="50"/>
  <c r="AB24" i="51"/>
  <c r="AK97" i="47"/>
  <c r="AH58" i="50"/>
  <c r="AL105" i="50"/>
  <c r="AL46" i="50"/>
  <c r="AK59" i="50"/>
  <c r="AE65" i="51"/>
  <c r="AD51" i="51"/>
  <c r="AE48" i="51"/>
  <c r="AL56" i="50"/>
  <c r="AK68" i="50"/>
  <c r="AH64" i="50"/>
  <c r="AH19" i="50"/>
  <c r="AI27" i="50"/>
  <c r="AK30" i="50"/>
  <c r="AH61" i="50"/>
  <c r="AF30" i="51"/>
  <c r="AD75" i="51"/>
  <c r="AK85" i="50"/>
  <c r="AD99" i="51"/>
  <c r="AC101" i="51"/>
  <c r="AH74" i="50"/>
  <c r="AB90" i="51"/>
  <c r="AI102" i="50"/>
  <c r="AC14" i="51"/>
  <c r="AF99" i="51"/>
  <c r="AK56" i="47"/>
  <c r="AD59" i="51"/>
  <c r="AI87" i="50"/>
  <c r="AC84" i="51"/>
  <c r="AK53" i="50"/>
  <c r="AJ31" i="50"/>
  <c r="AK63" i="47"/>
  <c r="AK70" i="50"/>
  <c r="AI84" i="50"/>
  <c r="AE12" i="51"/>
  <c r="AC94" i="51"/>
  <c r="AC15" i="51"/>
  <c r="AK52" i="47"/>
  <c r="AK83" i="50"/>
  <c r="AK26" i="50"/>
  <c r="AL54" i="47"/>
  <c r="AH21" i="50"/>
  <c r="AI32" i="50"/>
  <c r="AL28" i="47"/>
  <c r="AK80" i="47"/>
  <c r="AL27" i="50"/>
  <c r="AL18" i="47"/>
  <c r="AK103" i="50"/>
  <c r="AL31" i="47"/>
  <c r="AK60" i="50"/>
  <c r="AI64" i="50"/>
  <c r="AB6" i="51"/>
  <c r="AF75" i="51"/>
  <c r="AJ37" i="50"/>
  <c r="AJ7" i="50"/>
  <c r="AB66" i="51"/>
  <c r="AL44" i="47"/>
  <c r="AL65" i="47"/>
  <c r="AK30" i="47"/>
  <c r="AD33" i="51"/>
  <c r="AB42" i="51"/>
  <c r="AF58" i="51"/>
  <c r="AL42" i="47"/>
  <c r="AE57" i="51"/>
  <c r="AB13" i="51"/>
  <c r="AB86" i="51"/>
  <c r="AE26" i="51"/>
  <c r="AB19" i="51"/>
  <c r="AL60" i="50"/>
  <c r="AK97" i="50"/>
  <c r="AH39" i="50"/>
  <c r="AL63" i="50"/>
  <c r="AL55" i="47"/>
  <c r="AC92" i="51"/>
  <c r="AC43" i="51"/>
  <c r="AL96" i="50"/>
  <c r="AL51" i="47"/>
  <c r="AK47" i="50"/>
  <c r="AH22" i="50"/>
  <c r="AH94" i="50"/>
  <c r="AI20" i="50"/>
  <c r="AK59" i="47"/>
  <c r="AK27" i="50"/>
  <c r="AC80" i="51"/>
  <c r="AE14" i="51"/>
  <c r="AD35" i="51"/>
  <c r="AB103" i="51"/>
  <c r="AK11" i="50"/>
  <c r="AL16" i="50"/>
  <c r="AJ21" i="50"/>
  <c r="AH71" i="50"/>
  <c r="AH72" i="50"/>
  <c r="AK11" i="47"/>
  <c r="AH47" i="50"/>
  <c r="AK25" i="50"/>
  <c r="AI53" i="50"/>
  <c r="AJ55" i="50"/>
  <c r="AD20" i="51"/>
  <c r="AI71" i="50"/>
  <c r="AC52" i="51"/>
  <c r="AI36" i="50"/>
  <c r="AE69" i="51"/>
  <c r="AL80" i="50"/>
  <c r="AH26" i="50"/>
  <c r="AH8" i="50"/>
  <c r="AH106" i="50"/>
  <c r="AH45" i="50"/>
  <c r="AL8" i="50"/>
  <c r="AK36" i="50"/>
  <c r="AF13" i="51"/>
  <c r="AF20" i="51"/>
  <c r="AK7" i="50"/>
  <c r="AI49" i="50"/>
  <c r="AH59" i="50"/>
  <c r="AJ65" i="50"/>
  <c r="AE56" i="51"/>
  <c r="AH17" i="50"/>
  <c r="AH57" i="50"/>
  <c r="AL72" i="50"/>
  <c r="AE25" i="51"/>
  <c r="AL34" i="47"/>
  <c r="AE39" i="51"/>
  <c r="AL99" i="50"/>
  <c r="AK78" i="50"/>
  <c r="AK34" i="50"/>
  <c r="AL54" i="50"/>
  <c r="AD21" i="51"/>
  <c r="AH77" i="50"/>
  <c r="AK98" i="47"/>
  <c r="AI81" i="50"/>
  <c r="AC77" i="51"/>
  <c r="AE8" i="51"/>
  <c r="AH55" i="50"/>
  <c r="AE10" i="51"/>
  <c r="AI51" i="50"/>
  <c r="AE24" i="51"/>
  <c r="AF62" i="51"/>
  <c r="AF81" i="51"/>
  <c r="AK62" i="50"/>
  <c r="AD80" i="51"/>
  <c r="AF8" i="51"/>
  <c r="AB31" i="51"/>
  <c r="AJ39" i="50"/>
  <c r="AD71" i="51"/>
  <c r="AD24" i="51"/>
  <c r="AL50" i="47"/>
  <c r="AF98" i="51"/>
  <c r="AD38" i="51"/>
  <c r="AB97" i="51"/>
  <c r="AL88" i="50"/>
  <c r="AL33" i="50"/>
  <c r="AC32" i="51"/>
  <c r="AK51" i="50"/>
  <c r="AD37" i="51"/>
  <c r="AD10" i="51"/>
  <c r="AK72" i="47"/>
  <c r="AI93" i="50"/>
  <c r="AL57" i="50"/>
  <c r="AD8" i="51"/>
  <c r="AD50" i="51"/>
  <c r="AE44" i="51"/>
  <c r="AL47" i="47"/>
  <c r="AK19" i="47"/>
  <c r="AI76" i="50"/>
  <c r="AC58" i="51"/>
  <c r="AK32" i="47"/>
  <c r="AJ66" i="50"/>
  <c r="AE43" i="51"/>
  <c r="AB59" i="51"/>
  <c r="AB80" i="51"/>
  <c r="AD82" i="51"/>
  <c r="AI39" i="50"/>
  <c r="AH88" i="50"/>
  <c r="AK55" i="47"/>
  <c r="AI95" i="50"/>
  <c r="AH10" i="50"/>
  <c r="AL23" i="47"/>
  <c r="AC64" i="51"/>
  <c r="AH30" i="50"/>
  <c r="AC47" i="51"/>
  <c r="AK60" i="47"/>
  <c r="AB95" i="51"/>
  <c r="AE49" i="51"/>
  <c r="AJ54" i="50"/>
  <c r="AC73" i="51"/>
  <c r="AJ86" i="50"/>
  <c r="AK56" i="50"/>
  <c r="AE15" i="51"/>
  <c r="AD46" i="51"/>
  <c r="AB18" i="51"/>
  <c r="AC40" i="51"/>
  <c r="AD19" i="51"/>
  <c r="AK8" i="50"/>
  <c r="AB11" i="51"/>
  <c r="AH37" i="50"/>
  <c r="AF51" i="51"/>
  <c r="AE94" i="51"/>
  <c r="AE104" i="51"/>
  <c r="AJ61" i="50"/>
  <c r="AK47" i="47"/>
  <c r="AK94" i="50"/>
  <c r="AJ47" i="50"/>
  <c r="AE61" i="51"/>
  <c r="AB32" i="51"/>
  <c r="AK24" i="47"/>
  <c r="AF64" i="51"/>
  <c r="AL53" i="50"/>
  <c r="AB26" i="51"/>
  <c r="AD42" i="51"/>
  <c r="AB20" i="51"/>
  <c r="AJ95" i="50"/>
  <c r="AH56" i="50"/>
  <c r="AB34" i="51"/>
  <c r="AL62" i="50"/>
  <c r="AE32" i="51"/>
  <c r="AF7" i="51"/>
  <c r="AC57" i="51"/>
  <c r="AK12" i="47"/>
  <c r="AC35" i="51"/>
  <c r="AB29" i="51"/>
  <c r="AF23" i="51"/>
  <c r="AI75" i="50"/>
  <c r="AK21" i="50"/>
  <c r="AC39" i="51"/>
  <c r="AH9" i="50"/>
  <c r="AI11" i="50"/>
  <c r="AK84" i="50"/>
  <c r="AI16" i="50"/>
  <c r="AK10" i="50"/>
  <c r="AI43" i="50"/>
  <c r="AK65" i="47"/>
  <c r="AK65" i="50"/>
  <c r="AD6" i="51"/>
  <c r="AF38" i="51"/>
  <c r="AJ32" i="50"/>
  <c r="AK94" i="47"/>
  <c r="AC55" i="51"/>
  <c r="AL85" i="50"/>
  <c r="AE45" i="51"/>
  <c r="AF53" i="51"/>
  <c r="AE81" i="51"/>
  <c r="AJ67" i="50"/>
  <c r="AI17" i="50"/>
  <c r="AK15" i="50"/>
  <c r="AH69" i="50"/>
  <c r="AH33" i="50"/>
  <c r="AK45" i="50"/>
  <c r="AB100" i="51"/>
  <c r="AK8" i="47"/>
  <c r="AI41" i="50"/>
  <c r="AB93" i="51"/>
  <c r="AC31" i="51"/>
  <c r="AE103" i="51"/>
  <c r="AD78" i="51"/>
  <c r="AL9" i="47"/>
  <c r="AE46" i="51"/>
  <c r="AK38" i="50"/>
  <c r="AF39" i="51"/>
  <c r="AJ75" i="50"/>
  <c r="AK29" i="47"/>
  <c r="AD60" i="51"/>
  <c r="AD56" i="51"/>
  <c r="AC59" i="51"/>
  <c r="AD61" i="51"/>
  <c r="AH13" i="50"/>
  <c r="AF40" i="51"/>
  <c r="AK83" i="47"/>
  <c r="AI15" i="50"/>
  <c r="AH98" i="50"/>
  <c r="AE90" i="51"/>
  <c r="AC20" i="51"/>
  <c r="AL101" i="50"/>
  <c r="AI66" i="50"/>
  <c r="AL12" i="47"/>
  <c r="AI101" i="50"/>
  <c r="AI65" i="50"/>
  <c r="AK77" i="50"/>
  <c r="AK31" i="47"/>
  <c r="AB36" i="51"/>
  <c r="AK58" i="50"/>
  <c r="AH63" i="50"/>
  <c r="AB54" i="51"/>
  <c r="AL53" i="47"/>
  <c r="AH103" i="50"/>
  <c r="AL10" i="47"/>
  <c r="AD58" i="51"/>
  <c r="AC83" i="51"/>
  <c r="AK13" i="47"/>
  <c r="AF84" i="51"/>
  <c r="AI10" i="50"/>
  <c r="AL20" i="47"/>
  <c r="AH53" i="50"/>
  <c r="AD11" i="51"/>
  <c r="AF6" i="51"/>
  <c r="AB7" i="51"/>
  <c r="AD95" i="51"/>
  <c r="AE101" i="51"/>
  <c r="AL11" i="50"/>
  <c r="AD93" i="51"/>
  <c r="AK23" i="50"/>
  <c r="AH60" i="50"/>
  <c r="AF85" i="51"/>
  <c r="AE60" i="51"/>
  <c r="AD97" i="51"/>
  <c r="AL37" i="50"/>
  <c r="AL15" i="47"/>
  <c r="AK49" i="47"/>
  <c r="AH62" i="50"/>
  <c r="AL97" i="50"/>
  <c r="AI100" i="50"/>
  <c r="AC18" i="51"/>
  <c r="AL56" i="47"/>
  <c r="AL16" i="47"/>
  <c r="AH54" i="50"/>
  <c r="AL32" i="50"/>
  <c r="AK32" i="50"/>
  <c r="AC21" i="51"/>
  <c r="AJ12" i="50"/>
  <c r="AD52" i="51"/>
  <c r="AJ68" i="50"/>
  <c r="AE53" i="51"/>
  <c r="AL58" i="47"/>
  <c r="AC72" i="51"/>
  <c r="AK40" i="50"/>
  <c r="AE72" i="51"/>
  <c r="AH51" i="50"/>
  <c r="AH100" i="50"/>
  <c r="AL30" i="47"/>
  <c r="AC68" i="51"/>
  <c r="AE20" i="51"/>
  <c r="AD40" i="51"/>
  <c r="AB70" i="51"/>
  <c r="AI88" i="50"/>
  <c r="AI106" i="50"/>
  <c r="AK48" i="47"/>
  <c r="AJ29" i="50"/>
  <c r="AB74" i="51"/>
  <c r="AE74" i="51"/>
  <c r="AE42" i="51"/>
  <c r="AI56" i="50"/>
  <c r="AL68" i="50"/>
  <c r="AI94" i="50"/>
  <c r="AL102" i="50"/>
  <c r="AC8" i="51"/>
  <c r="AC30" i="51"/>
  <c r="AI29" i="50"/>
  <c r="AL79" i="50"/>
  <c r="AD79" i="51"/>
  <c r="AH18" i="50"/>
  <c r="AK28" i="47"/>
  <c r="AL8" i="47"/>
  <c r="AB99" i="51"/>
  <c r="AJ25" i="50"/>
  <c r="AL31" i="50"/>
  <c r="AE85" i="51"/>
  <c r="AC67" i="51"/>
  <c r="AD5" i="51"/>
  <c r="AD96" i="51"/>
  <c r="AD48" i="51"/>
  <c r="AJ93" i="50"/>
  <c r="AK20" i="50"/>
  <c r="AH102" i="50"/>
  <c r="AH83" i="50"/>
  <c r="AE88" i="51"/>
  <c r="AJ8" i="50"/>
  <c r="AJ42" i="50"/>
  <c r="AK20" i="47"/>
  <c r="AJ45" i="50"/>
  <c r="AL35" i="47"/>
  <c r="AC81" i="51"/>
  <c r="AF19" i="51"/>
  <c r="AE77" i="51"/>
  <c r="AL100" i="50"/>
  <c r="AL92" i="50"/>
  <c r="AJ23" i="50"/>
  <c r="AJ81" i="50"/>
  <c r="AK92" i="50"/>
  <c r="AJ60" i="50"/>
  <c r="AC56" i="51"/>
  <c r="AB10" i="51"/>
  <c r="AB63" i="51"/>
  <c r="AL73" i="50"/>
  <c r="AL39" i="47"/>
  <c r="AH95" i="50"/>
  <c r="AB81" i="51"/>
  <c r="AI103" i="50"/>
  <c r="AB27" i="51"/>
  <c r="AI31" i="50"/>
  <c r="AK89" i="50"/>
  <c r="AD72" i="51"/>
  <c r="AJ52" i="50"/>
  <c r="AD77" i="51"/>
  <c r="AB76" i="51"/>
  <c r="AH35" i="50"/>
  <c r="AL33" i="47"/>
  <c r="AI14" i="50"/>
  <c r="AJ26" i="50"/>
  <c r="AD69" i="51"/>
  <c r="AD89" i="51"/>
  <c r="AF90" i="51"/>
  <c r="AC12" i="51"/>
  <c r="AC48" i="51"/>
  <c r="AF15" i="51"/>
  <c r="AB16" i="51"/>
  <c r="AK42" i="50"/>
  <c r="AL68" i="47"/>
  <c r="AJ84" i="50"/>
  <c r="AF101" i="51"/>
  <c r="AK45" i="47"/>
  <c r="AK35" i="50"/>
  <c r="AD101" i="51"/>
  <c r="AB39" i="51"/>
  <c r="AF49" i="51"/>
  <c r="AJ85" i="50"/>
  <c r="AK50" i="50"/>
  <c r="AD88" i="51"/>
  <c r="AK71" i="47"/>
  <c r="AK87" i="47"/>
  <c r="AF74" i="51"/>
  <c r="AH105" i="50"/>
  <c r="AF87" i="51"/>
  <c r="AF25" i="51"/>
  <c r="AC33" i="51"/>
  <c r="AK69" i="47"/>
  <c r="AL77" i="50"/>
  <c r="AF95" i="51"/>
  <c r="AL58" i="50"/>
  <c r="AI78" i="50"/>
  <c r="AL35" i="50"/>
  <c r="AL13" i="47"/>
  <c r="AI77" i="50"/>
  <c r="AF93" i="51"/>
  <c r="AC71" i="51"/>
  <c r="AC27" i="51"/>
  <c r="AC36" i="51"/>
  <c r="AC75" i="51"/>
  <c r="AK79" i="50"/>
  <c r="AL38" i="50"/>
  <c r="AI18" i="50"/>
  <c r="AC74" i="51"/>
  <c r="AB94" i="51"/>
  <c r="AL66" i="47"/>
  <c r="AJ40" i="50"/>
  <c r="AB72" i="51"/>
  <c r="AJ35" i="50"/>
  <c r="AI21" i="50"/>
  <c r="AL90" i="50"/>
  <c r="AF82" i="51"/>
  <c r="AE28" i="51"/>
  <c r="AF63" i="51"/>
  <c r="AH96" i="50"/>
  <c r="AK18" i="47"/>
  <c r="AD67" i="51"/>
  <c r="AC13" i="51"/>
  <c r="AL29" i="50"/>
  <c r="AJ87" i="50"/>
  <c r="AJ103" i="50"/>
  <c r="AF14" i="51"/>
  <c r="AE5" i="51"/>
  <c r="AD76" i="51"/>
  <c r="AL43" i="50"/>
  <c r="AL74" i="50"/>
  <c r="AE11" i="51"/>
  <c r="AJ24" i="50"/>
  <c r="AD65" i="51"/>
  <c r="AC104" i="51"/>
  <c r="AE76" i="51"/>
  <c r="AF94" i="51"/>
  <c r="AK43" i="47"/>
  <c r="AJ88" i="50"/>
  <c r="AH7" i="50"/>
  <c r="AL49" i="47"/>
  <c r="AI72" i="50"/>
  <c r="AB89" i="51"/>
  <c r="AL87" i="50"/>
  <c r="AB25" i="51"/>
  <c r="AH49" i="50"/>
  <c r="AB38" i="51"/>
  <c r="AK17" i="50"/>
  <c r="AB40" i="51"/>
  <c r="AJ27" i="50"/>
  <c r="AL36" i="47"/>
  <c r="AF31" i="51"/>
  <c r="AJ74" i="50"/>
  <c r="AI83" i="50"/>
  <c r="AD47" i="51"/>
  <c r="AE51" i="51"/>
  <c r="AD26" i="51"/>
  <c r="AI99" i="50"/>
  <c r="AL67" i="47"/>
  <c r="AI59" i="50"/>
  <c r="AK99" i="47"/>
  <c r="AL38" i="47"/>
  <c r="AK105" i="50"/>
  <c r="AK46" i="50"/>
  <c r="AJ100" i="50"/>
  <c r="AD18" i="51"/>
  <c r="AF96" i="51"/>
  <c r="AJ72" i="50"/>
  <c r="AE38" i="51"/>
  <c r="AJ15" i="50"/>
  <c r="AF46" i="51"/>
  <c r="AL106" i="50"/>
  <c r="AB28" i="51"/>
  <c r="AJ91" i="50"/>
  <c r="AI23" i="50"/>
  <c r="AF103" i="51"/>
  <c r="AI57" i="50"/>
  <c r="AH50" i="50"/>
  <c r="AE82" i="51"/>
  <c r="AB77" i="51"/>
  <c r="AE68" i="51"/>
  <c r="AI61" i="50"/>
  <c r="AJ14" i="50"/>
  <c r="AD22" i="51"/>
  <c r="AC63" i="51"/>
  <c r="AC62" i="51"/>
  <c r="AL84" i="50"/>
  <c r="AI68" i="50"/>
  <c r="AK14" i="47"/>
  <c r="AK106" i="50"/>
  <c r="AJ11" i="50"/>
  <c r="AI46" i="50"/>
  <c r="AL78" i="50"/>
  <c r="AJ64" i="50"/>
  <c r="AB98" i="51"/>
  <c r="AK38" i="47"/>
  <c r="AL48" i="47"/>
  <c r="AK44" i="47"/>
  <c r="AK39" i="50"/>
  <c r="AK35" i="47"/>
  <c r="AL81" i="50"/>
  <c r="AF55" i="51"/>
  <c r="AD98" i="51"/>
  <c r="AB8" i="51"/>
  <c r="AC99" i="51"/>
  <c r="AI91" i="50"/>
  <c r="AC78" i="51"/>
  <c r="AK102" i="50"/>
  <c r="AK84" i="47"/>
  <c r="AK19" i="50"/>
  <c r="AL4" i="47"/>
  <c r="AB88" i="51"/>
  <c r="AC6" i="51"/>
  <c r="AE79" i="51"/>
  <c r="AI45" i="50"/>
  <c r="AE86" i="51"/>
  <c r="AI63" i="50"/>
  <c r="AJ51" i="50"/>
  <c r="AI44" i="50"/>
  <c r="AH14" i="50"/>
  <c r="AK13" i="50"/>
  <c r="AE37" i="51"/>
  <c r="AE83" i="51"/>
  <c r="AK85" i="47"/>
  <c r="AF16" i="51"/>
  <c r="AD30" i="51"/>
  <c r="AL19" i="50"/>
  <c r="AB55" i="51"/>
  <c r="AL64" i="50"/>
  <c r="AB47" i="51"/>
  <c r="AH75" i="50"/>
  <c r="AE95" i="51"/>
  <c r="AK39" i="47"/>
  <c r="AE36" i="51"/>
  <c r="AB101" i="51"/>
  <c r="AE102" i="51"/>
  <c r="AH81" i="50"/>
  <c r="AI13" i="50"/>
  <c r="AL48" i="50"/>
  <c r="AK86" i="50"/>
  <c r="AB45" i="51"/>
  <c r="AK28" i="50"/>
  <c r="AH46" i="50"/>
  <c r="AJ34" i="50"/>
  <c r="AB48" i="51"/>
  <c r="AL41" i="47"/>
  <c r="AL45" i="50"/>
  <c r="AE34" i="51"/>
  <c r="AH73" i="50"/>
  <c r="AE35" i="51"/>
  <c r="AF56" i="51"/>
  <c r="AI33" i="50"/>
  <c r="AJ97" i="50"/>
  <c r="AC61" i="51"/>
  <c r="AI24" i="50"/>
  <c r="AJ89" i="50"/>
  <c r="AF66" i="51"/>
  <c r="AE19" i="51"/>
  <c r="AL9" i="50"/>
  <c r="AK52" i="50"/>
  <c r="AL39" i="50"/>
  <c r="AI98" i="50"/>
  <c r="AE7" i="51"/>
  <c r="AH27" i="50"/>
  <c r="AD70" i="51"/>
  <c r="AL6" i="47"/>
  <c r="AB58" i="51"/>
  <c r="AD55" i="51"/>
  <c r="AD44" i="51"/>
  <c r="AK42" i="47"/>
  <c r="AJ33" i="50"/>
  <c r="AF65" i="51"/>
  <c r="AB65" i="51"/>
  <c r="AE99" i="51"/>
  <c r="AH15" i="50"/>
  <c r="AJ70" i="50"/>
  <c r="AB44" i="51"/>
  <c r="AB30" i="51"/>
  <c r="AJ38" i="50"/>
  <c r="AB69" i="51"/>
  <c r="AK17" i="47"/>
  <c r="AF102" i="51"/>
  <c r="AE92" i="51"/>
  <c r="AD7" i="51"/>
  <c r="AH34" i="50"/>
  <c r="AJ20" i="50"/>
  <c r="AC16" i="51"/>
  <c r="AK33" i="50"/>
  <c r="AF32" i="51"/>
  <c r="AC41" i="51"/>
  <c r="AI22" i="50"/>
  <c r="AD102" i="51"/>
  <c r="AL23" i="50"/>
  <c r="AB51" i="51"/>
  <c r="AI85" i="50"/>
  <c r="AD32" i="51"/>
  <c r="AI48" i="50"/>
  <c r="AB104" i="51"/>
  <c r="AE27" i="51"/>
  <c r="AB79" i="51"/>
  <c r="AE59" i="51"/>
  <c r="AJ79" i="50"/>
  <c r="AH93" i="50"/>
  <c r="AJ92" i="50"/>
  <c r="AK81" i="47"/>
  <c r="AH91" i="50"/>
  <c r="AK64" i="47"/>
  <c r="AE73" i="51"/>
  <c r="AE21" i="51"/>
  <c r="AD57" i="51"/>
  <c r="AL71" i="50"/>
  <c r="AK71" i="50"/>
  <c r="AH43" i="50"/>
  <c r="AI25" i="50"/>
  <c r="AJ71" i="50"/>
  <c r="AK72" i="50"/>
  <c r="AC103" i="51"/>
  <c r="AF42" i="51"/>
  <c r="AL17" i="47"/>
  <c r="AL7" i="47"/>
  <c r="AJ53" i="50"/>
  <c r="AB21" i="51"/>
  <c r="AL24" i="47"/>
  <c r="AK96" i="50"/>
  <c r="AF60" i="51"/>
  <c r="AE50" i="51"/>
  <c r="AB75" i="51"/>
  <c r="AF72" i="51"/>
  <c r="AJ105" i="50"/>
  <c r="AJ98" i="50"/>
  <c r="AK34" i="47"/>
  <c r="AD62" i="51"/>
  <c r="AF57" i="51"/>
  <c r="AB50" i="51"/>
  <c r="AL22" i="50"/>
  <c r="AB92" i="51"/>
  <c r="AE17" i="51"/>
  <c r="AK98" i="50"/>
  <c r="AB33" i="51"/>
  <c r="AB71" i="51"/>
  <c r="AC60" i="51"/>
  <c r="AD16" i="51"/>
  <c r="AK67" i="50"/>
  <c r="AJ101" i="50"/>
  <c r="AF28" i="51"/>
  <c r="AC22" i="51"/>
  <c r="AL19" i="47"/>
  <c r="AE31" i="51"/>
  <c r="AL69" i="47"/>
  <c r="AI70" i="50"/>
  <c r="AD43" i="51"/>
  <c r="AC97" i="51"/>
  <c r="AL49" i="50"/>
  <c r="AB85" i="51"/>
  <c r="AD31" i="51"/>
  <c r="AK12" i="50"/>
  <c r="AC37" i="51"/>
  <c r="AH101" i="50"/>
  <c r="AB15" i="51"/>
  <c r="AK41" i="50"/>
  <c r="AC50" i="51"/>
  <c r="AB49" i="51"/>
  <c r="AD86" i="51"/>
  <c r="AK14" i="50"/>
  <c r="AH76" i="50"/>
  <c r="AK101" i="50"/>
  <c r="AC85" i="51"/>
  <c r="AE98" i="51"/>
  <c r="AB73" i="51"/>
  <c r="AF22" i="51"/>
  <c r="AF11" i="51"/>
  <c r="AE78" i="51"/>
  <c r="AB87" i="51"/>
  <c r="AK63" i="50"/>
  <c r="AC51" i="51"/>
  <c r="AI55" i="50"/>
  <c r="AL93" i="50"/>
  <c r="AK73" i="50"/>
  <c r="AI37" i="50"/>
  <c r="AK68" i="47"/>
  <c r="AK80" i="50"/>
  <c r="AH97" i="50"/>
  <c r="AL61" i="50"/>
  <c r="AH20" i="50"/>
  <c r="AC54" i="51"/>
  <c r="AD64" i="51"/>
  <c r="AI42" i="50"/>
  <c r="AL86" i="50"/>
  <c r="AH80" i="50"/>
  <c r="AC26" i="51"/>
  <c r="AI26" i="50"/>
  <c r="AK100" i="47"/>
  <c r="AJ36" i="50"/>
  <c r="AK7" i="47"/>
  <c r="AD34" i="51"/>
  <c r="AK90" i="50"/>
  <c r="AD49" i="51"/>
  <c r="AC46" i="51"/>
  <c r="AI74" i="50"/>
  <c r="AK92" i="47"/>
  <c r="AC93" i="51"/>
  <c r="AE97" i="51"/>
  <c r="AI40" i="50"/>
  <c r="AK64" i="50"/>
  <c r="AH92" i="50"/>
  <c r="AL13" i="50"/>
  <c r="AJ58" i="50"/>
  <c r="AI52" i="50"/>
  <c r="AI67" i="50"/>
  <c r="AC91" i="51"/>
  <c r="AD45" i="51"/>
  <c r="AH44" i="50"/>
  <c r="AI35" i="50"/>
  <c r="AD73" i="51"/>
  <c r="AL52" i="50"/>
  <c r="AH87" i="50"/>
  <c r="AB23" i="51"/>
  <c r="AJ99" i="50"/>
  <c r="AI73" i="50"/>
  <c r="AF100" i="51"/>
  <c r="AI38" i="50"/>
  <c r="AL27" i="47"/>
  <c r="AF70" i="51"/>
  <c r="AK22" i="50"/>
  <c r="AK67" i="47"/>
  <c r="AH78" i="50"/>
  <c r="AK55" i="50"/>
  <c r="AH86" i="50"/>
  <c r="AK36" i="47"/>
  <c r="AL15" i="50"/>
  <c r="AH38" i="50"/>
  <c r="AL60" i="47"/>
  <c r="AF59" i="51"/>
  <c r="AB12" i="51"/>
  <c r="AF68" i="51"/>
  <c r="AK91" i="47"/>
  <c r="AF86" i="51"/>
  <c r="AC90" i="51"/>
  <c r="AL42" i="50"/>
  <c r="AD85" i="51"/>
  <c r="AL57" i="47"/>
  <c r="AD39" i="51"/>
  <c r="AE18" i="51"/>
  <c r="AH28" i="50"/>
  <c r="AL17" i="50"/>
  <c r="AD68" i="51"/>
  <c r="AE89" i="51"/>
  <c r="AK74" i="50"/>
  <c r="AK93" i="47"/>
  <c r="AJ73" i="50"/>
  <c r="AH89" i="50"/>
  <c r="AK76" i="47"/>
  <c r="AD23" i="51"/>
  <c r="AH16" i="50"/>
  <c r="AL30" i="50"/>
  <c r="AF9" i="51"/>
  <c r="AD94" i="51"/>
  <c r="AK43" i="50"/>
  <c r="AC44" i="51"/>
  <c r="AD87" i="51"/>
  <c r="AH36" i="50"/>
  <c r="AF44" i="51"/>
  <c r="AK73" i="47"/>
  <c r="AL46" i="47"/>
  <c r="AL59" i="50"/>
  <c r="AK6" i="47"/>
  <c r="AK87" i="50"/>
  <c r="AJ48" i="50"/>
  <c r="AI7" i="50"/>
  <c r="AD54" i="51"/>
  <c r="AF97" i="51"/>
  <c r="AJ94" i="50"/>
  <c r="AK104" i="50"/>
  <c r="AI58" i="50"/>
  <c r="AK82" i="47"/>
  <c r="AI60" i="50"/>
  <c r="AK75" i="50"/>
  <c r="AK49" i="50"/>
  <c r="AH68" i="50"/>
  <c r="AD28" i="51"/>
  <c r="AK51" i="47"/>
  <c r="AH25" i="50"/>
  <c r="AH52" i="50"/>
  <c r="AF80" i="51"/>
  <c r="AJ102" i="50"/>
  <c r="AK78" i="47"/>
  <c r="AH99" i="50"/>
  <c r="AE71" i="51"/>
  <c r="AE63" i="51"/>
  <c r="AF5" i="51"/>
  <c r="AK88" i="47"/>
  <c r="AB57" i="51"/>
  <c r="AD100" i="51"/>
  <c r="AL44" i="50"/>
  <c r="AL70" i="50"/>
  <c r="AB96" i="51"/>
  <c r="AK10" i="47"/>
  <c r="AF78" i="51"/>
  <c r="AH104" i="50"/>
  <c r="AH90" i="50"/>
  <c r="AL22" i="47"/>
  <c r="AE64" i="51"/>
  <c r="AK21" i="47"/>
  <c r="AB102" i="51"/>
  <c r="AK9" i="50"/>
  <c r="AK103" i="47"/>
  <c r="AJ22" i="50"/>
  <c r="AL14" i="47"/>
  <c r="AL25" i="47"/>
  <c r="AL64" i="47"/>
  <c r="AF71" i="51"/>
  <c r="AE62" i="51"/>
  <c r="AL66" i="50"/>
  <c r="AC5" i="51"/>
  <c r="AE87" i="51"/>
  <c r="AE33" i="51"/>
  <c r="AF41" i="51"/>
  <c r="AJ13" i="50"/>
  <c r="AK76" i="50"/>
  <c r="AE6" i="51"/>
  <c r="AC29" i="51"/>
  <c r="AK54" i="50"/>
  <c r="AF24" i="51"/>
  <c r="AH24" i="50"/>
  <c r="AI97" i="50"/>
  <c r="AL51" i="50"/>
  <c r="AJ59" i="50"/>
  <c r="AC23" i="51"/>
  <c r="AD81" i="51"/>
  <c r="AL89" i="50"/>
  <c r="AL82" i="50"/>
  <c r="AK81" i="50"/>
  <c r="AL10" i="50"/>
  <c r="AH42" i="50"/>
  <c r="AK24" i="50"/>
  <c r="AL65" i="50"/>
  <c r="AJ62" i="50"/>
  <c r="AI96" i="50"/>
  <c r="AD12" i="51"/>
  <c r="AF47" i="51"/>
  <c r="AK57" i="50"/>
  <c r="AF43" i="51"/>
  <c r="AE47" i="51"/>
  <c r="AC79" i="51"/>
  <c r="AI105" i="50"/>
  <c r="AC100" i="51"/>
  <c r="AC65" i="51"/>
  <c r="AE30" i="51"/>
  <c r="AK57" i="47"/>
  <c r="AH40" i="50"/>
  <c r="AC49" i="51"/>
  <c r="AC34" i="51"/>
  <c r="AF34" i="51"/>
  <c r="AF36" i="51"/>
  <c r="AI86" i="50"/>
  <c r="AK62" i="47"/>
  <c r="AB84" i="51"/>
  <c r="AF45" i="51"/>
  <c r="AL59" i="47"/>
  <c r="AC45" i="51"/>
  <c r="AJ90" i="50"/>
  <c r="AF83" i="51"/>
  <c r="AE84" i="51"/>
  <c r="AF77" i="51"/>
  <c r="AJ18" i="50"/>
  <c r="AK66" i="50"/>
  <c r="AE9" i="51"/>
  <c r="AL28" i="50"/>
  <c r="AK88" i="50"/>
  <c r="AH12" i="50"/>
  <c r="AF29" i="51"/>
  <c r="AB22" i="51"/>
  <c r="AL104" i="50"/>
  <c r="AC25" i="51"/>
  <c r="AK91" i="50"/>
  <c r="AF79" i="51"/>
  <c r="AJ49" i="50"/>
  <c r="AE52" i="51"/>
  <c r="AD36" i="51"/>
  <c r="AE22" i="51"/>
  <c r="AC53" i="51"/>
  <c r="AC86" i="51"/>
  <c r="AD104" i="51"/>
  <c r="AI69" i="50"/>
  <c r="AL20" i="50"/>
  <c r="AC19" i="51"/>
  <c r="AL95" i="50"/>
  <c r="AE29" i="51"/>
  <c r="AD29" i="51"/>
  <c r="AK54" i="47"/>
  <c r="AE54" i="51"/>
  <c r="AK70" i="47"/>
  <c r="AF92" i="51"/>
  <c r="AC69" i="51"/>
  <c r="AI104" i="50"/>
  <c r="AK89" i="47"/>
  <c r="AC88" i="51"/>
  <c r="AK66" i="47"/>
  <c r="AF52" i="51"/>
  <c r="AH31" i="50"/>
  <c r="AI9" i="50"/>
  <c r="AJ76" i="50"/>
  <c r="AL67" i="50"/>
  <c r="AF76" i="51"/>
  <c r="AD9" i="51"/>
  <c r="AL50" i="50"/>
  <c r="AF21" i="51"/>
  <c r="AK61" i="50"/>
  <c r="AK50" i="47"/>
  <c r="AC98" i="51"/>
  <c r="AF89" i="51"/>
  <c r="AK16" i="47"/>
  <c r="AJ44" i="50"/>
  <c r="AD13" i="51"/>
  <c r="AE23" i="51"/>
  <c r="AB53" i="51"/>
  <c r="AJ104" i="50"/>
  <c r="AI47" i="50"/>
  <c r="AF104" i="51"/>
  <c r="AI92" i="50"/>
  <c r="AI50" i="50"/>
  <c r="AF91" i="51"/>
  <c r="AD53" i="51"/>
  <c r="AJ57" i="50"/>
  <c r="AF54" i="51"/>
  <c r="AL91" i="50"/>
  <c r="AB62" i="51"/>
  <c r="AL24" i="50"/>
  <c r="AH85" i="50"/>
  <c r="AK37" i="50"/>
  <c r="AL11" i="47"/>
  <c r="AB35" i="51"/>
  <c r="AF37" i="51"/>
  <c r="AK82" i="50"/>
  <c r="AF61" i="51"/>
  <c r="AL37" i="47"/>
  <c r="AE58" i="51"/>
  <c r="AF17" i="51"/>
  <c r="AK4" i="47"/>
  <c r="AL18" i="50"/>
  <c r="AJ56" i="50"/>
  <c r="AK26" i="47"/>
  <c r="AF73" i="51"/>
  <c r="AH66" i="50"/>
  <c r="AI34" i="50"/>
  <c r="AL63" i="47"/>
  <c r="AH84" i="50"/>
  <c r="AE96" i="51"/>
  <c r="AK48" i="50"/>
  <c r="AH82" i="50"/>
  <c r="AH65" i="50"/>
  <c r="AK29" i="50"/>
  <c r="AK93" i="50"/>
  <c r="AD25" i="51"/>
  <c r="AC7" i="51"/>
  <c r="AJ106" i="50"/>
  <c r="AD90" i="51"/>
  <c r="AC102" i="51"/>
  <c r="AJ69" i="50"/>
  <c r="AE16" i="51"/>
  <c r="AD41" i="51"/>
  <c r="AK15" i="47"/>
  <c r="AK95" i="50"/>
  <c r="AB91" i="51"/>
  <c r="AL62" i="47"/>
  <c r="AK33" i="47"/>
  <c r="AK27" i="47"/>
  <c r="AC11" i="51"/>
  <c r="AL5" i="47"/>
  <c r="AB68" i="51"/>
  <c r="AI90" i="50"/>
  <c r="AH79" i="50"/>
  <c r="AK102" i="47"/>
  <c r="AF35" i="51"/>
  <c r="AL26" i="47"/>
  <c r="AE13" i="51"/>
  <c r="AB83" i="51"/>
  <c r="AD17" i="51"/>
  <c r="AJ10" i="50"/>
  <c r="AC9" i="51"/>
  <c r="AK44" i="50"/>
  <c r="AK95" i="47"/>
  <c r="AJ41" i="50"/>
  <c r="AL40" i="50"/>
  <c r="AK25" i="47"/>
  <c r="AJ96" i="50"/>
  <c r="AJ46" i="50"/>
  <c r="AE67" i="51"/>
  <c r="AL40" i="47"/>
  <c r="AC66" i="51"/>
  <c r="AB67" i="51"/>
  <c r="AD84" i="51"/>
  <c r="AJ30" i="50"/>
  <c r="AB46" i="51"/>
  <c r="AL36" i="50"/>
  <c r="AK69" i="50"/>
  <c r="AI82" i="50"/>
  <c r="AE40" i="51"/>
  <c r="AK100" i="50"/>
  <c r="AJ82" i="50"/>
  <c r="AL43" i="47"/>
  <c r="AL14" i="50"/>
  <c r="AK99" i="50"/>
  <c r="AL29" i="47"/>
  <c r="AL103" i="50"/>
  <c r="AL26" i="50"/>
  <c r="AH41" i="50"/>
  <c r="AK75" i="47"/>
  <c r="AL55" i="50"/>
  <c r="AK46" i="47"/>
  <c r="AI12" i="50"/>
  <c r="AL12" i="50"/>
  <c r="AB82" i="51"/>
  <c r="AJ78" i="50"/>
  <c r="AF69" i="51"/>
  <c r="AK37" i="47"/>
  <c r="AI79" i="50"/>
  <c r="AD92" i="51"/>
  <c r="AJ28" i="50"/>
  <c r="AD14" i="51"/>
  <c r="AL94" i="50"/>
  <c r="AC42" i="51"/>
  <c r="AD74" i="51"/>
  <c r="AL61" i="47"/>
  <c r="AF18" i="51"/>
  <c r="AI28" i="50"/>
  <c r="AC28" i="51"/>
  <c r="AC82" i="51"/>
  <c r="AC17" i="51"/>
  <c r="AF50" i="51"/>
  <c r="AB14" i="51"/>
  <c r="AF12" i="51"/>
  <c r="AC95" i="51"/>
  <c r="AK53" i="47"/>
  <c r="AL69" i="50"/>
  <c r="AE41" i="51"/>
  <c r="AH11" i="50"/>
  <c r="AF67" i="51"/>
  <c r="AK58" i="47"/>
  <c r="AH48" i="50"/>
  <c r="AB5" i="51"/>
  <c r="AH29" i="50"/>
  <c r="AE55" i="51"/>
  <c r="AC76" i="51"/>
  <c r="AJ77" i="50"/>
  <c r="AL76" i="50"/>
  <c r="AL45" i="47"/>
  <c r="AL32" i="47"/>
  <c r="AJ80" i="50"/>
  <c r="AB60" i="51"/>
  <c r="AB43" i="51"/>
  <c r="AF26" i="51"/>
  <c r="AJ83" i="50"/>
  <c r="AI30" i="50"/>
  <c r="AD66" i="51"/>
  <c r="AH23" i="50"/>
  <c r="AK77" i="47"/>
  <c r="AE100" i="51"/>
  <c r="AB9" i="51"/>
  <c r="AL47" i="50"/>
  <c r="O109" i="96"/>
  <c r="O122" i="96"/>
  <c r="D83" i="97"/>
  <c r="O99" i="96"/>
  <c r="D97" i="97"/>
  <c r="O44" i="96"/>
  <c r="D121" i="97"/>
  <c r="O70" i="96"/>
  <c r="O107" i="96"/>
  <c r="O20" i="96"/>
  <c r="O31" i="96"/>
  <c r="O52" i="96"/>
  <c r="D25" i="97"/>
  <c r="D106" i="97"/>
  <c r="O83" i="96"/>
  <c r="O121" i="96"/>
  <c r="D71" i="97"/>
  <c r="O69" i="96"/>
  <c r="D104" i="97"/>
  <c r="D128" i="97"/>
  <c r="O45" i="96"/>
  <c r="O97" i="96"/>
  <c r="O19" i="96"/>
  <c r="O27" i="96"/>
  <c r="D22" i="97"/>
  <c r="D73" i="97"/>
  <c r="O72" i="96"/>
  <c r="O80" i="96"/>
  <c r="D20" i="97"/>
  <c r="D132" i="97"/>
  <c r="O103" i="96"/>
  <c r="D44" i="97"/>
  <c r="O126" i="96"/>
  <c r="O102" i="96"/>
  <c r="O124" i="96"/>
  <c r="D57" i="97"/>
  <c r="D96" i="97"/>
  <c r="O136" i="96"/>
  <c r="D126" i="97"/>
  <c r="O104" i="96"/>
  <c r="D102" i="97"/>
  <c r="D107" i="97"/>
  <c r="O135" i="96"/>
  <c r="O105" i="96"/>
  <c r="D31" i="97"/>
  <c r="D105" i="97"/>
  <c r="O17" i="96"/>
  <c r="O125" i="96"/>
  <c r="D77" i="97"/>
  <c r="D70" i="97"/>
  <c r="D76" i="97"/>
  <c r="O25" i="96"/>
  <c r="D84" i="97"/>
  <c r="D134" i="97"/>
  <c r="O101" i="96"/>
  <c r="D55" i="97"/>
  <c r="D53" i="97"/>
  <c r="O81" i="96"/>
  <c r="D48" i="97"/>
  <c r="D28" i="97"/>
  <c r="O53" i="96"/>
  <c r="D122" i="97"/>
  <c r="D17" i="97"/>
  <c r="D98" i="97"/>
  <c r="O132" i="96"/>
  <c r="O47" i="96"/>
  <c r="O128" i="96"/>
  <c r="D72" i="97"/>
  <c r="O57" i="96"/>
  <c r="O74" i="96"/>
  <c r="D24" i="97"/>
  <c r="O24" i="96"/>
  <c r="D108" i="97"/>
  <c r="O23" i="96"/>
  <c r="D133" i="97"/>
  <c r="D99" i="97"/>
  <c r="D69" i="97"/>
  <c r="O106" i="96"/>
  <c r="D103" i="97"/>
  <c r="D46" i="97"/>
  <c r="D49" i="97"/>
  <c r="D50" i="97"/>
  <c r="D95" i="97"/>
  <c r="O56" i="96"/>
  <c r="D74" i="97"/>
  <c r="D82" i="97"/>
  <c r="D129" i="97"/>
  <c r="O133" i="96"/>
  <c r="O30" i="96"/>
  <c r="D124" i="97"/>
  <c r="D56" i="97"/>
  <c r="D135" i="97"/>
  <c r="O77" i="96"/>
  <c r="D131" i="97"/>
  <c r="D45" i="97"/>
  <c r="O32" i="96"/>
  <c r="O76" i="96"/>
  <c r="D136" i="97"/>
  <c r="O100" i="96"/>
  <c r="D79" i="97"/>
  <c r="O71" i="96"/>
  <c r="O21" i="96"/>
  <c r="O73" i="96"/>
  <c r="O55" i="96"/>
  <c r="D51" i="97"/>
  <c r="O123" i="96"/>
  <c r="D81" i="97"/>
  <c r="D32" i="97"/>
  <c r="O129" i="96"/>
  <c r="O95" i="96"/>
  <c r="O108" i="96"/>
  <c r="D47" i="97"/>
  <c r="O58" i="96"/>
  <c r="O51" i="96"/>
  <c r="D100" i="97"/>
  <c r="D26" i="97"/>
  <c r="D125" i="97"/>
  <c r="D127" i="97"/>
  <c r="O98" i="96"/>
  <c r="O54" i="96"/>
  <c r="D43" i="97"/>
  <c r="O79" i="96"/>
  <c r="O26" i="96"/>
  <c r="D21" i="97"/>
  <c r="D80" i="97"/>
  <c r="D19" i="97"/>
  <c r="O48" i="96"/>
  <c r="O134" i="96"/>
  <c r="O18" i="96"/>
  <c r="O49" i="96"/>
  <c r="D23" i="97"/>
  <c r="D30" i="97"/>
  <c r="O78" i="96"/>
  <c r="D58" i="97"/>
  <c r="O127" i="96"/>
  <c r="D54" i="97"/>
  <c r="O29" i="96"/>
  <c r="D110" i="97"/>
  <c r="O22" i="96"/>
  <c r="O110" i="96"/>
  <c r="O84" i="96"/>
  <c r="D130" i="97"/>
  <c r="O96" i="96"/>
  <c r="D52" i="97"/>
  <c r="D27" i="97"/>
  <c r="O130" i="96"/>
  <c r="O82" i="96"/>
  <c r="D78" i="97"/>
  <c r="D75" i="97"/>
  <c r="O28" i="96"/>
  <c r="D123" i="97"/>
  <c r="D101" i="97"/>
  <c r="O46" i="96"/>
  <c r="O75" i="96"/>
  <c r="O50" i="96"/>
  <c r="O131" i="96"/>
  <c r="D29" i="97"/>
  <c r="D18" i="97"/>
  <c r="D109" i="97"/>
  <c r="O43" i="96"/>
  <c r="BD142" i="96" l="1"/>
  <c r="BD143" i="96" s="1"/>
  <c r="BD144" i="96" s="1"/>
  <c r="BD145" i="96" s="1"/>
  <c r="BE147" i="96"/>
  <c r="H54" i="97"/>
  <c r="I121" i="97"/>
  <c r="I52" i="97"/>
  <c r="I134" i="97"/>
  <c r="I49" i="97"/>
  <c r="I75" i="97"/>
  <c r="I98" i="97"/>
  <c r="I124" i="97"/>
  <c r="I58" i="97"/>
  <c r="I111" i="97"/>
  <c r="I74" i="97"/>
  <c r="I20" i="97"/>
  <c r="I123" i="97"/>
  <c r="I27" i="97"/>
  <c r="I54" i="97"/>
  <c r="I106" i="97"/>
  <c r="H59" i="97"/>
  <c r="H80" i="97"/>
  <c r="H132" i="97"/>
  <c r="H46" i="97"/>
  <c r="H112" i="97"/>
  <c r="H121" i="97"/>
  <c r="H30" i="97"/>
  <c r="H134" i="97"/>
  <c r="H125" i="97"/>
  <c r="H109" i="97"/>
  <c r="H137" i="97"/>
  <c r="H25" i="97"/>
  <c r="H85" i="97"/>
  <c r="H49" i="97"/>
  <c r="H138" i="97"/>
  <c r="H21" i="97"/>
  <c r="H18" i="97"/>
  <c r="H56" i="97"/>
  <c r="H32" i="97"/>
  <c r="H124" i="97"/>
  <c r="H58" i="97"/>
  <c r="H23" i="97"/>
  <c r="H111" i="97"/>
  <c r="H74" i="97"/>
  <c r="H100" i="97"/>
  <c r="H20" i="97"/>
  <c r="H123" i="97"/>
  <c r="H31" i="97"/>
  <c r="H108" i="97"/>
  <c r="H98" i="97"/>
  <c r="H103" i="97"/>
  <c r="H76" i="97"/>
  <c r="H105" i="97"/>
  <c r="H127" i="97"/>
  <c r="H73" i="97"/>
  <c r="H70" i="97"/>
  <c r="H77" i="97"/>
  <c r="H27" i="97"/>
  <c r="H106" i="97"/>
  <c r="W58" i="50"/>
  <c r="X58" i="50" s="1"/>
  <c r="W72" i="50"/>
  <c r="X72" i="50" s="1"/>
  <c r="W73" i="50"/>
  <c r="W74" i="50"/>
  <c r="W75" i="50"/>
  <c r="W47" i="50"/>
  <c r="X48" i="50" s="1"/>
  <c r="W76" i="50"/>
  <c r="W66" i="50"/>
  <c r="X67" i="50" s="1"/>
  <c r="W36" i="50"/>
  <c r="X36" i="50" s="1"/>
  <c r="AE34" i="50"/>
  <c r="AD80" i="50"/>
  <c r="AC34" i="50"/>
  <c r="AC33" i="50"/>
  <c r="AE68" i="50"/>
  <c r="AE29" i="50"/>
  <c r="AE79" i="50"/>
  <c r="AE50" i="50"/>
  <c r="AE33" i="50"/>
  <c r="AB10" i="50"/>
  <c r="AE10" i="50" s="1"/>
  <c r="AD68" i="50"/>
  <c r="AC52" i="50"/>
  <c r="AA49" i="50"/>
  <c r="AA53" i="50"/>
  <c r="Z49" i="50"/>
  <c r="AE49" i="50" s="1"/>
  <c r="AE9" i="50"/>
  <c r="AE38" i="50"/>
  <c r="Z52" i="50"/>
  <c r="Z54" i="50"/>
  <c r="AE54" i="50" s="1"/>
  <c r="AH7" i="47"/>
  <c r="AE11" i="50"/>
  <c r="AE46" i="50"/>
  <c r="AE75" i="50"/>
  <c r="AE12" i="50"/>
  <c r="AE72" i="50"/>
  <c r="AE64" i="50"/>
  <c r="AA52" i="50"/>
  <c r="AB48" i="50"/>
  <c r="AE48" i="50" s="1"/>
  <c r="AE51" i="50"/>
  <c r="AE76" i="50"/>
  <c r="AE61" i="50"/>
  <c r="AC53" i="50"/>
  <c r="AB54" i="50"/>
  <c r="AE44" i="50"/>
  <c r="AE19" i="50"/>
  <c r="AB52" i="50"/>
  <c r="AE18" i="50"/>
  <c r="AE80" i="50"/>
  <c r="AE63" i="50"/>
  <c r="Z53" i="50"/>
  <c r="AE78" i="50"/>
  <c r="AE15" i="50"/>
  <c r="AB28" i="50"/>
  <c r="AE28" i="50" s="1"/>
  <c r="AD53" i="50"/>
  <c r="AE53" i="50" s="1"/>
  <c r="AC31" i="50"/>
  <c r="AE31" i="50" s="1"/>
  <c r="AE58" i="50"/>
  <c r="AE39" i="50"/>
  <c r="AC13" i="50"/>
  <c r="AE13" i="50" s="1"/>
  <c r="AC62" i="50"/>
  <c r="AE62" i="50" s="1"/>
  <c r="AD67" i="50"/>
  <c r="AE67" i="50" s="1"/>
  <c r="R10" i="51"/>
  <c r="W8" i="50"/>
  <c r="X8" i="50" s="1"/>
  <c r="W10" i="50"/>
  <c r="X11" i="50" s="1"/>
  <c r="W77" i="50"/>
  <c r="W64" i="50"/>
  <c r="W17" i="50"/>
  <c r="W16" i="50"/>
  <c r="W15" i="50"/>
  <c r="X15" i="50" s="1"/>
  <c r="X14" i="50"/>
  <c r="W35" i="50"/>
  <c r="X35" i="50" s="1"/>
  <c r="X50" i="50"/>
  <c r="X68" i="50"/>
  <c r="X12" i="50"/>
  <c r="X54" i="50"/>
  <c r="X20" i="50"/>
  <c r="X62" i="50"/>
  <c r="X43" i="50"/>
  <c r="X44" i="50"/>
  <c r="R8" i="51"/>
  <c r="W29" i="50"/>
  <c r="X29" i="50" s="1"/>
  <c r="X61" i="50"/>
  <c r="W9" i="50"/>
  <c r="R14" i="51"/>
  <c r="W18" i="50"/>
  <c r="AM35" i="47"/>
  <c r="AM71" i="47"/>
  <c r="AM31" i="47"/>
  <c r="AM12" i="47"/>
  <c r="AM59" i="47"/>
  <c r="AM103" i="47"/>
  <c r="AM89" i="47"/>
  <c r="AM77" i="47"/>
  <c r="AM60" i="47"/>
  <c r="AM98" i="47"/>
  <c r="AM80" i="47"/>
  <c r="AM8" i="47"/>
  <c r="AM14" i="47"/>
  <c r="AM5" i="47"/>
  <c r="AM67" i="47"/>
  <c r="AM52" i="47"/>
  <c r="AM36" i="47"/>
  <c r="AM78" i="47"/>
  <c r="AM95" i="47"/>
  <c r="AM85" i="47"/>
  <c r="AM10" i="47"/>
  <c r="AM30" i="47"/>
  <c r="AM73" i="47"/>
  <c r="AM9" i="47"/>
  <c r="AM39" i="47"/>
  <c r="AM79" i="47"/>
  <c r="AM43" i="47"/>
  <c r="AM18" i="47"/>
  <c r="AM66" i="47"/>
  <c r="AM20" i="47"/>
  <c r="AM94" i="47"/>
  <c r="AM44" i="47"/>
  <c r="AM54" i="47"/>
  <c r="AM19" i="47"/>
  <c r="AM90" i="47"/>
  <c r="AM74" i="47"/>
  <c r="AM62" i="47"/>
  <c r="AM47" i="47"/>
  <c r="AM50" i="47"/>
  <c r="AM42" i="47"/>
  <c r="AM41" i="47"/>
  <c r="AM22" i="47"/>
  <c r="AM87" i="47"/>
  <c r="AM51" i="47"/>
  <c r="AM21" i="47"/>
  <c r="AM29" i="47"/>
  <c r="AM28" i="47"/>
  <c r="AM102" i="47"/>
  <c r="AM82" i="47"/>
  <c r="AM75" i="47"/>
  <c r="AM91" i="47"/>
  <c r="AM69" i="47"/>
  <c r="AM86" i="47"/>
  <c r="AM40" i="47"/>
  <c r="AM27" i="47"/>
  <c r="AM49" i="47"/>
  <c r="AM81" i="47"/>
  <c r="AM100" i="47"/>
  <c r="AM6" i="47"/>
  <c r="AM34" i="47"/>
  <c r="AM88" i="47"/>
  <c r="AM63" i="47"/>
  <c r="AM101" i="47"/>
  <c r="AM84" i="47"/>
  <c r="AM96" i="47"/>
  <c r="AM64" i="47"/>
  <c r="AM15" i="47"/>
  <c r="AM97" i="47"/>
  <c r="AM45" i="47"/>
  <c r="AM72" i="47"/>
  <c r="AM46" i="47"/>
  <c r="AM7" i="47"/>
  <c r="AM25" i="47"/>
  <c r="AM70" i="47"/>
  <c r="AM93" i="47"/>
  <c r="AM56" i="47"/>
  <c r="AM53" i="47"/>
  <c r="AM83" i="47"/>
  <c r="AM48" i="47"/>
  <c r="AM16" i="47"/>
  <c r="AM92" i="47"/>
  <c r="AM99" i="47"/>
  <c r="AM55" i="47"/>
  <c r="AM76" i="47"/>
  <c r="AM32" i="47"/>
  <c r="AM4" i="47"/>
  <c r="AM11" i="47"/>
  <c r="AM24" i="47"/>
  <c r="AM38" i="47"/>
  <c r="AM65" i="47"/>
  <c r="AM37" i="47"/>
  <c r="AM23" i="47"/>
  <c r="AM57" i="47"/>
  <c r="AM13" i="47"/>
  <c r="AM33" i="47"/>
  <c r="AM61" i="47"/>
  <c r="AM26" i="47"/>
  <c r="AM17" i="47"/>
  <c r="AM58" i="47"/>
  <c r="AM68" i="47"/>
  <c r="X63" i="50"/>
  <c r="X45" i="50"/>
  <c r="X60" i="50"/>
  <c r="X80" i="50"/>
  <c r="X79" i="50"/>
  <c r="X53" i="50"/>
  <c r="X52" i="50"/>
  <c r="X49" i="50"/>
  <c r="X51" i="50"/>
  <c r="X13" i="50"/>
  <c r="X46" i="50"/>
  <c r="AF127" i="96"/>
  <c r="AF103" i="96"/>
  <c r="AG134" i="96"/>
  <c r="AF80" i="96"/>
  <c r="AF32" i="96"/>
  <c r="AF85" i="96"/>
  <c r="AF105" i="96"/>
  <c r="AF46" i="96"/>
  <c r="AG121" i="96"/>
  <c r="AF125" i="96"/>
  <c r="AF77" i="96"/>
  <c r="AF108" i="96"/>
  <c r="AG106" i="96"/>
  <c r="AG49" i="96"/>
  <c r="AG111" i="96"/>
  <c r="AF31" i="96"/>
  <c r="AF132" i="96"/>
  <c r="AG123" i="96"/>
  <c r="AG54" i="96"/>
  <c r="S54" i="99"/>
  <c r="AF54" i="96"/>
  <c r="AF76" i="96"/>
  <c r="AF27" i="96"/>
  <c r="AF49" i="96"/>
  <c r="AG58" i="96"/>
  <c r="AG124" i="96"/>
  <c r="R46" i="99"/>
  <c r="AF123" i="96"/>
  <c r="AF109" i="96"/>
  <c r="AF134" i="96"/>
  <c r="S124" i="99"/>
  <c r="AF98" i="96"/>
  <c r="AG27" i="96"/>
  <c r="S121" i="99"/>
  <c r="AF137" i="96"/>
  <c r="AF112" i="96"/>
  <c r="AF23" i="96"/>
  <c r="AF70" i="96"/>
  <c r="S27" i="99"/>
  <c r="AF30" i="96"/>
  <c r="AG20" i="96"/>
  <c r="AF100" i="96"/>
  <c r="AF106" i="96"/>
  <c r="AF58" i="96"/>
  <c r="AF18" i="96"/>
  <c r="AF59" i="96"/>
  <c r="AF124" i="96"/>
  <c r="AF73" i="96"/>
  <c r="AF21" i="96"/>
  <c r="AG98" i="96"/>
  <c r="AF20" i="96"/>
  <c r="AF111" i="96"/>
  <c r="AF121" i="96"/>
  <c r="AF56" i="96"/>
  <c r="AG74" i="96"/>
  <c r="R112" i="99"/>
  <c r="AG75" i="96"/>
  <c r="AF25" i="96"/>
  <c r="R25" i="99" s="1"/>
  <c r="AF138" i="96"/>
  <c r="AG52" i="96"/>
  <c r="AF74" i="96"/>
  <c r="X123" i="97" l="1"/>
  <c r="W123" i="97" s="1"/>
  <c r="V123" i="97" s="1"/>
  <c r="U123" i="97" s="1"/>
  <c r="BE148" i="96"/>
  <c r="BD146" i="96"/>
  <c r="H26" i="97"/>
  <c r="H79" i="97"/>
  <c r="H96" i="97"/>
  <c r="H17" i="97"/>
  <c r="H129" i="97"/>
  <c r="H102" i="97"/>
  <c r="H84" i="97"/>
  <c r="H57" i="97"/>
  <c r="H28" i="97"/>
  <c r="H78" i="97"/>
  <c r="H107" i="97"/>
  <c r="H128" i="97"/>
  <c r="H104" i="97"/>
  <c r="H83" i="97"/>
  <c r="H101" i="97"/>
  <c r="H53" i="97"/>
  <c r="H135" i="97"/>
  <c r="H95" i="97"/>
  <c r="H131" i="97"/>
  <c r="H110" i="97"/>
  <c r="I125" i="97"/>
  <c r="H22" i="97"/>
  <c r="H99" i="97"/>
  <c r="H69" i="97"/>
  <c r="H52" i="97"/>
  <c r="H45" i="97"/>
  <c r="H19" i="97"/>
  <c r="H126" i="97"/>
  <c r="H71" i="97"/>
  <c r="H122" i="97"/>
  <c r="H130" i="97"/>
  <c r="H43" i="97"/>
  <c r="I100" i="97"/>
  <c r="H133" i="97"/>
  <c r="H136" i="97"/>
  <c r="H75" i="97"/>
  <c r="H81" i="97"/>
  <c r="I31" i="97"/>
  <c r="H50" i="97"/>
  <c r="H82" i="97"/>
  <c r="H44" i="97"/>
  <c r="H24" i="97"/>
  <c r="H97" i="97"/>
  <c r="H47" i="97"/>
  <c r="H72" i="97"/>
  <c r="H55" i="97"/>
  <c r="H48" i="97"/>
  <c r="H51" i="97"/>
  <c r="H29" i="97"/>
  <c r="M77" i="97"/>
  <c r="M46" i="97"/>
  <c r="M56" i="97"/>
  <c r="M137" i="97"/>
  <c r="M103" i="97"/>
  <c r="N58" i="97"/>
  <c r="X58" i="97" s="1"/>
  <c r="W58" i="97" s="1"/>
  <c r="V58" i="97" s="1"/>
  <c r="U58" i="97" s="1"/>
  <c r="M121" i="97"/>
  <c r="N123" i="97"/>
  <c r="M112" i="97"/>
  <c r="M132" i="97"/>
  <c r="M58" i="97"/>
  <c r="M80" i="97"/>
  <c r="M70" i="97"/>
  <c r="M100" i="97"/>
  <c r="N106" i="97"/>
  <c r="X106" i="97" s="1"/>
  <c r="W106" i="97" s="1"/>
  <c r="V106" i="97" s="1"/>
  <c r="U106" i="97" s="1"/>
  <c r="N75" i="97"/>
  <c r="X75" i="97" s="1"/>
  <c r="N54" i="97"/>
  <c r="X54" i="97" s="1"/>
  <c r="W54" i="97" s="1"/>
  <c r="V54" i="97" s="1"/>
  <c r="U54" i="97" s="1"/>
  <c r="M59" i="97"/>
  <c r="N124" i="97"/>
  <c r="X124" i="97" s="1"/>
  <c r="W124" i="97" s="1"/>
  <c r="V124" i="97" s="1"/>
  <c r="U124" i="97" s="1"/>
  <c r="M108" i="97"/>
  <c r="M125" i="97"/>
  <c r="M134" i="97"/>
  <c r="M106" i="97"/>
  <c r="N98" i="97"/>
  <c r="X98" i="97" s="1"/>
  <c r="W98" i="97" s="1"/>
  <c r="V98" i="97" s="1"/>
  <c r="U98" i="97" s="1"/>
  <c r="M105" i="97"/>
  <c r="N74" i="97"/>
  <c r="X74" i="97" s="1"/>
  <c r="W74" i="97" s="1"/>
  <c r="V74" i="97" s="1"/>
  <c r="U74" i="97" s="1"/>
  <c r="N121" i="97"/>
  <c r="AC121" i="97" s="1"/>
  <c r="N52" i="97"/>
  <c r="X52" i="97" s="1"/>
  <c r="M74" i="97"/>
  <c r="M111" i="97"/>
  <c r="M76" i="97"/>
  <c r="N134" i="97"/>
  <c r="X134" i="97" s="1"/>
  <c r="W134" i="97" s="1"/>
  <c r="V134" i="97" s="1"/>
  <c r="U134" i="97" s="1"/>
  <c r="M138" i="97"/>
  <c r="M49" i="97"/>
  <c r="M98" i="97"/>
  <c r="M124" i="97"/>
  <c r="M85" i="97"/>
  <c r="M73" i="97"/>
  <c r="M123" i="97"/>
  <c r="N111" i="97"/>
  <c r="X111" i="97" s="1"/>
  <c r="W111" i="97" s="1"/>
  <c r="V111" i="97" s="1"/>
  <c r="U111" i="97" s="1"/>
  <c r="M54" i="97"/>
  <c r="M127" i="97"/>
  <c r="M109" i="97"/>
  <c r="N49" i="97"/>
  <c r="X49" i="97" s="1"/>
  <c r="W49" i="97" s="1"/>
  <c r="V49" i="97" s="1"/>
  <c r="U49" i="97" s="1"/>
  <c r="M27" i="97"/>
  <c r="M25" i="97"/>
  <c r="M23" i="97"/>
  <c r="N20" i="97"/>
  <c r="X20" i="97" s="1"/>
  <c r="W20" i="97" s="1"/>
  <c r="V20" i="97" s="1"/>
  <c r="U20" i="97" s="1"/>
  <c r="M18" i="97"/>
  <c r="M21" i="97"/>
  <c r="M30" i="97"/>
  <c r="M20" i="97"/>
  <c r="M31" i="97"/>
  <c r="N27" i="97"/>
  <c r="X27" i="97" s="1"/>
  <c r="W27" i="97" s="1"/>
  <c r="V27" i="97" s="1"/>
  <c r="U27" i="97" s="1"/>
  <c r="M32" i="97"/>
  <c r="I33" i="97"/>
  <c r="I28" i="97"/>
  <c r="I59" i="97"/>
  <c r="I23" i="97"/>
  <c r="I77" i="97"/>
  <c r="I32" i="97"/>
  <c r="I95" i="97"/>
  <c r="I130" i="97"/>
  <c r="I50" i="97"/>
  <c r="I78" i="97"/>
  <c r="I129" i="97"/>
  <c r="I57" i="97"/>
  <c r="I122" i="97"/>
  <c r="I126" i="97"/>
  <c r="I19" i="97"/>
  <c r="I30" i="97"/>
  <c r="I76" i="97"/>
  <c r="I70" i="97"/>
  <c r="I110" i="97"/>
  <c r="I128" i="97"/>
  <c r="I47" i="97"/>
  <c r="I136" i="97"/>
  <c r="I85" i="97"/>
  <c r="I43" i="97"/>
  <c r="I82" i="97"/>
  <c r="I138" i="97"/>
  <c r="I79" i="97"/>
  <c r="I73" i="97"/>
  <c r="I21" i="97"/>
  <c r="I24" i="97"/>
  <c r="I29" i="97"/>
  <c r="I131" i="97"/>
  <c r="I104" i="97"/>
  <c r="I55" i="97"/>
  <c r="I96" i="97"/>
  <c r="I26" i="97"/>
  <c r="I108" i="97"/>
  <c r="I102" i="97"/>
  <c r="I44" i="97"/>
  <c r="I99" i="97"/>
  <c r="I105" i="97"/>
  <c r="I112" i="97"/>
  <c r="I56" i="97"/>
  <c r="I132" i="97"/>
  <c r="I127" i="97"/>
  <c r="I103" i="97"/>
  <c r="I51" i="97"/>
  <c r="I101" i="97"/>
  <c r="I72" i="97"/>
  <c r="I18" i="97"/>
  <c r="I53" i="97"/>
  <c r="I46" i="97"/>
  <c r="I135" i="97"/>
  <c r="I80" i="97"/>
  <c r="I81" i="97"/>
  <c r="I97" i="97"/>
  <c r="I109" i="97"/>
  <c r="I83" i="97"/>
  <c r="I45" i="97"/>
  <c r="I71" i="97"/>
  <c r="I48" i="97"/>
  <c r="I69" i="97"/>
  <c r="I84" i="97"/>
  <c r="I17" i="97"/>
  <c r="I133" i="97"/>
  <c r="I107" i="97"/>
  <c r="I22" i="97"/>
  <c r="I137" i="97"/>
  <c r="I25" i="97"/>
  <c r="X76" i="50"/>
  <c r="X75" i="50"/>
  <c r="X77" i="50"/>
  <c r="X47" i="50"/>
  <c r="X73" i="50"/>
  <c r="X59" i="50"/>
  <c r="X66" i="50"/>
  <c r="X74" i="50"/>
  <c r="X78" i="50"/>
  <c r="AE52" i="50"/>
  <c r="X65" i="50"/>
  <c r="X64" i="50"/>
  <c r="X17" i="50"/>
  <c r="X18" i="50"/>
  <c r="X9" i="50"/>
  <c r="X10" i="50"/>
  <c r="X16" i="50"/>
  <c r="X19" i="50"/>
  <c r="R74" i="99"/>
  <c r="R23" i="99"/>
  <c r="AG45" i="96"/>
  <c r="R106" i="99"/>
  <c r="AF131" i="96"/>
  <c r="AF129" i="96"/>
  <c r="AF26" i="96"/>
  <c r="AG80" i="96"/>
  <c r="AG138" i="96"/>
  <c r="AF83" i="96"/>
  <c r="AF81" i="96"/>
  <c r="R127" i="99"/>
  <c r="AF107" i="96"/>
  <c r="AF96" i="96"/>
  <c r="R21" i="99"/>
  <c r="AG76" i="96"/>
  <c r="R111" i="99"/>
  <c r="S74" i="99"/>
  <c r="AG26" i="96"/>
  <c r="AG131" i="96"/>
  <c r="AG21" i="96"/>
  <c r="AG132" i="96"/>
  <c r="S106" i="99"/>
  <c r="R77" i="99"/>
  <c r="AG71" i="96"/>
  <c r="AF101" i="96"/>
  <c r="AG47" i="96"/>
  <c r="R138" i="99"/>
  <c r="AG102" i="96"/>
  <c r="R105" i="99"/>
  <c r="AF122" i="96"/>
  <c r="R122" i="99" s="1"/>
  <c r="S98" i="99"/>
  <c r="AF79" i="96"/>
  <c r="AF97" i="96"/>
  <c r="AF33" i="96"/>
  <c r="AG69" i="96"/>
  <c r="AG29" i="96"/>
  <c r="AG112" i="96"/>
  <c r="R18" i="99"/>
  <c r="AF44" i="96"/>
  <c r="AG81" i="96"/>
  <c r="AG22" i="96"/>
  <c r="AF50" i="96"/>
  <c r="AG32" i="96"/>
  <c r="S49" i="99"/>
  <c r="AF24" i="96"/>
  <c r="AG96" i="96"/>
  <c r="R33" i="99"/>
  <c r="AG137" i="96"/>
  <c r="R59" i="99"/>
  <c r="AF84" i="96"/>
  <c r="S58" i="99"/>
  <c r="AG108" i="96"/>
  <c r="AG135" i="96"/>
  <c r="AG107" i="96"/>
  <c r="AF133" i="96"/>
  <c r="R133" i="99" s="1"/>
  <c r="AG136" i="96"/>
  <c r="R131" i="99"/>
  <c r="AG48" i="96"/>
  <c r="AF29" i="96"/>
  <c r="AF102" i="96"/>
  <c r="AG70" i="96"/>
  <c r="S70" i="99" s="1"/>
  <c r="R76" i="99"/>
  <c r="AG51" i="96"/>
  <c r="AF48" i="96"/>
  <c r="AG103" i="96"/>
  <c r="S111" i="99"/>
  <c r="R56" i="99"/>
  <c r="R98" i="99"/>
  <c r="AF69" i="96"/>
  <c r="R69" i="99" s="1"/>
  <c r="AG83" i="96"/>
  <c r="R84" i="99"/>
  <c r="R103" i="99"/>
  <c r="AG109" i="96"/>
  <c r="R73" i="99"/>
  <c r="AG95" i="96"/>
  <c r="AG79" i="96"/>
  <c r="AG31" i="96"/>
  <c r="S134" i="99"/>
  <c r="AG105" i="96"/>
  <c r="AF82" i="96"/>
  <c r="R82" i="99" s="1"/>
  <c r="AF55" i="96"/>
  <c r="R50" i="99"/>
  <c r="AG84" i="96"/>
  <c r="AG130" i="96"/>
  <c r="AG97" i="96"/>
  <c r="S97" i="99" s="1"/>
  <c r="AF72" i="96"/>
  <c r="R109" i="99"/>
  <c r="AF19" i="96"/>
  <c r="AG19" i="96"/>
  <c r="AF110" i="96"/>
  <c r="R110" i="99" s="1"/>
  <c r="AG99" i="96"/>
  <c r="R132" i="99"/>
  <c r="AG50" i="96"/>
  <c r="AG125" i="96"/>
  <c r="S125" i="99" s="1"/>
  <c r="R19" i="99"/>
  <c r="AG28" i="96"/>
  <c r="AG101" i="96"/>
  <c r="R81" i="99"/>
  <c r="AG30" i="96"/>
  <c r="S48" i="99"/>
  <c r="AG78" i="96"/>
  <c r="R129" i="99"/>
  <c r="R85" i="99"/>
  <c r="AG57" i="96"/>
  <c r="R49" i="99"/>
  <c r="AG46" i="96"/>
  <c r="S46" i="99" s="1"/>
  <c r="AG122" i="96"/>
  <c r="R108" i="99"/>
  <c r="AG17" i="96"/>
  <c r="AG44" i="96"/>
  <c r="AG23" i="96"/>
  <c r="R124" i="99"/>
  <c r="AG133" i="96"/>
  <c r="AF17" i="96"/>
  <c r="AF78" i="96"/>
  <c r="AG104" i="96"/>
  <c r="R32" i="99"/>
  <c r="AF43" i="96"/>
  <c r="R27" i="99"/>
  <c r="AG43" i="96"/>
  <c r="S43" i="99" s="1"/>
  <c r="AG55" i="96"/>
  <c r="AG59" i="96"/>
  <c r="S59" i="99" s="1"/>
  <c r="S123" i="99"/>
  <c r="AF57" i="96"/>
  <c r="R57" i="99" s="1"/>
  <c r="AF128" i="96"/>
  <c r="AG139" i="96"/>
  <c r="S139" i="99" s="1"/>
  <c r="R125" i="99"/>
  <c r="R20" i="99"/>
  <c r="AG53" i="96"/>
  <c r="AG72" i="96"/>
  <c r="R80" i="99"/>
  <c r="S75" i="99"/>
  <c r="AF75" i="96"/>
  <c r="AF135" i="96"/>
  <c r="AG128" i="96"/>
  <c r="R29" i="99"/>
  <c r="AF95" i="96"/>
  <c r="AG126" i="96"/>
  <c r="AG127" i="96"/>
  <c r="AG33" i="96"/>
  <c r="AF52" i="96"/>
  <c r="R52" i="99" s="1"/>
  <c r="AF45" i="96"/>
  <c r="R31" i="99"/>
  <c r="AF126" i="96"/>
  <c r="R126" i="99" s="1"/>
  <c r="AG25" i="96"/>
  <c r="R134" i="99"/>
  <c r="R137" i="99"/>
  <c r="AF51" i="96"/>
  <c r="R100" i="99"/>
  <c r="AF53" i="96"/>
  <c r="AG129" i="96"/>
  <c r="S129" i="99" s="1"/>
  <c r="R30" i="99"/>
  <c r="R54" i="99"/>
  <c r="AG110" i="96"/>
  <c r="AG100" i="96"/>
  <c r="AG24" i="96"/>
  <c r="AG82" i="96"/>
  <c r="AF71" i="96"/>
  <c r="AF130" i="96"/>
  <c r="AF28" i="96"/>
  <c r="S71" i="99"/>
  <c r="R121" i="99"/>
  <c r="S20" i="99"/>
  <c r="R70" i="99"/>
  <c r="AG77" i="96"/>
  <c r="AG85" i="96"/>
  <c r="AG73" i="96"/>
  <c r="R123" i="99"/>
  <c r="AG56" i="96"/>
  <c r="AF104" i="96"/>
  <c r="R104" i="99" s="1"/>
  <c r="AG18" i="96"/>
  <c r="AF136" i="96"/>
  <c r="S52" i="99"/>
  <c r="AF47" i="96"/>
  <c r="R58" i="99"/>
  <c r="AF22" i="96"/>
  <c r="R79" i="99"/>
  <c r="AF99" i="96"/>
  <c r="R128" i="99"/>
  <c r="W52" i="97" l="1"/>
  <c r="V52" i="97" s="1"/>
  <c r="U52" i="97" s="1"/>
  <c r="X121" i="97"/>
  <c r="W121" i="97" s="1"/>
  <c r="V121" i="97" s="1"/>
  <c r="U121" i="97" s="1"/>
  <c r="X30" i="97"/>
  <c r="W30" i="97" s="1"/>
  <c r="V30" i="97" s="1"/>
  <c r="U30" i="97" s="1"/>
  <c r="W75" i="97"/>
  <c r="V75" i="97" s="1"/>
  <c r="U75" i="97" s="1"/>
  <c r="X108" i="97"/>
  <c r="W108" i="97" s="1"/>
  <c r="V108" i="97" s="1"/>
  <c r="U108" i="97" s="1"/>
  <c r="AB121" i="97"/>
  <c r="AA121" i="97" s="1"/>
  <c r="Z121" i="97" s="1"/>
  <c r="M33" i="97"/>
  <c r="N139" i="97"/>
  <c r="H33" i="97"/>
  <c r="I139" i="97"/>
  <c r="BD147" i="96"/>
  <c r="BE149" i="96"/>
  <c r="BE150" i="96" s="1"/>
  <c r="BE151" i="96" s="1"/>
  <c r="BE152" i="96" s="1"/>
  <c r="BE153" i="96" s="1"/>
  <c r="BE154" i="96" s="1"/>
  <c r="BE155" i="96" s="1"/>
  <c r="BE156" i="96" s="1"/>
  <c r="BE157" i="96" s="1"/>
  <c r="BE158" i="96" s="1"/>
  <c r="BE159" i="96" s="1"/>
  <c r="BE160" i="96" s="1"/>
  <c r="BE161" i="96" s="1"/>
  <c r="BE162" i="96" s="1"/>
  <c r="BE163" i="96" s="1"/>
  <c r="BE164" i="96" s="1"/>
  <c r="BE165" i="96" s="1"/>
  <c r="BE166" i="96" s="1"/>
  <c r="BE167" i="96" s="1"/>
  <c r="BE168" i="96" s="1"/>
  <c r="BE169" i="96" s="1"/>
  <c r="BE170" i="96" s="1"/>
  <c r="BE171" i="96" s="1"/>
  <c r="BE172" i="96" s="1"/>
  <c r="BE173" i="96" s="1"/>
  <c r="BE174" i="96" s="1"/>
  <c r="BE175" i="96" s="1"/>
  <c r="BE176" i="96" s="1"/>
  <c r="BE177" i="96" s="1"/>
  <c r="BE178" i="96" s="1"/>
  <c r="BE179" i="96" s="1"/>
  <c r="BE180" i="96" s="1"/>
  <c r="BE181" i="96" s="1"/>
  <c r="BE182" i="96" s="1"/>
  <c r="BE183" i="96" s="1"/>
  <c r="BE184" i="96" s="1"/>
  <c r="BE185" i="96" s="1"/>
  <c r="BE186" i="96" s="1"/>
  <c r="BE187" i="96" s="1"/>
  <c r="BE188" i="96" s="1"/>
  <c r="BE189" i="96" s="1"/>
  <c r="BE190" i="96" s="1"/>
  <c r="BE191" i="96" s="1"/>
  <c r="BE192" i="96" s="1"/>
  <c r="BE193" i="96" s="1"/>
  <c r="M104" i="97"/>
  <c r="M135" i="97"/>
  <c r="M128" i="97"/>
  <c r="M17" i="97"/>
  <c r="M107" i="97"/>
  <c r="M101" i="97"/>
  <c r="M129" i="97"/>
  <c r="M79" i="97"/>
  <c r="M78" i="97"/>
  <c r="M53" i="97"/>
  <c r="M102" i="97"/>
  <c r="M57" i="97"/>
  <c r="M83" i="97"/>
  <c r="M28" i="97"/>
  <c r="M84" i="97"/>
  <c r="M96" i="97"/>
  <c r="M26" i="97"/>
  <c r="M136" i="97"/>
  <c r="M71" i="97"/>
  <c r="M122" i="97"/>
  <c r="M48" i="97"/>
  <c r="M44" i="97"/>
  <c r="M99" i="97"/>
  <c r="M55" i="97"/>
  <c r="M82" i="97"/>
  <c r="M126" i="97"/>
  <c r="M22" i="97"/>
  <c r="M133" i="97"/>
  <c r="M72" i="97"/>
  <c r="N100" i="97"/>
  <c r="X100" i="97" s="1"/>
  <c r="W100" i="97" s="1"/>
  <c r="V100" i="97" s="1"/>
  <c r="U100" i="97" s="1"/>
  <c r="M19" i="97"/>
  <c r="N125" i="97"/>
  <c r="X125" i="97" s="1"/>
  <c r="W125" i="97" s="1"/>
  <c r="V125" i="97" s="1"/>
  <c r="U125" i="97" s="1"/>
  <c r="M50" i="97"/>
  <c r="N31" i="97"/>
  <c r="X31" i="97" s="1"/>
  <c r="W31" i="97" s="1"/>
  <c r="V31" i="97" s="1"/>
  <c r="U31" i="97" s="1"/>
  <c r="M43" i="97"/>
  <c r="M45" i="97"/>
  <c r="M110" i="97"/>
  <c r="M47" i="97"/>
  <c r="M52" i="97"/>
  <c r="M131" i="97"/>
  <c r="M29" i="97"/>
  <c r="M97" i="97"/>
  <c r="M81" i="97"/>
  <c r="M130" i="97"/>
  <c r="M69" i="97"/>
  <c r="M95" i="97"/>
  <c r="M51" i="97"/>
  <c r="M24" i="97"/>
  <c r="M75" i="97"/>
  <c r="N129" i="97"/>
  <c r="X129" i="97" s="1"/>
  <c r="W129" i="97" s="1"/>
  <c r="V129" i="97" s="1"/>
  <c r="U129" i="97" s="1"/>
  <c r="N55" i="97"/>
  <c r="X55" i="97" s="1"/>
  <c r="W55" i="97" s="1"/>
  <c r="V55" i="97" s="1"/>
  <c r="U55" i="97" s="1"/>
  <c r="N108" i="97"/>
  <c r="N81" i="97"/>
  <c r="X81" i="97" s="1"/>
  <c r="W81" i="97" s="1"/>
  <c r="V81" i="97" s="1"/>
  <c r="U81" i="97" s="1"/>
  <c r="N71" i="97"/>
  <c r="X71" i="97" s="1"/>
  <c r="W71" i="97" s="1"/>
  <c r="V71" i="97" s="1"/>
  <c r="U71" i="97" s="1"/>
  <c r="N127" i="97"/>
  <c r="X127" i="97" s="1"/>
  <c r="W127" i="97" s="1"/>
  <c r="V127" i="97" s="1"/>
  <c r="U127" i="97" s="1"/>
  <c r="N43" i="97"/>
  <c r="AC43" i="97" s="1"/>
  <c r="N102" i="97"/>
  <c r="X102" i="97" s="1"/>
  <c r="W102" i="97" s="1"/>
  <c r="V102" i="97" s="1"/>
  <c r="U102" i="97" s="1"/>
  <c r="N83" i="97"/>
  <c r="X83" i="97" s="1"/>
  <c r="W83" i="97" s="1"/>
  <c r="V83" i="97" s="1"/>
  <c r="U83" i="97" s="1"/>
  <c r="N133" i="97"/>
  <c r="X133" i="97" s="1"/>
  <c r="W133" i="97" s="1"/>
  <c r="V133" i="97" s="1"/>
  <c r="U133" i="97" s="1"/>
  <c r="N72" i="97"/>
  <c r="X72" i="97" s="1"/>
  <c r="W72" i="97" s="1"/>
  <c r="V72" i="97" s="1"/>
  <c r="U72" i="97" s="1"/>
  <c r="N96" i="97"/>
  <c r="X96" i="97" s="1"/>
  <c r="W96" i="97" s="1"/>
  <c r="V96" i="97" s="1"/>
  <c r="U96" i="97" s="1"/>
  <c r="N48" i="97"/>
  <c r="X48" i="97" s="1"/>
  <c r="W48" i="97" s="1"/>
  <c r="V48" i="97" s="1"/>
  <c r="U48" i="97" s="1"/>
  <c r="N131" i="97"/>
  <c r="X131" i="97" s="1"/>
  <c r="W131" i="97" s="1"/>
  <c r="V131" i="97" s="1"/>
  <c r="U131" i="97" s="1"/>
  <c r="N79" i="97"/>
  <c r="X79" i="97" s="1"/>
  <c r="W79" i="97" s="1"/>
  <c r="V79" i="97" s="1"/>
  <c r="U79" i="97" s="1"/>
  <c r="N77" i="97"/>
  <c r="X77" i="97" s="1"/>
  <c r="W77" i="97" s="1"/>
  <c r="V77" i="97" s="1"/>
  <c r="U77" i="97" s="1"/>
  <c r="N109" i="97"/>
  <c r="X109" i="97" s="1"/>
  <c r="W109" i="97" s="1"/>
  <c r="V109" i="97" s="1"/>
  <c r="U109" i="97" s="1"/>
  <c r="N103" i="97"/>
  <c r="X103" i="97" s="1"/>
  <c r="W103" i="97" s="1"/>
  <c r="V103" i="97" s="1"/>
  <c r="U103" i="97" s="1"/>
  <c r="N136" i="97"/>
  <c r="X136" i="97" s="1"/>
  <c r="W136" i="97" s="1"/>
  <c r="V136" i="97" s="1"/>
  <c r="U136" i="97" s="1"/>
  <c r="N82" i="97"/>
  <c r="X82" i="97" s="1"/>
  <c r="W82" i="97" s="1"/>
  <c r="V82" i="97" s="1"/>
  <c r="U82" i="97" s="1"/>
  <c r="N99" i="97"/>
  <c r="X99" i="97" s="1"/>
  <c r="W99" i="97" s="1"/>
  <c r="V99" i="97" s="1"/>
  <c r="U99" i="97" s="1"/>
  <c r="N76" i="97"/>
  <c r="X76" i="97" s="1"/>
  <c r="W76" i="97" s="1"/>
  <c r="V76" i="97" s="1"/>
  <c r="U76" i="97" s="1"/>
  <c r="N78" i="97"/>
  <c r="X78" i="97" s="1"/>
  <c r="W78" i="97" s="1"/>
  <c r="V78" i="97" s="1"/>
  <c r="U78" i="97" s="1"/>
  <c r="N47" i="97"/>
  <c r="X47" i="97" s="1"/>
  <c r="W47" i="97" s="1"/>
  <c r="V47" i="97" s="1"/>
  <c r="U47" i="97" s="1"/>
  <c r="N80" i="97"/>
  <c r="X80" i="97" s="1"/>
  <c r="W80" i="97" s="1"/>
  <c r="V80" i="97" s="1"/>
  <c r="U80" i="97" s="1"/>
  <c r="N46" i="97"/>
  <c r="X46" i="97" s="1"/>
  <c r="W46" i="97" s="1"/>
  <c r="V46" i="97" s="1"/>
  <c r="U46" i="97" s="1"/>
  <c r="N44" i="97"/>
  <c r="X44" i="97" s="1"/>
  <c r="W44" i="97" s="1"/>
  <c r="V44" i="97" s="1"/>
  <c r="U44" i="97" s="1"/>
  <c r="N101" i="97"/>
  <c r="X101" i="97" s="1"/>
  <c r="W101" i="97" s="1"/>
  <c r="V101" i="97" s="1"/>
  <c r="U101" i="97" s="1"/>
  <c r="N50" i="97"/>
  <c r="X50" i="97" s="1"/>
  <c r="W50" i="97" s="1"/>
  <c r="V50" i="97" s="1"/>
  <c r="U50" i="97" s="1"/>
  <c r="N110" i="97"/>
  <c r="X110" i="97" s="1"/>
  <c r="W110" i="97" s="1"/>
  <c r="V110" i="97" s="1"/>
  <c r="U110" i="97" s="1"/>
  <c r="N53" i="97"/>
  <c r="X53" i="97" s="1"/>
  <c r="W53" i="97" s="1"/>
  <c r="V53" i="97" s="1"/>
  <c r="U53" i="97" s="1"/>
  <c r="N112" i="97"/>
  <c r="X112" i="97" s="1"/>
  <c r="W112" i="97" s="1"/>
  <c r="V112" i="97" s="1"/>
  <c r="U112" i="97" s="1"/>
  <c r="N104" i="97"/>
  <c r="X104" i="97" s="1"/>
  <c r="W104" i="97" s="1"/>
  <c r="V104" i="97" s="1"/>
  <c r="U104" i="97" s="1"/>
  <c r="N132" i="97"/>
  <c r="X132" i="97" s="1"/>
  <c r="W132" i="97" s="1"/>
  <c r="V132" i="97" s="1"/>
  <c r="U132" i="97" s="1"/>
  <c r="N126" i="97"/>
  <c r="X126" i="97" s="1"/>
  <c r="W126" i="97" s="1"/>
  <c r="V126" i="97" s="1"/>
  <c r="U126" i="97" s="1"/>
  <c r="N59" i="97"/>
  <c r="X59" i="97" s="1"/>
  <c r="W59" i="97" s="1"/>
  <c r="V59" i="97" s="1"/>
  <c r="U59" i="97" s="1"/>
  <c r="N138" i="97"/>
  <c r="X138" i="97" s="1"/>
  <c r="W138" i="97" s="1"/>
  <c r="V138" i="97" s="1"/>
  <c r="U138" i="97" s="1"/>
  <c r="N45" i="97"/>
  <c r="X45" i="97" s="1"/>
  <c r="W45" i="97" s="1"/>
  <c r="V45" i="97" s="1"/>
  <c r="U45" i="97" s="1"/>
  <c r="N128" i="97"/>
  <c r="X128" i="97" s="1"/>
  <c r="W128" i="97" s="1"/>
  <c r="V128" i="97" s="1"/>
  <c r="U128" i="97" s="1"/>
  <c r="N107" i="97"/>
  <c r="X107" i="97" s="1"/>
  <c r="W107" i="97" s="1"/>
  <c r="V107" i="97" s="1"/>
  <c r="U107" i="97" s="1"/>
  <c r="N84" i="97"/>
  <c r="X84" i="97" s="1"/>
  <c r="W84" i="97" s="1"/>
  <c r="V84" i="97" s="1"/>
  <c r="U84" i="97" s="1"/>
  <c r="N85" i="97"/>
  <c r="X85" i="97" s="1"/>
  <c r="W85" i="97" s="1"/>
  <c r="V85" i="97" s="1"/>
  <c r="U85" i="97" s="1"/>
  <c r="N73" i="97"/>
  <c r="X73" i="97" s="1"/>
  <c r="W73" i="97" s="1"/>
  <c r="V73" i="97" s="1"/>
  <c r="U73" i="97" s="1"/>
  <c r="N130" i="97"/>
  <c r="X130" i="97" s="1"/>
  <c r="W130" i="97" s="1"/>
  <c r="V130" i="97" s="1"/>
  <c r="U130" i="97" s="1"/>
  <c r="N122" i="97"/>
  <c r="AC122" i="97" s="1"/>
  <c r="N70" i="97"/>
  <c r="X70" i="97" s="1"/>
  <c r="W70" i="97" s="1"/>
  <c r="V70" i="97" s="1"/>
  <c r="U70" i="97" s="1"/>
  <c r="N69" i="97"/>
  <c r="AC69" i="97" s="1"/>
  <c r="N137" i="97"/>
  <c r="X137" i="97" s="1"/>
  <c r="W137" i="97" s="1"/>
  <c r="V137" i="97" s="1"/>
  <c r="U137" i="97" s="1"/>
  <c r="N97" i="97"/>
  <c r="X97" i="97" s="1"/>
  <c r="W97" i="97" s="1"/>
  <c r="V97" i="97" s="1"/>
  <c r="U97" i="97" s="1"/>
  <c r="N105" i="97"/>
  <c r="X105" i="97" s="1"/>
  <c r="W105" i="97" s="1"/>
  <c r="V105" i="97" s="1"/>
  <c r="U105" i="97" s="1"/>
  <c r="N51" i="97"/>
  <c r="X51" i="97" s="1"/>
  <c r="W51" i="97" s="1"/>
  <c r="V51" i="97" s="1"/>
  <c r="U51" i="97" s="1"/>
  <c r="N135" i="97"/>
  <c r="X135" i="97" s="1"/>
  <c r="W135" i="97" s="1"/>
  <c r="V135" i="97" s="1"/>
  <c r="U135" i="97" s="1"/>
  <c r="N56" i="97"/>
  <c r="X56" i="97" s="1"/>
  <c r="W56" i="97" s="1"/>
  <c r="V56" i="97" s="1"/>
  <c r="U56" i="97" s="1"/>
  <c r="N57" i="97"/>
  <c r="X57" i="97" s="1"/>
  <c r="W57" i="97" s="1"/>
  <c r="V57" i="97" s="1"/>
  <c r="U57" i="97" s="1"/>
  <c r="N95" i="97"/>
  <c r="X95" i="97" s="1"/>
  <c r="W95" i="97" s="1"/>
  <c r="V95" i="97" s="1"/>
  <c r="U95" i="97" s="1"/>
  <c r="N32" i="97"/>
  <c r="X32" i="97" s="1"/>
  <c r="W32" i="97" s="1"/>
  <c r="V32" i="97" s="1"/>
  <c r="U32" i="97" s="1"/>
  <c r="N25" i="97"/>
  <c r="X25" i="97" s="1"/>
  <c r="W25" i="97" s="1"/>
  <c r="V25" i="97" s="1"/>
  <c r="U25" i="97" s="1"/>
  <c r="N29" i="97"/>
  <c r="X29" i="97" s="1"/>
  <c r="W29" i="97" s="1"/>
  <c r="V29" i="97" s="1"/>
  <c r="U29" i="97" s="1"/>
  <c r="N22" i="97"/>
  <c r="X22" i="97" s="1"/>
  <c r="W22" i="97" s="1"/>
  <c r="V22" i="97" s="1"/>
  <c r="U22" i="97" s="1"/>
  <c r="N30" i="97"/>
  <c r="N26" i="97"/>
  <c r="X26" i="97" s="1"/>
  <c r="W26" i="97" s="1"/>
  <c r="V26" i="97" s="1"/>
  <c r="U26" i="97" s="1"/>
  <c r="N19" i="97"/>
  <c r="X19" i="97" s="1"/>
  <c r="W19" i="97" s="1"/>
  <c r="V19" i="97" s="1"/>
  <c r="U19" i="97" s="1"/>
  <c r="N24" i="97"/>
  <c r="X24" i="97" s="1"/>
  <c r="W24" i="97" s="1"/>
  <c r="V24" i="97" s="1"/>
  <c r="U24" i="97" s="1"/>
  <c r="N23" i="97"/>
  <c r="X23" i="97" s="1"/>
  <c r="W23" i="97" s="1"/>
  <c r="V23" i="97" s="1"/>
  <c r="U23" i="97" s="1"/>
  <c r="N28" i="97"/>
  <c r="X28" i="97" s="1"/>
  <c r="W28" i="97" s="1"/>
  <c r="V28" i="97" s="1"/>
  <c r="U28" i="97" s="1"/>
  <c r="N17" i="97"/>
  <c r="AC17" i="97" s="1"/>
  <c r="AB17" i="97" s="1"/>
  <c r="AA17" i="97" s="1"/>
  <c r="N18" i="97"/>
  <c r="X18" i="97" s="1"/>
  <c r="W18" i="97" s="1"/>
  <c r="V18" i="97" s="1"/>
  <c r="U18" i="97" s="1"/>
  <c r="N33" i="97"/>
  <c r="X33" i="97" s="1"/>
  <c r="W33" i="97" s="1"/>
  <c r="V33" i="97" s="1"/>
  <c r="U33" i="97" s="1"/>
  <c r="N21" i="97"/>
  <c r="X21" i="97" s="1"/>
  <c r="W21" i="97" s="1"/>
  <c r="V21" i="97" s="1"/>
  <c r="U21" i="97" s="1"/>
  <c r="J4" i="91"/>
  <c r="J6" i="91"/>
  <c r="J7" i="91"/>
  <c r="J5" i="91"/>
  <c r="J8" i="91"/>
  <c r="J83" i="91"/>
  <c r="J82" i="91"/>
  <c r="J86" i="91"/>
  <c r="J81" i="91"/>
  <c r="J84" i="91"/>
  <c r="J85" i="91"/>
  <c r="J63" i="91"/>
  <c r="J65" i="91"/>
  <c r="J62" i="91"/>
  <c r="J64" i="91"/>
  <c r="J77" i="91"/>
  <c r="J76" i="91"/>
  <c r="J79" i="91"/>
  <c r="J80" i="91"/>
  <c r="J78" i="91"/>
  <c r="J71" i="91"/>
  <c r="J74" i="91"/>
  <c r="J75" i="91"/>
  <c r="J72" i="91"/>
  <c r="J73" i="91"/>
  <c r="J96" i="91"/>
  <c r="J97" i="91"/>
  <c r="J99" i="91"/>
  <c r="J93" i="91"/>
  <c r="J95" i="91"/>
  <c r="J98" i="91"/>
  <c r="J94" i="91"/>
  <c r="J70" i="91"/>
  <c r="J69" i="91"/>
  <c r="J67" i="91"/>
  <c r="J66" i="91"/>
  <c r="J68" i="91"/>
  <c r="J60" i="91"/>
  <c r="J61" i="91"/>
  <c r="J59" i="91"/>
  <c r="J58" i="91"/>
  <c r="J40" i="91"/>
  <c r="J39" i="91"/>
  <c r="J49" i="91"/>
  <c r="J50" i="91"/>
  <c r="J48" i="91"/>
  <c r="J44" i="91"/>
  <c r="J42" i="91"/>
  <c r="J43" i="91"/>
  <c r="J56" i="91"/>
  <c r="J55" i="91"/>
  <c r="J54" i="91"/>
  <c r="J57" i="91"/>
  <c r="J89" i="91"/>
  <c r="J90" i="91"/>
  <c r="J88" i="91"/>
  <c r="J92" i="91"/>
  <c r="J87" i="91"/>
  <c r="J91" i="91"/>
  <c r="J35" i="91"/>
  <c r="J34" i="91"/>
  <c r="J36" i="91"/>
  <c r="J53" i="91"/>
  <c r="J52" i="91"/>
  <c r="J51" i="91"/>
  <c r="J37" i="91"/>
  <c r="J38" i="91"/>
  <c r="J46" i="91"/>
  <c r="J47" i="91"/>
  <c r="J45" i="91"/>
  <c r="J170" i="91"/>
  <c r="J166" i="91"/>
  <c r="J161" i="91"/>
  <c r="J165" i="91"/>
  <c r="J162" i="91"/>
  <c r="J167" i="91"/>
  <c r="J160" i="91"/>
  <c r="J163" i="91"/>
  <c r="J164" i="91"/>
  <c r="J169" i="91"/>
  <c r="J168" i="91"/>
  <c r="J176" i="91"/>
  <c r="J177" i="91"/>
  <c r="J183" i="91"/>
  <c r="J175" i="91"/>
  <c r="J182" i="91"/>
  <c r="J174" i="91"/>
  <c r="J173" i="91"/>
  <c r="J180" i="91"/>
  <c r="J171" i="91"/>
  <c r="J181" i="91"/>
  <c r="J179" i="91"/>
  <c r="J178" i="91"/>
  <c r="J172" i="91"/>
  <c r="J118" i="91"/>
  <c r="J120" i="91"/>
  <c r="J117" i="91"/>
  <c r="J115" i="91"/>
  <c r="J119" i="91"/>
  <c r="J114" i="91"/>
  <c r="J121" i="91"/>
  <c r="J116" i="91"/>
  <c r="J126" i="91"/>
  <c r="J127" i="91"/>
  <c r="J128" i="91"/>
  <c r="J124" i="91"/>
  <c r="J122" i="91"/>
  <c r="J125" i="91"/>
  <c r="J123" i="91"/>
  <c r="J129" i="91"/>
  <c r="J146" i="91"/>
  <c r="J144" i="91"/>
  <c r="J142" i="91"/>
  <c r="J143" i="91"/>
  <c r="J147" i="91"/>
  <c r="J141" i="91"/>
  <c r="J148" i="91"/>
  <c r="J140" i="91"/>
  <c r="J145" i="91"/>
  <c r="J149" i="91"/>
  <c r="J133" i="91"/>
  <c r="J132" i="91"/>
  <c r="J130" i="91"/>
  <c r="J139" i="91"/>
  <c r="J134" i="91"/>
  <c r="J138" i="91"/>
  <c r="J131" i="91"/>
  <c r="J137" i="91"/>
  <c r="J135" i="91"/>
  <c r="J136" i="91"/>
  <c r="J111" i="91"/>
  <c r="J110" i="91"/>
  <c r="J107" i="91"/>
  <c r="J109" i="91"/>
  <c r="J108" i="91"/>
  <c r="J113" i="91"/>
  <c r="J106" i="91"/>
  <c r="J112" i="91"/>
  <c r="J100" i="91"/>
  <c r="J105" i="91"/>
  <c r="J102" i="91"/>
  <c r="J101" i="91"/>
  <c r="J104" i="91"/>
  <c r="J155" i="91"/>
  <c r="J158" i="91"/>
  <c r="J151" i="91"/>
  <c r="J157" i="91"/>
  <c r="J156" i="91"/>
  <c r="J150" i="91"/>
  <c r="J153" i="91"/>
  <c r="J152" i="91"/>
  <c r="J154" i="91"/>
  <c r="J159" i="91"/>
  <c r="J11" i="91"/>
  <c r="J17" i="91"/>
  <c r="J12" i="91"/>
  <c r="J14" i="91"/>
  <c r="J16" i="91"/>
  <c r="J10" i="91"/>
  <c r="J15" i="91"/>
  <c r="J13" i="91"/>
  <c r="J32" i="91"/>
  <c r="J33" i="91"/>
  <c r="J21" i="91"/>
  <c r="J30" i="91"/>
  <c r="J31" i="91"/>
  <c r="J26" i="91"/>
  <c r="J25" i="91"/>
  <c r="J27" i="91"/>
  <c r="J23" i="91"/>
  <c r="J22" i="91"/>
  <c r="J19" i="91"/>
  <c r="J18" i="91"/>
  <c r="J28" i="91"/>
  <c r="J29" i="91"/>
  <c r="J229" i="91"/>
  <c r="J238" i="91"/>
  <c r="J233" i="91"/>
  <c r="J231" i="91"/>
  <c r="J230" i="91"/>
  <c r="J239" i="91"/>
  <c r="J234" i="91"/>
  <c r="J237" i="91"/>
  <c r="J225" i="91"/>
  <c r="J236" i="91"/>
  <c r="J226" i="91"/>
  <c r="J227" i="91"/>
  <c r="J232" i="91"/>
  <c r="J228" i="91"/>
  <c r="J240" i="91"/>
  <c r="J235" i="91"/>
  <c r="J192" i="91"/>
  <c r="J190" i="91"/>
  <c r="J187" i="91"/>
  <c r="J191" i="91"/>
  <c r="J188" i="91"/>
  <c r="J193" i="91"/>
  <c r="J184" i="91"/>
  <c r="J195" i="91"/>
  <c r="J196" i="91"/>
  <c r="J189" i="91"/>
  <c r="J186" i="91"/>
  <c r="J185" i="91"/>
  <c r="J194" i="91"/>
  <c r="J257" i="91"/>
  <c r="J255" i="91"/>
  <c r="J246" i="91"/>
  <c r="J241" i="91"/>
  <c r="J249" i="91"/>
  <c r="J253" i="91"/>
  <c r="J244" i="91"/>
  <c r="J251" i="91"/>
  <c r="J248" i="91"/>
  <c r="J250" i="91"/>
  <c r="J245" i="91"/>
  <c r="J256" i="91"/>
  <c r="J243" i="91"/>
  <c r="J247" i="91"/>
  <c r="J254" i="91"/>
  <c r="J242" i="91"/>
  <c r="J252" i="91"/>
  <c r="J286" i="91"/>
  <c r="J293" i="91"/>
  <c r="J278" i="91"/>
  <c r="J289" i="91"/>
  <c r="J290" i="91"/>
  <c r="J279" i="91"/>
  <c r="J288" i="91"/>
  <c r="J285" i="91"/>
  <c r="J277" i="91"/>
  <c r="J291" i="91"/>
  <c r="J296" i="91"/>
  <c r="J281" i="91"/>
  <c r="J283" i="91"/>
  <c r="J282" i="91"/>
  <c r="J284" i="91"/>
  <c r="J295" i="91"/>
  <c r="J287" i="91"/>
  <c r="J292" i="91"/>
  <c r="J294" i="91"/>
  <c r="J280" i="91"/>
  <c r="J212" i="91"/>
  <c r="J221" i="91"/>
  <c r="J219" i="91"/>
  <c r="J210" i="91"/>
  <c r="J218" i="91"/>
  <c r="J215" i="91"/>
  <c r="J217" i="91"/>
  <c r="J222" i="91"/>
  <c r="J211" i="91"/>
  <c r="J213" i="91"/>
  <c r="J214" i="91"/>
  <c r="J223" i="91"/>
  <c r="J224" i="91"/>
  <c r="J216" i="91"/>
  <c r="J220" i="91"/>
  <c r="J299" i="91"/>
  <c r="J309" i="91"/>
  <c r="J305" i="91"/>
  <c r="J306" i="91"/>
  <c r="J308" i="91"/>
  <c r="J297" i="91"/>
  <c r="J317" i="91"/>
  <c r="J312" i="91"/>
  <c r="J300" i="91"/>
  <c r="J298" i="91"/>
  <c r="J310" i="91"/>
  <c r="J307" i="91"/>
  <c r="J302" i="91"/>
  <c r="J316" i="91"/>
  <c r="J303" i="91"/>
  <c r="J311" i="91"/>
  <c r="J315" i="91"/>
  <c r="J313" i="91"/>
  <c r="J314" i="91"/>
  <c r="J304" i="91"/>
  <c r="J301" i="91"/>
  <c r="J200" i="91"/>
  <c r="J206" i="91"/>
  <c r="J208" i="91"/>
  <c r="J199" i="91"/>
  <c r="J198" i="91"/>
  <c r="J209" i="91"/>
  <c r="J204" i="91"/>
  <c r="J201" i="91"/>
  <c r="J202" i="91"/>
  <c r="J205" i="91"/>
  <c r="J203" i="91"/>
  <c r="J197" i="91"/>
  <c r="J207" i="91"/>
  <c r="J325" i="91"/>
  <c r="J337" i="91"/>
  <c r="J321" i="91"/>
  <c r="J331" i="91"/>
  <c r="J334" i="91"/>
  <c r="J319" i="91"/>
  <c r="J336" i="91"/>
  <c r="J333" i="91"/>
  <c r="J326" i="91"/>
  <c r="J327" i="91"/>
  <c r="J335" i="91"/>
  <c r="J332" i="91"/>
  <c r="J329" i="91"/>
  <c r="J339" i="91"/>
  <c r="J330" i="91"/>
  <c r="J328" i="91"/>
  <c r="J338" i="91"/>
  <c r="J324" i="91"/>
  <c r="J322" i="91"/>
  <c r="J318" i="91"/>
  <c r="J323" i="91"/>
  <c r="J320" i="91"/>
  <c r="J269" i="91"/>
  <c r="J268" i="91"/>
  <c r="J265" i="91"/>
  <c r="J276" i="91"/>
  <c r="J264" i="91"/>
  <c r="J259" i="91"/>
  <c r="J271" i="91"/>
  <c r="J274" i="91"/>
  <c r="J270" i="91"/>
  <c r="J258" i="91"/>
  <c r="J267" i="91"/>
  <c r="J273" i="91"/>
  <c r="J260" i="91"/>
  <c r="J266" i="91"/>
  <c r="J275" i="91"/>
  <c r="J261" i="91"/>
  <c r="J272" i="91"/>
  <c r="J262" i="91"/>
  <c r="J263" i="91"/>
  <c r="C21" i="91"/>
  <c r="C20" i="91"/>
  <c r="C13" i="91"/>
  <c r="C5" i="91"/>
  <c r="C6" i="91"/>
  <c r="C22" i="91"/>
  <c r="C29" i="91"/>
  <c r="C19" i="91"/>
  <c r="C7" i="91"/>
  <c r="C30" i="91"/>
  <c r="C4" i="91"/>
  <c r="C11" i="91"/>
  <c r="C16" i="91"/>
  <c r="C15" i="91"/>
  <c r="C25" i="91"/>
  <c r="C9" i="91"/>
  <c r="C27" i="91"/>
  <c r="C8" i="91"/>
  <c r="C32" i="91"/>
  <c r="C31" i="91"/>
  <c r="C23" i="91"/>
  <c r="C14" i="91"/>
  <c r="C26" i="91"/>
  <c r="C18" i="91"/>
  <c r="C17" i="91"/>
  <c r="C10" i="91"/>
  <c r="C24" i="91"/>
  <c r="C28" i="91"/>
  <c r="C12" i="91"/>
  <c r="C66" i="91"/>
  <c r="C62" i="91"/>
  <c r="C65" i="91"/>
  <c r="C64" i="91"/>
  <c r="C68" i="91"/>
  <c r="C63" i="91"/>
  <c r="C61" i="91"/>
  <c r="C55" i="91"/>
  <c r="C58" i="91"/>
  <c r="C56" i="91"/>
  <c r="C60" i="91"/>
  <c r="C67" i="91"/>
  <c r="C53" i="91"/>
  <c r="C59" i="91"/>
  <c r="C54" i="91"/>
  <c r="C57" i="91"/>
  <c r="C76" i="91"/>
  <c r="C77" i="91"/>
  <c r="C71" i="91"/>
  <c r="C72" i="91"/>
  <c r="C74" i="91"/>
  <c r="C73" i="91"/>
  <c r="C70" i="91"/>
  <c r="C69" i="91"/>
  <c r="C75" i="91"/>
  <c r="C34" i="91"/>
  <c r="C42" i="91"/>
  <c r="C35" i="91"/>
  <c r="C36" i="91"/>
  <c r="C38" i="91"/>
  <c r="C41" i="91"/>
  <c r="C33" i="91"/>
  <c r="C40" i="91"/>
  <c r="C37" i="91"/>
  <c r="C39" i="91"/>
  <c r="C52" i="91"/>
  <c r="C45" i="91"/>
  <c r="C47" i="91"/>
  <c r="C44" i="91"/>
  <c r="C51" i="91"/>
  <c r="C48" i="91"/>
  <c r="C49" i="91"/>
  <c r="C46" i="91"/>
  <c r="C43" i="91"/>
  <c r="C50" i="91"/>
  <c r="C81" i="91"/>
  <c r="C78" i="91"/>
  <c r="C82" i="91"/>
  <c r="C84" i="91"/>
  <c r="C80" i="91"/>
  <c r="C85" i="91"/>
  <c r="C79" i="91"/>
  <c r="C86" i="91"/>
  <c r="C87" i="91"/>
  <c r="C83" i="91"/>
  <c r="AB6" i="101"/>
  <c r="AB7" i="101"/>
  <c r="AB9" i="101"/>
  <c r="AB8" i="101"/>
  <c r="R99" i="99"/>
  <c r="R55" i="99"/>
  <c r="S32" i="99"/>
  <c r="S24" i="99"/>
  <c r="S25" i="99"/>
  <c r="R135" i="99"/>
  <c r="R78" i="99"/>
  <c r="S56" i="99"/>
  <c r="R47" i="99"/>
  <c r="R48" i="99"/>
  <c r="S80" i="99"/>
  <c r="S105" i="99"/>
  <c r="S73" i="99"/>
  <c r="S21" i="99"/>
  <c r="S79" i="99"/>
  <c r="R43" i="99"/>
  <c r="R28" i="99"/>
  <c r="R24" i="99"/>
  <c r="S131" i="99"/>
  <c r="R107" i="99"/>
  <c r="S133" i="99"/>
  <c r="S17" i="99"/>
  <c r="S96" i="99"/>
  <c r="S72" i="99"/>
  <c r="S132" i="99"/>
  <c r="R17" i="99"/>
  <c r="R130" i="99"/>
  <c r="S112" i="99"/>
  <c r="S55" i="99"/>
  <c r="S102" i="99"/>
  <c r="S78" i="99"/>
  <c r="S77" i="99"/>
  <c r="R75" i="99"/>
  <c r="S109" i="99"/>
  <c r="S51" i="99"/>
  <c r="S104" i="99"/>
  <c r="S136" i="99"/>
  <c r="R71" i="99"/>
  <c r="R101" i="99"/>
  <c r="S101" i="99"/>
  <c r="S45" i="99"/>
  <c r="S82" i="99"/>
  <c r="R26" i="99"/>
  <c r="S28" i="99"/>
  <c r="R22" i="99"/>
  <c r="S95" i="99"/>
  <c r="S137" i="99"/>
  <c r="R44" i="99"/>
  <c r="S100" i="99"/>
  <c r="R83" i="99"/>
  <c r="S31" i="99"/>
  <c r="S76" i="99"/>
  <c r="S22" i="99"/>
  <c r="R53" i="99"/>
  <c r="S130" i="99"/>
  <c r="S99" i="99"/>
  <c r="R72" i="99"/>
  <c r="R102" i="99"/>
  <c r="S127" i="99"/>
  <c r="S128" i="99"/>
  <c r="S19" i="99"/>
  <c r="S44" i="99"/>
  <c r="R51" i="99"/>
  <c r="S126" i="99"/>
  <c r="R136" i="99"/>
  <c r="S107" i="99"/>
  <c r="S108" i="99"/>
  <c r="S26" i="99"/>
  <c r="S57" i="99"/>
  <c r="S53" i="99"/>
  <c r="S23" i="99"/>
  <c r="R45" i="99"/>
  <c r="S122" i="99"/>
  <c r="S138" i="99"/>
  <c r="S83" i="99"/>
  <c r="S110" i="99"/>
  <c r="S85" i="99"/>
  <c r="S47" i="99"/>
  <c r="S30" i="99"/>
  <c r="R95" i="99"/>
  <c r="S81" i="99"/>
  <c r="S135" i="99"/>
  <c r="R96" i="99"/>
  <c r="S50" i="99"/>
  <c r="R97" i="99"/>
  <c r="S103" i="99"/>
  <c r="S29" i="99"/>
  <c r="S18" i="99"/>
  <c r="S84" i="99"/>
  <c r="S69" i="99"/>
  <c r="S33" i="99"/>
  <c r="X43" i="97" l="1"/>
  <c r="W43" i="97" s="1"/>
  <c r="V43" i="97" s="1"/>
  <c r="U43" i="97" s="1"/>
  <c r="X139" i="97"/>
  <c r="AC95" i="97"/>
  <c r="AC96" i="97" s="1"/>
  <c r="AC97" i="97" s="1"/>
  <c r="AC98" i="97" s="1"/>
  <c r="AC99" i="97" s="1"/>
  <c r="X122" i="97"/>
  <c r="W122" i="97" s="1"/>
  <c r="V122" i="97" s="1"/>
  <c r="U122" i="97" s="1"/>
  <c r="T122" i="99" s="1"/>
  <c r="T123" i="99" s="1"/>
  <c r="T124" i="99" s="1"/>
  <c r="T125" i="99" s="1"/>
  <c r="T126" i="99" s="1"/>
  <c r="T127" i="99" s="1"/>
  <c r="T128" i="99" s="1"/>
  <c r="T129" i="99" s="1"/>
  <c r="T130" i="99" s="1"/>
  <c r="T131" i="99" s="1"/>
  <c r="T132" i="99" s="1"/>
  <c r="T133" i="99" s="1"/>
  <c r="T134" i="99" s="1"/>
  <c r="T135" i="99" s="1"/>
  <c r="T136" i="99" s="1"/>
  <c r="T137" i="99" s="1"/>
  <c r="T138" i="99" s="1"/>
  <c r="X69" i="97"/>
  <c r="W69" i="97" s="1"/>
  <c r="V69" i="97" s="1"/>
  <c r="U69" i="97" s="1"/>
  <c r="AC18" i="97"/>
  <c r="AB18" i="97" s="1"/>
  <c r="AA18" i="97" s="1"/>
  <c r="X17" i="97"/>
  <c r="W17" i="97" s="1"/>
  <c r="V17" i="97" s="1"/>
  <c r="U17" i="97" s="1"/>
  <c r="Z17" i="97"/>
  <c r="T17" i="99" s="1"/>
  <c r="T18" i="99" s="1"/>
  <c r="T19" i="99" s="1"/>
  <c r="T20" i="99" s="1"/>
  <c r="T21" i="99" s="1"/>
  <c r="T22" i="99" s="1"/>
  <c r="T23" i="99" s="1"/>
  <c r="T24" i="99" s="1"/>
  <c r="T25" i="99" s="1"/>
  <c r="T26" i="99" s="1"/>
  <c r="T27" i="99" s="1"/>
  <c r="T28" i="99" s="1"/>
  <c r="T29" i="99" s="1"/>
  <c r="T30" i="99" s="1"/>
  <c r="T31" i="99" s="1"/>
  <c r="T32" i="99" s="1"/>
  <c r="T33" i="99" s="1"/>
  <c r="AC123" i="97"/>
  <c r="AB122" i="97"/>
  <c r="AA122" i="97" s="1"/>
  <c r="Z122" i="97" s="1"/>
  <c r="AC70" i="97"/>
  <c r="AB69" i="97"/>
  <c r="AA69" i="97" s="1"/>
  <c r="Z69" i="97" s="1"/>
  <c r="AC44" i="97"/>
  <c r="AB43" i="97"/>
  <c r="AA43" i="97" s="1"/>
  <c r="Z43" i="97" s="1"/>
  <c r="T43" i="99" s="1"/>
  <c r="T44" i="99" s="1"/>
  <c r="T45" i="99" s="1"/>
  <c r="T46" i="99" s="1"/>
  <c r="T47" i="99" s="1"/>
  <c r="T48" i="99" s="1"/>
  <c r="T49" i="99" s="1"/>
  <c r="T50" i="99" s="1"/>
  <c r="T51" i="99" s="1"/>
  <c r="T52" i="99" s="1"/>
  <c r="T53" i="99" s="1"/>
  <c r="T54" i="99" s="1"/>
  <c r="T55" i="99" s="1"/>
  <c r="T56" i="99" s="1"/>
  <c r="T57" i="99" s="1"/>
  <c r="T58" i="99" s="1"/>
  <c r="T59" i="99" s="1"/>
  <c r="AC45" i="97"/>
  <c r="AB95" i="97"/>
  <c r="BE194" i="96"/>
  <c r="BD148" i="96"/>
  <c r="AS8" i="101"/>
  <c r="AS7" i="101"/>
  <c r="AS9" i="101"/>
  <c r="AS6" i="101"/>
  <c r="T69" i="99"/>
  <c r="T70" i="99" s="1"/>
  <c r="T71" i="99" s="1"/>
  <c r="T72" i="99" s="1"/>
  <c r="T73" i="99" s="1"/>
  <c r="T74" i="99" s="1"/>
  <c r="T75" i="99" s="1"/>
  <c r="T76" i="99" s="1"/>
  <c r="T77" i="99" s="1"/>
  <c r="T78" i="99" s="1"/>
  <c r="T79" i="99" s="1"/>
  <c r="T80" i="99" s="1"/>
  <c r="T81" i="99" s="1"/>
  <c r="T82" i="99" s="1"/>
  <c r="T83" i="99" s="1"/>
  <c r="T84" i="99" s="1"/>
  <c r="T85" i="99" s="1"/>
  <c r="T121" i="99"/>
  <c r="K5" i="91"/>
  <c r="K7" i="91"/>
  <c r="K9" i="91"/>
  <c r="K6" i="91"/>
  <c r="K4" i="91"/>
  <c r="K8" i="91"/>
  <c r="K306" i="91"/>
  <c r="K307" i="91"/>
  <c r="K301" i="91"/>
  <c r="K312" i="91"/>
  <c r="K311" i="91"/>
  <c r="K297" i="91"/>
  <c r="K295" i="91"/>
  <c r="K296" i="91"/>
  <c r="K309" i="91"/>
  <c r="K298" i="91"/>
  <c r="K310" i="91"/>
  <c r="K303" i="91"/>
  <c r="K299" i="91"/>
  <c r="K300" i="91"/>
  <c r="K314" i="91"/>
  <c r="K304" i="91"/>
  <c r="K302" i="91"/>
  <c r="K308" i="91"/>
  <c r="K313" i="91"/>
  <c r="K305" i="91"/>
  <c r="K261" i="91"/>
  <c r="K270" i="91"/>
  <c r="K260" i="91"/>
  <c r="K265" i="91"/>
  <c r="K269" i="91"/>
  <c r="K272" i="91"/>
  <c r="K266" i="91"/>
  <c r="K274" i="91"/>
  <c r="K262" i="91"/>
  <c r="K263" i="91"/>
  <c r="K264" i="91"/>
  <c r="K268" i="91"/>
  <c r="K273" i="91"/>
  <c r="K258" i="91"/>
  <c r="K271" i="91"/>
  <c r="K267" i="91"/>
  <c r="K259" i="91"/>
  <c r="K257" i="91"/>
  <c r="K234" i="91"/>
  <c r="K225" i="91"/>
  <c r="K228" i="91"/>
  <c r="K232" i="91"/>
  <c r="K233" i="91"/>
  <c r="K229" i="91"/>
  <c r="K239" i="91"/>
  <c r="K236" i="91"/>
  <c r="K230" i="91"/>
  <c r="K235" i="91"/>
  <c r="K231" i="91"/>
  <c r="K237" i="91"/>
  <c r="K226" i="91"/>
  <c r="K227" i="91"/>
  <c r="K238" i="91"/>
  <c r="K247" i="91"/>
  <c r="K254" i="91"/>
  <c r="K248" i="91"/>
  <c r="K249" i="91"/>
  <c r="K256" i="91"/>
  <c r="K246" i="91"/>
  <c r="K252" i="91"/>
  <c r="K243" i="91"/>
  <c r="K242" i="91"/>
  <c r="K255" i="91"/>
  <c r="K250" i="91"/>
  <c r="K251" i="91"/>
  <c r="K240" i="91"/>
  <c r="K241" i="91"/>
  <c r="K245" i="91"/>
  <c r="K244" i="91"/>
  <c r="K253" i="91"/>
  <c r="K343" i="91"/>
  <c r="K355" i="91"/>
  <c r="K359" i="91"/>
  <c r="K349" i="91"/>
  <c r="K354" i="91"/>
  <c r="K341" i="91"/>
  <c r="K351" i="91"/>
  <c r="K357" i="91"/>
  <c r="K358" i="91"/>
  <c r="K345" i="91"/>
  <c r="K347" i="91"/>
  <c r="K348" i="91"/>
  <c r="K360" i="91"/>
  <c r="K344" i="91"/>
  <c r="K356" i="91"/>
  <c r="K361" i="91"/>
  <c r="K346" i="91"/>
  <c r="K338" i="91"/>
  <c r="K352" i="91"/>
  <c r="K340" i="91"/>
  <c r="K339" i="91"/>
  <c r="K337" i="91"/>
  <c r="K342" i="91"/>
  <c r="K353" i="91"/>
  <c r="K350" i="91"/>
  <c r="K219" i="91"/>
  <c r="K220" i="91"/>
  <c r="K217" i="91"/>
  <c r="K224" i="91"/>
  <c r="K222" i="91"/>
  <c r="K218" i="91"/>
  <c r="K221" i="91"/>
  <c r="K213" i="91"/>
  <c r="K211" i="91"/>
  <c r="K212" i="91"/>
  <c r="K210" i="91"/>
  <c r="K215" i="91"/>
  <c r="K223" i="91"/>
  <c r="K216" i="91"/>
  <c r="K214" i="91"/>
  <c r="K207" i="91"/>
  <c r="K200" i="91"/>
  <c r="K205" i="91"/>
  <c r="K209" i="91"/>
  <c r="K206" i="91"/>
  <c r="K198" i="91"/>
  <c r="K208" i="91"/>
  <c r="K197" i="91"/>
  <c r="K201" i="91"/>
  <c r="K203" i="91"/>
  <c r="K199" i="91"/>
  <c r="K196" i="91"/>
  <c r="K204" i="91"/>
  <c r="K202" i="91"/>
  <c r="K335" i="91"/>
  <c r="K331" i="91"/>
  <c r="K315" i="91"/>
  <c r="K322" i="91"/>
  <c r="K327" i="91"/>
  <c r="K319" i="91"/>
  <c r="K318" i="91"/>
  <c r="K336" i="91"/>
  <c r="K323" i="91"/>
  <c r="K330" i="91"/>
  <c r="K329" i="91"/>
  <c r="K333" i="91"/>
  <c r="K328" i="91"/>
  <c r="K324" i="91"/>
  <c r="K321" i="91"/>
  <c r="K334" i="91"/>
  <c r="K325" i="91"/>
  <c r="K320" i="91"/>
  <c r="K326" i="91"/>
  <c r="K317" i="91"/>
  <c r="K332" i="91"/>
  <c r="K316" i="91"/>
  <c r="K276" i="91"/>
  <c r="K294" i="91"/>
  <c r="K288" i="91"/>
  <c r="K290" i="91"/>
  <c r="K278" i="91"/>
  <c r="K292" i="91"/>
  <c r="K282" i="91"/>
  <c r="K281" i="91"/>
  <c r="K275" i="91"/>
  <c r="K279" i="91"/>
  <c r="K293" i="91"/>
  <c r="K287" i="91"/>
  <c r="K291" i="91"/>
  <c r="K284" i="91"/>
  <c r="K283" i="91"/>
  <c r="K286" i="91"/>
  <c r="K277" i="91"/>
  <c r="K280" i="91"/>
  <c r="K285" i="91"/>
  <c r="K289" i="91"/>
  <c r="K11" i="91"/>
  <c r="K15" i="91"/>
  <c r="K13" i="91"/>
  <c r="K14" i="91"/>
  <c r="K17" i="91"/>
  <c r="K16" i="91"/>
  <c r="K12" i="91"/>
  <c r="K89" i="91"/>
  <c r="K91" i="91"/>
  <c r="K87" i="91"/>
  <c r="K88" i="91"/>
  <c r="K90" i="91"/>
  <c r="K92" i="91"/>
  <c r="K41" i="91"/>
  <c r="K40" i="91"/>
  <c r="K39" i="91"/>
  <c r="K68" i="91"/>
  <c r="K66" i="91"/>
  <c r="K67" i="91"/>
  <c r="K70" i="91"/>
  <c r="K69" i="91"/>
  <c r="K42" i="91"/>
  <c r="K44" i="91"/>
  <c r="K43" i="91"/>
  <c r="K38" i="91"/>
  <c r="K37" i="91"/>
  <c r="K36" i="91"/>
  <c r="K35" i="91"/>
  <c r="K64" i="91"/>
  <c r="K63" i="91"/>
  <c r="K65" i="91"/>
  <c r="K86" i="91"/>
  <c r="K82" i="91"/>
  <c r="K83" i="91"/>
  <c r="K84" i="91"/>
  <c r="K81" i="91"/>
  <c r="K85" i="91"/>
  <c r="K47" i="91"/>
  <c r="K45" i="91"/>
  <c r="K46" i="91"/>
  <c r="K80" i="91"/>
  <c r="K79" i="91"/>
  <c r="K77" i="91"/>
  <c r="K78" i="91"/>
  <c r="K76" i="91"/>
  <c r="K48" i="91"/>
  <c r="K49" i="91"/>
  <c r="K50" i="91"/>
  <c r="K74" i="91"/>
  <c r="K73" i="91"/>
  <c r="K71" i="91"/>
  <c r="K75" i="91"/>
  <c r="K72" i="91"/>
  <c r="K53" i="91"/>
  <c r="K51" i="91"/>
  <c r="K52" i="91"/>
  <c r="K61" i="91"/>
  <c r="K60" i="91"/>
  <c r="K59" i="91"/>
  <c r="K58" i="91"/>
  <c r="K93" i="91"/>
  <c r="K96" i="91"/>
  <c r="K98" i="91"/>
  <c r="K94" i="91"/>
  <c r="K97" i="91"/>
  <c r="K95" i="91"/>
  <c r="K54" i="91"/>
  <c r="K56" i="91"/>
  <c r="K55" i="91"/>
  <c r="K57" i="91"/>
  <c r="K31" i="91"/>
  <c r="K25" i="91"/>
  <c r="K26" i="91"/>
  <c r="K30" i="91"/>
  <c r="K29" i="91"/>
  <c r="K34" i="91"/>
  <c r="K33" i="91"/>
  <c r="K32" i="91"/>
  <c r="K19" i="91"/>
  <c r="K27" i="91"/>
  <c r="K28" i="91"/>
  <c r="K24" i="91"/>
  <c r="K21" i="91"/>
  <c r="K18" i="91"/>
  <c r="K22" i="91"/>
  <c r="K23" i="91"/>
  <c r="K193" i="91"/>
  <c r="K183" i="91"/>
  <c r="K192" i="91"/>
  <c r="K185" i="91"/>
  <c r="K189" i="91"/>
  <c r="K191" i="91"/>
  <c r="K187" i="91"/>
  <c r="K186" i="91"/>
  <c r="K195" i="91"/>
  <c r="K190" i="91"/>
  <c r="K194" i="91"/>
  <c r="K184" i="91"/>
  <c r="K188" i="91"/>
  <c r="K126" i="91"/>
  <c r="K128" i="91"/>
  <c r="K123" i="91"/>
  <c r="K125" i="91"/>
  <c r="K127" i="91"/>
  <c r="K122" i="91"/>
  <c r="K124" i="91"/>
  <c r="K129" i="91"/>
  <c r="K119" i="91"/>
  <c r="K114" i="91"/>
  <c r="K115" i="91"/>
  <c r="K118" i="91"/>
  <c r="K116" i="91"/>
  <c r="K113" i="91"/>
  <c r="K120" i="91"/>
  <c r="K121" i="91"/>
  <c r="K117" i="91"/>
  <c r="K108" i="91"/>
  <c r="K112" i="91"/>
  <c r="K107" i="91"/>
  <c r="K111" i="91"/>
  <c r="K110" i="91"/>
  <c r="K109" i="91"/>
  <c r="K106" i="91"/>
  <c r="K104" i="91"/>
  <c r="K105" i="91"/>
  <c r="K100" i="91"/>
  <c r="K103" i="91"/>
  <c r="K102" i="91"/>
  <c r="K99" i="91"/>
  <c r="K101" i="91"/>
  <c r="K168" i="91"/>
  <c r="K162" i="91"/>
  <c r="K165" i="91"/>
  <c r="K160" i="91"/>
  <c r="K167" i="91"/>
  <c r="K163" i="91"/>
  <c r="K166" i="91"/>
  <c r="K159" i="91"/>
  <c r="K164" i="91"/>
  <c r="K161" i="91"/>
  <c r="K169" i="91"/>
  <c r="K135" i="91"/>
  <c r="K137" i="91"/>
  <c r="K133" i="91"/>
  <c r="K138" i="91"/>
  <c r="K134" i="91"/>
  <c r="K136" i="91"/>
  <c r="K130" i="91"/>
  <c r="K132" i="91"/>
  <c r="K131" i="91"/>
  <c r="K141" i="91"/>
  <c r="K143" i="91"/>
  <c r="K140" i="91"/>
  <c r="K148" i="91"/>
  <c r="K147" i="91"/>
  <c r="K139" i="91"/>
  <c r="K142" i="91"/>
  <c r="K144" i="91"/>
  <c r="K146" i="91"/>
  <c r="K145" i="91"/>
  <c r="K178" i="91"/>
  <c r="K173" i="91"/>
  <c r="K171" i="91"/>
  <c r="K172" i="91"/>
  <c r="K170" i="91"/>
  <c r="K177" i="91"/>
  <c r="K180" i="91"/>
  <c r="K182" i="91"/>
  <c r="K181" i="91"/>
  <c r="K179" i="91"/>
  <c r="K174" i="91"/>
  <c r="K175" i="91"/>
  <c r="K176" i="91"/>
  <c r="K156" i="91"/>
  <c r="K158" i="91"/>
  <c r="K154" i="91"/>
  <c r="K155" i="91"/>
  <c r="K151" i="91"/>
  <c r="K149" i="91"/>
  <c r="K150" i="91"/>
  <c r="K157" i="91"/>
  <c r="K152" i="91"/>
  <c r="K153" i="91"/>
  <c r="J24" i="91"/>
  <c r="D5" i="91"/>
  <c r="D26" i="91"/>
  <c r="D22" i="91"/>
  <c r="D13" i="91"/>
  <c r="D12" i="91"/>
  <c r="D7" i="91"/>
  <c r="D17" i="91"/>
  <c r="D29" i="91"/>
  <c r="D20" i="91"/>
  <c r="D8" i="91"/>
  <c r="D18" i="91"/>
  <c r="D31" i="91"/>
  <c r="D21" i="91"/>
  <c r="D4" i="91"/>
  <c r="D9" i="91"/>
  <c r="D33" i="91"/>
  <c r="D27" i="91"/>
  <c r="D10" i="91"/>
  <c r="D32" i="91"/>
  <c r="D28" i="91"/>
  <c r="D11" i="91"/>
  <c r="D24" i="91"/>
  <c r="D15" i="91"/>
  <c r="D14" i="91"/>
  <c r="D34" i="91"/>
  <c r="D16" i="91"/>
  <c r="D23" i="91"/>
  <c r="D30" i="91"/>
  <c r="D6" i="91"/>
  <c r="D25" i="91"/>
  <c r="D19" i="91"/>
  <c r="D90" i="91"/>
  <c r="D87" i="91"/>
  <c r="D85" i="91"/>
  <c r="D83" i="91"/>
  <c r="D84" i="91"/>
  <c r="D89" i="91"/>
  <c r="D82" i="91"/>
  <c r="D81" i="91"/>
  <c r="D88" i="91"/>
  <c r="D86" i="91"/>
  <c r="D38" i="91"/>
  <c r="D36" i="91"/>
  <c r="D41" i="91"/>
  <c r="D39" i="91"/>
  <c r="D40" i="91"/>
  <c r="D43" i="91"/>
  <c r="D42" i="91"/>
  <c r="D37" i="91"/>
  <c r="D35" i="91"/>
  <c r="J9" i="91"/>
  <c r="D69" i="91"/>
  <c r="D57" i="91"/>
  <c r="D65" i="91"/>
  <c r="D58" i="91"/>
  <c r="D56" i="91"/>
  <c r="D55" i="91"/>
  <c r="D64" i="91"/>
  <c r="D68" i="91"/>
  <c r="D59" i="91"/>
  <c r="D67" i="91"/>
  <c r="D60" i="91"/>
  <c r="D66" i="91"/>
  <c r="D61" i="91"/>
  <c r="D63" i="91"/>
  <c r="D70" i="91"/>
  <c r="D62" i="91"/>
  <c r="J20" i="91"/>
  <c r="J41" i="91"/>
  <c r="D53" i="91"/>
  <c r="D50" i="91"/>
  <c r="D52" i="91"/>
  <c r="D54" i="91"/>
  <c r="D45" i="91"/>
  <c r="D46" i="91"/>
  <c r="D51" i="91"/>
  <c r="D49" i="91"/>
  <c r="D47" i="91"/>
  <c r="D44" i="91"/>
  <c r="D48" i="91"/>
  <c r="J103" i="91"/>
  <c r="D80" i="91"/>
  <c r="D74" i="91"/>
  <c r="D73" i="91"/>
  <c r="D72" i="91"/>
  <c r="D71" i="91"/>
  <c r="D78" i="91"/>
  <c r="D75" i="91"/>
  <c r="D76" i="91"/>
  <c r="D79" i="91"/>
  <c r="D77" i="91"/>
  <c r="J344" i="91"/>
  <c r="J348" i="91"/>
  <c r="J355" i="91"/>
  <c r="J360" i="91"/>
  <c r="J352" i="91"/>
  <c r="J340" i="91"/>
  <c r="J341" i="91"/>
  <c r="J363" i="91"/>
  <c r="J356" i="91"/>
  <c r="J343" i="91"/>
  <c r="J349" i="91"/>
  <c r="J350" i="91"/>
  <c r="J351" i="91"/>
  <c r="J357" i="91"/>
  <c r="J345" i="91"/>
  <c r="J358" i="91"/>
  <c r="J364" i="91"/>
  <c r="J353" i="91"/>
  <c r="J361" i="91"/>
  <c r="J362" i="91"/>
  <c r="J347" i="91"/>
  <c r="J354" i="91"/>
  <c r="J346" i="91"/>
  <c r="J359" i="91"/>
  <c r="J342" i="91"/>
  <c r="C88" i="91"/>
  <c r="Z6" i="101"/>
  <c r="X9" i="101"/>
  <c r="X7" i="101"/>
  <c r="X8" i="101"/>
  <c r="X6" i="101"/>
  <c r="Y6" i="101"/>
  <c r="Y9" i="101"/>
  <c r="Y8" i="101"/>
  <c r="Y7" i="101"/>
  <c r="AB10" i="101"/>
  <c r="AB13" i="101"/>
  <c r="AB12" i="101"/>
  <c r="AB11" i="101"/>
  <c r="AB14" i="101"/>
  <c r="Z7" i="101"/>
  <c r="AA8" i="99"/>
  <c r="AG86" i="96"/>
  <c r="Y6" i="99"/>
  <c r="X9" i="99"/>
  <c r="W6" i="99"/>
  <c r="X6" i="99"/>
  <c r="Y7" i="99"/>
  <c r="W8" i="99"/>
  <c r="X8" i="99"/>
  <c r="AA9" i="99"/>
  <c r="W7" i="99"/>
  <c r="AF139" i="96"/>
  <c r="AA6" i="99"/>
  <c r="Y9" i="99"/>
  <c r="R139" i="99"/>
  <c r="Y8" i="99"/>
  <c r="W9" i="99"/>
  <c r="S86" i="99"/>
  <c r="AA7" i="99"/>
  <c r="X7" i="99"/>
  <c r="AC19" i="97" l="1"/>
  <c r="AC20" i="97" s="1"/>
  <c r="AQ7" i="101"/>
  <c r="AS14" i="101"/>
  <c r="AS11" i="101"/>
  <c r="AS12" i="101"/>
  <c r="AS13" i="101"/>
  <c r="AS10" i="101"/>
  <c r="AP7" i="101"/>
  <c r="AP8" i="101"/>
  <c r="AP9" i="101"/>
  <c r="AP6" i="101"/>
  <c r="AO6" i="101"/>
  <c r="AO8" i="101"/>
  <c r="AO7" i="101"/>
  <c r="AO9" i="101"/>
  <c r="AQ6" i="101"/>
  <c r="AB70" i="97"/>
  <c r="AA70" i="97" s="1"/>
  <c r="Z70" i="97" s="1"/>
  <c r="AC71" i="97"/>
  <c r="Z18" i="97"/>
  <c r="AA95" i="97"/>
  <c r="Z95" i="97" s="1"/>
  <c r="AB96" i="97"/>
  <c r="AB123" i="97"/>
  <c r="AA123" i="97" s="1"/>
  <c r="Z123" i="97" s="1"/>
  <c r="AC124" i="97"/>
  <c r="AB44" i="97"/>
  <c r="AA44" i="97" s="1"/>
  <c r="Z44" i="97" s="1"/>
  <c r="AC100" i="97"/>
  <c r="AC46" i="97"/>
  <c r="M139" i="97"/>
  <c r="N86" i="97"/>
  <c r="H139" i="97"/>
  <c r="W139" i="97" s="1"/>
  <c r="V139" i="97" s="1"/>
  <c r="U139" i="97" s="1"/>
  <c r="T139" i="99" s="1"/>
  <c r="I86" i="97"/>
  <c r="BD149" i="96"/>
  <c r="BD150" i="96" s="1"/>
  <c r="BD151" i="96" s="1"/>
  <c r="BD152" i="96" s="1"/>
  <c r="BD153" i="96" s="1"/>
  <c r="BD154" i="96" s="1"/>
  <c r="BD155" i="96" s="1"/>
  <c r="BD156" i="96" s="1"/>
  <c r="BD157" i="96" s="1"/>
  <c r="BD158" i="96" s="1"/>
  <c r="BD159" i="96" s="1"/>
  <c r="BD160" i="96" s="1"/>
  <c r="BD161" i="96" s="1"/>
  <c r="BD162" i="96" s="1"/>
  <c r="BD163" i="96" s="1"/>
  <c r="BD164" i="96" s="1"/>
  <c r="BD165" i="96" s="1"/>
  <c r="BD166" i="96" s="1"/>
  <c r="BD167" i="96" s="1"/>
  <c r="BD168" i="96" s="1"/>
  <c r="BD169" i="96" s="1"/>
  <c r="BD170" i="96" s="1"/>
  <c r="BD171" i="96" s="1"/>
  <c r="BD172" i="96" s="1"/>
  <c r="BD173" i="96" s="1"/>
  <c r="BD174" i="96" s="1"/>
  <c r="BD175" i="96" s="1"/>
  <c r="BD176" i="96" s="1"/>
  <c r="BD177" i="96" s="1"/>
  <c r="BD178" i="96" s="1"/>
  <c r="BD179" i="96" s="1"/>
  <c r="BD180" i="96" s="1"/>
  <c r="BD181" i="96" s="1"/>
  <c r="BD182" i="96" s="1"/>
  <c r="BD183" i="96" s="1"/>
  <c r="BD184" i="96" s="1"/>
  <c r="BD185" i="96" s="1"/>
  <c r="BD186" i="96" s="1"/>
  <c r="BD187" i="96" s="1"/>
  <c r="BD188" i="96" s="1"/>
  <c r="BD189" i="96" s="1"/>
  <c r="BD190" i="96" s="1"/>
  <c r="BD191" i="96" s="1"/>
  <c r="BD192" i="96" s="1"/>
  <c r="BD193" i="96" s="1"/>
  <c r="BD194" i="96" s="1"/>
  <c r="BD195" i="96" s="1"/>
  <c r="BD196" i="96" s="1"/>
  <c r="BD197" i="96" s="1"/>
  <c r="BD198" i="96" s="1"/>
  <c r="BD199" i="96" s="1"/>
  <c r="BD200" i="96" s="1"/>
  <c r="BD201" i="96" s="1"/>
  <c r="BD202" i="96" s="1"/>
  <c r="BD203" i="96" s="1"/>
  <c r="BD204" i="96" s="1"/>
  <c r="BD205" i="96" s="1"/>
  <c r="BD206" i="96" s="1"/>
  <c r="BD207" i="96" s="1"/>
  <c r="BD208" i="96" s="1"/>
  <c r="BD209" i="96" s="1"/>
  <c r="BD210" i="96" s="1"/>
  <c r="BD211" i="96" s="1"/>
  <c r="BD212" i="96" s="1"/>
  <c r="BD213" i="96" s="1"/>
  <c r="BD214" i="96" s="1"/>
  <c r="BD215" i="96" s="1"/>
  <c r="BD216" i="96" s="1"/>
  <c r="BD217" i="96" s="1"/>
  <c r="BD218" i="96" s="1"/>
  <c r="BD219" i="96" s="1"/>
  <c r="BD220" i="96" s="1"/>
  <c r="BD221" i="96" s="1"/>
  <c r="BD222" i="96" s="1"/>
  <c r="BD223" i="96" s="1"/>
  <c r="BD224" i="96" s="1"/>
  <c r="BD225" i="96" s="1"/>
  <c r="BD226" i="96" s="1"/>
  <c r="BD227" i="96" s="1"/>
  <c r="BD228" i="96" s="1"/>
  <c r="BD229" i="96" s="1"/>
  <c r="BD230" i="96" s="1"/>
  <c r="BD231" i="96" s="1"/>
  <c r="BD232" i="96" s="1"/>
  <c r="BD233" i="96" s="1"/>
  <c r="BD234" i="96" s="1"/>
  <c r="BD235" i="96" s="1"/>
  <c r="BD236" i="96" s="1"/>
  <c r="BD237" i="96" s="1"/>
  <c r="BD238" i="96" s="1"/>
  <c r="BD239" i="96" s="1"/>
  <c r="BD240" i="96" s="1"/>
  <c r="BE195" i="96"/>
  <c r="BE196" i="96" s="1"/>
  <c r="BE197" i="96" s="1"/>
  <c r="BE198" i="96" s="1"/>
  <c r="BE199" i="96" s="1"/>
  <c r="BE200" i="96" s="1"/>
  <c r="BE201" i="96" s="1"/>
  <c r="BE202" i="96" s="1"/>
  <c r="BE203" i="96" s="1"/>
  <c r="BE204" i="96" s="1"/>
  <c r="BE205" i="96" s="1"/>
  <c r="BE206" i="96" s="1"/>
  <c r="BE207" i="96" s="1"/>
  <c r="BE208" i="96" s="1"/>
  <c r="BE209" i="96" s="1"/>
  <c r="BE210" i="96" s="1"/>
  <c r="BE211" i="96" s="1"/>
  <c r="BE212" i="96" s="1"/>
  <c r="BE213" i="96" s="1"/>
  <c r="BE214" i="96" s="1"/>
  <c r="BE215" i="96" s="1"/>
  <c r="BE216" i="96" s="1"/>
  <c r="BE217" i="96" s="1"/>
  <c r="BE218" i="96" s="1"/>
  <c r="BE219" i="96" s="1"/>
  <c r="BE220" i="96" s="1"/>
  <c r="BE221" i="96" s="1"/>
  <c r="BE222" i="96" s="1"/>
  <c r="BE223" i="96" s="1"/>
  <c r="BE224" i="96" s="1"/>
  <c r="BE225" i="96" s="1"/>
  <c r="BE226" i="96" s="1"/>
  <c r="BE227" i="96" s="1"/>
  <c r="BE228" i="96" s="1"/>
  <c r="BE229" i="96" s="1"/>
  <c r="BE230" i="96" s="1"/>
  <c r="BE231" i="96" s="1"/>
  <c r="BE232" i="96" s="1"/>
  <c r="BE233" i="96" s="1"/>
  <c r="BE234" i="96" s="1"/>
  <c r="BE235" i="96" s="1"/>
  <c r="BE236" i="96" s="1"/>
  <c r="BE237" i="96" s="1"/>
  <c r="BE238" i="96" s="1"/>
  <c r="BE239" i="96" s="1"/>
  <c r="BE240" i="96" s="1"/>
  <c r="L23" i="91"/>
  <c r="L24" i="91"/>
  <c r="L25" i="91"/>
  <c r="L26" i="91"/>
  <c r="L31" i="91"/>
  <c r="L32" i="91"/>
  <c r="L20" i="91"/>
  <c r="L28" i="91"/>
  <c r="L27" i="91"/>
  <c r="L18" i="91"/>
  <c r="L19" i="91"/>
  <c r="L33" i="91"/>
  <c r="L34" i="91"/>
  <c r="L30" i="91"/>
  <c r="L29" i="91"/>
  <c r="L21" i="91"/>
  <c r="L9" i="91"/>
  <c r="L8" i="91"/>
  <c r="L5" i="91"/>
  <c r="L10" i="91"/>
  <c r="L7" i="91"/>
  <c r="L6" i="91"/>
  <c r="L97" i="91"/>
  <c r="L98" i="91"/>
  <c r="L94" i="91"/>
  <c r="L95" i="91"/>
  <c r="L96" i="91"/>
  <c r="L99" i="91"/>
  <c r="L111" i="91"/>
  <c r="L110" i="91"/>
  <c r="L112" i="91"/>
  <c r="L109" i="91"/>
  <c r="L113" i="91"/>
  <c r="L107" i="91"/>
  <c r="L108" i="91"/>
  <c r="L170" i="91"/>
  <c r="L165" i="91"/>
  <c r="L171" i="91"/>
  <c r="L169" i="91"/>
  <c r="L163" i="91"/>
  <c r="L161" i="91"/>
  <c r="L166" i="91"/>
  <c r="L162" i="91"/>
  <c r="L164" i="91"/>
  <c r="L168" i="91"/>
  <c r="L167" i="91"/>
  <c r="L181" i="91"/>
  <c r="L183" i="91"/>
  <c r="L178" i="91"/>
  <c r="L172" i="91"/>
  <c r="L174" i="91"/>
  <c r="L179" i="91"/>
  <c r="L176" i="91"/>
  <c r="L180" i="91"/>
  <c r="L175" i="91"/>
  <c r="L177" i="91"/>
  <c r="L173" i="91"/>
  <c r="L182" i="91"/>
  <c r="L143" i="91"/>
  <c r="L149" i="91"/>
  <c r="L140" i="91"/>
  <c r="L146" i="91"/>
  <c r="L145" i="91"/>
  <c r="L141" i="91"/>
  <c r="L142" i="91"/>
  <c r="L148" i="91"/>
  <c r="L147" i="91"/>
  <c r="L144" i="91"/>
  <c r="L106" i="91"/>
  <c r="L100" i="91"/>
  <c r="L104" i="91"/>
  <c r="L101" i="91"/>
  <c r="L105" i="91"/>
  <c r="L102" i="91"/>
  <c r="L103" i="91"/>
  <c r="L117" i="91"/>
  <c r="L115" i="91"/>
  <c r="L120" i="91"/>
  <c r="L121" i="91"/>
  <c r="L119" i="91"/>
  <c r="L116" i="91"/>
  <c r="L114" i="91"/>
  <c r="L118" i="91"/>
  <c r="L157" i="91"/>
  <c r="L158" i="91"/>
  <c r="L156" i="91"/>
  <c r="L155" i="91"/>
  <c r="L152" i="91"/>
  <c r="L151" i="91"/>
  <c r="L160" i="91"/>
  <c r="L154" i="91"/>
  <c r="L153" i="91"/>
  <c r="L150" i="91"/>
  <c r="L159" i="91"/>
  <c r="L137" i="91"/>
  <c r="L131" i="91"/>
  <c r="L134" i="91"/>
  <c r="L132" i="91"/>
  <c r="L135" i="91"/>
  <c r="L133" i="91"/>
  <c r="L139" i="91"/>
  <c r="L138" i="91"/>
  <c r="L136" i="91"/>
  <c r="L125" i="91"/>
  <c r="L129" i="91"/>
  <c r="L124" i="91"/>
  <c r="L123" i="91"/>
  <c r="L122" i="91"/>
  <c r="L128" i="91"/>
  <c r="L127" i="91"/>
  <c r="L130" i="91"/>
  <c r="L12" i="91"/>
  <c r="L15" i="91"/>
  <c r="L17" i="91"/>
  <c r="L11" i="91"/>
  <c r="L16" i="91"/>
  <c r="L13" i="91"/>
  <c r="L214" i="91"/>
  <c r="L222" i="91"/>
  <c r="L221" i="91"/>
  <c r="L212" i="91"/>
  <c r="L210" i="91"/>
  <c r="L215" i="91"/>
  <c r="L211" i="91"/>
  <c r="L218" i="91"/>
  <c r="L213" i="91"/>
  <c r="L223" i="91"/>
  <c r="L219" i="91"/>
  <c r="L224" i="91"/>
  <c r="L217" i="91"/>
  <c r="L220" i="91"/>
  <c r="L216" i="91"/>
  <c r="L256" i="91"/>
  <c r="L242" i="91"/>
  <c r="L247" i="91"/>
  <c r="L241" i="91"/>
  <c r="L246" i="91"/>
  <c r="L249" i="91"/>
  <c r="L251" i="91"/>
  <c r="L255" i="91"/>
  <c r="L250" i="91"/>
  <c r="L254" i="91"/>
  <c r="L245" i="91"/>
  <c r="L243" i="91"/>
  <c r="L253" i="91"/>
  <c r="L252" i="91"/>
  <c r="L244" i="91"/>
  <c r="L248" i="91"/>
  <c r="L208" i="91"/>
  <c r="L201" i="91"/>
  <c r="L200" i="91"/>
  <c r="L197" i="91"/>
  <c r="L207" i="91"/>
  <c r="L196" i="91"/>
  <c r="L209" i="91"/>
  <c r="L199" i="91"/>
  <c r="L205" i="91"/>
  <c r="L202" i="91"/>
  <c r="L203" i="91"/>
  <c r="L198" i="91"/>
  <c r="L204" i="91"/>
  <c r="L206" i="91"/>
  <c r="L317" i="91"/>
  <c r="L310" i="91"/>
  <c r="L301" i="91"/>
  <c r="L299" i="91"/>
  <c r="L302" i="91"/>
  <c r="L306" i="91"/>
  <c r="L307" i="91"/>
  <c r="L316" i="91"/>
  <c r="L305" i="91"/>
  <c r="L311" i="91"/>
  <c r="L304" i="91"/>
  <c r="L303" i="91"/>
  <c r="L300" i="91"/>
  <c r="L297" i="91"/>
  <c r="L298" i="91"/>
  <c r="L314" i="91"/>
  <c r="L312" i="91"/>
  <c r="L309" i="91"/>
  <c r="L319" i="91"/>
  <c r="L315" i="91"/>
  <c r="L296" i="91"/>
  <c r="L318" i="91"/>
  <c r="L313" i="91"/>
  <c r="L308" i="91"/>
  <c r="L194" i="91"/>
  <c r="L188" i="91"/>
  <c r="L190" i="91"/>
  <c r="L189" i="91"/>
  <c r="L187" i="91"/>
  <c r="L191" i="91"/>
  <c r="L193" i="91"/>
  <c r="L186" i="91"/>
  <c r="L192" i="91"/>
  <c r="L195" i="91"/>
  <c r="L185" i="91"/>
  <c r="L184" i="91"/>
  <c r="L325" i="91"/>
  <c r="L336" i="91"/>
  <c r="L328" i="91"/>
  <c r="L322" i="91"/>
  <c r="L324" i="91"/>
  <c r="L344" i="91"/>
  <c r="L340" i="91"/>
  <c r="L321" i="91"/>
  <c r="L346" i="91"/>
  <c r="L337" i="91"/>
  <c r="L334" i="91"/>
  <c r="L347" i="91"/>
  <c r="L332" i="91"/>
  <c r="L341" i="91"/>
  <c r="L342" i="91"/>
  <c r="L333" i="91"/>
  <c r="L339" i="91"/>
  <c r="L327" i="91"/>
  <c r="L320" i="91"/>
  <c r="L330" i="91"/>
  <c r="L331" i="91"/>
  <c r="L323" i="91"/>
  <c r="L335" i="91"/>
  <c r="L338" i="91"/>
  <c r="L326" i="91"/>
  <c r="L343" i="91"/>
  <c r="L345" i="91"/>
  <c r="L239" i="91"/>
  <c r="L228" i="91"/>
  <c r="L237" i="91"/>
  <c r="L238" i="91"/>
  <c r="L227" i="91"/>
  <c r="L229" i="91"/>
  <c r="L236" i="91"/>
  <c r="L240" i="91"/>
  <c r="L235" i="91"/>
  <c r="L233" i="91"/>
  <c r="L231" i="91"/>
  <c r="L230" i="91"/>
  <c r="L226" i="91"/>
  <c r="L225" i="91"/>
  <c r="L232" i="91"/>
  <c r="L234" i="91"/>
  <c r="L287" i="91"/>
  <c r="L279" i="91"/>
  <c r="L276" i="91"/>
  <c r="L288" i="91"/>
  <c r="L278" i="91"/>
  <c r="L292" i="91"/>
  <c r="L281" i="91"/>
  <c r="L293" i="91"/>
  <c r="L275" i="91"/>
  <c r="L285" i="91"/>
  <c r="L290" i="91"/>
  <c r="L277" i="91"/>
  <c r="L291" i="91"/>
  <c r="L283" i="91"/>
  <c r="L282" i="91"/>
  <c r="L280" i="91"/>
  <c r="L286" i="91"/>
  <c r="L284" i="91"/>
  <c r="L289" i="91"/>
  <c r="L295" i="91"/>
  <c r="L294" i="91"/>
  <c r="L267" i="91"/>
  <c r="L270" i="91"/>
  <c r="L258" i="91"/>
  <c r="L273" i="91"/>
  <c r="L266" i="91"/>
  <c r="L261" i="91"/>
  <c r="L257" i="91"/>
  <c r="L259" i="91"/>
  <c r="L263" i="91"/>
  <c r="L271" i="91"/>
  <c r="L268" i="91"/>
  <c r="L264" i="91"/>
  <c r="L269" i="91"/>
  <c r="L260" i="91"/>
  <c r="L265" i="91"/>
  <c r="L272" i="91"/>
  <c r="L262" i="91"/>
  <c r="L274" i="91"/>
  <c r="L71" i="91"/>
  <c r="L68" i="91"/>
  <c r="L69" i="91"/>
  <c r="L70" i="91"/>
  <c r="L62" i="91"/>
  <c r="L60" i="91"/>
  <c r="L59" i="91"/>
  <c r="L61" i="91"/>
  <c r="L89" i="91"/>
  <c r="L93" i="91"/>
  <c r="L90" i="91"/>
  <c r="L88" i="91"/>
  <c r="L91" i="91"/>
  <c r="L92" i="91"/>
  <c r="L87" i="91"/>
  <c r="L58" i="91"/>
  <c r="L55" i="91"/>
  <c r="L57" i="91"/>
  <c r="L56" i="91"/>
  <c r="L47" i="91"/>
  <c r="L46" i="91"/>
  <c r="L45" i="91"/>
  <c r="L85" i="91"/>
  <c r="L83" i="91"/>
  <c r="L86" i="91"/>
  <c r="L82" i="91"/>
  <c r="L84" i="91"/>
  <c r="L74" i="91"/>
  <c r="L73" i="91"/>
  <c r="L75" i="91"/>
  <c r="L76" i="91"/>
  <c r="L72" i="91"/>
  <c r="L39" i="91"/>
  <c r="L37" i="91"/>
  <c r="L38" i="91"/>
  <c r="L35" i="91"/>
  <c r="L36" i="91"/>
  <c r="L81" i="91"/>
  <c r="L77" i="91"/>
  <c r="L80" i="91"/>
  <c r="L78" i="91"/>
  <c r="L79" i="91"/>
  <c r="L40" i="91"/>
  <c r="L41" i="91"/>
  <c r="L65" i="91"/>
  <c r="L63" i="91"/>
  <c r="L66" i="91"/>
  <c r="L64" i="91"/>
  <c r="L49" i="91"/>
  <c r="L48" i="91"/>
  <c r="L50" i="91"/>
  <c r="L51" i="91"/>
  <c r="L53" i="91"/>
  <c r="L52" i="91"/>
  <c r="L54" i="91"/>
  <c r="L43" i="91"/>
  <c r="L44" i="91"/>
  <c r="L42" i="91"/>
  <c r="K372" i="91"/>
  <c r="K365" i="91"/>
  <c r="K383" i="91"/>
  <c r="K379" i="91"/>
  <c r="K370" i="91"/>
  <c r="K366" i="91"/>
  <c r="K363" i="91"/>
  <c r="K376" i="91"/>
  <c r="K386" i="91"/>
  <c r="K378" i="91"/>
  <c r="K375" i="91"/>
  <c r="K369" i="91"/>
  <c r="K381" i="91"/>
  <c r="K371" i="91"/>
  <c r="K362" i="91"/>
  <c r="K380" i="91"/>
  <c r="K385" i="91"/>
  <c r="K374" i="91"/>
  <c r="K387" i="91"/>
  <c r="K373" i="91"/>
  <c r="K367" i="91"/>
  <c r="K384" i="91"/>
  <c r="K377" i="91"/>
  <c r="K364" i="91"/>
  <c r="K368" i="91"/>
  <c r="K382" i="91"/>
  <c r="E51" i="91"/>
  <c r="E52" i="91"/>
  <c r="E53" i="91"/>
  <c r="E56" i="91"/>
  <c r="E49" i="91"/>
  <c r="E54" i="91"/>
  <c r="E47" i="91"/>
  <c r="E48" i="91"/>
  <c r="E57" i="91"/>
  <c r="E55" i="91"/>
  <c r="E50" i="91"/>
  <c r="E27" i="91"/>
  <c r="E5" i="91"/>
  <c r="E34" i="91"/>
  <c r="E14" i="91"/>
  <c r="E4" i="91"/>
  <c r="E23" i="91"/>
  <c r="E17" i="91"/>
  <c r="E29" i="91"/>
  <c r="E6" i="91"/>
  <c r="E15" i="91"/>
  <c r="E19" i="91"/>
  <c r="E10" i="91"/>
  <c r="E35" i="91"/>
  <c r="E25" i="91"/>
  <c r="E13" i="91"/>
  <c r="E11" i="91"/>
  <c r="E28" i="91"/>
  <c r="E16" i="91"/>
  <c r="E36" i="91"/>
  <c r="E32" i="91"/>
  <c r="E8" i="91"/>
  <c r="E33" i="91"/>
  <c r="E22" i="91"/>
  <c r="E20" i="91"/>
  <c r="E18" i="91"/>
  <c r="E21" i="91"/>
  <c r="E31" i="91"/>
  <c r="E37" i="91"/>
  <c r="E30" i="91"/>
  <c r="E7" i="91"/>
  <c r="E9" i="91"/>
  <c r="E12" i="91"/>
  <c r="E26" i="91"/>
  <c r="E24" i="91"/>
  <c r="K62" i="91"/>
  <c r="K10" i="91"/>
  <c r="E73" i="91"/>
  <c r="E75" i="91"/>
  <c r="E81" i="91"/>
  <c r="E82" i="91"/>
  <c r="E79" i="91"/>
  <c r="E74" i="91"/>
  <c r="E76" i="91"/>
  <c r="E80" i="91"/>
  <c r="E78" i="91"/>
  <c r="E77" i="91"/>
  <c r="E40" i="91"/>
  <c r="E44" i="91"/>
  <c r="E46" i="91"/>
  <c r="E38" i="91"/>
  <c r="E45" i="91"/>
  <c r="E43" i="91"/>
  <c r="E41" i="91"/>
  <c r="E42" i="91"/>
  <c r="E39" i="91"/>
  <c r="E85" i="91"/>
  <c r="E92" i="91"/>
  <c r="E87" i="91"/>
  <c r="E84" i="91"/>
  <c r="E90" i="91"/>
  <c r="E83" i="91"/>
  <c r="E91" i="91"/>
  <c r="E86" i="91"/>
  <c r="E89" i="91"/>
  <c r="E88" i="91"/>
  <c r="K20" i="91"/>
  <c r="J369" i="91"/>
  <c r="J370" i="91"/>
  <c r="J380" i="91"/>
  <c r="J381" i="91"/>
  <c r="J385" i="91"/>
  <c r="J383" i="91"/>
  <c r="J367" i="91"/>
  <c r="J382" i="91"/>
  <c r="J379" i="91"/>
  <c r="J368" i="91"/>
  <c r="J389" i="91"/>
  <c r="J365" i="91"/>
  <c r="J377" i="91"/>
  <c r="J376" i="91"/>
  <c r="J373" i="91"/>
  <c r="J378" i="91"/>
  <c r="J384" i="91"/>
  <c r="J372" i="91"/>
  <c r="J386" i="91"/>
  <c r="J375" i="91"/>
  <c r="J374" i="91"/>
  <c r="J387" i="91"/>
  <c r="J371" i="91"/>
  <c r="J366" i="91"/>
  <c r="J388" i="91"/>
  <c r="J390" i="91"/>
  <c r="E68" i="91"/>
  <c r="E66" i="91"/>
  <c r="E72" i="91"/>
  <c r="E65" i="91"/>
  <c r="E62" i="91"/>
  <c r="E71" i="91"/>
  <c r="E69" i="91"/>
  <c r="E59" i="91"/>
  <c r="E58" i="91"/>
  <c r="E70" i="91"/>
  <c r="E60" i="91"/>
  <c r="E67" i="91"/>
  <c r="E63" i="91"/>
  <c r="E64" i="91"/>
  <c r="E61" i="91"/>
  <c r="C89" i="91"/>
  <c r="D91" i="91"/>
  <c r="AA8" i="101"/>
  <c r="AA6" i="101"/>
  <c r="AA9" i="101"/>
  <c r="AA7" i="101"/>
  <c r="X12" i="99"/>
  <c r="X10" i="99"/>
  <c r="X13" i="99"/>
  <c r="X11" i="99"/>
  <c r="X14" i="99"/>
  <c r="AB18" i="101"/>
  <c r="AB17" i="101"/>
  <c r="AB16" i="101"/>
  <c r="AB15" i="101"/>
  <c r="AB19" i="101"/>
  <c r="X13" i="101"/>
  <c r="X11" i="101"/>
  <c r="X10" i="101"/>
  <c r="X14" i="101"/>
  <c r="X12" i="101"/>
  <c r="Y12" i="101"/>
  <c r="Y10" i="101"/>
  <c r="Y11" i="101"/>
  <c r="Y13" i="101"/>
  <c r="Y14" i="101"/>
  <c r="W13" i="99"/>
  <c r="W12" i="99"/>
  <c r="W11" i="99"/>
  <c r="W14" i="99"/>
  <c r="W10" i="99"/>
  <c r="Y10" i="99"/>
  <c r="Y11" i="99"/>
  <c r="Y12" i="99"/>
  <c r="Y14" i="99"/>
  <c r="Y13" i="99"/>
  <c r="AA11" i="99"/>
  <c r="AA13" i="99"/>
  <c r="AA10" i="99"/>
  <c r="AA14" i="99"/>
  <c r="AF86" i="96"/>
  <c r="R86" i="99" s="1"/>
  <c r="AA12" i="99"/>
  <c r="AB19" i="97" l="1"/>
  <c r="AA19" i="97" s="1"/>
  <c r="AB45" i="97"/>
  <c r="AA45" i="97" s="1"/>
  <c r="Z45" i="97" s="1"/>
  <c r="X86" i="97"/>
  <c r="AP14" i="101"/>
  <c r="AP13" i="101"/>
  <c r="AP11" i="101"/>
  <c r="AP10" i="101"/>
  <c r="AP12" i="101"/>
  <c r="AO12" i="101"/>
  <c r="AO14" i="101"/>
  <c r="AO10" i="101"/>
  <c r="AO11" i="101"/>
  <c r="AO13" i="101"/>
  <c r="AS19" i="101"/>
  <c r="AS15" i="101"/>
  <c r="AS16" i="101"/>
  <c r="AS17" i="101"/>
  <c r="AS18" i="101"/>
  <c r="AR7" i="101"/>
  <c r="AR9" i="101"/>
  <c r="AR6" i="101"/>
  <c r="AR8" i="101"/>
  <c r="AB46" i="97"/>
  <c r="AA46" i="97" s="1"/>
  <c r="Z46" i="97" s="1"/>
  <c r="AC47" i="97"/>
  <c r="AB20" i="97"/>
  <c r="AA20" i="97" s="1"/>
  <c r="AC21" i="97"/>
  <c r="AC101" i="97"/>
  <c r="Z19" i="97"/>
  <c r="AC72" i="97"/>
  <c r="AB71" i="97"/>
  <c r="AA71" i="97" s="1"/>
  <c r="Z71" i="97" s="1"/>
  <c r="AB124" i="97"/>
  <c r="AA124" i="97" s="1"/>
  <c r="Z124" i="97" s="1"/>
  <c r="AC125" i="97"/>
  <c r="AA96" i="97"/>
  <c r="Z96" i="97" s="1"/>
  <c r="AB97" i="97"/>
  <c r="T95" i="99"/>
  <c r="T96" i="99" s="1"/>
  <c r="T97" i="99" s="1"/>
  <c r="T98" i="99" s="1"/>
  <c r="T99" i="99" s="1"/>
  <c r="T100" i="99" s="1"/>
  <c r="T101" i="99" s="1"/>
  <c r="T102" i="99" s="1"/>
  <c r="T103" i="99" s="1"/>
  <c r="T104" i="99" s="1"/>
  <c r="T105" i="99" s="1"/>
  <c r="T106" i="99" s="1"/>
  <c r="T107" i="99" s="1"/>
  <c r="T108" i="99" s="1"/>
  <c r="T109" i="99" s="1"/>
  <c r="T110" i="99" s="1"/>
  <c r="T111" i="99" s="1"/>
  <c r="T112" i="99" s="1"/>
  <c r="M86" i="97"/>
  <c r="H86" i="97"/>
  <c r="BE241" i="96"/>
  <c r="BD241" i="96"/>
  <c r="N72" i="91"/>
  <c r="N74" i="91"/>
  <c r="N73" i="91"/>
  <c r="N75" i="91"/>
  <c r="N85" i="91"/>
  <c r="N82" i="91"/>
  <c r="N84" i="91"/>
  <c r="N83" i="91"/>
  <c r="N81" i="91"/>
  <c r="N86" i="91"/>
  <c r="N65" i="91"/>
  <c r="N63" i="91"/>
  <c r="N66" i="91"/>
  <c r="N64" i="91"/>
  <c r="N70" i="91"/>
  <c r="N69" i="91"/>
  <c r="N68" i="91"/>
  <c r="N67" i="91"/>
  <c r="N71" i="91"/>
  <c r="N39" i="91"/>
  <c r="N80" i="91"/>
  <c r="N79" i="91"/>
  <c r="N78" i="91"/>
  <c r="N77" i="91"/>
  <c r="N76" i="91"/>
  <c r="N53" i="91"/>
  <c r="N52" i="91"/>
  <c r="N54" i="91"/>
  <c r="N56" i="91"/>
  <c r="N55" i="91"/>
  <c r="N57" i="91"/>
  <c r="N37" i="91"/>
  <c r="N35" i="91"/>
  <c r="N36" i="91"/>
  <c r="N42" i="91"/>
  <c r="N40" i="91"/>
  <c r="N41" i="91"/>
  <c r="N60" i="91"/>
  <c r="N62" i="91"/>
  <c r="N59" i="91"/>
  <c r="N61" i="91"/>
  <c r="N44" i="91"/>
  <c r="N96" i="91"/>
  <c r="N95" i="91"/>
  <c r="N97" i="91"/>
  <c r="N94" i="91"/>
  <c r="N93" i="91"/>
  <c r="N98" i="91"/>
  <c r="N91" i="91"/>
  <c r="N89" i="91"/>
  <c r="N87" i="91"/>
  <c r="N90" i="91"/>
  <c r="N88" i="91"/>
  <c r="N48" i="91"/>
  <c r="N51" i="91"/>
  <c r="N50" i="91"/>
  <c r="N49" i="91"/>
  <c r="N45" i="91"/>
  <c r="N46" i="91"/>
  <c r="N47" i="91"/>
  <c r="M89" i="91"/>
  <c r="M88" i="91"/>
  <c r="M85" i="91"/>
  <c r="M87" i="91"/>
  <c r="M86" i="91"/>
  <c r="M84" i="91"/>
  <c r="M58" i="91"/>
  <c r="M57" i="91"/>
  <c r="M59" i="91"/>
  <c r="M60" i="91"/>
  <c r="M45" i="91"/>
  <c r="M44" i="91"/>
  <c r="M46" i="91"/>
  <c r="M36" i="91"/>
  <c r="M38" i="91"/>
  <c r="M37" i="91"/>
  <c r="M75" i="91"/>
  <c r="M78" i="91"/>
  <c r="M74" i="91"/>
  <c r="M76" i="91"/>
  <c r="M77" i="91"/>
  <c r="M40" i="91"/>
  <c r="M39" i="91"/>
  <c r="M52" i="91"/>
  <c r="M51" i="91"/>
  <c r="M53" i="91"/>
  <c r="M50" i="91"/>
  <c r="M65" i="91"/>
  <c r="M67" i="91"/>
  <c r="M66" i="91"/>
  <c r="M68" i="91"/>
  <c r="M34" i="91"/>
  <c r="M35" i="91"/>
  <c r="M42" i="91"/>
  <c r="M43" i="91"/>
  <c r="M41" i="91"/>
  <c r="M93" i="91"/>
  <c r="M96" i="91"/>
  <c r="M90" i="91"/>
  <c r="M92" i="91"/>
  <c r="M94" i="91"/>
  <c r="M91" i="91"/>
  <c r="M95" i="91"/>
  <c r="M49" i="91"/>
  <c r="M48" i="91"/>
  <c r="M47" i="91"/>
  <c r="M55" i="91"/>
  <c r="M56" i="91"/>
  <c r="M54" i="91"/>
  <c r="M62" i="91"/>
  <c r="M61" i="91"/>
  <c r="M64" i="91"/>
  <c r="M63" i="91"/>
  <c r="M79" i="91"/>
  <c r="M82" i="91"/>
  <c r="M80" i="91"/>
  <c r="M81" i="91"/>
  <c r="M83" i="91"/>
  <c r="M71" i="91"/>
  <c r="M69" i="91"/>
  <c r="M73" i="91"/>
  <c r="M72" i="91"/>
  <c r="M70" i="91"/>
  <c r="M17" i="91"/>
  <c r="M11" i="91"/>
  <c r="M15" i="91"/>
  <c r="M13" i="91"/>
  <c r="M12" i="91"/>
  <c r="M16" i="91"/>
  <c r="M14" i="91"/>
  <c r="N11" i="91"/>
  <c r="N16" i="91"/>
  <c r="N17" i="91"/>
  <c r="N304" i="91"/>
  <c r="N299" i="91"/>
  <c r="N254" i="91"/>
  <c r="N285" i="91"/>
  <c r="N266" i="91"/>
  <c r="N258" i="91"/>
  <c r="N260" i="91"/>
  <c r="N321" i="91"/>
  <c r="N311" i="91"/>
  <c r="N291" i="91"/>
  <c r="N316" i="91"/>
  <c r="N262" i="91"/>
  <c r="N309" i="91"/>
  <c r="N265" i="91"/>
  <c r="N284" i="91"/>
  <c r="N261" i="91"/>
  <c r="N331" i="91"/>
  <c r="N288" i="91"/>
  <c r="N301" i="91"/>
  <c r="N319" i="91"/>
  <c r="N325" i="91"/>
  <c r="N313" i="91"/>
  <c r="N324" i="91"/>
  <c r="N293" i="91"/>
  <c r="N307" i="91"/>
  <c r="N300" i="91"/>
  <c r="N322" i="91"/>
  <c r="N292" i="91"/>
  <c r="N250" i="91"/>
  <c r="N296" i="91"/>
  <c r="N259" i="91"/>
  <c r="N317" i="91"/>
  <c r="N318" i="91"/>
  <c r="N278" i="91"/>
  <c r="N326" i="91"/>
  <c r="N272" i="91"/>
  <c r="N280" i="91"/>
  <c r="N315" i="91"/>
  <c r="N298" i="91"/>
  <c r="N256" i="91"/>
  <c r="N267" i="91"/>
  <c r="N314" i="91"/>
  <c r="N279" i="91"/>
  <c r="N252" i="91"/>
  <c r="N273" i="91"/>
  <c r="N289" i="91"/>
  <c r="N274" i="91"/>
  <c r="N329" i="91"/>
  <c r="N294" i="91"/>
  <c r="N268" i="91"/>
  <c r="N281" i="91"/>
  <c r="N302" i="91"/>
  <c r="N320" i="91"/>
  <c r="N295" i="91"/>
  <c r="N271" i="91"/>
  <c r="N310" i="91"/>
  <c r="N276" i="91"/>
  <c r="N253" i="91"/>
  <c r="N249" i="91"/>
  <c r="N327" i="91"/>
  <c r="N290" i="91"/>
  <c r="N263" i="91"/>
  <c r="N306" i="91"/>
  <c r="N277" i="91"/>
  <c r="N282" i="91"/>
  <c r="N251" i="91"/>
  <c r="N286" i="91"/>
  <c r="N287" i="91"/>
  <c r="N275" i="91"/>
  <c r="N303" i="91"/>
  <c r="N248" i="91"/>
  <c r="N328" i="91"/>
  <c r="N312" i="91"/>
  <c r="N269" i="91"/>
  <c r="N264" i="91"/>
  <c r="N330" i="91"/>
  <c r="N255" i="91"/>
  <c r="N270" i="91"/>
  <c r="N257" i="91"/>
  <c r="N283" i="91"/>
  <c r="N308" i="91"/>
  <c r="N297" i="91"/>
  <c r="N323" i="91"/>
  <c r="N305" i="91"/>
  <c r="N6" i="91"/>
  <c r="N9" i="91"/>
  <c r="N8" i="91"/>
  <c r="N7" i="91"/>
  <c r="N10" i="91"/>
  <c r="N4" i="91"/>
  <c r="N5" i="91"/>
  <c r="M257" i="91"/>
  <c r="M305" i="91"/>
  <c r="M260" i="91"/>
  <c r="M295" i="91"/>
  <c r="M264" i="91"/>
  <c r="M280" i="91"/>
  <c r="M262" i="91"/>
  <c r="M324" i="91"/>
  <c r="M268" i="91"/>
  <c r="M317" i="91"/>
  <c r="M298" i="91"/>
  <c r="M308" i="91"/>
  <c r="M313" i="91"/>
  <c r="M258" i="91"/>
  <c r="M255" i="91"/>
  <c r="M304" i="91"/>
  <c r="M269" i="91"/>
  <c r="M270" i="91"/>
  <c r="M312" i="91"/>
  <c r="M278" i="91"/>
  <c r="M311" i="91"/>
  <c r="M302" i="91"/>
  <c r="M271" i="91"/>
  <c r="M293" i="91"/>
  <c r="M316" i="91"/>
  <c r="M309" i="91"/>
  <c r="M263" i="91"/>
  <c r="M276" i="91"/>
  <c r="M289" i="91"/>
  <c r="M259" i="91"/>
  <c r="M266" i="91"/>
  <c r="M277" i="91"/>
  <c r="M256" i="91"/>
  <c r="M310" i="91"/>
  <c r="M322" i="91"/>
  <c r="M301" i="91"/>
  <c r="M328" i="91"/>
  <c r="M251" i="91"/>
  <c r="M315" i="91"/>
  <c r="M330" i="91"/>
  <c r="M318" i="91"/>
  <c r="M273" i="91"/>
  <c r="M325" i="91"/>
  <c r="M286" i="91"/>
  <c r="M326" i="91"/>
  <c r="M275" i="91"/>
  <c r="M296" i="91"/>
  <c r="M282" i="91"/>
  <c r="M253" i="91"/>
  <c r="M272" i="91"/>
  <c r="M319" i="91"/>
  <c r="M292" i="91"/>
  <c r="M290" i="91"/>
  <c r="M291" i="91"/>
  <c r="M288" i="91"/>
  <c r="M267" i="91"/>
  <c r="M249" i="91"/>
  <c r="M274" i="91"/>
  <c r="M314" i="91"/>
  <c r="M323" i="91"/>
  <c r="M254" i="91"/>
  <c r="M306" i="91"/>
  <c r="M307" i="91"/>
  <c r="M285" i="91"/>
  <c r="M248" i="91"/>
  <c r="M303" i="91"/>
  <c r="M329" i="91"/>
  <c r="M321" i="91"/>
  <c r="M281" i="91"/>
  <c r="M279" i="91"/>
  <c r="M300" i="91"/>
  <c r="M261" i="91"/>
  <c r="M265" i="91"/>
  <c r="M327" i="91"/>
  <c r="M331" i="91"/>
  <c r="M294" i="91"/>
  <c r="M299" i="91"/>
  <c r="M297" i="91"/>
  <c r="M252" i="91"/>
  <c r="M283" i="91"/>
  <c r="M250" i="91"/>
  <c r="M287" i="91"/>
  <c r="M284" i="91"/>
  <c r="M320" i="91"/>
  <c r="M199" i="91"/>
  <c r="M194" i="91"/>
  <c r="M193" i="91"/>
  <c r="M190" i="91"/>
  <c r="M197" i="91"/>
  <c r="M189" i="91"/>
  <c r="M201" i="91"/>
  <c r="M195" i="91"/>
  <c r="M196" i="91"/>
  <c r="M198" i="91"/>
  <c r="M192" i="91"/>
  <c r="M200" i="91"/>
  <c r="M191" i="91"/>
  <c r="M245" i="91"/>
  <c r="M223" i="91"/>
  <c r="M234" i="91"/>
  <c r="M228" i="91"/>
  <c r="M235" i="91"/>
  <c r="M230" i="91"/>
  <c r="M247" i="91"/>
  <c r="M243" i="91"/>
  <c r="M236" i="91"/>
  <c r="M240" i="91"/>
  <c r="M224" i="91"/>
  <c r="M239" i="91"/>
  <c r="M225" i="91"/>
  <c r="M237" i="91"/>
  <c r="M238" i="91"/>
  <c r="M229" i="91"/>
  <c r="M222" i="91"/>
  <c r="M246" i="91"/>
  <c r="M244" i="91"/>
  <c r="M220" i="91"/>
  <c r="M233" i="91"/>
  <c r="M226" i="91"/>
  <c r="M242" i="91"/>
  <c r="M221" i="91"/>
  <c r="M227" i="91"/>
  <c r="M241" i="91"/>
  <c r="M232" i="91"/>
  <c r="M231" i="91"/>
  <c r="M216" i="91"/>
  <c r="M202" i="91"/>
  <c r="M219" i="91"/>
  <c r="M213" i="91"/>
  <c r="M204" i="91"/>
  <c r="M203" i="91"/>
  <c r="M205" i="91"/>
  <c r="M208" i="91"/>
  <c r="M218" i="91"/>
  <c r="M215" i="91"/>
  <c r="M210" i="91"/>
  <c r="M217" i="91"/>
  <c r="M214" i="91"/>
  <c r="M207" i="91"/>
  <c r="M212" i="91"/>
  <c r="M209" i="91"/>
  <c r="M211" i="91"/>
  <c r="M206" i="91"/>
  <c r="M10" i="91"/>
  <c r="M4" i="91"/>
  <c r="M6" i="91"/>
  <c r="M8" i="91"/>
  <c r="N109" i="91"/>
  <c r="N112" i="91"/>
  <c r="N115" i="91"/>
  <c r="N110" i="91"/>
  <c r="N114" i="91"/>
  <c r="N113" i="91"/>
  <c r="N106" i="91"/>
  <c r="N111" i="91"/>
  <c r="N107" i="91"/>
  <c r="N108" i="91"/>
  <c r="N203" i="91"/>
  <c r="N176" i="91"/>
  <c r="N210" i="91"/>
  <c r="N233" i="91"/>
  <c r="N238" i="91"/>
  <c r="N166" i="91"/>
  <c r="N247" i="91"/>
  <c r="N169" i="91"/>
  <c r="N167" i="91"/>
  <c r="N180" i="91"/>
  <c r="N207" i="91"/>
  <c r="N173" i="91"/>
  <c r="N184" i="91"/>
  <c r="N246" i="91"/>
  <c r="N225" i="91"/>
  <c r="N212" i="91"/>
  <c r="N231" i="91"/>
  <c r="N217" i="91"/>
  <c r="N185" i="91"/>
  <c r="N171" i="91"/>
  <c r="N230" i="91"/>
  <c r="N205" i="91"/>
  <c r="N242" i="91"/>
  <c r="N204" i="91"/>
  <c r="N209" i="91"/>
  <c r="N182" i="91"/>
  <c r="N219" i="91"/>
  <c r="N179" i="91"/>
  <c r="N211" i="91"/>
  <c r="N186" i="91"/>
  <c r="N201" i="91"/>
  <c r="N170" i="91"/>
  <c r="N178" i="91"/>
  <c r="N165" i="91"/>
  <c r="N240" i="91"/>
  <c r="N214" i="91"/>
  <c r="N187" i="91"/>
  <c r="N241" i="91"/>
  <c r="N190" i="91"/>
  <c r="N236" i="91"/>
  <c r="N216" i="91"/>
  <c r="N198" i="91"/>
  <c r="N197" i="91"/>
  <c r="N243" i="91"/>
  <c r="N228" i="91"/>
  <c r="N175" i="91"/>
  <c r="N199" i="91"/>
  <c r="N245" i="91"/>
  <c r="N202" i="91"/>
  <c r="N191" i="91"/>
  <c r="N206" i="91"/>
  <c r="N223" i="91"/>
  <c r="N200" i="91"/>
  <c r="N174" i="91"/>
  <c r="N237" i="91"/>
  <c r="N213" i="91"/>
  <c r="N244" i="91"/>
  <c r="N168" i="91"/>
  <c r="N172" i="91"/>
  <c r="N226" i="91"/>
  <c r="N227" i="91"/>
  <c r="N196" i="91"/>
  <c r="N218" i="91"/>
  <c r="N192" i="91"/>
  <c r="N195" i="91"/>
  <c r="N181" i="91"/>
  <c r="N193" i="91"/>
  <c r="N215" i="91"/>
  <c r="N183" i="91"/>
  <c r="N189" i="91"/>
  <c r="N232" i="91"/>
  <c r="N208" i="91"/>
  <c r="N194" i="91"/>
  <c r="N222" i="91"/>
  <c r="N177" i="91"/>
  <c r="N188" i="91"/>
  <c r="N235" i="91"/>
  <c r="N229" i="91"/>
  <c r="N221" i="91"/>
  <c r="N224" i="91"/>
  <c r="N220" i="91"/>
  <c r="N234" i="91"/>
  <c r="N239" i="91"/>
  <c r="N100" i="91"/>
  <c r="N102" i="91"/>
  <c r="N104" i="91"/>
  <c r="N105" i="91"/>
  <c r="N101" i="91"/>
  <c r="N99" i="91"/>
  <c r="N103" i="91"/>
  <c r="N142" i="91"/>
  <c r="N158" i="91"/>
  <c r="N135" i="91"/>
  <c r="N163" i="91"/>
  <c r="N136" i="91"/>
  <c r="N122" i="91"/>
  <c r="N160" i="91"/>
  <c r="N164" i="91"/>
  <c r="N157" i="91"/>
  <c r="N152" i="91"/>
  <c r="N146" i="91"/>
  <c r="N123" i="91"/>
  <c r="N130" i="91"/>
  <c r="N131" i="91"/>
  <c r="N120" i="91"/>
  <c r="N132" i="91"/>
  <c r="N117" i="91"/>
  <c r="N126" i="91"/>
  <c r="N149" i="91"/>
  <c r="N141" i="91"/>
  <c r="N139" i="91"/>
  <c r="N155" i="91"/>
  <c r="N121" i="91"/>
  <c r="N128" i="91"/>
  <c r="N143" i="91"/>
  <c r="N145" i="91"/>
  <c r="N137" i="91"/>
  <c r="N125" i="91"/>
  <c r="N161" i="91"/>
  <c r="N159" i="91"/>
  <c r="N144" i="91"/>
  <c r="N162" i="91"/>
  <c r="N138" i="91"/>
  <c r="N156" i="91"/>
  <c r="N151" i="91"/>
  <c r="N118" i="91"/>
  <c r="N127" i="91"/>
  <c r="N147" i="91"/>
  <c r="N140" i="91"/>
  <c r="N148" i="91"/>
  <c r="N124" i="91"/>
  <c r="N134" i="91"/>
  <c r="N133" i="91"/>
  <c r="N129" i="91"/>
  <c r="N119" i="91"/>
  <c r="N154" i="91"/>
  <c r="N153" i="91"/>
  <c r="N150" i="91"/>
  <c r="N116" i="91"/>
  <c r="N22" i="91"/>
  <c r="N33" i="91"/>
  <c r="N34" i="91"/>
  <c r="N18" i="91"/>
  <c r="N29" i="91"/>
  <c r="N30" i="91"/>
  <c r="N21" i="91"/>
  <c r="N27" i="91"/>
  <c r="N26" i="91"/>
  <c r="N32" i="91"/>
  <c r="N31" i="91"/>
  <c r="N25" i="91"/>
  <c r="N24" i="91"/>
  <c r="N23" i="91"/>
  <c r="N20" i="91"/>
  <c r="M136" i="91"/>
  <c r="M143" i="91"/>
  <c r="M138" i="91"/>
  <c r="M137" i="91"/>
  <c r="M139" i="91"/>
  <c r="M140" i="91"/>
  <c r="M142" i="91"/>
  <c r="M135" i="91"/>
  <c r="M141" i="91"/>
  <c r="M164" i="91"/>
  <c r="M159" i="91"/>
  <c r="M163" i="91"/>
  <c r="M162" i="91"/>
  <c r="M160" i="91"/>
  <c r="M158" i="91"/>
  <c r="M155" i="91"/>
  <c r="M157" i="91"/>
  <c r="M154" i="91"/>
  <c r="M156" i="91"/>
  <c r="M161" i="91"/>
  <c r="M118" i="91"/>
  <c r="M113" i="91"/>
  <c r="M114" i="91"/>
  <c r="M111" i="91"/>
  <c r="M112" i="91"/>
  <c r="M117" i="91"/>
  <c r="M116" i="91"/>
  <c r="M115" i="91"/>
  <c r="M149" i="91"/>
  <c r="M152" i="91"/>
  <c r="M146" i="91"/>
  <c r="M148" i="91"/>
  <c r="M145" i="91"/>
  <c r="M151" i="91"/>
  <c r="M153" i="91"/>
  <c r="M150" i="91"/>
  <c r="M147" i="91"/>
  <c r="M144" i="91"/>
  <c r="M127" i="91"/>
  <c r="M129" i="91"/>
  <c r="M133" i="91"/>
  <c r="M134" i="91"/>
  <c r="M128" i="91"/>
  <c r="M132" i="91"/>
  <c r="M131" i="91"/>
  <c r="M130" i="91"/>
  <c r="M165" i="91"/>
  <c r="M171" i="91"/>
  <c r="M173" i="91"/>
  <c r="M170" i="91"/>
  <c r="M174" i="91"/>
  <c r="M169" i="91"/>
  <c r="M172" i="91"/>
  <c r="M175" i="91"/>
  <c r="M168" i="91"/>
  <c r="M166" i="91"/>
  <c r="M167" i="91"/>
  <c r="M188" i="91"/>
  <c r="M177" i="91"/>
  <c r="M176" i="91"/>
  <c r="M180" i="91"/>
  <c r="M184" i="91"/>
  <c r="M178" i="91"/>
  <c r="M187" i="91"/>
  <c r="M179" i="91"/>
  <c r="M185" i="91"/>
  <c r="M183" i="91"/>
  <c r="M181" i="91"/>
  <c r="M186" i="91"/>
  <c r="M182" i="91"/>
  <c r="M121" i="91"/>
  <c r="M123" i="91"/>
  <c r="M125" i="91"/>
  <c r="M122" i="91"/>
  <c r="M119" i="91"/>
  <c r="M126" i="91"/>
  <c r="M120" i="91"/>
  <c r="M124" i="91"/>
  <c r="M106" i="91"/>
  <c r="M107" i="91"/>
  <c r="M109" i="91"/>
  <c r="M110" i="91"/>
  <c r="M104" i="91"/>
  <c r="M105" i="91"/>
  <c r="M101" i="91"/>
  <c r="M98" i="91"/>
  <c r="M103" i="91"/>
  <c r="M102" i="91"/>
  <c r="M100" i="91"/>
  <c r="M99" i="91"/>
  <c r="M97" i="91"/>
  <c r="M29" i="91"/>
  <c r="M28" i="91"/>
  <c r="M21" i="91"/>
  <c r="M30" i="91"/>
  <c r="M24" i="91"/>
  <c r="M32" i="91"/>
  <c r="M33" i="91"/>
  <c r="M27" i="91"/>
  <c r="M20" i="91"/>
  <c r="M26" i="91"/>
  <c r="M25" i="91"/>
  <c r="M18" i="91"/>
  <c r="M23" i="91"/>
  <c r="M22" i="91"/>
  <c r="J407" i="91"/>
  <c r="J413" i="91"/>
  <c r="J409" i="91"/>
  <c r="J403" i="91"/>
  <c r="J412" i="91"/>
  <c r="J405" i="91"/>
  <c r="J396" i="91"/>
  <c r="J399" i="91"/>
  <c r="J410" i="91"/>
  <c r="J416" i="91"/>
  <c r="J417" i="91"/>
  <c r="J408" i="91"/>
  <c r="J398" i="91"/>
  <c r="J395" i="91"/>
  <c r="J406" i="91"/>
  <c r="J402" i="91"/>
  <c r="J415" i="91"/>
  <c r="J393" i="91"/>
  <c r="J401" i="91"/>
  <c r="J404" i="91"/>
  <c r="J400" i="91"/>
  <c r="J397" i="91"/>
  <c r="J414" i="91"/>
  <c r="J411" i="91"/>
  <c r="J391" i="91"/>
  <c r="J394" i="91"/>
  <c r="J392" i="91"/>
  <c r="L388" i="91"/>
  <c r="L395" i="91"/>
  <c r="L364" i="91"/>
  <c r="L375" i="91"/>
  <c r="L419" i="91"/>
  <c r="L368" i="91"/>
  <c r="L396" i="91"/>
  <c r="L367" i="91"/>
  <c r="L383" i="91"/>
  <c r="L361" i="91"/>
  <c r="L389" i="91"/>
  <c r="L405" i="91"/>
  <c r="L369" i="91"/>
  <c r="L400" i="91"/>
  <c r="L356" i="91"/>
  <c r="L408" i="91"/>
  <c r="L362" i="91"/>
  <c r="L393" i="91"/>
  <c r="L352" i="91"/>
  <c r="L392" i="91"/>
  <c r="L371" i="91"/>
  <c r="L349" i="91"/>
  <c r="L381" i="91"/>
  <c r="L377" i="91"/>
  <c r="L420" i="91"/>
  <c r="L422" i="91"/>
  <c r="L390" i="91"/>
  <c r="L391" i="91"/>
  <c r="L385" i="91"/>
  <c r="L373" i="91"/>
  <c r="L415" i="91"/>
  <c r="L414" i="91"/>
  <c r="L399" i="91"/>
  <c r="L411" i="91"/>
  <c r="L404" i="91"/>
  <c r="L348" i="91"/>
  <c r="L384" i="91"/>
  <c r="L402" i="91"/>
  <c r="L357" i="91"/>
  <c r="L386" i="91"/>
  <c r="L421" i="91"/>
  <c r="L355" i="91"/>
  <c r="L372" i="91"/>
  <c r="L378" i="91"/>
  <c r="L370" i="91"/>
  <c r="L353" i="91"/>
  <c r="L360" i="91"/>
  <c r="L413" i="91"/>
  <c r="L350" i="91"/>
  <c r="L363" i="91"/>
  <c r="L416" i="91"/>
  <c r="L417" i="91"/>
  <c r="L410" i="91"/>
  <c r="L380" i="91"/>
  <c r="L351" i="91"/>
  <c r="L406" i="91"/>
  <c r="L407" i="91"/>
  <c r="L418" i="91"/>
  <c r="L366" i="91"/>
  <c r="L358" i="91"/>
  <c r="L387" i="91"/>
  <c r="L403" i="91"/>
  <c r="L394" i="91"/>
  <c r="L397" i="91"/>
  <c r="L409" i="91"/>
  <c r="L354" i="91"/>
  <c r="L382" i="91"/>
  <c r="L398" i="91"/>
  <c r="L376" i="91"/>
  <c r="L365" i="91"/>
  <c r="L401" i="91"/>
  <c r="L359" i="91"/>
  <c r="L374" i="91"/>
  <c r="L412" i="91"/>
  <c r="L379" i="91"/>
  <c r="L329" i="91"/>
  <c r="L126" i="91"/>
  <c r="L4" i="91"/>
  <c r="G82" i="91"/>
  <c r="G84" i="91"/>
  <c r="G80" i="91"/>
  <c r="G81" i="91"/>
  <c r="G72" i="91"/>
  <c r="G83" i="91"/>
  <c r="G77" i="91"/>
  <c r="G78" i="91"/>
  <c r="G71" i="91"/>
  <c r="G73" i="91"/>
  <c r="G79" i="91"/>
  <c r="G74" i="91"/>
  <c r="G86" i="91"/>
  <c r="G85" i="91"/>
  <c r="G76" i="91"/>
  <c r="G75" i="91"/>
  <c r="F76" i="91"/>
  <c r="F70" i="91"/>
  <c r="F66" i="91"/>
  <c r="F63" i="91"/>
  <c r="F74" i="91"/>
  <c r="F64" i="91"/>
  <c r="F68" i="91"/>
  <c r="F72" i="91"/>
  <c r="F62" i="91"/>
  <c r="F65" i="91"/>
  <c r="F77" i="91"/>
  <c r="F67" i="91"/>
  <c r="F69" i="91"/>
  <c r="F71" i="91"/>
  <c r="F75" i="91"/>
  <c r="F73" i="91"/>
  <c r="L67" i="91"/>
  <c r="F50" i="91"/>
  <c r="F42" i="91"/>
  <c r="F48" i="91"/>
  <c r="F45" i="91"/>
  <c r="F46" i="91"/>
  <c r="F44" i="91"/>
  <c r="F43" i="91"/>
  <c r="F49" i="91"/>
  <c r="F47" i="91"/>
  <c r="L22" i="91"/>
  <c r="G55" i="91"/>
  <c r="G56" i="91"/>
  <c r="G51" i="91"/>
  <c r="G52" i="91"/>
  <c r="G53" i="91"/>
  <c r="G50" i="91"/>
  <c r="G58" i="91"/>
  <c r="G54" i="91"/>
  <c r="G57" i="91"/>
  <c r="G59" i="91"/>
  <c r="G91" i="91"/>
  <c r="G92" i="91"/>
  <c r="G34" i="91"/>
  <c r="G8" i="91"/>
  <c r="G19" i="91"/>
  <c r="G37" i="91"/>
  <c r="G46" i="91"/>
  <c r="G45" i="91"/>
  <c r="G28" i="91"/>
  <c r="G13" i="91"/>
  <c r="G44" i="91"/>
  <c r="G48" i="91"/>
  <c r="G47" i="91"/>
  <c r="G35" i="91"/>
  <c r="G26" i="91"/>
  <c r="G23" i="91"/>
  <c r="G7" i="91"/>
  <c r="G38" i="91"/>
  <c r="G41" i="91"/>
  <c r="G18" i="91"/>
  <c r="G49" i="91"/>
  <c r="G24" i="91"/>
  <c r="G4" i="91"/>
  <c r="G16" i="91"/>
  <c r="G29" i="91"/>
  <c r="G27" i="91"/>
  <c r="G22" i="91"/>
  <c r="G20" i="91"/>
  <c r="G36" i="91"/>
  <c r="G33" i="91"/>
  <c r="G5" i="91"/>
  <c r="G17" i="91"/>
  <c r="G15" i="91"/>
  <c r="G12" i="91"/>
  <c r="G43" i="91"/>
  <c r="G10" i="91"/>
  <c r="G9" i="91"/>
  <c r="G39" i="91"/>
  <c r="G42" i="91"/>
  <c r="G31" i="91"/>
  <c r="G25" i="91"/>
  <c r="G30" i="91"/>
  <c r="G21" i="91"/>
  <c r="G14" i="91"/>
  <c r="G32" i="91"/>
  <c r="G6" i="91"/>
  <c r="G40" i="91"/>
  <c r="G11" i="91"/>
  <c r="K414" i="91"/>
  <c r="K408" i="91"/>
  <c r="K394" i="91"/>
  <c r="K411" i="91"/>
  <c r="K388" i="91"/>
  <c r="K412" i="91"/>
  <c r="K409" i="91"/>
  <c r="K398" i="91"/>
  <c r="K415" i="91"/>
  <c r="K413" i="91"/>
  <c r="K393" i="91"/>
  <c r="K399" i="91"/>
  <c r="K405" i="91"/>
  <c r="K401" i="91"/>
  <c r="K403" i="91"/>
  <c r="K402" i="91"/>
  <c r="K392" i="91"/>
  <c r="K404" i="91"/>
  <c r="K389" i="91"/>
  <c r="K397" i="91"/>
  <c r="K396" i="91"/>
  <c r="K390" i="91"/>
  <c r="K400" i="91"/>
  <c r="K410" i="91"/>
  <c r="K416" i="91"/>
  <c r="K407" i="91"/>
  <c r="K395" i="91"/>
  <c r="K406" i="91"/>
  <c r="K391" i="91"/>
  <c r="L14" i="91"/>
  <c r="F91" i="91"/>
  <c r="F88" i="91"/>
  <c r="F90" i="91"/>
  <c r="F89" i="91"/>
  <c r="F92" i="91"/>
  <c r="F21" i="91"/>
  <c r="F32" i="91"/>
  <c r="F26" i="91"/>
  <c r="F5" i="91"/>
  <c r="F11" i="91"/>
  <c r="F13" i="91"/>
  <c r="F23" i="91"/>
  <c r="F40" i="91"/>
  <c r="F16" i="91"/>
  <c r="F14" i="91"/>
  <c r="F41" i="91"/>
  <c r="F6" i="91"/>
  <c r="F22" i="91"/>
  <c r="F31" i="91"/>
  <c r="F17" i="91"/>
  <c r="F10" i="91"/>
  <c r="F34" i="91"/>
  <c r="F8" i="91"/>
  <c r="F24" i="91"/>
  <c r="F18" i="91"/>
  <c r="F30" i="91"/>
  <c r="F38" i="91"/>
  <c r="F12" i="91"/>
  <c r="F7" i="91"/>
  <c r="F15" i="91"/>
  <c r="F33" i="91"/>
  <c r="F37" i="91"/>
  <c r="F27" i="91"/>
  <c r="F25" i="91"/>
  <c r="F35" i="91"/>
  <c r="F36" i="91"/>
  <c r="F4" i="91"/>
  <c r="F28" i="91"/>
  <c r="F39" i="91"/>
  <c r="F19" i="91"/>
  <c r="F29" i="91"/>
  <c r="F20" i="91"/>
  <c r="F9" i="91"/>
  <c r="G88" i="91"/>
  <c r="G90" i="91"/>
  <c r="G87" i="91"/>
  <c r="G89" i="91"/>
  <c r="G63" i="91"/>
  <c r="G70" i="91"/>
  <c r="G60" i="91"/>
  <c r="G68" i="91"/>
  <c r="G62" i="91"/>
  <c r="G66" i="91"/>
  <c r="G69" i="91"/>
  <c r="G65" i="91"/>
  <c r="G64" i="91"/>
  <c r="G61" i="91"/>
  <c r="G67" i="91"/>
  <c r="F83" i="91"/>
  <c r="F85" i="91"/>
  <c r="F80" i="91"/>
  <c r="F84" i="91"/>
  <c r="F82" i="91"/>
  <c r="F86" i="91"/>
  <c r="F87" i="91"/>
  <c r="F81" i="91"/>
  <c r="F79" i="91"/>
  <c r="F78" i="91"/>
  <c r="F59" i="91"/>
  <c r="F54" i="91"/>
  <c r="F60" i="91"/>
  <c r="F56" i="91"/>
  <c r="F61" i="91"/>
  <c r="F58" i="91"/>
  <c r="F53" i="91"/>
  <c r="F57" i="91"/>
  <c r="F51" i="91"/>
  <c r="F55" i="91"/>
  <c r="F52" i="91"/>
  <c r="D92" i="91"/>
  <c r="C90" i="91"/>
  <c r="E93" i="91"/>
  <c r="Z8" i="101"/>
  <c r="Y15" i="101"/>
  <c r="Y18" i="101"/>
  <c r="Y16" i="101"/>
  <c r="Y19" i="101"/>
  <c r="Y17" i="101"/>
  <c r="Y22" i="101"/>
  <c r="Y20" i="101"/>
  <c r="Y21" i="101"/>
  <c r="Y23" i="101"/>
  <c r="Y24" i="101"/>
  <c r="X19" i="99"/>
  <c r="X15" i="99"/>
  <c r="X18" i="99"/>
  <c r="X17" i="99"/>
  <c r="X16" i="99"/>
  <c r="AA11" i="101"/>
  <c r="AA13" i="101"/>
  <c r="AA10" i="101"/>
  <c r="AA12" i="101"/>
  <c r="AA14" i="101"/>
  <c r="Z9" i="101"/>
  <c r="Z8" i="99"/>
  <c r="Z6" i="99"/>
  <c r="Z9" i="99"/>
  <c r="Z7" i="99"/>
  <c r="X17" i="101"/>
  <c r="X18" i="101"/>
  <c r="X16" i="101"/>
  <c r="X19" i="101"/>
  <c r="X15" i="101"/>
  <c r="Y18" i="99"/>
  <c r="Y19" i="99"/>
  <c r="Y16" i="99"/>
  <c r="Y17" i="99"/>
  <c r="Y15" i="99"/>
  <c r="AB20" i="101"/>
  <c r="AB22" i="101"/>
  <c r="AB23" i="101"/>
  <c r="AB21" i="101"/>
  <c r="AB24" i="101"/>
  <c r="AA17" i="99"/>
  <c r="AA19" i="99"/>
  <c r="AG60" i="96"/>
  <c r="AA18" i="99"/>
  <c r="AA15" i="99"/>
  <c r="AA16" i="99"/>
  <c r="AF60" i="96"/>
  <c r="R60" i="99" s="1"/>
  <c r="AQ8" i="101" l="1"/>
  <c r="AP17" i="101"/>
  <c r="AP19" i="101"/>
  <c r="AP16" i="101"/>
  <c r="AP18" i="101"/>
  <c r="AP15" i="101"/>
  <c r="W86" i="97"/>
  <c r="V86" i="97" s="1"/>
  <c r="U86" i="97" s="1"/>
  <c r="T86" i="99" s="1"/>
  <c r="AS24" i="101"/>
  <c r="AS21" i="101"/>
  <c r="AS23" i="101"/>
  <c r="AS22" i="101"/>
  <c r="AS20" i="101"/>
  <c r="AO15" i="101"/>
  <c r="AO19" i="101"/>
  <c r="AO16" i="101"/>
  <c r="AO18" i="101"/>
  <c r="AO17" i="101"/>
  <c r="AQ9" i="101"/>
  <c r="AR14" i="101"/>
  <c r="AR12" i="101"/>
  <c r="AR10" i="101"/>
  <c r="AR13" i="101"/>
  <c r="AR11" i="101"/>
  <c r="AP24" i="101"/>
  <c r="AP23" i="101"/>
  <c r="AP21" i="101"/>
  <c r="AP20" i="101"/>
  <c r="AP22" i="101"/>
  <c r="AB72" i="97"/>
  <c r="AA72" i="97" s="1"/>
  <c r="Z72" i="97" s="1"/>
  <c r="AC73" i="97"/>
  <c r="AC102" i="97"/>
  <c r="AC22" i="97"/>
  <c r="AB21" i="97"/>
  <c r="AA21" i="97" s="1"/>
  <c r="AA97" i="97"/>
  <c r="Z97" i="97" s="1"/>
  <c r="AB98" i="97"/>
  <c r="Z20" i="97"/>
  <c r="AB47" i="97"/>
  <c r="AA47" i="97" s="1"/>
  <c r="AC48" i="97"/>
  <c r="AB125" i="97"/>
  <c r="AA125" i="97" s="1"/>
  <c r="Z125" i="97" s="1"/>
  <c r="AC126" i="97"/>
  <c r="M60" i="97"/>
  <c r="N60" i="97"/>
  <c r="H60" i="97"/>
  <c r="W60" i="97" s="1"/>
  <c r="V60" i="97" s="1"/>
  <c r="U60" i="97" s="1"/>
  <c r="I60" i="97"/>
  <c r="X60" i="97" s="1"/>
  <c r="BD242" i="96"/>
  <c r="BD243" i="96" s="1"/>
  <c r="BD244" i="96" s="1"/>
  <c r="BD245" i="96" s="1"/>
  <c r="BD246" i="96" s="1"/>
  <c r="BD247" i="96" s="1"/>
  <c r="BD248" i="96" s="1"/>
  <c r="BD249" i="96" s="1"/>
  <c r="BD250" i="96" s="1"/>
  <c r="BD251" i="96" s="1"/>
  <c r="BD252" i="96" s="1"/>
  <c r="BD253" i="96" s="1"/>
  <c r="BD254" i="96" s="1"/>
  <c r="BD255" i="96" s="1"/>
  <c r="BD256" i="96" s="1"/>
  <c r="BD257" i="96" s="1"/>
  <c r="BD258" i="96" s="1"/>
  <c r="BD259" i="96" s="1"/>
  <c r="BD260" i="96" s="1"/>
  <c r="BD261" i="96" s="1"/>
  <c r="BD262" i="96" s="1"/>
  <c r="BD263" i="96" s="1"/>
  <c r="BD264" i="96" s="1"/>
  <c r="BD265" i="96" s="1"/>
  <c r="BD266" i="96" s="1"/>
  <c r="BD267" i="96" s="1"/>
  <c r="BD268" i="96" s="1"/>
  <c r="BD269" i="96" s="1"/>
  <c r="BD270" i="96" s="1"/>
  <c r="BD271" i="96" s="1"/>
  <c r="BD272" i="96" s="1"/>
  <c r="BD273" i="96" s="1"/>
  <c r="BD274" i="96" s="1"/>
  <c r="BD275" i="96" s="1"/>
  <c r="BD276" i="96" s="1"/>
  <c r="BD277" i="96" s="1"/>
  <c r="BD278" i="96" s="1"/>
  <c r="BD279" i="96" s="1"/>
  <c r="BD280" i="96" s="1"/>
  <c r="BD281" i="96" s="1"/>
  <c r="BD282" i="96" s="1"/>
  <c r="BE242" i="96"/>
  <c r="BE243" i="96" s="1"/>
  <c r="BE244" i="96" s="1"/>
  <c r="BE245" i="96" s="1"/>
  <c r="BE246" i="96" s="1"/>
  <c r="BE247" i="96" s="1"/>
  <c r="BE248" i="96" s="1"/>
  <c r="BE249" i="96" s="1"/>
  <c r="BE250" i="96" s="1"/>
  <c r="BE251" i="96" s="1"/>
  <c r="BE252" i="96" s="1"/>
  <c r="BE253" i="96" s="1"/>
  <c r="BE254" i="96" s="1"/>
  <c r="BE255" i="96" s="1"/>
  <c r="BE256" i="96" s="1"/>
  <c r="BE257" i="96" s="1"/>
  <c r="BE258" i="96" s="1"/>
  <c r="BE259" i="96" s="1"/>
  <c r="BE260" i="96" s="1"/>
  <c r="BE261" i="96" s="1"/>
  <c r="BE262" i="96" s="1"/>
  <c r="BE263" i="96" s="1"/>
  <c r="BE264" i="96" s="1"/>
  <c r="BE265" i="96" s="1"/>
  <c r="BE266" i="96" s="1"/>
  <c r="BE267" i="96" s="1"/>
  <c r="BE268" i="96" s="1"/>
  <c r="BE269" i="96" s="1"/>
  <c r="K434" i="91"/>
  <c r="K422" i="91"/>
  <c r="K429" i="91"/>
  <c r="K433" i="91"/>
  <c r="K446" i="91"/>
  <c r="K451" i="91"/>
  <c r="K440" i="91"/>
  <c r="K443" i="91"/>
  <c r="K421" i="91"/>
  <c r="K430" i="91"/>
  <c r="K435" i="91"/>
  <c r="K432" i="91"/>
  <c r="K445" i="91"/>
  <c r="K418" i="91"/>
  <c r="K441" i="91"/>
  <c r="K438" i="91"/>
  <c r="K442" i="91"/>
  <c r="K419" i="91"/>
  <c r="K447" i="91"/>
  <c r="K428" i="91"/>
  <c r="K417" i="91"/>
  <c r="K423" i="91"/>
  <c r="K425" i="91"/>
  <c r="K448" i="91"/>
  <c r="K439" i="91"/>
  <c r="K449" i="91"/>
  <c r="K452" i="91"/>
  <c r="K420" i="91"/>
  <c r="K436" i="91"/>
  <c r="K437" i="91"/>
  <c r="K431" i="91"/>
  <c r="K424" i="91"/>
  <c r="K444" i="91"/>
  <c r="K426" i="91"/>
  <c r="K450" i="91"/>
  <c r="K427" i="91"/>
  <c r="M31" i="91"/>
  <c r="N19" i="91"/>
  <c r="M7" i="91"/>
  <c r="M19" i="91"/>
  <c r="N14" i="91"/>
  <c r="M384" i="91"/>
  <c r="M344" i="91"/>
  <c r="M410" i="91"/>
  <c r="M387" i="91"/>
  <c r="M397" i="91"/>
  <c r="M396" i="91"/>
  <c r="M346" i="91"/>
  <c r="M351" i="91"/>
  <c r="M343" i="91"/>
  <c r="M339" i="91"/>
  <c r="M394" i="91"/>
  <c r="M413" i="91"/>
  <c r="M375" i="91"/>
  <c r="M337" i="91"/>
  <c r="M405" i="91"/>
  <c r="M388" i="91"/>
  <c r="M422" i="91"/>
  <c r="M402" i="91"/>
  <c r="M415" i="91"/>
  <c r="M399" i="91"/>
  <c r="M382" i="91"/>
  <c r="M363" i="91"/>
  <c r="M370" i="91"/>
  <c r="M393" i="91"/>
  <c r="M360" i="91"/>
  <c r="M420" i="91"/>
  <c r="M383" i="91"/>
  <c r="M362" i="91"/>
  <c r="M389" i="91"/>
  <c r="M368" i="91"/>
  <c r="M419" i="91"/>
  <c r="M374" i="91"/>
  <c r="M411" i="91"/>
  <c r="M356" i="91"/>
  <c r="M334" i="91"/>
  <c r="M408" i="91"/>
  <c r="M369" i="91"/>
  <c r="M421" i="91"/>
  <c r="M407" i="91"/>
  <c r="M354" i="91"/>
  <c r="M417" i="91"/>
  <c r="M349" i="91"/>
  <c r="M414" i="91"/>
  <c r="M355" i="91"/>
  <c r="M401" i="91"/>
  <c r="M406" i="91"/>
  <c r="M372" i="91"/>
  <c r="M385" i="91"/>
  <c r="M361" i="91"/>
  <c r="M377" i="91"/>
  <c r="M358" i="91"/>
  <c r="M373" i="91"/>
  <c r="M404" i="91"/>
  <c r="M357" i="91"/>
  <c r="M340" i="91"/>
  <c r="M366" i="91"/>
  <c r="M336" i="91"/>
  <c r="M333" i="91"/>
  <c r="M338" i="91"/>
  <c r="M398" i="91"/>
  <c r="M359" i="91"/>
  <c r="M364" i="91"/>
  <c r="M376" i="91"/>
  <c r="M390" i="91"/>
  <c r="M409" i="91"/>
  <c r="M378" i="91"/>
  <c r="M418" i="91"/>
  <c r="M365" i="91"/>
  <c r="M353" i="91"/>
  <c r="M347" i="91"/>
  <c r="M335" i="91"/>
  <c r="M342" i="91"/>
  <c r="M412" i="91"/>
  <c r="M379" i="91"/>
  <c r="M380" i="91"/>
  <c r="M367" i="91"/>
  <c r="M400" i="91"/>
  <c r="M391" i="91"/>
  <c r="M352" i="91"/>
  <c r="M348" i="91"/>
  <c r="M392" i="91"/>
  <c r="M345" i="91"/>
  <c r="M341" i="91"/>
  <c r="M350" i="91"/>
  <c r="M371" i="91"/>
  <c r="M403" i="91"/>
  <c r="M416" i="91"/>
  <c r="M381" i="91"/>
  <c r="M386" i="91"/>
  <c r="M332" i="91"/>
  <c r="M395" i="91"/>
  <c r="N13" i="91"/>
  <c r="N92" i="91"/>
  <c r="M108" i="91"/>
  <c r="N58" i="91"/>
  <c r="N43" i="91"/>
  <c r="J443" i="91"/>
  <c r="J429" i="91"/>
  <c r="J442" i="91"/>
  <c r="J423" i="91"/>
  <c r="J441" i="91"/>
  <c r="J445" i="91"/>
  <c r="J424" i="91"/>
  <c r="J439" i="91"/>
  <c r="J431" i="91"/>
  <c r="J421" i="91"/>
  <c r="J422" i="91"/>
  <c r="J433" i="91"/>
  <c r="J419" i="91"/>
  <c r="J428" i="91"/>
  <c r="J426" i="91"/>
  <c r="J418" i="91"/>
  <c r="J434" i="91"/>
  <c r="J436" i="91"/>
  <c r="J438" i="91"/>
  <c r="J432" i="91"/>
  <c r="J447" i="91"/>
  <c r="J427" i="91"/>
  <c r="J440" i="91"/>
  <c r="J420" i="91"/>
  <c r="J444" i="91"/>
  <c r="J446" i="91"/>
  <c r="J430" i="91"/>
  <c r="J435" i="91"/>
  <c r="J425" i="91"/>
  <c r="J437" i="91"/>
  <c r="N28" i="91"/>
  <c r="M5" i="91"/>
  <c r="N15" i="91"/>
  <c r="N414" i="91"/>
  <c r="N333" i="91"/>
  <c r="N374" i="91"/>
  <c r="N385" i="91"/>
  <c r="N361" i="91"/>
  <c r="N382" i="91"/>
  <c r="N396" i="91"/>
  <c r="N405" i="91"/>
  <c r="N379" i="91"/>
  <c r="N375" i="91"/>
  <c r="N417" i="91"/>
  <c r="N411" i="91"/>
  <c r="N369" i="91"/>
  <c r="N356" i="91"/>
  <c r="N389" i="91"/>
  <c r="N394" i="91"/>
  <c r="N353" i="91"/>
  <c r="N352" i="91"/>
  <c r="N399" i="91"/>
  <c r="N372" i="91"/>
  <c r="N338" i="91"/>
  <c r="N348" i="91"/>
  <c r="N340" i="91"/>
  <c r="N371" i="91"/>
  <c r="N346" i="91"/>
  <c r="N390" i="91"/>
  <c r="N415" i="91"/>
  <c r="N332" i="91"/>
  <c r="N380" i="91"/>
  <c r="N341" i="91"/>
  <c r="N422" i="91"/>
  <c r="N337" i="91"/>
  <c r="N368" i="91"/>
  <c r="N421" i="91"/>
  <c r="N377" i="91"/>
  <c r="N419" i="91"/>
  <c r="N408" i="91"/>
  <c r="N362" i="91"/>
  <c r="N347" i="91"/>
  <c r="N395" i="91"/>
  <c r="N420" i="91"/>
  <c r="N386" i="91"/>
  <c r="N363" i="91"/>
  <c r="N416" i="91"/>
  <c r="N344" i="91"/>
  <c r="N373" i="91"/>
  <c r="N351" i="91"/>
  <c r="N339" i="91"/>
  <c r="N355" i="91"/>
  <c r="N388" i="91"/>
  <c r="N366" i="91"/>
  <c r="N335" i="91"/>
  <c r="N367" i="91"/>
  <c r="N391" i="91"/>
  <c r="N378" i="91"/>
  <c r="N360" i="91"/>
  <c r="N357" i="91"/>
  <c r="N413" i="91"/>
  <c r="N400" i="91"/>
  <c r="N398" i="91"/>
  <c r="N384" i="91"/>
  <c r="N412" i="91"/>
  <c r="N350" i="91"/>
  <c r="N406" i="91"/>
  <c r="N404" i="91"/>
  <c r="N403" i="91"/>
  <c r="N392" i="91"/>
  <c r="N336" i="91"/>
  <c r="N342" i="91"/>
  <c r="N387" i="91"/>
  <c r="N365" i="91"/>
  <c r="N343" i="91"/>
  <c r="N358" i="91"/>
  <c r="N383" i="91"/>
  <c r="N402" i="91"/>
  <c r="N393" i="91"/>
  <c r="N345" i="91"/>
  <c r="N370" i="91"/>
  <c r="N418" i="91"/>
  <c r="N410" i="91"/>
  <c r="N407" i="91"/>
  <c r="N359" i="91"/>
  <c r="N409" i="91"/>
  <c r="N354" i="91"/>
  <c r="N334" i="91"/>
  <c r="N401" i="91"/>
  <c r="N397" i="91"/>
  <c r="N364" i="91"/>
  <c r="N381" i="91"/>
  <c r="N376" i="91"/>
  <c r="N349" i="91"/>
  <c r="N12" i="91"/>
  <c r="N38" i="91"/>
  <c r="L446" i="91"/>
  <c r="L461" i="91"/>
  <c r="L427" i="91"/>
  <c r="L490" i="91"/>
  <c r="L487" i="91"/>
  <c r="L440" i="91"/>
  <c r="L448" i="91"/>
  <c r="L464" i="91"/>
  <c r="L455" i="91"/>
  <c r="L496" i="91"/>
  <c r="L432" i="91"/>
  <c r="L468" i="91"/>
  <c r="L480" i="91"/>
  <c r="L451" i="91"/>
  <c r="L465" i="91"/>
  <c r="L428" i="91"/>
  <c r="L467" i="91"/>
  <c r="L475" i="91"/>
  <c r="L477" i="91"/>
  <c r="L429" i="91"/>
  <c r="L450" i="91"/>
  <c r="L482" i="91"/>
  <c r="L466" i="91"/>
  <c r="L445" i="91"/>
  <c r="L494" i="91"/>
  <c r="L479" i="91"/>
  <c r="L426" i="91"/>
  <c r="L435" i="91"/>
  <c r="L433" i="91"/>
  <c r="L502" i="91"/>
  <c r="L438" i="91"/>
  <c r="L458" i="91"/>
  <c r="L449" i="91"/>
  <c r="L473" i="91"/>
  <c r="L434" i="91"/>
  <c r="L442" i="91"/>
  <c r="L444" i="91"/>
  <c r="L423" i="91"/>
  <c r="L471" i="91"/>
  <c r="L469" i="91"/>
  <c r="L459" i="91"/>
  <c r="L489" i="91"/>
  <c r="L447" i="91"/>
  <c r="L486" i="91"/>
  <c r="L491" i="91"/>
  <c r="L478" i="91"/>
  <c r="L499" i="91"/>
  <c r="L439" i="91"/>
  <c r="L456" i="91"/>
  <c r="L436" i="91"/>
  <c r="L474" i="91"/>
  <c r="L452" i="91"/>
  <c r="L443" i="91"/>
  <c r="L454" i="91"/>
  <c r="L501" i="91"/>
  <c r="L498" i="91"/>
  <c r="L484" i="91"/>
  <c r="L495" i="91"/>
  <c r="L437" i="91"/>
  <c r="L493" i="91"/>
  <c r="L431" i="91"/>
  <c r="L472" i="91"/>
  <c r="L483" i="91"/>
  <c r="L460" i="91"/>
  <c r="L424" i="91"/>
  <c r="L497" i="91"/>
  <c r="L492" i="91"/>
  <c r="L430" i="91"/>
  <c r="L485" i="91"/>
  <c r="L457" i="91"/>
  <c r="L463" i="91"/>
  <c r="L488" i="91"/>
  <c r="L503" i="91"/>
  <c r="L476" i="91"/>
  <c r="L425" i="91"/>
  <c r="L441" i="91"/>
  <c r="L462" i="91"/>
  <c r="L481" i="91"/>
  <c r="L453" i="91"/>
  <c r="L500" i="91"/>
  <c r="L470" i="91"/>
  <c r="M9" i="91"/>
  <c r="D93" i="91"/>
  <c r="F93" i="91"/>
  <c r="E94" i="91"/>
  <c r="C91" i="91"/>
  <c r="G93" i="91"/>
  <c r="AB29" i="101"/>
  <c r="AB26" i="101"/>
  <c r="AB27" i="101"/>
  <c r="AB25" i="101"/>
  <c r="AB28" i="101"/>
  <c r="X21" i="101"/>
  <c r="X20" i="101"/>
  <c r="X22" i="101"/>
  <c r="X23" i="101"/>
  <c r="X24" i="101"/>
  <c r="Z10" i="99"/>
  <c r="Z13" i="99"/>
  <c r="Z12" i="99"/>
  <c r="Z11" i="99"/>
  <c r="Z14" i="99"/>
  <c r="AA17" i="101"/>
  <c r="AA16" i="101"/>
  <c r="AA18" i="101"/>
  <c r="AA19" i="101"/>
  <c r="AA15" i="101"/>
  <c r="W16" i="99"/>
  <c r="W15" i="99"/>
  <c r="W17" i="99"/>
  <c r="W19" i="99"/>
  <c r="W18" i="99"/>
  <c r="X24" i="99"/>
  <c r="X21" i="99"/>
  <c r="X23" i="99"/>
  <c r="X22" i="99"/>
  <c r="X20" i="99"/>
  <c r="S60" i="99"/>
  <c r="AF113" i="96"/>
  <c r="AA22" i="99"/>
  <c r="AA23" i="99"/>
  <c r="AA21" i="99"/>
  <c r="AA24" i="99"/>
  <c r="AA20" i="99"/>
  <c r="T60" i="99" l="1"/>
  <c r="AR15" i="101"/>
  <c r="AR19" i="101"/>
  <c r="AR18" i="101"/>
  <c r="AR16" i="101"/>
  <c r="AR17" i="101"/>
  <c r="AO24" i="101"/>
  <c r="AO23" i="101"/>
  <c r="AO22" i="101"/>
  <c r="AO20" i="101"/>
  <c r="AO21" i="101"/>
  <c r="AS28" i="101"/>
  <c r="AS25" i="101"/>
  <c r="AS27" i="101"/>
  <c r="AS26" i="101"/>
  <c r="AS29" i="101"/>
  <c r="AB126" i="97"/>
  <c r="AA126" i="97" s="1"/>
  <c r="Z126" i="97" s="1"/>
  <c r="AC127" i="97"/>
  <c r="AB48" i="97"/>
  <c r="AA48" i="97" s="1"/>
  <c r="AC49" i="97"/>
  <c r="AB73" i="97"/>
  <c r="AA73" i="97" s="1"/>
  <c r="Z73" i="97" s="1"/>
  <c r="AC74" i="97"/>
  <c r="Z47" i="97"/>
  <c r="AA98" i="97"/>
  <c r="Z98" i="97" s="1"/>
  <c r="AB99" i="97"/>
  <c r="Z21" i="97"/>
  <c r="AB22" i="97"/>
  <c r="AA22" i="97" s="1"/>
  <c r="AC23" i="97"/>
  <c r="AC103" i="97"/>
  <c r="M113" i="97"/>
  <c r="H113" i="97"/>
  <c r="BE270" i="96"/>
  <c r="BD283" i="96"/>
  <c r="K484" i="91"/>
  <c r="K494" i="91"/>
  <c r="K468" i="91"/>
  <c r="K459" i="91"/>
  <c r="K489" i="91"/>
  <c r="K495" i="91"/>
  <c r="K482" i="91"/>
  <c r="K498" i="91"/>
  <c r="K461" i="91"/>
  <c r="K458" i="91"/>
  <c r="K497" i="91"/>
  <c r="K477" i="91"/>
  <c r="K476" i="91"/>
  <c r="K480" i="91"/>
  <c r="K486" i="91"/>
  <c r="K485" i="91"/>
  <c r="K475" i="91"/>
  <c r="K465" i="91"/>
  <c r="K491" i="91"/>
  <c r="K493" i="91"/>
  <c r="K460" i="91"/>
  <c r="K487" i="91"/>
  <c r="K474" i="91"/>
  <c r="K492" i="91"/>
  <c r="K479" i="91"/>
  <c r="K464" i="91"/>
  <c r="K455" i="91"/>
  <c r="K456" i="91"/>
  <c r="K462" i="91"/>
  <c r="K473" i="91"/>
  <c r="K502" i="91"/>
  <c r="K499" i="91"/>
  <c r="K472" i="91"/>
  <c r="K470" i="91"/>
  <c r="K496" i="91"/>
  <c r="K457" i="91"/>
  <c r="K453" i="91"/>
  <c r="K454" i="91"/>
  <c r="K488" i="91"/>
  <c r="K500" i="91"/>
  <c r="K483" i="91"/>
  <c r="K469" i="91"/>
  <c r="K490" i="91"/>
  <c r="K463" i="91"/>
  <c r="K467" i="91"/>
  <c r="K501" i="91"/>
  <c r="K481" i="91"/>
  <c r="K466" i="91"/>
  <c r="K471" i="91"/>
  <c r="K478" i="91"/>
  <c r="M472" i="91"/>
  <c r="M481" i="91"/>
  <c r="M469" i="91"/>
  <c r="M473" i="91"/>
  <c r="M471" i="91"/>
  <c r="M453" i="91"/>
  <c r="M496" i="91"/>
  <c r="M452" i="91"/>
  <c r="M442" i="91"/>
  <c r="M476" i="91"/>
  <c r="M479" i="91"/>
  <c r="M491" i="91"/>
  <c r="M478" i="91"/>
  <c r="M426" i="91"/>
  <c r="M446" i="91"/>
  <c r="M434" i="91"/>
  <c r="M492" i="91"/>
  <c r="M484" i="91"/>
  <c r="M424" i="91"/>
  <c r="M502" i="91"/>
  <c r="M482" i="91"/>
  <c r="M432" i="91"/>
  <c r="M430" i="91"/>
  <c r="M486" i="91"/>
  <c r="M438" i="91"/>
  <c r="M488" i="91"/>
  <c r="M423" i="91"/>
  <c r="M451" i="91"/>
  <c r="M503" i="91"/>
  <c r="M470" i="91"/>
  <c r="M440" i="91"/>
  <c r="M499" i="91"/>
  <c r="M428" i="91"/>
  <c r="M489" i="91"/>
  <c r="M448" i="91"/>
  <c r="M436" i="91"/>
  <c r="M485" i="91"/>
  <c r="M444" i="91"/>
  <c r="M490" i="91"/>
  <c r="M495" i="91"/>
  <c r="M468" i="91"/>
  <c r="M459" i="91"/>
  <c r="M461" i="91"/>
  <c r="M480" i="91"/>
  <c r="M475" i="91"/>
  <c r="M450" i="91"/>
  <c r="M464" i="91"/>
  <c r="M458" i="91"/>
  <c r="M457" i="91"/>
  <c r="M429" i="91"/>
  <c r="M493" i="91"/>
  <c r="M501" i="91"/>
  <c r="M487" i="91"/>
  <c r="M466" i="91"/>
  <c r="M483" i="91"/>
  <c r="M454" i="91"/>
  <c r="M456" i="91"/>
  <c r="M447" i="91"/>
  <c r="M463" i="91"/>
  <c r="M433" i="91"/>
  <c r="M465" i="91"/>
  <c r="M437" i="91"/>
  <c r="M427" i="91"/>
  <c r="M441" i="91"/>
  <c r="M449" i="91"/>
  <c r="M435" i="91"/>
  <c r="M431" i="91"/>
  <c r="M443" i="91"/>
  <c r="M455" i="91"/>
  <c r="M460" i="91"/>
  <c r="M498" i="91"/>
  <c r="M497" i="91"/>
  <c r="M477" i="91"/>
  <c r="M439" i="91"/>
  <c r="M494" i="91"/>
  <c r="M445" i="91"/>
  <c r="M467" i="91"/>
  <c r="M462" i="91"/>
  <c r="M500" i="91"/>
  <c r="M474" i="91"/>
  <c r="M425" i="91"/>
  <c r="J475" i="91"/>
  <c r="J454" i="91"/>
  <c r="J464" i="91"/>
  <c r="J465" i="91"/>
  <c r="J476" i="91"/>
  <c r="J462" i="91"/>
  <c r="J472" i="91"/>
  <c r="J461" i="91"/>
  <c r="J455" i="91"/>
  <c r="J448" i="91"/>
  <c r="J458" i="91"/>
  <c r="J471" i="91"/>
  <c r="J453" i="91"/>
  <c r="J449" i="91"/>
  <c r="J468" i="91"/>
  <c r="J457" i="91"/>
  <c r="J470" i="91"/>
  <c r="J456" i="91"/>
  <c r="J478" i="91"/>
  <c r="J452" i="91"/>
  <c r="J450" i="91"/>
  <c r="J467" i="91"/>
  <c r="J479" i="91"/>
  <c r="J466" i="91"/>
  <c r="J463" i="91"/>
  <c r="J477" i="91"/>
  <c r="J469" i="91"/>
  <c r="J459" i="91"/>
  <c r="J451" i="91"/>
  <c r="J460" i="91"/>
  <c r="J474" i="91"/>
  <c r="J473" i="91"/>
  <c r="N473" i="91"/>
  <c r="N468" i="91"/>
  <c r="N476" i="91"/>
  <c r="N439" i="91"/>
  <c r="N429" i="91"/>
  <c r="N502" i="91"/>
  <c r="N427" i="91"/>
  <c r="N454" i="91"/>
  <c r="N492" i="91"/>
  <c r="N444" i="91"/>
  <c r="N447" i="91"/>
  <c r="N469" i="91"/>
  <c r="N485" i="91"/>
  <c r="N441" i="91"/>
  <c r="N428" i="91"/>
  <c r="N500" i="91"/>
  <c r="N448" i="91"/>
  <c r="N442" i="91"/>
  <c r="N449" i="91"/>
  <c r="N491" i="91"/>
  <c r="N474" i="91"/>
  <c r="N499" i="91"/>
  <c r="N480" i="91"/>
  <c r="N460" i="91"/>
  <c r="N470" i="91"/>
  <c r="N426" i="91"/>
  <c r="N443" i="91"/>
  <c r="N496" i="91"/>
  <c r="N481" i="91"/>
  <c r="N431" i="91"/>
  <c r="N440" i="91"/>
  <c r="N452" i="91"/>
  <c r="N498" i="91"/>
  <c r="N479" i="91"/>
  <c r="N463" i="91"/>
  <c r="N477" i="91"/>
  <c r="N494" i="91"/>
  <c r="N453" i="91"/>
  <c r="N434" i="91"/>
  <c r="N475" i="91"/>
  <c r="N438" i="91"/>
  <c r="N472" i="91"/>
  <c r="N436" i="91"/>
  <c r="N456" i="91"/>
  <c r="N423" i="91"/>
  <c r="N455" i="91"/>
  <c r="N430" i="91"/>
  <c r="N465" i="91"/>
  <c r="N497" i="91"/>
  <c r="N425" i="91"/>
  <c r="N495" i="91"/>
  <c r="N466" i="91"/>
  <c r="N435" i="91"/>
  <c r="N424" i="91"/>
  <c r="N433" i="91"/>
  <c r="N464" i="91"/>
  <c r="N437" i="91"/>
  <c r="N458" i="91"/>
  <c r="N489" i="91"/>
  <c r="N459" i="91"/>
  <c r="N478" i="91"/>
  <c r="N446" i="91"/>
  <c r="N487" i="91"/>
  <c r="N471" i="91"/>
  <c r="N461" i="91"/>
  <c r="N488" i="91"/>
  <c r="N462" i="91"/>
  <c r="N450" i="91"/>
  <c r="N432" i="91"/>
  <c r="N467" i="91"/>
  <c r="N493" i="91"/>
  <c r="N490" i="91"/>
  <c r="N484" i="91"/>
  <c r="N445" i="91"/>
  <c r="N503" i="91"/>
  <c r="N482" i="91"/>
  <c r="N451" i="91"/>
  <c r="N501" i="91"/>
  <c r="N483" i="91"/>
  <c r="N486" i="91"/>
  <c r="N457" i="91"/>
  <c r="F94" i="91"/>
  <c r="E95" i="91"/>
  <c r="C92" i="91"/>
  <c r="G94" i="91"/>
  <c r="D94" i="91"/>
  <c r="W22" i="99"/>
  <c r="W21" i="99"/>
  <c r="W20" i="99"/>
  <c r="W23" i="99"/>
  <c r="W24" i="99"/>
  <c r="X25" i="101"/>
  <c r="X28" i="101"/>
  <c r="X27" i="101"/>
  <c r="X26" i="101"/>
  <c r="X29" i="101"/>
  <c r="Z27" i="101"/>
  <c r="Z29" i="101"/>
  <c r="Z28" i="101"/>
  <c r="Z25" i="101"/>
  <c r="Z26" i="101"/>
  <c r="AB31" i="101"/>
  <c r="AB34" i="101"/>
  <c r="AB30" i="101"/>
  <c r="AB33" i="101"/>
  <c r="AB32" i="101"/>
  <c r="Z10" i="101"/>
  <c r="Y26" i="101"/>
  <c r="Y28" i="101"/>
  <c r="Y27" i="101"/>
  <c r="Y25" i="101"/>
  <c r="Y29" i="101"/>
  <c r="Z17" i="99"/>
  <c r="Z16" i="99"/>
  <c r="Z18" i="99"/>
  <c r="Z19" i="99"/>
  <c r="Z15" i="99"/>
  <c r="AA24" i="101"/>
  <c r="AA20" i="101"/>
  <c r="AA22" i="101"/>
  <c r="AA23" i="101"/>
  <c r="AA21" i="101"/>
  <c r="Y21" i="99"/>
  <c r="Y23" i="99"/>
  <c r="Y22" i="99"/>
  <c r="Y20" i="99"/>
  <c r="Y24" i="99"/>
  <c r="AA26" i="99"/>
  <c r="AA28" i="99"/>
  <c r="AA29" i="99"/>
  <c r="AG113" i="96"/>
  <c r="AA27" i="99"/>
  <c r="AF34" i="96"/>
  <c r="AA25" i="99"/>
  <c r="R113" i="99"/>
  <c r="AR21" i="101" l="1"/>
  <c r="AR23" i="101"/>
  <c r="AR22" i="101"/>
  <c r="AR20" i="101"/>
  <c r="AR24" i="101"/>
  <c r="AP29" i="101"/>
  <c r="AP25" i="101"/>
  <c r="AP27" i="101"/>
  <c r="AP28" i="101"/>
  <c r="AP26" i="101"/>
  <c r="AQ10" i="101"/>
  <c r="AS32" i="101"/>
  <c r="AS33" i="101"/>
  <c r="AS30" i="101"/>
  <c r="AS34" i="101"/>
  <c r="AS31" i="101"/>
  <c r="AQ26" i="101"/>
  <c r="AQ25" i="101"/>
  <c r="AQ28" i="101"/>
  <c r="AQ29" i="101"/>
  <c r="AQ27" i="101"/>
  <c r="AO29" i="101"/>
  <c r="AO26" i="101"/>
  <c r="AO27" i="101"/>
  <c r="AO28" i="101"/>
  <c r="AO25" i="101"/>
  <c r="AA99" i="97"/>
  <c r="Z99" i="97" s="1"/>
  <c r="AB100" i="97"/>
  <c r="AB127" i="97"/>
  <c r="AA127" i="97" s="1"/>
  <c r="Z127" i="97" s="1"/>
  <c r="AC128" i="97"/>
  <c r="AB74" i="97"/>
  <c r="AA74" i="97" s="1"/>
  <c r="Z74" i="97" s="1"/>
  <c r="AC75" i="97"/>
  <c r="AB23" i="97"/>
  <c r="AA23" i="97" s="1"/>
  <c r="AC24" i="97"/>
  <c r="Z22" i="97"/>
  <c r="AB49" i="97"/>
  <c r="AA49" i="97" s="1"/>
  <c r="AC50" i="97"/>
  <c r="AC104" i="97"/>
  <c r="Z48" i="97"/>
  <c r="N113" i="97"/>
  <c r="M34" i="97"/>
  <c r="I113" i="97"/>
  <c r="X113" i="97" s="1"/>
  <c r="W113" i="97" s="1"/>
  <c r="V113" i="97" s="1"/>
  <c r="U113" i="97" s="1"/>
  <c r="H34" i="97"/>
  <c r="BE271" i="96"/>
  <c r="BE272" i="96" s="1"/>
  <c r="BE273" i="96" s="1"/>
  <c r="BE274" i="96" s="1"/>
  <c r="BE275" i="96" s="1"/>
  <c r="BE276" i="96" s="1"/>
  <c r="BE277" i="96" s="1"/>
  <c r="BE278" i="96" s="1"/>
  <c r="BE279" i="96" s="1"/>
  <c r="BE280" i="96" s="1"/>
  <c r="BE281" i="96" s="1"/>
  <c r="BE282" i="96" s="1"/>
  <c r="BD284" i="96"/>
  <c r="BD285" i="96" s="1"/>
  <c r="BD286" i="96" s="1"/>
  <c r="BD287" i="96" s="1"/>
  <c r="BD288" i="96" s="1"/>
  <c r="BD289" i="96" s="1"/>
  <c r="BD290" i="96" s="1"/>
  <c r="BD291" i="96" s="1"/>
  <c r="BD292" i="96" s="1"/>
  <c r="BD293" i="96" s="1"/>
  <c r="BD294" i="96" s="1"/>
  <c r="BD295" i="96" s="1"/>
  <c r="BD296" i="96" s="1"/>
  <c r="BD297" i="96" s="1"/>
  <c r="BD298" i="96" s="1"/>
  <c r="BD299" i="96" s="1"/>
  <c r="BD300" i="96" s="1"/>
  <c r="BD301" i="96" s="1"/>
  <c r="BD302" i="96" s="1"/>
  <c r="BD303" i="96" s="1"/>
  <c r="BD304" i="96" s="1"/>
  <c r="BD305" i="96" s="1"/>
  <c r="BD306" i="96" s="1"/>
  <c r="BD307" i="96" s="1"/>
  <c r="BD308" i="96" s="1"/>
  <c r="BD309" i="96" s="1"/>
  <c r="J484" i="91"/>
  <c r="J495" i="91"/>
  <c r="J481" i="91"/>
  <c r="J497" i="91"/>
  <c r="J500" i="91"/>
  <c r="J498" i="91"/>
  <c r="J499" i="91"/>
  <c r="J491" i="91"/>
  <c r="J492" i="91"/>
  <c r="J489" i="91"/>
  <c r="J482" i="91"/>
  <c r="J486" i="91"/>
  <c r="J494" i="91"/>
  <c r="J483" i="91"/>
  <c r="J501" i="91"/>
  <c r="J502" i="91"/>
  <c r="J487" i="91"/>
  <c r="J488" i="91"/>
  <c r="J485" i="91"/>
  <c r="J480" i="91"/>
  <c r="J493" i="91"/>
  <c r="J496" i="91"/>
  <c r="J503" i="91"/>
  <c r="J490" i="91"/>
  <c r="K503" i="91"/>
  <c r="D95" i="91"/>
  <c r="C93" i="91"/>
  <c r="G95" i="91"/>
  <c r="F95" i="91"/>
  <c r="E96" i="91"/>
  <c r="W29" i="99"/>
  <c r="W28" i="99"/>
  <c r="W26" i="99"/>
  <c r="W27" i="99"/>
  <c r="W25" i="99"/>
  <c r="X33" i="101"/>
  <c r="X31" i="101"/>
  <c r="X30" i="101"/>
  <c r="X34" i="101"/>
  <c r="X32" i="101"/>
  <c r="AA25" i="101"/>
  <c r="AA29" i="101"/>
  <c r="AA26" i="101"/>
  <c r="AA27" i="101"/>
  <c r="AA28" i="101"/>
  <c r="Z33" i="101"/>
  <c r="Z24" i="99"/>
  <c r="Z22" i="99"/>
  <c r="Z23" i="99"/>
  <c r="Z21" i="99"/>
  <c r="Z20" i="99"/>
  <c r="X29" i="99"/>
  <c r="X26" i="99"/>
  <c r="X25" i="99"/>
  <c r="X27" i="99"/>
  <c r="X28" i="99"/>
  <c r="Y29" i="99"/>
  <c r="Y25" i="99"/>
  <c r="Y28" i="99"/>
  <c r="Y26" i="99"/>
  <c r="Y27" i="99"/>
  <c r="AB37" i="101"/>
  <c r="AB36" i="101"/>
  <c r="AB35" i="101"/>
  <c r="AB39" i="101"/>
  <c r="AB38" i="101"/>
  <c r="Y30" i="101"/>
  <c r="Y34" i="101"/>
  <c r="Y32" i="101"/>
  <c r="Y31" i="101"/>
  <c r="Y33" i="101"/>
  <c r="Z30" i="101"/>
  <c r="Z31" i="101"/>
  <c r="Z32" i="101"/>
  <c r="Z11" i="101"/>
  <c r="R34" i="99"/>
  <c r="AF35" i="96"/>
  <c r="AF36" i="96"/>
  <c r="AF37" i="96"/>
  <c r="AA34" i="99"/>
  <c r="AF115" i="96"/>
  <c r="AF89" i="96"/>
  <c r="AF140" i="96"/>
  <c r="AA31" i="99"/>
  <c r="R35" i="99"/>
  <c r="R89" i="99"/>
  <c r="AA33" i="99"/>
  <c r="AA32" i="99"/>
  <c r="AF87" i="96"/>
  <c r="AF61" i="96"/>
  <c r="R115" i="99"/>
  <c r="S113" i="99"/>
  <c r="AF114" i="96"/>
  <c r="R114" i="99" s="1"/>
  <c r="R140" i="99"/>
  <c r="AF63" i="96"/>
  <c r="R63" i="99" s="1"/>
  <c r="AF62" i="96"/>
  <c r="R62" i="99" s="1"/>
  <c r="AF88" i="96"/>
  <c r="AF141" i="96"/>
  <c r="R141" i="99" s="1"/>
  <c r="R61" i="99"/>
  <c r="AA30" i="99"/>
  <c r="R87" i="99"/>
  <c r="T113" i="99" l="1"/>
  <c r="AQ11" i="101"/>
  <c r="AQ32" i="101"/>
  <c r="AQ31" i="101"/>
  <c r="AQ30" i="101"/>
  <c r="AP33" i="101"/>
  <c r="AP31" i="101"/>
  <c r="AP32" i="101"/>
  <c r="AP34" i="101"/>
  <c r="AP30" i="101"/>
  <c r="AS38" i="101"/>
  <c r="AS39" i="101"/>
  <c r="AS35" i="101"/>
  <c r="AS36" i="101"/>
  <c r="AS37" i="101"/>
  <c r="AQ33" i="101"/>
  <c r="AR28" i="101"/>
  <c r="AR27" i="101"/>
  <c r="AR26" i="101"/>
  <c r="AR29" i="101"/>
  <c r="AR25" i="101"/>
  <c r="AO32" i="101"/>
  <c r="AO34" i="101"/>
  <c r="AO30" i="101"/>
  <c r="AO31" i="101"/>
  <c r="AO33" i="101"/>
  <c r="Z23" i="97"/>
  <c r="AB75" i="97"/>
  <c r="AA75" i="97" s="1"/>
  <c r="Z75" i="97" s="1"/>
  <c r="AC76" i="97"/>
  <c r="AB128" i="97"/>
  <c r="AA128" i="97" s="1"/>
  <c r="Z128" i="97" s="1"/>
  <c r="AC129" i="97"/>
  <c r="AC105" i="97"/>
  <c r="AB50" i="97"/>
  <c r="AA50" i="97" s="1"/>
  <c r="AC51" i="97"/>
  <c r="AA100" i="97"/>
  <c r="Z100" i="97" s="1"/>
  <c r="AB101" i="97"/>
  <c r="Z49" i="97"/>
  <c r="AB24" i="97"/>
  <c r="AA24" i="97" s="1"/>
  <c r="AC25" i="97"/>
  <c r="M140" i="97"/>
  <c r="H140" i="97"/>
  <c r="BE283" i="96"/>
  <c r="M89" i="97"/>
  <c r="M63" i="97"/>
  <c r="M62" i="97"/>
  <c r="M36" i="97"/>
  <c r="M88" i="97"/>
  <c r="M114" i="97"/>
  <c r="M35" i="97"/>
  <c r="M61" i="97"/>
  <c r="M141" i="97"/>
  <c r="M37" i="97"/>
  <c r="M87" i="97"/>
  <c r="M115" i="97"/>
  <c r="H89" i="97"/>
  <c r="H63" i="97"/>
  <c r="H62" i="97"/>
  <c r="H36" i="97"/>
  <c r="H88" i="97"/>
  <c r="H114" i="97"/>
  <c r="H35" i="97"/>
  <c r="H61" i="97"/>
  <c r="H141" i="97"/>
  <c r="H37" i="97"/>
  <c r="H87" i="97"/>
  <c r="H115" i="97"/>
  <c r="C94" i="91"/>
  <c r="E97" i="91"/>
  <c r="F96" i="91"/>
  <c r="G96" i="91"/>
  <c r="D96" i="91"/>
  <c r="X39" i="101"/>
  <c r="X38" i="101"/>
  <c r="X36" i="101"/>
  <c r="X35" i="101"/>
  <c r="X37" i="101"/>
  <c r="AA33" i="101"/>
  <c r="AA30" i="101"/>
  <c r="AA31" i="101"/>
  <c r="AA34" i="101"/>
  <c r="AA32" i="101"/>
  <c r="Y36" i="101"/>
  <c r="Y37" i="101"/>
  <c r="Y35" i="101"/>
  <c r="Y38" i="101"/>
  <c r="Y39" i="101"/>
  <c r="Y30" i="99"/>
  <c r="Y34" i="99"/>
  <c r="Y31" i="99"/>
  <c r="Y33" i="99"/>
  <c r="Y32" i="99"/>
  <c r="Z27" i="99"/>
  <c r="Z29" i="99"/>
  <c r="Z28" i="99"/>
  <c r="Z25" i="99"/>
  <c r="Z26" i="99"/>
  <c r="X34" i="99"/>
  <c r="X30" i="99"/>
  <c r="X33" i="99"/>
  <c r="X31" i="99"/>
  <c r="X32" i="99"/>
  <c r="W30" i="99"/>
  <c r="W33" i="99"/>
  <c r="W31" i="99"/>
  <c r="W34" i="99"/>
  <c r="W32" i="99"/>
  <c r="Z34" i="101"/>
  <c r="AB44" i="101"/>
  <c r="AB42" i="101"/>
  <c r="AB41" i="101"/>
  <c r="AB40" i="101"/>
  <c r="AB43" i="101"/>
  <c r="Z12" i="101"/>
  <c r="R88" i="99"/>
  <c r="R37" i="99"/>
  <c r="AA37" i="99"/>
  <c r="R36" i="99"/>
  <c r="AA39" i="99"/>
  <c r="AG34" i="96"/>
  <c r="AA35" i="99"/>
  <c r="AA38" i="99"/>
  <c r="AA36" i="99"/>
  <c r="AQ12" i="101" l="1"/>
  <c r="AS43" i="101"/>
  <c r="AS40" i="101"/>
  <c r="AS41" i="101"/>
  <c r="AS42" i="101"/>
  <c r="AS44" i="101"/>
  <c r="AQ34" i="101"/>
  <c r="AP39" i="101"/>
  <c r="AP38" i="101"/>
  <c r="AP35" i="101"/>
  <c r="AP37" i="101"/>
  <c r="AP36" i="101"/>
  <c r="AR32" i="101"/>
  <c r="AR34" i="101"/>
  <c r="AR31" i="101"/>
  <c r="AR30" i="101"/>
  <c r="AR33" i="101"/>
  <c r="AO37" i="101"/>
  <c r="AO35" i="101"/>
  <c r="AO36" i="101"/>
  <c r="AO38" i="101"/>
  <c r="AO39" i="101"/>
  <c r="AC106" i="97"/>
  <c r="AB25" i="97"/>
  <c r="AA25" i="97" s="1"/>
  <c r="AC26" i="97"/>
  <c r="Z24" i="97"/>
  <c r="AB129" i="97"/>
  <c r="AA129" i="97" s="1"/>
  <c r="Z129" i="97" s="1"/>
  <c r="AC130" i="97"/>
  <c r="Z50" i="97"/>
  <c r="AB76" i="97"/>
  <c r="AA76" i="97" s="1"/>
  <c r="Z76" i="97" s="1"/>
  <c r="AC77" i="97"/>
  <c r="AA101" i="97"/>
  <c r="Z101" i="97" s="1"/>
  <c r="AB102" i="97"/>
  <c r="AB51" i="97"/>
  <c r="AA51" i="97" s="1"/>
  <c r="AC52" i="97"/>
  <c r="N34" i="97"/>
  <c r="I34" i="97"/>
  <c r="BE284" i="96"/>
  <c r="BE285" i="96" s="1"/>
  <c r="BE286" i="96" s="1"/>
  <c r="BE287" i="96" s="1"/>
  <c r="G97" i="91"/>
  <c r="C95" i="91"/>
  <c r="D97" i="91"/>
  <c r="F97" i="91"/>
  <c r="E98" i="91"/>
  <c r="Y35" i="99"/>
  <c r="Y36" i="99"/>
  <c r="Y39" i="99"/>
  <c r="Y37" i="99"/>
  <c r="Y38" i="99"/>
  <c r="Z13" i="101"/>
  <c r="X36" i="99"/>
  <c r="X37" i="99"/>
  <c r="X38" i="99"/>
  <c r="X35" i="99"/>
  <c r="X39" i="99"/>
  <c r="W38" i="99"/>
  <c r="W36" i="99"/>
  <c r="W37" i="99"/>
  <c r="W35" i="99"/>
  <c r="W39" i="99"/>
  <c r="X42" i="101"/>
  <c r="X41" i="101"/>
  <c r="X43" i="101"/>
  <c r="X44" i="101"/>
  <c r="X40" i="101"/>
  <c r="AA37" i="101"/>
  <c r="AA36" i="101"/>
  <c r="AA39" i="101"/>
  <c r="AA38" i="101"/>
  <c r="AA35" i="101"/>
  <c r="AB49" i="101"/>
  <c r="AB45" i="101"/>
  <c r="AB47" i="101"/>
  <c r="AB48" i="101"/>
  <c r="AB46" i="101"/>
  <c r="Z30" i="99"/>
  <c r="Z34" i="99"/>
  <c r="Z32" i="99"/>
  <c r="Z31" i="99"/>
  <c r="Z33" i="99"/>
  <c r="Y43" i="101"/>
  <c r="Y40" i="101"/>
  <c r="Y42" i="101"/>
  <c r="Y41" i="101"/>
  <c r="Y44" i="101"/>
  <c r="S34" i="99"/>
  <c r="AA44" i="99"/>
  <c r="AA42" i="99"/>
  <c r="AA43" i="99"/>
  <c r="AA41" i="99"/>
  <c r="AA40" i="99"/>
  <c r="X34" i="97" l="1"/>
  <c r="W34" i="97" s="1"/>
  <c r="V34" i="97" s="1"/>
  <c r="U34" i="97" s="1"/>
  <c r="T34" i="99"/>
  <c r="AP44" i="101"/>
  <c r="AP41" i="101"/>
  <c r="AP42" i="101"/>
  <c r="AP40" i="101"/>
  <c r="AP43" i="101"/>
  <c r="AS46" i="101"/>
  <c r="AS48" i="101"/>
  <c r="AS47" i="101"/>
  <c r="AS45" i="101"/>
  <c r="AS49" i="101"/>
  <c r="AR35" i="101"/>
  <c r="AR38" i="101"/>
  <c r="AR39" i="101"/>
  <c r="AR36" i="101"/>
  <c r="AR37" i="101"/>
  <c r="AO40" i="101"/>
  <c r="AO44" i="101"/>
  <c r="AO43" i="101"/>
  <c r="AO41" i="101"/>
  <c r="AO42" i="101"/>
  <c r="AQ13" i="101"/>
  <c r="AB130" i="97"/>
  <c r="AA130" i="97" s="1"/>
  <c r="Z130" i="97" s="1"/>
  <c r="AC131" i="97"/>
  <c r="AA102" i="97"/>
  <c r="Z102" i="97" s="1"/>
  <c r="AB103" i="97"/>
  <c r="AB26" i="97"/>
  <c r="AA26" i="97" s="1"/>
  <c r="AC27" i="97"/>
  <c r="AB52" i="97"/>
  <c r="AA52" i="97" s="1"/>
  <c r="AC53" i="97"/>
  <c r="AC107" i="97"/>
  <c r="AB77" i="97"/>
  <c r="AA77" i="97" s="1"/>
  <c r="AC78" i="97"/>
  <c r="Z25" i="97"/>
  <c r="Z51" i="97"/>
  <c r="BE288" i="96"/>
  <c r="E99" i="91"/>
  <c r="C96" i="91"/>
  <c r="D98" i="91"/>
  <c r="G98" i="91"/>
  <c r="F98" i="91"/>
  <c r="AA40" i="101"/>
  <c r="AA42" i="101"/>
  <c r="AA44" i="101"/>
  <c r="AA43" i="101"/>
  <c r="AA41" i="101"/>
  <c r="Z38" i="99"/>
  <c r="Z39" i="99"/>
  <c r="Z37" i="99"/>
  <c r="Z35" i="99"/>
  <c r="Z36" i="99"/>
  <c r="X46" i="101"/>
  <c r="X45" i="101"/>
  <c r="X49" i="101"/>
  <c r="X48" i="101"/>
  <c r="X47" i="101"/>
  <c r="W40" i="99"/>
  <c r="W42" i="99"/>
  <c r="W44" i="99"/>
  <c r="W41" i="99"/>
  <c r="W43" i="99"/>
  <c r="Y46" i="101"/>
  <c r="Y48" i="101"/>
  <c r="Y49" i="101"/>
  <c r="Y45" i="101"/>
  <c r="Y47" i="101"/>
  <c r="Z14" i="101"/>
  <c r="Y42" i="99"/>
  <c r="Y40" i="99"/>
  <c r="Y41" i="99"/>
  <c r="Y44" i="99"/>
  <c r="Y43" i="99"/>
  <c r="Z35" i="101"/>
  <c r="AB53" i="101"/>
  <c r="AB50" i="101"/>
  <c r="AB52" i="101"/>
  <c r="AB54" i="101"/>
  <c r="AB51" i="101"/>
  <c r="X44" i="99"/>
  <c r="X41" i="99"/>
  <c r="X40" i="99"/>
  <c r="X42" i="99"/>
  <c r="X43" i="99"/>
  <c r="AA48" i="99"/>
  <c r="AG140" i="96"/>
  <c r="AA49" i="99"/>
  <c r="AA45" i="99"/>
  <c r="AA47" i="99"/>
  <c r="AA46" i="99"/>
  <c r="AS51" i="101" l="1"/>
  <c r="AS54" i="101"/>
  <c r="AS52" i="101"/>
  <c r="AS50" i="101"/>
  <c r="AS53" i="101"/>
  <c r="AQ35" i="101"/>
  <c r="AQ14" i="101"/>
  <c r="AP47" i="101"/>
  <c r="AP45" i="101"/>
  <c r="AP49" i="101"/>
  <c r="AP48" i="101"/>
  <c r="AP46" i="101"/>
  <c r="AO47" i="101"/>
  <c r="AO48" i="101"/>
  <c r="AO49" i="101"/>
  <c r="AO45" i="101"/>
  <c r="AO46" i="101"/>
  <c r="AR41" i="101"/>
  <c r="AR43" i="101"/>
  <c r="AR44" i="101"/>
  <c r="AR42" i="101"/>
  <c r="AR40" i="101"/>
  <c r="Z77" i="97"/>
  <c r="AC54" i="97"/>
  <c r="AB53" i="97"/>
  <c r="AA53" i="97" s="1"/>
  <c r="AA103" i="97"/>
  <c r="Z103" i="97" s="1"/>
  <c r="AB104" i="97"/>
  <c r="Z52" i="97"/>
  <c r="AC108" i="97"/>
  <c r="AB131" i="97"/>
  <c r="AA131" i="97" s="1"/>
  <c r="Z131" i="97" s="1"/>
  <c r="AC132" i="97"/>
  <c r="AB27" i="97"/>
  <c r="AA27" i="97" s="1"/>
  <c r="AC28" i="97"/>
  <c r="Z26" i="97"/>
  <c r="AB78" i="97"/>
  <c r="AA78" i="97" s="1"/>
  <c r="AC79" i="97"/>
  <c r="N140" i="97"/>
  <c r="I140" i="97"/>
  <c r="BE289" i="96"/>
  <c r="BE290" i="96" s="1"/>
  <c r="BE291" i="96" s="1"/>
  <c r="BE292" i="96" s="1"/>
  <c r="BE293" i="96" s="1"/>
  <c r="BE294" i="96" s="1"/>
  <c r="BE295" i="96" s="1"/>
  <c r="BE296" i="96" s="1"/>
  <c r="BE297" i="96" s="1"/>
  <c r="BE298" i="96" s="1"/>
  <c r="BE299" i="96" s="1"/>
  <c r="BE300" i="96" s="1"/>
  <c r="BE301" i="96" s="1"/>
  <c r="BE302" i="96" s="1"/>
  <c r="BE303" i="96" s="1"/>
  <c r="BE304" i="96" s="1"/>
  <c r="BE305" i="96" s="1"/>
  <c r="BE306" i="96" s="1"/>
  <c r="BE307" i="96" s="1"/>
  <c r="BE308" i="96" s="1"/>
  <c r="BE309" i="96" s="1"/>
  <c r="D99" i="91"/>
  <c r="F99" i="91"/>
  <c r="G99" i="91"/>
  <c r="E100" i="91"/>
  <c r="C97" i="91"/>
  <c r="Y50" i="101"/>
  <c r="Y53" i="101"/>
  <c r="Y51" i="101"/>
  <c r="Y52" i="101"/>
  <c r="Y54" i="101"/>
  <c r="Z41" i="99"/>
  <c r="Z40" i="99"/>
  <c r="Z44" i="99"/>
  <c r="Z43" i="99"/>
  <c r="Z42" i="99"/>
  <c r="AB55" i="101"/>
  <c r="AB63" i="101"/>
  <c r="AB58" i="101"/>
  <c r="AB56" i="101"/>
  <c r="AB64" i="101"/>
  <c r="AB59" i="101"/>
  <c r="AB57" i="101"/>
  <c r="AB60" i="101"/>
  <c r="AB61" i="101"/>
  <c r="AB62" i="101"/>
  <c r="AA45" i="101"/>
  <c r="AA46" i="101"/>
  <c r="AA47" i="101"/>
  <c r="AA48" i="101"/>
  <c r="AA49" i="101"/>
  <c r="W47" i="99"/>
  <c r="W49" i="99"/>
  <c r="W45" i="99"/>
  <c r="W48" i="99"/>
  <c r="W46" i="99"/>
  <c r="Z46" i="101"/>
  <c r="Z47" i="101"/>
  <c r="Z48" i="101"/>
  <c r="X53" i="101"/>
  <c r="X54" i="101"/>
  <c r="X52" i="101"/>
  <c r="X50" i="101"/>
  <c r="X51" i="101"/>
  <c r="X49" i="99"/>
  <c r="X47" i="99"/>
  <c r="X45" i="99"/>
  <c r="X48" i="99"/>
  <c r="X46" i="99"/>
  <c r="Z36" i="101"/>
  <c r="S140" i="99"/>
  <c r="AG37" i="96"/>
  <c r="AG61" i="96"/>
  <c r="AG87" i="96"/>
  <c r="AG63" i="96"/>
  <c r="AA50" i="99"/>
  <c r="AG88" i="96"/>
  <c r="S37" i="99"/>
  <c r="S61" i="99"/>
  <c r="AA52" i="99"/>
  <c r="AA51" i="99"/>
  <c r="AG35" i="96"/>
  <c r="AG36" i="96"/>
  <c r="AG89" i="96"/>
  <c r="S89" i="99"/>
  <c r="AG115" i="96"/>
  <c r="S35" i="99"/>
  <c r="S88" i="99"/>
  <c r="AG62" i="96"/>
  <c r="S115" i="99"/>
  <c r="S36" i="99"/>
  <c r="AA53" i="99"/>
  <c r="AG141" i="96"/>
  <c r="S141" i="99" s="1"/>
  <c r="S62" i="99"/>
  <c r="AA54" i="99"/>
  <c r="AG114" i="96"/>
  <c r="S114" i="99" s="1"/>
  <c r="X140" i="97" l="1"/>
  <c r="W140" i="97" s="1"/>
  <c r="V140" i="97" s="1"/>
  <c r="U140" i="97" s="1"/>
  <c r="T114" i="99"/>
  <c r="T115" i="99" s="1"/>
  <c r="T140" i="99"/>
  <c r="AQ36" i="101"/>
  <c r="AO51" i="101"/>
  <c r="AO50" i="101"/>
  <c r="AO52" i="101"/>
  <c r="AO54" i="101"/>
  <c r="AO53" i="101"/>
  <c r="AQ48" i="101"/>
  <c r="AQ47" i="101"/>
  <c r="AQ46" i="101"/>
  <c r="AR49" i="101"/>
  <c r="AR48" i="101"/>
  <c r="AR47" i="101"/>
  <c r="AR46" i="101"/>
  <c r="AR45" i="101"/>
  <c r="AS62" i="101"/>
  <c r="AS61" i="101"/>
  <c r="AS60" i="101"/>
  <c r="AS57" i="101"/>
  <c r="AS59" i="101"/>
  <c r="AS64" i="101"/>
  <c r="AS56" i="101"/>
  <c r="AS58" i="101"/>
  <c r="AS63" i="101"/>
  <c r="AS55" i="101"/>
  <c r="AP54" i="101"/>
  <c r="AP52" i="101"/>
  <c r="AP51" i="101"/>
  <c r="AP53" i="101"/>
  <c r="AP50" i="101"/>
  <c r="Z53" i="97"/>
  <c r="AB54" i="97"/>
  <c r="AA54" i="97" s="1"/>
  <c r="AC55" i="97"/>
  <c r="AA104" i="97"/>
  <c r="AB105" i="97"/>
  <c r="Z78" i="97"/>
  <c r="AB28" i="97"/>
  <c r="AA28" i="97" s="1"/>
  <c r="AC29" i="97"/>
  <c r="Z27" i="97"/>
  <c r="AB132" i="97"/>
  <c r="AA132" i="97" s="1"/>
  <c r="Z132" i="97" s="1"/>
  <c r="AC133" i="97"/>
  <c r="AC109" i="97"/>
  <c r="AC80" i="97"/>
  <c r="AB79" i="97"/>
  <c r="AA79" i="97" s="1"/>
  <c r="N36" i="97"/>
  <c r="N37" i="97"/>
  <c r="N35" i="97"/>
  <c r="N61" i="97"/>
  <c r="N62" i="97"/>
  <c r="N63" i="97"/>
  <c r="N88" i="97"/>
  <c r="N87" i="97"/>
  <c r="N89" i="97"/>
  <c r="N114" i="97"/>
  <c r="N115" i="97"/>
  <c r="N141" i="97"/>
  <c r="I36" i="97"/>
  <c r="X36" i="97" s="1"/>
  <c r="W36" i="97" s="1"/>
  <c r="V36" i="97" s="1"/>
  <c r="U36" i="97" s="1"/>
  <c r="I37" i="97"/>
  <c r="X37" i="97" s="1"/>
  <c r="W37" i="97" s="1"/>
  <c r="V37" i="97" s="1"/>
  <c r="U37" i="97" s="1"/>
  <c r="I35" i="97"/>
  <c r="X35" i="97" s="1"/>
  <c r="W35" i="97" s="1"/>
  <c r="V35" i="97" s="1"/>
  <c r="U35" i="97" s="1"/>
  <c r="T35" i="99" s="1"/>
  <c r="I61" i="97"/>
  <c r="X61" i="97" s="1"/>
  <c r="W61" i="97" s="1"/>
  <c r="V61" i="97" s="1"/>
  <c r="U61" i="97" s="1"/>
  <c r="T61" i="99" s="1"/>
  <c r="T62" i="99" s="1"/>
  <c r="I62" i="97"/>
  <c r="X62" i="97" s="1"/>
  <c r="W62" i="97" s="1"/>
  <c r="V62" i="97" s="1"/>
  <c r="U62" i="97" s="1"/>
  <c r="I63" i="97"/>
  <c r="X63" i="97" s="1"/>
  <c r="W63" i="97" s="1"/>
  <c r="V63" i="97" s="1"/>
  <c r="U63" i="97" s="1"/>
  <c r="I88" i="97"/>
  <c r="X88" i="97" s="1"/>
  <c r="W88" i="97" s="1"/>
  <c r="V88" i="97" s="1"/>
  <c r="U88" i="97" s="1"/>
  <c r="I87" i="97"/>
  <c r="X87" i="97" s="1"/>
  <c r="W87" i="97" s="1"/>
  <c r="V87" i="97" s="1"/>
  <c r="U87" i="97" s="1"/>
  <c r="I89" i="97"/>
  <c r="X89" i="97" s="1"/>
  <c r="W89" i="97" s="1"/>
  <c r="V89" i="97" s="1"/>
  <c r="U89" i="97" s="1"/>
  <c r="I114" i="97"/>
  <c r="X114" i="97" s="1"/>
  <c r="W114" i="97" s="1"/>
  <c r="V114" i="97" s="1"/>
  <c r="U114" i="97" s="1"/>
  <c r="I115" i="97"/>
  <c r="X115" i="97" s="1"/>
  <c r="W115" i="97" s="1"/>
  <c r="V115" i="97" s="1"/>
  <c r="U115" i="97" s="1"/>
  <c r="I141" i="97"/>
  <c r="X141" i="97" s="1"/>
  <c r="W141" i="97" s="1"/>
  <c r="V141" i="97" s="1"/>
  <c r="U141" i="97" s="1"/>
  <c r="F100" i="91"/>
  <c r="E101" i="91"/>
  <c r="D100" i="91"/>
  <c r="C98" i="91"/>
  <c r="G100" i="91"/>
  <c r="Z52" i="101"/>
  <c r="Z51" i="101"/>
  <c r="Z54" i="101"/>
  <c r="Z50" i="101"/>
  <c r="Z53" i="101"/>
  <c r="X51" i="99"/>
  <c r="X54" i="99"/>
  <c r="X50" i="99"/>
  <c r="X52" i="99"/>
  <c r="X53" i="99"/>
  <c r="Z15" i="101"/>
  <c r="AB69" i="101"/>
  <c r="AB66" i="101"/>
  <c r="AB71" i="101"/>
  <c r="AB65" i="101"/>
  <c r="AB67" i="101"/>
  <c r="AB74" i="101"/>
  <c r="AB70" i="101"/>
  <c r="AB72" i="101"/>
  <c r="AB68" i="101"/>
  <c r="AB73" i="101"/>
  <c r="Y64" i="101"/>
  <c r="Y63" i="101"/>
  <c r="Y57" i="101"/>
  <c r="Y56" i="101"/>
  <c r="Y58" i="101"/>
  <c r="Y60" i="101"/>
  <c r="Y62" i="101"/>
  <c r="Y61" i="101"/>
  <c r="Y59" i="101"/>
  <c r="Y55" i="101"/>
  <c r="Z37" i="101"/>
  <c r="X64" i="101"/>
  <c r="X57" i="101"/>
  <c r="X60" i="101"/>
  <c r="X63" i="101"/>
  <c r="X59" i="101"/>
  <c r="X61" i="101"/>
  <c r="X62" i="101"/>
  <c r="X56" i="101"/>
  <c r="X58" i="101"/>
  <c r="X55" i="101"/>
  <c r="W52" i="99"/>
  <c r="W51" i="99"/>
  <c r="W50" i="99"/>
  <c r="W53" i="99"/>
  <c r="W54" i="99"/>
  <c r="Y49" i="99"/>
  <c r="Y48" i="99"/>
  <c r="Y46" i="99"/>
  <c r="Y45" i="99"/>
  <c r="Y47" i="99"/>
  <c r="Z45" i="99"/>
  <c r="Z46" i="99"/>
  <c r="Z47" i="99"/>
  <c r="Z48" i="99"/>
  <c r="Z49" i="99"/>
  <c r="S63" i="99"/>
  <c r="AA63" i="99"/>
  <c r="AA57" i="99"/>
  <c r="AA60" i="99"/>
  <c r="S87" i="99"/>
  <c r="AA55" i="99"/>
  <c r="AA62" i="99"/>
  <c r="AA59" i="99"/>
  <c r="AA56" i="99"/>
  <c r="AA64" i="99"/>
  <c r="AA61" i="99"/>
  <c r="AA58" i="99"/>
  <c r="T36" i="99" l="1"/>
  <c r="T37" i="99" s="1"/>
  <c r="T87" i="99"/>
  <c r="T88" i="99" s="1"/>
  <c r="T89" i="99" s="1"/>
  <c r="T63" i="99"/>
  <c r="T141" i="99"/>
  <c r="AO55" i="101"/>
  <c r="AO58" i="101"/>
  <c r="AO56" i="101"/>
  <c r="AO62" i="101"/>
  <c r="AO61" i="101"/>
  <c r="AO59" i="101"/>
  <c r="AO63" i="101"/>
  <c r="AO60" i="101"/>
  <c r="AO57" i="101"/>
  <c r="AO64" i="101"/>
  <c r="AQ37" i="101"/>
  <c r="AP55" i="101"/>
  <c r="AP59" i="101"/>
  <c r="AP61" i="101"/>
  <c r="AP62" i="101"/>
  <c r="AP60" i="101"/>
  <c r="AP58" i="101"/>
  <c r="AP56" i="101"/>
  <c r="AP57" i="101"/>
  <c r="AP63" i="101"/>
  <c r="AP64" i="101"/>
  <c r="AS73" i="101"/>
  <c r="AS68" i="101"/>
  <c r="AS72" i="101"/>
  <c r="AS70" i="101"/>
  <c r="AS74" i="101"/>
  <c r="AS67" i="101"/>
  <c r="AS65" i="101"/>
  <c r="AS71" i="101"/>
  <c r="AS66" i="101"/>
  <c r="AS69" i="101"/>
  <c r="AQ15" i="101"/>
  <c r="AQ53" i="101"/>
  <c r="AQ50" i="101"/>
  <c r="AQ54" i="101"/>
  <c r="AQ51" i="101"/>
  <c r="AQ52" i="101"/>
  <c r="Z79" i="97"/>
  <c r="AB29" i="97"/>
  <c r="AA29" i="97" s="1"/>
  <c r="AC30" i="97"/>
  <c r="AB80" i="97"/>
  <c r="AA80" i="97" s="1"/>
  <c r="AC81" i="97"/>
  <c r="AA105" i="97"/>
  <c r="AB106" i="97"/>
  <c r="AC110" i="97"/>
  <c r="Z104" i="97"/>
  <c r="Z54" i="97"/>
  <c r="AB55" i="97"/>
  <c r="AA55" i="97" s="1"/>
  <c r="AC56" i="97"/>
  <c r="AC134" i="97"/>
  <c r="AB133" i="97"/>
  <c r="AA133" i="97" s="1"/>
  <c r="Z133" i="97" s="1"/>
  <c r="Z28" i="97"/>
  <c r="D101" i="91"/>
  <c r="C99" i="91"/>
  <c r="G101" i="91"/>
  <c r="E102" i="91"/>
  <c r="F101" i="91"/>
  <c r="AB84" i="101"/>
  <c r="AB77" i="101"/>
  <c r="AB78" i="101"/>
  <c r="AB83" i="101"/>
  <c r="AB76" i="101"/>
  <c r="AB82" i="101"/>
  <c r="AB80" i="101"/>
  <c r="AB79" i="101"/>
  <c r="AB75" i="101"/>
  <c r="AB81" i="101"/>
  <c r="Z58" i="101"/>
  <c r="Z55" i="101"/>
  <c r="Z56" i="101"/>
  <c r="Z57" i="101"/>
  <c r="AA51" i="101"/>
  <c r="AA50" i="101"/>
  <c r="AA54" i="101"/>
  <c r="AA53" i="101"/>
  <c r="AA52" i="101"/>
  <c r="Z59" i="101"/>
  <c r="Z16" i="101"/>
  <c r="W63" i="99"/>
  <c r="W58" i="99"/>
  <c r="W61" i="99"/>
  <c r="W60" i="99"/>
  <c r="W64" i="99"/>
  <c r="W59" i="99"/>
  <c r="W56" i="99"/>
  <c r="W62" i="99"/>
  <c r="W57" i="99"/>
  <c r="W55" i="99"/>
  <c r="X74" i="101"/>
  <c r="X70" i="101"/>
  <c r="X71" i="101"/>
  <c r="X72" i="101"/>
  <c r="X67" i="101"/>
  <c r="X66" i="101"/>
  <c r="X69" i="101"/>
  <c r="X68" i="101"/>
  <c r="X73" i="101"/>
  <c r="X65" i="101"/>
  <c r="Y51" i="99"/>
  <c r="Y54" i="99"/>
  <c r="Y50" i="99"/>
  <c r="Y52" i="99"/>
  <c r="Y53" i="99"/>
  <c r="Z38" i="101"/>
  <c r="Y70" i="101"/>
  <c r="Y69" i="101"/>
  <c r="Y71" i="101"/>
  <c r="Y66" i="101"/>
  <c r="Y73" i="101"/>
  <c r="Y67" i="101"/>
  <c r="Y74" i="101"/>
  <c r="Y65" i="101"/>
  <c r="Y68" i="101"/>
  <c r="Y72" i="101"/>
  <c r="X64" i="99"/>
  <c r="X60" i="99"/>
  <c r="X63" i="99"/>
  <c r="X57" i="99"/>
  <c r="X59" i="99"/>
  <c r="X55" i="99"/>
  <c r="X62" i="99"/>
  <c r="X61" i="99"/>
  <c r="X58" i="99"/>
  <c r="X56" i="99"/>
  <c r="AA68" i="99"/>
  <c r="AA65" i="99"/>
  <c r="AA67" i="99"/>
  <c r="AA73" i="99"/>
  <c r="AA72" i="99"/>
  <c r="AA71" i="99"/>
  <c r="AA69" i="99"/>
  <c r="AA66" i="99"/>
  <c r="AA70" i="99"/>
  <c r="AA74" i="99"/>
  <c r="AP72" i="101" l="1"/>
  <c r="AP68" i="101"/>
  <c r="AP65" i="101"/>
  <c r="AP74" i="101"/>
  <c r="AP67" i="101"/>
  <c r="AP73" i="101"/>
  <c r="AP66" i="101"/>
  <c r="AP71" i="101"/>
  <c r="AP69" i="101"/>
  <c r="AP70" i="101"/>
  <c r="AQ38" i="101"/>
  <c r="AO65" i="101"/>
  <c r="AO73" i="101"/>
  <c r="AO68" i="101"/>
  <c r="AO69" i="101"/>
  <c r="AO66" i="101"/>
  <c r="AO67" i="101"/>
  <c r="AO72" i="101"/>
  <c r="AO71" i="101"/>
  <c r="AO70" i="101"/>
  <c r="AO74" i="101"/>
  <c r="AQ16" i="101"/>
  <c r="AQ59" i="101"/>
  <c r="AR52" i="101"/>
  <c r="AR53" i="101"/>
  <c r="AR54" i="101"/>
  <c r="AR50" i="101"/>
  <c r="AR51" i="101"/>
  <c r="AQ57" i="101"/>
  <c r="AQ56" i="101"/>
  <c r="AQ55" i="101"/>
  <c r="AQ58" i="101"/>
  <c r="AS81" i="101"/>
  <c r="AS75" i="101"/>
  <c r="AS79" i="101"/>
  <c r="AS80" i="101"/>
  <c r="AS82" i="101"/>
  <c r="AS76" i="101"/>
  <c r="AS83" i="101"/>
  <c r="AS78" i="101"/>
  <c r="AS77" i="101"/>
  <c r="AS84" i="101"/>
  <c r="AB134" i="97"/>
  <c r="AA134" i="97" s="1"/>
  <c r="Z134" i="97" s="1"/>
  <c r="AC135" i="97"/>
  <c r="AA106" i="97"/>
  <c r="AB107" i="97"/>
  <c r="AB56" i="97"/>
  <c r="AA56" i="97" s="1"/>
  <c r="AC57" i="97"/>
  <c r="Z105" i="97"/>
  <c r="Z55" i="97"/>
  <c r="AB30" i="97"/>
  <c r="AA30" i="97" s="1"/>
  <c r="AC31" i="97"/>
  <c r="Z29" i="97"/>
  <c r="AC82" i="97"/>
  <c r="AB81" i="97"/>
  <c r="AA81" i="97" s="1"/>
  <c r="Z80" i="97"/>
  <c r="AC111" i="97"/>
  <c r="C100" i="91"/>
  <c r="G102" i="91"/>
  <c r="D102" i="91"/>
  <c r="E103" i="91"/>
  <c r="F102" i="91"/>
  <c r="AA59" i="101"/>
  <c r="AA60" i="101"/>
  <c r="AA61" i="101"/>
  <c r="AA62" i="101"/>
  <c r="AA57" i="101"/>
  <c r="AA55" i="101"/>
  <c r="AA64" i="101"/>
  <c r="AA56" i="101"/>
  <c r="AA58" i="101"/>
  <c r="AA63" i="101"/>
  <c r="Z17" i="101"/>
  <c r="X71" i="99"/>
  <c r="X74" i="99"/>
  <c r="X70" i="99"/>
  <c r="X72" i="99"/>
  <c r="X68" i="99"/>
  <c r="X65" i="99"/>
  <c r="X69" i="99"/>
  <c r="X73" i="99"/>
  <c r="X67" i="99"/>
  <c r="X66" i="99"/>
  <c r="Y83" i="101"/>
  <c r="Y84" i="101"/>
  <c r="Y79" i="101"/>
  <c r="Y78" i="101"/>
  <c r="Y76" i="101"/>
  <c r="Y75" i="101"/>
  <c r="Y82" i="101"/>
  <c r="Y81" i="101"/>
  <c r="Y77" i="101"/>
  <c r="Y80" i="101"/>
  <c r="W72" i="99"/>
  <c r="W71" i="99"/>
  <c r="W67" i="99"/>
  <c r="W69" i="99"/>
  <c r="W74" i="99"/>
  <c r="W70" i="99"/>
  <c r="W68" i="99"/>
  <c r="W66" i="99"/>
  <c r="W73" i="99"/>
  <c r="W65" i="99"/>
  <c r="X81" i="101"/>
  <c r="X78" i="101"/>
  <c r="X77" i="101"/>
  <c r="X79" i="101"/>
  <c r="X75" i="101"/>
  <c r="X84" i="101"/>
  <c r="X82" i="101"/>
  <c r="X83" i="101"/>
  <c r="X76" i="101"/>
  <c r="X80" i="101"/>
  <c r="AB94" i="101"/>
  <c r="AB86" i="101"/>
  <c r="AB85" i="101"/>
  <c r="AB90" i="101"/>
  <c r="AB89" i="101"/>
  <c r="AB92" i="101"/>
  <c r="AB91" i="101"/>
  <c r="AB88" i="101"/>
  <c r="AB93" i="101"/>
  <c r="AB87" i="101"/>
  <c r="Z53" i="99"/>
  <c r="Z51" i="99"/>
  <c r="Z54" i="99"/>
  <c r="Z50" i="99"/>
  <c r="Z52" i="99"/>
  <c r="Z60" i="101"/>
  <c r="Z71" i="101"/>
  <c r="Z70" i="101"/>
  <c r="Z74" i="101"/>
  <c r="Z69" i="101"/>
  <c r="Y56" i="99"/>
  <c r="Y63" i="99"/>
  <c r="Y59" i="99"/>
  <c r="Y60" i="99"/>
  <c r="Y55" i="99"/>
  <c r="Y61" i="99"/>
  <c r="Y57" i="99"/>
  <c r="Y62" i="99"/>
  <c r="Y64" i="99"/>
  <c r="Y58" i="99"/>
  <c r="Z39" i="101"/>
  <c r="AA80" i="99"/>
  <c r="AA83" i="99"/>
  <c r="AA76" i="99"/>
  <c r="AA82" i="99"/>
  <c r="AA81" i="99"/>
  <c r="AA79" i="99"/>
  <c r="AA78" i="99"/>
  <c r="AA84" i="99"/>
  <c r="AA75" i="99"/>
  <c r="AA77" i="99"/>
  <c r="AQ39" i="101" l="1"/>
  <c r="AQ69" i="101"/>
  <c r="AQ74" i="101"/>
  <c r="AQ70" i="101"/>
  <c r="AQ71" i="101"/>
  <c r="AQ60" i="101"/>
  <c r="AS87" i="101"/>
  <c r="AS93" i="101"/>
  <c r="AS88" i="101"/>
  <c r="AS91" i="101"/>
  <c r="AS92" i="101"/>
  <c r="AS89" i="101"/>
  <c r="AS90" i="101"/>
  <c r="AS85" i="101"/>
  <c r="AS86" i="101"/>
  <c r="AS94" i="101"/>
  <c r="AO80" i="101"/>
  <c r="AO76" i="101"/>
  <c r="AO83" i="101"/>
  <c r="AO82" i="101"/>
  <c r="AO84" i="101"/>
  <c r="AO75" i="101"/>
  <c r="AO79" i="101"/>
  <c r="AO77" i="101"/>
  <c r="AO78" i="101"/>
  <c r="AO81" i="101"/>
  <c r="AP80" i="101"/>
  <c r="AP77" i="101"/>
  <c r="AP81" i="101"/>
  <c r="AP82" i="101"/>
  <c r="AP75" i="101"/>
  <c r="AP76" i="101"/>
  <c r="AP78" i="101"/>
  <c r="AP79" i="101"/>
  <c r="AP84" i="101"/>
  <c r="AP83" i="101"/>
  <c r="AQ17" i="101"/>
  <c r="AR63" i="101"/>
  <c r="AR58" i="101"/>
  <c r="AR56" i="101"/>
  <c r="AR64" i="101"/>
  <c r="AR55" i="101"/>
  <c r="AR57" i="101"/>
  <c r="AR62" i="101"/>
  <c r="AR61" i="101"/>
  <c r="AR60" i="101"/>
  <c r="AR59" i="101"/>
  <c r="Z56" i="97"/>
  <c r="AA107" i="97"/>
  <c r="AB108" i="97"/>
  <c r="Z81" i="97"/>
  <c r="Z106" i="97"/>
  <c r="AB82" i="97"/>
  <c r="AA82" i="97" s="1"/>
  <c r="AC83" i="97"/>
  <c r="AB135" i="97"/>
  <c r="AA135" i="97" s="1"/>
  <c r="AC136" i="97"/>
  <c r="AB31" i="97"/>
  <c r="AA31" i="97" s="1"/>
  <c r="AC32" i="97"/>
  <c r="AC112" i="97"/>
  <c r="AC58" i="97"/>
  <c r="AB57" i="97"/>
  <c r="AA57" i="97" s="1"/>
  <c r="Z30" i="97"/>
  <c r="G103" i="91"/>
  <c r="D103" i="91"/>
  <c r="C101" i="91"/>
  <c r="E104" i="91"/>
  <c r="F103" i="91"/>
  <c r="Z84" i="101"/>
  <c r="Y88" i="101"/>
  <c r="Y94" i="101"/>
  <c r="Y90" i="101"/>
  <c r="Y92" i="101"/>
  <c r="Y89" i="101"/>
  <c r="Y87" i="101"/>
  <c r="Y86" i="101"/>
  <c r="Y91" i="101"/>
  <c r="Y93" i="101"/>
  <c r="Y85" i="101"/>
  <c r="Z78" i="101"/>
  <c r="Z77" i="101"/>
  <c r="Z79" i="101"/>
  <c r="Z80" i="101"/>
  <c r="Z75" i="101"/>
  <c r="Z76" i="101"/>
  <c r="Z81" i="101"/>
  <c r="Z82" i="101"/>
  <c r="Z83" i="101"/>
  <c r="AA68" i="101"/>
  <c r="AA70" i="101"/>
  <c r="AA72" i="101"/>
  <c r="AA66" i="101"/>
  <c r="AA71" i="101"/>
  <c r="AA74" i="101"/>
  <c r="AA73" i="101"/>
  <c r="AA69" i="101"/>
  <c r="AA65" i="101"/>
  <c r="AA67" i="101"/>
  <c r="X82" i="99"/>
  <c r="X83" i="99"/>
  <c r="X78" i="99"/>
  <c r="X84" i="99"/>
  <c r="X81" i="99"/>
  <c r="X75" i="99"/>
  <c r="X79" i="99"/>
  <c r="X80" i="99"/>
  <c r="X77" i="99"/>
  <c r="X76" i="99"/>
  <c r="Z61" i="101"/>
  <c r="X86" i="101"/>
  <c r="X93" i="101"/>
  <c r="X90" i="101"/>
  <c r="X92" i="101"/>
  <c r="X85" i="101"/>
  <c r="X87" i="101"/>
  <c r="X94" i="101"/>
  <c r="X91" i="101"/>
  <c r="X88" i="101"/>
  <c r="X89" i="101"/>
  <c r="Z60" i="99"/>
  <c r="Z61" i="99"/>
  <c r="Z55" i="99"/>
  <c r="Z64" i="99"/>
  <c r="Z63" i="99"/>
  <c r="Z62" i="99"/>
  <c r="Z56" i="99"/>
  <c r="Z59" i="99"/>
  <c r="Z57" i="99"/>
  <c r="Z58" i="99"/>
  <c r="W81" i="99"/>
  <c r="W83" i="99"/>
  <c r="W84" i="99"/>
  <c r="W80" i="99"/>
  <c r="W82" i="99"/>
  <c r="W79" i="99"/>
  <c r="W75" i="99"/>
  <c r="W78" i="99"/>
  <c r="W77" i="99"/>
  <c r="W76" i="99"/>
  <c r="Y72" i="99"/>
  <c r="Y65" i="99"/>
  <c r="Y69" i="99"/>
  <c r="Y71" i="99"/>
  <c r="Y67" i="99"/>
  <c r="Y70" i="99"/>
  <c r="Y66" i="99"/>
  <c r="Y73" i="99"/>
  <c r="Y68" i="99"/>
  <c r="Y74" i="99"/>
  <c r="Z18" i="101"/>
  <c r="AA92" i="99"/>
  <c r="AA87" i="99"/>
  <c r="AA86" i="99"/>
  <c r="AA90" i="99"/>
  <c r="AA91" i="99"/>
  <c r="AA89" i="99"/>
  <c r="AA85" i="99"/>
  <c r="AA88" i="99"/>
  <c r="AA94" i="99"/>
  <c r="AA93" i="99"/>
  <c r="AQ18" i="101" l="1"/>
  <c r="AO89" i="101"/>
  <c r="AO88" i="101"/>
  <c r="AO91" i="101"/>
  <c r="AO94" i="101"/>
  <c r="AO87" i="101"/>
  <c r="AO85" i="101"/>
  <c r="AO92" i="101"/>
  <c r="AO90" i="101"/>
  <c r="AO93" i="101"/>
  <c r="AO86" i="101"/>
  <c r="AQ61" i="101"/>
  <c r="AR67" i="101"/>
  <c r="AR65" i="101"/>
  <c r="AR69" i="101"/>
  <c r="AR73" i="101"/>
  <c r="AR74" i="101"/>
  <c r="AR71" i="101"/>
  <c r="AR66" i="101"/>
  <c r="AR72" i="101"/>
  <c r="AR70" i="101"/>
  <c r="AR68" i="101"/>
  <c r="AQ83" i="101"/>
  <c r="AQ82" i="101"/>
  <c r="AQ81" i="101"/>
  <c r="AQ76" i="101"/>
  <c r="AQ75" i="101"/>
  <c r="AQ80" i="101"/>
  <c r="AQ79" i="101"/>
  <c r="AQ77" i="101"/>
  <c r="AQ78" i="101"/>
  <c r="AP85" i="101"/>
  <c r="AP93" i="101"/>
  <c r="AP91" i="101"/>
  <c r="AP86" i="101"/>
  <c r="AP87" i="101"/>
  <c r="AP89" i="101"/>
  <c r="AP92" i="101"/>
  <c r="AP90" i="101"/>
  <c r="AP94" i="101"/>
  <c r="AP88" i="101"/>
  <c r="AQ84" i="101"/>
  <c r="Z31" i="97"/>
  <c r="AC137" i="97"/>
  <c r="AB136" i="97"/>
  <c r="AA136" i="97" s="1"/>
  <c r="AB32" i="97"/>
  <c r="AA32" i="97" s="1"/>
  <c r="AC33" i="97"/>
  <c r="Z135" i="97"/>
  <c r="Z82" i="97"/>
  <c r="Z57" i="97"/>
  <c r="AB58" i="97"/>
  <c r="AA58" i="97" s="1"/>
  <c r="AC59" i="97"/>
  <c r="AC84" i="97"/>
  <c r="AB83" i="97"/>
  <c r="AA83" i="97" s="1"/>
  <c r="AC113" i="97"/>
  <c r="AA108" i="97"/>
  <c r="AB109" i="97"/>
  <c r="Z107" i="97"/>
  <c r="C102" i="91"/>
  <c r="F104" i="91"/>
  <c r="D104" i="91"/>
  <c r="E105" i="91"/>
  <c r="G104" i="91"/>
  <c r="Z93" i="101"/>
  <c r="Z94" i="101"/>
  <c r="X92" i="99"/>
  <c r="X88" i="99"/>
  <c r="X89" i="99"/>
  <c r="X91" i="99"/>
  <c r="X93" i="99"/>
  <c r="X90" i="99"/>
  <c r="X85" i="99"/>
  <c r="X94" i="99"/>
  <c r="X87" i="99"/>
  <c r="X86" i="99"/>
  <c r="Y100" i="101"/>
  <c r="Y102" i="101"/>
  <c r="Y96" i="101"/>
  <c r="Y104" i="101"/>
  <c r="Y101" i="101"/>
  <c r="Y97" i="101"/>
  <c r="Y103" i="101"/>
  <c r="Y95" i="101"/>
  <c r="Y99" i="101"/>
  <c r="Y98" i="101"/>
  <c r="AA84" i="101"/>
  <c r="AA80" i="101"/>
  <c r="AA82" i="101"/>
  <c r="AA76" i="101"/>
  <c r="AA83" i="101"/>
  <c r="AA79" i="101"/>
  <c r="AA81" i="101"/>
  <c r="AA75" i="101"/>
  <c r="AA78" i="101"/>
  <c r="AA77" i="101"/>
  <c r="Z68" i="99"/>
  <c r="Z69" i="99"/>
  <c r="Z67" i="99"/>
  <c r="Z65" i="99"/>
  <c r="Z66" i="99"/>
  <c r="Z70" i="99"/>
  <c r="Z72" i="99"/>
  <c r="Z73" i="99"/>
  <c r="Z71" i="99"/>
  <c r="Z74" i="99"/>
  <c r="Z40" i="101"/>
  <c r="Y84" i="99"/>
  <c r="Y82" i="99"/>
  <c r="Y79" i="99"/>
  <c r="Y83" i="99"/>
  <c r="Y80" i="99"/>
  <c r="Y77" i="99"/>
  <c r="Y76" i="99"/>
  <c r="Y75" i="99"/>
  <c r="Y81" i="99"/>
  <c r="Y78" i="99"/>
  <c r="X100" i="101"/>
  <c r="X96" i="101"/>
  <c r="X97" i="101"/>
  <c r="X103" i="101"/>
  <c r="X98" i="101"/>
  <c r="X104" i="101"/>
  <c r="X99" i="101"/>
  <c r="X102" i="101"/>
  <c r="X95" i="101"/>
  <c r="X101" i="101"/>
  <c r="AB100" i="101"/>
  <c r="AB104" i="101"/>
  <c r="AB98" i="101"/>
  <c r="AB96" i="101"/>
  <c r="AB97" i="101"/>
  <c r="AB101" i="101"/>
  <c r="AB103" i="101"/>
  <c r="AB95" i="101"/>
  <c r="AB102" i="101"/>
  <c r="AB99" i="101"/>
  <c r="Z62" i="101"/>
  <c r="Z72" i="101"/>
  <c r="Z19" i="101"/>
  <c r="W87" i="99"/>
  <c r="W90" i="99"/>
  <c r="W89" i="99"/>
  <c r="W88" i="99"/>
  <c r="W91" i="99"/>
  <c r="W94" i="99"/>
  <c r="W86" i="99"/>
  <c r="W93" i="99"/>
  <c r="W85" i="99"/>
  <c r="W92" i="99"/>
  <c r="AQ19" i="101" l="1"/>
  <c r="AQ72" i="101"/>
  <c r="AQ62" i="101"/>
  <c r="AS99" i="101"/>
  <c r="AS102" i="101"/>
  <c r="AS95" i="101"/>
  <c r="AS103" i="101"/>
  <c r="AS101" i="101"/>
  <c r="AS97" i="101"/>
  <c r="AS96" i="101"/>
  <c r="AS98" i="101"/>
  <c r="AS104" i="101"/>
  <c r="AS100" i="101"/>
  <c r="AO101" i="101"/>
  <c r="AO95" i="101"/>
  <c r="AO102" i="101"/>
  <c r="AO99" i="101"/>
  <c r="AO104" i="101"/>
  <c r="AO98" i="101"/>
  <c r="AO103" i="101"/>
  <c r="AO97" i="101"/>
  <c r="AO96" i="101"/>
  <c r="AO100" i="101"/>
  <c r="AQ40" i="101"/>
  <c r="AR77" i="101"/>
  <c r="AR78" i="101"/>
  <c r="AR75" i="101"/>
  <c r="AR81" i="101"/>
  <c r="AR79" i="101"/>
  <c r="AR83" i="101"/>
  <c r="AR76" i="101"/>
  <c r="AR82" i="101"/>
  <c r="AR80" i="101"/>
  <c r="AR84" i="101"/>
  <c r="AP98" i="101"/>
  <c r="AP99" i="101"/>
  <c r="AP95" i="101"/>
  <c r="AP103" i="101"/>
  <c r="AP97" i="101"/>
  <c r="AP101" i="101"/>
  <c r="AP104" i="101"/>
  <c r="AP96" i="101"/>
  <c r="AP102" i="101"/>
  <c r="AP100" i="101"/>
  <c r="AQ94" i="101"/>
  <c r="AQ93" i="101"/>
  <c r="AB33" i="97"/>
  <c r="AA33" i="97" s="1"/>
  <c r="AC34" i="97"/>
  <c r="Z32" i="97"/>
  <c r="Z83" i="97"/>
  <c r="Z136" i="97"/>
  <c r="AC114" i="97"/>
  <c r="AB137" i="97"/>
  <c r="AA137" i="97" s="1"/>
  <c r="AC138" i="97"/>
  <c r="AB59" i="97"/>
  <c r="AA59" i="97" s="1"/>
  <c r="AC60" i="97"/>
  <c r="Z108" i="97"/>
  <c r="Z58" i="97"/>
  <c r="AA109" i="97"/>
  <c r="AB110" i="97"/>
  <c r="AC85" i="97"/>
  <c r="AB84" i="97"/>
  <c r="AA84" i="97" s="1"/>
  <c r="E106" i="91"/>
  <c r="C103" i="91"/>
  <c r="D105" i="91"/>
  <c r="G105" i="91"/>
  <c r="F105" i="91"/>
  <c r="X112" i="101"/>
  <c r="X106" i="101"/>
  <c r="X107" i="101"/>
  <c r="X105" i="101"/>
  <c r="X114" i="101"/>
  <c r="X108" i="101"/>
  <c r="X113" i="101"/>
  <c r="X109" i="101"/>
  <c r="X110" i="101"/>
  <c r="X111" i="101"/>
  <c r="Z85" i="101"/>
  <c r="AA97" i="99"/>
  <c r="AA100" i="99"/>
  <c r="AA99" i="99"/>
  <c r="AA102" i="99"/>
  <c r="AA98" i="99"/>
  <c r="AA95" i="99"/>
  <c r="AA101" i="99"/>
  <c r="AA104" i="99"/>
  <c r="AA103" i="99"/>
  <c r="AA96" i="99"/>
  <c r="Z103" i="101"/>
  <c r="Z104" i="101"/>
  <c r="Z97" i="101"/>
  <c r="Z98" i="101"/>
  <c r="Z100" i="101"/>
  <c r="Z99" i="101"/>
  <c r="Z102" i="101"/>
  <c r="Z101" i="101"/>
  <c r="Z95" i="101"/>
  <c r="Z96" i="101"/>
  <c r="AB113" i="101"/>
  <c r="AB108" i="101"/>
  <c r="AB107" i="101"/>
  <c r="AB112" i="101"/>
  <c r="AB105" i="101"/>
  <c r="AB109" i="101"/>
  <c r="AB114" i="101"/>
  <c r="AB106" i="101"/>
  <c r="AB111" i="101"/>
  <c r="AB110" i="101"/>
  <c r="Z63" i="101"/>
  <c r="Z73" i="101"/>
  <c r="Y106" i="101"/>
  <c r="Y112" i="101"/>
  <c r="Y105" i="101"/>
  <c r="Y110" i="101"/>
  <c r="Y108" i="101"/>
  <c r="Y111" i="101"/>
  <c r="Y113" i="101"/>
  <c r="Y109" i="101"/>
  <c r="Y107" i="101"/>
  <c r="Y114" i="101"/>
  <c r="Z76" i="99"/>
  <c r="Z83" i="99"/>
  <c r="Z81" i="99"/>
  <c r="Z78" i="99"/>
  <c r="Z77" i="99"/>
  <c r="Z79" i="99"/>
  <c r="Z84" i="99"/>
  <c r="Z80" i="99"/>
  <c r="Z75" i="99"/>
  <c r="Z82" i="99"/>
  <c r="X101" i="99"/>
  <c r="X104" i="99"/>
  <c r="X100" i="99"/>
  <c r="X102" i="99"/>
  <c r="X96" i="99"/>
  <c r="X99" i="99"/>
  <c r="X95" i="99"/>
  <c r="X103" i="99"/>
  <c r="X98" i="99"/>
  <c r="X97" i="99"/>
  <c r="Y85" i="99"/>
  <c r="Y94" i="99"/>
  <c r="Y86" i="99"/>
  <c r="Y88" i="99"/>
  <c r="Y87" i="99"/>
  <c r="Y91" i="99"/>
  <c r="Y92" i="99"/>
  <c r="Y90" i="99"/>
  <c r="Y89" i="99"/>
  <c r="Y93" i="99"/>
  <c r="Z41" i="101"/>
  <c r="AA88" i="101"/>
  <c r="AA89" i="101"/>
  <c r="AA94" i="101"/>
  <c r="AA85" i="101"/>
  <c r="AA87" i="101"/>
  <c r="AA92" i="101"/>
  <c r="AA86" i="101"/>
  <c r="AA93" i="101"/>
  <c r="AA90" i="101"/>
  <c r="AA91" i="101"/>
  <c r="W96" i="99"/>
  <c r="W104" i="99"/>
  <c r="W95" i="99"/>
  <c r="W103" i="99"/>
  <c r="W97" i="99"/>
  <c r="W102" i="99"/>
  <c r="W99" i="99"/>
  <c r="W100" i="99"/>
  <c r="W101" i="99"/>
  <c r="W98" i="99"/>
  <c r="AR91" i="101" l="1"/>
  <c r="AR90" i="101"/>
  <c r="AR93" i="101"/>
  <c r="AR86" i="101"/>
  <c r="AR92" i="101"/>
  <c r="AR87" i="101"/>
  <c r="AR85" i="101"/>
  <c r="AR94" i="101"/>
  <c r="AR89" i="101"/>
  <c r="AR88" i="101"/>
  <c r="AQ41" i="101"/>
  <c r="AP114" i="101"/>
  <c r="AP107" i="101"/>
  <c r="AP109" i="101"/>
  <c r="AP113" i="101"/>
  <c r="AP111" i="101"/>
  <c r="AP108" i="101"/>
  <c r="AP110" i="101"/>
  <c r="AP105" i="101"/>
  <c r="AP112" i="101"/>
  <c r="AP106" i="101"/>
  <c r="AQ73" i="101"/>
  <c r="AQ63" i="101"/>
  <c r="AS110" i="101"/>
  <c r="AS111" i="101"/>
  <c r="AS106" i="101"/>
  <c r="AS114" i="101"/>
  <c r="AS109" i="101"/>
  <c r="AS105" i="101"/>
  <c r="AS112" i="101"/>
  <c r="AS107" i="101"/>
  <c r="AS108" i="101"/>
  <c r="AS113" i="101"/>
  <c r="AQ96" i="101"/>
  <c r="AQ95" i="101"/>
  <c r="AQ101" i="101"/>
  <c r="AQ102" i="101"/>
  <c r="AQ99" i="101"/>
  <c r="AQ100" i="101"/>
  <c r="AQ98" i="101"/>
  <c r="AQ97" i="101"/>
  <c r="AQ104" i="101"/>
  <c r="AQ103" i="101"/>
  <c r="AQ85" i="101"/>
  <c r="AO111" i="101"/>
  <c r="AO110" i="101"/>
  <c r="AO109" i="101"/>
  <c r="AO113" i="101"/>
  <c r="AO108" i="101"/>
  <c r="AO114" i="101"/>
  <c r="AO105" i="101"/>
  <c r="AO107" i="101"/>
  <c r="AO106" i="101"/>
  <c r="AO112" i="101"/>
  <c r="AB34" i="97"/>
  <c r="AA34" i="97" s="1"/>
  <c r="AC35" i="97"/>
  <c r="Z33" i="97"/>
  <c r="AB60" i="97"/>
  <c r="AA60" i="97" s="1"/>
  <c r="AC61" i="97"/>
  <c r="Z59" i="97"/>
  <c r="AB85" i="97"/>
  <c r="AA85" i="97" s="1"/>
  <c r="AC86" i="97"/>
  <c r="AB138" i="97"/>
  <c r="AA138" i="97" s="1"/>
  <c r="AC139" i="97"/>
  <c r="Z137" i="97"/>
  <c r="AC115" i="97"/>
  <c r="Z84" i="97"/>
  <c r="AA110" i="97"/>
  <c r="AB111" i="97"/>
  <c r="Z109" i="97"/>
  <c r="F106" i="91"/>
  <c r="E107" i="91"/>
  <c r="D106" i="91"/>
  <c r="G106" i="91"/>
  <c r="C104" i="91"/>
  <c r="Z112" i="101"/>
  <c r="W112" i="99"/>
  <c r="W108" i="99"/>
  <c r="W107" i="99"/>
  <c r="W111" i="99"/>
  <c r="W113" i="99"/>
  <c r="W114" i="99"/>
  <c r="W109" i="99"/>
  <c r="W105" i="99"/>
  <c r="W110" i="99"/>
  <c r="W106" i="99"/>
  <c r="Z64" i="101"/>
  <c r="Z20" i="101"/>
  <c r="Z92" i="99"/>
  <c r="Z88" i="99"/>
  <c r="Z94" i="99"/>
  <c r="Z87" i="99"/>
  <c r="Z90" i="99"/>
  <c r="Z86" i="99"/>
  <c r="Z91" i="99"/>
  <c r="Z89" i="99"/>
  <c r="Z93" i="99"/>
  <c r="Z85" i="99"/>
  <c r="AB123" i="101"/>
  <c r="AB118" i="101"/>
  <c r="AB124" i="101"/>
  <c r="AB117" i="101"/>
  <c r="AB120" i="101"/>
  <c r="AB115" i="101"/>
  <c r="AB122" i="101"/>
  <c r="AB119" i="101"/>
  <c r="AB116" i="101"/>
  <c r="AB121" i="101"/>
  <c r="X114" i="99"/>
  <c r="X110" i="99"/>
  <c r="X106" i="99"/>
  <c r="X107" i="99"/>
  <c r="X105" i="99"/>
  <c r="X108" i="99"/>
  <c r="X111" i="99"/>
  <c r="X112" i="99"/>
  <c r="X109" i="99"/>
  <c r="X113" i="99"/>
  <c r="AA99" i="101"/>
  <c r="AA104" i="101"/>
  <c r="AA100" i="101"/>
  <c r="AA96" i="101"/>
  <c r="AA97" i="101"/>
  <c r="AA98" i="101"/>
  <c r="AA101" i="101"/>
  <c r="AA95" i="101"/>
  <c r="AA102" i="101"/>
  <c r="AA103" i="101"/>
  <c r="X124" i="101"/>
  <c r="X123" i="101"/>
  <c r="X117" i="101"/>
  <c r="X115" i="101"/>
  <c r="X121" i="101"/>
  <c r="X120" i="101"/>
  <c r="X116" i="101"/>
  <c r="X119" i="101"/>
  <c r="X118" i="101"/>
  <c r="X122" i="101"/>
  <c r="Z111" i="101"/>
  <c r="Z108" i="101"/>
  <c r="Z106" i="101"/>
  <c r="Z107" i="101"/>
  <c r="Z105" i="101"/>
  <c r="Z109" i="101"/>
  <c r="Z110" i="101"/>
  <c r="Z42" i="101"/>
  <c r="Z49" i="101"/>
  <c r="Z86" i="101"/>
  <c r="Y123" i="101"/>
  <c r="Y119" i="101"/>
  <c r="Y122" i="101"/>
  <c r="Y121" i="101"/>
  <c r="Y115" i="101"/>
  <c r="Y117" i="101"/>
  <c r="Y116" i="101"/>
  <c r="Y124" i="101"/>
  <c r="Y120" i="101"/>
  <c r="Y118" i="101"/>
  <c r="Y98" i="99"/>
  <c r="Y102" i="99"/>
  <c r="Y96" i="99"/>
  <c r="Y100" i="99"/>
  <c r="Y101" i="99"/>
  <c r="Y104" i="99"/>
  <c r="Y97" i="99"/>
  <c r="Y103" i="99"/>
  <c r="Y99" i="99"/>
  <c r="Y95" i="99"/>
  <c r="AA114" i="99"/>
  <c r="AA107" i="99"/>
  <c r="AA110" i="99"/>
  <c r="AA111" i="99"/>
  <c r="AA108" i="99"/>
  <c r="AA106" i="99"/>
  <c r="AA105" i="99"/>
  <c r="AA113" i="99"/>
  <c r="AA112" i="99"/>
  <c r="AA109" i="99"/>
  <c r="AP118" i="101" l="1"/>
  <c r="AP120" i="101"/>
  <c r="AP124" i="101"/>
  <c r="AP116" i="101"/>
  <c r="AP117" i="101"/>
  <c r="AP115" i="101"/>
  <c r="AP121" i="101"/>
  <c r="AP122" i="101"/>
  <c r="AP119" i="101"/>
  <c r="AP123" i="101"/>
  <c r="AQ86" i="101"/>
  <c r="AQ49" i="101"/>
  <c r="AQ42" i="101"/>
  <c r="AQ110" i="101"/>
  <c r="AQ109" i="101"/>
  <c r="AQ105" i="101"/>
  <c r="AQ107" i="101"/>
  <c r="AQ106" i="101"/>
  <c r="AQ108" i="101"/>
  <c r="AQ111" i="101"/>
  <c r="AO122" i="101"/>
  <c r="AO118" i="101"/>
  <c r="AO119" i="101"/>
  <c r="AO116" i="101"/>
  <c r="AO120" i="101"/>
  <c r="AO121" i="101"/>
  <c r="AO115" i="101"/>
  <c r="AO117" i="101"/>
  <c r="AO123" i="101"/>
  <c r="AO124" i="101"/>
  <c r="AR103" i="101"/>
  <c r="AR102" i="101"/>
  <c r="AR95" i="101"/>
  <c r="AR101" i="101"/>
  <c r="AR98" i="101"/>
  <c r="AR97" i="101"/>
  <c r="AR96" i="101"/>
  <c r="AR100" i="101"/>
  <c r="AR104" i="101"/>
  <c r="AR99" i="101"/>
  <c r="AS121" i="101"/>
  <c r="AS116" i="101"/>
  <c r="AS119" i="101"/>
  <c r="AS122" i="101"/>
  <c r="AS115" i="101"/>
  <c r="AS120" i="101"/>
  <c r="AS117" i="101"/>
  <c r="AS124" i="101"/>
  <c r="AS118" i="101"/>
  <c r="AS123" i="101"/>
  <c r="AQ20" i="101"/>
  <c r="AQ64" i="101"/>
  <c r="AQ112" i="101"/>
  <c r="AA111" i="97"/>
  <c r="AB112" i="97"/>
  <c r="AB61" i="97"/>
  <c r="AA61" i="97" s="1"/>
  <c r="AC62" i="97"/>
  <c r="Z110" i="97"/>
  <c r="Z60" i="97"/>
  <c r="AB86" i="97"/>
  <c r="AA86" i="97" s="1"/>
  <c r="AC87" i="97"/>
  <c r="AB35" i="97"/>
  <c r="AA35" i="97" s="1"/>
  <c r="AC36" i="97"/>
  <c r="Z34" i="97"/>
  <c r="AB139" i="97"/>
  <c r="AA139" i="97" s="1"/>
  <c r="AC140" i="97"/>
  <c r="Z85" i="97"/>
  <c r="Z138" i="97"/>
  <c r="D107" i="91"/>
  <c r="C105" i="91"/>
  <c r="E108" i="91"/>
  <c r="F107" i="91"/>
  <c r="G107" i="91"/>
  <c r="Y106" i="99"/>
  <c r="Y107" i="99"/>
  <c r="Y112" i="99"/>
  <c r="Y114" i="99"/>
  <c r="Y105" i="99"/>
  <c r="Y108" i="99"/>
  <c r="Y109" i="99"/>
  <c r="Y111" i="99"/>
  <c r="Y113" i="99"/>
  <c r="Y110" i="99"/>
  <c r="X117" i="99"/>
  <c r="X120" i="99"/>
  <c r="X116" i="99"/>
  <c r="X122" i="99"/>
  <c r="X124" i="99"/>
  <c r="X121" i="99"/>
  <c r="X123" i="99"/>
  <c r="X118" i="99"/>
  <c r="X115" i="99"/>
  <c r="X119" i="99"/>
  <c r="W121" i="99"/>
  <c r="W117" i="99"/>
  <c r="W115" i="99"/>
  <c r="W123" i="99"/>
  <c r="W120" i="99"/>
  <c r="W119" i="99"/>
  <c r="W124" i="99"/>
  <c r="W118" i="99"/>
  <c r="W116" i="99"/>
  <c r="W122" i="99"/>
  <c r="Z21" i="101"/>
  <c r="Z98" i="99"/>
  <c r="Z103" i="99"/>
  <c r="Z96" i="99"/>
  <c r="Z102" i="99"/>
  <c r="Z104" i="99"/>
  <c r="Z101" i="99"/>
  <c r="Z100" i="99"/>
  <c r="Z95" i="99"/>
  <c r="Z97" i="99"/>
  <c r="Z99" i="99"/>
  <c r="Z87" i="101"/>
  <c r="X126" i="101"/>
  <c r="X133" i="101"/>
  <c r="X134" i="101"/>
  <c r="X131" i="101"/>
  <c r="X130" i="101"/>
  <c r="X132" i="101"/>
  <c r="X128" i="101"/>
  <c r="X125" i="101"/>
  <c r="X127" i="101"/>
  <c r="X129" i="101"/>
  <c r="Z43" i="101"/>
  <c r="Z113" i="101"/>
  <c r="AA124" i="99"/>
  <c r="AA118" i="99"/>
  <c r="AA120" i="99"/>
  <c r="AA121" i="99"/>
  <c r="AA122" i="99"/>
  <c r="AA116" i="99"/>
  <c r="AA115" i="99"/>
  <c r="AA119" i="99"/>
  <c r="AA117" i="99"/>
  <c r="AA123" i="99"/>
  <c r="AA107" i="101"/>
  <c r="AA106" i="101"/>
  <c r="AA113" i="101"/>
  <c r="AA108" i="101"/>
  <c r="AA105" i="101"/>
  <c r="AA110" i="101"/>
  <c r="AA109" i="101"/>
  <c r="AA114" i="101"/>
  <c r="AA111" i="101"/>
  <c r="AA112" i="101"/>
  <c r="Y130" i="101"/>
  <c r="Y127" i="101"/>
  <c r="Y133" i="101"/>
  <c r="Y129" i="101"/>
  <c r="Y132" i="101"/>
  <c r="Y131" i="101"/>
  <c r="Y128" i="101"/>
  <c r="Y126" i="101"/>
  <c r="Y134" i="101"/>
  <c r="Y125" i="101"/>
  <c r="Z120" i="101"/>
  <c r="Z124" i="101"/>
  <c r="Z123" i="101"/>
  <c r="Z119" i="101"/>
  <c r="Z116" i="101"/>
  <c r="Z118" i="101"/>
  <c r="Z117" i="101"/>
  <c r="Z122" i="101"/>
  <c r="Z121" i="101"/>
  <c r="AB132" i="101"/>
  <c r="AB133" i="101"/>
  <c r="AB125" i="101"/>
  <c r="AB129" i="101"/>
  <c r="AB128" i="101"/>
  <c r="AB126" i="101"/>
  <c r="AB134" i="101"/>
  <c r="AB131" i="101"/>
  <c r="AB130" i="101"/>
  <c r="AB127" i="101"/>
  <c r="AS127" i="101" l="1"/>
  <c r="AS130" i="101"/>
  <c r="AS131" i="101"/>
  <c r="AS134" i="101"/>
  <c r="AS126" i="101"/>
  <c r="AS128" i="101"/>
  <c r="AS129" i="101"/>
  <c r="AS125" i="101"/>
  <c r="AS133" i="101"/>
  <c r="AS132" i="101"/>
  <c r="AQ121" i="101"/>
  <c r="AQ122" i="101"/>
  <c r="AQ117" i="101"/>
  <c r="AQ118" i="101"/>
  <c r="AQ116" i="101"/>
  <c r="AQ119" i="101"/>
  <c r="AQ123" i="101"/>
  <c r="AQ124" i="101"/>
  <c r="AQ120" i="101"/>
  <c r="AP125" i="101"/>
  <c r="AP134" i="101"/>
  <c r="AP126" i="101"/>
  <c r="AP128" i="101"/>
  <c r="AP131" i="101"/>
  <c r="AP132" i="101"/>
  <c r="AP129" i="101"/>
  <c r="AP133" i="101"/>
  <c r="AP127" i="101"/>
  <c r="AP130" i="101"/>
  <c r="AR112" i="101"/>
  <c r="AR111" i="101"/>
  <c r="AR114" i="101"/>
  <c r="AR109" i="101"/>
  <c r="AR110" i="101"/>
  <c r="AR105" i="101"/>
  <c r="AR108" i="101"/>
  <c r="AR113" i="101"/>
  <c r="AR106" i="101"/>
  <c r="AR107" i="101"/>
  <c r="AQ113" i="101"/>
  <c r="AQ43" i="101"/>
  <c r="AO129" i="101"/>
  <c r="AO127" i="101"/>
  <c r="AO125" i="101"/>
  <c r="AO128" i="101"/>
  <c r="AO132" i="101"/>
  <c r="AO130" i="101"/>
  <c r="AO131" i="101"/>
  <c r="AO134" i="101"/>
  <c r="AO133" i="101"/>
  <c r="AO126" i="101"/>
  <c r="AQ87" i="101"/>
  <c r="AQ21" i="101"/>
  <c r="Z86" i="97"/>
  <c r="AB140" i="97"/>
  <c r="AA140" i="97" s="1"/>
  <c r="AC141" i="97"/>
  <c r="AB141" i="97" s="1"/>
  <c r="AA141" i="97" s="1"/>
  <c r="Z139" i="97"/>
  <c r="AB62" i="97"/>
  <c r="AA62" i="97" s="1"/>
  <c r="AC63" i="97"/>
  <c r="AB63" i="97" s="1"/>
  <c r="AA63" i="97" s="1"/>
  <c r="AB87" i="97"/>
  <c r="AA87" i="97" s="1"/>
  <c r="AC88" i="97"/>
  <c r="Z61" i="97"/>
  <c r="AA112" i="97"/>
  <c r="AB113" i="97"/>
  <c r="AB36" i="97"/>
  <c r="AA36" i="97" s="1"/>
  <c r="AC37" i="97"/>
  <c r="AB37" i="97" s="1"/>
  <c r="AA37" i="97" s="1"/>
  <c r="Z111" i="97"/>
  <c r="Z35" i="97"/>
  <c r="D108" i="91"/>
  <c r="E109" i="91"/>
  <c r="C106" i="91"/>
  <c r="F108" i="91"/>
  <c r="G108" i="91"/>
  <c r="Z44" i="101"/>
  <c r="X138" i="101"/>
  <c r="X136" i="101"/>
  <c r="X141" i="101"/>
  <c r="X143" i="101"/>
  <c r="X140" i="101"/>
  <c r="X139" i="101"/>
  <c r="X137" i="101"/>
  <c r="X135" i="101"/>
  <c r="X142" i="101"/>
  <c r="X144" i="101"/>
  <c r="AA118" i="101"/>
  <c r="AA120" i="101"/>
  <c r="AA115" i="101"/>
  <c r="AA124" i="101"/>
  <c r="AA122" i="101"/>
  <c r="AA121" i="101"/>
  <c r="AA123" i="101"/>
  <c r="AA117" i="101"/>
  <c r="AA116" i="101"/>
  <c r="AA119" i="101"/>
  <c r="Z45" i="101"/>
  <c r="Z65" i="101"/>
  <c r="Z22" i="101"/>
  <c r="Z23" i="101"/>
  <c r="Y143" i="101"/>
  <c r="Y139" i="101"/>
  <c r="Y144" i="101"/>
  <c r="Y138" i="101"/>
  <c r="Y137" i="101"/>
  <c r="Y140" i="101"/>
  <c r="Y136" i="101"/>
  <c r="Y142" i="101"/>
  <c r="Y141" i="101"/>
  <c r="Y135" i="101"/>
  <c r="Y122" i="99"/>
  <c r="Y123" i="99"/>
  <c r="Y116" i="99"/>
  <c r="Y121" i="99"/>
  <c r="Y115" i="99"/>
  <c r="Y120" i="99"/>
  <c r="Y124" i="99"/>
  <c r="Y119" i="99"/>
  <c r="Y118" i="99"/>
  <c r="Y117" i="99"/>
  <c r="Z88" i="101"/>
  <c r="X126" i="99"/>
  <c r="X130" i="99"/>
  <c r="X131" i="99"/>
  <c r="X125" i="99"/>
  <c r="X128" i="99"/>
  <c r="X133" i="99"/>
  <c r="X134" i="99"/>
  <c r="X127" i="99"/>
  <c r="X132" i="99"/>
  <c r="X129" i="99"/>
  <c r="Z132" i="101"/>
  <c r="Z128" i="101"/>
  <c r="Z133" i="101"/>
  <c r="Z125" i="101"/>
  <c r="Z131" i="101"/>
  <c r="Z134" i="101"/>
  <c r="Z130" i="101"/>
  <c r="Z126" i="101"/>
  <c r="Z127" i="101"/>
  <c r="Z129" i="101"/>
  <c r="W133" i="99"/>
  <c r="W127" i="99"/>
  <c r="W125" i="99"/>
  <c r="W134" i="99"/>
  <c r="W130" i="99"/>
  <c r="W131" i="99"/>
  <c r="W129" i="99"/>
  <c r="W132" i="99"/>
  <c r="W128" i="99"/>
  <c r="W126" i="99"/>
  <c r="AB135" i="101"/>
  <c r="AB138" i="101"/>
  <c r="AB144" i="101"/>
  <c r="AB137" i="101"/>
  <c r="AB141" i="101"/>
  <c r="AB139" i="101"/>
  <c r="AB142" i="101"/>
  <c r="AB136" i="101"/>
  <c r="AB140" i="101"/>
  <c r="AB143" i="101"/>
  <c r="Z114" i="101"/>
  <c r="AA132" i="99"/>
  <c r="AA127" i="99"/>
  <c r="AA128" i="99"/>
  <c r="AA130" i="99"/>
  <c r="AA126" i="99"/>
  <c r="AA129" i="99"/>
  <c r="AA134" i="99"/>
  <c r="AA125" i="99"/>
  <c r="AA133" i="99"/>
  <c r="AA131" i="99"/>
  <c r="Z115" i="101"/>
  <c r="Z110" i="99"/>
  <c r="Z108" i="99"/>
  <c r="Z114" i="99"/>
  <c r="Z106" i="99"/>
  <c r="Z113" i="99"/>
  <c r="Z109" i="99"/>
  <c r="Z112" i="99"/>
  <c r="Z105" i="99"/>
  <c r="Z107" i="99"/>
  <c r="Z111" i="99"/>
  <c r="Z24" i="101"/>
  <c r="AQ24" i="101" l="1"/>
  <c r="AQ115" i="101"/>
  <c r="AQ114" i="101"/>
  <c r="AS143" i="101"/>
  <c r="AS140" i="101"/>
  <c r="AS136" i="101"/>
  <c r="AS142" i="101"/>
  <c r="AS139" i="101"/>
  <c r="AS141" i="101"/>
  <c r="AS137" i="101"/>
  <c r="AS144" i="101"/>
  <c r="AS138" i="101"/>
  <c r="AS135" i="101"/>
  <c r="AQ129" i="101"/>
  <c r="AQ127" i="101"/>
  <c r="AQ126" i="101"/>
  <c r="AQ130" i="101"/>
  <c r="AQ134" i="101"/>
  <c r="AQ131" i="101"/>
  <c r="AQ125" i="101"/>
  <c r="AQ133" i="101"/>
  <c r="AQ128" i="101"/>
  <c r="AQ132" i="101"/>
  <c r="AQ88" i="101"/>
  <c r="AP135" i="101"/>
  <c r="AP141" i="101"/>
  <c r="AP142" i="101"/>
  <c r="AP136" i="101"/>
  <c r="AP140" i="101"/>
  <c r="AP137" i="101"/>
  <c r="AP138" i="101"/>
  <c r="AP144" i="101"/>
  <c r="AP139" i="101"/>
  <c r="AP143" i="101"/>
  <c r="AQ23" i="101"/>
  <c r="AQ22" i="101"/>
  <c r="AQ65" i="101"/>
  <c r="AQ45" i="101"/>
  <c r="AR119" i="101"/>
  <c r="AR116" i="101"/>
  <c r="AR117" i="101"/>
  <c r="AR123" i="101"/>
  <c r="AR121" i="101"/>
  <c r="AR122" i="101"/>
  <c r="AR124" i="101"/>
  <c r="AR115" i="101"/>
  <c r="AR120" i="101"/>
  <c r="AR118" i="101"/>
  <c r="AO144" i="101"/>
  <c r="AO142" i="101"/>
  <c r="AO135" i="101"/>
  <c r="AO137" i="101"/>
  <c r="AO139" i="101"/>
  <c r="AO140" i="101"/>
  <c r="AO143" i="101"/>
  <c r="AO141" i="101"/>
  <c r="AO136" i="101"/>
  <c r="AO138" i="101"/>
  <c r="AQ44" i="101"/>
  <c r="Z37" i="97"/>
  <c r="Z140" i="97"/>
  <c r="AA113" i="97"/>
  <c r="AB114" i="97"/>
  <c r="Z112" i="97"/>
  <c r="AB88" i="97"/>
  <c r="AA88" i="97" s="1"/>
  <c r="AC89" i="97"/>
  <c r="AB89" i="97" s="1"/>
  <c r="AA89" i="97" s="1"/>
  <c r="Z36" i="97"/>
  <c r="Z87" i="97"/>
  <c r="Z62" i="97"/>
  <c r="D109" i="91"/>
  <c r="F109" i="91"/>
  <c r="G109" i="91"/>
  <c r="E110" i="91"/>
  <c r="C107" i="91"/>
  <c r="Z68" i="101"/>
  <c r="AB151" i="101"/>
  <c r="AB148" i="101"/>
  <c r="AB153" i="101"/>
  <c r="AB147" i="101"/>
  <c r="AB150" i="101"/>
  <c r="AB149" i="101"/>
  <c r="AB146" i="101"/>
  <c r="AB154" i="101"/>
  <c r="AB145" i="101"/>
  <c r="AB152" i="101"/>
  <c r="Z117" i="99"/>
  <c r="Z118" i="99"/>
  <c r="Z122" i="99"/>
  <c r="Z119" i="99"/>
  <c r="Z116" i="99"/>
  <c r="Z115" i="99"/>
  <c r="Z120" i="99"/>
  <c r="Z124" i="99"/>
  <c r="Z121" i="99"/>
  <c r="Z123" i="99"/>
  <c r="Z135" i="101"/>
  <c r="Z144" i="101"/>
  <c r="Z143" i="101"/>
  <c r="Z138" i="101"/>
  <c r="Z140" i="101"/>
  <c r="Z139" i="101"/>
  <c r="Z137" i="101"/>
  <c r="Z141" i="101"/>
  <c r="Z136" i="101"/>
  <c r="Z142" i="101"/>
  <c r="Y130" i="99"/>
  <c r="Y125" i="99"/>
  <c r="Y131" i="99"/>
  <c r="Y128" i="99"/>
  <c r="Y129" i="99"/>
  <c r="Y126" i="99"/>
  <c r="Y132" i="99"/>
  <c r="Y133" i="99"/>
  <c r="Y127" i="99"/>
  <c r="Y134" i="99"/>
  <c r="W139" i="99"/>
  <c r="W136" i="99"/>
  <c r="W137" i="99"/>
  <c r="W142" i="99"/>
  <c r="W141" i="99"/>
  <c r="W135" i="99"/>
  <c r="W144" i="99"/>
  <c r="W143" i="99"/>
  <c r="W140" i="99"/>
  <c r="W138" i="99"/>
  <c r="AA138" i="99"/>
  <c r="AA135" i="99"/>
  <c r="AA139" i="99"/>
  <c r="AA143" i="99"/>
  <c r="AA140" i="99"/>
  <c r="AA136" i="99"/>
  <c r="AA137" i="99"/>
  <c r="AA141" i="99"/>
  <c r="AA142" i="99"/>
  <c r="AA144" i="99"/>
  <c r="Y146" i="101"/>
  <c r="Y147" i="101"/>
  <c r="Y151" i="101"/>
  <c r="Y145" i="101"/>
  <c r="Y152" i="101"/>
  <c r="Y150" i="101"/>
  <c r="Y149" i="101"/>
  <c r="Y154" i="101"/>
  <c r="Y153" i="101"/>
  <c r="Y148" i="101"/>
  <c r="Z89" i="101"/>
  <c r="Z66" i="101"/>
  <c r="Z67" i="101"/>
  <c r="AA133" i="101"/>
  <c r="AA128" i="101"/>
  <c r="AA127" i="101"/>
  <c r="AA130" i="101"/>
  <c r="AA126" i="101"/>
  <c r="AA131" i="101"/>
  <c r="AA129" i="101"/>
  <c r="AA132" i="101"/>
  <c r="AA134" i="101"/>
  <c r="AA125" i="101"/>
  <c r="X147" i="101"/>
  <c r="X152" i="101"/>
  <c r="X151" i="101"/>
  <c r="X153" i="101"/>
  <c r="X149" i="101"/>
  <c r="X150" i="101"/>
  <c r="X148" i="101"/>
  <c r="X146" i="101"/>
  <c r="X145" i="101"/>
  <c r="X154" i="101"/>
  <c r="X159" i="101"/>
  <c r="X161" i="101"/>
  <c r="X160" i="101"/>
  <c r="X156" i="101"/>
  <c r="X155" i="101"/>
  <c r="X162" i="101"/>
  <c r="X157" i="101"/>
  <c r="X163" i="101"/>
  <c r="X164" i="101"/>
  <c r="X158" i="101"/>
  <c r="X142" i="99"/>
  <c r="X143" i="99"/>
  <c r="X141" i="99"/>
  <c r="X136" i="99"/>
  <c r="X137" i="99"/>
  <c r="X144" i="99"/>
  <c r="X140" i="99"/>
  <c r="X139" i="99"/>
  <c r="X135" i="99"/>
  <c r="X138" i="99"/>
  <c r="X165" i="101"/>
  <c r="AA145" i="99"/>
  <c r="AA146" i="99"/>
  <c r="AA154" i="99"/>
  <c r="AA147" i="99"/>
  <c r="AA148" i="99"/>
  <c r="AA153" i="99"/>
  <c r="AA150" i="99"/>
  <c r="AA149" i="99"/>
  <c r="AA152" i="99"/>
  <c r="AA151" i="99"/>
  <c r="AO165" i="101" l="1"/>
  <c r="AO158" i="101"/>
  <c r="AO164" i="101"/>
  <c r="AO163" i="101"/>
  <c r="AO157" i="101"/>
  <c r="AO162" i="101"/>
  <c r="AO155" i="101"/>
  <c r="AO156" i="101"/>
  <c r="AO160" i="101"/>
  <c r="AO161" i="101"/>
  <c r="AO159" i="101"/>
  <c r="AO154" i="101"/>
  <c r="AO145" i="101"/>
  <c r="AO146" i="101"/>
  <c r="AO148" i="101"/>
  <c r="AO150" i="101"/>
  <c r="AO149" i="101"/>
  <c r="AO153" i="101"/>
  <c r="AO151" i="101"/>
  <c r="AO152" i="101"/>
  <c r="AO147" i="101"/>
  <c r="AR125" i="101"/>
  <c r="AR134" i="101"/>
  <c r="AR132" i="101"/>
  <c r="AR129" i="101"/>
  <c r="AR131" i="101"/>
  <c r="AR126" i="101"/>
  <c r="AR130" i="101"/>
  <c r="AR127" i="101"/>
  <c r="AR128" i="101"/>
  <c r="AR133" i="101"/>
  <c r="AQ67" i="101"/>
  <c r="AQ66" i="101"/>
  <c r="AQ89" i="101"/>
  <c r="AP148" i="101"/>
  <c r="AP153" i="101"/>
  <c r="AP154" i="101"/>
  <c r="AP149" i="101"/>
  <c r="AP150" i="101"/>
  <c r="AP152" i="101"/>
  <c r="AP145" i="101"/>
  <c r="AP151" i="101"/>
  <c r="AP147" i="101"/>
  <c r="AP146" i="101"/>
  <c r="AQ142" i="101"/>
  <c r="AQ136" i="101"/>
  <c r="AQ141" i="101"/>
  <c r="AQ137" i="101"/>
  <c r="AQ139" i="101"/>
  <c r="AQ140" i="101"/>
  <c r="AQ138" i="101"/>
  <c r="AQ143" i="101"/>
  <c r="AQ144" i="101"/>
  <c r="AQ135" i="101"/>
  <c r="AS152" i="101"/>
  <c r="AS145" i="101"/>
  <c r="AS154" i="101"/>
  <c r="AS146" i="101"/>
  <c r="AS149" i="101"/>
  <c r="AS150" i="101"/>
  <c r="AS147" i="101"/>
  <c r="AS153" i="101"/>
  <c r="AS148" i="101"/>
  <c r="AS151" i="101"/>
  <c r="AQ68" i="101"/>
  <c r="AA114" i="97"/>
  <c r="AB115" i="97"/>
  <c r="AA115" i="97" s="1"/>
  <c r="Z88" i="97"/>
  <c r="Z89" i="97" s="1"/>
  <c r="Z113" i="97"/>
  <c r="Z63" i="97"/>
  <c r="Z141" i="97"/>
  <c r="F110" i="91"/>
  <c r="E111" i="91"/>
  <c r="C108" i="91"/>
  <c r="D110" i="91"/>
  <c r="G110" i="91"/>
  <c r="Y161" i="101"/>
  <c r="Y160" i="101"/>
  <c r="Y164" i="101"/>
  <c r="Y157" i="101"/>
  <c r="Y155" i="101"/>
  <c r="Y158" i="101"/>
  <c r="Y162" i="101"/>
  <c r="Y163" i="101"/>
  <c r="Y156" i="101"/>
  <c r="Y159" i="101"/>
  <c r="Y165" i="101"/>
  <c r="Z90" i="101"/>
  <c r="Z91" i="101"/>
  <c r="Y141" i="99"/>
  <c r="Y135" i="99"/>
  <c r="Y140" i="99"/>
  <c r="Y136" i="99"/>
  <c r="Y142" i="99"/>
  <c r="Y144" i="99"/>
  <c r="Y143" i="99"/>
  <c r="Y139" i="99"/>
  <c r="Y138" i="99"/>
  <c r="Y137" i="99"/>
  <c r="AB160" i="101"/>
  <c r="AB155" i="101"/>
  <c r="AB164" i="101"/>
  <c r="AB163" i="101"/>
  <c r="AB161" i="101"/>
  <c r="AB158" i="101"/>
  <c r="AB157" i="101"/>
  <c r="AB159" i="101"/>
  <c r="AB162" i="101"/>
  <c r="AB156" i="101"/>
  <c r="AB165" i="101"/>
  <c r="X149" i="99"/>
  <c r="X152" i="99"/>
  <c r="X146" i="99"/>
  <c r="X150" i="99"/>
  <c r="X147" i="99"/>
  <c r="X153" i="99"/>
  <c r="X148" i="99"/>
  <c r="X145" i="99"/>
  <c r="X151" i="99"/>
  <c r="X154" i="99"/>
  <c r="Z165" i="101"/>
  <c r="W145" i="99"/>
  <c r="W153" i="99"/>
  <c r="W152" i="99"/>
  <c r="W150" i="99"/>
  <c r="W146" i="99"/>
  <c r="W147" i="99"/>
  <c r="W148" i="99"/>
  <c r="W151" i="99"/>
  <c r="W154" i="99"/>
  <c r="W149" i="99"/>
  <c r="Z125" i="99"/>
  <c r="Z132" i="99"/>
  <c r="Z134" i="99"/>
  <c r="Z130" i="99"/>
  <c r="Z126" i="99"/>
  <c r="Z128" i="99"/>
  <c r="Z129" i="99"/>
  <c r="Z131" i="99"/>
  <c r="Z127" i="99"/>
  <c r="Z133" i="99"/>
  <c r="Z92" i="101"/>
  <c r="Z154" i="101"/>
  <c r="Z149" i="101"/>
  <c r="Z150" i="101"/>
  <c r="Z151" i="101"/>
  <c r="Z145" i="101"/>
  <c r="Z148" i="101"/>
  <c r="Z147" i="101"/>
  <c r="Z153" i="101"/>
  <c r="Z152" i="101"/>
  <c r="Z146" i="101"/>
  <c r="Z163" i="101"/>
  <c r="Z156" i="101"/>
  <c r="Z157" i="101"/>
  <c r="Z155" i="101"/>
  <c r="Z159" i="101"/>
  <c r="Z161" i="101"/>
  <c r="Z160" i="101"/>
  <c r="Z164" i="101"/>
  <c r="Z162" i="101"/>
  <c r="Z158" i="101"/>
  <c r="AA141" i="101"/>
  <c r="AA144" i="101"/>
  <c r="AA139" i="101"/>
  <c r="AA142" i="101"/>
  <c r="AA137" i="101"/>
  <c r="AA140" i="101"/>
  <c r="AA143" i="101"/>
  <c r="AA138" i="101"/>
  <c r="AA136" i="101"/>
  <c r="AA135" i="101"/>
  <c r="AA161" i="99"/>
  <c r="AA155" i="99"/>
  <c r="AA159" i="99"/>
  <c r="AA165" i="99"/>
  <c r="AA156" i="99"/>
  <c r="AA163" i="99"/>
  <c r="AA158" i="99"/>
  <c r="AA157" i="99"/>
  <c r="AA162" i="99"/>
  <c r="AA164" i="99"/>
  <c r="AA160" i="99"/>
  <c r="AR135" i="101" l="1"/>
  <c r="AR136" i="101"/>
  <c r="AR138" i="101"/>
  <c r="AR143" i="101"/>
  <c r="AR140" i="101"/>
  <c r="AR137" i="101"/>
  <c r="AR142" i="101"/>
  <c r="AR139" i="101"/>
  <c r="AR144" i="101"/>
  <c r="AR141" i="101"/>
  <c r="AQ158" i="101"/>
  <c r="AQ162" i="101"/>
  <c r="AQ164" i="101"/>
  <c r="AQ160" i="101"/>
  <c r="AQ161" i="101"/>
  <c r="AQ159" i="101"/>
  <c r="AQ155" i="101"/>
  <c r="AQ157" i="101"/>
  <c r="AQ156" i="101"/>
  <c r="AQ163" i="101"/>
  <c r="AQ146" i="101"/>
  <c r="AQ152" i="101"/>
  <c r="AQ153" i="101"/>
  <c r="AQ147" i="101"/>
  <c r="AQ148" i="101"/>
  <c r="AQ145" i="101"/>
  <c r="AQ151" i="101"/>
  <c r="AQ150" i="101"/>
  <c r="AQ149" i="101"/>
  <c r="AQ154" i="101"/>
  <c r="AQ92" i="101"/>
  <c r="AQ165" i="101"/>
  <c r="AS165" i="101"/>
  <c r="AS156" i="101"/>
  <c r="AS162" i="101"/>
  <c r="AS159" i="101"/>
  <c r="AS157" i="101"/>
  <c r="AS158" i="101"/>
  <c r="AS161" i="101"/>
  <c r="AS163" i="101"/>
  <c r="AS164" i="101"/>
  <c r="AS155" i="101"/>
  <c r="AS160" i="101"/>
  <c r="AQ91" i="101"/>
  <c r="AQ90" i="101"/>
  <c r="AP165" i="101"/>
  <c r="AP159" i="101"/>
  <c r="AP156" i="101"/>
  <c r="AP163" i="101"/>
  <c r="AP162" i="101"/>
  <c r="AP158" i="101"/>
  <c r="AP155" i="101"/>
  <c r="AP157" i="101"/>
  <c r="AP164" i="101"/>
  <c r="AP160" i="101"/>
  <c r="AP161" i="101"/>
  <c r="Z114" i="97"/>
  <c r="C109" i="91"/>
  <c r="G111" i="91"/>
  <c r="F111" i="91"/>
  <c r="D111" i="91"/>
  <c r="E112" i="91"/>
  <c r="X163" i="99"/>
  <c r="X156" i="99"/>
  <c r="X160" i="99"/>
  <c r="X155" i="99"/>
  <c r="X162" i="99"/>
  <c r="X158" i="99"/>
  <c r="X157" i="99"/>
  <c r="X159" i="99"/>
  <c r="X164" i="99"/>
  <c r="X161" i="99"/>
  <c r="X165" i="99"/>
  <c r="W164" i="99"/>
  <c r="W158" i="99"/>
  <c r="W155" i="99"/>
  <c r="W162" i="99"/>
  <c r="W157" i="99"/>
  <c r="W159" i="99"/>
  <c r="W156" i="99"/>
  <c r="W163" i="99"/>
  <c r="W161" i="99"/>
  <c r="W160" i="99"/>
  <c r="W165" i="99"/>
  <c r="Y149" i="99"/>
  <c r="Y150" i="99"/>
  <c r="Y148" i="99"/>
  <c r="Y153" i="99"/>
  <c r="Y151" i="99"/>
  <c r="Y152" i="99"/>
  <c r="Y154" i="99"/>
  <c r="Y147" i="99"/>
  <c r="Y146" i="99"/>
  <c r="Y145" i="99"/>
  <c r="Z138" i="99"/>
  <c r="Z143" i="99"/>
  <c r="Z136" i="99"/>
  <c r="Z144" i="99"/>
  <c r="Z140" i="99"/>
  <c r="Z142" i="99"/>
  <c r="Z141" i="99"/>
  <c r="Z137" i="99"/>
  <c r="Z139" i="99"/>
  <c r="Z135" i="99"/>
  <c r="AA150" i="101"/>
  <c r="AA147" i="101"/>
  <c r="AA145" i="101"/>
  <c r="AA148" i="101"/>
  <c r="AA151" i="101"/>
  <c r="AA154" i="101"/>
  <c r="AA153" i="101"/>
  <c r="AA149" i="101"/>
  <c r="AA146" i="101"/>
  <c r="AA152" i="101"/>
  <c r="AR152" i="101" l="1"/>
  <c r="AR146" i="101"/>
  <c r="AR149" i="101"/>
  <c r="AR153" i="101"/>
  <c r="AR154" i="101"/>
  <c r="AR151" i="101"/>
  <c r="AR148" i="101"/>
  <c r="AR145" i="101"/>
  <c r="AR147" i="101"/>
  <c r="AR150" i="101"/>
  <c r="Z115" i="97"/>
  <c r="E113" i="91"/>
  <c r="G112" i="91"/>
  <c r="C110" i="91"/>
  <c r="F112" i="91"/>
  <c r="D112" i="91"/>
  <c r="Z145" i="99"/>
  <c r="Z150" i="99"/>
  <c r="Z153" i="99"/>
  <c r="Z148" i="99"/>
  <c r="Z147" i="99"/>
  <c r="Z154" i="99"/>
  <c r="Z151" i="99"/>
  <c r="Z149" i="99"/>
  <c r="Z152" i="99"/>
  <c r="Z146" i="99"/>
  <c r="Y162" i="99"/>
  <c r="Y163" i="99"/>
  <c r="Y157" i="99"/>
  <c r="Y164" i="99"/>
  <c r="Y158" i="99"/>
  <c r="Y160" i="99"/>
  <c r="Y155" i="99"/>
  <c r="Y156" i="99"/>
  <c r="Y161" i="99"/>
  <c r="Y159" i="99"/>
  <c r="Y165" i="99"/>
  <c r="AA164" i="101"/>
  <c r="AA163" i="101"/>
  <c r="AA157" i="101"/>
  <c r="AA156" i="101"/>
  <c r="AA162" i="101"/>
  <c r="AA159" i="101"/>
  <c r="AA160" i="101"/>
  <c r="AA158" i="101"/>
  <c r="AA161" i="101"/>
  <c r="AA155" i="101"/>
  <c r="AA165" i="101"/>
  <c r="AR165" i="101" l="1"/>
  <c r="AR155" i="101"/>
  <c r="AR161" i="101"/>
  <c r="AR158" i="101"/>
  <c r="AR160" i="101"/>
  <c r="AR159" i="101"/>
  <c r="AR162" i="101"/>
  <c r="AR156" i="101"/>
  <c r="AR157" i="101"/>
  <c r="AR163" i="101"/>
  <c r="AR164" i="101"/>
  <c r="D113" i="91"/>
  <c r="F113" i="91"/>
  <c r="G113" i="91"/>
  <c r="C111" i="91"/>
  <c r="Z162" i="99"/>
  <c r="Z156" i="99"/>
  <c r="Z157" i="99"/>
  <c r="Z155" i="99"/>
  <c r="Z163" i="99"/>
  <c r="Z161" i="99"/>
  <c r="Z160" i="99"/>
  <c r="Z158" i="99"/>
  <c r="Z159" i="99"/>
  <c r="Z164" i="99"/>
  <c r="Z165" i="99"/>
  <c r="C112" i="91" l="1"/>
  <c r="C113" i="91" l="1"/>
  <c r="H12" i="96"/>
  <c r="H14" i="96" s="1"/>
  <c r="H10" i="96"/>
  <c r="J60" i="98" s="1"/>
  <c r="E62" i="98" l="1"/>
  <c r="F62" i="98"/>
  <c r="G62" i="98"/>
  <c r="H62" i="9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C5" authorId="0" shapeId="0" xr:uid="{C8BA9882-9869-4096-B244-FA47F03D9A8A}">
      <text>
        <r>
          <rPr>
            <b/>
            <sz val="9"/>
            <color indexed="81"/>
            <rFont val="宋体"/>
            <family val="3"/>
            <charset val="134"/>
          </rPr>
          <t>由于宝物有各种各样的加成类型，需要折算成攻血提升xx%最终计算</t>
        </r>
      </text>
    </comment>
    <comment ref="C8" authorId="0" shapeId="0" xr:uid="{BB482AE0-F125-4476-A843-D335DD93D78C}">
      <text>
        <r>
          <rPr>
            <b/>
            <sz val="9"/>
            <color indexed="81"/>
            <rFont val="宋体"/>
            <family val="3"/>
            <charset val="134"/>
          </rPr>
          <t>根据养成表对应等级设定</t>
        </r>
      </text>
    </comment>
    <comment ref="C9" authorId="0" shapeId="0" xr:uid="{4CC6E722-E4ED-42B5-BE9C-687A3C0D715F}">
      <text>
        <r>
          <rPr>
            <b/>
            <sz val="9"/>
            <color indexed="81"/>
            <rFont val="宋体"/>
            <family val="3"/>
            <charset val="134"/>
          </rPr>
          <t>根据养成表对应等级设定</t>
        </r>
      </text>
    </comment>
    <comment ref="C10" authorId="0" shapeId="0" xr:uid="{8113935E-1218-4AF4-96D6-BB021F14A742}">
      <text>
        <r>
          <rPr>
            <b/>
            <sz val="9"/>
            <color indexed="81"/>
            <rFont val="宋体"/>
            <family val="3"/>
            <charset val="134"/>
          </rPr>
          <t>根据养成表对应等级设定</t>
        </r>
      </text>
    </comment>
    <comment ref="C11" authorId="0" shapeId="0" xr:uid="{9B3C8CB6-5DAF-4F79-A8BF-43FD26EF322C}">
      <text>
        <r>
          <rPr>
            <b/>
            <sz val="9"/>
            <color indexed="81"/>
            <rFont val="宋体"/>
            <family val="3"/>
            <charset val="134"/>
          </rPr>
          <t>根据养成表对应等级设定</t>
        </r>
      </text>
    </comment>
    <comment ref="D20" authorId="0" shapeId="0" xr:uid="{32C25A2A-BF5F-46B5-A668-4B14761CDFD4}">
      <text>
        <r>
          <rPr>
            <b/>
            <sz val="9"/>
            <color indexed="81"/>
            <rFont val="宋体"/>
            <family val="3"/>
            <charset val="134"/>
          </rPr>
          <t>免伤控制投放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admin</author>
  </authors>
  <commentList>
    <comment ref="C11" authorId="0" shapeId="0" xr:uid="{A98F79BD-8C9D-4B80-BE56-FC4D71D3C5DF}">
      <text>
        <r>
          <rPr>
            <b/>
            <sz val="9"/>
            <color indexed="81"/>
            <rFont val="宋体"/>
            <family val="3"/>
            <charset val="134"/>
          </rPr>
          <t>多类,大地图单刷指定部件战斗</t>
        </r>
        <r>
          <rPr>
            <sz val="9"/>
            <color indexed="81"/>
            <rFont val="宋体"/>
            <family val="3"/>
            <charset val="134"/>
          </rPr>
          <t xml:space="preserve">
国战中，装备产出为指定套装的随机部件</t>
        </r>
      </text>
    </comment>
    <comment ref="I11" authorId="1" shapeId="0" xr:uid="{63232709-05CA-4AB1-8595-0B94F1131022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I12" authorId="1" shapeId="0" xr:uid="{231C605E-B7B8-4166-B407-334923875D36}">
      <text>
        <r>
          <rPr>
            <b/>
            <sz val="9"/>
            <color indexed="81"/>
            <rFont val="宋体"/>
            <family val="3"/>
            <charset val="134"/>
          </rPr>
          <t>宝箱</t>
        </r>
      </text>
    </comment>
    <comment ref="D40" authorId="1" shapeId="0" xr:uid="{98E7AC9A-3F0D-46AD-BF83-BC2CBEA12C82}">
      <text>
        <r>
          <rPr>
            <b/>
            <sz val="9"/>
            <color indexed="81"/>
            <rFont val="宋体"/>
            <family val="3"/>
            <charset val="134"/>
          </rPr>
          <t>普通野怪产出，故不对应盗宝贼数据</t>
        </r>
      </text>
    </comment>
    <comment ref="H56" authorId="1" shapeId="0" xr:uid="{7A39A161-1DA3-4413-9181-08AD1956CAD6}">
      <text>
        <r>
          <rPr>
            <b/>
            <sz val="9"/>
            <color indexed="81"/>
            <rFont val="宋体"/>
            <family val="3"/>
            <charset val="134"/>
          </rPr>
          <t>活动投放</t>
        </r>
      </text>
    </comment>
  </commentList>
</comments>
</file>

<file path=xl/sharedStrings.xml><?xml version="1.0" encoding="utf-8"?>
<sst xmlns="http://schemas.openxmlformats.org/spreadsheetml/2006/main" count="1239" uniqueCount="435">
  <si>
    <t>橙</t>
    <phoneticPr fontId="1" type="noConversion"/>
  </si>
  <si>
    <t>蓝</t>
    <phoneticPr fontId="1" type="noConversion"/>
  </si>
  <si>
    <t>紫</t>
    <phoneticPr fontId="1" type="noConversion"/>
  </si>
  <si>
    <t>升阶次数</t>
    <phoneticPr fontId="1" type="noConversion"/>
  </si>
  <si>
    <t>消耗数量</t>
    <phoneticPr fontId="1" type="noConversion"/>
  </si>
  <si>
    <t>总消耗数量</t>
    <phoneticPr fontId="1" type="noConversion"/>
  </si>
  <si>
    <t>升星次数</t>
    <phoneticPr fontId="1" type="noConversion"/>
  </si>
  <si>
    <t>1紫</t>
    <phoneticPr fontId="1" type="noConversion"/>
  </si>
  <si>
    <t>3紫</t>
    <phoneticPr fontId="1" type="noConversion"/>
  </si>
  <si>
    <t>5紫</t>
    <phoneticPr fontId="1" type="noConversion"/>
  </si>
  <si>
    <t>1橙</t>
    <phoneticPr fontId="1" type="noConversion"/>
  </si>
  <si>
    <t>6橙</t>
    <phoneticPr fontId="1" type="noConversion"/>
  </si>
  <si>
    <t>时间差</t>
    <phoneticPr fontId="1" type="noConversion"/>
  </si>
  <si>
    <t>觉醒次数</t>
    <phoneticPr fontId="1" type="noConversion"/>
  </si>
  <si>
    <t>觉醒消耗</t>
    <phoneticPr fontId="1" type="noConversion"/>
  </si>
  <si>
    <t>觉醒总消耗</t>
    <phoneticPr fontId="1" type="noConversion"/>
  </si>
  <si>
    <t>1橙升1星</t>
    <phoneticPr fontId="1" type="noConversion"/>
  </si>
  <si>
    <t>6橙升1星</t>
    <phoneticPr fontId="1" type="noConversion"/>
  </si>
  <si>
    <t>6橙升3星</t>
    <phoneticPr fontId="1" type="noConversion"/>
  </si>
  <si>
    <t>6橙升7星</t>
    <phoneticPr fontId="1" type="noConversion"/>
  </si>
  <si>
    <t>4橙</t>
    <phoneticPr fontId="1" type="noConversion"/>
  </si>
  <si>
    <t>1紫升1星</t>
    <phoneticPr fontId="1" type="noConversion"/>
  </si>
  <si>
    <t>1橙觉醒</t>
    <phoneticPr fontId="1" type="noConversion"/>
  </si>
  <si>
    <t>6橙觉醒</t>
    <phoneticPr fontId="1" type="noConversion"/>
  </si>
  <si>
    <t>等级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</si>
  <si>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</si>
  <si>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</si>
  <si>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</si>
  <si>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</si>
  <si>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</si>
  <si>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</si>
  <si>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</si>
  <si>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</si>
  <si>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</si>
  <si>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</si>
  <si>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初始属性</t>
    <phoneticPr fontId="1" type="noConversion"/>
  </si>
  <si>
    <t>成长属性</t>
    <phoneticPr fontId="1" type="noConversion"/>
  </si>
  <si>
    <t>升阶次数</t>
    <phoneticPr fontId="1" type="noConversion"/>
  </si>
  <si>
    <t>升阶附加值</t>
    <phoneticPr fontId="1" type="noConversion"/>
  </si>
  <si>
    <t>升星次数</t>
    <phoneticPr fontId="1" type="noConversion"/>
  </si>
  <si>
    <t>单次升星附加值</t>
    <phoneticPr fontId="1" type="noConversion"/>
  </si>
  <si>
    <t>属性值=基础值+成长值*等级+升星附加值*升星次数+觉醒附加值*觉醒次数</t>
    <phoneticPr fontId="1" type="noConversion"/>
  </si>
  <si>
    <t>橙</t>
    <phoneticPr fontId="1" type="noConversion"/>
  </si>
  <si>
    <t>升星次数</t>
    <phoneticPr fontId="1" type="noConversion"/>
  </si>
  <si>
    <t>阶段</t>
    <phoneticPr fontId="1" type="noConversion"/>
  </si>
  <si>
    <t>等级</t>
    <phoneticPr fontId="1" type="noConversion"/>
  </si>
  <si>
    <t>状态</t>
    <phoneticPr fontId="1" type="noConversion"/>
  </si>
  <si>
    <t>1星紫</t>
    <phoneticPr fontId="1" type="noConversion"/>
  </si>
  <si>
    <t>觉醒橙</t>
    <phoneticPr fontId="1" type="noConversion"/>
  </si>
  <si>
    <t>觉醒1星橙</t>
    <phoneticPr fontId="1" type="noConversion"/>
  </si>
  <si>
    <t>觉醒1星橙</t>
    <phoneticPr fontId="1" type="noConversion"/>
  </si>
  <si>
    <t>觉醒1星橙</t>
    <phoneticPr fontId="1" type="noConversion"/>
  </si>
  <si>
    <t>觉醒3星橙</t>
    <phoneticPr fontId="1" type="noConversion"/>
  </si>
  <si>
    <t>觉醒7星橙</t>
    <phoneticPr fontId="1" type="noConversion"/>
  </si>
  <si>
    <t>属性</t>
    <phoneticPr fontId="1" type="noConversion"/>
  </si>
  <si>
    <t>1紫5蓝</t>
    <phoneticPr fontId="1" type="noConversion"/>
  </si>
  <si>
    <t>1橙5紫</t>
    <phoneticPr fontId="1" type="noConversion"/>
  </si>
  <si>
    <t>4橙2紫</t>
    <phoneticPr fontId="1" type="noConversion"/>
  </si>
  <si>
    <t>6橙</t>
    <phoneticPr fontId="1" type="noConversion"/>
  </si>
  <si>
    <t>6橙1星</t>
    <phoneticPr fontId="1" type="noConversion"/>
  </si>
  <si>
    <t>6橙2星</t>
    <phoneticPr fontId="1" type="noConversion"/>
  </si>
  <si>
    <t>6橙7星</t>
    <phoneticPr fontId="1" type="noConversion"/>
  </si>
  <si>
    <t>基础属性属性</t>
    <phoneticPr fontId="1" type="noConversion"/>
  </si>
  <si>
    <t>1紫1星</t>
    <phoneticPr fontId="1" type="noConversion"/>
  </si>
  <si>
    <t>1橙1星</t>
    <phoneticPr fontId="1" type="noConversion"/>
  </si>
  <si>
    <t>6橙1星</t>
    <phoneticPr fontId="1" type="noConversion"/>
  </si>
  <si>
    <t>6橙3星</t>
    <phoneticPr fontId="1" type="noConversion"/>
  </si>
  <si>
    <t>6橙7星</t>
    <phoneticPr fontId="1" type="noConversion"/>
  </si>
  <si>
    <t>1星橙</t>
    <phoneticPr fontId="1" type="noConversion"/>
  </si>
  <si>
    <t>3星橙</t>
    <phoneticPr fontId="1" type="noConversion"/>
  </si>
  <si>
    <t>7星橙</t>
    <phoneticPr fontId="1" type="noConversion"/>
  </si>
  <si>
    <t>升星阶段</t>
    <phoneticPr fontId="1" type="noConversion"/>
  </si>
  <si>
    <t>升星属性</t>
    <phoneticPr fontId="1" type="noConversion"/>
  </si>
  <si>
    <t>总属性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</si>
  <si>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</si>
  <si>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</si>
  <si>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</si>
  <si>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</si>
  <si>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</si>
  <si>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蓝</t>
  </si>
  <si>
    <t>紫</t>
  </si>
  <si>
    <t>橙</t>
  </si>
  <si>
    <t>绿</t>
  </si>
  <si>
    <t>红</t>
  </si>
  <si>
    <t>绿</t>
    <phoneticPr fontId="1" type="noConversion"/>
  </si>
  <si>
    <t>蓝</t>
    <phoneticPr fontId="1" type="noConversion"/>
  </si>
  <si>
    <t>紫</t>
    <phoneticPr fontId="1" type="noConversion"/>
  </si>
  <si>
    <t>红</t>
    <phoneticPr fontId="1" type="noConversion"/>
  </si>
  <si>
    <t>主力上阵武将数量</t>
    <phoneticPr fontId="1" type="noConversion"/>
  </si>
  <si>
    <t>主力上阵武将星级</t>
    <phoneticPr fontId="1" type="noConversion"/>
  </si>
  <si>
    <t>累积天数</t>
    <phoneticPr fontId="1" type="noConversion"/>
  </si>
  <si>
    <t>品质</t>
  </si>
  <si>
    <t>指定价值</t>
  </si>
  <si>
    <t>价值</t>
    <phoneticPr fontId="1" type="noConversion"/>
  </si>
  <si>
    <t>时间差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</si>
  <si>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</si>
  <si>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</si>
  <si>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</si>
  <si>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</si>
  <si>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等级</t>
    <phoneticPr fontId="1" type="noConversion"/>
  </si>
  <si>
    <t>玩家武将数量累积消耗</t>
    <phoneticPr fontId="1" type="noConversion"/>
  </si>
  <si>
    <t>玩家等级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</si>
  <si>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</si>
  <si>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</si>
  <si>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</si>
  <si>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</si>
  <si>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</si>
  <si>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超r</t>
    <phoneticPr fontId="1" type="noConversion"/>
  </si>
  <si>
    <t>觉醒需要消耗同资质的三张卡牌</t>
    <phoneticPr fontId="1" type="noConversion"/>
  </si>
  <si>
    <t>普通玩家</t>
    <phoneticPr fontId="1" type="noConversion"/>
  </si>
  <si>
    <t>橙</t>
    <phoneticPr fontId="1" type="noConversion"/>
  </si>
  <si>
    <t>红</t>
    <phoneticPr fontId="1" type="noConversion"/>
  </si>
  <si>
    <t>3天</t>
    <phoneticPr fontId="1" type="noConversion"/>
  </si>
  <si>
    <t>可觉醒的卡牌</t>
    <phoneticPr fontId="1" type="noConversion"/>
  </si>
  <si>
    <t>橙色</t>
    <phoneticPr fontId="1" type="noConversion"/>
  </si>
  <si>
    <t>紫</t>
    <phoneticPr fontId="1" type="noConversion"/>
  </si>
  <si>
    <t>紫1</t>
    <phoneticPr fontId="1" type="noConversion"/>
  </si>
  <si>
    <t>红色</t>
    <phoneticPr fontId="1" type="noConversion"/>
  </si>
  <si>
    <t>橙1</t>
    <phoneticPr fontId="1" type="noConversion"/>
  </si>
  <si>
    <t>等级</t>
    <phoneticPr fontId="1" type="noConversion"/>
  </si>
  <si>
    <t>上阵武将数</t>
    <phoneticPr fontId="1" type="noConversion"/>
  </si>
  <si>
    <t>时间</t>
    <phoneticPr fontId="1" type="noConversion"/>
  </si>
  <si>
    <t>完成等级</t>
    <phoneticPr fontId="1" type="noConversion"/>
  </si>
  <si>
    <t>3橙1觉</t>
    <phoneticPr fontId="1" type="noConversion"/>
  </si>
  <si>
    <t>1橙1觉</t>
    <phoneticPr fontId="1" type="noConversion"/>
  </si>
  <si>
    <t>4橙1觉，1橙2觉</t>
    <phoneticPr fontId="1" type="noConversion"/>
  </si>
  <si>
    <t>3橙1觉，3橙2觉</t>
    <phoneticPr fontId="1" type="noConversion"/>
  </si>
  <si>
    <t>1觉</t>
    <phoneticPr fontId="1" type="noConversion"/>
  </si>
  <si>
    <t>2觉</t>
    <phoneticPr fontId="1" type="noConversion"/>
  </si>
  <si>
    <t>品质</t>
    <phoneticPr fontId="1" type="noConversion"/>
  </si>
  <si>
    <t>描述</t>
    <phoneticPr fontId="1" type="noConversion"/>
  </si>
  <si>
    <t>状态</t>
    <phoneticPr fontId="1" type="noConversion"/>
  </si>
  <si>
    <t xml:space="preserve">品质 </t>
    <phoneticPr fontId="1" type="noConversion"/>
  </si>
  <si>
    <t>5橙2觉</t>
    <phoneticPr fontId="1" type="noConversion"/>
  </si>
  <si>
    <t>橙卡</t>
    <phoneticPr fontId="1" type="noConversion"/>
  </si>
  <si>
    <t>红卡</t>
    <phoneticPr fontId="1" type="noConversion"/>
  </si>
  <si>
    <t>消耗</t>
    <phoneticPr fontId="1" type="noConversion"/>
  </si>
  <si>
    <t>6橙2觉1觉红</t>
    <phoneticPr fontId="1" type="noConversion"/>
  </si>
  <si>
    <t>11橙2觉2觉红</t>
    <phoneticPr fontId="1" type="noConversion"/>
  </si>
  <si>
    <t>消耗低一资质武将卡</t>
    <phoneticPr fontId="1" type="noConversion"/>
  </si>
  <si>
    <t>消耗同一资质武将卡</t>
    <phoneticPr fontId="1" type="noConversion"/>
  </si>
  <si>
    <t>消耗同名武将卡</t>
    <phoneticPr fontId="1" type="noConversion"/>
  </si>
  <si>
    <t>消耗材料数量</t>
    <phoneticPr fontId="1" type="noConversion"/>
  </si>
  <si>
    <t>品质</t>
    <phoneticPr fontId="1" type="noConversion"/>
  </si>
  <si>
    <t>材料品质</t>
    <phoneticPr fontId="1" type="noConversion"/>
  </si>
  <si>
    <t>觉醒次数</t>
    <phoneticPr fontId="1" type="noConversion"/>
  </si>
  <si>
    <t>觉醒次数</t>
    <phoneticPr fontId="1" type="noConversion"/>
  </si>
  <si>
    <t>累积材料消耗</t>
    <phoneticPr fontId="1" type="noConversion"/>
  </si>
  <si>
    <t>累积卡牌消耗</t>
    <phoneticPr fontId="1" type="noConversion"/>
  </si>
  <si>
    <t>非r</t>
    <phoneticPr fontId="1" type="noConversion"/>
  </si>
  <si>
    <t>大殿等级</t>
  </si>
  <si>
    <t>大殿等级累积停留时间(天）</t>
  </si>
  <si>
    <t>大殿等级阶段停留时间（天）</t>
  </si>
  <si>
    <t>调整值</t>
    <phoneticPr fontId="1" type="noConversion"/>
  </si>
  <si>
    <t>非r累积时长大殿等级标准</t>
  </si>
  <si>
    <t>累积停留天数(标准）</t>
    <phoneticPr fontId="1" type="noConversion"/>
  </si>
  <si>
    <t>调整系数</t>
    <phoneticPr fontId="1" type="noConversion"/>
  </si>
  <si>
    <t>天数对应大殿等级</t>
    <phoneticPr fontId="1" type="noConversion"/>
  </si>
  <si>
    <t>天数</t>
    <phoneticPr fontId="1" type="noConversion"/>
  </si>
  <si>
    <t>每个等级玩家所需价值花费</t>
    <phoneticPr fontId="1" type="noConversion"/>
  </si>
  <si>
    <t>天数对应累积消耗钻石价值</t>
    <phoneticPr fontId="1" type="noConversion"/>
  </si>
  <si>
    <t>定义等级</t>
  </si>
  <si>
    <t>定义等级累积停留天数（天）</t>
  </si>
  <si>
    <t>定义等级阶段停留天数（天）</t>
  </si>
  <si>
    <t>天数对应定义等级</t>
  </si>
  <si>
    <t>非r累积时长定义等级标准</t>
  </si>
  <si>
    <t>定义等级对应累积消耗钻石价值</t>
  </si>
  <si>
    <t>橙+</t>
    <phoneticPr fontId="1" type="noConversion"/>
  </si>
  <si>
    <t>1、宝物分为蓝、紫、橙、橙+一共4种品质</t>
    <phoneticPr fontId="1" type="noConversion"/>
  </si>
  <si>
    <t>2、蓝色2种，按照攻击和防御的属性进行分配</t>
    <phoneticPr fontId="1" type="noConversion"/>
  </si>
  <si>
    <t>3、紫色6种，按照步骑弓和攻击防御2个维度组合</t>
    <phoneticPr fontId="1" type="noConversion"/>
  </si>
  <si>
    <t>专属技能宝物</t>
    <phoneticPr fontId="1" type="noConversion"/>
  </si>
  <si>
    <t>普通技能宝物</t>
    <phoneticPr fontId="1" type="noConversion"/>
  </si>
  <si>
    <t>4、橙色10种，其中8种为职业和攻防维度组合，剩下2种为带有职业专属技的宝物，这类宝物每期（暂定2周一期）投放2个</t>
    <phoneticPr fontId="1" type="noConversion"/>
  </si>
  <si>
    <t>5、橙+宝物单独投放，每月投放1种普通技能宝物和1种专属技能宝物</t>
    <phoneticPr fontId="1" type="noConversion"/>
  </si>
  <si>
    <t>2、130单次养成的收益要高于120，但消耗远大于120</t>
    <phoneticPr fontId="1" type="noConversion"/>
  </si>
  <si>
    <t>三维</t>
    <phoneticPr fontId="1" type="noConversion"/>
  </si>
  <si>
    <t>技能系数</t>
    <phoneticPr fontId="1" type="noConversion"/>
  </si>
  <si>
    <t>属性上限设想</t>
    <phoneticPr fontId="1" type="noConversion"/>
  </si>
  <si>
    <t>花费</t>
    <phoneticPr fontId="1" type="noConversion"/>
  </si>
  <si>
    <t>资质</t>
    <phoneticPr fontId="1" type="noConversion"/>
  </si>
  <si>
    <t>3、现在的重生是亏损的，所以导致玩家可能不会养，所以必须要把120的获取难度降低</t>
    <phoneticPr fontId="1" type="noConversion"/>
  </si>
  <si>
    <t>活跃</t>
    <phoneticPr fontId="1" type="noConversion"/>
  </si>
  <si>
    <t>1、120宝物获取难度低，养成难度相对高，130获取难度高（例如抽奖方式获取），养成难度相对低，最终120也能养成到匹配130宝物的水平，付费也差不多</t>
    <phoneticPr fontId="1" type="noConversion"/>
  </si>
  <si>
    <t>设计思路</t>
    <phoneticPr fontId="1" type="noConversion"/>
  </si>
  <si>
    <t>1，由于第二赛季中武将基本已经完全二觉，所以精英野怪需求大大减少，所以盗宝贼可以完全占用精英野怪的行军令产出</t>
    <phoneticPr fontId="1" type="noConversion"/>
  </si>
  <si>
    <t>怪物等级</t>
    <phoneticPr fontId="1" type="noConversion"/>
  </si>
  <si>
    <t>预估分配比例</t>
    <phoneticPr fontId="1" type="noConversion"/>
  </si>
  <si>
    <t>行军令产出分配</t>
  </si>
  <si>
    <t>平均值</t>
    <phoneticPr fontId="1" type="noConversion"/>
  </si>
  <si>
    <t>上限</t>
    <phoneticPr fontId="1" type="noConversion"/>
  </si>
  <si>
    <t>倍率</t>
    <phoneticPr fontId="1" type="noConversion"/>
  </si>
  <si>
    <t>装备</t>
  </si>
  <si>
    <t>装备经验</t>
    <phoneticPr fontId="1" type="noConversion"/>
  </si>
  <si>
    <t>城建资源</t>
  </si>
  <si>
    <t>加速令</t>
    <phoneticPr fontId="1" type="noConversion"/>
  </si>
  <si>
    <t>银币</t>
  </si>
  <si>
    <t>武将经验</t>
  </si>
  <si>
    <t>总计</t>
    <phoneticPr fontId="1" type="noConversion"/>
  </si>
  <si>
    <t>藏宝图碎片</t>
  </si>
  <si>
    <t>藏宝图碎片</t>
    <phoneticPr fontId="1" type="noConversion"/>
  </si>
  <si>
    <t>武将经验</t>
    <phoneticPr fontId="1" type="noConversion"/>
  </si>
  <si>
    <t>文心</t>
    <phoneticPr fontId="1" type="noConversion"/>
  </si>
  <si>
    <t>累积获取行军令</t>
  </si>
  <si>
    <t>阶段获取行军令</t>
  </si>
  <si>
    <t>阶段产出蓝色文心</t>
    <phoneticPr fontId="1" type="noConversion"/>
  </si>
  <si>
    <t>累积产出蓝色文心</t>
  </si>
  <si>
    <t>阶段产出蓝色藏宝图碎片</t>
  </si>
  <si>
    <t>阶段产出紫色藏宝图碎片</t>
  </si>
  <si>
    <t>阶段产出橙色藏宝图碎片</t>
  </si>
  <si>
    <t>累积产出蓝色藏宝图碎片</t>
  </si>
  <si>
    <t>累积产出紫色藏宝图碎片</t>
  </si>
  <si>
    <t>累积产出橙色藏宝图碎片</t>
  </si>
  <si>
    <t>2，盗宝贼怪物设计参照精英野怪，分三种类型的盗宝贼，分别主要产出宝物（宝物碎片），文心（温养道具），藏宝图碎片（开启获得宝物），延用精英野怪的难度等级并扩增</t>
    <phoneticPr fontId="1" type="noConversion"/>
  </si>
  <si>
    <t>开服X天</t>
    <phoneticPr fontId="1" type="noConversion"/>
  </si>
  <si>
    <t>28天开始，每2周活跃活动投放2个职业橙色宝物</t>
    <phoneticPr fontId="1" type="noConversion"/>
  </si>
  <si>
    <t>42天开始，每4周付费活动投放1个职业橙+宝物+1个普通橙+宝物</t>
    <phoneticPr fontId="1" type="noConversion"/>
  </si>
  <si>
    <t>橙+</t>
  </si>
  <si>
    <t>橙+</t>
    <phoneticPr fontId="1" type="noConversion"/>
  </si>
  <si>
    <t>产出宝物阶段数量/天</t>
    <phoneticPr fontId="1" type="noConversion"/>
  </si>
  <si>
    <t>产出宝物累计数量/天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</si>
  <si>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</si>
  <si>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</si>
  <si>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</si>
  <si>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</si>
  <si>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藏宝图设计</t>
    <phoneticPr fontId="1" type="noConversion"/>
  </si>
  <si>
    <t>宝物蓝</t>
    <phoneticPr fontId="1" type="noConversion"/>
  </si>
  <si>
    <t>宝物紫</t>
    <phoneticPr fontId="1" type="noConversion"/>
  </si>
  <si>
    <t>宝物橙</t>
    <phoneticPr fontId="1" type="noConversion"/>
  </si>
  <si>
    <t>宝物橙+</t>
    <phoneticPr fontId="1" type="noConversion"/>
  </si>
  <si>
    <t>宝物品质</t>
    <phoneticPr fontId="1" type="noConversion"/>
  </si>
  <si>
    <t>钻石价值(宝箱)</t>
  </si>
  <si>
    <t>钻石价值(指定品质)</t>
  </si>
  <si>
    <t>钻石价值(指定卡)</t>
  </si>
  <si>
    <t>藏宝图价值</t>
    <phoneticPr fontId="1" type="noConversion"/>
  </si>
  <si>
    <t>藏宝图累积产出蓝色宝物</t>
    <phoneticPr fontId="1" type="noConversion"/>
  </si>
  <si>
    <t>藏宝图累积产出紫色宝物</t>
    <phoneticPr fontId="1" type="noConversion"/>
  </si>
  <si>
    <t>藏宝图累积产出橙色宝物</t>
    <phoneticPr fontId="1" type="noConversion"/>
  </si>
  <si>
    <t>累积产出宝物数量</t>
    <phoneticPr fontId="1" type="noConversion"/>
  </si>
  <si>
    <t>宝物星级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</si>
  <si>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</si>
  <si>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</si>
  <si>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</si>
  <si>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</si>
  <si>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</si>
  <si>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主力队伍使用宝物数量</t>
    <phoneticPr fontId="1" type="noConversion"/>
  </si>
  <si>
    <t>星级对应同名卡阶段消耗</t>
    <phoneticPr fontId="1" type="noConversion"/>
  </si>
  <si>
    <t>星级</t>
    <phoneticPr fontId="1" type="noConversion"/>
  </si>
  <si>
    <t>最大星级</t>
    <phoneticPr fontId="1" type="noConversion"/>
  </si>
  <si>
    <t>星级对应特性技能效用</t>
    <phoneticPr fontId="1" type="noConversion"/>
  </si>
  <si>
    <t>星级对应强化怒气（取满星）效用</t>
    <phoneticPr fontId="1" type="noConversion"/>
  </si>
  <si>
    <t>温养极限效用</t>
    <phoneticPr fontId="1" type="noConversion"/>
  </si>
  <si>
    <t>1，宝物鉴赏用于随机宝物的加成条目</t>
    <phoneticPr fontId="1" type="noConversion"/>
  </si>
  <si>
    <t>2，不同的宝物有不同的随机池</t>
    <phoneticPr fontId="1" type="noConversion"/>
  </si>
  <si>
    <t>3，品质越高的宝物加成条目数越多</t>
    <phoneticPr fontId="1" type="noConversion"/>
  </si>
  <si>
    <t>品质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</si>
  <si>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</si>
  <si>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</si>
  <si>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</si>
  <si>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</si>
  <si>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加成条目数</t>
    <phoneticPr fontId="1" type="noConversion"/>
  </si>
  <si>
    <t>橙+</t>
    <phoneticPr fontId="1" type="noConversion"/>
  </si>
  <si>
    <t>加成属性</t>
    <phoneticPr fontId="1" type="noConversion"/>
  </si>
  <si>
    <t>武将护甲</t>
    <phoneticPr fontId="1" type="noConversion"/>
  </si>
  <si>
    <t>武将暴击</t>
    <phoneticPr fontId="1" type="noConversion"/>
  </si>
  <si>
    <t>武将韧性</t>
    <phoneticPr fontId="1" type="noConversion"/>
  </si>
  <si>
    <t>武将命中</t>
    <phoneticPr fontId="1" type="noConversion"/>
  </si>
  <si>
    <t>武将闪避</t>
    <phoneticPr fontId="1" type="noConversion"/>
  </si>
  <si>
    <t>倾向</t>
    <phoneticPr fontId="1" type="noConversion"/>
  </si>
  <si>
    <t>宝物温养随机池子设计</t>
    <phoneticPr fontId="1" type="noConversion"/>
  </si>
  <si>
    <t>武将攻击%</t>
    <phoneticPr fontId="1" type="noConversion"/>
  </si>
  <si>
    <t>武将生命%</t>
    <phoneticPr fontId="1" type="noConversion"/>
  </si>
  <si>
    <t>宝物平均星级</t>
    <phoneticPr fontId="1" type="noConversion"/>
  </si>
  <si>
    <t>拥有宝物种类数量</t>
    <phoneticPr fontId="1" type="noConversion"/>
  </si>
  <si>
    <t>对应小r打野等级</t>
    <phoneticPr fontId="1" type="noConversion"/>
  </si>
  <si>
    <t>对应中r打野等级</t>
    <phoneticPr fontId="1" type="noConversion"/>
  </si>
  <si>
    <t>对应大r打野等级</t>
    <phoneticPr fontId="1" type="noConversion"/>
  </si>
  <si>
    <t>对应超r打野等级</t>
    <phoneticPr fontId="1" type="noConversion"/>
  </si>
  <si>
    <t>玩家阶段队伍实力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</si>
  <si>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</si>
  <si>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</si>
  <si>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</si>
  <si>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</si>
  <si>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</si>
  <si>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升星对应宝物技能效用</t>
    <phoneticPr fontId="1" type="noConversion"/>
  </si>
  <si>
    <t>星级对应宝物总效用</t>
    <phoneticPr fontId="1" type="noConversion"/>
  </si>
  <si>
    <t>效用均值</t>
    <phoneticPr fontId="1" type="noConversion"/>
  </si>
  <si>
    <t>非r</t>
  </si>
  <si>
    <t>小r</t>
  </si>
  <si>
    <t>中r</t>
  </si>
  <si>
    <t>大r</t>
  </si>
  <si>
    <t>超r</t>
  </si>
  <si>
    <t>定义等级对应宝物效用</t>
    <phoneticPr fontId="1" type="noConversion"/>
  </si>
  <si>
    <t>4、宝物系统35级开放</t>
    <phoneticPr fontId="1" type="noConversion"/>
  </si>
  <si>
    <t>武将攻击</t>
  </si>
  <si>
    <t>武将生命</t>
  </si>
  <si>
    <t>当前不支持武将携带宝物加士兵属性</t>
    <phoneticPr fontId="1" type="noConversion"/>
  </si>
  <si>
    <t>属性条数</t>
    <phoneticPr fontId="1" type="noConversion"/>
  </si>
  <si>
    <t>武力伤害</t>
    <phoneticPr fontId="1" type="noConversion"/>
  </si>
  <si>
    <t>武力免伤</t>
    <phoneticPr fontId="1" type="noConversion"/>
  </si>
  <si>
    <t>策略伤害</t>
    <phoneticPr fontId="1" type="noConversion"/>
  </si>
  <si>
    <t>策略免伤</t>
    <phoneticPr fontId="1" type="noConversion"/>
  </si>
  <si>
    <t>固定攻击</t>
    <phoneticPr fontId="1" type="noConversion"/>
  </si>
  <si>
    <t>固定生命</t>
    <phoneticPr fontId="1" type="noConversion"/>
  </si>
  <si>
    <t>输出池子</t>
    <phoneticPr fontId="1" type="noConversion"/>
  </si>
  <si>
    <t>防御池子</t>
    <phoneticPr fontId="1" type="noConversion"/>
  </si>
  <si>
    <t>暴击池子</t>
    <phoneticPr fontId="1" type="noConversion"/>
  </si>
  <si>
    <t>闪避池子</t>
    <phoneticPr fontId="1" type="noConversion"/>
  </si>
  <si>
    <t>武力池子</t>
    <phoneticPr fontId="1" type="noConversion"/>
  </si>
  <si>
    <t>策略池子</t>
    <phoneticPr fontId="1" type="noConversion"/>
  </si>
  <si>
    <t>基础池子</t>
    <phoneticPr fontId="1" type="noConversion"/>
  </si>
  <si>
    <t>属性分类</t>
    <phoneticPr fontId="1" type="noConversion"/>
  </si>
  <si>
    <t>编号</t>
    <phoneticPr fontId="1" type="noConversion"/>
  </si>
  <si>
    <t>属性编号</t>
    <phoneticPr fontId="1" type="noConversion"/>
  </si>
  <si>
    <t>品质对应极限属性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</si>
  <si>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</si>
  <si>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</si>
  <si>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</si>
  <si>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属性条数</t>
    <phoneticPr fontId="1" type="noConversion"/>
  </si>
  <si>
    <t>预估等级</t>
    <phoneticPr fontId="1" type="noConversion"/>
  </si>
  <si>
    <t>固定属性调用基础（三围）</t>
    <phoneticPr fontId="1" type="noConversion"/>
  </si>
  <si>
    <t>固定属性调用基础（攻血）</t>
    <phoneticPr fontId="1" type="noConversion"/>
  </si>
  <si>
    <t>特殊系数</t>
    <phoneticPr fontId="1" type="noConversion"/>
  </si>
  <si>
    <t>统率</t>
    <phoneticPr fontId="1" type="noConversion"/>
  </si>
  <si>
    <t>武力</t>
    <phoneticPr fontId="1" type="noConversion"/>
  </si>
  <si>
    <t>智力</t>
    <phoneticPr fontId="1" type="noConversion"/>
  </si>
  <si>
    <t>品质</t>
    <phoneticPr fontId="1" type="noConversion"/>
  </si>
  <si>
    <t>单次温养消耗文心数量</t>
    <phoneticPr fontId="1" type="noConversion"/>
  </si>
  <si>
    <t>一阶段属性提升几率</t>
    <phoneticPr fontId="1" type="noConversion"/>
  </si>
  <si>
    <t>一阶段属性不变几率</t>
    <phoneticPr fontId="1" type="noConversion"/>
  </si>
  <si>
    <t>一阶段属性下降几率</t>
    <phoneticPr fontId="1" type="noConversion"/>
  </si>
  <si>
    <t>二阶段属性提升几率</t>
  </si>
  <si>
    <t>二阶段属性不变几率</t>
  </si>
  <si>
    <t>二阶段属性下降几率</t>
  </si>
  <si>
    <t>三阶段属性提升几率</t>
  </si>
  <si>
    <t>三阶段属性不变几率</t>
  </si>
  <si>
    <t>三阶段属性下降几率</t>
  </si>
  <si>
    <t>一阶段属性提升比例谷值</t>
    <phoneticPr fontId="1" type="noConversion"/>
  </si>
  <si>
    <t>一阶段属性提升比例峰值</t>
    <phoneticPr fontId="1" type="noConversion"/>
  </si>
  <si>
    <t>一阶段属性下降比例谷值</t>
    <phoneticPr fontId="1" type="noConversion"/>
  </si>
  <si>
    <t>一阶段属性下降比例峰值</t>
    <phoneticPr fontId="1" type="noConversion"/>
  </si>
  <si>
    <t>二阶段属性提升比例谷值</t>
    <phoneticPr fontId="1" type="noConversion"/>
  </si>
  <si>
    <t>二阶段属性提升比例峰值</t>
    <phoneticPr fontId="1" type="noConversion"/>
  </si>
  <si>
    <t>二阶段属性下降比例谷值</t>
    <phoneticPr fontId="1" type="noConversion"/>
  </si>
  <si>
    <t>二阶段属性下降比例峰值</t>
    <phoneticPr fontId="1" type="noConversion"/>
  </si>
  <si>
    <t>三阶段属性提升比例谷值</t>
    <phoneticPr fontId="1" type="noConversion"/>
  </si>
  <si>
    <t>三阶段属性提升比例峰值</t>
    <phoneticPr fontId="1" type="noConversion"/>
  </si>
  <si>
    <t>三阶段属性下降比例谷值</t>
    <phoneticPr fontId="1" type="noConversion"/>
  </si>
  <si>
    <t>三阶段属性下降比例峰值</t>
    <phoneticPr fontId="1" type="noConversion"/>
  </si>
  <si>
    <t>温养分三个阶段，每到达阶段峰值自动进入下一个阶段，不同阶段的温养提升进度几率不一样</t>
    <phoneticPr fontId="1" type="noConversion"/>
  </si>
  <si>
    <t>一阶段属性峰值</t>
    <phoneticPr fontId="1" type="noConversion"/>
  </si>
  <si>
    <t>二阶段属性峰值</t>
    <phoneticPr fontId="1" type="noConversion"/>
  </si>
  <si>
    <t>三阶段属性峰值</t>
    <phoneticPr fontId="1" type="noConversion"/>
  </si>
  <si>
    <t>二阶段期望温养满次数</t>
    <phoneticPr fontId="1" type="noConversion"/>
  </si>
  <si>
    <t>二阶段期望消耗文心数量</t>
    <phoneticPr fontId="1" type="noConversion"/>
  </si>
  <si>
    <t>三阶段期望温养满次数</t>
    <phoneticPr fontId="1" type="noConversion"/>
  </si>
  <si>
    <t>三阶段期望消耗文心数量</t>
    <phoneticPr fontId="1" type="noConversion"/>
  </si>
  <si>
    <t>属性条数</t>
    <phoneticPr fontId="1" type="noConversion"/>
  </si>
  <si>
    <t>一阶段期望温养满次数</t>
  </si>
  <si>
    <t>一阶段期望消耗文心数量</t>
  </si>
  <si>
    <t>各r各品质养成进度预估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</si>
  <si>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</si>
  <si>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</si>
  <si>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</si>
  <si>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</si>
  <si>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</si>
  <si>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</si>
  <si>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</si>
  <si>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</si>
  <si>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</si>
  <si>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橙+</t>
    <phoneticPr fontId="1" type="noConversion"/>
  </si>
  <si>
    <t>等级</t>
    <phoneticPr fontId="1" type="noConversion"/>
  </si>
  <si>
    <t>定义等级对应玩家累积消耗文心</t>
    <phoneticPr fontId="1" type="noConversion"/>
  </si>
  <si>
    <t>玩家温养进度预估和升星进度保持一致</t>
    <phoneticPr fontId="1" type="noConversion"/>
  </si>
  <si>
    <t>定义等级对应玩家累积产出文心</t>
    <phoneticPr fontId="1" type="noConversion"/>
  </si>
  <si>
    <t>文心盗宝贼</t>
    <phoneticPr fontId="1" type="noConversion"/>
  </si>
  <si>
    <t>文心产出比例</t>
    <phoneticPr fontId="1" type="noConversion"/>
  </si>
  <si>
    <t>盗宝贼直接产出</t>
    <phoneticPr fontId="1" type="noConversion"/>
  </si>
  <si>
    <t>宝物活动投放节奏</t>
    <phoneticPr fontId="1" type="noConversion"/>
  </si>
  <si>
    <t>单次温养期望提升值</t>
    <phoneticPr fontId="1" type="noConversion"/>
  </si>
  <si>
    <t>$C$43:$C$63</t>
  </si>
  <si>
    <t>$C$69:$C$89</t>
  </si>
  <si>
    <t>$C$95:$C$115</t>
  </si>
  <si>
    <t>$C$121:$C$141</t>
  </si>
  <si>
    <t>宝物温养进度</t>
    <phoneticPr fontId="1" type="noConversion"/>
  </si>
  <si>
    <t>宝物温养数</t>
    <phoneticPr fontId="1" type="noConversion"/>
  </si>
  <si>
    <t>满星需求数量</t>
    <phoneticPr fontId="1" type="noConversion"/>
  </si>
  <si>
    <t>满星消耗价值</t>
    <phoneticPr fontId="1" type="noConversion"/>
  </si>
  <si>
    <t>出售价格（刀币）</t>
    <phoneticPr fontId="1" type="noConversion"/>
  </si>
  <si>
    <t>带兵数</t>
    <phoneticPr fontId="1" type="noConversion"/>
  </si>
  <si>
    <t>带兵数</t>
    <phoneticPr fontId="1" type="noConversion"/>
  </si>
  <si>
    <t>攻城值</t>
    <phoneticPr fontId="1" type="noConversion"/>
  </si>
  <si>
    <t>攻城值</t>
    <phoneticPr fontId="1" type="noConversion"/>
  </si>
  <si>
    <t>星级对应实力</t>
    <phoneticPr fontId="1" type="noConversion"/>
  </si>
  <si>
    <t>橙专属</t>
    <phoneticPr fontId="1" type="noConversion"/>
  </si>
  <si>
    <t>橙+专属</t>
    <phoneticPr fontId="1" type="noConversion"/>
  </si>
  <si>
    <t>战法累计评分</t>
    <phoneticPr fontId="1" type="noConversion"/>
  </si>
  <si>
    <t>宝物实力</t>
    <phoneticPr fontId="1" type="noConversion"/>
  </si>
  <si>
    <t>产销比</t>
    <phoneticPr fontId="1" type="noConversion"/>
  </si>
  <si>
    <t>野怪等级对应定义等级</t>
    <phoneticPr fontId="1" type="noConversion"/>
  </si>
  <si>
    <t>定义等级</t>
    <phoneticPr fontId="1" type="noConversion"/>
  </si>
  <si>
    <t>权重</t>
    <phoneticPr fontId="1" type="noConversion"/>
  </si>
  <si>
    <t>功能名</t>
    <phoneticPr fontId="1" type="noConversion"/>
  </si>
  <si>
    <t>合并掉落</t>
    <phoneticPr fontId="1" type="noConversion"/>
  </si>
  <si>
    <t>主要</t>
    <phoneticPr fontId="1" type="noConversion"/>
  </si>
  <si>
    <t>次要</t>
    <phoneticPr fontId="1" type="noConversion"/>
  </si>
  <si>
    <t>补充1</t>
    <phoneticPr fontId="1" type="noConversion"/>
  </si>
  <si>
    <t>补充2</t>
  </si>
  <si>
    <t>补充3</t>
  </si>
  <si>
    <t>每日行为占比</t>
    <phoneticPr fontId="1" type="noConversion"/>
  </si>
  <si>
    <t>每次消耗行军令</t>
  </si>
  <si>
    <t>预估每日完成次数</t>
    <phoneticPr fontId="1" type="noConversion"/>
  </si>
  <si>
    <t>城建资源</t>
    <phoneticPr fontId="1" type="noConversion"/>
  </si>
  <si>
    <t>银币</t>
    <phoneticPr fontId="1" type="noConversion"/>
  </si>
  <si>
    <t>3，攻打盗宝贼消耗行军令数量=</t>
    <phoneticPr fontId="1" type="noConversion"/>
  </si>
  <si>
    <t>4，合成一张藏宝图需要碎片数量=</t>
    <phoneticPr fontId="1" type="noConversion"/>
  </si>
  <si>
    <t>盗宝贼</t>
    <phoneticPr fontId="1" type="noConversion"/>
  </si>
  <si>
    <t>这里与经济表中一致</t>
    <phoneticPr fontId="1" type="noConversion"/>
  </si>
  <si>
    <t>替代精英怪的占比</t>
    <phoneticPr fontId="1" type="noConversion"/>
  </si>
  <si>
    <t>产出文心数量/每个行军令</t>
    <phoneticPr fontId="1" type="noConversion"/>
  </si>
  <si>
    <t>随机宝物价值</t>
    <phoneticPr fontId="1" type="noConversion"/>
  </si>
  <si>
    <t>累计付费金额</t>
    <phoneticPr fontId="1" type="noConversion"/>
  </si>
  <si>
    <t>宝箱总价值</t>
    <phoneticPr fontId="1" type="noConversion"/>
  </si>
  <si>
    <t>产出概率</t>
    <phoneticPr fontId="1" type="noConversion"/>
  </si>
  <si>
    <t>限时转盘获取累计数量</t>
    <phoneticPr fontId="1" type="noConversion"/>
  </si>
  <si>
    <t>转盘付费占总花费比例</t>
    <phoneticPr fontId="1" type="noConversion"/>
  </si>
  <si>
    <t>限时抽占比</t>
    <phoneticPr fontId="1" type="noConversion"/>
  </si>
  <si>
    <t>产出数量</t>
    <phoneticPr fontId="1" type="noConversion"/>
  </si>
  <si>
    <t>非r返利</t>
    <phoneticPr fontId="1" type="noConversion"/>
  </si>
  <si>
    <t>小r返利</t>
    <phoneticPr fontId="1" type="noConversion"/>
  </si>
  <si>
    <t>中r返利</t>
    <phoneticPr fontId="1" type="noConversion"/>
  </si>
  <si>
    <t>大r返利</t>
    <phoneticPr fontId="1" type="noConversion"/>
  </si>
  <si>
    <t>超r返利</t>
    <phoneticPr fontId="1" type="noConversion"/>
  </si>
  <si>
    <t>宝箱价格</t>
    <phoneticPr fontId="1" type="noConversion"/>
  </si>
  <si>
    <t>主力使用宝物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</si>
</sst>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000_);[Red]\(0.000000\)"/>
    <numFmt numFmtId="178" formatCode="0.00_);[Red]\(0.00\)"/>
    <numFmt numFmtId="179" formatCode="0_);[Red]\(0\)"/>
  </numFmts>
  <fonts count="1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2"/>
    </font>
    <font>
      <sz val="11"/>
      <color theme="1"/>
      <name val="宋体"/>
      <family val="2"/>
      <scheme val="minor"/>
    </font>
    <font>
      <sz val="9"/>
      <color theme="0" tint="-0.3499862666707357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indexed="8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>
      <alignment vertical="center"/>
    </xf>
  </cellStyleXfs>
  <cellXfs count="162">
    <xf numFmtId="0" fontId="0" fillId="0" borderId="0" xfId="0"/>
    <xf numFmtId="0" fontId="4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9" fontId="4" fillId="0" borderId="0" xfId="0" applyNumberFormat="1" applyFont="1" applyAlignment="1">
      <alignment horizontal="center"/>
    </xf>
    <xf numFmtId="0" fontId="4" fillId="0" borderId="0" xfId="0" applyFont="1"/>
    <xf numFmtId="0" fontId="5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1" xfId="0" applyFont="1" applyBorder="1" applyAlignment="1"/>
    <xf numFmtId="0" fontId="5" fillId="2" borderId="0" xfId="0" applyFont="1" applyFill="1" applyAlignment="1">
      <alignment horizontal="center"/>
    </xf>
    <xf numFmtId="0" fontId="5" fillId="0" borderId="0" xfId="0" applyFont="1"/>
    <xf numFmtId="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9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176" fontId="4" fillId="0" borderId="0" xfId="1" applyNumberFormat="1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5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9" fontId="4" fillId="0" borderId="0" xfId="0" applyNumberFormat="1" applyFont="1" applyAlignment="1">
      <alignment vertical="center"/>
    </xf>
    <xf numFmtId="10" fontId="4" fillId="0" borderId="1" xfId="0" applyNumberFormat="1" applyFont="1" applyBorder="1" applyAlignment="1">
      <alignment horizontal="center" vertical="center"/>
    </xf>
    <xf numFmtId="0" fontId="4" fillId="2" borderId="0" xfId="0" applyFont="1" applyFill="1"/>
    <xf numFmtId="0" fontId="1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4" fillId="0" borderId="1" xfId="0" applyFont="1" applyBorder="1"/>
    <xf numFmtId="0" fontId="4" fillId="3" borderId="1" xfId="0" applyFont="1" applyFill="1" applyBorder="1"/>
    <xf numFmtId="0" fontId="10" fillId="0" borderId="0" xfId="0" applyFont="1" applyAlignment="1">
      <alignment horizontal="left" vertical="center"/>
    </xf>
    <xf numFmtId="10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0" fontId="4" fillId="0" borderId="0" xfId="0" applyNumberFormat="1" applyFont="1" applyBorder="1" applyAlignment="1">
      <alignment horizontal="center" vertical="center"/>
    </xf>
    <xf numFmtId="10" fontId="4" fillId="0" borderId="12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10" fontId="4" fillId="0" borderId="14" xfId="0" applyNumberFormat="1" applyFont="1" applyBorder="1" applyAlignment="1">
      <alignment horizontal="center" vertical="center"/>
    </xf>
    <xf numFmtId="10" fontId="4" fillId="0" borderId="15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0" fontId="4" fillId="0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4" fillId="3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4" fillId="0" borderId="1" xfId="0" applyFont="1" applyBorder="1" applyAlignment="1">
      <alignment horizontal="center" vertical="center"/>
    </xf>
    <xf numFmtId="9" fontId="4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179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176" fontId="4" fillId="6" borderId="0" xfId="1" applyNumberFormat="1" applyFont="1" applyFill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6" fillId="0" borderId="0" xfId="0" applyFont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shrinkToFit="1"/>
    </xf>
    <xf numFmtId="178" fontId="4" fillId="0" borderId="1" xfId="0" applyNumberFormat="1" applyFont="1" applyBorder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78" fontId="4" fillId="3" borderId="1" xfId="0" applyNumberFormat="1" applyFont="1" applyFill="1" applyBorder="1" applyAlignment="1">
      <alignment horizontal="center" vertical="center"/>
    </xf>
    <xf numFmtId="178" fontId="4" fillId="0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353.76530000000002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21.162715484042053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</row>
        <row r="94">
          <cell r="N94">
            <v>101</v>
          </cell>
          <cell r="P94">
            <v>547.74801281858208</v>
          </cell>
          <cell r="Q94">
            <v>469.42004698552483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31.288646985524792</v>
          </cell>
          <cell r="Y94">
            <v>24.67380205635834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158.23249381591074</v>
          </cell>
          <cell r="W95">
            <v>39.385544939899319</v>
          </cell>
          <cell r="X95">
            <v>32.872711676855999</v>
          </cell>
          <cell r="Y95">
            <v>26.683052796993763</v>
          </cell>
          <cell r="Z95">
            <v>18.956338803053598</v>
          </cell>
          <cell r="AA95">
            <v>10.340530354893559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</row>
        <row r="96">
          <cell r="N96">
            <v>103</v>
          </cell>
          <cell r="P96">
            <v>629.34593963259704</v>
          </cell>
          <cell r="Q96">
            <v>538.1537129798337</v>
          </cell>
          <cell r="R96">
            <v>433.68228700082267</v>
          </cell>
          <cell r="S96">
            <v>312.34438983965794</v>
          </cell>
          <cell r="T96">
            <v>168.664711821536</v>
          </cell>
          <cell r="W96">
            <v>42.212381874115636</v>
          </cell>
          <cell r="X96">
            <v>35.860954317452865</v>
          </cell>
          <cell r="Y96">
            <v>28.56013214747054</v>
          </cell>
          <cell r="Z96">
            <v>20.773865056796069</v>
          </cell>
          <cell r="AA96">
            <v>10.432218005625259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</row>
        <row r="97">
          <cell r="N97">
            <v>104</v>
          </cell>
          <cell r="P97">
            <v>674.58805031572183</v>
          </cell>
          <cell r="Q97">
            <v>576.57040660484745</v>
          </cell>
          <cell r="R97">
            <v>464.31895503231135</v>
          </cell>
          <cell r="S97">
            <v>332.97666163584029</v>
          </cell>
          <cell r="T97">
            <v>179.77771540913989</v>
          </cell>
          <cell r="W97">
            <v>45.242110683124793</v>
          </cell>
          <cell r="X97">
            <v>38.41669362501375</v>
          </cell>
          <cell r="Y97">
            <v>30.636668031488682</v>
          </cell>
          <cell r="Z97">
            <v>20.632271796182351</v>
          </cell>
          <cell r="AA97">
            <v>11.113003587603885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</row>
        <row r="98">
          <cell r="N98">
            <v>105</v>
          </cell>
          <cell r="P98">
            <v>723.0773439350246</v>
          </cell>
          <cell r="Q98">
            <v>618.44805226762651</v>
          </cell>
          <cell r="R98">
            <v>496.24798114260739</v>
          </cell>
          <cell r="S98">
            <v>355.68174548163859</v>
          </cell>
          <cell r="T98">
            <v>192.70011215868408</v>
          </cell>
          <cell r="W98">
            <v>48.489293619302771</v>
          </cell>
          <cell r="X98">
            <v>41.877645662779059</v>
          </cell>
          <cell r="Y98">
            <v>31.929026110296036</v>
          </cell>
          <cell r="Z98">
            <v>22.705083845798299</v>
          </cell>
          <cell r="AA98">
            <v>12.922396749544191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529.6670391952415</v>
          </cell>
          <cell r="S99">
            <v>380.3930097117713</v>
          </cell>
          <cell r="T99">
            <v>206.5499940672108</v>
          </cell>
          <cell r="W99">
            <v>51.96953811829917</v>
          </cell>
          <cell r="X99">
            <v>42.589433435653291</v>
          </cell>
          <cell r="Y99">
            <v>33.419058052634114</v>
          </cell>
          <cell r="Z99">
            <v>24.711264230132713</v>
          </cell>
          <cell r="AA99">
            <v>13.849881908526726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</row>
        <row r="100">
          <cell r="N100">
            <v>107</v>
          </cell>
          <cell r="P100">
            <v>830.74645386878444</v>
          </cell>
          <cell r="Q100">
            <v>707.38060546926999</v>
          </cell>
          <cell r="R100">
            <v>568.64594767318295</v>
          </cell>
          <cell r="S100">
            <v>409.14262853037633</v>
          </cell>
          <cell r="T100">
            <v>222.64004963683425</v>
          </cell>
          <cell r="W100">
            <v>55.699571815460672</v>
          </cell>
          <cell r="X100">
            <v>46.343119765990195</v>
          </cell>
          <cell r="Y100">
            <v>38.978908477941445</v>
          </cell>
          <cell r="Z100">
            <v>28.749618818605029</v>
          </cell>
          <cell r="AA100">
            <v>16.090055569623445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</row>
        <row r="101">
          <cell r="N101">
            <v>108</v>
          </cell>
          <cell r="P101">
            <v>890.4437768152311</v>
          </cell>
          <cell r="Q101">
            <v>759.6375860010736</v>
          </cell>
          <cell r="R101">
            <v>612.26914093815287</v>
          </cell>
          <cell r="S101">
            <v>441.21489141194701</v>
          </cell>
          <cell r="T101">
            <v>240.41981974011242</v>
          </cell>
          <cell r="W101">
            <v>59.697322946446661</v>
          </cell>
          <cell r="X101">
            <v>52.256980531803606</v>
          </cell>
          <cell r="Y101">
            <v>43.623193264969927</v>
          </cell>
          <cell r="Z101">
            <v>32.07226288157068</v>
          </cell>
          <cell r="AA101">
            <v>17.779770103278167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</row>
        <row r="102">
          <cell r="N102">
            <v>109</v>
          </cell>
          <cell r="P102">
            <v>954.42578333369079</v>
          </cell>
          <cell r="Q102">
            <v>815.74771701530551</v>
          </cell>
          <cell r="R102">
            <v>658.26746276524648</v>
          </cell>
          <cell r="S102">
            <v>475.39948267851139</v>
          </cell>
          <cell r="T102">
            <v>257.2177486084297</v>
          </cell>
          <cell r="W102">
            <v>63.982006518459684</v>
          </cell>
          <cell r="X102">
            <v>56.110131014231911</v>
          </cell>
          <cell r="Y102">
            <v>45.998321827093605</v>
          </cell>
          <cell r="Z102">
            <v>34.184591266564382</v>
          </cell>
          <cell r="AA102">
            <v>16.797928868317285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</row>
        <row r="103">
          <cell r="N103">
            <v>110</v>
          </cell>
          <cell r="P103">
            <v>1023</v>
          </cell>
          <cell r="Q103">
            <v>874.97189999999989</v>
          </cell>
          <cell r="R103">
            <v>706.6884</v>
          </cell>
          <cell r="S103">
            <v>508.22640000000001</v>
          </cell>
          <cell r="T103">
            <v>274.16400000000004</v>
          </cell>
          <cell r="W103">
            <v>68.574216666309212</v>
          </cell>
          <cell r="X103">
            <v>59.22418298469438</v>
          </cell>
          <cell r="Y103">
            <v>48.420937234753524</v>
          </cell>
          <cell r="Z103">
            <v>32.826917321488622</v>
          </cell>
          <cell r="AA103">
            <v>16.946251391570343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</row>
        <row r="104">
          <cell r="N104">
            <v>111</v>
          </cell>
          <cell r="P104">
            <v>1096.4960256371633</v>
          </cell>
          <cell r="Q104">
            <v>939.58744436848519</v>
          </cell>
          <cell r="R104">
            <v>756.47260808707892</v>
          </cell>
          <cell r="S104">
            <v>541.34008785706749</v>
          </cell>
          <cell r="T104">
            <v>292.76443884512258</v>
          </cell>
          <cell r="W104">
            <v>73.496025637163257</v>
          </cell>
          <cell r="X104">
            <v>64.615544368485303</v>
          </cell>
          <cell r="Y104">
            <v>49.784208087078923</v>
          </cell>
          <cell r="Z104">
            <v>33.113687857067475</v>
          </cell>
          <cell r="AA104">
            <v>18.60043884512254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577.05615371882868</v>
          </cell>
          <cell r="T105">
            <v>312.62105272751211</v>
          </cell>
          <cell r="W105">
            <v>78.771089879799547</v>
          </cell>
          <cell r="X105">
            <v>64.678305840759549</v>
          </cell>
          <cell r="Y105">
            <v>49.760633157557663</v>
          </cell>
          <cell r="Z105">
            <v>35.716065861761194</v>
          </cell>
          <cell r="AA105">
            <v>19.856613882389524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860.49552272605433</v>
          </cell>
          <cell r="S106">
            <v>618.00483596750428</v>
          </cell>
          <cell r="T106">
            <v>335.07803988454168</v>
          </cell>
          <cell r="W106">
            <v>84.424763748231499</v>
          </cell>
          <cell r="X106">
            <v>69.11770011262729</v>
          </cell>
          <cell r="Y106">
            <v>54.262281481417745</v>
          </cell>
          <cell r="Z106">
            <v>40.948682248675595</v>
          </cell>
          <cell r="AA106">
            <v>22.456987157029573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</row>
        <row r="107">
          <cell r="N107">
            <v>114</v>
          </cell>
          <cell r="P107">
            <v>1350.1761006314437</v>
          </cell>
          <cell r="Q107">
            <v>1149.9449849078005</v>
          </cell>
          <cell r="R107">
            <v>925.14066415266529</v>
          </cell>
          <cell r="S107">
            <v>664.55667673079665</v>
          </cell>
          <cell r="T107">
            <v>360.49701886859549</v>
          </cell>
          <cell r="W107">
            <v>90.484221366249358</v>
          </cell>
          <cell r="X107">
            <v>76.561534585928484</v>
          </cell>
          <cell r="Y107">
            <v>64.645141426610962</v>
          </cell>
          <cell r="Z107">
            <v>46.551840763292375</v>
          </cell>
          <cell r="AA107">
            <v>25.418978984053808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714.74970033901741</v>
          </cell>
          <cell r="T108">
            <v>386.39030166130323</v>
          </cell>
          <cell r="W108">
            <v>96.978587238605769</v>
          </cell>
          <cell r="X108">
            <v>84.912110251712647</v>
          </cell>
          <cell r="Y108">
            <v>68.041598132549666</v>
          </cell>
          <cell r="Z108">
            <v>50.193023608220756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764.999444457398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50.24974411838059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1142.9638740695787</v>
          </cell>
          <cell r="S110">
            <v>817.11526415301512</v>
          </cell>
          <cell r="T110">
            <v>439.89562338736073</v>
          </cell>
          <cell r="W110">
            <v>111.39914363092248</v>
          </cell>
          <cell r="X110">
            <v>94.458731583349845</v>
          </cell>
          <cell r="Y110">
            <v>78.293114386776551</v>
          </cell>
          <cell r="Z110">
            <v>52.11581969561712</v>
          </cell>
          <cell r="AA110">
            <v>27.304682134992788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</row>
        <row r="111">
          <cell r="N111">
            <v>118</v>
          </cell>
          <cell r="P111">
            <v>1781.8875536304624</v>
          </cell>
          <cell r="Q111">
            <v>1521.9101595557779</v>
          </cell>
          <cell r="R111">
            <v>1218.0983316617842</v>
          </cell>
          <cell r="S111">
            <v>870.98663621457001</v>
          </cell>
          <cell r="T111">
            <v>470.41831415844212</v>
          </cell>
          <cell r="W111">
            <v>119.39464589289355</v>
          </cell>
          <cell r="X111">
            <v>102.97246280176273</v>
          </cell>
          <cell r="Y111">
            <v>75.134457592205536</v>
          </cell>
          <cell r="Z111">
            <v>53.871372061554894</v>
          </cell>
          <cell r="AA111">
            <v>30.522690771081386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1300.0359614304869</v>
          </cell>
          <cell r="S112">
            <v>930.28869812368168</v>
          </cell>
          <cell r="T112">
            <v>503.05490266018842</v>
          </cell>
          <cell r="W112">
            <v>127.96401303691937</v>
          </cell>
          <cell r="X112">
            <v>102.8005682081639</v>
          </cell>
          <cell r="Y112">
            <v>81.937629768702664</v>
          </cell>
          <cell r="Z112">
            <v>59.302061909111671</v>
          </cell>
          <cell r="AA112">
            <v>32.636588501746303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</row>
        <row r="113">
          <cell r="N113">
            <v>120</v>
          </cell>
          <cell r="P113">
            <v>2047</v>
          </cell>
          <cell r="Q113">
            <v>1740.5640999999998</v>
          </cell>
          <cell r="R113">
            <v>1395.6445999999999</v>
          </cell>
          <cell r="S113">
            <v>999.75480000000005</v>
          </cell>
          <cell r="T113">
            <v>541.22680000000003</v>
          </cell>
          <cell r="W113">
            <v>137.1484333326182</v>
          </cell>
          <cell r="X113">
            <v>115.85337223605802</v>
          </cell>
          <cell r="Y113">
            <v>95.608638569513005</v>
          </cell>
          <cell r="Z113">
            <v>69.466101876318362</v>
          </cell>
          <cell r="AA113">
            <v>38.171897339811608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583.60188563897088</v>
          </cell>
          <cell r="W114">
            <v>146.99205127432651</v>
          </cell>
          <cell r="X114">
            <v>128.49772848059888</v>
          </cell>
          <cell r="Y114">
            <v>104.82656386651183</v>
          </cell>
          <cell r="Z114">
            <v>76.83709956031214</v>
          </cell>
          <cell r="AA114">
            <v>42.375085638970859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39.554685585019456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</row>
        <row r="116">
          <cell r="N116">
            <v>123</v>
          </cell>
          <cell r="P116">
            <v>2520.3837585303886</v>
          </cell>
          <cell r="Q116">
            <v>2150.1393844022746</v>
          </cell>
          <cell r="R116">
            <v>1727.7230664725814</v>
          </cell>
          <cell r="S116">
            <v>1235.7441568074496</v>
          </cell>
          <cell r="T116">
            <v>664.12112037275745</v>
          </cell>
          <cell r="W116">
            <v>168.849527496463</v>
          </cell>
          <cell r="X116">
            <v>145.45645244585285</v>
          </cell>
          <cell r="Y116">
            <v>118.33303875296269</v>
          </cell>
          <cell r="Z116">
            <v>80.435389100481871</v>
          </cell>
          <cell r="AA116">
            <v>40.964549148767105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</row>
        <row r="117">
          <cell r="N117">
            <v>124</v>
          </cell>
          <cell r="P117">
            <v>2701.3522012628878</v>
          </cell>
          <cell r="Q117">
            <v>2306.1443742181273</v>
          </cell>
          <cell r="R117">
            <v>1846.3742295631837</v>
          </cell>
          <cell r="S117">
            <v>1317.1793333357841</v>
          </cell>
          <cell r="T117">
            <v>708.83481761138182</v>
          </cell>
          <cell r="W117">
            <v>180.96844273249917</v>
          </cell>
          <cell r="X117">
            <v>156.0049898158527</v>
          </cell>
          <cell r="Y117">
            <v>118.65116309060227</v>
          </cell>
          <cell r="Z117">
            <v>81.435176528334523</v>
          </cell>
          <cell r="AA117">
            <v>44.713697238624377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</row>
        <row r="118">
          <cell r="N118">
            <v>125</v>
          </cell>
          <cell r="P118">
            <v>2895.3093757400989</v>
          </cell>
          <cell r="Q118">
            <v>2461.8815621918061</v>
          </cell>
          <cell r="R118">
            <v>1967.6522517529711</v>
          </cell>
          <cell r="S118">
            <v>1404.8041091090961</v>
          </cell>
          <cell r="T118">
            <v>756.54433988088772</v>
          </cell>
          <cell r="W118">
            <v>193.95717447721108</v>
          </cell>
          <cell r="X118">
            <v>155.73718797367883</v>
          </cell>
          <cell r="Y118">
            <v>121.27802218978741</v>
          </cell>
          <cell r="Z118">
            <v>87.624775773311967</v>
          </cell>
          <cell r="AA118">
            <v>47.709522269505896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</row>
        <row r="119">
          <cell r="N119">
            <v>126</v>
          </cell>
          <cell r="P119">
            <v>3103.1875282132928</v>
          </cell>
          <cell r="Q119">
            <v>2634.2958927002642</v>
          </cell>
          <cell r="R119">
            <v>2106.4436941511831</v>
          </cell>
          <cell r="S119">
            <v>1506.5975449475536</v>
          </cell>
          <cell r="T119">
            <v>811.48353862777606</v>
          </cell>
          <cell r="W119">
            <v>207.87815247319395</v>
          </cell>
          <cell r="X119">
            <v>172.41433050845808</v>
          </cell>
          <cell r="Y119">
            <v>138.79144239821198</v>
          </cell>
          <cell r="Z119">
            <v>101.79343583845753</v>
          </cell>
          <cell r="AA119">
            <v>54.939198746888337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</row>
        <row r="120">
          <cell r="N120">
            <v>127</v>
          </cell>
          <cell r="P120">
            <v>3325.985815475135</v>
          </cell>
          <cell r="Q120">
            <v>2825.4249502461275</v>
          </cell>
          <cell r="R120">
            <v>2260.0073616153541</v>
          </cell>
          <cell r="S120">
            <v>1618.0920992286531</v>
          </cell>
          <cell r="T120">
            <v>872.40607939912786</v>
          </cell>
          <cell r="W120">
            <v>222.79828726184223</v>
          </cell>
          <cell r="X120">
            <v>191.12905754586336</v>
          </cell>
          <cell r="Y120">
            <v>153.56366746417098</v>
          </cell>
          <cell r="Z120">
            <v>111.49455428109945</v>
          </cell>
          <cell r="AA120">
            <v>60.922540771351805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1738.8972973218808</v>
          </cell>
          <cell r="T121">
            <v>936.10994316671975</v>
          </cell>
          <cell r="W121">
            <v>238.78929178579301</v>
          </cell>
          <cell r="X121">
            <v>204.99036843638714</v>
          </cell>
          <cell r="Y121">
            <v>166.17857638643363</v>
          </cell>
          <cell r="Z121">
            <v>120.80519809322777</v>
          </cell>
          <cell r="AA121">
            <v>63.703863767591884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1864.8851993806979</v>
          </cell>
          <cell r="T122">
            <v>998.73179905370728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125.9879020588171</v>
          </cell>
          <cell r="AA122">
            <v>62.621855886987532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1987.713</v>
          </cell>
          <cell r="T123">
            <v>1066.3380000000002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122.82780061930202</v>
          </cell>
          <cell r="AA123">
            <v>67.606200946292915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2975.2923231177347</v>
          </cell>
          <cell r="S124">
            <v>2118.5626263002373</v>
          </cell>
          <cell r="T124">
            <v>1139.8191714318864</v>
          </cell>
          <cell r="W124">
            <v>293.98410254865757</v>
          </cell>
          <cell r="X124">
            <v>245.44078398686861</v>
          </cell>
          <cell r="Y124">
            <v>183.32132311773466</v>
          </cell>
          <cell r="Z124">
            <v>130.84962630023733</v>
          </cell>
          <cell r="AA124">
            <v>73.481171431886196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</row>
        <row r="125">
          <cell r="N125">
            <v>132</v>
          </cell>
          <cell r="P125">
            <v>4704.0684620678521</v>
          </cell>
          <cell r="Q125">
            <v>3986.6980216025049</v>
          </cell>
          <cell r="R125">
            <v>3179.9502803578685</v>
          </cell>
          <cell r="S125">
            <v>2267.3609987167047</v>
          </cell>
          <cell r="T125">
            <v>1221.1761727528144</v>
          </cell>
          <cell r="W125">
            <v>315.08435951919455</v>
          </cell>
          <cell r="X125">
            <v>255.18373761563635</v>
          </cell>
          <cell r="Y125">
            <v>204.65795724013378</v>
          </cell>
          <cell r="Z125">
            <v>148.79837241646737</v>
          </cell>
          <cell r="AA125">
            <v>81.357001320928021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</row>
        <row r="126">
          <cell r="N126">
            <v>133</v>
          </cell>
          <cell r="P126">
            <v>5041.7675170607781</v>
          </cell>
          <cell r="Q126">
            <v>4270.8812637021847</v>
          </cell>
          <cell r="R126">
            <v>3414.7891393052651</v>
          </cell>
          <cell r="S126">
            <v>2441.7280085125349</v>
          </cell>
          <cell r="T126">
            <v>1313.3804381943328</v>
          </cell>
          <cell r="W126">
            <v>337.69905499292599</v>
          </cell>
          <cell r="X126">
            <v>284.18324209967977</v>
          </cell>
          <cell r="Y126">
            <v>234.8388589473966</v>
          </cell>
          <cell r="Z126">
            <v>174.3670097958302</v>
          </cell>
          <cell r="AA126">
            <v>92.204265441518373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3670.1960301955037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320.64636712396259</v>
          </cell>
          <cell r="Y127">
            <v>255.40689089023863</v>
          </cell>
          <cell r="Z127">
            <v>182.31084935397939</v>
          </cell>
          <cell r="AA127">
            <v>102.39011526741933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2819.9391700957085</v>
          </cell>
          <cell r="T128">
            <v>1508.7166847605918</v>
          </cell>
          <cell r="W128">
            <v>387.91434895442762</v>
          </cell>
          <cell r="X128">
            <v>327.29417480598568</v>
          </cell>
          <cell r="Y128">
            <v>269.84220643647541</v>
          </cell>
          <cell r="Z128">
            <v>195.90031222919424</v>
          </cell>
          <cell r="AA128">
            <v>92.946131298839646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</row>
        <row r="129">
          <cell r="N129">
            <v>136</v>
          </cell>
          <cell r="P129">
            <v>6207.3750564265865</v>
          </cell>
          <cell r="Q129">
            <v>5281.855435513382</v>
          </cell>
          <cell r="R129">
            <v>4229.7053634490758</v>
          </cell>
          <cell r="S129">
            <v>3005.6110023217534</v>
          </cell>
          <cell r="T129">
            <v>1607.710139614486</v>
          </cell>
          <cell r="W129">
            <v>415.7563049463879</v>
          </cell>
          <cell r="X129">
            <v>363.033629881249</v>
          </cell>
          <cell r="Y129">
            <v>289.66712681709669</v>
          </cell>
          <cell r="Z129">
            <v>185.6718322260449</v>
          </cell>
          <cell r="AA129">
            <v>98.993454853894264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4507.3882799688081</v>
          </cell>
          <cell r="S130">
            <v>3196.752868671605</v>
          </cell>
          <cell r="T130">
            <v>1713.1401949696949</v>
          </cell>
          <cell r="W130">
            <v>445.59657452368447</v>
          </cell>
          <cell r="X130">
            <v>376.49693660982393</v>
          </cell>
          <cell r="Y130">
            <v>277.68291651973232</v>
          </cell>
          <cell r="Z130">
            <v>191.14186634985163</v>
          </cell>
          <cell r="AA130">
            <v>105.43005535520888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</row>
        <row r="131">
          <cell r="N131">
            <v>138</v>
          </cell>
          <cell r="P131">
            <v>7130.5502145218443</v>
          </cell>
          <cell r="Q131">
            <v>6033.1585365069323</v>
          </cell>
          <cell r="R131">
            <v>4796.0080742873924</v>
          </cell>
          <cell r="S131">
            <v>3409.1160575628937</v>
          </cell>
          <cell r="T131">
            <v>1828.9861300248531</v>
          </cell>
          <cell r="W131">
            <v>477.57858357157329</v>
          </cell>
          <cell r="X131">
            <v>374.80616438372635</v>
          </cell>
          <cell r="Y131">
            <v>288.61979431858435</v>
          </cell>
          <cell r="Z131">
            <v>212.3631888912887</v>
          </cell>
          <cell r="AA131">
            <v>115.84593505515818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</row>
        <row r="132">
          <cell r="N132">
            <v>139</v>
          </cell>
          <cell r="P132">
            <v>7642.4062666695281</v>
          </cell>
          <cell r="Q132">
            <v>6463.18297972242</v>
          </cell>
          <cell r="R132">
            <v>5148.6891018552606</v>
          </cell>
          <cell r="S132">
            <v>3666.0622861213728</v>
          </cell>
          <cell r="T132">
            <v>1967.9196136674036</v>
          </cell>
          <cell r="W132">
            <v>511.85605214768384</v>
          </cell>
          <cell r="X132">
            <v>430.02444321548774</v>
          </cell>
          <cell r="Y132">
            <v>352.68102756786811</v>
          </cell>
          <cell r="Z132">
            <v>256.94622855847911</v>
          </cell>
          <cell r="AA132">
            <v>138.93348364255053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</row>
        <row r="133">
          <cell r="N133">
            <v>140</v>
          </cell>
          <cell r="P133">
            <v>8191</v>
          </cell>
          <cell r="Q133">
            <v>6940.2343000000001</v>
          </cell>
          <cell r="R133">
            <v>5535.4777999999997</v>
          </cell>
          <cell r="S133">
            <v>3951.3384000000001</v>
          </cell>
          <cell r="T133">
            <v>2123.1071999999999</v>
          </cell>
          <cell r="W133">
            <v>548.59373333047188</v>
          </cell>
          <cell r="X133">
            <v>477.05132027758009</v>
          </cell>
          <cell r="Y133">
            <v>386.7886981447391</v>
          </cell>
          <cell r="Z133">
            <v>285.27611387862726</v>
          </cell>
          <cell r="AA133">
            <v>155.18758633259631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5941.6056812098623</v>
          </cell>
          <cell r="S134">
            <v>4246.3869208055712</v>
          </cell>
          <cell r="T134">
            <v>2275.5085587612239</v>
          </cell>
          <cell r="W134">
            <v>587.96820509731515</v>
          </cell>
          <cell r="X134">
            <v>503.45284110201374</v>
          </cell>
          <cell r="Y134">
            <v>406.12788120986261</v>
          </cell>
          <cell r="Z134">
            <v>295.04852080557112</v>
          </cell>
          <cell r="AA134">
            <v>152.40135876122395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6387.8630577957292</v>
          </cell>
          <cell r="S135">
            <v>4544.6131343575453</v>
          </cell>
          <cell r="T135">
            <v>2427.557326427012</v>
          </cell>
          <cell r="W135">
            <v>630.1687190383891</v>
          </cell>
          <cell r="X135">
            <v>539.96553902713185</v>
          </cell>
          <cell r="Y135">
            <v>446.25737658586695</v>
          </cell>
          <cell r="Z135">
            <v>298.22621355197407</v>
          </cell>
          <cell r="AA135">
            <v>152.04876766578809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4843.6021768885839</v>
          </cell>
          <cell r="T136">
            <v>2583.6578757419425</v>
          </cell>
          <cell r="W136">
            <v>675.39810998585199</v>
          </cell>
          <cell r="X136">
            <v>579.12601734346754</v>
          </cell>
          <cell r="Y136">
            <v>439.367160304565</v>
          </cell>
          <cell r="Z136">
            <v>298.98904253103865</v>
          </cell>
          <cell r="AA136">
            <v>156.1005493149305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7268.654921397163</v>
          </cell>
          <cell r="S137">
            <v>5162.0960452926174</v>
          </cell>
          <cell r="T137">
            <v>2762.6292905711744</v>
          </cell>
          <cell r="W137">
            <v>723.87377092998759</v>
          </cell>
          <cell r="X137">
            <v>588.70103776452925</v>
          </cell>
          <cell r="Y137">
            <v>441.42470329686876</v>
          </cell>
          <cell r="Z137">
            <v>318.49386840403349</v>
          </cell>
          <cell r="AA137">
            <v>178.97141482923189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</row>
        <row r="138">
          <cell r="N138">
            <v>145</v>
          </cell>
          <cell r="P138">
            <v>11584.237502960397</v>
          </cell>
          <cell r="Q138">
            <v>9780.5717237494646</v>
          </cell>
          <cell r="R138">
            <v>7779.9739069882025</v>
          </cell>
          <cell r="S138">
            <v>5532.6318314138862</v>
          </cell>
          <cell r="T138">
            <v>2965.5648007578616</v>
          </cell>
          <cell r="W138">
            <v>775.82869790885343</v>
          </cell>
          <cell r="X138">
            <v>629.09198851232213</v>
          </cell>
          <cell r="Y138">
            <v>511.31898559103956</v>
          </cell>
          <cell r="Z138">
            <v>370.53578612126876</v>
          </cell>
          <cell r="AA138">
            <v>202.93551018668722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</row>
        <row r="139">
          <cell r="N139">
            <v>146</v>
          </cell>
          <cell r="P139">
            <v>12415.750112853173</v>
          </cell>
          <cell r="Q139">
            <v>10502.4830204625</v>
          </cell>
          <cell r="R139">
            <v>8371.9403010968945</v>
          </cell>
          <cell r="S139">
            <v>5949.627454079241</v>
          </cell>
          <cell r="T139">
            <v>3194.5725040371212</v>
          </cell>
          <cell r="W139">
            <v>831.5126098927758</v>
          </cell>
          <cell r="X139">
            <v>721.91129671303497</v>
          </cell>
          <cell r="Y139">
            <v>591.96639410869193</v>
          </cell>
          <cell r="Z139">
            <v>416.99562266535486</v>
          </cell>
          <cell r="AA139">
            <v>229.00770327925966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</row>
        <row r="140">
          <cell r="N140">
            <v>147</v>
          </cell>
          <cell r="P140">
            <v>13306.943261900544</v>
          </cell>
          <cell r="Q140">
            <v>11264.327471198811</v>
          </cell>
          <cell r="R140">
            <v>8987.5094790876265</v>
          </cell>
          <cell r="S140">
            <v>6407.293180605112</v>
          </cell>
          <cell r="T140">
            <v>3433.1913615703402</v>
          </cell>
          <cell r="W140">
            <v>891.19314904737075</v>
          </cell>
          <cell r="X140">
            <v>761.84445073631105</v>
          </cell>
          <cell r="Y140">
            <v>615.56917799073199</v>
          </cell>
          <cell r="Z140">
            <v>457.66572652587092</v>
          </cell>
          <cell r="AA140">
            <v>238.61885753321894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</row>
        <row r="141">
          <cell r="N141">
            <v>148</v>
          </cell>
          <cell r="P141">
            <v>14262.10042904369</v>
          </cell>
          <cell r="Q141">
            <v>12081.42527344291</v>
          </cell>
          <cell r="R141">
            <v>9648.3109402480568</v>
          </cell>
          <cell r="S141">
            <v>6871.4799867132497</v>
          </cell>
          <cell r="T141">
            <v>3665.3598102642286</v>
          </cell>
          <cell r="W141">
            <v>955.15716714314658</v>
          </cell>
          <cell r="X141">
            <v>817.09780224409951</v>
          </cell>
          <cell r="Y141">
            <v>660.80146116043034</v>
          </cell>
          <cell r="Z141">
            <v>464.18680610813772</v>
          </cell>
          <cell r="AA141">
            <v>232.16844869388842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7323.4327847227432</v>
          </cell>
          <cell r="T142">
            <v>3902.4679397614618</v>
          </cell>
          <cell r="W142">
            <v>1023.7121042953677</v>
          </cell>
          <cell r="X142">
            <v>876.3580110686089</v>
          </cell>
          <cell r="Y142">
            <v>694.06981980915043</v>
          </cell>
          <cell r="Z142">
            <v>451.95279800949356</v>
          </cell>
          <cell r="AA142">
            <v>237.10812949723322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11020.8441</v>
          </cell>
          <cell r="S143">
            <v>7804.8612000000003</v>
          </cell>
          <cell r="T143">
            <v>4169.4735000000001</v>
          </cell>
          <cell r="W143">
            <v>1097.1874666609419</v>
          </cell>
          <cell r="X143">
            <v>923.53261548848241</v>
          </cell>
          <cell r="Y143">
            <v>678.46333994279303</v>
          </cell>
          <cell r="Z143">
            <v>481.42841527725705</v>
          </cell>
          <cell r="AA143">
            <v>267.00556023853824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</row>
        <row r="144">
          <cell r="N144">
            <v>151</v>
          </cell>
          <cell r="P144">
            <v>17558.936410194601</v>
          </cell>
          <cell r="Q144">
            <v>14817.986436563224</v>
          </cell>
          <cell r="R144">
            <v>11760.975607548344</v>
          </cell>
          <cell r="S144">
            <v>8352.7860503295724</v>
          </cell>
          <cell r="T144">
            <v>4465.2375291124872</v>
          </cell>
          <cell r="W144">
            <v>1175.9364101946012</v>
          </cell>
          <cell r="X144">
            <v>936.67053656322241</v>
          </cell>
          <cell r="Y144">
            <v>740.13150754834351</v>
          </cell>
          <cell r="Z144">
            <v>547.92485032957211</v>
          </cell>
          <cell r="AA144">
            <v>295.76402911248715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</row>
        <row r="145">
          <cell r="N145">
            <v>152</v>
          </cell>
          <cell r="P145">
            <v>18819.273848271412</v>
          </cell>
          <cell r="Q145">
            <v>15892.876764865208</v>
          </cell>
          <cell r="R145">
            <v>12644.670098653563</v>
          </cell>
          <cell r="S145">
            <v>8976.7936256254634</v>
          </cell>
          <cell r="T145">
            <v>4804.5606134636919</v>
          </cell>
          <cell r="W145">
            <v>1260.3374380768109</v>
          </cell>
          <cell r="X145">
            <v>1074.8903283019845</v>
          </cell>
          <cell r="Y145">
            <v>883.69449110521964</v>
          </cell>
          <cell r="Z145">
            <v>624.007575295891</v>
          </cell>
          <cell r="AA145">
            <v>339.32308435120467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13574.457155927617</v>
          </cell>
          <cell r="S146">
            <v>9653.3955346611565</v>
          </cell>
          <cell r="T146">
            <v>5173.6229725043595</v>
          </cell>
          <cell r="W146">
            <v>1350.796219971704</v>
          </cell>
          <cell r="X146">
            <v>1173.0195198752899</v>
          </cell>
          <cell r="Y146">
            <v>929.78705727405395</v>
          </cell>
          <cell r="Z146">
            <v>676.6019090356931</v>
          </cell>
          <cell r="AA146">
            <v>369.06235904066762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</row>
        <row r="147">
          <cell r="N147">
            <v>154</v>
          </cell>
          <cell r="P147">
            <v>21617.817610103088</v>
          </cell>
          <cell r="Q147">
            <v>18282.188352864181</v>
          </cell>
          <cell r="R147">
            <v>14572.570850970493</v>
          </cell>
          <cell r="S147">
            <v>10367.905325805441</v>
          </cell>
          <cell r="T147">
            <v>5534.1613081863907</v>
          </cell>
          <cell r="W147">
            <v>1447.7475418599715</v>
          </cell>
          <cell r="X147">
            <v>1216.2920681236828</v>
          </cell>
          <cell r="Y147">
            <v>998.11369504287541</v>
          </cell>
          <cell r="Z147">
            <v>714.50979114428446</v>
          </cell>
          <cell r="AA147">
            <v>360.53833568203117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11095.86158033547</v>
          </cell>
          <cell r="T148">
            <v>5908.2161265098039</v>
          </cell>
          <cell r="W148">
            <v>1551.6573958177105</v>
          </cell>
          <cell r="X148">
            <v>1349.307819652513</v>
          </cell>
          <cell r="Y148">
            <v>1078.409515529007</v>
          </cell>
          <cell r="Z148">
            <v>727.95625453002867</v>
          </cell>
          <cell r="AA148">
            <v>374.0548183234132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</row>
        <row r="149">
          <cell r="N149">
            <v>156</v>
          </cell>
          <cell r="P149">
            <v>24832.50022570635</v>
          </cell>
          <cell r="Q149">
            <v>21030.644441150707</v>
          </cell>
          <cell r="R149">
            <v>16694.889901742379</v>
          </cell>
          <cell r="S149">
            <v>11807.853857323369</v>
          </cell>
          <cell r="T149">
            <v>6290.0723071714192</v>
          </cell>
          <cell r="W149">
            <v>1663.0252197855516</v>
          </cell>
          <cell r="X149">
            <v>1399.1482686340132</v>
          </cell>
          <cell r="Y149">
            <v>1043.9095352428794</v>
          </cell>
          <cell r="Z149">
            <v>711.99227698789946</v>
          </cell>
          <cell r="AA149">
            <v>381.85618066161533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</row>
        <row r="150">
          <cell r="N150">
            <v>157</v>
          </cell>
          <cell r="P150">
            <v>26614.886523801088</v>
          </cell>
          <cell r="Q150">
            <v>22449.65678282622</v>
          </cell>
          <cell r="R150">
            <v>17789.390152508648</v>
          </cell>
          <cell r="S150">
            <v>12583.518348453154</v>
          </cell>
          <cell r="T150">
            <v>6706.951403997874</v>
          </cell>
          <cell r="W150">
            <v>1782.3862980947379</v>
          </cell>
          <cell r="X150">
            <v>1419.0123416755123</v>
          </cell>
          <cell r="Y150">
            <v>1094.5002507662684</v>
          </cell>
          <cell r="Z150">
            <v>775.66449112978444</v>
          </cell>
          <cell r="AA150">
            <v>416.87909682645477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</row>
        <row r="151">
          <cell r="N151">
            <v>158</v>
          </cell>
          <cell r="P151">
            <v>28525.200858087381</v>
          </cell>
          <cell r="Q151">
            <v>24049.59684345347</v>
          </cell>
          <cell r="R151">
            <v>19077.65433388884</v>
          </cell>
          <cell r="S151">
            <v>13515.240166561802</v>
          </cell>
          <cell r="T151">
            <v>7202.6132166670641</v>
          </cell>
          <cell r="W151">
            <v>1910.3143342862932</v>
          </cell>
          <cell r="X151">
            <v>1599.9400606272502</v>
          </cell>
          <cell r="Y151">
            <v>1288.2641813801929</v>
          </cell>
          <cell r="Z151">
            <v>931.72181810864822</v>
          </cell>
          <cell r="AA151">
            <v>495.66181266919011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91.01044787213759</v>
          </cell>
        </row>
        <row r="152">
          <cell r="N152">
            <v>159</v>
          </cell>
          <cell r="P152">
            <v>30572.62506667812</v>
          </cell>
          <cell r="Q152">
            <v>25794.12376875633</v>
          </cell>
          <cell r="R152">
            <v>20471.429744647667</v>
          </cell>
          <cell r="S152">
            <v>14525.054169178775</v>
          </cell>
          <cell r="T152">
            <v>7744.0459293895683</v>
          </cell>
          <cell r="W152">
            <v>2047.424208590739</v>
          </cell>
          <cell r="X152">
            <v>1744.52692530286</v>
          </cell>
          <cell r="Y152">
            <v>1393.7754107588262</v>
          </cell>
          <cell r="Z152">
            <v>1009.8140026169731</v>
          </cell>
          <cell r="AA152">
            <v>541.43271272250422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91.10715471073091</v>
          </cell>
        </row>
        <row r="153">
          <cell r="N153">
            <v>160</v>
          </cell>
          <cell r="P153">
            <v>32767</v>
          </cell>
          <cell r="Q153">
            <v>27665.178100000001</v>
          </cell>
          <cell r="R153">
            <v>21976.8269</v>
          </cell>
          <cell r="S153">
            <v>15577.4318</v>
          </cell>
          <cell r="T153">
            <v>8355.5850000000009</v>
          </cell>
          <cell r="W153">
            <v>2194.3749333218802</v>
          </cell>
          <cell r="X153">
            <v>1871.0543312436712</v>
          </cell>
          <cell r="Y153">
            <v>1505.3971553523334</v>
          </cell>
          <cell r="Z153">
            <v>1052.3776308212255</v>
          </cell>
          <cell r="AA153">
            <v>611.53907061043265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91.20386154932423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16825.451968248472</v>
          </cell>
          <cell r="T154">
            <v>9211.6803407880889</v>
          </cell>
          <cell r="W154">
            <v>2351.8728203892097</v>
          </cell>
          <cell r="X154">
            <v>2006.7575459468426</v>
          </cell>
          <cell r="Y154">
            <v>1616.0318607374684</v>
          </cell>
          <cell r="Z154">
            <v>1248.0201682484712</v>
          </cell>
          <cell r="AA154">
            <v>856.09534078808792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91.300568387917551</v>
          </cell>
        </row>
        <row r="155">
          <cell r="N155">
            <v>162</v>
          </cell>
          <cell r="P155">
            <v>37639.547696542824</v>
          </cell>
          <cell r="Q155">
            <v>31786.598029730416</v>
          </cell>
          <cell r="R155">
            <v>25478.209835789836</v>
          </cell>
          <cell r="S155">
            <v>18481.017919002526</v>
          </cell>
          <cell r="T155">
            <v>16185.005509513414</v>
          </cell>
          <cell r="W155">
            <v>2520.6748761536146</v>
          </cell>
          <cell r="X155">
            <v>2114.6623837835723</v>
          </cell>
          <cell r="Y155">
            <v>1885.3510750523674</v>
          </cell>
          <cell r="Z155">
            <v>1655.5659507540549</v>
          </cell>
          <cell r="AA155">
            <v>6973.3251687253251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91.397275226510871</v>
          </cell>
        </row>
        <row r="156">
          <cell r="N156">
            <v>163</v>
          </cell>
          <cell r="P156">
            <v>40341.140136486232</v>
          </cell>
          <cell r="Q156">
            <v>34471.50424662749</v>
          </cell>
          <cell r="R156">
            <v>27916.06897444847</v>
          </cell>
          <cell r="S156">
            <v>26221.741088716051</v>
          </cell>
          <cell r="T156">
            <v>26423.446789398484</v>
          </cell>
          <cell r="W156">
            <v>2701.592439943408</v>
          </cell>
          <cell r="X156">
            <v>2684.906216897074</v>
          </cell>
          <cell r="Y156">
            <v>2437.859138658634</v>
          </cell>
          <cell r="Z156">
            <v>7740.7231697135248</v>
          </cell>
          <cell r="AA156">
            <v>10238.44127988507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91.493982065104177</v>
          </cell>
        </row>
        <row r="157">
          <cell r="N157">
            <v>164</v>
          </cell>
          <cell r="P157">
            <v>43236.635220206183</v>
          </cell>
          <cell r="Q157">
            <v>37140.269654157113</v>
          </cell>
          <cell r="R157">
            <v>35237.857704468035</v>
          </cell>
          <cell r="S157">
            <v>35367.567610128652</v>
          </cell>
          <cell r="T157">
            <v>35454.040880569068</v>
          </cell>
          <cell r="W157">
            <v>2895.4950837199503</v>
          </cell>
          <cell r="X157">
            <v>2668.7654075296232</v>
          </cell>
          <cell r="Y157">
            <v>7321.7887300195653</v>
          </cell>
          <cell r="Z157">
            <v>9145.8265214126004</v>
          </cell>
          <cell r="AA157">
            <v>9030.5940911705839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91.590688903697497</v>
          </cell>
        </row>
        <row r="158">
          <cell r="N158">
            <v>165</v>
          </cell>
          <cell r="P158">
            <v>46339.950011841604</v>
          </cell>
          <cell r="Q158">
            <v>44161.972361285043</v>
          </cell>
          <cell r="R158">
            <v>44486.352011367941</v>
          </cell>
          <cell r="S158">
            <v>44486.352011367941</v>
          </cell>
          <cell r="T158">
            <v>44625.371861403466</v>
          </cell>
          <cell r="W158">
            <v>3103.314791635421</v>
          </cell>
          <cell r="X158">
            <v>7021.7027071279299</v>
          </cell>
          <cell r="Y158">
            <v>9248.4943068999055</v>
          </cell>
          <cell r="Z158">
            <v>9118.7844012392889</v>
          </cell>
          <cell r="AA158">
            <v>9171.3309808343984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91.687395742290818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5504.0280901276637</v>
          </cell>
          <cell r="Y159">
            <v>5676.3084445588902</v>
          </cell>
          <cell r="Z159">
            <v>5676.3084445588902</v>
          </cell>
          <cell r="AA159">
            <v>5686.2865958776019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91.784102580884138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91.880809419477458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91.977516258070779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92.073570757788559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92.169427650297976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92.265284542807379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92.361141435316796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92.456998327826213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92.55285522033563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92.648712112845047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92.744569005354464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92.840425897863867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92.936282790373284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93.030170797284541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93.1201554708354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93.210140144386244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93.300124817937103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93.390109491487962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93.480094165038807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93.570078838589666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93.660063512140525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93.750048185691369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93.840032859242228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93.930017532793073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94.01720149869783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94.094586524044246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94.171971549390676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94.249356574737092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94.326741600083523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94.404126625429939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94.481511650776355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94.558896676122785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94.636281701469201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94.713666726815632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94.791051752162048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94.868436777508478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94.945821802854894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95.021652736340755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95.093855518039874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95.166058299739007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95.238261081438125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95.310463863137244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95.382666644836377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95.454869426535495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95.527072208234628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95.599274989933747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95.671477771632865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95.743680553331998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95.815883335031117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95.888086116730236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95.960288898429368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96.027967953922968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96.09011814325406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96.152268332585166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96.214418521916258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96.276568711247364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96.338718900578456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96.400869089909563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96.463019279240655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96.525169468571761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96.587319657902853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96.649469847233959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96.711620036565051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96.773770225896158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96.83592041522725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96.898070604558356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96.960220793889448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97.020244939111976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97.076488635975949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97.132732332839936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97.188976029703909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97.245219726567882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97.301463423431869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97.357707120295842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97.413950817159815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97.470194514023802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97.526438210887775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97.582681907751748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97.638925604615736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97.695169301479709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97.751412998343696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97.807656695207669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97.863900392071642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97.920144088935629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97.976387785799602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98.03453879727887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98.09406994590077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98.153601094522671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98.213132243144585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98.272663391766486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98.3321945403884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98.3917256890103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98.451256837632201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98.510787986254115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98.570319134876016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98.629850283497916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98.689381432119831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98.748912580741731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98.808443729363646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98.867974877985546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98.927506026607446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98.987037175229361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99.046160733338311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99.105170833973162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99.164180934608012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99.223191035242863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99.282201135877699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99.341211236512549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99.4002213371474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99.45923143778225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99.518241538417101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99.577251639051951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99.636261739686788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99.695271840321638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99.754281940956488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99.813292041591339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99.872302142226189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99.93131224286104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99.990322343495876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100.04494517613057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100.09870734853557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100.15246952094056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100.20623169334554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100.25999386575054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100.31375603815553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100.36751821056053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100.42128038296552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100.47504255537051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100.52880472777551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100.5825669001805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100.6363290725855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100.69009124499048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100.74385341739547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100.79761558980047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100.85137776220546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100.90513993461046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92.020673823381642</v>
          </cell>
          <cell r="AH295">
            <v>100.95890210701545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92.068811230516317</v>
          </cell>
          <cell r="AH296">
            <v>101.01186310799378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92.116948637651006</v>
          </cell>
          <cell r="AH297">
            <v>101.06222416179293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92.165086044785696</v>
          </cell>
          <cell r="AH298">
            <v>101.11258521559208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92.213223451920371</v>
          </cell>
          <cell r="AH299">
            <v>101.16294626939123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92.26136085905506</v>
          </cell>
          <cell r="AH300">
            <v>101.21330732319038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92.309498266189749</v>
          </cell>
          <cell r="AH301">
            <v>101.26366837698953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92.357635673324438</v>
          </cell>
          <cell r="AH302">
            <v>101.31402943078868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92.405773080459113</v>
          </cell>
          <cell r="AH303">
            <v>101.36439048458783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92.453910487593802</v>
          </cell>
          <cell r="AH304">
            <v>101.41475153838698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92.502047894728491</v>
          </cell>
          <cell r="AH305">
            <v>101.46511259218613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92.550185301863166</v>
          </cell>
          <cell r="AH306">
            <v>101.51547364598528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92.598322708997856</v>
          </cell>
          <cell r="AH307">
            <v>101.56583469978445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92.646460116132545</v>
          </cell>
          <cell r="AH308">
            <v>101.6161957535836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92.69459752326722</v>
          </cell>
          <cell r="AH309">
            <v>101.66655680738275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92.742734930401909</v>
          </cell>
          <cell r="AH310">
            <v>101.7169178611819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92.790872337536598</v>
          </cell>
          <cell r="AH311">
            <v>101.76727891498105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92.839009744671287</v>
          </cell>
          <cell r="AH312">
            <v>101.8176399687802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92.887147151805962</v>
          </cell>
          <cell r="AH313">
            <v>101.86800102257935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92.935284558940651</v>
          </cell>
          <cell r="AH314">
            <v>101.9183620763785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92.98342196607534</v>
          </cell>
          <cell r="AH315">
            <v>101.96872313017765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93.031775955978986</v>
          </cell>
          <cell r="AH316">
            <v>102.01687435940708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93.080243716091815</v>
          </cell>
          <cell r="AH317">
            <v>102.0614039302265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93.128711476204643</v>
          </cell>
          <cell r="AH318">
            <v>102.10593350104594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93.177179236317471</v>
          </cell>
          <cell r="AH319">
            <v>102.15046307186537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93.225646996430299</v>
          </cell>
          <cell r="AH320">
            <v>102.19499264268481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93.274114756543128</v>
          </cell>
          <cell r="AH321">
            <v>102.23952221350423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93.322582516655956</v>
          </cell>
          <cell r="AH322">
            <v>102.28405178432367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93.37105027676877</v>
          </cell>
          <cell r="AH323">
            <v>102.3285813551431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93.419518036881598</v>
          </cell>
          <cell r="AH324">
            <v>102.37311092596252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93.467985796994427</v>
          </cell>
          <cell r="AH325">
            <v>102.41764049678196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93.516453557107255</v>
          </cell>
          <cell r="AH326">
            <v>102.46217006760139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93.564921317220083</v>
          </cell>
          <cell r="AH327">
            <v>102.50669963842083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93.613389077332911</v>
          </cell>
          <cell r="AH328">
            <v>102.55122920924025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93.66185683744574</v>
          </cell>
          <cell r="AH329">
            <v>102.59575878005968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93.710324597558554</v>
          </cell>
          <cell r="AH330">
            <v>102.64028835087912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93.758792357671382</v>
          </cell>
          <cell r="AH331">
            <v>102.68481792169854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93.80726011778421</v>
          </cell>
          <cell r="AH332">
            <v>102.72934749251797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93.855727877897039</v>
          </cell>
          <cell r="AH333">
            <v>102.77387706333741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93.904195638009867</v>
          </cell>
          <cell r="AH334">
            <v>102.81840663415684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93.952663398122695</v>
          </cell>
          <cell r="AH335">
            <v>102.86293620497626</v>
          </cell>
        </row>
        <row r="336">
          <cell r="AD336">
            <v>83.832279038242305</v>
          </cell>
          <cell r="AE336">
            <v>85.955062395728859</v>
          </cell>
          <cell r="AF336">
            <v>89.018779040163423</v>
          </cell>
          <cell r="AG336">
            <v>94.001027891564647</v>
          </cell>
          <cell r="AH336">
            <v>102.9074657757957</v>
          </cell>
        </row>
        <row r="337">
          <cell r="AD337">
            <v>83.876485640670907</v>
          </cell>
          <cell r="AE337">
            <v>85.999944812310858</v>
          </cell>
          <cell r="AF337">
            <v>89.066031955355442</v>
          </cell>
          <cell r="AG337">
            <v>94.045070891220206</v>
          </cell>
          <cell r="AH337">
            <v>102.95199534661513</v>
          </cell>
        </row>
        <row r="338">
          <cell r="AD338">
            <v>83.920692243099523</v>
          </cell>
          <cell r="AE338">
            <v>86.041129946887025</v>
          </cell>
          <cell r="AF338">
            <v>89.113284870547446</v>
          </cell>
          <cell r="AG338">
            <v>94.089113890875765</v>
          </cell>
          <cell r="AH338">
            <v>102.99652491743456</v>
          </cell>
        </row>
        <row r="339">
          <cell r="AD339">
            <v>83.964898845528126</v>
          </cell>
          <cell r="AE339">
            <v>86.082310529666103</v>
          </cell>
          <cell r="AF339">
            <v>89.16053778573945</v>
          </cell>
          <cell r="AG339">
            <v>94.133156890531339</v>
          </cell>
          <cell r="AH339">
            <v>103.03627054084417</v>
          </cell>
        </row>
        <row r="340">
          <cell r="AD340">
            <v>84.008495683346354</v>
          </cell>
          <cell r="AE340">
            <v>86.12349111244518</v>
          </cell>
          <cell r="AF340">
            <v>89.207790700931454</v>
          </cell>
          <cell r="AG340">
            <v>94.177199890186898</v>
          </cell>
          <cell r="AH340">
            <v>103.07561122406466</v>
          </cell>
        </row>
        <row r="341">
          <cell r="AD341">
            <v>84.049741901856009</v>
          </cell>
          <cell r="AE341">
            <v>86.164671695224243</v>
          </cell>
          <cell r="AF341">
            <v>89.255043616123459</v>
          </cell>
          <cell r="AG341">
            <v>94.221242889842458</v>
          </cell>
          <cell r="AH341">
            <v>103.11495190728516</v>
          </cell>
        </row>
        <row r="342">
          <cell r="AD342">
            <v>84.090988120365651</v>
          </cell>
          <cell r="AE342">
            <v>86.20585227800332</v>
          </cell>
          <cell r="AF342">
            <v>89.302296531315463</v>
          </cell>
          <cell r="AG342">
            <v>94.265285889498017</v>
          </cell>
          <cell r="AH342">
            <v>103.15429259050565</v>
          </cell>
        </row>
        <row r="343">
          <cell r="AD343">
            <v>84.132234338875293</v>
          </cell>
          <cell r="AE343">
            <v>86.247032860782397</v>
          </cell>
          <cell r="AF343">
            <v>89.349549446507467</v>
          </cell>
          <cell r="AG343">
            <v>94.309328889153576</v>
          </cell>
          <cell r="AH343">
            <v>103.19363327372614</v>
          </cell>
        </row>
        <row r="344">
          <cell r="AD344">
            <v>84.173480557384934</v>
          </cell>
          <cell r="AE344">
            <v>86.288213443561474</v>
          </cell>
          <cell r="AF344">
            <v>89.396802361699486</v>
          </cell>
          <cell r="AG344">
            <v>94.35337188880915</v>
          </cell>
          <cell r="AH344">
            <v>103.23297395694664</v>
          </cell>
        </row>
        <row r="345">
          <cell r="AD345">
            <v>84.214726775894576</v>
          </cell>
          <cell r="AE345">
            <v>86.329394026340537</v>
          </cell>
          <cell r="AF345">
            <v>89.44405527689149</v>
          </cell>
          <cell r="AG345">
            <v>94.397414888464709</v>
          </cell>
          <cell r="AH345">
            <v>103.27231464016712</v>
          </cell>
        </row>
        <row r="346">
          <cell r="AD346">
            <v>84.255972994404218</v>
          </cell>
          <cell r="AE346">
            <v>86.370574609119615</v>
          </cell>
          <cell r="AF346">
            <v>89.491308192083494</v>
          </cell>
          <cell r="AG346">
            <v>94.441457888120269</v>
          </cell>
          <cell r="AH346">
            <v>103.31165532338761</v>
          </cell>
        </row>
        <row r="347">
          <cell r="AD347">
            <v>84.297219212913859</v>
          </cell>
          <cell r="AE347">
            <v>86.411755191898692</v>
          </cell>
          <cell r="AF347">
            <v>89.538561107275498</v>
          </cell>
          <cell r="AG347">
            <v>94.485500887775828</v>
          </cell>
          <cell r="AH347">
            <v>103.35099600660811</v>
          </cell>
        </row>
        <row r="348">
          <cell r="AD348">
            <v>84.338465431423501</v>
          </cell>
          <cell r="AE348">
            <v>86.452935774677769</v>
          </cell>
          <cell r="AF348">
            <v>89.585814022467503</v>
          </cell>
          <cell r="AG348">
            <v>94.529543887431387</v>
          </cell>
          <cell r="AH348">
            <v>103.3903366898286</v>
          </cell>
        </row>
        <row r="349">
          <cell r="AD349">
            <v>84.379711649933142</v>
          </cell>
          <cell r="AE349">
            <v>86.494116357456846</v>
          </cell>
          <cell r="AF349">
            <v>89.633066937659507</v>
          </cell>
          <cell r="AG349">
            <v>94.573586887086947</v>
          </cell>
          <cell r="AH349">
            <v>103.42967737304909</v>
          </cell>
        </row>
        <row r="350">
          <cell r="AD350">
            <v>84.420957868442784</v>
          </cell>
          <cell r="AE350">
            <v>86.535296940235909</v>
          </cell>
          <cell r="AF350">
            <v>89.680319852851511</v>
          </cell>
          <cell r="AG350">
            <v>94.61762988674252</v>
          </cell>
          <cell r="AH350">
            <v>103.46901805626959</v>
          </cell>
        </row>
        <row r="351">
          <cell r="AD351">
            <v>84.462204086952426</v>
          </cell>
          <cell r="AE351">
            <v>86.576477523014987</v>
          </cell>
          <cell r="AF351">
            <v>89.72757276804353</v>
          </cell>
          <cell r="AG351">
            <v>94.66167288639808</v>
          </cell>
          <cell r="AH351">
            <v>103.50835873949008</v>
          </cell>
        </row>
        <row r="352">
          <cell r="AD352">
            <v>84.503450305462081</v>
          </cell>
          <cell r="AE352">
            <v>86.617658105794064</v>
          </cell>
          <cell r="AF352">
            <v>89.774825683235534</v>
          </cell>
          <cell r="AG352">
            <v>94.705715886053639</v>
          </cell>
          <cell r="AH352">
            <v>103.54769942271056</v>
          </cell>
        </row>
        <row r="353">
          <cell r="AD353">
            <v>84.544696523971723</v>
          </cell>
          <cell r="AE353">
            <v>86.658838688573141</v>
          </cell>
          <cell r="AF353">
            <v>89.822078598427538</v>
          </cell>
          <cell r="AG353">
            <v>94.749758885709198</v>
          </cell>
          <cell r="AH353">
            <v>103.58704010593105</v>
          </cell>
        </row>
        <row r="354">
          <cell r="AD354">
            <v>84.585942742481365</v>
          </cell>
          <cell r="AE354">
            <v>86.700019271352204</v>
          </cell>
          <cell r="AF354">
            <v>89.869331513619542</v>
          </cell>
          <cell r="AG354">
            <v>94.793801885364758</v>
          </cell>
          <cell r="AH354">
            <v>103.62638078915155</v>
          </cell>
        </row>
        <row r="355">
          <cell r="AD355">
            <v>84.627188960991006</v>
          </cell>
          <cell r="AE355">
            <v>86.741199854131281</v>
          </cell>
          <cell r="AF355">
            <v>89.916584428811547</v>
          </cell>
          <cell r="AG355">
            <v>94.837844885020331</v>
          </cell>
          <cell r="AH355">
            <v>103.66572147237204</v>
          </cell>
        </row>
        <row r="356">
          <cell r="AD356">
            <v>84.668435179500648</v>
          </cell>
          <cell r="AE356">
            <v>86.782380436910358</v>
          </cell>
          <cell r="AF356">
            <v>89.963837344003551</v>
          </cell>
          <cell r="AG356">
            <v>94.881887884675891</v>
          </cell>
          <cell r="AH356">
            <v>103.70506215559253</v>
          </cell>
        </row>
        <row r="357">
          <cell r="AD357">
            <v>84.709681398010289</v>
          </cell>
          <cell r="AE357">
            <v>86.823561019689436</v>
          </cell>
          <cell r="AF357">
            <v>90.009512113271555</v>
          </cell>
          <cell r="AG357">
            <v>94.92593088433145</v>
          </cell>
          <cell r="AH357">
            <v>103.74440283881303</v>
          </cell>
        </row>
        <row r="358">
          <cell r="AD358">
            <v>84.750927616519931</v>
          </cell>
          <cell r="AE358">
            <v>86.864741602468499</v>
          </cell>
          <cell r="AF358">
            <v>90.050040929937737</v>
          </cell>
          <cell r="AG358">
            <v>94.969973883987009</v>
          </cell>
          <cell r="AH358">
            <v>103.78374352203352</v>
          </cell>
        </row>
        <row r="359">
          <cell r="AD359">
            <v>84.792173835029573</v>
          </cell>
          <cell r="AE359">
            <v>86.905922185247576</v>
          </cell>
          <cell r="AF359">
            <v>90.090569746603933</v>
          </cell>
          <cell r="AG359">
            <v>95.012878924987305</v>
          </cell>
          <cell r="AH359">
            <v>103.82308420525401</v>
          </cell>
        </row>
        <row r="360">
          <cell r="AD360">
            <v>84.833420053539214</v>
          </cell>
          <cell r="AE360">
            <v>86.947102768026653</v>
          </cell>
          <cell r="AF360">
            <v>90.131098563270129</v>
          </cell>
          <cell r="AG360">
            <v>95.053346300136027</v>
          </cell>
          <cell r="AH360">
            <v>103.86242488847451</v>
          </cell>
        </row>
        <row r="361">
          <cell r="AD361">
            <v>84.874666272048856</v>
          </cell>
          <cell r="AE361">
            <v>86.98828335080573</v>
          </cell>
          <cell r="AF361">
            <v>90.171627379936311</v>
          </cell>
          <cell r="AG361">
            <v>95.09381367528475</v>
          </cell>
          <cell r="AH361">
            <v>103.90176557169499</v>
          </cell>
        </row>
        <row r="362">
          <cell r="AD362">
            <v>84.915912490558497</v>
          </cell>
          <cell r="AE362">
            <v>87.027010646912942</v>
          </cell>
          <cell r="AF362">
            <v>90.212156196602507</v>
          </cell>
          <cell r="AG362">
            <v>95.134281050433472</v>
          </cell>
          <cell r="AH362">
            <v>103.94110625491548</v>
          </cell>
        </row>
        <row r="363">
          <cell r="AD363">
            <v>84.957158709068153</v>
          </cell>
          <cell r="AE363">
            <v>87.064762367263285</v>
          </cell>
          <cell r="AF363">
            <v>90.252685013268689</v>
          </cell>
          <cell r="AG363">
            <v>95.174748425582194</v>
          </cell>
          <cell r="AH363">
            <v>103.98044693813598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AD2">
            <v>500</v>
          </cell>
        </row>
        <row r="4">
          <cell r="N4">
            <v>3.301579276669484</v>
          </cell>
          <cell r="O4">
            <v>4.0057487176130557</v>
          </cell>
          <cell r="P4">
            <v>4.2565036636761029</v>
          </cell>
          <cell r="Q4">
            <v>3.3562706551221395</v>
          </cell>
          <cell r="R4">
            <v>1.7550190606299467</v>
          </cell>
          <cell r="S4">
            <v>3.301579276669484</v>
          </cell>
          <cell r="T4">
            <v>4.0057487176130557</v>
          </cell>
          <cell r="U4">
            <v>4.2565036636761029</v>
          </cell>
          <cell r="V4">
            <v>3.3562706551221395</v>
          </cell>
          <cell r="W4">
            <v>1.7550190606299467</v>
          </cell>
        </row>
        <row r="5">
          <cell r="N5">
            <v>6.840124329863615</v>
          </cell>
          <cell r="O5">
            <v>8.3787062090179365</v>
          </cell>
          <cell r="P5">
            <v>8.9944214875541597</v>
          </cell>
          <cell r="Q5">
            <v>7.192360993180591</v>
          </cell>
          <cell r="R5">
            <v>3.819793082834837</v>
          </cell>
          <cell r="S5">
            <v>3.5385450531941309</v>
          </cell>
          <cell r="T5">
            <v>4.3729574914048808</v>
          </cell>
          <cell r="U5">
            <v>4.7379178238780568</v>
          </cell>
          <cell r="V5">
            <v>3.8360903380584515</v>
          </cell>
          <cell r="W5">
            <v>2.0647740222048903</v>
          </cell>
        </row>
        <row r="6">
          <cell r="N6">
            <v>10.632643013866151</v>
          </cell>
          <cell r="O6">
            <v>13.120311648049476</v>
          </cell>
          <cell r="P6">
            <v>14.210666074680118</v>
          </cell>
          <cell r="Q6">
            <v>11.453968457804642</v>
          </cell>
          <cell r="R6">
            <v>6.1162429781958272</v>
          </cell>
          <cell r="S6">
            <v>3.7925186840025358</v>
          </cell>
          <cell r="T6">
            <v>4.7416054390315399</v>
          </cell>
          <cell r="U6">
            <v>5.2162445871259582</v>
          </cell>
          <cell r="V6">
            <v>4.2616074646240509</v>
          </cell>
          <cell r="W6">
            <v>2.2964498953609902</v>
          </cell>
        </row>
        <row r="7">
          <cell r="N7">
            <v>14.697363895553133</v>
          </cell>
          <cell r="O7">
            <v>18.221663954542464</v>
          </cell>
          <cell r="P7">
            <v>19.852560134291625</v>
          </cell>
          <cell r="Q7">
            <v>16.076200284493559</v>
          </cell>
          <cell r="R7">
            <v>8.6584407264078909</v>
          </cell>
          <cell r="S7">
            <v>4.0647208816869824</v>
          </cell>
          <cell r="T7">
            <v>5.1013523064929878</v>
          </cell>
          <cell r="U7">
            <v>5.6418940596115075</v>
          </cell>
          <cell r="V7">
            <v>4.6222318266889175</v>
          </cell>
          <cell r="W7">
            <v>2.5421977482120637</v>
          </cell>
          <cell r="AC7" t="str">
            <v>剿匪1</v>
          </cell>
          <cell r="AD7" t="str">
            <v>装备</v>
          </cell>
          <cell r="AE7" t="str">
            <v>装备经验</v>
          </cell>
          <cell r="AF7" t="str">
            <v>武将经验</v>
          </cell>
          <cell r="AG7" t="str">
            <v>银币</v>
          </cell>
          <cell r="AH7" t="str">
            <v>城建资源</v>
          </cell>
          <cell r="AI7" t="str">
            <v>加速令</v>
          </cell>
          <cell r="AJ7">
            <v>0.6</v>
          </cell>
          <cell r="AK7">
            <v>1</v>
          </cell>
          <cell r="AL7">
            <v>24</v>
          </cell>
        </row>
        <row r="8">
          <cell r="N8">
            <v>19.053823869162375</v>
          </cell>
          <cell r="O8">
            <v>23.611664224090969</v>
          </cell>
          <cell r="P8">
            <v>25.76723160268055</v>
          </cell>
          <cell r="Q8">
            <v>20.905358492970112</v>
          </cell>
          <cell r="R8">
            <v>11.280360786818976</v>
          </cell>
          <cell r="S8">
            <v>4.3564599736092422</v>
          </cell>
          <cell r="T8">
            <v>5.390000269548505</v>
          </cell>
          <cell r="U8">
            <v>5.9146714683889243</v>
          </cell>
          <cell r="V8">
            <v>4.829158208476553</v>
          </cell>
          <cell r="W8">
            <v>2.6219200604110853</v>
          </cell>
        </row>
        <row r="9">
          <cell r="N9">
            <v>23.722962059478306</v>
          </cell>
          <cell r="O9">
            <v>29.439164482679558</v>
          </cell>
          <cell r="P9">
            <v>32.156578214936147</v>
          </cell>
          <cell r="Q9">
            <v>26.203507172736675</v>
          </cell>
          <cell r="R9">
            <v>14.251775743858198</v>
          </cell>
          <cell r="S9">
            <v>4.6691381903159304</v>
          </cell>
          <cell r="T9">
            <v>5.8275002585885893</v>
          </cell>
          <cell r="U9">
            <v>6.3893466122555971</v>
          </cell>
          <cell r="V9">
            <v>5.2981486797665625</v>
          </cell>
          <cell r="W9">
            <v>2.9714149570392223</v>
          </cell>
        </row>
        <row r="10">
          <cell r="N10">
            <v>28.727220464773662</v>
          </cell>
          <cell r="O10">
            <v>35.787309596867416</v>
          </cell>
          <cell r="P10">
            <v>39.195606953575002</v>
          </cell>
          <cell r="Q10">
            <v>31.878971252634962</v>
          </cell>
          <cell r="R10">
            <v>17.200235901845417</v>
          </cell>
          <cell r="S10">
            <v>5.0042584052953565</v>
          </cell>
          <cell r="T10">
            <v>6.348145114187858</v>
          </cell>
          <cell r="U10">
            <v>7.039028738638855</v>
          </cell>
          <cell r="V10">
            <v>5.6754640798982869</v>
          </cell>
          <cell r="W10">
            <v>2.9484601579872187</v>
          </cell>
        </row>
        <row r="11">
          <cell r="N11">
            <v>34.090651823243419</v>
          </cell>
          <cell r="O11">
            <v>42.270259067554726</v>
          </cell>
          <cell r="P11">
            <v>46.0009621388201</v>
          </cell>
          <cell r="Q11">
            <v>37.281240393448371</v>
          </cell>
          <cell r="R11">
            <v>20.167288517504215</v>
          </cell>
          <cell r="S11">
            <v>5.3634313584697573</v>
          </cell>
          <cell r="T11">
            <v>6.4829494706873092</v>
          </cell>
          <cell r="U11">
            <v>6.805355185245098</v>
          </cell>
          <cell r="V11">
            <v>5.4022691408134094</v>
          </cell>
          <cell r="W11">
            <v>2.9670526156587975</v>
          </cell>
        </row>
        <row r="12">
          <cell r="N12">
            <v>39.839035221386283</v>
          </cell>
          <cell r="O12">
            <v>49.380484156908295</v>
          </cell>
          <cell r="P12">
            <v>53.946817052663931</v>
          </cell>
          <cell r="Q12">
            <v>44.049328391500353</v>
          </cell>
          <cell r="R12">
            <v>23.889044437512744</v>
          </cell>
          <cell r="S12">
            <v>5.7483833981428631</v>
          </cell>
          <cell r="T12">
            <v>7.1102250893535697</v>
          </cell>
          <cell r="U12">
            <v>7.9458549138438315</v>
          </cell>
          <cell r="V12">
            <v>6.7680879980519819</v>
          </cell>
          <cell r="W12">
            <v>3.7217559200085297</v>
          </cell>
          <cell r="GO12">
            <v>38</v>
          </cell>
        </row>
        <row r="13">
          <cell r="N13">
            <v>46</v>
          </cell>
          <cell r="O13">
            <v>57.271599999999999</v>
          </cell>
          <cell r="P13">
            <v>62.744500000000002</v>
          </cell>
          <cell r="Q13">
            <v>51.479400000000005</v>
          </cell>
          <cell r="R13">
            <v>28.139600000000002</v>
          </cell>
          <cell r="S13">
            <v>6.1609647786137174</v>
          </cell>
          <cell r="T13">
            <v>7.8911158430917041</v>
          </cell>
          <cell r="U13">
            <v>8.7976829473360709</v>
          </cell>
          <cell r="V13">
            <v>7.4300716084996523</v>
          </cell>
          <cell r="W13">
            <v>4.2505555624872571</v>
          </cell>
          <cell r="GO13">
            <v>47</v>
          </cell>
        </row>
        <row r="14">
          <cell r="N14">
            <v>52.603158553338972</v>
          </cell>
          <cell r="O14">
            <v>65.684306183936783</v>
          </cell>
          <cell r="P14">
            <v>72.302812722179397</v>
          </cell>
          <cell r="Q14">
            <v>59.304915307726851</v>
          </cell>
          <cell r="R14">
            <v>32.720765585871938</v>
          </cell>
          <cell r="S14">
            <v>6.6031585533389716</v>
          </cell>
          <cell r="T14">
            <v>8.412706183936784</v>
          </cell>
          <cell r="U14">
            <v>9.5583127221793944</v>
          </cell>
          <cell r="V14">
            <v>7.825515307726846</v>
          </cell>
          <cell r="W14">
            <v>4.5811655858719362</v>
          </cell>
          <cell r="GO14">
            <v>56</v>
          </cell>
        </row>
        <row r="15">
          <cell r="N15">
            <v>59.680248659727226</v>
          </cell>
          <cell r="O15">
            <v>74.54737703889127</v>
          </cell>
          <cell r="P15">
            <v>82.431656845525254</v>
          </cell>
          <cell r="Q15">
            <v>68.205701920440248</v>
          </cell>
          <cell r="R15">
            <v>37.657458466261879</v>
          </cell>
          <cell r="S15">
            <v>7.0770901063882548</v>
          </cell>
          <cell r="T15">
            <v>8.8630708549544863</v>
          </cell>
          <cell r="U15">
            <v>10.128844123345857</v>
          </cell>
          <cell r="V15">
            <v>8.9007866127133966</v>
          </cell>
          <cell r="W15">
            <v>4.9366928803899413</v>
          </cell>
          <cell r="AD15">
            <v>0.3</v>
          </cell>
          <cell r="AE15">
            <v>0.5</v>
          </cell>
          <cell r="AF15">
            <v>1.6666666666666667</v>
          </cell>
        </row>
        <row r="16">
          <cell r="N16">
            <v>67.265286027732301</v>
          </cell>
          <cell r="O16">
            <v>84.609786258865753</v>
          </cell>
          <cell r="P16">
            <v>93.680071393057432</v>
          </cell>
          <cell r="Q16">
            <v>77.82315758531557</v>
          </cell>
          <cell r="R16">
            <v>43.121288981373802</v>
          </cell>
          <cell r="S16">
            <v>7.5850373680050751</v>
          </cell>
          <cell r="T16">
            <v>10.062409219974484</v>
          </cell>
          <cell r="U16">
            <v>11.248414547532178</v>
          </cell>
          <cell r="V16">
            <v>9.6174556648753224</v>
          </cell>
          <cell r="W16">
            <v>5.4638305151119226</v>
          </cell>
          <cell r="AD16">
            <v>0.2</v>
          </cell>
          <cell r="AE16">
            <v>0.2</v>
          </cell>
          <cell r="AF16">
            <v>1</v>
          </cell>
        </row>
        <row r="17">
          <cell r="N17">
            <v>75.394727791106263</v>
          </cell>
          <cell r="O17">
            <v>94.714626787577259</v>
          </cell>
          <cell r="P17">
            <v>105.06156976741366</v>
          </cell>
          <cell r="Q17">
            <v>87.144176609439413</v>
          </cell>
          <cell r="R17">
            <v>48.214600619248152</v>
          </cell>
          <cell r="S17">
            <v>8.1294417633739613</v>
          </cell>
          <cell r="T17">
            <v>10.104840528711506</v>
          </cell>
          <cell r="U17">
            <v>11.381498374356227</v>
          </cell>
          <cell r="V17">
            <v>9.3210190241238422</v>
          </cell>
          <cell r="W17">
            <v>5.0933116378743506</v>
          </cell>
        </row>
        <row r="18">
          <cell r="N18">
            <v>84.107647738324729</v>
          </cell>
          <cell r="O18">
            <v>105.81948847383583</v>
          </cell>
          <cell r="P18">
            <v>117.65215461163081</v>
          </cell>
          <cell r="Q18">
            <v>97.742228807557069</v>
          </cell>
          <cell r="R18">
            <v>54.294960626625631</v>
          </cell>
          <cell r="S18">
            <v>8.7129199472184666</v>
          </cell>
          <cell r="T18">
            <v>11.104861686258573</v>
          </cell>
          <cell r="U18">
            <v>12.590584844217148</v>
          </cell>
          <cell r="V18">
            <v>10.598052198117657</v>
          </cell>
          <cell r="W18">
            <v>6.0803600073774788</v>
          </cell>
        </row>
        <row r="19">
          <cell r="N19">
            <v>93.445924118956611</v>
          </cell>
          <cell r="O19">
            <v>117.82698143815891</v>
          </cell>
          <cell r="P19">
            <v>131.02906222634775</v>
          </cell>
          <cell r="Q19">
            <v>109.36850015888693</v>
          </cell>
          <cell r="R19">
            <v>61.243849237624261</v>
          </cell>
          <cell r="S19">
            <v>9.338276380631882</v>
          </cell>
          <cell r="T19">
            <v>12.007492964323077</v>
          </cell>
          <cell r="U19">
            <v>13.376907614716941</v>
          </cell>
          <cell r="V19">
            <v>11.626271351329862</v>
          </cell>
          <cell r="W19">
            <v>6.9488886109986296</v>
          </cell>
          <cell r="AD19"/>
          <cell r="AE19"/>
          <cell r="AF19"/>
        </row>
        <row r="20">
          <cell r="N20">
            <v>103.45444092954733</v>
          </cell>
          <cell r="O20">
            <v>130.20573524530138</v>
          </cell>
          <cell r="P20">
            <v>144.73546167193922</v>
          </cell>
          <cell r="Q20">
            <v>120.9434141686873</v>
          </cell>
          <cell r="R20">
            <v>67.270575511562512</v>
          </cell>
          <cell r="S20">
            <v>10.00851681059072</v>
          </cell>
          <cell r="T20">
            <v>12.378753807142473</v>
          </cell>
          <cell r="U20">
            <v>13.706399445591472</v>
          </cell>
          <cell r="V20">
            <v>11.574914009800366</v>
          </cell>
          <cell r="W20">
            <v>6.0267262739382517</v>
          </cell>
          <cell r="AD20">
            <v>0</v>
          </cell>
          <cell r="AE20">
            <v>0</v>
          </cell>
          <cell r="AF20" t="e">
            <v>#DIV/0!</v>
          </cell>
        </row>
        <row r="21">
          <cell r="N21">
            <v>114.18130364648684</v>
          </cell>
          <cell r="O21">
            <v>144.15538517504154</v>
          </cell>
          <cell r="P21">
            <v>160.98496467185777</v>
          </cell>
          <cell r="Q21">
            <v>134.58302040586085</v>
          </cell>
          <cell r="R21">
            <v>74.731415016400319</v>
          </cell>
          <cell r="S21">
            <v>10.726862716939507</v>
          </cell>
          <cell r="T21">
            <v>13.949649929740161</v>
          </cell>
          <cell r="U21">
            <v>16.249502999918548</v>
          </cell>
          <cell r="V21">
            <v>13.639606237173552</v>
          </cell>
          <cell r="W21">
            <v>7.4608395048378071</v>
          </cell>
          <cell r="AD21">
            <v>0.1</v>
          </cell>
          <cell r="AE21">
            <v>0.1</v>
          </cell>
          <cell r="AF21">
            <v>1</v>
          </cell>
        </row>
        <row r="22">
          <cell r="N22">
            <v>125.67807044277257</v>
          </cell>
          <cell r="O22">
            <v>159.01800361247061</v>
          </cell>
          <cell r="P22">
            <v>177.54240476934203</v>
          </cell>
          <cell r="Q22">
            <v>148.27471429518647</v>
          </cell>
          <cell r="R22">
            <v>82.678138280367776</v>
          </cell>
          <cell r="S22">
            <v>11.496766796285726</v>
          </cell>
          <cell r="T22">
            <v>14.862618437429063</v>
          </cell>
          <cell r="U22">
            <v>16.55744009748426</v>
          </cell>
          <cell r="V22">
            <v>13.69169388932562</v>
          </cell>
          <cell r="W22">
            <v>7.9467232639674563</v>
          </cell>
          <cell r="AD22">
            <v>0</v>
          </cell>
          <cell r="AE22">
            <v>0</v>
          </cell>
          <cell r="AF22" t="e">
            <v>#DIV/0!</v>
          </cell>
        </row>
        <row r="23">
          <cell r="N23">
            <v>138</v>
          </cell>
          <cell r="O23">
            <v>174.4479</v>
          </cell>
          <cell r="P23">
            <v>194.48519999999999</v>
          </cell>
          <cell r="Q23">
            <v>162.75029999999998</v>
          </cell>
          <cell r="R23">
            <v>90.6297</v>
          </cell>
          <cell r="S23">
            <v>12.321929557227435</v>
          </cell>
          <cell r="T23">
            <v>15.429896387529396</v>
          </cell>
          <cell r="U23">
            <v>16.942795230657964</v>
          </cell>
          <cell r="V23">
            <v>14.475585704813511</v>
          </cell>
          <cell r="W23">
            <v>7.9515617196322239</v>
          </cell>
          <cell r="AD23">
            <v>0.2</v>
          </cell>
          <cell r="AE23">
            <v>0.2</v>
          </cell>
          <cell r="AF23">
            <v>1</v>
          </cell>
        </row>
        <row r="24">
          <cell r="N24">
            <v>151.20631710667794</v>
          </cell>
          <cell r="O24">
            <v>191.07613583385876</v>
          </cell>
          <cell r="P24">
            <v>213.54572326529612</v>
          </cell>
          <cell r="Q24">
            <v>178.86688314626454</v>
          </cell>
          <cell r="R24">
            <v>100.08148903660003</v>
          </cell>
          <cell r="S24">
            <v>13.206317106677943</v>
          </cell>
          <cell r="T24">
            <v>16.628235833858753</v>
          </cell>
          <cell r="U24">
            <v>19.060523265296126</v>
          </cell>
          <cell r="V24">
            <v>16.11658314626456</v>
          </cell>
          <cell r="W24">
            <v>9.451789036600033</v>
          </cell>
          <cell r="AD24">
            <v>1</v>
          </cell>
          <cell r="AE24"/>
          <cell r="AF24"/>
        </row>
        <row r="25">
          <cell r="N25">
            <v>165.36049731945442</v>
          </cell>
          <cell r="O25">
            <v>209.32374240788337</v>
          </cell>
          <cell r="P25">
            <v>234.3204979331129</v>
          </cell>
          <cell r="Q25">
            <v>196.49895740273368</v>
          </cell>
          <cell r="R25">
            <v>110.07940462753481</v>
          </cell>
          <cell r="S25">
            <v>14.154180212776481</v>
          </cell>
          <cell r="T25">
            <v>18.247606574024616</v>
          </cell>
          <cell r="U25">
            <v>20.774774667816786</v>
          </cell>
          <cell r="V25">
            <v>17.632074256469139</v>
          </cell>
          <cell r="W25">
            <v>9.997915590934781</v>
          </cell>
        </row>
        <row r="26">
          <cell r="N26">
            <v>180.53057205546457</v>
          </cell>
          <cell r="O26">
            <v>228.34291669105832</v>
          </cell>
          <cell r="P26">
            <v>255.38835867379359</v>
          </cell>
          <cell r="Q26">
            <v>214.20227094816607</v>
          </cell>
          <cell r="R26">
            <v>119.57167719657959</v>
          </cell>
          <cell r="S26">
            <v>15.17007473601015</v>
          </cell>
          <cell r="T26">
            <v>19.019174283174948</v>
          </cell>
          <cell r="U26">
            <v>21.067860740680686</v>
          </cell>
          <cell r="V26">
            <v>17.703313545432394</v>
          </cell>
          <cell r="W26">
            <v>9.492272569044772</v>
          </cell>
        </row>
        <row r="27">
          <cell r="N27">
            <v>196.78945558221253</v>
          </cell>
          <cell r="O27">
            <v>249.3378016637993</v>
          </cell>
          <cell r="P27">
            <v>279.36231114450891</v>
          </cell>
          <cell r="Q27">
            <v>234.24276701115065</v>
          </cell>
          <cell r="R27">
            <v>130.73707481604291</v>
          </cell>
          <cell r="S27">
            <v>16.258883526747951</v>
          </cell>
          <cell r="T27">
            <v>20.994884972740977</v>
          </cell>
          <cell r="U27">
            <v>23.973952470715318</v>
          </cell>
          <cell r="V27">
            <v>20.040496062984573</v>
          </cell>
          <cell r="W27">
            <v>11.16539761946332</v>
          </cell>
        </row>
        <row r="28">
          <cell r="N28">
            <v>214.21529547664952</v>
          </cell>
          <cell r="O28">
            <v>271.6352397437405</v>
          </cell>
          <cell r="P28">
            <v>304.3542977006739</v>
          </cell>
          <cell r="Q28">
            <v>255.27291665272404</v>
          </cell>
          <cell r="R28">
            <v>142.17003475360278</v>
          </cell>
          <cell r="S28">
            <v>17.42583989443699</v>
          </cell>
          <cell r="T28">
            <v>22.297438079941202</v>
          </cell>
          <cell r="U28">
            <v>24.991986556164989</v>
          </cell>
          <cell r="V28">
            <v>21.030149641573388</v>
          </cell>
          <cell r="W28">
            <v>11.432959937559872</v>
          </cell>
        </row>
        <row r="29">
          <cell r="N29">
            <v>232.89184823791322</v>
          </cell>
          <cell r="O29">
            <v>295.38584427942419</v>
          </cell>
          <cell r="P29">
            <v>330.98184442270946</v>
          </cell>
          <cell r="Q29">
            <v>277.21622982385412</v>
          </cell>
          <cell r="R29">
            <v>154.46096176415654</v>
          </cell>
          <cell r="S29">
            <v>18.676552761263707</v>
          </cell>
          <cell r="T29">
            <v>23.750604535683692</v>
          </cell>
          <cell r="U29">
            <v>26.627546722035561</v>
          </cell>
          <cell r="V29">
            <v>21.943313171130086</v>
          </cell>
          <cell r="W29">
            <v>12.290927010553759</v>
          </cell>
        </row>
        <row r="30">
          <cell r="N30">
            <v>252.90888185909469</v>
          </cell>
          <cell r="O30">
            <v>320.81106802484203</v>
          </cell>
          <cell r="P30">
            <v>359.37967250835402</v>
          </cell>
          <cell r="Q30">
            <v>300.81642170621222</v>
          </cell>
          <cell r="R30">
            <v>167.79349727325055</v>
          </cell>
          <cell r="S30">
            <v>20.017033621181469</v>
          </cell>
          <cell r="T30">
            <v>25.425223745417838</v>
          </cell>
          <cell r="U30">
            <v>28.397828085644562</v>
          </cell>
          <cell r="V30">
            <v>23.600191882358104</v>
          </cell>
          <cell r="W30">
            <v>13.332535509094015</v>
          </cell>
        </row>
        <row r="31">
          <cell r="N31">
            <v>274.36260729297362</v>
          </cell>
          <cell r="O31">
            <v>347.82498471701922</v>
          </cell>
          <cell r="P31">
            <v>389.05094866504174</v>
          </cell>
          <cell r="Q31">
            <v>326.02687556759241</v>
          </cell>
          <cell r="R31">
            <v>182.70283171999623</v>
          </cell>
          <cell r="S31">
            <v>21.45372543387893</v>
          </cell>
          <cell r="T31">
            <v>27.01391669217719</v>
          </cell>
          <cell r="U31">
            <v>29.671276156687725</v>
          </cell>
          <cell r="V31">
            <v>25.210453861380188</v>
          </cell>
          <cell r="W31">
            <v>14.909334446745675</v>
          </cell>
        </row>
        <row r="32">
          <cell r="N32">
            <v>297.35614088554507</v>
          </cell>
          <cell r="O32">
            <v>377.36498200194677</v>
          </cell>
          <cell r="P32">
            <v>423.24444883501349</v>
          </cell>
          <cell r="Q32">
            <v>355.68060864106502</v>
          </cell>
          <cell r="R32">
            <v>199.4794278338882</v>
          </cell>
          <cell r="S32">
            <v>22.993533592571453</v>
          </cell>
          <cell r="T32">
            <v>29.539997284927551</v>
          </cell>
          <cell r="U32">
            <v>34.193500169971742</v>
          </cell>
          <cell r="V32">
            <v>29.653733073472608</v>
          </cell>
          <cell r="W32">
            <v>16.776596113891969</v>
          </cell>
        </row>
        <row r="33">
          <cell r="N33">
            <v>322</v>
          </cell>
          <cell r="O33">
            <v>408.87419999999997</v>
          </cell>
          <cell r="P33">
            <v>458.83110000000005</v>
          </cell>
          <cell r="Q33">
            <v>385.51869999999997</v>
          </cell>
          <cell r="R33">
            <v>216.37209999999999</v>
          </cell>
          <cell r="S33">
            <v>24.643859114454926</v>
          </cell>
          <cell r="T33">
            <v>31.509217998053202</v>
          </cell>
          <cell r="U33">
            <v>35.586651164986563</v>
          </cell>
          <cell r="V33">
            <v>29.838091358934946</v>
          </cell>
          <cell r="W33">
            <v>16.892672166111794</v>
          </cell>
        </row>
        <row r="34">
          <cell r="N34">
            <v>348.41263421335577</v>
          </cell>
          <cell r="O34">
            <v>442.97106572009051</v>
          </cell>
          <cell r="P34">
            <v>497.15680452796772</v>
          </cell>
          <cell r="Q34">
            <v>417.37561322449938</v>
          </cell>
          <cell r="R34">
            <v>234.66651300547557</v>
          </cell>
          <cell r="S34">
            <v>26.412634213355773</v>
          </cell>
          <cell r="T34">
            <v>34.096865720090534</v>
          </cell>
          <cell r="U34">
            <v>38.325704527967673</v>
          </cell>
          <cell r="V34">
            <v>31.856913224499408</v>
          </cell>
          <cell r="W34">
            <v>18.294413005475576</v>
          </cell>
        </row>
        <row r="35">
          <cell r="N35">
            <v>376.72099463890885</v>
          </cell>
          <cell r="O35">
            <v>479.18173455253606</v>
          </cell>
          <cell r="P35">
            <v>537.4760326381712</v>
          </cell>
          <cell r="Q35">
            <v>451.70894653915161</v>
          </cell>
          <cell r="R35">
            <v>253.90176079978457</v>
          </cell>
          <cell r="S35">
            <v>28.308360425553076</v>
          </cell>
          <cell r="T35">
            <v>36.210668832445549</v>
          </cell>
          <cell r="U35">
            <v>40.319228110203483</v>
          </cell>
          <cell r="V35">
            <v>34.333333314652236</v>
          </cell>
          <cell r="W35">
            <v>19.235247794309004</v>
          </cell>
        </row>
        <row r="36">
          <cell r="N36">
            <v>407.06114411092915</v>
          </cell>
          <cell r="O36">
            <v>516.70660293933065</v>
          </cell>
          <cell r="P36">
            <v>579.63560107228818</v>
          </cell>
          <cell r="Q36">
            <v>487.81499577829209</v>
          </cell>
          <cell r="R36">
            <v>274.25921567579985</v>
          </cell>
          <cell r="S36">
            <v>30.3401494720203</v>
          </cell>
          <cell r="T36">
            <v>37.524868386794594</v>
          </cell>
          <cell r="U36">
            <v>42.159568434116977</v>
          </cell>
          <cell r="V36">
            <v>36.106049239140475</v>
          </cell>
          <cell r="W36">
            <v>20.357454876015282</v>
          </cell>
        </row>
        <row r="37">
          <cell r="N37">
            <v>439.57891116442499</v>
          </cell>
          <cell r="O37">
            <v>558.17539018392961</v>
          </cell>
          <cell r="P37">
            <v>627.15678862157131</v>
          </cell>
          <cell r="Q37">
            <v>528.26013406653317</v>
          </cell>
          <cell r="R37">
            <v>296.75876732077467</v>
          </cell>
          <cell r="S37">
            <v>32.517767053495845</v>
          </cell>
          <cell r="T37">
            <v>41.468787244598957</v>
          </cell>
          <cell r="U37">
            <v>47.521187549283127</v>
          </cell>
          <cell r="V37">
            <v>40.445138288241083</v>
          </cell>
          <cell r="W37">
            <v>22.499551644974815</v>
          </cell>
        </row>
        <row r="38">
          <cell r="N38">
            <v>474.43059095329892</v>
          </cell>
          <cell r="O38">
            <v>603.32822566106074</v>
          </cell>
          <cell r="P38">
            <v>678.38211377902269</v>
          </cell>
          <cell r="Q38">
            <v>570.67399318242508</v>
          </cell>
          <cell r="R38">
            <v>320.39329177926174</v>
          </cell>
          <cell r="S38">
            <v>34.851679788873923</v>
          </cell>
          <cell r="T38">
            <v>45.152835477131134</v>
          </cell>
          <cell r="U38">
            <v>51.22532515745138</v>
          </cell>
          <cell r="V38">
            <v>42.41385911589191</v>
          </cell>
          <cell r="W38">
            <v>23.634524458487078</v>
          </cell>
        </row>
        <row r="39">
          <cell r="N39">
            <v>511.78369647582645</v>
          </cell>
          <cell r="O39">
            <v>651.64973042965698</v>
          </cell>
          <cell r="P39">
            <v>731.69158798522301</v>
          </cell>
          <cell r="Q39">
            <v>614.91701190173114</v>
          </cell>
          <cell r="R39">
            <v>343.89973028645079</v>
          </cell>
          <cell r="S39">
            <v>37.353105522527528</v>
          </cell>
          <cell r="T39">
            <v>48.321504768596242</v>
          </cell>
          <cell r="U39">
            <v>53.309474206200321</v>
          </cell>
          <cell r="V39">
            <v>44.243018719306065</v>
          </cell>
          <cell r="W39">
            <v>23.506438507189046</v>
          </cell>
        </row>
        <row r="40">
          <cell r="N40">
            <v>551.81776371818933</v>
          </cell>
          <cell r="O40">
            <v>702.3836397563656</v>
          </cell>
          <cell r="P40">
            <v>788.70953087090561</v>
          </cell>
          <cell r="Q40">
            <v>660.91813362444623</v>
          </cell>
          <cell r="R40">
            <v>370.80114395344231</v>
          </cell>
          <cell r="S40">
            <v>40.03406724236288</v>
          </cell>
          <cell r="T40">
            <v>50.733909326708613</v>
          </cell>
          <cell r="U40">
            <v>57.017942885682601</v>
          </cell>
          <cell r="V40">
            <v>46.001121722715084</v>
          </cell>
          <cell r="W40">
            <v>26.901413666991516</v>
          </cell>
        </row>
        <row r="41">
          <cell r="N41">
            <v>594.72521458594724</v>
          </cell>
          <cell r="O41">
            <v>756.5654600455988</v>
          </cell>
          <cell r="P41">
            <v>848.03678381072007</v>
          </cell>
          <cell r="Q41">
            <v>710.3113529216273</v>
          </cell>
          <cell r="R41">
            <v>398.70119809661651</v>
          </cell>
          <cell r="S41">
            <v>42.907450867757916</v>
          </cell>
          <cell r="T41">
            <v>54.181820289233201</v>
          </cell>
          <cell r="U41">
            <v>59.327252939814457</v>
          </cell>
          <cell r="V41">
            <v>49.393219297181076</v>
          </cell>
          <cell r="W41">
            <v>27.900054143174202</v>
          </cell>
        </row>
        <row r="42">
          <cell r="N42">
            <v>640.71228177109015</v>
          </cell>
          <cell r="O42">
            <v>813.85363309743559</v>
          </cell>
          <cell r="P42">
            <v>911.45639925575597</v>
          </cell>
          <cell r="Q42">
            <v>764.23185972705107</v>
          </cell>
          <cell r="R42">
            <v>429.53072799376594</v>
          </cell>
          <cell r="S42">
            <v>45.987067185142905</v>
          </cell>
          <cell r="T42">
            <v>57.288173051836793</v>
          </cell>
          <cell r="U42">
            <v>63.419615445035902</v>
          </cell>
          <cell r="V42">
            <v>53.92050680542377</v>
          </cell>
          <cell r="W42">
            <v>30.829529897149428</v>
          </cell>
        </row>
        <row r="43">
          <cell r="N43">
            <v>690</v>
          </cell>
          <cell r="O43">
            <v>874.95300000000009</v>
          </cell>
          <cell r="P43">
            <v>981.16200000000003</v>
          </cell>
          <cell r="Q43">
            <v>824.10299999999995</v>
          </cell>
          <cell r="R43">
            <v>463.5</v>
          </cell>
          <cell r="S43">
            <v>49.287718228909853</v>
          </cell>
          <cell r="T43">
            <v>61.099366902564498</v>
          </cell>
          <cell r="U43">
            <v>69.705600744244066</v>
          </cell>
          <cell r="V43">
            <v>59.871140272948878</v>
          </cell>
          <cell r="W43">
            <v>33.969272006234064</v>
          </cell>
        </row>
        <row r="44">
          <cell r="N44">
            <v>742.82526842671143</v>
          </cell>
          <cell r="O44">
            <v>942.37074325168692</v>
          </cell>
          <cell r="P44">
            <v>1057.6007055976104</v>
          </cell>
          <cell r="Q44">
            <v>888.85825684924259</v>
          </cell>
          <cell r="R44">
            <v>500.64808254420291</v>
          </cell>
          <cell r="S44">
            <v>52.825268426711432</v>
          </cell>
          <cell r="T44">
            <v>67.417743251686829</v>
          </cell>
          <cell r="U44">
            <v>76.438705597610351</v>
          </cell>
          <cell r="V44">
            <v>64.755256849242642</v>
          </cell>
          <cell r="W44">
            <v>37.148082544202907</v>
          </cell>
        </row>
        <row r="45">
          <cell r="N45">
            <v>799.4419892778177</v>
          </cell>
          <cell r="O45">
            <v>1017.2238904960392</v>
          </cell>
          <cell r="P45">
            <v>1141.846469120243</v>
          </cell>
          <cell r="Q45">
            <v>960.18544247843488</v>
          </cell>
          <cell r="R45">
            <v>540.59657648860423</v>
          </cell>
          <cell r="S45">
            <v>56.616720851106265</v>
          </cell>
          <cell r="T45">
            <v>74.853147244352272</v>
          </cell>
          <cell r="U45">
            <v>84.245763522632615</v>
          </cell>
          <cell r="V45">
            <v>71.327185629192286</v>
          </cell>
          <cell r="W45">
            <v>39.948493944401321</v>
          </cell>
        </row>
        <row r="46">
          <cell r="N46">
            <v>860.12228822185841</v>
          </cell>
          <cell r="O46">
            <v>1094.6851155442046</v>
          </cell>
          <cell r="P46">
            <v>1229.3671770623182</v>
          </cell>
          <cell r="Q46">
            <v>1032.1037397518191</v>
          </cell>
          <cell r="R46">
            <v>580.8592795468345</v>
          </cell>
          <cell r="S46">
            <v>60.680298944040715</v>
          </cell>
          <cell r="T46">
            <v>77.461225048165375</v>
          </cell>
          <cell r="U46">
            <v>87.520707942075205</v>
          </cell>
          <cell r="V46">
            <v>71.918297273384269</v>
          </cell>
          <cell r="W46">
            <v>40.262703058230272</v>
          </cell>
        </row>
        <row r="47">
          <cell r="N47">
            <v>925.1578223288501</v>
          </cell>
          <cell r="O47">
            <v>1177.4564053285565</v>
          </cell>
          <cell r="P47">
            <v>1321.4069400576111</v>
          </cell>
          <cell r="Q47">
            <v>1109.1073543850268</v>
          </cell>
          <cell r="R47">
            <v>623.53626012307257</v>
          </cell>
          <cell r="S47">
            <v>65.03553410699169</v>
          </cell>
          <cell r="T47">
            <v>82.771289784351893</v>
          </cell>
          <cell r="U47">
            <v>92.039762995292904</v>
          </cell>
          <cell r="V47">
            <v>77.00361463320769</v>
          </cell>
          <cell r="W47">
            <v>42.676980576238066</v>
          </cell>
        </row>
        <row r="48">
          <cell r="N48">
            <v>994.86118190659784</v>
          </cell>
          <cell r="O48">
            <v>1266.3133808732127</v>
          </cell>
          <cell r="P48">
            <v>1419.9805041271859</v>
          </cell>
          <cell r="Q48">
            <v>1192.0015760681895</v>
          </cell>
          <cell r="R48">
            <v>669.40099721265346</v>
          </cell>
          <cell r="S48">
            <v>69.703359577747733</v>
          </cell>
          <cell r="T48">
            <v>88.856975544656279</v>
          </cell>
          <cell r="U48">
            <v>98.573564069574786</v>
          </cell>
          <cell r="V48">
            <v>82.894221683162641</v>
          </cell>
          <cell r="W48">
            <v>45.864737089580899</v>
          </cell>
        </row>
        <row r="49">
          <cell r="N49">
            <v>1069.5673929516524</v>
          </cell>
          <cell r="O49">
            <v>1360.7803671478041</v>
          </cell>
          <cell r="P49">
            <v>1524.9171093287671</v>
          </cell>
          <cell r="Q49">
            <v>1279.8350418199216</v>
          </cell>
          <cell r="R49">
            <v>716.31485967129208</v>
          </cell>
          <cell r="S49">
            <v>74.706211045054602</v>
          </cell>
          <cell r="T49">
            <v>94.466986274591363</v>
          </cell>
          <cell r="U49">
            <v>104.93660520158119</v>
          </cell>
          <cell r="V49">
            <v>87.833465751732092</v>
          </cell>
          <cell r="W49">
            <v>46.913862458638619</v>
          </cell>
        </row>
        <row r="50">
          <cell r="N50">
            <v>1149.6355274363787</v>
          </cell>
          <cell r="O50">
            <v>1462.1464511162799</v>
          </cell>
          <cell r="P50">
            <v>1637.7082921941562</v>
          </cell>
          <cell r="Q50">
            <v>1373.584528180985</v>
          </cell>
          <cell r="R50">
            <v>766.59196494058733</v>
          </cell>
          <cell r="S50">
            <v>80.068134484726215</v>
          </cell>
          <cell r="T50">
            <v>101.36608396847578</v>
          </cell>
          <cell r="U50">
            <v>112.79118286538915</v>
          </cell>
          <cell r="V50">
            <v>93.749486361063418</v>
          </cell>
          <cell r="W50">
            <v>50.277105269295248</v>
          </cell>
        </row>
        <row r="51">
          <cell r="N51">
            <v>1235.4504291718947</v>
          </cell>
          <cell r="O51">
            <v>1569.4893676019494</v>
          </cell>
          <cell r="P51">
            <v>1758.9779200570902</v>
          </cell>
          <cell r="Q51">
            <v>1469.7536030643444</v>
          </cell>
          <cell r="R51">
            <v>819.941592223361</v>
          </cell>
          <cell r="S51">
            <v>85.814901735516059</v>
          </cell>
          <cell r="T51">
            <v>107.34291648566955</v>
          </cell>
          <cell r="U51">
            <v>121.26962786293393</v>
          </cell>
          <cell r="V51">
            <v>96.169074883359372</v>
          </cell>
          <cell r="W51">
            <v>53.349627282773668</v>
          </cell>
        </row>
        <row r="52">
          <cell r="N52">
            <v>1327.4245635421805</v>
          </cell>
          <cell r="O52">
            <v>1686.1379661948713</v>
          </cell>
          <cell r="P52">
            <v>1885.4623072330214</v>
          </cell>
          <cell r="Q52">
            <v>1572.6316231897233</v>
          </cell>
          <cell r="R52">
            <v>880.3883704191951</v>
          </cell>
          <cell r="S52">
            <v>91.97413437028581</v>
          </cell>
          <cell r="T52">
            <v>116.64859859292187</v>
          </cell>
          <cell r="U52">
            <v>126.48438717593126</v>
          </cell>
          <cell r="V52">
            <v>102.87802012537895</v>
          </cell>
          <cell r="W52">
            <v>60.446778195834099</v>
          </cell>
        </row>
        <row r="53">
          <cell r="N53">
            <v>1426</v>
          </cell>
          <cell r="O53">
            <v>1811.3516999999999</v>
          </cell>
          <cell r="P53">
            <v>2020.6823000000002</v>
          </cell>
          <cell r="Q53">
            <v>1687.8197999999998</v>
          </cell>
          <cell r="R53">
            <v>946.40519999999992</v>
          </cell>
          <cell r="S53">
            <v>98.575436457819478</v>
          </cell>
          <cell r="T53">
            <v>125.21373380512864</v>
          </cell>
          <cell r="U53">
            <v>135.21999276697875</v>
          </cell>
          <cell r="V53">
            <v>115.18817681027645</v>
          </cell>
          <cell r="W53">
            <v>66.016829580804824</v>
          </cell>
        </row>
        <row r="54">
          <cell r="N54">
            <v>1531.6505368534229</v>
          </cell>
          <cell r="O54">
            <v>1938.1905454352827</v>
          </cell>
          <cell r="P54">
            <v>2164.3320878515306</v>
          </cell>
          <cell r="Q54">
            <v>1811.4964086368636</v>
          </cell>
          <cell r="R54">
            <v>1014.1224688260519</v>
          </cell>
          <cell r="S54">
            <v>105.65053685342286</v>
          </cell>
          <cell r="T54">
            <v>126.83884543528279</v>
          </cell>
          <cell r="U54">
            <v>143.64978785153039</v>
          </cell>
          <cell r="V54">
            <v>123.67660863686388</v>
          </cell>
          <cell r="W54">
            <v>67.717268826051964</v>
          </cell>
        </row>
        <row r="55">
          <cell r="N55">
            <v>1644.8839785556356</v>
          </cell>
          <cell r="O55">
            <v>2082.4374201903788</v>
          </cell>
          <cell r="P55">
            <v>2330.1962815429533</v>
          </cell>
          <cell r="Q55">
            <v>1949.8383165103787</v>
          </cell>
          <cell r="R55">
            <v>1088.7272503975591</v>
          </cell>
          <cell r="S55">
            <v>113.23344170221276</v>
          </cell>
          <cell r="T55">
            <v>144.24687475509609</v>
          </cell>
          <cell r="U55">
            <v>165.86419369142277</v>
          </cell>
          <cell r="V55">
            <v>138.34190787351508</v>
          </cell>
          <cell r="W55">
            <v>74.60478157150726</v>
          </cell>
        </row>
        <row r="56">
          <cell r="N56">
            <v>1766.2445764437161</v>
          </cell>
          <cell r="O56">
            <v>2239.6825954973315</v>
          </cell>
          <cell r="P56">
            <v>2509.806665491662</v>
          </cell>
          <cell r="Q56">
            <v>2092.9076711948587</v>
          </cell>
          <cell r="R56">
            <v>1167.8677915794442</v>
          </cell>
          <cell r="S56">
            <v>121.36059788808052</v>
          </cell>
          <cell r="T56">
            <v>157.24517530695266</v>
          </cell>
          <cell r="U56">
            <v>179.61038394870866</v>
          </cell>
          <cell r="V56">
            <v>143.06935468448</v>
          </cell>
          <cell r="W56">
            <v>79.140541181885055</v>
          </cell>
        </row>
        <row r="57">
          <cell r="N57">
            <v>1896.3156446577002</v>
          </cell>
          <cell r="O57">
            <v>2408.4857657278585</v>
          </cell>
          <cell r="P57">
            <v>2689.3837042307518</v>
          </cell>
          <cell r="Q57">
            <v>2241.5151732157478</v>
          </cell>
          <cell r="R57">
            <v>1247.5036141140115</v>
          </cell>
          <cell r="S57">
            <v>130.07106821398406</v>
          </cell>
          <cell r="T57">
            <v>168.80317023052703</v>
          </cell>
          <cell r="U57">
            <v>179.57703873908986</v>
          </cell>
          <cell r="V57">
            <v>148.60750202088911</v>
          </cell>
          <cell r="W57">
            <v>79.635822534567296</v>
          </cell>
        </row>
        <row r="58">
          <cell r="N58">
            <v>2035.7223638131961</v>
          </cell>
          <cell r="O58">
            <v>2581.6898253376967</v>
          </cell>
          <cell r="P58">
            <v>2879.4407739457738</v>
          </cell>
          <cell r="Q58">
            <v>2398.0942210221438</v>
          </cell>
          <cell r="R58">
            <v>1333.2875112126535</v>
          </cell>
          <cell r="S58">
            <v>139.40671915549592</v>
          </cell>
          <cell r="T58">
            <v>173.20405960983817</v>
          </cell>
          <cell r="U58">
            <v>190.05706971502195</v>
          </cell>
          <cell r="V58">
            <v>156.57904780639592</v>
          </cell>
          <cell r="W58">
            <v>85.783897098642001</v>
          </cell>
        </row>
        <row r="59">
          <cell r="N59">
            <v>2185.1347859033053</v>
          </cell>
          <cell r="O59">
            <v>2765.4448312300565</v>
          </cell>
          <cell r="P59">
            <v>3083.8617221732834</v>
          </cell>
          <cell r="Q59">
            <v>2565.7852656076611</v>
          </cell>
          <cell r="R59">
            <v>1425.2731652774821</v>
          </cell>
          <cell r="S59">
            <v>149.4124220901092</v>
          </cell>
          <cell r="T59">
            <v>183.7550058923598</v>
          </cell>
          <cell r="U59">
            <v>204.4209482275096</v>
          </cell>
          <cell r="V59">
            <v>167.69104458551737</v>
          </cell>
          <cell r="W59">
            <v>91.985654064828623</v>
          </cell>
        </row>
        <row r="60">
          <cell r="N60">
            <v>2345.2710548727578</v>
          </cell>
          <cell r="O60">
            <v>2968.7919553027004</v>
          </cell>
          <cell r="P60">
            <v>3304.7571323285597</v>
          </cell>
          <cell r="Q60">
            <v>2746.4653577160998</v>
          </cell>
          <cell r="R60">
            <v>1526.0474817443567</v>
          </cell>
          <cell r="S60">
            <v>160.13626896945243</v>
          </cell>
          <cell r="T60">
            <v>203.34712407264396</v>
          </cell>
          <cell r="U60">
            <v>220.89541015527629</v>
          </cell>
          <cell r="V60">
            <v>180.68009210843866</v>
          </cell>
          <cell r="W60">
            <v>100.77431646687455</v>
          </cell>
        </row>
        <row r="61">
          <cell r="N61">
            <v>2516.9008583437885</v>
          </cell>
          <cell r="O61">
            <v>3179.8197152899115</v>
          </cell>
          <cell r="P61">
            <v>3541.126305028768</v>
          </cell>
          <cell r="Q61">
            <v>2942.9465153781307</v>
          </cell>
          <cell r="R61">
            <v>1633.2169669792843</v>
          </cell>
          <cell r="S61">
            <v>171.62980347103075</v>
          </cell>
          <cell r="T61">
            <v>211.02775998721108</v>
          </cell>
          <cell r="U61">
            <v>236.36917270020831</v>
          </cell>
          <cell r="V61">
            <v>196.48115766203091</v>
          </cell>
          <cell r="W61">
            <v>107.16948523492761</v>
          </cell>
        </row>
        <row r="62">
          <cell r="N62">
            <v>2700.8491270843624</v>
          </cell>
          <cell r="O62">
            <v>3413.0043277850505</v>
          </cell>
          <cell r="P62">
            <v>3797.2588302242589</v>
          </cell>
          <cell r="Q62">
            <v>3152.5896292338052</v>
          </cell>
          <cell r="R62">
            <v>1751.3714878690009</v>
          </cell>
          <cell r="S62">
            <v>183.94826874057389</v>
          </cell>
          <cell r="T62">
            <v>233.18461249513894</v>
          </cell>
          <cell r="U62">
            <v>256.13252519549087</v>
          </cell>
          <cell r="V62">
            <v>209.64311385567453</v>
          </cell>
          <cell r="W62">
            <v>118.15452088971665</v>
          </cell>
        </row>
        <row r="63">
          <cell r="N63">
            <v>2898</v>
          </cell>
          <cell r="O63">
            <v>3657.4965000000002</v>
          </cell>
          <cell r="P63">
            <v>4069.2833999999998</v>
          </cell>
          <cell r="Q63">
            <v>3379.4712</v>
          </cell>
          <cell r="R63">
            <v>1882.4589000000003</v>
          </cell>
          <cell r="S63">
            <v>197.15087291563759</v>
          </cell>
          <cell r="T63">
            <v>244.49217221494973</v>
          </cell>
          <cell r="U63">
            <v>272.02456977574093</v>
          </cell>
          <cell r="V63">
            <v>226.88157076619473</v>
          </cell>
          <cell r="W63">
            <v>131.08741213099938</v>
          </cell>
        </row>
        <row r="64">
          <cell r="N64">
            <v>3109.3010737068457</v>
          </cell>
          <cell r="O64">
            <v>3925.9860381165895</v>
          </cell>
          <cell r="P64">
            <v>4365.9859367969093</v>
          </cell>
          <cell r="Q64">
            <v>3628.6625026184524</v>
          </cell>
          <cell r="R64">
            <v>2019.01789286138</v>
          </cell>
          <cell r="S64">
            <v>211.30107370684573</v>
          </cell>
          <cell r="T64">
            <v>268.4895381165893</v>
          </cell>
          <cell r="U64">
            <v>296.7025367969095</v>
          </cell>
          <cell r="V64">
            <v>249.19130261845248</v>
          </cell>
          <cell r="W64">
            <v>136.55899286137969</v>
          </cell>
        </row>
        <row r="65">
          <cell r="N65">
            <v>3335.7679571112699</v>
          </cell>
          <cell r="O65">
            <v>4210.4788321605647</v>
          </cell>
          <cell r="P65">
            <v>4687.2833516127894</v>
          </cell>
          <cell r="Q65">
            <v>3898.1856863497019</v>
          </cell>
          <cell r="R65">
            <v>2175.7836567037139</v>
          </cell>
          <cell r="S65">
            <v>226.46688340442415</v>
          </cell>
          <cell r="T65">
            <v>284.49279404397521</v>
          </cell>
          <cell r="U65">
            <v>321.29741481588007</v>
          </cell>
          <cell r="V65">
            <v>269.52318373124945</v>
          </cell>
          <cell r="W65">
            <v>156.76576384233385</v>
          </cell>
        </row>
        <row r="66">
          <cell r="N66">
            <v>3578.4891528874323</v>
          </cell>
          <cell r="O66">
            <v>4520.4953050880667</v>
          </cell>
          <cell r="P66">
            <v>5030.4689059957536</v>
          </cell>
          <cell r="Q66">
            <v>4189.8429073612688</v>
          </cell>
          <cell r="R66">
            <v>2338.1070192541943</v>
          </cell>
          <cell r="S66">
            <v>242.7211957761624</v>
          </cell>
          <cell r="T66">
            <v>310.01647292750204</v>
          </cell>
          <cell r="U66">
            <v>343.18555438296426</v>
          </cell>
          <cell r="V66">
            <v>291.65722101156689</v>
          </cell>
          <cell r="W66">
            <v>162.3233625504804</v>
          </cell>
        </row>
        <row r="67">
          <cell r="N67">
            <v>3838.631289315399</v>
          </cell>
          <cell r="O67">
            <v>4850.7949118015804</v>
          </cell>
          <cell r="P67">
            <v>5402.2393310636253</v>
          </cell>
          <cell r="Q67">
            <v>4503.0232618402342</v>
          </cell>
          <cell r="R67">
            <v>2507.2187163176109</v>
          </cell>
          <cell r="S67">
            <v>260.14213642796676</v>
          </cell>
          <cell r="T67">
            <v>330.29960671351364</v>
          </cell>
          <cell r="U67">
            <v>371.77042506787166</v>
          </cell>
          <cell r="V67">
            <v>313.18035447896546</v>
          </cell>
          <cell r="W67">
            <v>169.11169706341661</v>
          </cell>
        </row>
        <row r="68">
          <cell r="N68">
            <v>4117.4447276263909</v>
          </cell>
          <cell r="O68">
            <v>5202.5256778579324</v>
          </cell>
          <cell r="P68">
            <v>5806.0267123595722</v>
          </cell>
          <cell r="Q68">
            <v>4833.7816495985917</v>
          </cell>
          <cell r="R68">
            <v>2677.3415812386629</v>
          </cell>
          <cell r="S68">
            <v>278.81343831099184</v>
          </cell>
          <cell r="T68">
            <v>351.73076605635197</v>
          </cell>
          <cell r="U68">
            <v>403.78738129594694</v>
          </cell>
          <cell r="V68">
            <v>330.75838775835746</v>
          </cell>
          <cell r="W68">
            <v>170.12286492105204</v>
          </cell>
        </row>
        <row r="69">
          <cell r="N69">
            <v>4416.2695718066107</v>
          </cell>
          <cell r="O69">
            <v>5584.6032876140744</v>
          </cell>
          <cell r="P69">
            <v>6232.6428443465666</v>
          </cell>
          <cell r="Q69">
            <v>5166.7953843630921</v>
          </cell>
          <cell r="R69">
            <v>2868.6839062272406</v>
          </cell>
          <cell r="S69">
            <v>298.82484418021977</v>
          </cell>
          <cell r="T69">
            <v>382.07760975614201</v>
          </cell>
          <cell r="U69">
            <v>426.61613198699433</v>
          </cell>
          <cell r="V69">
            <v>333.01373476450044</v>
          </cell>
          <cell r="W69">
            <v>191.34232498857773</v>
          </cell>
        </row>
        <row r="70">
          <cell r="N70">
            <v>4736.5421097455128</v>
          </cell>
          <cell r="O70">
            <v>5994.4338352951672</v>
          </cell>
          <cell r="P70">
            <v>6669.648506700737</v>
          </cell>
          <cell r="Q70">
            <v>5523.467097126364</v>
          </cell>
          <cell r="R70">
            <v>3069.2998807764393</v>
          </cell>
          <cell r="S70">
            <v>320.27253793890213</v>
          </cell>
          <cell r="T70">
            <v>409.83054768109287</v>
          </cell>
          <cell r="U70">
            <v>437.00566235417045</v>
          </cell>
          <cell r="V70">
            <v>356.6717127632719</v>
          </cell>
          <cell r="W70">
            <v>200.61597454919865</v>
          </cell>
        </row>
        <row r="71">
          <cell r="N71">
            <v>5079.8017166875779</v>
          </cell>
          <cell r="O71">
            <v>6420.7147672321553</v>
          </cell>
          <cell r="P71">
            <v>7120.8439603582265</v>
          </cell>
          <cell r="Q71">
            <v>5913.5186519153212</v>
          </cell>
          <cell r="R71">
            <v>3281.4966937441241</v>
          </cell>
          <cell r="S71">
            <v>343.25960694206515</v>
          </cell>
          <cell r="T71">
            <v>426.28093193698805</v>
          </cell>
          <cell r="U71">
            <v>451.19545365748945</v>
          </cell>
          <cell r="V71">
            <v>390.05155478895722</v>
          </cell>
          <cell r="W71">
            <v>212.19681296768476</v>
          </cell>
        </row>
        <row r="72">
          <cell r="N72">
            <v>5447.6982541687212</v>
          </cell>
          <cell r="O72">
            <v>6868.2684736992569</v>
          </cell>
          <cell r="P72">
            <v>7634.4043333920454</v>
          </cell>
          <cell r="Q72">
            <v>6338.1363766348895</v>
          </cell>
          <cell r="R72">
            <v>3508.175561817156</v>
          </cell>
          <cell r="S72">
            <v>367.89653748114324</v>
          </cell>
          <cell r="T72">
            <v>447.55370646710162</v>
          </cell>
          <cell r="U72">
            <v>513.56037303381891</v>
          </cell>
          <cell r="V72">
            <v>424.61772471956829</v>
          </cell>
          <cell r="W72">
            <v>226.67886807303194</v>
          </cell>
        </row>
        <row r="73">
          <cell r="N73">
            <v>5842</v>
          </cell>
          <cell r="O73">
            <v>7367.9431000000004</v>
          </cell>
          <cell r="P73">
            <v>8199.691499999999</v>
          </cell>
          <cell r="Q73">
            <v>6790.3471000000009</v>
          </cell>
          <cell r="R73">
            <v>3759.4794000000002</v>
          </cell>
          <cell r="S73">
            <v>394.30174583127882</v>
          </cell>
          <cell r="T73">
            <v>499.67462630074351</v>
          </cell>
          <cell r="U73">
            <v>565.28716660795362</v>
          </cell>
          <cell r="V73">
            <v>452.21072336511133</v>
          </cell>
          <cell r="W73">
            <v>251.30383818284417</v>
          </cell>
        </row>
        <row r="74">
          <cell r="N74">
            <v>6264.6021474136924</v>
          </cell>
          <cell r="O74">
            <v>7908.2294703902389</v>
          </cell>
          <cell r="P74">
            <v>8789.1278632188478</v>
          </cell>
          <cell r="Q74">
            <v>7273.1349996456938</v>
          </cell>
          <cell r="R74">
            <v>4030.0321801315486</v>
          </cell>
          <cell r="S74">
            <v>422.60214741369236</v>
          </cell>
          <cell r="T74">
            <v>540.28637039023852</v>
          </cell>
          <cell r="U74">
            <v>589.43636321884878</v>
          </cell>
          <cell r="V74">
            <v>482.78789964569296</v>
          </cell>
          <cell r="W74">
            <v>270.55278013154839</v>
          </cell>
        </row>
        <row r="75">
          <cell r="N75">
            <v>6717.5359142225398</v>
          </cell>
          <cell r="O75">
            <v>8480.9767117396204</v>
          </cell>
          <cell r="P75">
            <v>9401.9946955963624</v>
          </cell>
          <cell r="Q75">
            <v>7785.4488845165961</v>
          </cell>
          <cell r="R75">
            <v>4315.3888813133908</v>
          </cell>
          <cell r="S75">
            <v>452.93376680884739</v>
          </cell>
          <cell r="T75">
            <v>572.74724134938151</v>
          </cell>
          <cell r="U75">
            <v>612.86683237751458</v>
          </cell>
          <cell r="V75">
            <v>512.31388487090226</v>
          </cell>
          <cell r="W75">
            <v>285.35670118184225</v>
          </cell>
        </row>
        <row r="76">
          <cell r="N76">
            <v>7202.9783057748664</v>
          </cell>
          <cell r="O76">
            <v>9072.871473954021</v>
          </cell>
          <cell r="P76">
            <v>10062.905183434286</v>
          </cell>
          <cell r="Q76">
            <v>8338.3869078438565</v>
          </cell>
          <cell r="R76">
            <v>4622.4017171915848</v>
          </cell>
          <cell r="S76">
            <v>485.44239155232663</v>
          </cell>
          <cell r="T76">
            <v>591.89476221440054</v>
          </cell>
          <cell r="U76">
            <v>660.91048783792394</v>
          </cell>
          <cell r="V76">
            <v>552.93802332726045</v>
          </cell>
          <cell r="W76">
            <v>307.01283587819398</v>
          </cell>
        </row>
        <row r="77">
          <cell r="N77">
            <v>7723.2625786307999</v>
          </cell>
          <cell r="O77">
            <v>9725.9717240747977</v>
          </cell>
          <cell r="P77">
            <v>10801.990098290646</v>
          </cell>
          <cell r="Q77">
            <v>8947.6011737588742</v>
          </cell>
          <cell r="R77">
            <v>4961.4742496161989</v>
          </cell>
          <cell r="S77">
            <v>520.28427285593352</v>
          </cell>
          <cell r="T77">
            <v>653.10025012077676</v>
          </cell>
          <cell r="U77">
            <v>739.08491485635932</v>
          </cell>
          <cell r="V77">
            <v>609.21426591501768</v>
          </cell>
          <cell r="W77">
            <v>339.07253242461411</v>
          </cell>
        </row>
        <row r="78">
          <cell r="N78">
            <v>8280.8894552527818</v>
          </cell>
          <cell r="O78">
            <v>10435.432876040768</v>
          </cell>
          <cell r="P78">
            <v>11591.73307493163</v>
          </cell>
          <cell r="Q78">
            <v>9601.0432537560609</v>
          </cell>
          <cell r="R78">
            <v>5330.8225868189775</v>
          </cell>
          <cell r="S78">
            <v>557.62687662198186</v>
          </cell>
          <cell r="T78">
            <v>709.4611519659702</v>
          </cell>
          <cell r="U78">
            <v>789.74297664098412</v>
          </cell>
          <cell r="V78">
            <v>653.44207999718674</v>
          </cell>
          <cell r="W78">
            <v>369.34833720277857</v>
          </cell>
        </row>
        <row r="79">
          <cell r="N79">
            <v>8878.5391436132213</v>
          </cell>
          <cell r="O79">
            <v>11187.287440877531</v>
          </cell>
          <cell r="P79">
            <v>12423.064282636185</v>
          </cell>
          <cell r="Q79">
            <v>10303.911398432119</v>
          </cell>
          <cell r="R79">
            <v>5733.4517601925972</v>
          </cell>
          <cell r="S79">
            <v>597.64968836043954</v>
          </cell>
          <cell r="T79">
            <v>751.85456483676353</v>
          </cell>
          <cell r="U79">
            <v>831.33120770455571</v>
          </cell>
          <cell r="V79">
            <v>702.86814467605836</v>
          </cell>
          <cell r="W79">
            <v>402.62917337361978</v>
          </cell>
        </row>
        <row r="80">
          <cell r="N80">
            <v>9519.0842194910274</v>
          </cell>
          <cell r="O80">
            <v>12001.33028535274</v>
          </cell>
          <cell r="P80">
            <v>13334.39525564707</v>
          </cell>
          <cell r="Q80">
            <v>11064.341993234622</v>
          </cell>
          <cell r="R80">
            <v>6132.1733605347736</v>
          </cell>
          <cell r="S80">
            <v>640.54507587780608</v>
          </cell>
          <cell r="T80">
            <v>814.04284447520877</v>
          </cell>
          <cell r="U80">
            <v>911.33097301088492</v>
          </cell>
          <cell r="V80">
            <v>760.43059480250304</v>
          </cell>
          <cell r="W80">
            <v>398.72160034217632</v>
          </cell>
        </row>
        <row r="81">
          <cell r="N81">
            <v>10205.603433375156</v>
          </cell>
          <cell r="O81">
            <v>12866.869831288672</v>
          </cell>
          <cell r="P81">
            <v>14308.189455308708</v>
          </cell>
          <cell r="Q81">
            <v>11862.30566202825</v>
          </cell>
          <cell r="R81">
            <v>6556.1462038834607</v>
          </cell>
          <cell r="S81">
            <v>686.51921388412848</v>
          </cell>
          <cell r="T81">
            <v>865.53954593593153</v>
          </cell>
          <cell r="U81">
            <v>973.79419966163732</v>
          </cell>
          <cell r="V81">
            <v>797.96366879362722</v>
          </cell>
          <cell r="W81">
            <v>423.97284334868709</v>
          </cell>
        </row>
        <row r="82">
          <cell r="N82">
            <v>10941.396508337442</v>
          </cell>
          <cell r="O82">
            <v>13807.281252895182</v>
          </cell>
          <cell r="P82">
            <v>15354.918003354933</v>
          </cell>
          <cell r="Q82">
            <v>12680.793125428094</v>
          </cell>
          <cell r="R82">
            <v>7016.5748669292998</v>
          </cell>
          <cell r="S82">
            <v>735.79307496228648</v>
          </cell>
          <cell r="T82">
            <v>940.41142160650998</v>
          </cell>
          <cell r="U82">
            <v>1046.7285480462251</v>
          </cell>
          <cell r="V82">
            <v>818.48746339984427</v>
          </cell>
          <cell r="W82">
            <v>460.42866304583913</v>
          </cell>
        </row>
        <row r="83">
          <cell r="N83">
            <v>11730</v>
          </cell>
          <cell r="O83">
            <v>14812.695</v>
          </cell>
          <cell r="P83">
            <v>16410.576000000001</v>
          </cell>
          <cell r="Q83">
            <v>13552.740000000002</v>
          </cell>
          <cell r="R83">
            <v>7496.0309999999999</v>
          </cell>
          <cell r="S83">
            <v>788.60349166255764</v>
          </cell>
          <cell r="T83">
            <v>1005.413747104818</v>
          </cell>
          <cell r="U83">
            <v>1055.6579966450681</v>
          </cell>
          <cell r="V83">
            <v>871.94687457190776</v>
          </cell>
          <cell r="W83">
            <v>479.45613307070016</v>
          </cell>
        </row>
        <row r="84">
          <cell r="N84">
            <v>12575.204294827385</v>
          </cell>
          <cell r="O84">
            <v>15836.064118078692</v>
          </cell>
          <cell r="P84">
            <v>17533.333974271412</v>
          </cell>
          <cell r="Q84">
            <v>14498.308417714825</v>
          </cell>
          <cell r="R84">
            <v>8019.2624536127059</v>
          </cell>
          <cell r="S84">
            <v>845.20429482738473</v>
          </cell>
          <cell r="T84">
            <v>1023.3691180786918</v>
          </cell>
          <cell r="U84">
            <v>1122.7579742714115</v>
          </cell>
          <cell r="V84">
            <v>945.56841771482323</v>
          </cell>
          <cell r="W84">
            <v>523.23145361270599</v>
          </cell>
        </row>
        <row r="85">
          <cell r="N85">
            <v>13481.07182844507</v>
          </cell>
          <cell r="O85">
            <v>16961.1226009245</v>
          </cell>
          <cell r="P85">
            <v>18780.363937495276</v>
          </cell>
          <cell r="Q85">
            <v>15533.652934359494</v>
          </cell>
          <cell r="R85">
            <v>8572.7894157755472</v>
          </cell>
          <cell r="S85">
            <v>905.86753361768569</v>
          </cell>
          <cell r="T85">
            <v>1125.0584828458086</v>
          </cell>
          <cell r="U85">
            <v>1247.0299632238639</v>
          </cell>
          <cell r="V85">
            <v>1035.3445166446691</v>
          </cell>
          <cell r="W85">
            <v>553.5269621628413</v>
          </cell>
        </row>
        <row r="86">
          <cell r="N86">
            <v>14451.956611549746</v>
          </cell>
          <cell r="O86">
            <v>18193.159753419211</v>
          </cell>
          <cell r="P86">
            <v>20161.484826615306</v>
          </cell>
          <cell r="Q86">
            <v>16642.653312781815</v>
          </cell>
          <cell r="R86">
            <v>9186.9517314772656</v>
          </cell>
          <cell r="S86">
            <v>970.88478310467508</v>
          </cell>
          <cell r="T86">
            <v>1232.0371524947113</v>
          </cell>
          <cell r="U86">
            <v>1381.1208891200295</v>
          </cell>
          <cell r="V86">
            <v>1109.0003784223209</v>
          </cell>
          <cell r="W86">
            <v>614.1623157017184</v>
          </cell>
        </row>
        <row r="87">
          <cell r="N87">
            <v>15492.5251572616</v>
          </cell>
          <cell r="O87">
            <v>19514.384688086713</v>
          </cell>
          <cell r="P87">
            <v>21591.696555857881</v>
          </cell>
          <cell r="Q87">
            <v>17816.673366070961</v>
          </cell>
          <cell r="R87">
            <v>9851.8988239177452</v>
          </cell>
          <cell r="S87">
            <v>1040.5685457118543</v>
          </cell>
          <cell r="T87">
            <v>1321.2249346675017</v>
          </cell>
          <cell r="U87">
            <v>1430.2117292425755</v>
          </cell>
          <cell r="V87">
            <v>1174.0200532891467</v>
          </cell>
          <cell r="W87">
            <v>664.94709244047954</v>
          </cell>
        </row>
        <row r="88">
          <cell r="N88">
            <v>16607.778910505567</v>
          </cell>
          <cell r="O88">
            <v>20885.292888242257</v>
          </cell>
          <cell r="P88">
            <v>23106.583317522378</v>
          </cell>
          <cell r="Q88">
            <v>19114.109371304035</v>
          </cell>
          <cell r="R88">
            <v>10561.103232393669</v>
          </cell>
          <cell r="S88">
            <v>1115.2537532439674</v>
          </cell>
          <cell r="T88">
            <v>1370.9082001555435</v>
          </cell>
          <cell r="U88">
            <v>1514.8867616644966</v>
          </cell>
          <cell r="V88">
            <v>1297.436005233074</v>
          </cell>
          <cell r="W88">
            <v>709.20440847592363</v>
          </cell>
        </row>
        <row r="89">
          <cell r="N89">
            <v>17803.078287226446</v>
          </cell>
          <cell r="O89">
            <v>22378.082383602617</v>
          </cell>
          <cell r="P89">
            <v>24773.138246052011</v>
          </cell>
          <cell r="Q89">
            <v>20537.631112144427</v>
          </cell>
          <cell r="R89">
            <v>11221.551160847546</v>
          </cell>
          <cell r="S89">
            <v>1195.2993767208791</v>
          </cell>
          <cell r="T89">
            <v>1492.7894953603609</v>
          </cell>
          <cell r="U89">
            <v>1666.5549285296329</v>
          </cell>
          <cell r="V89">
            <v>1423.5217408403914</v>
          </cell>
          <cell r="W89">
            <v>660.44792845387747</v>
          </cell>
        </row>
        <row r="90">
          <cell r="N90">
            <v>19084.16843898204</v>
          </cell>
          <cell r="O90">
            <v>24005.062758296252</v>
          </cell>
          <cell r="P90">
            <v>26608.641181245723</v>
          </cell>
          <cell r="Q90">
            <v>21895.847272561801</v>
          </cell>
          <cell r="R90">
            <v>11922.21192241363</v>
          </cell>
          <cell r="S90">
            <v>1281.090151755594</v>
          </cell>
          <cell r="T90">
            <v>1626.9803746936341</v>
          </cell>
          <cell r="U90">
            <v>1835.5029351937119</v>
          </cell>
          <cell r="V90">
            <v>1358.2161604173743</v>
          </cell>
          <cell r="W90">
            <v>700.66076156608324</v>
          </cell>
        </row>
        <row r="91">
          <cell r="N91">
            <v>20457.206866750312</v>
          </cell>
          <cell r="O91">
            <v>25779.816315968015</v>
          </cell>
          <cell r="P91">
            <v>28474.475182207443</v>
          </cell>
          <cell r="Q91">
            <v>23278.789359941271</v>
          </cell>
          <cell r="R91">
            <v>12688.360198157678</v>
          </cell>
          <cell r="S91">
            <v>1373.0384277682715</v>
          </cell>
          <cell r="T91">
            <v>1774.7535576717637</v>
          </cell>
          <cell r="U91">
            <v>1865.8340009617204</v>
          </cell>
          <cell r="V91">
            <v>1382.9420873794697</v>
          </cell>
          <cell r="W91">
            <v>766.14827574404808</v>
          </cell>
        </row>
        <row r="92">
          <cell r="N92">
            <v>21928.793016674885</v>
          </cell>
          <cell r="O92">
            <v>27589.567920062011</v>
          </cell>
          <cell r="P92">
            <v>30266.835190952177</v>
          </cell>
          <cell r="Q92">
            <v>24752.029774993443</v>
          </cell>
          <cell r="R92">
            <v>13453.791228621709</v>
          </cell>
          <cell r="S92">
            <v>1471.586149924573</v>
          </cell>
          <cell r="T92">
            <v>1809.7516040939954</v>
          </cell>
          <cell r="U92">
            <v>1792.3600087447339</v>
          </cell>
          <cell r="V92">
            <v>1473.2404150521725</v>
          </cell>
          <cell r="W92">
            <v>765.43103046403121</v>
          </cell>
        </row>
        <row r="93">
          <cell r="N93">
            <v>23506</v>
          </cell>
          <cell r="O93">
            <v>29354.803800000002</v>
          </cell>
          <cell r="P93">
            <v>32192.642300000003</v>
          </cell>
          <cell r="Q93">
            <v>26253.340400000001</v>
          </cell>
          <cell r="R93">
            <v>14263.543000000001</v>
          </cell>
          <cell r="S93">
            <v>1577.2069833251153</v>
          </cell>
          <cell r="T93">
            <v>1765.2358799379908</v>
          </cell>
          <cell r="U93">
            <v>1925.8071090478261</v>
          </cell>
          <cell r="V93">
            <v>1501.3106250065575</v>
          </cell>
          <cell r="W93">
            <v>809.75177137829269</v>
          </cell>
        </row>
        <row r="94">
          <cell r="N94">
            <v>25196.408589654777</v>
          </cell>
          <cell r="O94">
            <v>31451.143148030165</v>
          </cell>
          <cell r="P94">
            <v>34437.958287128611</v>
          </cell>
          <cell r="Q94">
            <v>28079.261155920252</v>
          </cell>
          <cell r="R94">
            <v>15232.872236484771</v>
          </cell>
          <cell r="S94">
            <v>1690.4085896547767</v>
          </cell>
          <cell r="T94">
            <v>2096.3393480301638</v>
          </cell>
          <cell r="U94">
            <v>2245.315987128608</v>
          </cell>
          <cell r="V94">
            <v>1825.9207559202514</v>
          </cell>
          <cell r="W94">
            <v>969.32923648476935</v>
          </cell>
        </row>
        <row r="95">
          <cell r="N95">
            <v>27008.143656890144</v>
          </cell>
          <cell r="O95">
            <v>33653.614830379513</v>
          </cell>
          <cell r="P95">
            <v>36866.116091655043</v>
          </cell>
          <cell r="Q95">
            <v>30031.764052634771</v>
          </cell>
          <cell r="R95">
            <v>16297.946863038807</v>
          </cell>
          <cell r="S95">
            <v>1811.7350672353678</v>
          </cell>
          <cell r="T95">
            <v>2202.4716823493472</v>
          </cell>
          <cell r="U95">
            <v>2428.1578045264323</v>
          </cell>
          <cell r="V95">
            <v>1952.502896714519</v>
          </cell>
          <cell r="W95">
            <v>1065.0746265540365</v>
          </cell>
        </row>
        <row r="96">
          <cell r="N96">
            <v>28949.913223099466</v>
          </cell>
          <cell r="O96">
            <v>36056.298769648856</v>
          </cell>
          <cell r="P96">
            <v>39465.088117074862</v>
          </cell>
          <cell r="Q96">
            <v>32171.472153484767</v>
          </cell>
          <cell r="R96">
            <v>17372.465317618207</v>
          </cell>
          <cell r="S96">
            <v>1941.7695662093211</v>
          </cell>
          <cell r="T96">
            <v>2402.6839392693437</v>
          </cell>
          <cell r="U96">
            <v>2598.9720254198182</v>
          </cell>
          <cell r="V96">
            <v>2139.7081008499954</v>
          </cell>
          <cell r="W96">
            <v>1074.5184545794</v>
          </cell>
        </row>
        <row r="97">
          <cell r="N97">
            <v>31031.050314523203</v>
          </cell>
          <cell r="O97">
            <v>38630.217242524777</v>
          </cell>
          <cell r="P97">
            <v>42253.024907940329</v>
          </cell>
          <cell r="Q97">
            <v>34296.596148491546</v>
          </cell>
          <cell r="R97">
            <v>18517.104687141407</v>
          </cell>
          <cell r="S97">
            <v>2081.1370914237377</v>
          </cell>
          <cell r="T97">
            <v>2573.918472875921</v>
          </cell>
          <cell r="U97">
            <v>2787.9367908654676</v>
          </cell>
          <cell r="V97">
            <v>2125.1239950067793</v>
          </cell>
          <cell r="W97">
            <v>1144.6393695232</v>
          </cell>
        </row>
        <row r="98">
          <cell r="N98">
            <v>33261.557821011134</v>
          </cell>
          <cell r="O98">
            <v>41436.019501930976</v>
          </cell>
          <cell r="P98">
            <v>45158.56628397727</v>
          </cell>
          <cell r="Q98">
            <v>36635.219784608773</v>
          </cell>
          <cell r="R98">
            <v>19848.111552344461</v>
          </cell>
          <cell r="S98">
            <v>2230.5075064879311</v>
          </cell>
          <cell r="T98">
            <v>2805.8022594061986</v>
          </cell>
          <cell r="U98">
            <v>2905.5413760369411</v>
          </cell>
          <cell r="V98">
            <v>2338.6236361172269</v>
          </cell>
          <cell r="W98">
            <v>1331.0068652030532</v>
          </cell>
        </row>
        <row r="99">
          <cell r="N99">
            <v>35652.156574452893</v>
          </cell>
          <cell r="O99">
            <v>44289.511542119748</v>
          </cell>
          <cell r="P99">
            <v>48199.70056676698</v>
          </cell>
          <cell r="Q99">
            <v>39180.480000312447</v>
          </cell>
          <cell r="R99">
            <v>21274.649388922713</v>
          </cell>
          <cell r="S99">
            <v>2390.5987534417582</v>
          </cell>
          <cell r="T99">
            <v>2853.4920401887721</v>
          </cell>
          <cell r="U99">
            <v>3041.1342827897097</v>
          </cell>
          <cell r="V99">
            <v>2545.2602157036745</v>
          </cell>
          <cell r="W99">
            <v>1426.5378365782526</v>
          </cell>
        </row>
        <row r="100">
          <cell r="N100">
            <v>38214.336877964088</v>
          </cell>
          <cell r="O100">
            <v>47394.500566441093</v>
          </cell>
          <cell r="P100">
            <v>51746.781238259646</v>
          </cell>
          <cell r="Q100">
            <v>42141.690738628764</v>
          </cell>
          <cell r="R100">
            <v>22931.925112593926</v>
          </cell>
          <cell r="S100">
            <v>2562.1803035111952</v>
          </cell>
          <cell r="T100">
            <v>3104.9890243213449</v>
          </cell>
          <cell r="U100">
            <v>3547.0806714926657</v>
          </cell>
          <cell r="V100">
            <v>2961.2107383163166</v>
          </cell>
          <cell r="W100">
            <v>1657.2757236712132</v>
          </cell>
        </row>
        <row r="101">
          <cell r="N101">
            <v>40960.413733500631</v>
          </cell>
          <cell r="O101">
            <v>50895.718262071932</v>
          </cell>
          <cell r="P101">
            <v>55716.491825371908</v>
          </cell>
          <cell r="Q101">
            <v>45445.133815430541</v>
          </cell>
          <cell r="R101">
            <v>24763.241433231578</v>
          </cell>
          <cell r="S101">
            <v>2746.076855536543</v>
          </cell>
          <cell r="T101">
            <v>3501.2176956308394</v>
          </cell>
          <cell r="U101">
            <v>3969.7105871122621</v>
          </cell>
          <cell r="V101">
            <v>3303.4430768017774</v>
          </cell>
          <cell r="W101">
            <v>1831.3163206376521</v>
          </cell>
        </row>
        <row r="102">
          <cell r="N102">
            <v>43903.586033349777</v>
          </cell>
          <cell r="O102">
            <v>54655.097040025466</v>
          </cell>
          <cell r="P102">
            <v>59902.339111637426</v>
          </cell>
          <cell r="Q102">
            <v>48966.146715886673</v>
          </cell>
          <cell r="R102">
            <v>26493.42810666826</v>
          </cell>
          <cell r="S102">
            <v>2943.1722998491459</v>
          </cell>
          <cell r="T102">
            <v>3759.3787779535342</v>
          </cell>
          <cell r="U102">
            <v>4185.8472862655181</v>
          </cell>
          <cell r="V102">
            <v>3521.0129004561313</v>
          </cell>
          <cell r="W102">
            <v>1730.1866734366813</v>
          </cell>
        </row>
        <row r="103">
          <cell r="N103">
            <v>47058</v>
          </cell>
          <cell r="O103">
            <v>58623.117299999991</v>
          </cell>
          <cell r="P103">
            <v>64308.644399999997</v>
          </cell>
          <cell r="Q103">
            <v>52347.319199999998</v>
          </cell>
          <cell r="R103">
            <v>28238.892000000003</v>
          </cell>
          <cell r="S103">
            <v>3154.4139666502233</v>
          </cell>
          <cell r="T103">
            <v>3968.0202599745244</v>
          </cell>
          <cell r="U103">
            <v>4406.3052883625714</v>
          </cell>
          <cell r="V103">
            <v>3381.1724841133255</v>
          </cell>
          <cell r="W103">
            <v>1745.4638933317437</v>
          </cell>
        </row>
        <row r="104">
          <cell r="N104">
            <v>50438.81717930951</v>
          </cell>
          <cell r="O104">
            <v>62952.358772688509</v>
          </cell>
          <cell r="P104">
            <v>68839.00733592418</v>
          </cell>
          <cell r="Q104">
            <v>55758.029049277953</v>
          </cell>
          <cell r="R104">
            <v>30154.737201047625</v>
          </cell>
          <cell r="S104">
            <v>3380.8171793095098</v>
          </cell>
          <cell r="T104">
            <v>4329.2414726885181</v>
          </cell>
          <cell r="U104">
            <v>4530.3629359241822</v>
          </cell>
          <cell r="V104">
            <v>3410.7098492779551</v>
          </cell>
          <cell r="W104">
            <v>1915.8452010476212</v>
          </cell>
        </row>
        <row r="105">
          <cell r="N105">
            <v>54062.287313780289</v>
          </cell>
          <cell r="O105">
            <v>67285.805264019393</v>
          </cell>
          <cell r="P105">
            <v>73367.224953261932</v>
          </cell>
          <cell r="Q105">
            <v>59436.783833039357</v>
          </cell>
          <cell r="R105">
            <v>32199.968430933746</v>
          </cell>
          <cell r="S105">
            <v>3623.4701344707792</v>
          </cell>
          <cell r="T105">
            <v>4333.4464913308839</v>
          </cell>
          <cell r="U105">
            <v>4528.217617337752</v>
          </cell>
          <cell r="V105">
            <v>3678.7547837614038</v>
          </cell>
          <cell r="W105">
            <v>2045.2312298861216</v>
          </cell>
        </row>
        <row r="106">
          <cell r="N106">
            <v>57945.826446198938</v>
          </cell>
          <cell r="O106">
            <v>71916.691171565428</v>
          </cell>
          <cell r="P106">
            <v>78305.092568070948</v>
          </cell>
          <cell r="Q106">
            <v>63654.498104652943</v>
          </cell>
          <cell r="R106">
            <v>34513.038108107794</v>
          </cell>
          <cell r="S106">
            <v>3883.5391324186494</v>
          </cell>
          <cell r="T106">
            <v>4630.885907546035</v>
          </cell>
          <cell r="U106">
            <v>4937.8676148090162</v>
          </cell>
          <cell r="V106">
            <v>4217.7142716135859</v>
          </cell>
          <cell r="W106">
            <v>2313.0696771740477</v>
          </cell>
        </row>
        <row r="107">
          <cell r="N107">
            <v>62108.100629046407</v>
          </cell>
          <cell r="O107">
            <v>77046.313988822629</v>
          </cell>
          <cell r="P107">
            <v>84187.80043789254</v>
          </cell>
          <cell r="Q107">
            <v>68449.33770327206</v>
          </cell>
          <cell r="R107">
            <v>37131.192943465336</v>
          </cell>
          <cell r="S107">
            <v>4162.2741828474682</v>
          </cell>
          <cell r="T107">
            <v>5129.6228172572009</v>
          </cell>
          <cell r="U107">
            <v>5882.7078698215919</v>
          </cell>
          <cell r="V107">
            <v>4794.8395986191172</v>
          </cell>
          <cell r="W107">
            <v>2618.1548353575417</v>
          </cell>
        </row>
        <row r="108">
          <cell r="N108">
            <v>66569.115642022269</v>
          </cell>
          <cell r="O108">
            <v>82735.42537568738</v>
          </cell>
          <cell r="P108">
            <v>90379.585867954564</v>
          </cell>
          <cell r="Q108">
            <v>73619.219134918792</v>
          </cell>
          <cell r="R108">
            <v>39798.201071114236</v>
          </cell>
          <cell r="S108">
            <v>4461.0150129758622</v>
          </cell>
          <cell r="T108">
            <v>5689.1113868647517</v>
          </cell>
          <cell r="U108">
            <v>6191.7854300620238</v>
          </cell>
          <cell r="V108">
            <v>5169.8814316467324</v>
          </cell>
          <cell r="W108">
            <v>2667.0081276489</v>
          </cell>
        </row>
        <row r="109">
          <cell r="N109">
            <v>71350.313148905741</v>
          </cell>
          <cell r="O109">
            <v>88740.090666434582</v>
          </cell>
          <cell r="P109">
            <v>96885.039131134996</v>
          </cell>
          <cell r="Q109">
            <v>78794.942779111996</v>
          </cell>
          <cell r="R109">
            <v>42496.866948993898</v>
          </cell>
          <cell r="S109">
            <v>4781.1975068834727</v>
          </cell>
          <cell r="T109">
            <v>6004.6652907472017</v>
          </cell>
          <cell r="U109">
            <v>6505.4532631804323</v>
          </cell>
          <cell r="V109">
            <v>5175.7236441932037</v>
          </cell>
          <cell r="W109">
            <v>2698.6658778796627</v>
          </cell>
        </row>
        <row r="110">
          <cell r="N110">
            <v>76474.673755928176</v>
          </cell>
          <cell r="O110">
            <v>95068.825682519018</v>
          </cell>
          <cell r="P110">
            <v>104009.71254033166</v>
          </cell>
          <cell r="Q110">
            <v>84162.872207760563</v>
          </cell>
          <cell r="R110">
            <v>45309.249208898153</v>
          </cell>
          <cell r="S110">
            <v>5124.3606070224341</v>
          </cell>
          <cell r="T110">
            <v>6328.7350160844362</v>
          </cell>
          <cell r="U110">
            <v>7124.6734091966646</v>
          </cell>
          <cell r="V110">
            <v>5367.9294286485674</v>
          </cell>
          <cell r="W110">
            <v>2812.3822599042542</v>
          </cell>
        </row>
        <row r="111">
          <cell r="N111">
            <v>81966.827467001276</v>
          </cell>
          <cell r="O111">
            <v>101967.98069023712</v>
          </cell>
          <cell r="P111">
            <v>110846.94818122237</v>
          </cell>
          <cell r="Q111">
            <v>89711.623530100711</v>
          </cell>
          <cell r="R111">
            <v>48453.086358319539</v>
          </cell>
          <cell r="S111">
            <v>5492.1537110731006</v>
          </cell>
          <cell r="T111">
            <v>6899.1550077181018</v>
          </cell>
          <cell r="U111">
            <v>6837.2356408907071</v>
          </cell>
          <cell r="V111">
            <v>5548.7513223401475</v>
          </cell>
          <cell r="W111">
            <v>3143.8371494213861</v>
          </cell>
        </row>
        <row r="112">
          <cell r="N112">
            <v>87853.172066699568</v>
          </cell>
          <cell r="O112">
            <v>108855.61876018409</v>
          </cell>
          <cell r="P112">
            <v>118303.27249017431</v>
          </cell>
          <cell r="Q112">
            <v>95819.73590673921</v>
          </cell>
          <cell r="R112">
            <v>51814.654973999408</v>
          </cell>
          <cell r="S112">
            <v>5886.3445996982919</v>
          </cell>
          <cell r="T112">
            <v>6887.6380699469737</v>
          </cell>
          <cell r="U112">
            <v>7456.3243089519383</v>
          </cell>
          <cell r="V112">
            <v>6108.112376638499</v>
          </cell>
          <cell r="W112">
            <v>3361.5686156798693</v>
          </cell>
        </row>
        <row r="113">
          <cell r="N113">
            <v>94162</v>
          </cell>
          <cell r="O113">
            <v>116617.79469999998</v>
          </cell>
          <cell r="P113">
            <v>127003.65859999998</v>
          </cell>
          <cell r="Q113">
            <v>102974.74440000001</v>
          </cell>
          <cell r="R113">
            <v>55746.360400000005</v>
          </cell>
          <cell r="S113">
            <v>6308.8279333004321</v>
          </cell>
          <cell r="T113">
            <v>7762.1759398158902</v>
          </cell>
          <cell r="U113">
            <v>8700.3861098256748</v>
          </cell>
          <cell r="V113">
            <v>7155.0084932608006</v>
          </cell>
          <cell r="W113">
            <v>3931.7054260005971</v>
          </cell>
        </row>
        <row r="114">
          <cell r="N114">
            <v>100923.63435861902</v>
          </cell>
          <cell r="O114">
            <v>125227.14250820011</v>
          </cell>
          <cell r="P114">
            <v>136542.87591185258</v>
          </cell>
          <cell r="Q114">
            <v>110888.96565471216</v>
          </cell>
          <cell r="R114">
            <v>60110.994220813998</v>
          </cell>
          <cell r="S114">
            <v>6761.6343586190196</v>
          </cell>
          <cell r="T114">
            <v>8609.3478082001238</v>
          </cell>
          <cell r="U114">
            <v>9539.217311852597</v>
          </cell>
          <cell r="V114">
            <v>7914.2212547121453</v>
          </cell>
          <cell r="W114">
            <v>4364.6338208139932</v>
          </cell>
        </row>
        <row r="115">
          <cell r="N115">
            <v>108170.57462756058</v>
          </cell>
          <cell r="O115">
            <v>134313.75644108024</v>
          </cell>
          <cell r="P115">
            <v>146454.49252248529</v>
          </cell>
          <cell r="Q115">
            <v>118996.80307381767</v>
          </cell>
          <cell r="R115">
            <v>64185.126836071002</v>
          </cell>
          <cell r="S115">
            <v>7246.9402689415583</v>
          </cell>
          <cell r="T115">
            <v>9086.6139328801364</v>
          </cell>
          <cell r="U115">
            <v>9911.6166106327146</v>
          </cell>
          <cell r="V115">
            <v>8107.8374191055191</v>
          </cell>
          <cell r="W115">
            <v>4074.1326152570036</v>
          </cell>
        </row>
        <row r="116">
          <cell r="N116">
            <v>115937.65289239788</v>
          </cell>
          <cell r="O116">
            <v>144059.33875495239</v>
          </cell>
          <cell r="P116">
            <v>157222.79904900491</v>
          </cell>
          <cell r="Q116">
            <v>127281.6481511673</v>
          </cell>
          <cell r="R116">
            <v>68404.475398394017</v>
          </cell>
          <cell r="S116">
            <v>7767.0782648372988</v>
          </cell>
          <cell r="T116">
            <v>9745.5823138721462</v>
          </cell>
          <cell r="U116">
            <v>10768.30652651962</v>
          </cell>
          <cell r="V116">
            <v>8284.8450773496297</v>
          </cell>
          <cell r="W116">
            <v>4219.3485623230154</v>
          </cell>
        </row>
        <row r="117">
          <cell r="N117">
            <v>124262.20125809284</v>
          </cell>
          <cell r="O117">
            <v>154511.67307261453</v>
          </cell>
          <cell r="P117">
            <v>168020.05489024971</v>
          </cell>
          <cell r="Q117">
            <v>135669.47133358577</v>
          </cell>
          <cell r="R117">
            <v>73009.986213972326</v>
          </cell>
          <cell r="S117">
            <v>8324.5483656949655</v>
          </cell>
          <cell r="T117">
            <v>10452.334317662142</v>
          </cell>
          <cell r="U117">
            <v>10797.255841244798</v>
          </cell>
          <cell r="V117">
            <v>8387.8231824184622</v>
          </cell>
          <cell r="W117">
            <v>4605.5108155783091</v>
          </cell>
        </row>
        <row r="118">
          <cell r="N118">
            <v>133184.23128404454</v>
          </cell>
          <cell r="O118">
            <v>164946.06466685102</v>
          </cell>
          <cell r="P118">
            <v>179056.35490952036</v>
          </cell>
          <cell r="Q118">
            <v>144694.82323823689</v>
          </cell>
          <cell r="R118">
            <v>77924.067007731428</v>
          </cell>
          <cell r="S118">
            <v>8922.0300259516953</v>
          </cell>
          <cell r="T118">
            <v>10434.391594236484</v>
          </cell>
          <cell r="U118">
            <v>11036.300019270653</v>
          </cell>
          <cell r="V118">
            <v>9025.351904651121</v>
          </cell>
          <cell r="W118">
            <v>4914.0807937591017</v>
          </cell>
        </row>
        <row r="119">
          <cell r="N119">
            <v>142746.62629781148</v>
          </cell>
          <cell r="O119">
            <v>176497.82481091769</v>
          </cell>
          <cell r="P119">
            <v>191686.37616775767</v>
          </cell>
          <cell r="Q119">
            <v>155179.54712959801</v>
          </cell>
          <cell r="R119">
            <v>83582.804478660939</v>
          </cell>
          <cell r="S119">
            <v>9562.3950137669453</v>
          </cell>
          <cell r="T119">
            <v>11551.760144066677</v>
          </cell>
          <cell r="U119">
            <v>12630.021258237306</v>
          </cell>
          <cell r="V119">
            <v>10484.723891361122</v>
          </cell>
          <cell r="W119">
            <v>5658.7374709295109</v>
          </cell>
        </row>
        <row r="120">
          <cell r="N120">
            <v>152995.34751185621</v>
          </cell>
          <cell r="O120">
            <v>189303.47166649054</v>
          </cell>
          <cell r="P120">
            <v>205660.66990699721</v>
          </cell>
          <cell r="Q120">
            <v>166663.48622055128</v>
          </cell>
          <cell r="R120">
            <v>89857.826178110176</v>
          </cell>
          <cell r="S120">
            <v>10248.721214044723</v>
          </cell>
          <cell r="T120">
            <v>12805.64685557285</v>
          </cell>
          <cell r="U120">
            <v>13974.29373923954</v>
          </cell>
          <cell r="V120">
            <v>11483.939090953267</v>
          </cell>
          <cell r="W120">
            <v>6275.0216994492366</v>
          </cell>
        </row>
        <row r="121">
          <cell r="N121">
            <v>163979.6549340027</v>
          </cell>
          <cell r="O121">
            <v>203037.82635172849</v>
          </cell>
          <cell r="P121">
            <v>220782.92035816269</v>
          </cell>
          <cell r="Q121">
            <v>179106.42162415374</v>
          </cell>
          <cell r="R121">
            <v>96419.324146172134</v>
          </cell>
          <cell r="S121">
            <v>10984.307422146492</v>
          </cell>
          <cell r="T121">
            <v>13734.354685237951</v>
          </cell>
          <cell r="U121">
            <v>15122.250451165484</v>
          </cell>
          <cell r="V121">
            <v>12442.93540360246</v>
          </cell>
          <cell r="W121">
            <v>6561.4979680619581</v>
          </cell>
        </row>
        <row r="122">
          <cell r="N122">
            <v>175752.34413339914</v>
          </cell>
          <cell r="O122">
            <v>217768.23442036819</v>
          </cell>
          <cell r="P122">
            <v>237016.17266548204</v>
          </cell>
          <cell r="Q122">
            <v>192083.1755362119</v>
          </cell>
          <cell r="R122">
            <v>102869.37530253184</v>
          </cell>
          <cell r="S122">
            <v>11772.689199396438</v>
          </cell>
          <cell r="T122">
            <v>14730.408068639692</v>
          </cell>
          <cell r="U122">
            <v>16233.252307319344</v>
          </cell>
          <cell r="V122">
            <v>12976.753912058164</v>
          </cell>
          <cell r="W122">
            <v>6450.0511563597101</v>
          </cell>
        </row>
        <row r="123">
          <cell r="N123">
            <v>188370</v>
          </cell>
          <cell r="O123">
            <v>233566.92449999999</v>
          </cell>
          <cell r="P123">
            <v>254069.361</v>
          </cell>
          <cell r="Q123">
            <v>204734.43899999998</v>
          </cell>
          <cell r="R123">
            <v>109832.81400000001</v>
          </cell>
          <cell r="S123">
            <v>12617.655866600864</v>
          </cell>
          <cell r="T123">
            <v>15798.690079631808</v>
          </cell>
          <cell r="U123">
            <v>17053.188334517967</v>
          </cell>
          <cell r="V123">
            <v>12651.263463788084</v>
          </cell>
          <cell r="W123">
            <v>6963.4386974681693</v>
          </cell>
        </row>
        <row r="124">
          <cell r="N124">
            <v>201893.26871723824</v>
          </cell>
          <cell r="O124">
            <v>250011.4570271202</v>
          </cell>
          <cell r="P124">
            <v>270751.60140371387</v>
          </cell>
          <cell r="Q124">
            <v>218211.95050892443</v>
          </cell>
          <cell r="R124">
            <v>117401.3746574843</v>
          </cell>
          <cell r="S124">
            <v>13523.268717238243</v>
          </cell>
          <cell r="T124">
            <v>16444.532527120202</v>
          </cell>
          <cell r="U124">
            <v>16682.240403713862</v>
          </cell>
          <cell r="V124">
            <v>13477.51150892445</v>
          </cell>
          <cell r="W124">
            <v>7568.5606574842823</v>
          </cell>
        </row>
        <row r="125">
          <cell r="N125">
            <v>216387.14925512118</v>
          </cell>
          <cell r="O125">
            <v>267108.76744736783</v>
          </cell>
          <cell r="P125">
            <v>289375.47551256604</v>
          </cell>
          <cell r="Q125">
            <v>233538.18286782058</v>
          </cell>
          <cell r="R125">
            <v>125781.14579353988</v>
          </cell>
          <cell r="S125">
            <v>14493.880537882942</v>
          </cell>
          <cell r="T125">
            <v>17097.310420247639</v>
          </cell>
          <cell r="U125">
            <v>18623.874108852178</v>
          </cell>
          <cell r="V125">
            <v>15326.232358896144</v>
          </cell>
          <cell r="W125">
            <v>8379.7711360555841</v>
          </cell>
        </row>
        <row r="126">
          <cell r="N126">
            <v>231921.30578479578</v>
          </cell>
          <cell r="O126">
            <v>286149.04466804635</v>
          </cell>
          <cell r="P126">
            <v>310745.81167677912</v>
          </cell>
          <cell r="Q126">
            <v>251497.9848767911</v>
          </cell>
          <cell r="R126">
            <v>135278.18513401627</v>
          </cell>
          <cell r="S126">
            <v>15534.156529674598</v>
          </cell>
          <cell r="T126">
            <v>19040.277220678516</v>
          </cell>
          <cell r="U126">
            <v>21370.336164213077</v>
          </cell>
          <cell r="V126">
            <v>17959.802008970524</v>
          </cell>
          <cell r="W126">
            <v>9497.039340476389</v>
          </cell>
        </row>
        <row r="127">
          <cell r="N127">
            <v>248570.40251618548</v>
          </cell>
          <cell r="O127">
            <v>307632.35126535187</v>
          </cell>
          <cell r="P127">
            <v>333987.83874779084</v>
          </cell>
          <cell r="Q127">
            <v>270276.00236025098</v>
          </cell>
          <cell r="R127">
            <v>145824.36700656047</v>
          </cell>
          <cell r="S127">
            <v>16649.096731389698</v>
          </cell>
          <cell r="T127">
            <v>21483.30659730552</v>
          </cell>
          <cell r="U127">
            <v>23242.027071011718</v>
          </cell>
          <cell r="V127">
            <v>18778.017483459873</v>
          </cell>
          <cell r="W127">
            <v>10546.181872544199</v>
          </cell>
        </row>
        <row r="128">
          <cell r="N128">
            <v>266414.46256808913</v>
          </cell>
          <cell r="O128">
            <v>329561.0609773529</v>
          </cell>
          <cell r="P128">
            <v>358543.47953351011</v>
          </cell>
          <cell r="Q128">
            <v>290453.73451985797</v>
          </cell>
          <cell r="R128">
            <v>155397.81853034094</v>
          </cell>
          <cell r="S128">
            <v>17844.060051903652</v>
          </cell>
          <cell r="T128">
            <v>21928.709712001029</v>
          </cell>
          <cell r="U128">
            <v>24555.640785719268</v>
          </cell>
          <cell r="V128">
            <v>20177.732159606996</v>
          </cell>
          <cell r="W128">
            <v>9573.4515237804735</v>
          </cell>
        </row>
        <row r="129">
          <cell r="N129">
            <v>285539.25259562297</v>
          </cell>
          <cell r="O129">
            <v>353884.31417939661</v>
          </cell>
          <cell r="P129">
            <v>384903.18807386589</v>
          </cell>
          <cell r="Q129">
            <v>309577.93323914061</v>
          </cell>
          <cell r="R129">
            <v>165594.14438029207</v>
          </cell>
          <cell r="S129">
            <v>19124.790027533832</v>
          </cell>
          <cell r="T129">
            <v>24323.253202043707</v>
          </cell>
          <cell r="U129">
            <v>26359.708540355787</v>
          </cell>
          <cell r="V129">
            <v>19124.198719282635</v>
          </cell>
          <cell r="W129">
            <v>10196.325849951128</v>
          </cell>
        </row>
        <row r="130">
          <cell r="N130">
            <v>306036.69502371247</v>
          </cell>
          <cell r="O130">
            <v>379109.60893225478</v>
          </cell>
          <cell r="P130">
            <v>410172.33347716153</v>
          </cell>
          <cell r="Q130">
            <v>329265.5454731753</v>
          </cell>
          <cell r="R130">
            <v>176453.44008187857</v>
          </cell>
          <cell r="S130">
            <v>20497.442428089504</v>
          </cell>
          <cell r="T130">
            <v>25225.294752858172</v>
          </cell>
          <cell r="U130">
            <v>25269.145403295639</v>
          </cell>
          <cell r="V130">
            <v>19687.612234034692</v>
          </cell>
          <cell r="W130">
            <v>10859.295701586496</v>
          </cell>
        </row>
        <row r="131">
          <cell r="N131">
            <v>328005.30986800481</v>
          </cell>
          <cell r="O131">
            <v>404221.62194596446</v>
          </cell>
          <cell r="P131">
            <v>436436.7347601527</v>
          </cell>
          <cell r="Q131">
            <v>351138.95392897807</v>
          </cell>
          <cell r="R131">
            <v>188385.57139255985</v>
          </cell>
          <cell r="S131">
            <v>21968.614844292344</v>
          </cell>
          <cell r="T131">
            <v>25112.013013709686</v>
          </cell>
          <cell r="U131">
            <v>26264.401282991166</v>
          </cell>
          <cell r="V131">
            <v>21873.408455802768</v>
          </cell>
          <cell r="W131">
            <v>11932.131310681289</v>
          </cell>
        </row>
        <row r="132">
          <cell r="N132">
            <v>351550.68826679827</v>
          </cell>
          <cell r="O132">
            <v>433033.25964140217</v>
          </cell>
          <cell r="P132">
            <v>468530.70826882869</v>
          </cell>
          <cell r="Q132">
            <v>377604.41547050141</v>
          </cell>
          <cell r="R132">
            <v>202695.72020774256</v>
          </cell>
          <cell r="S132">
            <v>23545.378398793458</v>
          </cell>
          <cell r="T132">
            <v>28811.637695437705</v>
          </cell>
          <cell r="U132">
            <v>32093.97350867599</v>
          </cell>
          <cell r="V132">
            <v>26465.461541523342</v>
          </cell>
          <cell r="W132">
            <v>14310.148815182707</v>
          </cell>
        </row>
        <row r="133">
          <cell r="N133">
            <v>376786</v>
          </cell>
          <cell r="O133">
            <v>464995.69809999998</v>
          </cell>
          <cell r="P133">
            <v>503728.47979999997</v>
          </cell>
          <cell r="Q133">
            <v>406987.85519999999</v>
          </cell>
          <cell r="R133">
            <v>218680.0416</v>
          </cell>
          <cell r="S133">
            <v>25235.311733201728</v>
          </cell>
          <cell r="T133">
            <v>31962.438458597811</v>
          </cell>
          <cell r="U133">
            <v>35197.771531171282</v>
          </cell>
          <cell r="V133">
            <v>29383.439729498583</v>
          </cell>
          <cell r="W133">
            <v>15984.321392257436</v>
          </cell>
        </row>
        <row r="134">
          <cell r="N134">
            <v>403832.53743447649</v>
          </cell>
          <cell r="O134">
            <v>498727.03845383495</v>
          </cell>
          <cell r="P134">
            <v>540686.11699009745</v>
          </cell>
          <cell r="Q134">
            <v>437377.85284297384</v>
          </cell>
          <cell r="R134">
            <v>234377.38155240606</v>
          </cell>
          <cell r="S134">
            <v>27046.537434476486</v>
          </cell>
          <cell r="T134">
            <v>33731.340353834967</v>
          </cell>
          <cell r="U134">
            <v>36957.637190097477</v>
          </cell>
          <cell r="V134">
            <v>30389.997642973845</v>
          </cell>
          <cell r="W134">
            <v>15697.339952406066</v>
          </cell>
        </row>
        <row r="135">
          <cell r="N135">
            <v>432820.29851024237</v>
          </cell>
          <cell r="O135">
            <v>534904.72956865281</v>
          </cell>
          <cell r="P135">
            <v>581295.53825941135</v>
          </cell>
          <cell r="Q135">
            <v>468095.15283882717</v>
          </cell>
          <cell r="R135">
            <v>250038.40462198222</v>
          </cell>
          <cell r="S135">
            <v>28987.761075765884</v>
          </cell>
          <cell r="T135">
            <v>36177.691114817862</v>
          </cell>
          <cell r="U135">
            <v>40609.421269313898</v>
          </cell>
          <cell r="V135">
            <v>30717.299995853333</v>
          </cell>
          <cell r="W135">
            <v>15661.023069576157</v>
          </cell>
        </row>
        <row r="136">
          <cell r="N136">
            <v>463888.61156959157</v>
          </cell>
          <cell r="O136">
            <v>573706.17273066507</v>
          </cell>
          <cell r="P136">
            <v>621277.94984712673</v>
          </cell>
          <cell r="Q136">
            <v>498891.02421952412</v>
          </cell>
          <cell r="R136">
            <v>266116.7612014201</v>
          </cell>
          <cell r="S136">
            <v>31068.313059349195</v>
          </cell>
          <cell r="T136">
            <v>38801.443162012263</v>
          </cell>
          <cell r="U136">
            <v>39982.411587715382</v>
          </cell>
          <cell r="V136">
            <v>30795.871380696946</v>
          </cell>
          <cell r="W136">
            <v>16078.356579437881</v>
          </cell>
        </row>
        <row r="137">
          <cell r="N137">
            <v>497186.80503237102</v>
          </cell>
          <cell r="O137">
            <v>613149.14226088859</v>
          </cell>
          <cell r="P137">
            <v>661447.59784714179</v>
          </cell>
          <cell r="Q137">
            <v>531695.89266513963</v>
          </cell>
          <cell r="R137">
            <v>284550.81692883093</v>
          </cell>
          <cell r="S137">
            <v>33298.193462779454</v>
          </cell>
          <cell r="T137">
            <v>39442.96953022352</v>
          </cell>
          <cell r="U137">
            <v>40169.648000015062</v>
          </cell>
          <cell r="V137">
            <v>32804.868445615517</v>
          </cell>
          <cell r="W137">
            <v>18434.055727410829</v>
          </cell>
        </row>
        <row r="138">
          <cell r="N138">
            <v>532874.92513617827</v>
          </cell>
          <cell r="O138">
            <v>655298.30549121415</v>
          </cell>
          <cell r="P138">
            <v>707977.62553592643</v>
          </cell>
          <cell r="Q138">
            <v>569861.07863563031</v>
          </cell>
          <cell r="R138">
            <v>305453.17447805975</v>
          </cell>
          <cell r="S138">
            <v>35688.120103807247</v>
          </cell>
          <cell r="T138">
            <v>42149.163230325561</v>
          </cell>
          <cell r="U138">
            <v>46530.027688784641</v>
          </cell>
          <cell r="V138">
            <v>38165.185970490682</v>
          </cell>
          <cell r="W138">
            <v>20902.357549228822</v>
          </cell>
        </row>
        <row r="139">
          <cell r="N139">
            <v>571124.50519124593</v>
          </cell>
          <cell r="O139">
            <v>703666.36237098742</v>
          </cell>
          <cell r="P139">
            <v>761846.5673998174</v>
          </cell>
          <cell r="Q139">
            <v>612811.62777016184</v>
          </cell>
          <cell r="R139">
            <v>329040.96791582351</v>
          </cell>
          <cell r="S139">
            <v>38249.580055067665</v>
          </cell>
          <cell r="T139">
            <v>48368.05687977327</v>
          </cell>
          <cell r="U139">
            <v>53868.94186389097</v>
          </cell>
          <cell r="V139">
            <v>42950.549134531524</v>
          </cell>
          <cell r="W139">
            <v>23587.793437763758</v>
          </cell>
        </row>
        <row r="140">
          <cell r="N140">
            <v>612119.39004742505</v>
          </cell>
          <cell r="O140">
            <v>754709.94057032035</v>
          </cell>
          <cell r="P140">
            <v>817863.36259697401</v>
          </cell>
          <cell r="Q140">
            <v>659951.19760232652</v>
          </cell>
          <cell r="R140">
            <v>353618.71024174505</v>
          </cell>
          <cell r="S140">
            <v>40994.884856179124</v>
          </cell>
          <cell r="T140">
            <v>51043.578199332929</v>
          </cell>
          <cell r="U140">
            <v>56016.795197156607</v>
          </cell>
          <cell r="V140">
            <v>47139.569832164678</v>
          </cell>
          <cell r="W140">
            <v>24577.742325921543</v>
          </cell>
        </row>
        <row r="141">
          <cell r="N141">
            <v>656056.61973600974</v>
          </cell>
          <cell r="O141">
            <v>809455.49332067498</v>
          </cell>
          <cell r="P141">
            <v>877996.29556257313</v>
          </cell>
          <cell r="Q141">
            <v>707762.43863146473</v>
          </cell>
          <cell r="R141">
            <v>377532.06045721553</v>
          </cell>
          <cell r="S141">
            <v>43937.229688584688</v>
          </cell>
          <cell r="T141">
            <v>54745.552750354633</v>
          </cell>
          <cell r="U141">
            <v>60132.932965599117</v>
          </cell>
          <cell r="V141">
            <v>47811.241029138211</v>
          </cell>
          <cell r="W141">
            <v>23913.350215470477</v>
          </cell>
        </row>
        <row r="142">
          <cell r="N142">
            <v>703147.37653359666</v>
          </cell>
          <cell r="O142">
            <v>868171.48006227182</v>
          </cell>
          <cell r="P142">
            <v>941156.64916520589</v>
          </cell>
          <cell r="Q142">
            <v>754313.5768264425</v>
          </cell>
          <cell r="R142">
            <v>401954.19779543055</v>
          </cell>
          <cell r="S142">
            <v>47090.756797586917</v>
          </cell>
          <cell r="T142">
            <v>58715.986741596833</v>
          </cell>
          <cell r="U142">
            <v>63160.353602632764</v>
          </cell>
          <cell r="V142">
            <v>46551.138194977771</v>
          </cell>
          <cell r="W142">
            <v>24422.13733821502</v>
          </cell>
        </row>
        <row r="143">
          <cell r="N143">
            <v>753618</v>
          </cell>
          <cell r="O143">
            <v>930048.16530000011</v>
          </cell>
          <cell r="P143">
            <v>1002896.8131</v>
          </cell>
          <cell r="Q143">
            <v>803900.70360000001</v>
          </cell>
          <cell r="R143">
            <v>429455.77049999998</v>
          </cell>
          <cell r="S143">
            <v>50470.62346640334</v>
          </cell>
          <cell r="T143">
            <v>61876.685237728292</v>
          </cell>
          <cell r="U143">
            <v>61740.163934794138</v>
          </cell>
          <cell r="V143">
            <v>49587.126773557509</v>
          </cell>
          <cell r="W143">
            <v>27501.572704569437</v>
          </cell>
        </row>
        <row r="144">
          <cell r="N144">
            <v>807711.07486895169</v>
          </cell>
          <cell r="O144">
            <v>992805.09124973603</v>
          </cell>
          <cell r="P144">
            <v>1070248.7802868993</v>
          </cell>
          <cell r="Q144">
            <v>860336.96318394598</v>
          </cell>
          <cell r="R144">
            <v>459919.46549858619</v>
          </cell>
          <cell r="S144">
            <v>54093.074868951691</v>
          </cell>
          <cell r="T144">
            <v>62756.925949735916</v>
          </cell>
          <cell r="U144">
            <v>67351.967186899274</v>
          </cell>
          <cell r="V144">
            <v>56436.259583945968</v>
          </cell>
          <cell r="W144">
            <v>30463.694998586201</v>
          </cell>
        </row>
        <row r="145">
          <cell r="N145">
            <v>865686.59702048497</v>
          </cell>
          <cell r="O145">
            <v>1064822.7432459691</v>
          </cell>
          <cell r="P145">
            <v>1150664.9789774744</v>
          </cell>
          <cell r="Q145">
            <v>924609.74343942269</v>
          </cell>
          <cell r="R145">
            <v>494869.74318676029</v>
          </cell>
          <cell r="S145">
            <v>57975.522151533281</v>
          </cell>
          <cell r="T145">
            <v>72017.651996233035</v>
          </cell>
          <cell r="U145">
            <v>80416.198690575082</v>
          </cell>
          <cell r="V145">
            <v>64272.780255476711</v>
          </cell>
          <cell r="W145">
            <v>34950.277688174101</v>
          </cell>
        </row>
        <row r="146">
          <cell r="N146">
            <v>927823.22313918336</v>
          </cell>
          <cell r="O146">
            <v>1143415.0510776134</v>
          </cell>
          <cell r="P146">
            <v>1235275.6011894131</v>
          </cell>
          <cell r="Q146">
            <v>994299.74007009913</v>
          </cell>
          <cell r="R146">
            <v>532883.16616794898</v>
          </cell>
          <cell r="S146">
            <v>62136.62611869839</v>
          </cell>
          <cell r="T146">
            <v>78592.307831644313</v>
          </cell>
          <cell r="U146">
            <v>84610.622211938724</v>
          </cell>
          <cell r="V146">
            <v>69689.99663067644</v>
          </cell>
          <cell r="W146">
            <v>38013.422981188691</v>
          </cell>
        </row>
        <row r="147">
          <cell r="N147">
            <v>994419.61006474204</v>
          </cell>
          <cell r="O147">
            <v>1224906.6196419001</v>
          </cell>
          <cell r="P147">
            <v>1326103.9474383148</v>
          </cell>
          <cell r="Q147">
            <v>1067894.2485579604</v>
          </cell>
          <cell r="R147">
            <v>570018.61474319827</v>
          </cell>
          <cell r="S147">
            <v>66596.386925558676</v>
          </cell>
          <cell r="T147">
            <v>81491.568564286688</v>
          </cell>
          <cell r="U147">
            <v>90828.346248901682</v>
          </cell>
          <cell r="V147">
            <v>73594.508487861254</v>
          </cell>
          <cell r="W147">
            <v>37135.448575249291</v>
          </cell>
        </row>
        <row r="148">
          <cell r="N148">
            <v>1065795.8502723568</v>
          </cell>
          <cell r="O148">
            <v>1315310.2435586185</v>
          </cell>
          <cell r="P148">
            <v>1424239.2133514546</v>
          </cell>
          <cell r="Q148">
            <v>1142873.7427745534</v>
          </cell>
          <cell r="R148">
            <v>608546.26103050984</v>
          </cell>
          <cell r="S148">
            <v>71376.240207614726</v>
          </cell>
          <cell r="T148">
            <v>90403.62391671841</v>
          </cell>
          <cell r="U148">
            <v>98135.265913139796</v>
          </cell>
          <cell r="V148">
            <v>74979.494216592982</v>
          </cell>
          <cell r="W148">
            <v>38527.646287311567</v>
          </cell>
        </row>
        <row r="149">
          <cell r="N149">
            <v>1142295.0103824921</v>
          </cell>
          <cell r="O149">
            <v>1409053.1775570973</v>
          </cell>
          <cell r="P149">
            <v>1519234.9810585566</v>
          </cell>
          <cell r="Q149">
            <v>1216208.947304307</v>
          </cell>
          <cell r="R149">
            <v>647877.44763865613</v>
          </cell>
          <cell r="S149">
            <v>76499.16011013533</v>
          </cell>
          <cell r="T149">
            <v>93742.933998478809</v>
          </cell>
          <cell r="U149">
            <v>94995.767707102001</v>
          </cell>
          <cell r="V149">
            <v>73335.204529753653</v>
          </cell>
          <cell r="W149">
            <v>39331.186608146294</v>
          </cell>
        </row>
        <row r="150">
          <cell r="N150">
            <v>1224284.7800948501</v>
          </cell>
          <cell r="O150">
            <v>1504127.0044493568</v>
          </cell>
          <cell r="P150">
            <v>1618834.503878287</v>
          </cell>
          <cell r="Q150">
            <v>1296102.3898906747</v>
          </cell>
          <cell r="R150">
            <v>690815.99461178097</v>
          </cell>
          <cell r="S150">
            <v>81989.769712358015</v>
          </cell>
          <cell r="T150">
            <v>95073.826892259531</v>
          </cell>
          <cell r="U150">
            <v>99599.522819730453</v>
          </cell>
          <cell r="V150">
            <v>79893.442586367717</v>
          </cell>
          <cell r="W150">
            <v>42938.546973124845</v>
          </cell>
        </row>
        <row r="151">
          <cell r="N151">
            <v>1312159.2394720195</v>
          </cell>
          <cell r="O151">
            <v>1611322.9885113824</v>
          </cell>
          <cell r="P151">
            <v>1736066.5443838844</v>
          </cell>
          <cell r="Q151">
            <v>1392069.7371558656</v>
          </cell>
          <cell r="R151">
            <v>741869.16131670761</v>
          </cell>
          <cell r="S151">
            <v>87874.459377169376</v>
          </cell>
          <cell r="T151">
            <v>107195.98406202556</v>
          </cell>
          <cell r="U151">
            <v>117232.04050559737</v>
          </cell>
          <cell r="V151">
            <v>95967.347265190911</v>
          </cell>
          <cell r="W151">
            <v>51053.16670492664</v>
          </cell>
        </row>
        <row r="152">
          <cell r="N152">
            <v>1406340.7530671936</v>
          </cell>
          <cell r="O152">
            <v>1728206.2925066741</v>
          </cell>
          <cell r="P152">
            <v>1862900.1067629377</v>
          </cell>
          <cell r="Q152">
            <v>1496080.5794254139</v>
          </cell>
          <cell r="R152">
            <v>797636.73072712554</v>
          </cell>
          <cell r="S152">
            <v>94181.513595174067</v>
          </cell>
          <cell r="T152">
            <v>116883.3039952917</v>
          </cell>
          <cell r="U152">
            <v>126833.56237905333</v>
          </cell>
          <cell r="V152">
            <v>104010.84226954821</v>
          </cell>
          <cell r="W152">
            <v>55767.569410417927</v>
          </cell>
        </row>
        <row r="153">
          <cell r="N153">
            <v>1507282</v>
          </cell>
          <cell r="O153">
            <v>1853566.9327</v>
          </cell>
          <cell r="P153">
            <v>1999891.2479000001</v>
          </cell>
          <cell r="Q153">
            <v>1604475.4754000001</v>
          </cell>
          <cell r="R153">
            <v>860625.25500000012</v>
          </cell>
          <cell r="S153">
            <v>100941.24693280645</v>
          </cell>
          <cell r="T153">
            <v>125360.64019332593</v>
          </cell>
          <cell r="U153">
            <v>136991.14113706234</v>
          </cell>
          <cell r="V153">
            <v>108394.89597458625</v>
          </cell>
          <cell r="W153">
            <v>62988.52427287458</v>
          </cell>
        </row>
        <row r="154">
          <cell r="N154">
            <v>1615468.1497379036</v>
          </cell>
          <cell r="O154">
            <v>1988019.6882784385</v>
          </cell>
          <cell r="P154">
            <v>2146950.1472271094</v>
          </cell>
          <cell r="Q154">
            <v>1733021.5527295927</v>
          </cell>
          <cell r="R154">
            <v>948803.07510117313</v>
          </cell>
          <cell r="S154">
            <v>108186.14973790362</v>
          </cell>
          <cell r="T154">
            <v>134452.75557843852</v>
          </cell>
          <cell r="U154">
            <v>147058.89932710933</v>
          </cell>
          <cell r="V154">
            <v>128546.07732959255</v>
          </cell>
          <cell r="W154">
            <v>88177.820101173013</v>
          </cell>
        </row>
        <row r="155">
          <cell r="N155">
            <v>1731419.1940409699</v>
          </cell>
          <cell r="O155">
            <v>2129702.067991938</v>
          </cell>
          <cell r="P155">
            <v>2318517.0950568751</v>
          </cell>
          <cell r="Q155">
            <v>1903544.8456572602</v>
          </cell>
          <cell r="R155">
            <v>1667055.5674798817</v>
          </cell>
          <cell r="S155">
            <v>115951.04430306633</v>
          </cell>
          <cell r="T155">
            <v>141682.37971349945</v>
          </cell>
          <cell r="U155">
            <v>171566.94782976573</v>
          </cell>
          <cell r="V155">
            <v>170523.2929276675</v>
          </cell>
          <cell r="W155">
            <v>718252.49237870856</v>
          </cell>
        </row>
        <row r="156">
          <cell r="N156">
            <v>1855692.4462783667</v>
          </cell>
          <cell r="O156">
            <v>2309590.7845240417</v>
          </cell>
          <cell r="P156">
            <v>2540362.2766748108</v>
          </cell>
          <cell r="Q156">
            <v>2700839.3321377533</v>
          </cell>
          <cell r="R156">
            <v>2721615.0193080436</v>
          </cell>
          <cell r="S156">
            <v>124273.25223739678</v>
          </cell>
          <cell r="T156">
            <v>179888.71653210372</v>
          </cell>
          <cell r="U156">
            <v>221845.18161793565</v>
          </cell>
          <cell r="V156">
            <v>797294.4864804931</v>
          </cell>
          <cell r="W156">
            <v>1054559.451828162</v>
          </cell>
        </row>
        <row r="157">
          <cell r="N157">
            <v>1988885.2201294843</v>
          </cell>
          <cell r="O157">
            <v>2488398.0668285266</v>
          </cell>
          <cell r="P157">
            <v>3206645.0511065912</v>
          </cell>
          <cell r="Q157">
            <v>3642859.4638432511</v>
          </cell>
          <cell r="R157">
            <v>3651766.2106986139</v>
          </cell>
          <cell r="S157">
            <v>133192.77385111758</v>
          </cell>
          <cell r="T157">
            <v>178807.28230448486</v>
          </cell>
          <cell r="U157">
            <v>666282.77443178045</v>
          </cell>
          <cell r="V157">
            <v>942020.13170549786</v>
          </cell>
          <cell r="W157">
            <v>930151.19139057025</v>
          </cell>
        </row>
        <row r="158">
          <cell r="N158">
            <v>2131637.700544714</v>
          </cell>
          <cell r="O158">
            <v>2958852.148206098</v>
          </cell>
          <cell r="P158">
            <v>4048258.0330344825</v>
          </cell>
          <cell r="Q158">
            <v>4582094.2571708979</v>
          </cell>
          <cell r="R158">
            <v>4596413.3017245568</v>
          </cell>
          <cell r="S158">
            <v>142752.48041522969</v>
          </cell>
          <cell r="T158">
            <v>470454.08137757145</v>
          </cell>
          <cell r="U158">
            <v>841612.98192789126</v>
          </cell>
          <cell r="V158">
            <v>939234.7933276468</v>
          </cell>
          <cell r="W158">
            <v>944647.09102594294</v>
          </cell>
        </row>
        <row r="159">
          <cell r="N159">
            <v>2284636.0207649847</v>
          </cell>
          <cell r="O159">
            <v>3327622.0302446513</v>
          </cell>
          <cell r="P159">
            <v>4564802.1014893418</v>
          </cell>
          <cell r="Q159">
            <v>5166754.0269604633</v>
          </cell>
          <cell r="R159">
            <v>5182100.82109995</v>
          </cell>
          <cell r="S159">
            <v>152998.32022027066</v>
          </cell>
          <cell r="T159">
            <v>368769.88203855325</v>
          </cell>
          <cell r="U159">
            <v>516544.06845485931</v>
          </cell>
          <cell r="V159">
            <v>584659.76978956535</v>
          </cell>
          <cell r="W159">
            <v>585687.51937539317</v>
          </cell>
        </row>
        <row r="160">
          <cell r="N160">
            <v>2448615.5601897002</v>
          </cell>
          <cell r="O160">
            <v>3566461.794189346</v>
          </cell>
          <cell r="P160">
            <v>4892440.3508051168</v>
          </cell>
          <cell r="Q160">
            <v>5537597.3201420549</v>
          </cell>
          <cell r="R160">
            <v>5537597.3201420549</v>
          </cell>
          <cell r="S160">
            <v>163979.53942471556</v>
          </cell>
          <cell r="T160">
            <v>238839.76394469477</v>
          </cell>
          <cell r="U160">
            <v>327638.249315775</v>
          </cell>
          <cell r="V160">
            <v>370843.29318159167</v>
          </cell>
          <cell r="W160">
            <v>355496.49904210493</v>
          </cell>
        </row>
        <row r="161">
          <cell r="N161">
            <v>2624364.4789440394</v>
          </cell>
          <cell r="O161">
            <v>3822443.9149837093</v>
          </cell>
          <cell r="P161">
            <v>5243594.3317336226</v>
          </cell>
          <cell r="Q161">
            <v>5935057.3205336612</v>
          </cell>
          <cell r="R161">
            <v>5935057.3205336612</v>
          </cell>
          <cell r="S161">
            <v>175748.91875433922</v>
          </cell>
          <cell r="T161">
            <v>255982.12079436332</v>
          </cell>
          <cell r="U161">
            <v>351153.98092850577</v>
          </cell>
          <cell r="V161">
            <v>397460.00039160624</v>
          </cell>
          <cell r="W161">
            <v>397460.00039160624</v>
          </cell>
        </row>
        <row r="162">
          <cell r="N162">
            <v>2812727.5061343871</v>
          </cell>
          <cell r="O162">
            <v>4096798.758934868</v>
          </cell>
          <cell r="P162">
            <v>5619951.8497567717</v>
          </cell>
          <cell r="Q162">
            <v>6361044.4013730492</v>
          </cell>
          <cell r="R162">
            <v>6361044.4013730492</v>
          </cell>
          <cell r="S162">
            <v>188363.02719034767</v>
          </cell>
          <cell r="T162">
            <v>274354.84395115869</v>
          </cell>
          <cell r="U162">
            <v>376357.51802314911</v>
          </cell>
          <cell r="V162">
            <v>425987.08083938807</v>
          </cell>
          <cell r="W162">
            <v>425987.08083938807</v>
          </cell>
        </row>
        <row r="163">
          <cell r="N163">
            <v>3014610</v>
          </cell>
          <cell r="O163">
            <v>4390845</v>
          </cell>
          <cell r="P163">
            <v>6023321.8500000006</v>
          </cell>
          <cell r="Q163">
            <v>6817606.0500000007</v>
          </cell>
          <cell r="R163">
            <v>6817606.0500000007</v>
          </cell>
          <cell r="S163">
            <v>201882.49386561289</v>
          </cell>
          <cell r="T163">
            <v>294046.24106513197</v>
          </cell>
          <cell r="U163">
            <v>403370.00024322886</v>
          </cell>
          <cell r="V163">
            <v>456561.6486269515</v>
          </cell>
          <cell r="W163">
            <v>456561.6486269515</v>
          </cell>
        </row>
      </sheetData>
      <sheetData sheetId="8">
        <row r="6">
          <cell r="AH6">
            <v>3.2348184451616933E-2</v>
          </cell>
        </row>
      </sheetData>
      <sheetData sheetId="9">
        <row r="5">
          <cell r="E5">
            <v>5</v>
          </cell>
        </row>
      </sheetData>
      <sheetData sheetId="10"/>
      <sheetData sheetId="11">
        <row r="5">
          <cell r="BE5">
            <v>22716</v>
          </cell>
          <cell r="BF5">
            <v>22782</v>
          </cell>
          <cell r="BG5">
            <v>22866</v>
          </cell>
          <cell r="BH5">
            <v>22956</v>
          </cell>
          <cell r="BI5">
            <v>23034</v>
          </cell>
        </row>
        <row r="6">
          <cell r="BE6">
            <v>27285</v>
          </cell>
          <cell r="BF6">
            <v>27456</v>
          </cell>
          <cell r="BG6">
            <v>27720</v>
          </cell>
          <cell r="BH6">
            <v>28095</v>
          </cell>
          <cell r="BI6">
            <v>28323</v>
          </cell>
        </row>
        <row r="7">
          <cell r="BE7">
            <v>31872</v>
          </cell>
          <cell r="BF7">
            <v>32181</v>
          </cell>
          <cell r="BG7">
            <v>32691</v>
          </cell>
          <cell r="BH7">
            <v>33441</v>
          </cell>
          <cell r="BI7">
            <v>33894</v>
          </cell>
        </row>
        <row r="8">
          <cell r="BE8">
            <v>42987</v>
          </cell>
          <cell r="BF8">
            <v>43547</v>
          </cell>
          <cell r="BG8">
            <v>44499</v>
          </cell>
          <cell r="BH8">
            <v>45895.5</v>
          </cell>
          <cell r="BI8">
            <v>46739</v>
          </cell>
        </row>
        <row r="9">
          <cell r="BE9">
            <v>56308</v>
          </cell>
          <cell r="BF9">
            <v>57216</v>
          </cell>
          <cell r="BG9">
            <v>58780</v>
          </cell>
          <cell r="BH9">
            <v>61088</v>
          </cell>
          <cell r="BI9">
            <v>62496</v>
          </cell>
        </row>
        <row r="10">
          <cell r="BE10">
            <v>64056</v>
          </cell>
          <cell r="BF10">
            <v>65280</v>
          </cell>
          <cell r="BG10">
            <v>67408</v>
          </cell>
          <cell r="BH10">
            <v>70540</v>
          </cell>
          <cell r="BI10">
            <v>72464</v>
          </cell>
        </row>
        <row r="11">
          <cell r="BE11">
            <v>72404</v>
          </cell>
          <cell r="BF11">
            <v>73984</v>
          </cell>
          <cell r="BG11">
            <v>76764</v>
          </cell>
          <cell r="BH11">
            <v>80764</v>
          </cell>
          <cell r="BI11">
            <v>83052</v>
          </cell>
        </row>
        <row r="12">
          <cell r="BE12">
            <v>81368</v>
          </cell>
          <cell r="BF12">
            <v>83220</v>
          </cell>
          <cell r="BG12">
            <v>86512</v>
          </cell>
          <cell r="BH12">
            <v>91388</v>
          </cell>
          <cell r="BI12">
            <v>94296</v>
          </cell>
        </row>
        <row r="13">
          <cell r="BE13">
            <v>99589.6</v>
          </cell>
          <cell r="BF13">
            <v>102044.80000000002</v>
          </cell>
          <cell r="BG13">
            <v>106510.80000000002</v>
          </cell>
          <cell r="BH13">
            <v>113097.60000000001</v>
          </cell>
          <cell r="BI13">
            <v>117066.40000000001</v>
          </cell>
        </row>
        <row r="14">
          <cell r="BE14">
            <v>120614.39999999999</v>
          </cell>
          <cell r="BF14">
            <v>123556.79999999999</v>
          </cell>
          <cell r="BG14">
            <v>129422.39999999999</v>
          </cell>
          <cell r="BH14">
            <v>138100.79999999999</v>
          </cell>
          <cell r="BI14">
            <v>143376</v>
          </cell>
        </row>
        <row r="15">
          <cell r="BE15">
            <v>139985</v>
          </cell>
          <cell r="BF15">
            <v>143455</v>
          </cell>
          <cell r="BG15">
            <v>150320</v>
          </cell>
          <cell r="BH15">
            <v>160955</v>
          </cell>
          <cell r="BI15">
            <v>167275</v>
          </cell>
        </row>
        <row r="16">
          <cell r="BE16">
            <v>151920</v>
          </cell>
          <cell r="BF16">
            <v>156180</v>
          </cell>
          <cell r="BG16">
            <v>163250</v>
          </cell>
          <cell r="BH16">
            <v>175085</v>
          </cell>
          <cell r="BI16">
            <v>182560</v>
          </cell>
        </row>
        <row r="17">
          <cell r="BE17">
            <v>164485</v>
          </cell>
          <cell r="BF17">
            <v>169135</v>
          </cell>
          <cell r="BG17">
            <v>177340</v>
          </cell>
          <cell r="BH17">
            <v>189685</v>
          </cell>
          <cell r="BI17">
            <v>198475</v>
          </cell>
        </row>
        <row r="18">
          <cell r="BE18">
            <v>177570</v>
          </cell>
          <cell r="BF18">
            <v>182620</v>
          </cell>
          <cell r="BG18">
            <v>191205</v>
          </cell>
          <cell r="BH18">
            <v>204665</v>
          </cell>
          <cell r="BI18">
            <v>214420</v>
          </cell>
        </row>
        <row r="19">
          <cell r="BE19">
            <v>191195</v>
          </cell>
          <cell r="BF19">
            <v>196600</v>
          </cell>
          <cell r="BG19">
            <v>205820</v>
          </cell>
          <cell r="BH19">
            <v>220145</v>
          </cell>
          <cell r="BI19">
            <v>232255</v>
          </cell>
        </row>
        <row r="20">
          <cell r="BE20">
            <v>217697.5</v>
          </cell>
          <cell r="BF20">
            <v>223829.6</v>
          </cell>
          <cell r="BG20">
            <v>234106.3</v>
          </cell>
          <cell r="BH20">
            <v>252184.59999999998</v>
          </cell>
          <cell r="BI20">
            <v>265392.2</v>
          </cell>
        </row>
        <row r="21">
          <cell r="BE21">
            <v>246467.19999999998</v>
          </cell>
          <cell r="BF21">
            <v>253316</v>
          </cell>
          <cell r="BG21">
            <v>265837.59999999998</v>
          </cell>
          <cell r="BH21">
            <v>285605.59999999998</v>
          </cell>
          <cell r="BI21">
            <v>300815.19999999995</v>
          </cell>
        </row>
        <row r="22">
          <cell r="BE22">
            <v>277783.80000000005</v>
          </cell>
          <cell r="BF22">
            <v>286563</v>
          </cell>
          <cell r="BG22">
            <v>299902.90000000002</v>
          </cell>
          <cell r="BH22">
            <v>322157.70000000007</v>
          </cell>
          <cell r="BI22">
            <v>339627.6</v>
          </cell>
        </row>
        <row r="23">
          <cell r="BE23">
            <v>302736</v>
          </cell>
          <cell r="BF23">
            <v>311370</v>
          </cell>
          <cell r="BG23">
            <v>325812</v>
          </cell>
          <cell r="BH23">
            <v>349788</v>
          </cell>
          <cell r="BI23">
            <v>369186</v>
          </cell>
        </row>
        <row r="24">
          <cell r="BE24">
            <v>323166</v>
          </cell>
          <cell r="BF24">
            <v>331224</v>
          </cell>
          <cell r="BG24">
            <v>346698</v>
          </cell>
          <cell r="BH24">
            <v>371250</v>
          </cell>
          <cell r="BI24">
            <v>391776</v>
          </cell>
        </row>
        <row r="25">
          <cell r="BE25">
            <v>343230</v>
          </cell>
          <cell r="BF25">
            <v>352146</v>
          </cell>
          <cell r="BG25">
            <v>368964</v>
          </cell>
          <cell r="BH25">
            <v>395346</v>
          </cell>
          <cell r="BI25">
            <v>417660</v>
          </cell>
        </row>
        <row r="26">
          <cell r="BE26">
            <v>363972</v>
          </cell>
          <cell r="BF26">
            <v>373704</v>
          </cell>
          <cell r="BG26">
            <v>391722</v>
          </cell>
          <cell r="BH26">
            <v>419910</v>
          </cell>
          <cell r="BI26">
            <v>445944</v>
          </cell>
        </row>
        <row r="27">
          <cell r="BE27">
            <v>385188</v>
          </cell>
          <cell r="BF27">
            <v>395904</v>
          </cell>
          <cell r="BG27">
            <v>414666</v>
          </cell>
          <cell r="BH27">
            <v>445122</v>
          </cell>
          <cell r="BI27">
            <v>474324</v>
          </cell>
        </row>
        <row r="28">
          <cell r="BE28">
            <v>406806</v>
          </cell>
          <cell r="BF28">
            <v>418422</v>
          </cell>
          <cell r="BG28">
            <v>438606</v>
          </cell>
          <cell r="BH28">
            <v>472200</v>
          </cell>
          <cell r="BI28">
            <v>504228</v>
          </cell>
        </row>
        <row r="29">
          <cell r="BE29">
            <v>428772</v>
          </cell>
          <cell r="BF29">
            <v>441450</v>
          </cell>
          <cell r="BG29">
            <v>463800</v>
          </cell>
          <cell r="BH29">
            <v>500382</v>
          </cell>
          <cell r="BI29">
            <v>534648</v>
          </cell>
        </row>
        <row r="30">
          <cell r="BE30">
            <v>451344</v>
          </cell>
          <cell r="BF30">
            <v>465720</v>
          </cell>
          <cell r="BG30">
            <v>490176</v>
          </cell>
          <cell r="BH30">
            <v>529026</v>
          </cell>
          <cell r="BI30">
            <v>566364</v>
          </cell>
        </row>
        <row r="31">
          <cell r="BE31">
            <v>475068</v>
          </cell>
          <cell r="BF31">
            <v>491214</v>
          </cell>
          <cell r="BG31">
            <v>517230</v>
          </cell>
          <cell r="BH31">
            <v>558810</v>
          </cell>
          <cell r="BI31">
            <v>598926</v>
          </cell>
        </row>
        <row r="32">
          <cell r="BE32">
            <v>499974</v>
          </cell>
          <cell r="BF32">
            <v>518766</v>
          </cell>
          <cell r="BG32">
            <v>547608</v>
          </cell>
          <cell r="BH32">
            <v>600048</v>
          </cell>
          <cell r="BI32">
            <v>647586</v>
          </cell>
        </row>
        <row r="33">
          <cell r="BE33">
            <v>529392</v>
          </cell>
          <cell r="BF33">
            <v>552186</v>
          </cell>
          <cell r="BG33">
            <v>588240</v>
          </cell>
          <cell r="BH33">
            <v>649074</v>
          </cell>
          <cell r="BI33">
            <v>701280</v>
          </cell>
        </row>
        <row r="34">
          <cell r="BE34">
            <v>559860</v>
          </cell>
          <cell r="BF34">
            <v>586884</v>
          </cell>
          <cell r="BG34">
            <v>630522</v>
          </cell>
          <cell r="BH34">
            <v>700284</v>
          </cell>
          <cell r="BI34">
            <v>757866</v>
          </cell>
        </row>
        <row r="35">
          <cell r="BE35">
            <v>595878</v>
          </cell>
          <cell r="BF35">
            <v>627366</v>
          </cell>
          <cell r="BG35">
            <v>679596</v>
          </cell>
          <cell r="BH35">
            <v>759366</v>
          </cell>
          <cell r="BI35">
            <v>822438</v>
          </cell>
        </row>
        <row r="36">
          <cell r="BE36">
            <v>633090</v>
          </cell>
          <cell r="BF36">
            <v>669780</v>
          </cell>
          <cell r="BG36">
            <v>730980</v>
          </cell>
          <cell r="BH36">
            <v>821634</v>
          </cell>
          <cell r="BI36">
            <v>890862</v>
          </cell>
        </row>
        <row r="37">
          <cell r="BE37">
            <v>672036</v>
          </cell>
          <cell r="BF37">
            <v>713676</v>
          </cell>
          <cell r="BG37">
            <v>784956</v>
          </cell>
          <cell r="BH37">
            <v>887184</v>
          </cell>
          <cell r="BI37">
            <v>962292</v>
          </cell>
        </row>
        <row r="38">
          <cell r="BE38">
            <v>712320</v>
          </cell>
          <cell r="BF38">
            <v>759864</v>
          </cell>
          <cell r="BG38">
            <v>841512</v>
          </cell>
          <cell r="BH38">
            <v>951702</v>
          </cell>
          <cell r="BI38">
            <v>1028574</v>
          </cell>
        </row>
        <row r="39">
          <cell r="BE39">
            <v>758100</v>
          </cell>
          <cell r="BF39">
            <v>809214</v>
          </cell>
          <cell r="BG39">
            <v>892998</v>
          </cell>
          <cell r="BH39">
            <v>1009224</v>
          </cell>
          <cell r="BI39">
            <v>1090614</v>
          </cell>
        </row>
        <row r="40">
          <cell r="BE40">
            <v>811008</v>
          </cell>
          <cell r="BF40">
            <v>861540</v>
          </cell>
          <cell r="BG40">
            <v>943680</v>
          </cell>
          <cell r="BH40">
            <v>1068864</v>
          </cell>
          <cell r="BI40">
            <v>1154436</v>
          </cell>
        </row>
        <row r="41">
          <cell r="BE41">
            <v>866298</v>
          </cell>
          <cell r="BF41">
            <v>915618</v>
          </cell>
          <cell r="BG41">
            <v>996366</v>
          </cell>
          <cell r="BH41">
            <v>1129854</v>
          </cell>
          <cell r="BI41">
            <v>1221270</v>
          </cell>
        </row>
        <row r="42">
          <cell r="BE42">
            <v>923814</v>
          </cell>
          <cell r="BF42">
            <v>971862</v>
          </cell>
          <cell r="BG42">
            <v>1050444</v>
          </cell>
          <cell r="BH42">
            <v>1193412</v>
          </cell>
          <cell r="BI42">
            <v>1290654</v>
          </cell>
        </row>
        <row r="43">
          <cell r="BE43">
            <v>983850</v>
          </cell>
          <cell r="BF43">
            <v>1030080</v>
          </cell>
          <cell r="BG43">
            <v>1106580</v>
          </cell>
          <cell r="BH43">
            <v>1259682</v>
          </cell>
          <cell r="BI43">
            <v>1363074</v>
          </cell>
        </row>
        <row r="44">
          <cell r="BE44">
            <v>1046634</v>
          </cell>
          <cell r="BF44">
            <v>1086948</v>
          </cell>
          <cell r="BG44">
            <v>1164432</v>
          </cell>
          <cell r="BH44">
            <v>1329798</v>
          </cell>
          <cell r="BI44">
            <v>1438998</v>
          </cell>
        </row>
        <row r="45">
          <cell r="BE45">
            <v>1090488</v>
          </cell>
          <cell r="BF45">
            <v>1131912</v>
          </cell>
          <cell r="BG45">
            <v>1215582</v>
          </cell>
          <cell r="BH45">
            <v>1394028</v>
          </cell>
          <cell r="BI45">
            <v>1510296</v>
          </cell>
        </row>
        <row r="46">
          <cell r="BE46">
            <v>1136142</v>
          </cell>
          <cell r="BF46">
            <v>1178640</v>
          </cell>
          <cell r="BG46">
            <v>1268316</v>
          </cell>
          <cell r="BH46">
            <v>1461564</v>
          </cell>
          <cell r="BI46">
            <v>1583292</v>
          </cell>
        </row>
        <row r="47">
          <cell r="BE47">
            <v>1183530</v>
          </cell>
          <cell r="BF47">
            <v>1226796</v>
          </cell>
          <cell r="BG47">
            <v>1322250</v>
          </cell>
          <cell r="BH47">
            <v>1531302</v>
          </cell>
          <cell r="BI47">
            <v>1660272</v>
          </cell>
        </row>
        <row r="48">
          <cell r="BE48">
            <v>1232760</v>
          </cell>
          <cell r="BF48">
            <v>1276836</v>
          </cell>
          <cell r="BG48">
            <v>1380036</v>
          </cell>
          <cell r="BH48">
            <v>1605816</v>
          </cell>
          <cell r="BI48">
            <v>1737768</v>
          </cell>
        </row>
        <row r="49">
          <cell r="BE49">
            <v>1282692</v>
          </cell>
          <cell r="BF49">
            <v>1329936</v>
          </cell>
          <cell r="BG49">
            <v>1440462</v>
          </cell>
          <cell r="BH49">
            <v>1681974</v>
          </cell>
          <cell r="BI49">
            <v>1817490</v>
          </cell>
        </row>
        <row r="50">
          <cell r="BE50">
            <v>1334892</v>
          </cell>
          <cell r="BF50">
            <v>1384836</v>
          </cell>
          <cell r="BG50">
            <v>1503756</v>
          </cell>
          <cell r="BH50">
            <v>1757250</v>
          </cell>
          <cell r="BI50">
            <v>1899090</v>
          </cell>
        </row>
        <row r="51">
          <cell r="BE51">
            <v>1388952</v>
          </cell>
          <cell r="BF51">
            <v>1441716</v>
          </cell>
          <cell r="BG51">
            <v>1566450</v>
          </cell>
          <cell r="BH51">
            <v>1835154</v>
          </cell>
          <cell r="BI51">
            <v>1983288</v>
          </cell>
        </row>
        <row r="52">
          <cell r="BE52">
            <v>1445370</v>
          </cell>
          <cell r="BF52">
            <v>1499370</v>
          </cell>
          <cell r="BG52">
            <v>1630602</v>
          </cell>
          <cell r="BH52">
            <v>1914702</v>
          </cell>
          <cell r="BI52">
            <v>2070186</v>
          </cell>
        </row>
        <row r="53">
          <cell r="BE53">
            <v>1503456</v>
          </cell>
          <cell r="BF53">
            <v>1557144</v>
          </cell>
          <cell r="BG53">
            <v>1696236</v>
          </cell>
          <cell r="BH53">
            <v>1995822</v>
          </cell>
          <cell r="BI53">
            <v>2158782</v>
          </cell>
        </row>
        <row r="54">
          <cell r="BE54">
            <v>1563354</v>
          </cell>
          <cell r="BF54">
            <v>1622544</v>
          </cell>
          <cell r="BG54">
            <v>1765974</v>
          </cell>
          <cell r="BH54">
            <v>2075772</v>
          </cell>
          <cell r="BI54">
            <v>2250258</v>
          </cell>
        </row>
        <row r="55">
          <cell r="BE55">
            <v>1632234</v>
          </cell>
          <cell r="BF55">
            <v>1694694</v>
          </cell>
          <cell r="BG55">
            <v>1842558</v>
          </cell>
          <cell r="BH55">
            <v>2162754</v>
          </cell>
          <cell r="BI55">
            <v>2347758</v>
          </cell>
        </row>
        <row r="56">
          <cell r="BE56">
            <v>1703070</v>
          </cell>
          <cell r="BF56">
            <v>1770468</v>
          </cell>
          <cell r="BG56">
            <v>1921698</v>
          </cell>
          <cell r="BH56">
            <v>2253114</v>
          </cell>
          <cell r="BI56">
            <v>2448912</v>
          </cell>
        </row>
        <row r="57">
          <cell r="BE57">
            <v>1776624</v>
          </cell>
          <cell r="BF57">
            <v>1848336</v>
          </cell>
          <cell r="BG57">
            <v>2004030</v>
          </cell>
          <cell r="BH57">
            <v>2347248</v>
          </cell>
          <cell r="BI57">
            <v>2551320</v>
          </cell>
        </row>
        <row r="58">
          <cell r="BE58">
            <v>1853892</v>
          </cell>
          <cell r="BF58">
            <v>1930812</v>
          </cell>
          <cell r="BG58">
            <v>2091996</v>
          </cell>
          <cell r="BH58">
            <v>2450568</v>
          </cell>
          <cell r="BI58">
            <v>2654382</v>
          </cell>
        </row>
        <row r="59">
          <cell r="BE59">
            <v>1936026</v>
          </cell>
          <cell r="BF59">
            <v>2015736</v>
          </cell>
          <cell r="BG59">
            <v>2184354</v>
          </cell>
          <cell r="BH59">
            <v>2556096</v>
          </cell>
          <cell r="BI59">
            <v>2761248</v>
          </cell>
        </row>
        <row r="60">
          <cell r="BE60">
            <v>2020566</v>
          </cell>
          <cell r="BF60">
            <v>2103438</v>
          </cell>
          <cell r="BG60">
            <v>2279418</v>
          </cell>
          <cell r="BH60">
            <v>2665686</v>
          </cell>
          <cell r="BI60">
            <v>2871972</v>
          </cell>
        </row>
        <row r="61">
          <cell r="BE61">
            <v>2107050</v>
          </cell>
          <cell r="BF61">
            <v>2194554</v>
          </cell>
          <cell r="BG61">
            <v>2377932</v>
          </cell>
          <cell r="BH61">
            <v>2779452</v>
          </cell>
          <cell r="BI61">
            <v>2986848</v>
          </cell>
        </row>
        <row r="62">
          <cell r="BE62">
            <v>2196798</v>
          </cell>
          <cell r="BF62">
            <v>2287494</v>
          </cell>
          <cell r="BG62">
            <v>2480454</v>
          </cell>
          <cell r="BH62">
            <v>2898096</v>
          </cell>
          <cell r="BI62">
            <v>3104082</v>
          </cell>
        </row>
        <row r="63">
          <cell r="BE63">
            <v>2288892</v>
          </cell>
          <cell r="BF63">
            <v>2383770</v>
          </cell>
          <cell r="BG63">
            <v>2587212</v>
          </cell>
          <cell r="BH63">
            <v>3023850</v>
          </cell>
          <cell r="BI63">
            <v>3227082</v>
          </cell>
        </row>
        <row r="64">
          <cell r="BE64">
            <v>2394648</v>
          </cell>
          <cell r="BF64">
            <v>2498532</v>
          </cell>
          <cell r="BG64">
            <v>2711646</v>
          </cell>
          <cell r="BH64">
            <v>3161580</v>
          </cell>
          <cell r="BI64">
            <v>3354372</v>
          </cell>
        </row>
        <row r="65">
          <cell r="BE65">
            <v>2514858</v>
          </cell>
          <cell r="BF65">
            <v>2624772</v>
          </cell>
          <cell r="BG65">
            <v>2847144</v>
          </cell>
          <cell r="BH65">
            <v>3311760</v>
          </cell>
          <cell r="BI65">
            <v>3492924</v>
          </cell>
        </row>
        <row r="66">
          <cell r="BE66">
            <v>2639466</v>
          </cell>
          <cell r="BF66">
            <v>2754786</v>
          </cell>
          <cell r="BG66">
            <v>2988294</v>
          </cell>
          <cell r="BH66">
            <v>3466962</v>
          </cell>
          <cell r="BI66">
            <v>3635388</v>
          </cell>
        </row>
        <row r="67">
          <cell r="BE67">
            <v>2767536</v>
          </cell>
          <cell r="BF67">
            <v>2890626</v>
          </cell>
          <cell r="BG67">
            <v>3133638</v>
          </cell>
          <cell r="BH67">
            <v>3628050</v>
          </cell>
          <cell r="BI67">
            <v>3781260</v>
          </cell>
        </row>
        <row r="68">
          <cell r="BE68">
            <v>2900808</v>
          </cell>
          <cell r="BF68">
            <v>3029976</v>
          </cell>
          <cell r="BG68">
            <v>3285312</v>
          </cell>
          <cell r="BH68">
            <v>3794016</v>
          </cell>
          <cell r="BI68">
            <v>3928446</v>
          </cell>
        </row>
        <row r="69">
          <cell r="BE69">
            <v>3038784</v>
          </cell>
          <cell r="BF69">
            <v>3173010</v>
          </cell>
          <cell r="BG69">
            <v>3441180</v>
          </cell>
          <cell r="BH69">
            <v>3953730</v>
          </cell>
          <cell r="BI69">
            <v>4069116</v>
          </cell>
        </row>
        <row r="70">
          <cell r="BE70">
            <v>3167616</v>
          </cell>
          <cell r="BF70">
            <v>3317568</v>
          </cell>
          <cell r="BG70">
            <v>3599922</v>
          </cell>
          <cell r="BH70">
            <v>4105836</v>
          </cell>
          <cell r="BI70">
            <v>4217226</v>
          </cell>
        </row>
        <row r="71">
          <cell r="BE71">
            <v>3299526</v>
          </cell>
          <cell r="BF71">
            <v>3467436</v>
          </cell>
          <cell r="BG71">
            <v>3758724</v>
          </cell>
          <cell r="BH71">
            <v>4264056</v>
          </cell>
          <cell r="BI71">
            <v>4374492</v>
          </cell>
        </row>
        <row r="72">
          <cell r="BE72">
            <v>3435786</v>
          </cell>
          <cell r="BF72">
            <v>3620568</v>
          </cell>
          <cell r="BG72">
            <v>3921732</v>
          </cell>
          <cell r="BH72">
            <v>4436562</v>
          </cell>
          <cell r="BI72">
            <v>4536336</v>
          </cell>
        </row>
        <row r="73">
          <cell r="BE73">
            <v>3573756</v>
          </cell>
          <cell r="BF73">
            <v>3777222</v>
          </cell>
          <cell r="BG73">
            <v>4097454</v>
          </cell>
          <cell r="BH73">
            <v>4612680</v>
          </cell>
          <cell r="BI73">
            <v>4709742</v>
          </cell>
        </row>
        <row r="74">
          <cell r="BE74">
            <v>3715752</v>
          </cell>
          <cell r="BF74">
            <v>3939432</v>
          </cell>
          <cell r="BG74">
            <v>4278366</v>
          </cell>
          <cell r="BH74">
            <v>4787340</v>
          </cell>
          <cell r="BI74">
            <v>4898478</v>
          </cell>
        </row>
        <row r="75">
          <cell r="BE75">
            <v>3874986</v>
          </cell>
          <cell r="BF75">
            <v>4119492</v>
          </cell>
          <cell r="BG75">
            <v>4473672</v>
          </cell>
          <cell r="BH75">
            <v>4977528</v>
          </cell>
          <cell r="BI75">
            <v>5102376</v>
          </cell>
        </row>
        <row r="76">
          <cell r="BE76">
            <v>4044954</v>
          </cell>
          <cell r="BF76">
            <v>4296654</v>
          </cell>
          <cell r="BG76">
            <v>4674870</v>
          </cell>
          <cell r="BH76">
            <v>5176164</v>
          </cell>
          <cell r="BI76">
            <v>5321994</v>
          </cell>
        </row>
        <row r="77">
          <cell r="BE77">
            <v>4223772</v>
          </cell>
          <cell r="BF77">
            <v>4482462</v>
          </cell>
          <cell r="BG77">
            <v>4885290</v>
          </cell>
          <cell r="BH77">
            <v>5425836</v>
          </cell>
          <cell r="BI77">
            <v>5573484</v>
          </cell>
        </row>
        <row r="78">
          <cell r="BE78">
            <v>4408800</v>
          </cell>
          <cell r="BF78">
            <v>4675662</v>
          </cell>
          <cell r="BG78">
            <v>5100690</v>
          </cell>
          <cell r="BH78">
            <v>5685786</v>
          </cell>
          <cell r="BI78">
            <v>5834946</v>
          </cell>
        </row>
        <row r="79">
          <cell r="BE79">
            <v>4600584</v>
          </cell>
          <cell r="BF79">
            <v>4874850</v>
          </cell>
          <cell r="BG79">
            <v>5315004</v>
          </cell>
          <cell r="BH79">
            <v>5949132</v>
          </cell>
          <cell r="BI79">
            <v>6107340</v>
          </cell>
        </row>
        <row r="80">
          <cell r="BE80">
            <v>4805274</v>
          </cell>
          <cell r="BF80">
            <v>5084352</v>
          </cell>
          <cell r="BG80">
            <v>5544264</v>
          </cell>
          <cell r="BH80">
            <v>6216138</v>
          </cell>
          <cell r="BI80">
            <v>6393498</v>
          </cell>
        </row>
        <row r="81">
          <cell r="BE81">
            <v>5017410</v>
          </cell>
          <cell r="BF81">
            <v>5298684</v>
          </cell>
          <cell r="BG81">
            <v>5782140</v>
          </cell>
          <cell r="BH81">
            <v>6492774</v>
          </cell>
          <cell r="BI81">
            <v>6687636</v>
          </cell>
        </row>
        <row r="82">
          <cell r="BE82">
            <v>5235708</v>
          </cell>
          <cell r="BF82">
            <v>5531784</v>
          </cell>
          <cell r="BG82">
            <v>6027510</v>
          </cell>
          <cell r="BH82">
            <v>6788556</v>
          </cell>
          <cell r="BI82">
            <v>6984186</v>
          </cell>
        </row>
        <row r="83">
          <cell r="BE83">
            <v>5467602</v>
          </cell>
          <cell r="BF83">
            <v>5789610</v>
          </cell>
          <cell r="BG83">
            <v>6285144</v>
          </cell>
          <cell r="BH83">
            <v>7083942</v>
          </cell>
          <cell r="BI83">
            <v>7288374</v>
          </cell>
        </row>
        <row r="84">
          <cell r="BE84">
            <v>5705784</v>
          </cell>
          <cell r="BF84">
            <v>6056700</v>
          </cell>
          <cell r="BG84">
            <v>6548964</v>
          </cell>
          <cell r="BH84">
            <v>7384314</v>
          </cell>
          <cell r="BI84">
            <v>7596420</v>
          </cell>
        </row>
        <row r="85">
          <cell r="BE85">
            <v>5937162</v>
          </cell>
          <cell r="BF85">
            <v>6314346</v>
          </cell>
          <cell r="BG85">
            <v>6789534</v>
          </cell>
          <cell r="BH85">
            <v>7649568</v>
          </cell>
          <cell r="BI85">
            <v>7876458</v>
          </cell>
        </row>
        <row r="86">
          <cell r="BE86">
            <v>6179844</v>
          </cell>
          <cell r="BF86">
            <v>6581316</v>
          </cell>
          <cell r="BG86">
            <v>7036230</v>
          </cell>
          <cell r="BH86">
            <v>7918020</v>
          </cell>
          <cell r="BI86">
            <v>8158194</v>
          </cell>
        </row>
        <row r="87">
          <cell r="BE87">
            <v>6437586</v>
          </cell>
          <cell r="BF87">
            <v>6834354</v>
          </cell>
          <cell r="BG87">
            <v>7288158</v>
          </cell>
          <cell r="BH87">
            <v>8167098</v>
          </cell>
          <cell r="BI87">
            <v>8405304</v>
          </cell>
        </row>
        <row r="88">
          <cell r="BE88">
            <v>6706944</v>
          </cell>
          <cell r="BF88">
            <v>7090674</v>
          </cell>
          <cell r="BG88">
            <v>7544208</v>
          </cell>
          <cell r="BH88">
            <v>8412738</v>
          </cell>
          <cell r="BI88">
            <v>8646612</v>
          </cell>
        </row>
        <row r="89">
          <cell r="BE89">
            <v>6966114</v>
          </cell>
          <cell r="BF89">
            <v>7338840</v>
          </cell>
          <cell r="BG89">
            <v>7820280</v>
          </cell>
          <cell r="BH89">
            <v>8631354</v>
          </cell>
          <cell r="BI89">
            <v>8871672</v>
          </cell>
        </row>
        <row r="90">
          <cell r="BE90">
            <v>7227372</v>
          </cell>
          <cell r="BF90">
            <v>7590774</v>
          </cell>
          <cell r="BG90">
            <v>8104566</v>
          </cell>
          <cell r="BH90">
            <v>8856552</v>
          </cell>
          <cell r="BI90">
            <v>9102588</v>
          </cell>
        </row>
        <row r="91">
          <cell r="BE91">
            <v>7467840</v>
          </cell>
          <cell r="BF91">
            <v>7851522</v>
          </cell>
          <cell r="BG91">
            <v>8385240</v>
          </cell>
          <cell r="BH91">
            <v>9068754</v>
          </cell>
          <cell r="BI91">
            <v>9491322</v>
          </cell>
        </row>
        <row r="92">
          <cell r="BE92">
            <v>7691508</v>
          </cell>
          <cell r="BF92">
            <v>8118834</v>
          </cell>
          <cell r="BG92">
            <v>8666634</v>
          </cell>
          <cell r="BH92">
            <v>9305334</v>
          </cell>
          <cell r="BI92">
            <v>9914196</v>
          </cell>
        </row>
        <row r="93">
          <cell r="BE93">
            <v>7919202</v>
          </cell>
          <cell r="BF93">
            <v>8394858</v>
          </cell>
          <cell r="BG93">
            <v>8955954</v>
          </cell>
          <cell r="BH93">
            <v>9634200</v>
          </cell>
          <cell r="BI93">
            <v>10265076</v>
          </cell>
        </row>
        <row r="94">
          <cell r="BE94">
            <v>8153232</v>
          </cell>
          <cell r="BF94">
            <v>8681382</v>
          </cell>
          <cell r="BG94">
            <v>9291600</v>
          </cell>
          <cell r="BH94">
            <v>9956760</v>
          </cell>
          <cell r="BI94">
            <v>10586526</v>
          </cell>
        </row>
        <row r="95">
          <cell r="BE95">
            <v>8359488</v>
          </cell>
          <cell r="BF95">
            <v>8933070</v>
          </cell>
          <cell r="BG95">
            <v>9583662</v>
          </cell>
          <cell r="BH95">
            <v>10233834</v>
          </cell>
          <cell r="BI95">
            <v>10878762</v>
          </cell>
        </row>
        <row r="96">
          <cell r="BE96">
            <v>8564850</v>
          </cell>
          <cell r="BF96">
            <v>9203340</v>
          </cell>
          <cell r="BG96">
            <v>9849156</v>
          </cell>
          <cell r="BH96">
            <v>10470240</v>
          </cell>
          <cell r="BI96">
            <v>11151042</v>
          </cell>
        </row>
        <row r="97">
          <cell r="BE97">
            <v>8758308</v>
          </cell>
          <cell r="BF97">
            <v>9446160</v>
          </cell>
          <cell r="BG97">
            <v>10081470</v>
          </cell>
          <cell r="BH97">
            <v>10668714</v>
          </cell>
          <cell r="BI97">
            <v>11384694</v>
          </cell>
        </row>
        <row r="98">
          <cell r="BE98">
            <v>8959728</v>
          </cell>
          <cell r="BF98">
            <v>9654330</v>
          </cell>
          <cell r="BG98">
            <v>10303320</v>
          </cell>
          <cell r="BH98">
            <v>10869702</v>
          </cell>
          <cell r="BI98">
            <v>11622738</v>
          </cell>
        </row>
        <row r="99">
          <cell r="BE99">
            <v>9162096</v>
          </cell>
          <cell r="BF99">
            <v>9860820</v>
          </cell>
          <cell r="BG99">
            <v>10521264</v>
          </cell>
          <cell r="BH99">
            <v>11069868</v>
          </cell>
          <cell r="BI99">
            <v>11858652</v>
          </cell>
        </row>
        <row r="100">
          <cell r="BE100">
            <v>9369396</v>
          </cell>
          <cell r="BF100">
            <v>10068420</v>
          </cell>
          <cell r="BG100">
            <v>10731840</v>
          </cell>
          <cell r="BH100">
            <v>11273820</v>
          </cell>
          <cell r="BI100">
            <v>12099474</v>
          </cell>
        </row>
        <row r="101">
          <cell r="BE101">
            <v>9576984</v>
          </cell>
          <cell r="BF101">
            <v>10276134</v>
          </cell>
          <cell r="BG101">
            <v>10943748</v>
          </cell>
          <cell r="BH101">
            <v>11479290</v>
          </cell>
          <cell r="BI101">
            <v>12342438</v>
          </cell>
        </row>
        <row r="102">
          <cell r="BE102">
            <v>9779358</v>
          </cell>
          <cell r="BF102">
            <v>10466124</v>
          </cell>
          <cell r="BG102">
            <v>11144430</v>
          </cell>
          <cell r="BH102">
            <v>11689350</v>
          </cell>
          <cell r="BI102">
            <v>12590376</v>
          </cell>
        </row>
        <row r="103">
          <cell r="BE103">
            <v>9984522</v>
          </cell>
          <cell r="BF103">
            <v>10660608</v>
          </cell>
          <cell r="BG103">
            <v>11346336</v>
          </cell>
          <cell r="BH103">
            <v>11900850</v>
          </cell>
          <cell r="BI103">
            <v>12841500</v>
          </cell>
        </row>
        <row r="104">
          <cell r="BE104">
            <v>10193400</v>
          </cell>
          <cell r="BF104">
            <v>10854390</v>
          </cell>
          <cell r="BG104">
            <v>11550258</v>
          </cell>
          <cell r="BH104">
            <v>12117714</v>
          </cell>
          <cell r="BI104">
            <v>13096482</v>
          </cell>
        </row>
        <row r="105">
          <cell r="BE105">
            <v>10408824</v>
          </cell>
          <cell r="BF105">
            <v>11050266</v>
          </cell>
          <cell r="BG105">
            <v>11756400</v>
          </cell>
          <cell r="BH105">
            <v>12353628</v>
          </cell>
          <cell r="BI105">
            <v>13351962</v>
          </cell>
        </row>
        <row r="106">
          <cell r="BE106">
            <v>10630800</v>
          </cell>
          <cell r="BF106">
            <v>11248806</v>
          </cell>
          <cell r="BG106">
            <v>11965338</v>
          </cell>
          <cell r="BH106">
            <v>12595878</v>
          </cell>
          <cell r="BI106">
            <v>13607658</v>
          </cell>
        </row>
        <row r="107">
          <cell r="BE107">
            <v>10857102</v>
          </cell>
          <cell r="BF107">
            <v>11449716</v>
          </cell>
          <cell r="BG107">
            <v>12176376</v>
          </cell>
          <cell r="BH107">
            <v>12838944</v>
          </cell>
          <cell r="BI107">
            <v>13868556</v>
          </cell>
        </row>
        <row r="108">
          <cell r="BE108">
            <v>11086374</v>
          </cell>
          <cell r="BF108">
            <v>11654022</v>
          </cell>
          <cell r="BG108">
            <v>12391266</v>
          </cell>
          <cell r="BH108">
            <v>13088196</v>
          </cell>
          <cell r="BI108">
            <v>14132118</v>
          </cell>
        </row>
        <row r="109">
          <cell r="BE109">
            <v>11308650</v>
          </cell>
          <cell r="BF109">
            <v>11860452</v>
          </cell>
          <cell r="BG109">
            <v>12608052</v>
          </cell>
          <cell r="BH109">
            <v>13340022</v>
          </cell>
          <cell r="BI109">
            <v>14401104</v>
          </cell>
        </row>
        <row r="110">
          <cell r="BE110">
            <v>11531598</v>
          </cell>
          <cell r="BF110">
            <v>12071046</v>
          </cell>
          <cell r="BG110">
            <v>12833958</v>
          </cell>
          <cell r="BH110">
            <v>13596888</v>
          </cell>
          <cell r="BI110">
            <v>14673246</v>
          </cell>
        </row>
        <row r="111">
          <cell r="BE111">
            <v>11759904</v>
          </cell>
          <cell r="BF111">
            <v>12282882</v>
          </cell>
          <cell r="BG111">
            <v>13081428</v>
          </cell>
          <cell r="BH111">
            <v>13856616</v>
          </cell>
          <cell r="BI111">
            <v>14949762</v>
          </cell>
        </row>
        <row r="112">
          <cell r="BE112">
            <v>11976840</v>
          </cell>
          <cell r="BF112">
            <v>12499920</v>
          </cell>
          <cell r="BG112">
            <v>13335582</v>
          </cell>
          <cell r="BH112">
            <v>14121564</v>
          </cell>
          <cell r="BI112">
            <v>15220980</v>
          </cell>
        </row>
        <row r="113">
          <cell r="BE113">
            <v>12187404</v>
          </cell>
          <cell r="BF113">
            <v>12717960</v>
          </cell>
          <cell r="BG113">
            <v>13591254</v>
          </cell>
          <cell r="BH113">
            <v>14381292</v>
          </cell>
          <cell r="BI113">
            <v>15499314</v>
          </cell>
        </row>
        <row r="114">
          <cell r="BE114">
            <v>12398166</v>
          </cell>
          <cell r="BF114">
            <v>12941856</v>
          </cell>
          <cell r="BG114">
            <v>13844586</v>
          </cell>
          <cell r="BH114">
            <v>14645064</v>
          </cell>
          <cell r="BI114">
            <v>15778740</v>
          </cell>
        </row>
        <row r="115">
          <cell r="BE115">
            <v>12614382</v>
          </cell>
          <cell r="BF115">
            <v>13188864</v>
          </cell>
          <cell r="BG115">
            <v>14098446</v>
          </cell>
          <cell r="BH115">
            <v>14912640</v>
          </cell>
          <cell r="BI115">
            <v>16065282</v>
          </cell>
        </row>
        <row r="116">
          <cell r="BE116">
            <v>12820884</v>
          </cell>
          <cell r="BF116">
            <v>13435158</v>
          </cell>
          <cell r="BG116">
            <v>14358552</v>
          </cell>
          <cell r="BH116">
            <v>15183612</v>
          </cell>
          <cell r="BI116">
            <v>16326672</v>
          </cell>
        </row>
        <row r="117">
          <cell r="BE117">
            <v>13032108</v>
          </cell>
          <cell r="BF117">
            <v>13682610</v>
          </cell>
          <cell r="BG117">
            <v>14620152</v>
          </cell>
          <cell r="BH117">
            <v>15459174</v>
          </cell>
          <cell r="BI117">
            <v>16592478</v>
          </cell>
        </row>
        <row r="118">
          <cell r="BE118">
            <v>13264248</v>
          </cell>
          <cell r="BF118">
            <v>13935810</v>
          </cell>
          <cell r="BG118">
            <v>14887416</v>
          </cell>
          <cell r="BH118">
            <v>15737424</v>
          </cell>
          <cell r="BI118">
            <v>16859100</v>
          </cell>
        </row>
        <row r="119">
          <cell r="BE119">
            <v>13506588</v>
          </cell>
          <cell r="BF119">
            <v>14190888</v>
          </cell>
          <cell r="BG119">
            <v>15156912</v>
          </cell>
          <cell r="BH119">
            <v>16021194</v>
          </cell>
          <cell r="BI119">
            <v>17131146</v>
          </cell>
        </row>
        <row r="120">
          <cell r="BE120">
            <v>13751256</v>
          </cell>
          <cell r="BF120">
            <v>14451162</v>
          </cell>
          <cell r="BG120">
            <v>15431484</v>
          </cell>
          <cell r="BH120">
            <v>16306974</v>
          </cell>
          <cell r="BI120">
            <v>17404788</v>
          </cell>
        </row>
        <row r="121">
          <cell r="BE121">
            <v>14000292</v>
          </cell>
          <cell r="BF121">
            <v>14714052</v>
          </cell>
          <cell r="BG121">
            <v>15709128</v>
          </cell>
          <cell r="BH121">
            <v>16599192</v>
          </cell>
          <cell r="BI121">
            <v>17683224</v>
          </cell>
        </row>
        <row r="122">
          <cell r="BE122">
            <v>14252556</v>
          </cell>
          <cell r="BF122">
            <v>14981544</v>
          </cell>
          <cell r="BG122">
            <v>15991254</v>
          </cell>
          <cell r="BH122">
            <v>16892670</v>
          </cell>
          <cell r="BI122">
            <v>17964258</v>
          </cell>
        </row>
        <row r="123">
          <cell r="BE123">
            <v>14508660</v>
          </cell>
          <cell r="BF123">
            <v>15252444</v>
          </cell>
          <cell r="BG123">
            <v>16277238</v>
          </cell>
          <cell r="BH123">
            <v>17193588</v>
          </cell>
          <cell r="BI123">
            <v>18250098</v>
          </cell>
        </row>
        <row r="124">
          <cell r="BE124">
            <v>14768790</v>
          </cell>
          <cell r="BF124">
            <v>15527316</v>
          </cell>
          <cell r="BG124">
            <v>16567074</v>
          </cell>
          <cell r="BH124">
            <v>17495208</v>
          </cell>
          <cell r="BI124">
            <v>18539160</v>
          </cell>
        </row>
        <row r="125">
          <cell r="BE125">
            <v>15032046</v>
          </cell>
          <cell r="BF125">
            <v>15806430</v>
          </cell>
          <cell r="BG125">
            <v>16861848</v>
          </cell>
          <cell r="BH125">
            <v>17804484</v>
          </cell>
          <cell r="BI125">
            <v>18831666</v>
          </cell>
        </row>
        <row r="126">
          <cell r="BE126">
            <v>15300042</v>
          </cell>
          <cell r="BF126">
            <v>16088886</v>
          </cell>
          <cell r="BG126">
            <v>17159760</v>
          </cell>
          <cell r="BH126">
            <v>18087660</v>
          </cell>
          <cell r="BI126">
            <v>19128258</v>
          </cell>
        </row>
        <row r="127">
          <cell r="BE127">
            <v>15570402</v>
          </cell>
          <cell r="BF127">
            <v>16376424</v>
          </cell>
          <cell r="BG127">
            <v>17463276</v>
          </cell>
          <cell r="BH127">
            <v>18374232</v>
          </cell>
          <cell r="BI127">
            <v>19427586</v>
          </cell>
        </row>
        <row r="128">
          <cell r="BE128">
            <v>15846498</v>
          </cell>
          <cell r="BF128">
            <v>16666596</v>
          </cell>
          <cell r="BG128">
            <v>17769204</v>
          </cell>
          <cell r="BH128">
            <v>18661956</v>
          </cell>
          <cell r="BI128">
            <v>19731870</v>
          </cell>
        </row>
        <row r="129">
          <cell r="BE129">
            <v>16124454</v>
          </cell>
          <cell r="BF129">
            <v>16962738</v>
          </cell>
          <cell r="BG129">
            <v>18081678</v>
          </cell>
          <cell r="BH129">
            <v>18955164</v>
          </cell>
          <cell r="BI129">
            <v>20037564</v>
          </cell>
        </row>
        <row r="130">
          <cell r="BE130">
            <v>16408674</v>
          </cell>
          <cell r="BF130">
            <v>17260818</v>
          </cell>
          <cell r="BG130">
            <v>18395796</v>
          </cell>
          <cell r="BH130">
            <v>19250250</v>
          </cell>
          <cell r="BI130">
            <v>20350086</v>
          </cell>
        </row>
        <row r="131">
          <cell r="BE131">
            <v>16693938</v>
          </cell>
          <cell r="BF131">
            <v>17565786</v>
          </cell>
          <cell r="BG131">
            <v>18715014</v>
          </cell>
          <cell r="BH131">
            <v>19550016</v>
          </cell>
          <cell r="BI131">
            <v>20667552</v>
          </cell>
        </row>
        <row r="132">
          <cell r="BE132">
            <v>16986690</v>
          </cell>
          <cell r="BF132">
            <v>17871924</v>
          </cell>
          <cell r="BG132">
            <v>19005594</v>
          </cell>
          <cell r="BH132">
            <v>19852746</v>
          </cell>
          <cell r="BI132">
            <v>20991954</v>
          </cell>
        </row>
        <row r="133">
          <cell r="BE133">
            <v>17279928</v>
          </cell>
          <cell r="BF133">
            <v>18186054</v>
          </cell>
          <cell r="BG133">
            <v>19303506</v>
          </cell>
          <cell r="BH133">
            <v>20159394</v>
          </cell>
          <cell r="BI133">
            <v>21317382</v>
          </cell>
        </row>
        <row r="134">
          <cell r="BE134">
            <v>17580720</v>
          </cell>
          <cell r="BF134">
            <v>18500580</v>
          </cell>
          <cell r="BG134">
            <v>19601136</v>
          </cell>
          <cell r="BH134">
            <v>20470692</v>
          </cell>
          <cell r="BI134">
            <v>21651138</v>
          </cell>
        </row>
        <row r="135">
          <cell r="BE135">
            <v>17882712</v>
          </cell>
          <cell r="BF135">
            <v>18823152</v>
          </cell>
          <cell r="BG135">
            <v>19906644</v>
          </cell>
          <cell r="BH135">
            <v>20785830</v>
          </cell>
          <cell r="BI135">
            <v>21984792</v>
          </cell>
        </row>
        <row r="136">
          <cell r="BE136">
            <v>18191670</v>
          </cell>
          <cell r="BF136">
            <v>19118346</v>
          </cell>
          <cell r="BG136">
            <v>20213340</v>
          </cell>
          <cell r="BH136">
            <v>21106080</v>
          </cell>
          <cell r="BI136">
            <v>22327002</v>
          </cell>
        </row>
        <row r="137">
          <cell r="BE137">
            <v>18503088</v>
          </cell>
          <cell r="BF137">
            <v>19417152</v>
          </cell>
          <cell r="BG137">
            <v>20526630</v>
          </cell>
          <cell r="BH137">
            <v>21428820</v>
          </cell>
          <cell r="BI137">
            <v>22580580</v>
          </cell>
        </row>
        <row r="138">
          <cell r="BE138">
            <v>18820848</v>
          </cell>
          <cell r="BF138">
            <v>19717182</v>
          </cell>
          <cell r="BG138">
            <v>20841570</v>
          </cell>
          <cell r="BH138">
            <v>21757566</v>
          </cell>
          <cell r="BI138">
            <v>22827336</v>
          </cell>
        </row>
        <row r="139">
          <cell r="BE139">
            <v>19119900</v>
          </cell>
          <cell r="BF139">
            <v>20023014</v>
          </cell>
          <cell r="BG139">
            <v>21162234</v>
          </cell>
          <cell r="BH139">
            <v>22087698</v>
          </cell>
          <cell r="BI139">
            <v>23075898</v>
          </cell>
        </row>
        <row r="140">
          <cell r="BE140">
            <v>19413300</v>
          </cell>
          <cell r="BF140">
            <v>20330928</v>
          </cell>
          <cell r="BG140">
            <v>21485358</v>
          </cell>
          <cell r="BH140">
            <v>22425600</v>
          </cell>
          <cell r="BI140">
            <v>23326272</v>
          </cell>
        </row>
        <row r="141">
          <cell r="BE141">
            <v>19709484</v>
          </cell>
          <cell r="BF141">
            <v>20643882</v>
          </cell>
          <cell r="BG141">
            <v>21813408</v>
          </cell>
          <cell r="BH141">
            <v>22768542</v>
          </cell>
          <cell r="BI141">
            <v>23578482</v>
          </cell>
        </row>
        <row r="142">
          <cell r="BE142">
            <v>20009604</v>
          </cell>
          <cell r="BF142">
            <v>20959854</v>
          </cell>
          <cell r="BG142">
            <v>22144890</v>
          </cell>
          <cell r="BH142">
            <v>23119806</v>
          </cell>
          <cell r="BI142">
            <v>23832492</v>
          </cell>
        </row>
        <row r="143">
          <cell r="BE143">
            <v>20313672</v>
          </cell>
          <cell r="BF143">
            <v>21280068</v>
          </cell>
          <cell r="BG143">
            <v>22480482</v>
          </cell>
          <cell r="BH143">
            <v>23470632</v>
          </cell>
          <cell r="BI143">
            <v>24088350</v>
          </cell>
        </row>
        <row r="144">
          <cell r="BE144">
            <v>20620536</v>
          </cell>
          <cell r="BF144">
            <v>21604260</v>
          </cell>
          <cell r="BG144">
            <v>22820490</v>
          </cell>
          <cell r="BH144">
            <v>23830152</v>
          </cell>
          <cell r="BI144">
            <v>24346062</v>
          </cell>
        </row>
        <row r="145">
          <cell r="BE145">
            <v>20932314</v>
          </cell>
          <cell r="BF145">
            <v>21931866</v>
          </cell>
          <cell r="BG145">
            <v>23163762</v>
          </cell>
          <cell r="BH145">
            <v>24189852</v>
          </cell>
          <cell r="BI145">
            <v>24605646</v>
          </cell>
        </row>
        <row r="146">
          <cell r="BE146">
            <v>21246366</v>
          </cell>
          <cell r="BF146">
            <v>22264452</v>
          </cell>
          <cell r="BG146">
            <v>23514366</v>
          </cell>
          <cell r="BH146">
            <v>24557622</v>
          </cell>
          <cell r="BI146">
            <v>24867114</v>
          </cell>
        </row>
        <row r="147">
          <cell r="BE147">
            <v>21566478</v>
          </cell>
          <cell r="BF147">
            <v>22599630</v>
          </cell>
          <cell r="BG147">
            <v>23870976</v>
          </cell>
          <cell r="BH147">
            <v>24839766</v>
          </cell>
          <cell r="BI147">
            <v>25130478</v>
          </cell>
        </row>
        <row r="148">
          <cell r="BE148">
            <v>21888156</v>
          </cell>
          <cell r="BF148">
            <v>22940796</v>
          </cell>
          <cell r="BG148">
            <v>24234240</v>
          </cell>
          <cell r="BH148">
            <v>25102728</v>
          </cell>
          <cell r="BI148">
            <v>25395720</v>
          </cell>
        </row>
        <row r="149">
          <cell r="BE149">
            <v>22216806</v>
          </cell>
          <cell r="BF149">
            <v>23283648</v>
          </cell>
          <cell r="BG149">
            <v>24599100</v>
          </cell>
          <cell r="BH149">
            <v>25367778</v>
          </cell>
          <cell r="BI149">
            <v>25662864</v>
          </cell>
        </row>
        <row r="150">
          <cell r="BE150">
            <v>22546038</v>
          </cell>
          <cell r="BF150">
            <v>23634498</v>
          </cell>
          <cell r="BG150">
            <v>24972042</v>
          </cell>
          <cell r="BH150">
            <v>25634838</v>
          </cell>
          <cell r="BI150">
            <v>25931934</v>
          </cell>
        </row>
        <row r="151">
          <cell r="BE151">
            <v>22883628</v>
          </cell>
          <cell r="BF151">
            <v>23990736</v>
          </cell>
          <cell r="BG151">
            <v>25344936</v>
          </cell>
          <cell r="BH151">
            <v>25903080</v>
          </cell>
          <cell r="BI151">
            <v>26202942</v>
          </cell>
        </row>
        <row r="152">
          <cell r="BE152">
            <v>23220954</v>
          </cell>
          <cell r="BF152">
            <v>24355428</v>
          </cell>
          <cell r="BG152">
            <v>25720632</v>
          </cell>
          <cell r="BH152">
            <v>26169936</v>
          </cell>
          <cell r="BI152">
            <v>26469762</v>
          </cell>
        </row>
        <row r="153">
          <cell r="BE153">
            <v>23566872</v>
          </cell>
          <cell r="BF153">
            <v>24720084</v>
          </cell>
          <cell r="BG153">
            <v>25987422</v>
          </cell>
          <cell r="BH153">
            <v>26438700</v>
          </cell>
          <cell r="BI153">
            <v>26737710</v>
          </cell>
        </row>
        <row r="154">
          <cell r="BE154">
            <v>23895090</v>
          </cell>
          <cell r="BF154">
            <v>25074306</v>
          </cell>
          <cell r="BG154">
            <v>26256120</v>
          </cell>
          <cell r="BH154">
            <v>26709390</v>
          </cell>
          <cell r="BI154">
            <v>27123450</v>
          </cell>
        </row>
        <row r="155">
          <cell r="BE155">
            <v>24206568</v>
          </cell>
          <cell r="BF155">
            <v>25395222</v>
          </cell>
          <cell r="BG155">
            <v>26476218</v>
          </cell>
          <cell r="BH155">
            <v>27109626</v>
          </cell>
          <cell r="BI155">
            <v>27950370</v>
          </cell>
        </row>
        <row r="156">
          <cell r="BE156">
            <v>24518220</v>
          </cell>
          <cell r="BF156">
            <v>25724298</v>
          </cell>
          <cell r="BG156">
            <v>26916966</v>
          </cell>
          <cell r="BH156">
            <v>27877296</v>
          </cell>
          <cell r="BI156">
            <v>28767180</v>
          </cell>
        </row>
        <row r="157">
          <cell r="BE157">
            <v>24836634</v>
          </cell>
          <cell r="BF157">
            <v>26041812</v>
          </cell>
          <cell r="BG157">
            <v>27649392</v>
          </cell>
          <cell r="BH157">
            <v>28657626</v>
          </cell>
          <cell r="BI157">
            <v>29597196</v>
          </cell>
        </row>
        <row r="158">
          <cell r="BE158">
            <v>25481010</v>
          </cell>
          <cell r="BF158">
            <v>26631078</v>
          </cell>
          <cell r="BG158">
            <v>28394574</v>
          </cell>
          <cell r="BH158">
            <v>29450022</v>
          </cell>
          <cell r="BI158">
            <v>29675592</v>
          </cell>
        </row>
        <row r="159">
          <cell r="BE159">
            <v>26195820</v>
          </cell>
          <cell r="BF159">
            <v>27267018</v>
          </cell>
          <cell r="BG159">
            <v>29150874</v>
          </cell>
          <cell r="BH159">
            <v>29545386</v>
          </cell>
          <cell r="BI159">
            <v>29720982</v>
          </cell>
        </row>
        <row r="160">
          <cell r="BE160">
            <v>26847210</v>
          </cell>
          <cell r="BF160">
            <v>27912594</v>
          </cell>
          <cell r="BG160">
            <v>29252262</v>
          </cell>
          <cell r="BH160">
            <v>29589672</v>
          </cell>
          <cell r="BI160">
            <v>29766378</v>
          </cell>
        </row>
        <row r="161">
          <cell r="BE161">
            <v>27463740</v>
          </cell>
          <cell r="BF161">
            <v>28405926</v>
          </cell>
          <cell r="BG161">
            <v>29295558</v>
          </cell>
          <cell r="BH161">
            <v>29633970</v>
          </cell>
          <cell r="BI161">
            <v>29811804</v>
          </cell>
        </row>
        <row r="162">
          <cell r="BE162">
            <v>27706242</v>
          </cell>
          <cell r="BF162">
            <v>28599216</v>
          </cell>
          <cell r="BG162">
            <v>29338866</v>
          </cell>
          <cell r="BH162">
            <v>29678286</v>
          </cell>
          <cell r="BI162">
            <v>29857236</v>
          </cell>
        </row>
        <row r="163">
          <cell r="BE163">
            <v>27742230</v>
          </cell>
          <cell r="BF163">
            <v>28640964</v>
          </cell>
          <cell r="BG163">
            <v>29382198</v>
          </cell>
          <cell r="BH163">
            <v>29722614</v>
          </cell>
          <cell r="BI163">
            <v>29902698</v>
          </cell>
        </row>
        <row r="164">
          <cell r="BE164">
            <v>27778248</v>
          </cell>
          <cell r="BF164">
            <v>28682724</v>
          </cell>
          <cell r="BG164">
            <v>29425542</v>
          </cell>
          <cell r="BH164">
            <v>29766960</v>
          </cell>
          <cell r="BI164">
            <v>29948160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4">
          <cell r="L4">
            <v>1040.7505676419205</v>
          </cell>
          <cell r="M4">
            <v>1168.8740045841296</v>
          </cell>
          <cell r="N4">
            <v>1452.1504800891889</v>
          </cell>
          <cell r="O4">
            <v>2510.6910360190523</v>
          </cell>
          <cell r="P4">
            <v>3045.3869648677355</v>
          </cell>
          <cell r="T4">
            <v>14500.492673258612</v>
          </cell>
          <cell r="U4">
            <v>19412.226412510587</v>
          </cell>
          <cell r="V4">
            <v>30741.600637060008</v>
          </cell>
          <cell r="W4">
            <v>76073.582135770732</v>
          </cell>
          <cell r="X4">
            <v>177079.46610010002</v>
          </cell>
        </row>
        <row r="5">
          <cell r="L5">
            <v>2156.1994071601148</v>
          </cell>
          <cell r="M5">
            <v>2444.899211152846</v>
          </cell>
          <cell r="N5">
            <v>3068.5404062347334</v>
          </cell>
          <cell r="O5">
            <v>5380.3158710793796</v>
          </cell>
          <cell r="P5">
            <v>6628.2744865356071</v>
          </cell>
          <cell r="T5">
            <v>23008.802492352803</v>
          </cell>
          <cell r="U5">
            <v>30829.682741588083</v>
          </cell>
          <cell r="V5">
            <v>48540.651015746895</v>
          </cell>
          <cell r="W5">
            <v>119174.7161173216</v>
          </cell>
          <cell r="X5">
            <v>275187.18772905378</v>
          </cell>
        </row>
        <row r="6">
          <cell r="L6">
            <v>3351.7078721726193</v>
          </cell>
          <cell r="M6">
            <v>3828.4955693840348</v>
          </cell>
          <cell r="N6">
            <v>4848.1164808658286</v>
          </cell>
          <cell r="O6">
            <v>8568.2529476480995</v>
          </cell>
          <cell r="P6">
            <v>10613.17626549062</v>
          </cell>
          <cell r="T6">
            <v>31517.112311446996</v>
          </cell>
          <cell r="U6">
            <v>42108.823542591694</v>
          </cell>
          <cell r="V6">
            <v>66035.705896850879</v>
          </cell>
          <cell r="W6">
            <v>161299.27648653596</v>
          </cell>
          <cell r="X6">
            <v>371644.20413518953</v>
          </cell>
        </row>
        <row r="7">
          <cell r="L7">
            <v>4633.0221192105182</v>
          </cell>
          <cell r="M7">
            <v>5317.0657517987875</v>
          </cell>
          <cell r="N7">
            <v>6772.9072985486819</v>
          </cell>
          <cell r="O7">
            <v>12025.958599592173</v>
          </cell>
          <cell r="P7">
            <v>15024.510625438968</v>
          </cell>
          <cell r="T7">
            <v>40025.422130541185</v>
          </cell>
          <cell r="U7">
            <v>53387.964343595304</v>
          </cell>
          <cell r="V7">
            <v>83530.760777954842</v>
          </cell>
          <cell r="W7">
            <v>203423.83685575033</v>
          </cell>
          <cell r="X7">
            <v>468101.2205413254</v>
          </cell>
        </row>
        <row r="8">
          <cell r="L8">
            <v>6006.3007263554155</v>
          </cell>
          <cell r="M8">
            <v>6889.8631597028125</v>
          </cell>
          <cell r="N8">
            <v>8790.7589653255855</v>
          </cell>
          <cell r="O8">
            <v>15638.457551974403</v>
          </cell>
          <cell r="P8">
            <v>19574.182679732825</v>
          </cell>
          <cell r="T8">
            <v>48533.731949635374</v>
          </cell>
          <cell r="U8">
            <v>64667.105144598921</v>
          </cell>
          <cell r="V8">
            <v>101025.81565905882</v>
          </cell>
          <cell r="W8">
            <v>245548.39722496469</v>
          </cell>
          <cell r="X8">
            <v>564558.23694746115</v>
          </cell>
        </row>
        <row r="9">
          <cell r="L9">
            <v>7478.1442941621135</v>
          </cell>
          <cell r="M9">
            <v>8590.3226852894259</v>
          </cell>
          <cell r="N9">
            <v>10970.550992669941</v>
          </cell>
          <cell r="O9">
            <v>19601.789405883552</v>
          </cell>
          <cell r="P9">
            <v>24730.313789860025</v>
          </cell>
          <cell r="T9">
            <v>57042.041768729563</v>
          </cell>
          <cell r="U9">
            <v>75946.245945602524</v>
          </cell>
          <cell r="V9">
            <v>118520.8705401628</v>
          </cell>
          <cell r="W9">
            <v>287672.95759417908</v>
          </cell>
          <cell r="X9">
            <v>661015.25335359701</v>
          </cell>
        </row>
        <row r="10">
          <cell r="L10">
            <v>9055.6271711420741</v>
          </cell>
          <cell r="M10">
            <v>10442.705928570711</v>
          </cell>
          <cell r="N10">
            <v>13371.988832229574</v>
          </cell>
          <cell r="O10">
            <v>23847.375729174331</v>
          </cell>
          <cell r="P10">
            <v>29846.612713897426</v>
          </cell>
          <cell r="T10">
            <v>65550.351587823752</v>
          </cell>
          <cell r="U10">
            <v>86869.517343433501</v>
          </cell>
          <cell r="V10">
            <v>135674.99688632617</v>
          </cell>
          <cell r="W10">
            <v>329321.45649094146</v>
          </cell>
          <cell r="X10">
            <v>757083.44889073097</v>
          </cell>
        </row>
        <row r="11">
          <cell r="L11">
            <v>10746.3314562946</v>
          </cell>
          <cell r="M11">
            <v>12334.424966262683</v>
          </cell>
          <cell r="N11">
            <v>15693.706509525371</v>
          </cell>
          <cell r="O11">
            <v>27888.595910658478</v>
          </cell>
          <cell r="P11">
            <v>34995.174095652852</v>
          </cell>
          <cell r="T11">
            <v>71206.119886945293</v>
          </cell>
          <cell r="U11">
            <v>95246.731875639816</v>
          </cell>
          <cell r="V11">
            <v>149609.40506320383</v>
          </cell>
          <cell r="W11">
            <v>366200.34556952422</v>
          </cell>
          <cell r="X11">
            <v>844502.88012647664</v>
          </cell>
        </row>
        <row r="12">
          <cell r="L12">
            <v>12558.383442117469</v>
          </cell>
          <cell r="M12">
            <v>14409.182485910489</v>
          </cell>
          <cell r="N12">
            <v>18404.517527104093</v>
          </cell>
          <cell r="O12">
            <v>32951.530224899267</v>
          </cell>
          <cell r="P12">
            <v>41453.330146188877</v>
          </cell>
          <cell r="T12">
            <v>76861.888186066819</v>
          </cell>
          <cell r="U12">
            <v>103268.07700467353</v>
          </cell>
          <cell r="V12">
            <v>163202.88470514087</v>
          </cell>
          <cell r="W12">
            <v>402603.17317565496</v>
          </cell>
          <cell r="X12">
            <v>931533.49049322051</v>
          </cell>
        </row>
        <row r="13">
          <cell r="L13">
            <v>14500.492673258612</v>
          </cell>
          <cell r="M13">
            <v>16711.803250811608</v>
          </cell>
          <cell r="N13">
            <v>21405.938534836299</v>
          </cell>
          <cell r="O13">
            <v>38509.667842903989</v>
          </cell>
          <cell r="P13">
            <v>48829.082805421189</v>
          </cell>
          <cell r="T13">
            <v>82517.65648518836</v>
          </cell>
          <cell r="U13">
            <v>111289.42213370719</v>
          </cell>
          <cell r="V13">
            <v>176796.36434707794</v>
          </cell>
          <cell r="W13">
            <v>439006.00078178575</v>
          </cell>
          <cell r="X13">
            <v>1018564.1008599643</v>
          </cell>
        </row>
        <row r="14">
          <cell r="L14">
            <v>15721.834385354476</v>
          </cell>
          <cell r="M14">
            <v>19166.623625182809</v>
          </cell>
          <cell r="N14">
            <v>24666.856298587954</v>
          </cell>
          <cell r="O14">
            <v>44363.620981443324</v>
          </cell>
          <cell r="P14">
            <v>56778.524650290565</v>
          </cell>
          <cell r="T14">
            <v>88173.4247843099</v>
          </cell>
          <cell r="U14">
            <v>119310.76726274089</v>
          </cell>
          <cell r="V14">
            <v>190389.843989015</v>
          </cell>
          <cell r="W14">
            <v>475408.8283879165</v>
          </cell>
          <cell r="X14">
            <v>1105594.711226708</v>
          </cell>
        </row>
        <row r="15">
          <cell r="L15">
            <v>17030.836021067465</v>
          </cell>
          <cell r="M15">
            <v>20821.108034613077</v>
          </cell>
          <cell r="N15">
            <v>28122.416781710446</v>
          </cell>
          <cell r="O15">
            <v>51021.941319212594</v>
          </cell>
          <cell r="P15">
            <v>65344.893235540309</v>
          </cell>
          <cell r="T15">
            <v>93829.193083431441</v>
          </cell>
          <cell r="U15">
            <v>127332.11239177457</v>
          </cell>
          <cell r="V15">
            <v>203983.32363095207</v>
          </cell>
          <cell r="W15">
            <v>511811.65599404729</v>
          </cell>
          <cell r="X15">
            <v>1192625.321593452</v>
          </cell>
        </row>
        <row r="16">
          <cell r="L16">
            <v>18433.789236641249</v>
          </cell>
          <cell r="M16">
            <v>22515.068189678881</v>
          </cell>
          <cell r="N16">
            <v>31560.848839113434</v>
          </cell>
          <cell r="O16">
            <v>58216.372939398607</v>
          </cell>
          <cell r="P16">
            <v>74825.974439864003</v>
          </cell>
          <cell r="T16">
            <v>99484.961382552967</v>
          </cell>
          <cell r="U16">
            <v>135353.45752080827</v>
          </cell>
          <cell r="V16">
            <v>217576.80327288911</v>
          </cell>
          <cell r="W16">
            <v>548214.48360017803</v>
          </cell>
          <cell r="X16">
            <v>1279655.931960196</v>
          </cell>
        </row>
        <row r="17">
          <cell r="L17">
            <v>19937.437262273183</v>
          </cell>
          <cell r="M17">
            <v>24216.171459753881</v>
          </cell>
          <cell r="N17">
            <v>33748.980033493193</v>
          </cell>
          <cell r="O17">
            <v>65189.05223590164</v>
          </cell>
          <cell r="P17">
            <v>83664.114844119293</v>
          </cell>
          <cell r="T17">
            <v>105139.84955427336</v>
          </cell>
          <cell r="U17">
            <v>143360.19093045552</v>
          </cell>
          <cell r="V17">
            <v>230953.09582111749</v>
          </cell>
          <cell r="W17">
            <v>583922.06117402692</v>
          </cell>
          <cell r="X17">
            <v>1365350.6747495967</v>
          </cell>
        </row>
        <row r="18">
          <cell r="L18">
            <v>21549.007313140588</v>
          </cell>
          <cell r="M18">
            <v>26085.623676693893</v>
          </cell>
          <cell r="N18">
            <v>36169.562152556653</v>
          </cell>
          <cell r="O18">
            <v>73117.028667858307</v>
          </cell>
          <cell r="P18">
            <v>94215.025386095949</v>
          </cell>
          <cell r="T18">
            <v>110783.30358020157</v>
          </cell>
          <cell r="U18">
            <v>151156.63393822176</v>
          </cell>
          <cell r="V18">
            <v>243904.04733204393</v>
          </cell>
          <cell r="W18">
            <v>617393.20206524828</v>
          </cell>
          <cell r="X18">
            <v>1443854.0847717733</v>
          </cell>
        </row>
        <row r="19">
          <cell r="L19">
            <v>23276.245326678534</v>
          </cell>
          <cell r="M19">
            <v>28107.029703733599</v>
          </cell>
          <cell r="N19">
            <v>38741.317458698752</v>
          </cell>
          <cell r="O19">
            <v>79654.721470479883</v>
          </cell>
          <cell r="P19">
            <v>106273.04530791788</v>
          </cell>
          <cell r="T19">
            <v>116425.87747872864</v>
          </cell>
          <cell r="U19">
            <v>158938.46522660152</v>
          </cell>
          <cell r="V19">
            <v>256637.81174926169</v>
          </cell>
          <cell r="W19">
            <v>650169.09292418777</v>
          </cell>
          <cell r="X19">
            <v>1521021.6272166066</v>
          </cell>
        </row>
        <row r="20">
          <cell r="L20">
            <v>25127.453193072412</v>
          </cell>
          <cell r="M20">
            <v>30190.935780326425</v>
          </cell>
          <cell r="N20">
            <v>41376.418673236723</v>
          </cell>
          <cell r="O20">
            <v>84388.587140133284</v>
          </cell>
          <cell r="P20">
            <v>116730.88821527046</v>
          </cell>
          <cell r="T20">
            <v>122068.4513772557</v>
          </cell>
          <cell r="U20">
            <v>166720.29651498128</v>
          </cell>
          <cell r="V20">
            <v>269371.57616647944</v>
          </cell>
          <cell r="W20">
            <v>682944.98378312727</v>
          </cell>
          <cell r="X20">
            <v>1598189.1696614402</v>
          </cell>
        </row>
        <row r="21">
          <cell r="L21">
            <v>27111.528657911796</v>
          </cell>
          <cell r="M21">
            <v>32539.294969613729</v>
          </cell>
          <cell r="N21">
            <v>44500.440066360228</v>
          </cell>
          <cell r="O21">
            <v>89966.86302702775</v>
          </cell>
          <cell r="P21">
            <v>129677.26804937195</v>
          </cell>
          <cell r="T21">
            <v>127711.02527578275</v>
          </cell>
          <cell r="U21">
            <v>174502.12780336101</v>
          </cell>
          <cell r="V21">
            <v>282105.34058369714</v>
          </cell>
          <cell r="W21">
            <v>715720.87464206689</v>
          </cell>
          <cell r="X21">
            <v>1675356.7121062737</v>
          </cell>
        </row>
        <row r="22">
          <cell r="L22">
            <v>29238.008088796014</v>
          </cell>
          <cell r="M22">
            <v>35041.348193902602</v>
          </cell>
          <cell r="N22">
            <v>47683.663398185265</v>
          </cell>
          <cell r="O22">
            <v>95566.441529918055</v>
          </cell>
          <cell r="P22">
            <v>143466.77494669936</v>
          </cell>
          <cell r="T22">
            <v>133353.59917430981</v>
          </cell>
          <cell r="U22">
            <v>182283.95909174081</v>
          </cell>
          <cell r="V22">
            <v>294839.10500091495</v>
          </cell>
          <cell r="W22">
            <v>748496.76550100639</v>
          </cell>
          <cell r="X22">
            <v>1752524.2545511071</v>
          </cell>
        </row>
        <row r="23">
          <cell r="L23">
            <v>31517.112311446996</v>
          </cell>
          <cell r="M23">
            <v>37638.900043153961</v>
          </cell>
          <cell r="N23">
            <v>50940.972545434364</v>
          </cell>
          <cell r="O23">
            <v>101486.61321828848</v>
          </cell>
          <cell r="P23">
            <v>157264.67774703552</v>
          </cell>
          <cell r="T23">
            <v>138996.17307283689</v>
          </cell>
          <cell r="U23">
            <v>190065.79038012057</v>
          </cell>
          <cell r="V23">
            <v>307572.86941813264</v>
          </cell>
          <cell r="W23">
            <v>781272.65635994589</v>
          </cell>
          <cell r="X23">
            <v>1829691.7969959404</v>
          </cell>
        </row>
        <row r="24">
          <cell r="L24">
            <v>33959.79573563872</v>
          </cell>
          <cell r="M24">
            <v>40438.1868079657</v>
          </cell>
          <cell r="N24">
            <v>54605.422002455409</v>
          </cell>
          <cell r="O24">
            <v>108077.91399198056</v>
          </cell>
          <cell r="P24">
            <v>173665.84157052677</v>
          </cell>
          <cell r="T24">
            <v>144638.74697136396</v>
          </cell>
          <cell r="U24">
            <v>197847.62166850036</v>
          </cell>
          <cell r="V24">
            <v>320306.6338353504</v>
          </cell>
          <cell r="W24">
            <v>814048.54721888539</v>
          </cell>
          <cell r="X24">
            <v>1906859.3394407742</v>
          </cell>
        </row>
        <row r="25">
          <cell r="L25">
            <v>36577.799007064699</v>
          </cell>
          <cell r="M25">
            <v>43510.087163633507</v>
          </cell>
          <cell r="N25">
            <v>58599.442034939173</v>
          </cell>
          <cell r="O25">
            <v>115289.01473422429</v>
          </cell>
          <cell r="P25">
            <v>185359.86305402278</v>
          </cell>
          <cell r="T25">
            <v>150281.320869891</v>
          </cell>
          <cell r="U25">
            <v>205629.45295688012</v>
          </cell>
          <cell r="V25">
            <v>333040.39825256815</v>
          </cell>
          <cell r="W25">
            <v>846824.43807782489</v>
          </cell>
          <cell r="X25">
            <v>1984026.8818856075</v>
          </cell>
        </row>
        <row r="26">
          <cell r="L26">
            <v>39383.705438212259</v>
          </cell>
          <cell r="M26">
            <v>46711.877382420927</v>
          </cell>
          <cell r="N26">
            <v>62649.80884686955</v>
          </cell>
          <cell r="O26">
            <v>122529.25065829902</v>
          </cell>
          <cell r="P26">
            <v>194249.14743192439</v>
          </cell>
          <cell r="T26">
            <v>155923.89476841805</v>
          </cell>
          <cell r="U26">
            <v>213411.28424525986</v>
          </cell>
          <cell r="V26">
            <v>345774.1626697859</v>
          </cell>
          <cell r="W26">
            <v>879600.32893676439</v>
          </cell>
          <cell r="X26">
            <v>2061194.424330441</v>
          </cell>
        </row>
        <row r="27">
          <cell r="L27">
            <v>42391.001489476141</v>
          </cell>
          <cell r="M27">
            <v>50246.269378068988</v>
          </cell>
          <cell r="N27">
            <v>67258.881530299695</v>
          </cell>
          <cell r="O27">
            <v>130725.338874165</v>
          </cell>
          <cell r="P27">
            <v>204705.2730762118</v>
          </cell>
          <cell r="T27">
            <v>161566.46866694512</v>
          </cell>
          <cell r="U27">
            <v>221193.11553363965</v>
          </cell>
          <cell r="V27">
            <v>358507.92708700366</v>
          </cell>
          <cell r="W27">
            <v>912376.21979570389</v>
          </cell>
          <cell r="X27">
            <v>2138361.9667752744</v>
          </cell>
        </row>
        <row r="28">
          <cell r="L28">
            <v>45614.141591210951</v>
          </cell>
          <cell r="M28">
            <v>53999.940178148339</v>
          </cell>
          <cell r="N28">
            <v>72063.67467741968</v>
          </cell>
          <cell r="O28">
            <v>139326.17196300064</v>
          </cell>
          <cell r="P28">
            <v>215411.96437978369</v>
          </cell>
          <cell r="T28">
            <v>167209.04256547219</v>
          </cell>
          <cell r="U28">
            <v>228974.94682201944</v>
          </cell>
          <cell r="V28">
            <v>371241.69150422141</v>
          </cell>
          <cell r="W28">
            <v>945152.1106546435</v>
          </cell>
          <cell r="X28">
            <v>2215529.5092201079</v>
          </cell>
        </row>
        <row r="29">
          <cell r="L29">
            <v>49068.617618286837</v>
          </cell>
          <cell r="M29">
            <v>57998.244844818961</v>
          </cell>
          <cell r="N29">
            <v>77182.909746113888</v>
          </cell>
          <cell r="O29">
            <v>148300.46730647486</v>
          </cell>
          <cell r="P29">
            <v>226922.1211594303</v>
          </cell>
          <cell r="T29">
            <v>172851.61646399923</v>
          </cell>
          <cell r="U29">
            <v>236756.7781103992</v>
          </cell>
          <cell r="V29">
            <v>383975.4559214391</v>
          </cell>
          <cell r="W29">
            <v>977928.001513583</v>
          </cell>
          <cell r="X29">
            <v>2292697.0516649415</v>
          </cell>
        </row>
        <row r="30">
          <cell r="L30">
            <v>52771.033351074599</v>
          </cell>
          <cell r="M30">
            <v>62278.463927230718</v>
          </cell>
          <cell r="N30">
            <v>82642.487338009567</v>
          </cell>
          <cell r="O30">
            <v>157952.38679845</v>
          </cell>
          <cell r="P30">
            <v>239407.7191821106</v>
          </cell>
          <cell r="T30">
            <v>178494.19036252631</v>
          </cell>
          <cell r="U30">
            <v>244538.60939877894</v>
          </cell>
          <cell r="V30">
            <v>396709.22033865686</v>
          </cell>
          <cell r="W30">
            <v>1010703.8923725225</v>
          </cell>
          <cell r="X30">
            <v>2369864.594109775</v>
          </cell>
        </row>
        <row r="31">
          <cell r="L31">
            <v>56739.184280753354</v>
          </cell>
          <cell r="M31">
            <v>66826.132135553838</v>
          </cell>
          <cell r="N31">
            <v>88346.889588049613</v>
          </cell>
          <cell r="O31">
            <v>168262.86529960536</v>
          </cell>
          <cell r="P31">
            <v>253369.95138923987</v>
          </cell>
          <cell r="T31">
            <v>184136.76426105338</v>
          </cell>
          <cell r="U31">
            <v>252320.4406871587</v>
          </cell>
          <cell r="V31">
            <v>409442.98475587461</v>
          </cell>
          <cell r="W31">
            <v>1043479.783231462</v>
          </cell>
          <cell r="X31">
            <v>2447032.1365546086</v>
          </cell>
        </row>
        <row r="32">
          <cell r="L32">
            <v>60992.143142521782</v>
          </cell>
          <cell r="M32">
            <v>71799.054354030872</v>
          </cell>
          <cell r="N32">
            <v>94920.704555639648</v>
          </cell>
          <cell r="O32">
            <v>180390.53975616911</v>
          </cell>
          <cell r="P32">
            <v>269080.82912318932</v>
          </cell>
          <cell r="T32">
            <v>189793.71596246681</v>
          </cell>
          <cell r="U32">
            <v>260114.60385074897</v>
          </cell>
          <cell r="V32">
            <v>422176.74917309236</v>
          </cell>
          <cell r="W32">
            <v>1076507.3894561224</v>
          </cell>
          <cell r="X32">
            <v>2524199.6789994421</v>
          </cell>
        </row>
        <row r="33">
          <cell r="L33">
            <v>65550.351587823752</v>
          </cell>
          <cell r="M33">
            <v>77103.485791785497</v>
          </cell>
          <cell r="N33">
            <v>101762.3574695533</v>
          </cell>
          <cell r="O33">
            <v>192593.6123848253</v>
          </cell>
          <cell r="P33">
            <v>284900.4092811516</v>
          </cell>
          <cell r="T33">
            <v>195536.87313588604</v>
          </cell>
          <cell r="U33">
            <v>268068.22918104846</v>
          </cell>
          <cell r="V33">
            <v>435140.23029475659</v>
          </cell>
          <cell r="W33">
            <v>1109871.8077128781</v>
          </cell>
          <cell r="X33">
            <v>2602257.6111647063</v>
          </cell>
        </row>
        <row r="34">
          <cell r="L34">
            <v>68797.824180871379</v>
          </cell>
          <cell r="M34">
            <v>82843.535781782732</v>
          </cell>
          <cell r="N34">
            <v>109130.60256926506</v>
          </cell>
          <cell r="O34">
            <v>205622.33533921608</v>
          </cell>
          <cell r="P34">
            <v>302032.6859356155</v>
          </cell>
          <cell r="T34">
            <v>201280.03030930526</v>
          </cell>
          <cell r="U34">
            <v>276021.85451134795</v>
          </cell>
          <cell r="V34">
            <v>448388.67040331248</v>
          </cell>
          <cell r="W34">
            <v>1143778.7203416852</v>
          </cell>
          <cell r="X34">
            <v>2683855.5696962257</v>
          </cell>
        </row>
        <row r="35">
          <cell r="L35">
            <v>72278.379126413754</v>
          </cell>
          <cell r="M35">
            <v>88444.359983294184</v>
          </cell>
          <cell r="N35">
            <v>116882.10925664703</v>
          </cell>
          <cell r="O35">
            <v>219663.85545464739</v>
          </cell>
          <cell r="P35">
            <v>320046.03168388497</v>
          </cell>
          <cell r="T35">
            <v>207138.148560503</v>
          </cell>
          <cell r="U35">
            <v>284131.96341655334</v>
          </cell>
          <cell r="V35">
            <v>461687.15975820873</v>
          </cell>
          <cell r="W35">
            <v>1178525.8757340296</v>
          </cell>
          <cell r="X35">
            <v>2765520.9633074328</v>
          </cell>
        </row>
        <row r="36">
          <cell r="L36">
            <v>76008.745551945525</v>
          </cell>
          <cell r="M36">
            <v>92936.896106459026</v>
          </cell>
          <cell r="N36">
            <v>124987.42753707051</v>
          </cell>
          <cell r="O36">
            <v>234430.37439511344</v>
          </cell>
          <cell r="P36">
            <v>339110.29730488471</v>
          </cell>
          <cell r="T36">
            <v>212996.26681170077</v>
          </cell>
          <cell r="U36">
            <v>292255.89349287085</v>
          </cell>
          <cell r="V36">
            <v>475075.482842158</v>
          </cell>
          <cell r="W36">
            <v>1213273.0311263737</v>
          </cell>
          <cell r="X36">
            <v>2847597.8342390112</v>
          </cell>
        </row>
        <row r="37">
          <cell r="L37">
            <v>80006.853292366839</v>
          </cell>
          <cell r="M37">
            <v>97901.60438364408</v>
          </cell>
          <cell r="N37">
            <v>134123.53505564129</v>
          </cell>
          <cell r="O37">
            <v>250971.4779821448</v>
          </cell>
          <cell r="P37">
            <v>360180.58489857439</v>
          </cell>
          <cell r="T37">
            <v>218854.38506289851</v>
          </cell>
          <cell r="U37">
            <v>300379.82356918836</v>
          </cell>
          <cell r="V37">
            <v>488463.80592610728</v>
          </cell>
          <cell r="W37">
            <v>1248020.186518718</v>
          </cell>
          <cell r="X37">
            <v>2929674.7051705895</v>
          </cell>
        </row>
        <row r="38">
          <cell r="L38">
            <v>84291.91906891136</v>
          </cell>
          <cell r="M38">
            <v>103307.37269583133</v>
          </cell>
          <cell r="N38">
            <v>142197.53993989827</v>
          </cell>
          <cell r="O38">
            <v>268317.74175708409</v>
          </cell>
          <cell r="P38">
            <v>382313.74716501613</v>
          </cell>
          <cell r="T38">
            <v>224712.50331409628</v>
          </cell>
          <cell r="U38">
            <v>308503.75364550593</v>
          </cell>
          <cell r="V38">
            <v>501852.12901005655</v>
          </cell>
          <cell r="W38">
            <v>1282767.3419110621</v>
          </cell>
          <cell r="X38">
            <v>3011751.5761021683</v>
          </cell>
        </row>
        <row r="39">
          <cell r="L39">
            <v>88884.538853434249</v>
          </cell>
          <cell r="M39">
            <v>109092.49906752024</v>
          </cell>
          <cell r="N39">
            <v>150160.85040522084</v>
          </cell>
          <cell r="O39">
            <v>286412.08848482859</v>
          </cell>
          <cell r="P39">
            <v>404326.96002654784</v>
          </cell>
          <cell r="T39">
            <v>230570.62156529402</v>
          </cell>
          <cell r="U39">
            <v>316627.68372182344</v>
          </cell>
          <cell r="V39">
            <v>515240.45209400583</v>
          </cell>
          <cell r="W39">
            <v>1317514.4973034065</v>
          </cell>
          <cell r="X39">
            <v>3093828.4470337466</v>
          </cell>
        </row>
        <row r="40">
          <cell r="L40">
            <v>93806.786862005029</v>
          </cell>
          <cell r="M40">
            <v>115166.44229818638</v>
          </cell>
          <cell r="N40">
            <v>158678.12783205221</v>
          </cell>
          <cell r="O40">
            <v>305225.45769900427</v>
          </cell>
          <cell r="P40">
            <v>429519.4852636861</v>
          </cell>
          <cell r="T40">
            <v>236428.73981649178</v>
          </cell>
          <cell r="U40">
            <v>324751.61379814096</v>
          </cell>
          <cell r="V40">
            <v>528628.77517795516</v>
          </cell>
          <cell r="W40">
            <v>1352261.6526957508</v>
          </cell>
          <cell r="X40">
            <v>3175905.3179653254</v>
          </cell>
        </row>
        <row r="41">
          <cell r="L41">
            <v>99082.321653613297</v>
          </cell>
          <cell r="M41">
            <v>121653.17483936876</v>
          </cell>
          <cell r="N41">
            <v>167540.36744797989</v>
          </cell>
          <cell r="O41">
            <v>325426.11447680963</v>
          </cell>
          <cell r="P41">
            <v>455647.21322698938</v>
          </cell>
          <cell r="T41">
            <v>242286.85806768955</v>
          </cell>
          <cell r="U41">
            <v>332875.54387445853</v>
          </cell>
          <cell r="V41">
            <v>542017.09826190444</v>
          </cell>
          <cell r="W41">
            <v>1387008.8080880949</v>
          </cell>
          <cell r="X41">
            <v>3257982.1888969038</v>
          </cell>
        </row>
        <row r="42">
          <cell r="L42">
            <v>104736.49984394599</v>
          </cell>
          <cell r="M42">
            <v>128511.80480743726</v>
          </cell>
          <cell r="N42">
            <v>177013.91966173344</v>
          </cell>
          <cell r="O42">
            <v>345076.7600676291</v>
          </cell>
          <cell r="P42">
            <v>484518.32459672529</v>
          </cell>
          <cell r="T42">
            <v>248144.97631888729</v>
          </cell>
          <cell r="U42">
            <v>340999.47395077604</v>
          </cell>
          <cell r="V42">
            <v>555405.42134585371</v>
          </cell>
          <cell r="W42">
            <v>1421755.963480439</v>
          </cell>
          <cell r="X42">
            <v>3340059.0598284826</v>
          </cell>
        </row>
        <row r="43">
          <cell r="L43">
            <v>110783.30358020157</v>
          </cell>
          <cell r="M43">
            <v>135826.71688342126</v>
          </cell>
          <cell r="N43">
            <v>187426.46542707272</v>
          </cell>
          <cell r="O43">
            <v>366236.74839713034</v>
          </cell>
          <cell r="P43">
            <v>516329.72874439321</v>
          </cell>
          <cell r="T43">
            <v>254003.09457008506</v>
          </cell>
          <cell r="U43">
            <v>349123.40402709355</v>
          </cell>
          <cell r="V43">
            <v>568793.74442980299</v>
          </cell>
          <cell r="W43">
            <v>1456503.1188727834</v>
          </cell>
          <cell r="X43">
            <v>3422135.9307600614</v>
          </cell>
        </row>
        <row r="44">
          <cell r="L44">
            <v>117263.09664122869</v>
          </cell>
          <cell r="M44">
            <v>143882.45021087857</v>
          </cell>
          <cell r="N44">
            <v>198844.79496989842</v>
          </cell>
          <cell r="O44">
            <v>389122.90812211769</v>
          </cell>
          <cell r="P44">
            <v>551118.01231160364</v>
          </cell>
          <cell r="T44">
            <v>259861.2128212828</v>
          </cell>
          <cell r="U44">
            <v>357247.33410341106</v>
          </cell>
          <cell r="V44">
            <v>582182.06751375226</v>
          </cell>
          <cell r="W44">
            <v>1491250.2742651275</v>
          </cell>
          <cell r="X44">
            <v>3504212.8016916402</v>
          </cell>
        </row>
        <row r="45">
          <cell r="L45">
            <v>124207.96688676445</v>
          </cell>
          <cell r="M45">
            <v>152576.3989162487</v>
          </cell>
          <cell r="N45">
            <v>211429.33421566049</v>
          </cell>
          <cell r="O45">
            <v>414331.75513269997</v>
          </cell>
          <cell r="P45">
            <v>588528.81363000686</v>
          </cell>
          <cell r="T45">
            <v>265719.33107248053</v>
          </cell>
          <cell r="U45">
            <v>365371.26417972858</v>
          </cell>
          <cell r="V45">
            <v>595570.39059770154</v>
          </cell>
          <cell r="W45">
            <v>1525997.4296574718</v>
          </cell>
          <cell r="X45">
            <v>3586289.672623219</v>
          </cell>
        </row>
        <row r="46">
          <cell r="L46">
            <v>131651.29451668757</v>
          </cell>
          <cell r="M46">
            <v>161573.2673448463</v>
          </cell>
          <cell r="N46">
            <v>224503.08104707277</v>
          </cell>
          <cell r="O46">
            <v>439749.51607803465</v>
          </cell>
          <cell r="P46">
            <v>626233.86420712422</v>
          </cell>
          <cell r="T46">
            <v>271577.44932367833</v>
          </cell>
          <cell r="U46">
            <v>373495.19425604615</v>
          </cell>
          <cell r="V46">
            <v>608958.71368165081</v>
          </cell>
          <cell r="W46">
            <v>1560744.5850498159</v>
          </cell>
          <cell r="X46">
            <v>3668366.5435547973</v>
          </cell>
        </row>
        <row r="47">
          <cell r="L47">
            <v>139628.85554340231</v>
          </cell>
          <cell r="M47">
            <v>171186.88245862865</v>
          </cell>
          <cell r="N47">
            <v>237804.00606246115</v>
          </cell>
          <cell r="O47">
            <v>466964.55790853547</v>
          </cell>
          <cell r="P47">
            <v>666199.82746544015</v>
          </cell>
          <cell r="T47">
            <v>277435.56757487607</v>
          </cell>
          <cell r="U47">
            <v>381619.12433236366</v>
          </cell>
          <cell r="V47">
            <v>622347.03676560009</v>
          </cell>
          <cell r="W47">
            <v>1595491.7404421601</v>
          </cell>
          <cell r="X47">
            <v>3750443.4144863756</v>
          </cell>
        </row>
        <row r="48">
          <cell r="L48">
            <v>148178.99374759896</v>
          </cell>
          <cell r="M48">
            <v>181507.33010764659</v>
          </cell>
          <cell r="N48">
            <v>251597.550486939</v>
          </cell>
          <cell r="O48">
            <v>496261.49054423021</v>
          </cell>
          <cell r="P48">
            <v>709151.04783352569</v>
          </cell>
          <cell r="T48">
            <v>283293.68582607381</v>
          </cell>
          <cell r="U48">
            <v>389743.05440868123</v>
          </cell>
          <cell r="V48">
            <v>635735.35984954936</v>
          </cell>
          <cell r="W48">
            <v>1630238.8958345044</v>
          </cell>
          <cell r="X48">
            <v>3832520.2854179544</v>
          </cell>
        </row>
        <row r="49">
          <cell r="L49">
            <v>157342.80497587458</v>
          </cell>
          <cell r="M49">
            <v>192479.36218989373</v>
          </cell>
          <cell r="N49">
            <v>266281.48465594475</v>
          </cell>
          <cell r="O49">
            <v>527304.07803752436</v>
          </cell>
          <cell r="P49">
            <v>753084.74881263345</v>
          </cell>
          <cell r="T49">
            <v>289151.80407727155</v>
          </cell>
          <cell r="U49">
            <v>397866.98448499874</v>
          </cell>
          <cell r="V49">
            <v>649123.68293349864</v>
          </cell>
          <cell r="W49">
            <v>1664986.0512268485</v>
          </cell>
          <cell r="X49">
            <v>3914597.1563495328</v>
          </cell>
        </row>
        <row r="50">
          <cell r="L50">
            <v>167164.33466603264</v>
          </cell>
          <cell r="M50">
            <v>204252.70194819843</v>
          </cell>
          <cell r="N50">
            <v>282064.52147954027</v>
          </cell>
          <cell r="O50">
            <v>560437.5381362146</v>
          </cell>
          <cell r="P50">
            <v>795995.53710534936</v>
          </cell>
          <cell r="T50">
            <v>295009.92232846929</v>
          </cell>
          <cell r="U50">
            <v>405990.91456131631</v>
          </cell>
          <cell r="V50">
            <v>662512.00601744803</v>
          </cell>
          <cell r="W50">
            <v>1699733.2066191928</v>
          </cell>
          <cell r="X50">
            <v>3996674.0272811116</v>
          </cell>
        </row>
        <row r="51">
          <cell r="L51">
            <v>177690.78954945627</v>
          </cell>
          <cell r="M51">
            <v>216720.23129288678</v>
          </cell>
          <cell r="N51">
            <v>299033.95963525749</v>
          </cell>
          <cell r="O51">
            <v>593448.85552649596</v>
          </cell>
          <cell r="P51">
            <v>841073.69851562195</v>
          </cell>
          <cell r="T51">
            <v>300868.04057966708</v>
          </cell>
          <cell r="U51">
            <v>414114.84463763383</v>
          </cell>
          <cell r="V51">
            <v>675900.32910139731</v>
          </cell>
          <cell r="W51">
            <v>1734480.362011537</v>
          </cell>
          <cell r="X51">
            <v>4078750.8982126904</v>
          </cell>
        </row>
        <row r="52">
          <cell r="L52">
            <v>188972.76454809532</v>
          </cell>
          <cell r="M52">
            <v>230268.58523730549</v>
          </cell>
          <cell r="N52">
            <v>316733.10676442739</v>
          </cell>
          <cell r="O52">
            <v>626185.93086060474</v>
          </cell>
          <cell r="P52">
            <v>892148.64998248243</v>
          </cell>
          <cell r="T52">
            <v>306726.15883086482</v>
          </cell>
          <cell r="U52">
            <v>422238.77471395134</v>
          </cell>
          <cell r="V52">
            <v>689288.65218534658</v>
          </cell>
          <cell r="W52">
            <v>1769227.5174038813</v>
          </cell>
          <cell r="X52">
            <v>4160827.7691442687</v>
          </cell>
        </row>
        <row r="53">
          <cell r="L53">
            <v>201280.03030930526</v>
          </cell>
          <cell r="M53">
            <v>244811.75167700107</v>
          </cell>
          <cell r="N53">
            <v>335654.64008742297</v>
          </cell>
          <cell r="O53">
            <v>662840.25233025372</v>
          </cell>
          <cell r="P53">
            <v>947930.05748631503</v>
          </cell>
          <cell r="T53">
            <v>312584.27708206256</v>
          </cell>
          <cell r="U53">
            <v>430362.70479026885</v>
          </cell>
          <cell r="V53">
            <v>702676.97526929586</v>
          </cell>
          <cell r="W53">
            <v>1803974.6727962254</v>
          </cell>
          <cell r="X53">
            <v>4242904.6400758475</v>
          </cell>
        </row>
        <row r="54">
          <cell r="L54">
            <v>214734.66809604171</v>
          </cell>
          <cell r="M54">
            <v>259543.6695276018</v>
          </cell>
          <cell r="N54">
            <v>355755.76708835369</v>
          </cell>
          <cell r="O54">
            <v>702195.69918933755</v>
          </cell>
          <cell r="P54">
            <v>1005148.2636834041</v>
          </cell>
          <cell r="T54">
            <v>318442.3953332603</v>
          </cell>
          <cell r="U54">
            <v>438486.63486658636</v>
          </cell>
          <cell r="V54">
            <v>716065.29835324513</v>
          </cell>
          <cell r="W54">
            <v>1838721.8281885698</v>
          </cell>
          <cell r="X54">
            <v>4324981.5110074263</v>
          </cell>
        </row>
        <row r="55">
          <cell r="L55">
            <v>229154.9918239041</v>
          </cell>
          <cell r="M55">
            <v>276667.33515250735</v>
          </cell>
          <cell r="N55">
            <v>378965.38871163229</v>
          </cell>
          <cell r="O55">
            <v>746217.8280600151</v>
          </cell>
          <cell r="P55">
            <v>1068186.1246197717</v>
          </cell>
          <cell r="T55">
            <v>324300.51358445809</v>
          </cell>
          <cell r="U55">
            <v>446610.56494290393</v>
          </cell>
          <cell r="V55">
            <v>729453.62143719441</v>
          </cell>
          <cell r="W55">
            <v>1873468.9835809139</v>
          </cell>
          <cell r="X55">
            <v>4407058.3819390051</v>
          </cell>
        </row>
        <row r="56">
          <cell r="L56">
            <v>244610.31211660925</v>
          </cell>
          <cell r="M56">
            <v>295733.73528731294</v>
          </cell>
          <cell r="N56">
            <v>404098.53504227934</v>
          </cell>
          <cell r="O56">
            <v>791744.28975319408</v>
          </cell>
          <cell r="P56">
            <v>1135056.5091228192</v>
          </cell>
          <cell r="T56">
            <v>330158.63183565583</v>
          </cell>
          <cell r="U56">
            <v>454734.49501922145</v>
          </cell>
          <cell r="V56">
            <v>742841.94452114357</v>
          </cell>
          <cell r="W56">
            <v>1908216.1389732582</v>
          </cell>
          <cell r="X56">
            <v>4489135.2528705839</v>
          </cell>
        </row>
        <row r="57">
          <cell r="L57">
            <v>261174.91426132942</v>
          </cell>
          <cell r="M57">
            <v>316201.57337109692</v>
          </cell>
          <cell r="N57">
            <v>429227.01532848983</v>
          </cell>
          <cell r="O57">
            <v>839033.05933626485</v>
          </cell>
          <cell r="P57">
            <v>1202345.3852610823</v>
          </cell>
          <cell r="T57">
            <v>336016.75008685363</v>
          </cell>
          <cell r="U57">
            <v>462858.42509553896</v>
          </cell>
          <cell r="V57">
            <v>756230.26760509284</v>
          </cell>
          <cell r="W57">
            <v>1942963.2943656023</v>
          </cell>
          <cell r="X57">
            <v>4571212.1238021618</v>
          </cell>
        </row>
        <row r="58">
          <cell r="L58">
            <v>278928.41525751224</v>
          </cell>
          <cell r="M58">
            <v>337203.0311204202</v>
          </cell>
          <cell r="N58">
            <v>456896.90220021619</v>
          </cell>
          <cell r="O58">
            <v>888858.47469256679</v>
          </cell>
          <cell r="P58">
            <v>1274829.1223885848</v>
          </cell>
          <cell r="T58">
            <v>341874.86833805137</v>
          </cell>
          <cell r="U58">
            <v>470982.35517185653</v>
          </cell>
          <cell r="V58">
            <v>769618.59068904212</v>
          </cell>
          <cell r="W58">
            <v>1977710.4497579467</v>
          </cell>
          <cell r="X58">
            <v>4653288.9947337406</v>
          </cell>
        </row>
        <row r="59">
          <cell r="L59">
            <v>297956.14649233245</v>
          </cell>
          <cell r="M59">
            <v>359483.81946434325</v>
          </cell>
          <cell r="N59">
            <v>486972.21758480044</v>
          </cell>
          <cell r="O59">
            <v>942219.866686319</v>
          </cell>
          <cell r="P59">
            <v>1352553.0798472858</v>
          </cell>
          <cell r="T59">
            <v>347732.98658924911</v>
          </cell>
          <cell r="U59">
            <v>479106.28524817404</v>
          </cell>
          <cell r="V59">
            <v>783006.91377299151</v>
          </cell>
          <cell r="W59">
            <v>2012457.605150291</v>
          </cell>
          <cell r="X59">
            <v>4735365.8656653194</v>
          </cell>
        </row>
        <row r="60">
          <cell r="L60">
            <v>318349.56388208596</v>
          </cell>
          <cell r="M60">
            <v>384140.20479548391</v>
          </cell>
          <cell r="N60">
            <v>519471.32878172712</v>
          </cell>
          <cell r="O60">
            <v>999714.53638854553</v>
          </cell>
          <cell r="P60">
            <v>1429654.8686850856</v>
          </cell>
          <cell r="T60">
            <v>353591.1048404469</v>
          </cell>
          <cell r="U60">
            <v>487230.21532449155</v>
          </cell>
          <cell r="V60">
            <v>796395.23685694078</v>
          </cell>
          <cell r="W60">
            <v>2047204.7605426351</v>
          </cell>
          <cell r="X60">
            <v>4817442.7365968982</v>
          </cell>
        </row>
        <row r="61">
          <cell r="L61">
            <v>340206.68745084968</v>
          </cell>
          <cell r="M61">
            <v>409727.88787455892</v>
          </cell>
          <cell r="N61">
            <v>554247.00846520183</v>
          </cell>
          <cell r="O61">
            <v>1062237.3031785339</v>
          </cell>
          <cell r="P61">
            <v>1509946.1871380683</v>
          </cell>
          <cell r="T61">
            <v>359449.22309164464</v>
          </cell>
          <cell r="U61">
            <v>495354.14540080907</v>
          </cell>
          <cell r="V61">
            <v>809783.55994089006</v>
          </cell>
          <cell r="W61">
            <v>2081951.9159349794</v>
          </cell>
          <cell r="X61">
            <v>4899519.607528476</v>
          </cell>
        </row>
        <row r="62">
          <cell r="L62">
            <v>363632.57245922764</v>
          </cell>
          <cell r="M62">
            <v>438002.14887133066</v>
          </cell>
          <cell r="N62">
            <v>591930.36010943272</v>
          </cell>
          <cell r="O62">
            <v>1130146.2404147414</v>
          </cell>
          <cell r="P62">
            <v>1598467.4881653127</v>
          </cell>
          <cell r="T62">
            <v>365307.34134284238</v>
          </cell>
          <cell r="U62">
            <v>503478.07547712664</v>
          </cell>
          <cell r="V62">
            <v>823171.88302483945</v>
          </cell>
          <cell r="W62">
            <v>2116699.0713273236</v>
          </cell>
          <cell r="X62">
            <v>4981596.4784600548</v>
          </cell>
        </row>
        <row r="63">
          <cell r="L63">
            <v>388739.81434763339</v>
          </cell>
          <cell r="M63">
            <v>467647.48187552817</v>
          </cell>
          <cell r="N63">
            <v>631951.81974602526</v>
          </cell>
          <cell r="O63">
            <v>1206684.9704639853</v>
          </cell>
          <cell r="P63">
            <v>1696678.1040837814</v>
          </cell>
          <cell r="T63">
            <v>371165.45959404018</v>
          </cell>
          <cell r="U63">
            <v>511602.00555344415</v>
          </cell>
          <cell r="V63">
            <v>836560.20610878873</v>
          </cell>
          <cell r="W63">
            <v>2151446.2267196677</v>
          </cell>
          <cell r="X63">
            <v>5063673.3493916336</v>
          </cell>
        </row>
        <row r="64">
          <cell r="L64">
            <v>415649.08992110635</v>
          </cell>
          <cell r="M64">
            <v>500202.55999316939</v>
          </cell>
          <cell r="N64">
            <v>675604.01120167784</v>
          </cell>
          <cell r="O64">
            <v>1290749.9113815003</v>
          </cell>
          <cell r="P64">
            <v>1798988.025227997</v>
          </cell>
          <cell r="T64">
            <v>377023.57784523792</v>
          </cell>
          <cell r="U64">
            <v>519725.93562976166</v>
          </cell>
          <cell r="V64">
            <v>849948.529192738</v>
          </cell>
          <cell r="W64">
            <v>2186193.3821120118</v>
          </cell>
          <cell r="X64">
            <v>5145750.2203232115</v>
          </cell>
        </row>
        <row r="65">
          <cell r="L65">
            <v>444489.73737683095</v>
          </cell>
          <cell r="M65">
            <v>534698.0759040569</v>
          </cell>
          <cell r="N65">
            <v>722874.7100543445</v>
          </cell>
          <cell r="O65">
            <v>1381673.8331965399</v>
          </cell>
          <cell r="P65">
            <v>1916436.8478998421</v>
          </cell>
          <cell r="T65">
            <v>382881.69609643565</v>
          </cell>
          <cell r="U65">
            <v>527849.86570607917</v>
          </cell>
          <cell r="V65">
            <v>863336.85227668728</v>
          </cell>
          <cell r="W65">
            <v>2220940.5375043559</v>
          </cell>
          <cell r="X65">
            <v>5227827.0912547903</v>
          </cell>
        </row>
        <row r="66">
          <cell r="L66">
            <v>475400.37796224136</v>
          </cell>
          <cell r="M66">
            <v>572288.40647972282</v>
          </cell>
          <cell r="N66">
            <v>773365.68895350234</v>
          </cell>
          <cell r="O66">
            <v>1480064.6951362309</v>
          </cell>
          <cell r="P66">
            <v>2038049.4204183111</v>
          </cell>
          <cell r="T66">
            <v>388739.81434763339</v>
          </cell>
          <cell r="U66">
            <v>535973.7957823968</v>
          </cell>
          <cell r="V66">
            <v>876725.17536063655</v>
          </cell>
          <cell r="W66">
            <v>2255687.6928967</v>
          </cell>
          <cell r="X66">
            <v>5309903.9621863691</v>
          </cell>
        </row>
        <row r="67">
          <cell r="L67">
            <v>508529.5822516816</v>
          </cell>
          <cell r="M67">
            <v>612338.12154204759</v>
          </cell>
          <cell r="N67">
            <v>828062.20064433571</v>
          </cell>
          <cell r="O67">
            <v>1585716.4081741928</v>
          </cell>
          <cell r="P67">
            <v>2164747.8093606317</v>
          </cell>
          <cell r="T67">
            <v>394597.93259883113</v>
          </cell>
          <cell r="U67">
            <v>544097.72585871432</v>
          </cell>
          <cell r="V67">
            <v>890113.49844458583</v>
          </cell>
          <cell r="W67">
            <v>2290434.8482890446</v>
          </cell>
          <cell r="X67">
            <v>5391980.8331179479</v>
          </cell>
        </row>
        <row r="68">
          <cell r="L68">
            <v>544036.58424404729</v>
          </cell>
          <cell r="M68">
            <v>654986.42227535218</v>
          </cell>
          <cell r="N68">
            <v>887469.18875435716</v>
          </cell>
          <cell r="O68">
            <v>1697298.0887252693</v>
          </cell>
          <cell r="P68">
            <v>2292203.7646968644</v>
          </cell>
          <cell r="T68">
            <v>400456.05085002893</v>
          </cell>
          <cell r="U68">
            <v>552221.65593503183</v>
          </cell>
          <cell r="V68">
            <v>903501.8215285351</v>
          </cell>
          <cell r="W68">
            <v>2325182.0036813887</v>
          </cell>
          <cell r="X68">
            <v>5474057.7040495267</v>
          </cell>
        </row>
        <row r="69">
          <cell r="L69">
            <v>572684.23968400666</v>
          </cell>
          <cell r="M69">
            <v>701314.35937065713</v>
          </cell>
          <cell r="N69">
            <v>950234.8437858586</v>
          </cell>
          <cell r="O69">
            <v>1809640.6128965993</v>
          </cell>
          <cell r="P69">
            <v>2435557.327658507</v>
          </cell>
          <cell r="T69">
            <v>406314.16910122667</v>
          </cell>
          <cell r="U69">
            <v>560345.58601134946</v>
          </cell>
          <cell r="V69">
            <v>916890.14461248438</v>
          </cell>
          <cell r="W69">
            <v>2359929.1590737328</v>
          </cell>
          <cell r="X69">
            <v>5556134.5749811055</v>
          </cell>
        </row>
        <row r="70">
          <cell r="L70">
            <v>602564.83453947073</v>
          </cell>
          <cell r="M70">
            <v>751007.41478110664</v>
          </cell>
          <cell r="N70">
            <v>1014529.052545341</v>
          </cell>
          <cell r="O70">
            <v>1929964.1801532884</v>
          </cell>
          <cell r="P70">
            <v>2585858.7036889624</v>
          </cell>
          <cell r="T70">
            <v>412172.28735242446</v>
          </cell>
          <cell r="U70">
            <v>568469.51608766697</v>
          </cell>
          <cell r="V70">
            <v>930278.46769643365</v>
          </cell>
          <cell r="W70">
            <v>2394676.3144660769</v>
          </cell>
          <cell r="X70">
            <v>5638211.4459126843</v>
          </cell>
        </row>
        <row r="71">
          <cell r="L71">
            <v>634590.06315035571</v>
          </cell>
          <cell r="M71">
            <v>792646.86298318685</v>
          </cell>
          <cell r="N71">
            <v>1080910.9262549621</v>
          </cell>
          <cell r="O71">
            <v>2061548.4712724863</v>
          </cell>
          <cell r="P71">
            <v>2753963.8177186493</v>
          </cell>
          <cell r="T71">
            <v>418030.4056036222</v>
          </cell>
          <cell r="U71">
            <v>576593.44616398448</v>
          </cell>
          <cell r="V71">
            <v>943666.79078038293</v>
          </cell>
          <cell r="W71">
            <v>2429423.4698584215</v>
          </cell>
          <cell r="X71">
            <v>5720288.3168442622</v>
          </cell>
        </row>
        <row r="72">
          <cell r="L72">
            <v>668913.8533071602</v>
          </cell>
          <cell r="M72">
            <v>835403.92907126981</v>
          </cell>
          <cell r="N72">
            <v>1156468.2031482621</v>
          </cell>
          <cell r="O72">
            <v>2204793.6951868013</v>
          </cell>
          <cell r="P72">
            <v>2934595.7808035673</v>
          </cell>
          <cell r="T72">
            <v>423888.52385481994</v>
          </cell>
          <cell r="U72">
            <v>584717.37624030199</v>
          </cell>
          <cell r="V72">
            <v>957055.1138643322</v>
          </cell>
          <cell r="W72">
            <v>2464170.6252507656</v>
          </cell>
          <cell r="X72">
            <v>5802365.187775841</v>
          </cell>
        </row>
        <row r="73">
          <cell r="L73">
            <v>705701.18073088769</v>
          </cell>
          <cell r="M73">
            <v>883140.36988398712</v>
          </cell>
          <cell r="N73">
            <v>1239433.8960178369</v>
          </cell>
          <cell r="O73">
            <v>2357347.4454280818</v>
          </cell>
          <cell r="P73">
            <v>3134850.4671253497</v>
          </cell>
          <cell r="T73">
            <v>429746.64210601768</v>
          </cell>
          <cell r="U73">
            <v>592841.30631661951</v>
          </cell>
          <cell r="V73">
            <v>970443.43694828148</v>
          </cell>
          <cell r="W73">
            <v>2498917.7806431102</v>
          </cell>
          <cell r="X73">
            <v>5884442.0587074198</v>
          </cell>
        </row>
        <row r="74">
          <cell r="L74">
            <v>745128.8620212723</v>
          </cell>
          <cell r="M74">
            <v>934756.65573182644</v>
          </cell>
          <cell r="N74">
            <v>1313877.3331005189</v>
          </cell>
          <cell r="O74">
            <v>2520216.4373749988</v>
          </cell>
          <cell r="P74">
            <v>3350443.9196985234</v>
          </cell>
          <cell r="T74">
            <v>435604.76035721548</v>
          </cell>
          <cell r="U74">
            <v>600965.23639293702</v>
          </cell>
          <cell r="V74">
            <v>983831.76003223076</v>
          </cell>
          <cell r="W74">
            <v>2533664.9360354543</v>
          </cell>
          <cell r="X74">
            <v>5966518.9296389986</v>
          </cell>
        </row>
        <row r="75">
          <cell r="L75">
            <v>787386.40451764525</v>
          </cell>
          <cell r="M75">
            <v>989474.09253612394</v>
          </cell>
          <cell r="N75">
            <v>1391279.9440066579</v>
          </cell>
          <cell r="O75">
            <v>2693046.0506494138</v>
          </cell>
          <cell r="P75">
            <v>3577834.0666146707</v>
          </cell>
          <cell r="T75">
            <v>441462.87860841322</v>
          </cell>
          <cell r="U75">
            <v>609089.16646925453</v>
          </cell>
          <cell r="V75">
            <v>997220.08311618003</v>
          </cell>
          <cell r="W75">
            <v>2568412.0914277984</v>
          </cell>
          <cell r="X75">
            <v>6048595.8005705774</v>
          </cell>
        </row>
        <row r="76">
          <cell r="L76">
            <v>832676.91715725767</v>
          </cell>
          <cell r="M76">
            <v>1046020.7887191698</v>
          </cell>
          <cell r="N76">
            <v>1474750.2749682036</v>
          </cell>
          <cell r="O76">
            <v>2879580.2585997824</v>
          </cell>
          <cell r="P76">
            <v>3822481.1821944024</v>
          </cell>
          <cell r="T76">
            <v>447320.99685961095</v>
          </cell>
          <cell r="U76">
            <v>617213.09654557204</v>
          </cell>
          <cell r="V76">
            <v>1010608.4062001293</v>
          </cell>
          <cell r="W76">
            <v>2603159.246820143</v>
          </cell>
          <cell r="X76">
            <v>6130672.6715021562</v>
          </cell>
        </row>
        <row r="77">
          <cell r="L77">
            <v>881218.08670905861</v>
          </cell>
          <cell r="M77">
            <v>1108414.7542992765</v>
          </cell>
          <cell r="N77">
            <v>1568093.7209975771</v>
          </cell>
          <cell r="O77">
            <v>3085099.3145704819</v>
          </cell>
          <cell r="P77">
            <v>4092675.4781192434</v>
          </cell>
          <cell r="T77">
            <v>453179.11511080869</v>
          </cell>
          <cell r="U77">
            <v>625337.02662188956</v>
          </cell>
          <cell r="V77">
            <v>1023996.7292840786</v>
          </cell>
          <cell r="W77">
            <v>2637906.4022124871</v>
          </cell>
          <cell r="X77">
            <v>6212749.5424337341</v>
          </cell>
        </row>
        <row r="78">
          <cell r="L78">
            <v>933260.41895466845</v>
          </cell>
          <cell r="M78">
            <v>1176193.1615009299</v>
          </cell>
          <cell r="N78">
            <v>1667835.076064324</v>
          </cell>
          <cell r="O78">
            <v>3298837.6822609385</v>
          </cell>
          <cell r="P78">
            <v>4386995.437355997</v>
          </cell>
          <cell r="T78">
            <v>459037.23336200643</v>
          </cell>
          <cell r="U78">
            <v>633460.95669820718</v>
          </cell>
          <cell r="V78">
            <v>1037385.0523680279</v>
          </cell>
          <cell r="W78">
            <v>2672653.5576048312</v>
          </cell>
          <cell r="X78">
            <v>6294826.4133653129</v>
          </cell>
        </row>
        <row r="79">
          <cell r="L79">
            <v>1000573.2976905726</v>
          </cell>
          <cell r="M79">
            <v>1248021.6255552555</v>
          </cell>
          <cell r="N79">
            <v>1772828.8571023056</v>
          </cell>
          <cell r="O79">
            <v>3521723.4938117014</v>
          </cell>
          <cell r="P79">
            <v>4707835.6577081792</v>
          </cell>
          <cell r="T79">
            <v>464895.35161320423</v>
          </cell>
          <cell r="U79">
            <v>641584.8867745247</v>
          </cell>
          <cell r="V79">
            <v>1050773.3754519771</v>
          </cell>
          <cell r="W79">
            <v>2707400.7129971753</v>
          </cell>
          <cell r="X79">
            <v>6376903.2842968917</v>
          </cell>
        </row>
        <row r="80">
          <cell r="L80">
            <v>1072717.4548066382</v>
          </cell>
          <cell r="M80">
            <v>1325791.250064702</v>
          </cell>
          <cell r="N80">
            <v>1887926.2860772572</v>
          </cell>
          <cell r="O80">
            <v>3762862.8761188919</v>
          </cell>
          <cell r="P80">
            <v>5025562.0783772785</v>
          </cell>
          <cell r="T80">
            <v>470753.46986440197</v>
          </cell>
          <cell r="U80">
            <v>649708.81685084221</v>
          </cell>
          <cell r="V80">
            <v>1064161.6985359264</v>
          </cell>
          <cell r="W80">
            <v>2742147.8683895194</v>
          </cell>
          <cell r="X80">
            <v>6458980.1552284705</v>
          </cell>
        </row>
        <row r="81">
          <cell r="L81">
            <v>1150039.6478806864</v>
          </cell>
          <cell r="M81">
            <v>1420260.8568993947</v>
          </cell>
          <cell r="N81">
            <v>2010912.5688340887</v>
          </cell>
          <cell r="O81">
            <v>4015904.3338293736</v>
          </cell>
          <cell r="P81">
            <v>5363410.2758726636</v>
          </cell>
          <cell r="T81">
            <v>476611.5881155997</v>
          </cell>
          <cell r="U81">
            <v>657832.74692715972</v>
          </cell>
          <cell r="V81">
            <v>1077550.0216198757</v>
          </cell>
          <cell r="W81">
            <v>2776895.0237818635</v>
          </cell>
          <cell r="X81">
            <v>6541057.0261600483</v>
          </cell>
        </row>
        <row r="82">
          <cell r="L82">
            <v>1232911.5224825584</v>
          </cell>
          <cell r="M82">
            <v>1523833.0499319504</v>
          </cell>
          <cell r="N82">
            <v>2143110.1658462617</v>
          </cell>
          <cell r="O82">
            <v>4275454.0714378105</v>
          </cell>
          <cell r="P82">
            <v>5730308.7608242426</v>
          </cell>
          <cell r="T82">
            <v>482469.7063667975</v>
          </cell>
          <cell r="U82">
            <v>665956.67700347723</v>
          </cell>
          <cell r="V82">
            <v>1090938.344703825</v>
          </cell>
          <cell r="W82">
            <v>2811642.1791742076</v>
          </cell>
          <cell r="X82">
            <v>6623133.8970916271</v>
          </cell>
        </row>
        <row r="83">
          <cell r="L83">
            <v>1321731.3984714807</v>
          </cell>
          <cell r="M83">
            <v>1634564.2727778347</v>
          </cell>
          <cell r="N83">
            <v>2276797.0571927545</v>
          </cell>
          <cell r="O83">
            <v>4551956.2692400478</v>
          </cell>
          <cell r="P83">
            <v>6112369.5292844139</v>
          </cell>
          <cell r="T83">
            <v>488327.82461799524</v>
          </cell>
          <cell r="U83">
            <v>674080.60707979475</v>
          </cell>
          <cell r="V83">
            <v>1104326.6677877742</v>
          </cell>
          <cell r="W83">
            <v>2846389.3345665517</v>
          </cell>
          <cell r="X83">
            <v>6705210.7680232059</v>
          </cell>
        </row>
        <row r="84">
          <cell r="L84">
            <v>1416926.1845021718</v>
          </cell>
          <cell r="M84">
            <v>1747273.0100453326</v>
          </cell>
          <cell r="N84">
            <v>2431872.7343086279</v>
          </cell>
          <cell r="O84">
            <v>4851804.5206589149</v>
          </cell>
          <cell r="P84">
            <v>6529313.2233185135</v>
          </cell>
          <cell r="T84">
            <v>494185.94286919298</v>
          </cell>
          <cell r="U84">
            <v>682204.53715611238</v>
          </cell>
          <cell r="V84">
            <v>1117714.9908717235</v>
          </cell>
          <cell r="W84">
            <v>2881136.4899588958</v>
          </cell>
          <cell r="X84">
            <v>6787287.6389547847</v>
          </cell>
        </row>
        <row r="85">
          <cell r="L85">
            <v>1518953.4299416859</v>
          </cell>
          <cell r="M85">
            <v>1871181.3034592518</v>
          </cell>
          <cell r="N85">
            <v>2604112.8968033232</v>
          </cell>
          <cell r="O85">
            <v>5180121.5806578919</v>
          </cell>
          <cell r="P85">
            <v>6970398.2818679148</v>
          </cell>
          <cell r="T85">
            <v>500044.06112039078</v>
          </cell>
          <cell r="U85">
            <v>690328.46723242989</v>
          </cell>
          <cell r="V85">
            <v>1131103.313955673</v>
          </cell>
          <cell r="W85">
            <v>2915883.6453512404</v>
          </cell>
          <cell r="X85">
            <v>6869364.5098863635</v>
          </cell>
        </row>
        <row r="86">
          <cell r="L86">
            <v>1628303.5240594384</v>
          </cell>
          <cell r="M86">
            <v>2006871.6905065232</v>
          </cell>
          <cell r="N86">
            <v>2794873.7392708655</v>
          </cell>
          <cell r="O86">
            <v>5531795.577021298</v>
          </cell>
          <cell r="P86">
            <v>7459801.3995076166</v>
          </cell>
          <cell r="T86">
            <v>505902.17937158851</v>
          </cell>
          <cell r="U86">
            <v>698452.3973087474</v>
          </cell>
          <cell r="V86">
            <v>1144491.6370396223</v>
          </cell>
          <cell r="W86">
            <v>2950630.8007435845</v>
          </cell>
          <cell r="X86">
            <v>6951441.3808179423</v>
          </cell>
        </row>
        <row r="87">
          <cell r="L87">
            <v>1745502.0530606871</v>
          </cell>
          <cell r="M87">
            <v>2152384.7721522567</v>
          </cell>
          <cell r="N87">
            <v>2992415.0236917417</v>
          </cell>
          <cell r="O87">
            <v>5904087.8971901443</v>
          </cell>
          <cell r="P87">
            <v>7976716.3246479454</v>
          </cell>
          <cell r="T87">
            <v>511760.29762278631</v>
          </cell>
          <cell r="U87">
            <v>706576.32738506491</v>
          </cell>
          <cell r="V87">
            <v>1157876.5335963978</v>
          </cell>
          <cell r="W87">
            <v>2985377.9561359286</v>
          </cell>
          <cell r="X87">
            <v>7033518.2517495202</v>
          </cell>
        </row>
        <row r="88">
          <cell r="L88">
            <v>1862700.5820619359</v>
          </cell>
          <cell r="M88">
            <v>2303369.7192447372</v>
          </cell>
          <cell r="N88">
            <v>3201651.6496631061</v>
          </cell>
          <cell r="O88">
            <v>6322113.85781834</v>
          </cell>
          <cell r="P88">
            <v>8526063.6442074627</v>
          </cell>
          <cell r="T88">
            <v>517618.41587398405</v>
          </cell>
          <cell r="U88">
            <v>714700.25746138243</v>
          </cell>
          <cell r="V88">
            <v>1171232.3613899685</v>
          </cell>
          <cell r="W88">
            <v>3020125.1115282727</v>
          </cell>
          <cell r="X88">
            <v>7115595.122681099</v>
          </cell>
        </row>
        <row r="89">
          <cell r="L89">
            <v>1979899.1110631847</v>
          </cell>
          <cell r="M89">
            <v>2467778.0603368846</v>
          </cell>
          <cell r="N89">
            <v>3431836.7295421772</v>
          </cell>
          <cell r="O89">
            <v>6789883.693682665</v>
          </cell>
          <cell r="P89">
            <v>9037644.3603855558</v>
          </cell>
          <cell r="T89">
            <v>523476.53412518179</v>
          </cell>
          <cell r="U89">
            <v>722824.18753769994</v>
          </cell>
          <cell r="V89">
            <v>1184588.1891835392</v>
          </cell>
          <cell r="W89">
            <v>3054872.2669206173</v>
          </cell>
          <cell r="X89">
            <v>7197671.9936126778</v>
          </cell>
        </row>
        <row r="90">
          <cell r="L90">
            <v>2097097.6400644334</v>
          </cell>
          <cell r="M90">
            <v>2646965.5112294764</v>
          </cell>
          <cell r="N90">
            <v>3685356.9601226356</v>
          </cell>
          <cell r="O90">
            <v>7236194.0886694212</v>
          </cell>
          <cell r="P90">
            <v>9580373.8001447059</v>
          </cell>
          <cell r="T90">
            <v>529334.65237637958</v>
          </cell>
          <cell r="U90">
            <v>730948.11761401757</v>
          </cell>
          <cell r="V90">
            <v>1197944.0169771097</v>
          </cell>
          <cell r="W90">
            <v>3089482.0186194135</v>
          </cell>
          <cell r="X90">
            <v>7279748.8645442557</v>
          </cell>
        </row>
        <row r="91">
          <cell r="L91">
            <v>2214296.1690656822</v>
          </cell>
          <cell r="M91">
            <v>2826152.9621220683</v>
          </cell>
          <cell r="N91">
            <v>3943066.5268462403</v>
          </cell>
          <cell r="O91">
            <v>7690629.4335356392</v>
          </cell>
          <cell r="P91">
            <v>10173829.645363733</v>
          </cell>
          <cell r="T91">
            <v>535192.77062757732</v>
          </cell>
          <cell r="U91">
            <v>739072.04769033508</v>
          </cell>
          <cell r="V91">
            <v>1211299.8447706804</v>
          </cell>
          <cell r="W91">
            <v>3123172.9187711333</v>
          </cell>
          <cell r="X91">
            <v>7361825.7354758345</v>
          </cell>
        </row>
        <row r="92">
          <cell r="L92">
            <v>2331494.6980669312</v>
          </cell>
          <cell r="M92">
            <v>3005340.4130146601</v>
          </cell>
          <cell r="N92">
            <v>4190627.8431413854</v>
          </cell>
          <cell r="O92">
            <v>8174736.8464163207</v>
          </cell>
          <cell r="P92">
            <v>10766729.914831489</v>
          </cell>
          <cell r="T92">
            <v>541050.88887877506</v>
          </cell>
          <cell r="U92">
            <v>747195.97776665259</v>
          </cell>
          <cell r="V92">
            <v>1224655.6725642511</v>
          </cell>
          <cell r="W92">
            <v>3156863.8189228526</v>
          </cell>
          <cell r="X92">
            <v>7443902.6064074133</v>
          </cell>
        </row>
        <row r="93">
          <cell r="L93">
            <v>2448693.2270681802</v>
          </cell>
          <cell r="M93">
            <v>3184527.863907252</v>
          </cell>
          <cell r="N93">
            <v>4456620.9140202217</v>
          </cell>
          <cell r="O93">
            <v>8668068.1419581044</v>
          </cell>
          <cell r="P93">
            <v>11393960.879274003</v>
          </cell>
          <cell r="T93">
            <v>546198.90670115827</v>
          </cell>
          <cell r="U93">
            <v>754481.54501312098</v>
          </cell>
          <cell r="V93">
            <v>1238011.5003578216</v>
          </cell>
          <cell r="W93">
            <v>3190554.719074572</v>
          </cell>
          <cell r="X93">
            <v>7524361.2569677141</v>
          </cell>
        </row>
        <row r="94">
          <cell r="L94">
            <v>2565891.7560694292</v>
          </cell>
          <cell r="M94">
            <v>3363715.3147998438</v>
          </cell>
          <cell r="N94">
            <v>4722613.984899058</v>
          </cell>
          <cell r="O94">
            <v>9268066.4614736512</v>
          </cell>
          <cell r="P94">
            <v>12144800.004735613</v>
          </cell>
          <cell r="T94">
            <v>550608.82165937836</v>
          </cell>
          <cell r="U94">
            <v>761026.15637272957</v>
          </cell>
          <cell r="V94">
            <v>1249702.8318720539</v>
          </cell>
          <cell r="W94">
            <v>3224245.6192262913</v>
          </cell>
          <cell r="X94">
            <v>7604431.1420679633</v>
          </cell>
        </row>
        <row r="95">
          <cell r="L95">
            <v>2683090.2850706782</v>
          </cell>
          <cell r="M95">
            <v>3542902.7656924357</v>
          </cell>
          <cell r="N95">
            <v>4988607.0557778943</v>
          </cell>
          <cell r="O95">
            <v>9909659.7250802778</v>
          </cell>
          <cell r="P95">
            <v>12969803.18327716</v>
          </cell>
          <cell r="T95">
            <v>555018.73661759845</v>
          </cell>
          <cell r="U95">
            <v>767570.76773233828</v>
          </cell>
          <cell r="V95">
            <v>1261195.7651168406</v>
          </cell>
          <cell r="W95">
            <v>3257936.5193780111</v>
          </cell>
          <cell r="X95">
            <v>7684501.0271682115</v>
          </cell>
        </row>
        <row r="96">
          <cell r="L96">
            <v>2800288.8140719272</v>
          </cell>
          <cell r="M96">
            <v>3722090.2165850275</v>
          </cell>
          <cell r="N96">
            <v>5254600.1266567307</v>
          </cell>
          <cell r="O96">
            <v>10612768.696595727</v>
          </cell>
          <cell r="P96">
            <v>13802121.518845527</v>
          </cell>
          <cell r="T96">
            <v>559428.65157581854</v>
          </cell>
          <cell r="U96">
            <v>774115.37909194687</v>
          </cell>
          <cell r="V96">
            <v>1272688.6983616273</v>
          </cell>
          <cell r="W96">
            <v>3291627.4195297305</v>
          </cell>
          <cell r="X96">
            <v>7764570.9122684607</v>
          </cell>
        </row>
        <row r="97">
          <cell r="L97">
            <v>2917487.3430731762</v>
          </cell>
          <cell r="M97">
            <v>3901277.6674776194</v>
          </cell>
          <cell r="N97">
            <v>5520593.197535567</v>
          </cell>
          <cell r="O97">
            <v>11311085.324867805</v>
          </cell>
          <cell r="P97">
            <v>14688755.27632761</v>
          </cell>
          <cell r="T97">
            <v>563838.56653403863</v>
          </cell>
          <cell r="U97">
            <v>780659.99045155558</v>
          </cell>
          <cell r="V97">
            <v>1284181.631606414</v>
          </cell>
          <cell r="W97">
            <v>3324509.7947670557</v>
          </cell>
          <cell r="X97">
            <v>7844640.7973687099</v>
          </cell>
        </row>
        <row r="98">
          <cell r="L98">
            <v>3034685.8720744252</v>
          </cell>
          <cell r="M98">
            <v>4080465.1183702112</v>
          </cell>
          <cell r="N98">
            <v>5786586.2684144033</v>
          </cell>
          <cell r="O98">
            <v>12079558.023970503</v>
          </cell>
          <cell r="P98">
            <v>15736283.926352851</v>
          </cell>
          <cell r="T98">
            <v>568248.48149225861</v>
          </cell>
          <cell r="U98">
            <v>787204.60181116418</v>
          </cell>
          <cell r="V98">
            <v>1295674.5648512007</v>
          </cell>
          <cell r="W98">
            <v>3357172.0213363213</v>
          </cell>
          <cell r="X98">
            <v>7924710.6824689582</v>
          </cell>
        </row>
        <row r="99">
          <cell r="L99">
            <v>3151884.4010756742</v>
          </cell>
          <cell r="M99">
            <v>4259652.5692628026</v>
          </cell>
          <cell r="N99">
            <v>6052579.3392932396</v>
          </cell>
          <cell r="O99">
            <v>12848030.723073201</v>
          </cell>
          <cell r="P99">
            <v>16859307.516246781</v>
          </cell>
          <cell r="T99">
            <v>572658.3964504787</v>
          </cell>
          <cell r="U99">
            <v>793724.99826907925</v>
          </cell>
          <cell r="V99">
            <v>1307167.4980959874</v>
          </cell>
          <cell r="W99">
            <v>3389834.2479055864</v>
          </cell>
          <cell r="X99">
            <v>8004680.1726961434</v>
          </cell>
        </row>
        <row r="100">
          <cell r="L100">
            <v>3269082.9300769232</v>
          </cell>
          <cell r="M100">
            <v>4438840.0201553944</v>
          </cell>
          <cell r="N100">
            <v>6318572.410172076</v>
          </cell>
          <cell r="O100">
            <v>13616503.422175899</v>
          </cell>
          <cell r="P100">
            <v>18163976.544238042</v>
          </cell>
          <cell r="T100">
            <v>576950.76970311883</v>
          </cell>
          <cell r="U100">
            <v>800125.84667343087</v>
          </cell>
          <cell r="V100">
            <v>1318660.4313407741</v>
          </cell>
          <cell r="W100">
            <v>3422496.474474852</v>
          </cell>
          <cell r="X100">
            <v>8084463.6219223347</v>
          </cell>
        </row>
        <row r="101">
          <cell r="L101">
            <v>3386281.4590781722</v>
          </cell>
          <cell r="M101">
            <v>4618027.4710479863</v>
          </cell>
          <cell r="N101">
            <v>6584565.4810509123</v>
          </cell>
          <cell r="O101">
            <v>14384976.121278597</v>
          </cell>
          <cell r="P101">
            <v>19605656.796874665</v>
          </cell>
          <cell r="T101">
            <v>581242.45007071109</v>
          </cell>
          <cell r="U101">
            <v>806526.69507778238</v>
          </cell>
          <cell r="V101">
            <v>1330153.3645855607</v>
          </cell>
          <cell r="W101">
            <v>3455158.7010441171</v>
          </cell>
          <cell r="X101">
            <v>8164247.0711485269</v>
          </cell>
        </row>
        <row r="102">
          <cell r="L102">
            <v>3503479.9880794212</v>
          </cell>
          <cell r="M102">
            <v>4797214.9219405781</v>
          </cell>
          <cell r="N102">
            <v>6850558.5519297486</v>
          </cell>
          <cell r="O102">
            <v>15153448.820381295</v>
          </cell>
          <cell r="P102">
            <v>20967724.033626091</v>
          </cell>
          <cell r="T102">
            <v>585534.13043830346</v>
          </cell>
          <cell r="U102">
            <v>812927.54348213389</v>
          </cell>
          <cell r="V102">
            <v>1341646.2978303474</v>
          </cell>
          <cell r="W102">
            <v>3487820.9276133822</v>
          </cell>
          <cell r="X102">
            <v>8244030.5203747191</v>
          </cell>
        </row>
        <row r="103">
          <cell r="L103">
            <v>3620678.5170806702</v>
          </cell>
          <cell r="M103">
            <v>4976402.37283317</v>
          </cell>
          <cell r="N103">
            <v>7116551.6228085849</v>
          </cell>
          <cell r="O103">
            <v>15921921.519483993</v>
          </cell>
          <cell r="P103">
            <v>22341818.065524645</v>
          </cell>
          <cell r="T103">
            <v>589825.81080589572</v>
          </cell>
          <cell r="U103">
            <v>819328.39188648539</v>
          </cell>
          <cell r="V103">
            <v>1353139.2310751341</v>
          </cell>
          <cell r="W103">
            <v>3520483.1541826478</v>
          </cell>
          <cell r="X103">
            <v>8323813.9696009103</v>
          </cell>
        </row>
        <row r="104">
          <cell r="L104">
            <v>3737877.0460819192</v>
          </cell>
          <cell r="M104">
            <v>5155589.8237257618</v>
          </cell>
          <cell r="N104">
            <v>7382544.6936874213</v>
          </cell>
          <cell r="O104">
            <v>16690394.218586691</v>
          </cell>
          <cell r="P104">
            <v>23850042.593604684</v>
          </cell>
          <cell r="T104">
            <v>594117.49117348797</v>
          </cell>
          <cell r="U104">
            <v>825729.2402908369</v>
          </cell>
          <cell r="V104">
            <v>1364632.1643199208</v>
          </cell>
          <cell r="W104">
            <v>3553145.3807519129</v>
          </cell>
          <cell r="X104">
            <v>8403597.4188271016</v>
          </cell>
        </row>
        <row r="105">
          <cell r="L105">
            <v>3855075.5750831682</v>
          </cell>
          <cell r="M105">
            <v>5334777.2746183537</v>
          </cell>
          <cell r="N105">
            <v>7648537.7645662576</v>
          </cell>
          <cell r="O105">
            <v>17458866.91768939</v>
          </cell>
          <cell r="P105">
            <v>25460124.611098997</v>
          </cell>
          <cell r="T105">
            <v>598409.17154108034</v>
          </cell>
          <cell r="U105">
            <v>832130.08869518852</v>
          </cell>
          <cell r="V105">
            <v>1376125.0975647075</v>
          </cell>
          <cell r="W105">
            <v>3585807.6073211785</v>
          </cell>
          <cell r="X105">
            <v>8483380.8680532947</v>
          </cell>
        </row>
        <row r="106">
          <cell r="L106">
            <v>3972274.1040844172</v>
          </cell>
          <cell r="M106">
            <v>5513964.7255109455</v>
          </cell>
          <cell r="N106">
            <v>7914530.8354450939</v>
          </cell>
          <cell r="O106">
            <v>18227339.61679209</v>
          </cell>
          <cell r="P106">
            <v>27281059.006197527</v>
          </cell>
          <cell r="T106">
            <v>602700.8519086726</v>
          </cell>
          <cell r="U106">
            <v>838530.93709954002</v>
          </cell>
          <cell r="V106">
            <v>1387618.030809494</v>
          </cell>
          <cell r="W106">
            <v>3618469.8338904437</v>
          </cell>
          <cell r="X106">
            <v>8563164.317279486</v>
          </cell>
        </row>
        <row r="107">
          <cell r="L107">
            <v>4089472.6330856662</v>
          </cell>
          <cell r="M107">
            <v>5693152.1764035374</v>
          </cell>
          <cell r="N107">
            <v>8180523.9063239302</v>
          </cell>
          <cell r="O107">
            <v>18995812.31589479</v>
          </cell>
          <cell r="P107">
            <v>29101993.401296057</v>
          </cell>
          <cell r="T107">
            <v>606992.53227626486</v>
          </cell>
          <cell r="U107">
            <v>844931.78550389153</v>
          </cell>
          <cell r="V107">
            <v>1399110.9640542807</v>
          </cell>
          <cell r="W107">
            <v>3651132.0604597093</v>
          </cell>
          <cell r="X107">
            <v>8642947.7665056773</v>
          </cell>
        </row>
        <row r="108">
          <cell r="L108">
            <v>4206671.1620869152</v>
          </cell>
          <cell r="M108">
            <v>5872339.6272961292</v>
          </cell>
          <cell r="N108">
            <v>8446516.9772027656</v>
          </cell>
          <cell r="O108">
            <v>19764285.01499749</v>
          </cell>
          <cell r="P108">
            <v>30922927.796394587</v>
          </cell>
          <cell r="T108">
            <v>611284.21264385723</v>
          </cell>
          <cell r="U108">
            <v>851332.63390824303</v>
          </cell>
          <cell r="V108">
            <v>1410603.8972990674</v>
          </cell>
          <cell r="W108">
            <v>3683794.2870289744</v>
          </cell>
          <cell r="X108">
            <v>8722731.2157318704</v>
          </cell>
        </row>
        <row r="109">
          <cell r="L109">
            <v>4323869.6910881642</v>
          </cell>
          <cell r="M109">
            <v>6051527.0781887211</v>
          </cell>
          <cell r="N109">
            <v>8712510.048081601</v>
          </cell>
          <cell r="O109">
            <v>20532757.71410019</v>
          </cell>
          <cell r="P109">
            <v>32743862.191493116</v>
          </cell>
          <cell r="T109">
            <v>615575.89301144949</v>
          </cell>
          <cell r="U109">
            <v>857733.48231259454</v>
          </cell>
          <cell r="V109">
            <v>1422096.830543854</v>
          </cell>
          <cell r="W109">
            <v>3716456.51359824</v>
          </cell>
          <cell r="X109">
            <v>8802514.6649580617</v>
          </cell>
        </row>
        <row r="110">
          <cell r="L110">
            <v>4441068.2200894132</v>
          </cell>
          <cell r="M110">
            <v>6230714.5290813129</v>
          </cell>
          <cell r="N110">
            <v>8978503.1189604364</v>
          </cell>
          <cell r="O110">
            <v>21301230.413202889</v>
          </cell>
          <cell r="P110">
            <v>34564796.586591646</v>
          </cell>
          <cell r="T110">
            <v>619867.57337904186</v>
          </cell>
          <cell r="U110">
            <v>864134.33071694616</v>
          </cell>
          <cell r="V110">
            <v>1433589.7637886407</v>
          </cell>
          <cell r="W110">
            <v>3749118.7401675051</v>
          </cell>
          <cell r="X110">
            <v>8882298.1141842529</v>
          </cell>
        </row>
        <row r="111">
          <cell r="L111">
            <v>4558266.7490906622</v>
          </cell>
          <cell r="M111">
            <v>6409901.9799739048</v>
          </cell>
          <cell r="N111">
            <v>9244496.1898392718</v>
          </cell>
          <cell r="O111">
            <v>22069703.112305589</v>
          </cell>
          <cell r="P111">
            <v>36385730.981690176</v>
          </cell>
          <cell r="T111">
            <v>624159.25374663412</v>
          </cell>
          <cell r="U111">
            <v>870535.17912129767</v>
          </cell>
          <cell r="V111">
            <v>1445082.6970334274</v>
          </cell>
          <cell r="W111">
            <v>3781780.9667367707</v>
          </cell>
          <cell r="X111">
            <v>8962081.563410446</v>
          </cell>
        </row>
        <row r="112">
          <cell r="L112">
            <v>4675465.2780919112</v>
          </cell>
          <cell r="M112">
            <v>6589089.4308664966</v>
          </cell>
          <cell r="N112">
            <v>9510489.2607181072</v>
          </cell>
          <cell r="O112">
            <v>22838175.811408289</v>
          </cell>
          <cell r="P112">
            <v>38206665.376788706</v>
          </cell>
          <cell r="T112">
            <v>628450.93411422637</v>
          </cell>
          <cell r="U112">
            <v>876936.02752564917</v>
          </cell>
          <cell r="V112">
            <v>1456575.6302782141</v>
          </cell>
          <cell r="W112">
            <v>3814443.1933060358</v>
          </cell>
          <cell r="X112">
            <v>9041865.0126366373</v>
          </cell>
        </row>
        <row r="113">
          <cell r="L113">
            <v>4792663.8070931602</v>
          </cell>
          <cell r="M113">
            <v>6768276.8817590885</v>
          </cell>
          <cell r="N113">
            <v>9776482.3315969426</v>
          </cell>
          <cell r="O113">
            <v>23606648.510510989</v>
          </cell>
          <cell r="P113">
            <v>40027599.771887235</v>
          </cell>
          <cell r="T113">
            <v>632742.61448181875</v>
          </cell>
          <cell r="U113">
            <v>883336.87593000068</v>
          </cell>
          <cell r="V113">
            <v>1468068.5635230008</v>
          </cell>
          <cell r="W113">
            <v>3847105.4198753014</v>
          </cell>
          <cell r="X113">
            <v>9121648.4618628286</v>
          </cell>
        </row>
        <row r="114">
          <cell r="L114">
            <v>4909862.3360944092</v>
          </cell>
          <cell r="M114">
            <v>6947464.3326516803</v>
          </cell>
          <cell r="N114">
            <v>10042475.402475778</v>
          </cell>
          <cell r="O114">
            <v>24375121.209613688</v>
          </cell>
          <cell r="P114">
            <v>41848534.166985765</v>
          </cell>
          <cell r="T114">
            <v>637034.294849411</v>
          </cell>
          <cell r="U114">
            <v>889737.72433435218</v>
          </cell>
          <cell r="V114">
            <v>1479561.4967677875</v>
          </cell>
          <cell r="W114">
            <v>3879767.6464445665</v>
          </cell>
          <cell r="X114">
            <v>9201431.9110890217</v>
          </cell>
        </row>
        <row r="115">
          <cell r="L115">
            <v>5027060.8650956582</v>
          </cell>
          <cell r="M115">
            <v>7126651.7835442722</v>
          </cell>
          <cell r="N115">
            <v>10308468.473354613</v>
          </cell>
          <cell r="O115">
            <v>25143593.908716388</v>
          </cell>
          <cell r="P115">
            <v>43669468.562084295</v>
          </cell>
          <cell r="T115">
            <v>641325.97521700338</v>
          </cell>
          <cell r="U115">
            <v>896138.57273870369</v>
          </cell>
          <cell r="V115">
            <v>1491054.4300125742</v>
          </cell>
          <cell r="W115">
            <v>3912429.8730138317</v>
          </cell>
          <cell r="X115">
            <v>9281215.360315213</v>
          </cell>
        </row>
        <row r="116">
          <cell r="L116">
            <v>5144259.3940969072</v>
          </cell>
          <cell r="M116">
            <v>7305839.234436864</v>
          </cell>
          <cell r="N116">
            <v>10574461.544233449</v>
          </cell>
          <cell r="O116">
            <v>25912066.607819088</v>
          </cell>
          <cell r="P116">
            <v>45490402.957182825</v>
          </cell>
          <cell r="T116">
            <v>645617.65558459563</v>
          </cell>
          <cell r="U116">
            <v>902539.42114305531</v>
          </cell>
          <cell r="V116">
            <v>1502547.3632573609</v>
          </cell>
          <cell r="W116">
            <v>3945092.0995830973</v>
          </cell>
          <cell r="X116">
            <v>9360998.8095414061</v>
          </cell>
        </row>
        <row r="117">
          <cell r="L117">
            <v>5261457.9230981562</v>
          </cell>
          <cell r="M117">
            <v>7485026.6853294559</v>
          </cell>
          <cell r="N117">
            <v>10840454.615112284</v>
          </cell>
          <cell r="O117">
            <v>26680539.306921788</v>
          </cell>
          <cell r="P117">
            <v>47311337.352281354</v>
          </cell>
          <cell r="T117">
            <v>649909.33595218789</v>
          </cell>
          <cell r="U117">
            <v>908940.26954740682</v>
          </cell>
          <cell r="V117">
            <v>1514040.2965021476</v>
          </cell>
          <cell r="W117">
            <v>3977754.3261523624</v>
          </cell>
          <cell r="X117">
            <v>9440782.2587675974</v>
          </cell>
        </row>
        <row r="118">
          <cell r="L118">
            <v>5378656.4520994052</v>
          </cell>
          <cell r="M118">
            <v>7664214.1362220477</v>
          </cell>
          <cell r="N118">
            <v>11106447.68599112</v>
          </cell>
          <cell r="O118">
            <v>27449012.006024487</v>
          </cell>
          <cell r="P118">
            <v>49132271.747379884</v>
          </cell>
          <cell r="T118">
            <v>654201.01631978026</v>
          </cell>
          <cell r="U118">
            <v>915341.11795175832</v>
          </cell>
          <cell r="V118">
            <v>1525533.2297469343</v>
          </cell>
          <cell r="W118">
            <v>4010416.5527216275</v>
          </cell>
          <cell r="X118">
            <v>9520565.7079937886</v>
          </cell>
        </row>
        <row r="119">
          <cell r="L119">
            <v>5495854.9811006542</v>
          </cell>
          <cell r="M119">
            <v>7843401.5871146396</v>
          </cell>
          <cell r="N119">
            <v>11372440.756869955</v>
          </cell>
          <cell r="O119">
            <v>28217484.705127187</v>
          </cell>
          <cell r="P119">
            <v>50953206.142478414</v>
          </cell>
          <cell r="T119">
            <v>658492.69668737252</v>
          </cell>
          <cell r="U119">
            <v>921741.96635610983</v>
          </cell>
          <cell r="V119">
            <v>1537026.162991721</v>
          </cell>
          <cell r="W119">
            <v>4043078.7792908931</v>
          </cell>
          <cell r="X119">
            <v>9600349.1572199818</v>
          </cell>
        </row>
        <row r="120">
          <cell r="L120">
            <v>5613053.5101019032</v>
          </cell>
          <cell r="M120">
            <v>8022589.0380072314</v>
          </cell>
          <cell r="N120">
            <v>11638433.82774879</v>
          </cell>
          <cell r="O120">
            <v>28985957.404229887</v>
          </cell>
          <cell r="P120">
            <v>52774140.537576944</v>
          </cell>
          <cell r="T120">
            <v>662784.37705496477</v>
          </cell>
          <cell r="U120">
            <v>928142.81476046133</v>
          </cell>
          <cell r="V120">
            <v>1548519.0962365076</v>
          </cell>
          <cell r="W120">
            <v>4075741.0058601587</v>
          </cell>
          <cell r="X120">
            <v>9680132.606446173</v>
          </cell>
        </row>
        <row r="121">
          <cell r="L121">
            <v>5730252.0391031522</v>
          </cell>
          <cell r="M121">
            <v>8201776.4888998233</v>
          </cell>
          <cell r="N121">
            <v>11904426.898627626</v>
          </cell>
          <cell r="O121">
            <v>29754430.103332587</v>
          </cell>
          <cell r="P121">
            <v>54595074.932675473</v>
          </cell>
          <cell r="T121">
            <v>667076.05742255715</v>
          </cell>
          <cell r="U121">
            <v>934543.66316481284</v>
          </cell>
          <cell r="V121">
            <v>1560012.0294812943</v>
          </cell>
          <cell r="W121">
            <v>4108403.2324294238</v>
          </cell>
          <cell r="X121">
            <v>9759916.0556723643</v>
          </cell>
        </row>
        <row r="122">
          <cell r="L122">
            <v>5847450.5681044012</v>
          </cell>
          <cell r="M122">
            <v>8380963.9397924151</v>
          </cell>
          <cell r="N122">
            <v>12170419.969506461</v>
          </cell>
          <cell r="O122">
            <v>30522902.802435286</v>
          </cell>
          <cell r="P122">
            <v>56416009.327774003</v>
          </cell>
          <cell r="T122">
            <v>671367.7377901494</v>
          </cell>
          <cell r="U122">
            <v>940944.51156916446</v>
          </cell>
          <cell r="V122">
            <v>1571504.962726081</v>
          </cell>
          <cell r="W122">
            <v>4141065.4589986894</v>
          </cell>
          <cell r="X122">
            <v>9839699.5048985574</v>
          </cell>
        </row>
        <row r="123">
          <cell r="L123">
            <v>5964649.0971056502</v>
          </cell>
          <cell r="M123">
            <v>8560151.390685007</v>
          </cell>
          <cell r="N123">
            <v>12436413.040385297</v>
          </cell>
          <cell r="O123">
            <v>31291375.501537986</v>
          </cell>
          <cell r="P123">
            <v>58236943.722872533</v>
          </cell>
          <cell r="T123">
            <v>675659.41815774166</v>
          </cell>
          <cell r="U123">
            <v>947345.35997351597</v>
          </cell>
          <cell r="V123">
            <v>1582997.8959708677</v>
          </cell>
          <cell r="W123">
            <v>4173727.6855679546</v>
          </cell>
          <cell r="X123">
            <v>9919482.9541247487</v>
          </cell>
        </row>
        <row r="124">
          <cell r="L124">
            <v>6081847.6261068992</v>
          </cell>
          <cell r="M124">
            <v>8739338.8415775988</v>
          </cell>
          <cell r="N124">
            <v>12702406.111264132</v>
          </cell>
          <cell r="O124">
            <v>32059848.200640686</v>
          </cell>
          <cell r="P124">
            <v>60057878.117971063</v>
          </cell>
          <cell r="T124">
            <v>679951.09852533403</v>
          </cell>
          <cell r="U124">
            <v>953746.20837786747</v>
          </cell>
          <cell r="V124">
            <v>1594490.8292156544</v>
          </cell>
          <cell r="W124">
            <v>4206389.9121372197</v>
          </cell>
          <cell r="X124">
            <v>9999266.40335094</v>
          </cell>
        </row>
        <row r="125">
          <cell r="L125">
            <v>6199046.1551081482</v>
          </cell>
          <cell r="M125">
            <v>8918526.2924701907</v>
          </cell>
          <cell r="N125">
            <v>12968399.182142967</v>
          </cell>
          <cell r="O125">
            <v>32828320.899743386</v>
          </cell>
          <cell r="P125">
            <v>61878812.513069592</v>
          </cell>
          <cell r="T125">
            <v>684242.77889292629</v>
          </cell>
          <cell r="U125">
            <v>960147.05678221898</v>
          </cell>
          <cell r="V125">
            <v>1605983.7624604411</v>
          </cell>
          <cell r="W125">
            <v>4239052.1387064857</v>
          </cell>
          <cell r="X125">
            <v>10079049.852577131</v>
          </cell>
        </row>
        <row r="126">
          <cell r="L126">
            <v>6316244.6841093972</v>
          </cell>
          <cell r="M126">
            <v>9097713.7433627825</v>
          </cell>
          <cell r="N126">
            <v>13234392.253021803</v>
          </cell>
          <cell r="O126">
            <v>33596793.598846085</v>
          </cell>
          <cell r="P126">
            <v>63699746.908168122</v>
          </cell>
          <cell r="T126">
            <v>688534.45926051855</v>
          </cell>
          <cell r="U126">
            <v>966547.90518657048</v>
          </cell>
          <cell r="V126">
            <v>1617476.6957052278</v>
          </cell>
          <cell r="W126">
            <v>4271714.3652757509</v>
          </cell>
          <cell r="X126">
            <v>10158833.301803324</v>
          </cell>
        </row>
        <row r="127">
          <cell r="L127">
            <v>6433443.2131106462</v>
          </cell>
          <cell r="M127">
            <v>9276901.1942553744</v>
          </cell>
          <cell r="N127">
            <v>13500385.323900638</v>
          </cell>
          <cell r="O127">
            <v>34365266.297948785</v>
          </cell>
          <cell r="P127">
            <v>65520681.303266652</v>
          </cell>
          <cell r="T127">
            <v>692826.1396281108</v>
          </cell>
          <cell r="U127">
            <v>972948.7535909221</v>
          </cell>
          <cell r="V127">
            <v>1628969.6289500145</v>
          </cell>
          <cell r="W127">
            <v>4304376.591845016</v>
          </cell>
          <cell r="X127">
            <v>10238616.751029516</v>
          </cell>
        </row>
        <row r="128">
          <cell r="L128">
            <v>6550641.7421118952</v>
          </cell>
          <cell r="M128">
            <v>9456088.6451479662</v>
          </cell>
          <cell r="N128">
            <v>13766378.394779474</v>
          </cell>
          <cell r="O128">
            <v>35133738.997051485</v>
          </cell>
          <cell r="P128">
            <v>67341615.698365182</v>
          </cell>
          <cell r="T128">
            <v>697117.81999570318</v>
          </cell>
          <cell r="U128">
            <v>979349.60199527361</v>
          </cell>
          <cell r="V128">
            <v>1640462.5621948012</v>
          </cell>
          <cell r="W128">
            <v>4337038.8184142811</v>
          </cell>
          <cell r="X128">
            <v>10318400.200255709</v>
          </cell>
        </row>
        <row r="129">
          <cell r="L129">
            <v>6667840.2711131442</v>
          </cell>
          <cell r="M129">
            <v>9635276.0960405581</v>
          </cell>
          <cell r="N129">
            <v>14032371.465658309</v>
          </cell>
          <cell r="O129">
            <v>35902211.696154185</v>
          </cell>
          <cell r="P129">
            <v>69162550.093463719</v>
          </cell>
          <cell r="T129">
            <v>701409.50036329543</v>
          </cell>
          <cell r="U129">
            <v>985750.45039962512</v>
          </cell>
          <cell r="V129">
            <v>1651955.4954395879</v>
          </cell>
          <cell r="W129">
            <v>4369701.0449835472</v>
          </cell>
          <cell r="X129">
            <v>10398183.6494819</v>
          </cell>
        </row>
        <row r="130">
          <cell r="L130">
            <v>6785038.8001143932</v>
          </cell>
          <cell r="M130">
            <v>9814463.5469331499</v>
          </cell>
          <cell r="N130">
            <v>14298364.536537144</v>
          </cell>
          <cell r="O130">
            <v>36670684.395256884</v>
          </cell>
          <cell r="P130">
            <v>70983484.488562256</v>
          </cell>
          <cell r="T130">
            <v>705701.18073088769</v>
          </cell>
          <cell r="U130">
            <v>992151.29880397662</v>
          </cell>
          <cell r="V130">
            <v>1663448.4286843746</v>
          </cell>
          <cell r="W130">
            <v>4402363.2715528123</v>
          </cell>
          <cell r="X130">
            <v>10477967.098708091</v>
          </cell>
        </row>
        <row r="131">
          <cell r="L131">
            <v>6902237.3291156422</v>
          </cell>
          <cell r="M131">
            <v>9993650.9978257418</v>
          </cell>
          <cell r="N131">
            <v>14564357.60741598</v>
          </cell>
          <cell r="O131">
            <v>37439157.094359584</v>
          </cell>
          <cell r="P131">
            <v>72804418.883660793</v>
          </cell>
          <cell r="T131">
            <v>709992.86109847995</v>
          </cell>
          <cell r="U131">
            <v>998552.14720832813</v>
          </cell>
          <cell r="V131">
            <v>1674941.3619291612</v>
          </cell>
          <cell r="W131">
            <v>4435025.4981220774</v>
          </cell>
          <cell r="X131">
            <v>10557750.547934284</v>
          </cell>
        </row>
        <row r="132">
          <cell r="L132">
            <v>7019435.8581168912</v>
          </cell>
          <cell r="M132">
            <v>10172838.448718334</v>
          </cell>
          <cell r="N132">
            <v>14830350.678294815</v>
          </cell>
          <cell r="O132">
            <v>38207629.793462284</v>
          </cell>
          <cell r="P132">
            <v>74625353.278759331</v>
          </cell>
          <cell r="T132">
            <v>714284.54146607232</v>
          </cell>
          <cell r="U132">
            <v>1004952.9956126797</v>
          </cell>
          <cell r="V132">
            <v>1686434.2951739479</v>
          </cell>
          <cell r="W132">
            <v>4467687.7246913426</v>
          </cell>
          <cell r="X132">
            <v>10637533.997160476</v>
          </cell>
        </row>
        <row r="133">
          <cell r="L133">
            <v>7136634.3871181402</v>
          </cell>
          <cell r="M133">
            <v>10352025.899610925</v>
          </cell>
          <cell r="N133">
            <v>15096343.749173651</v>
          </cell>
          <cell r="O133">
            <v>38976102.492564984</v>
          </cell>
          <cell r="P133">
            <v>76446287.673857868</v>
          </cell>
          <cell r="T133">
            <v>718576.22183366457</v>
          </cell>
          <cell r="U133">
            <v>1011353.8440170313</v>
          </cell>
          <cell r="V133">
            <v>1697927.2284187346</v>
          </cell>
          <cell r="W133">
            <v>4500349.9512606086</v>
          </cell>
          <cell r="X133">
            <v>10717317.446386669</v>
          </cell>
        </row>
        <row r="134">
          <cell r="L134">
            <v>7253832.9161193892</v>
          </cell>
          <cell r="M134">
            <v>10531213.350503517</v>
          </cell>
          <cell r="N134">
            <v>15362336.820052486</v>
          </cell>
          <cell r="O134">
            <v>39744575.191667683</v>
          </cell>
          <cell r="P134">
            <v>78267222.068956405</v>
          </cell>
          <cell r="T134">
            <v>722867.90220125695</v>
          </cell>
          <cell r="U134">
            <v>1017754.6924213828</v>
          </cell>
          <cell r="V134">
            <v>1709420.1616635211</v>
          </cell>
          <cell r="W134">
            <v>4533012.1778298737</v>
          </cell>
          <cell r="X134">
            <v>10797100.89561286</v>
          </cell>
        </row>
        <row r="135">
          <cell r="L135">
            <v>7371031.4451206382</v>
          </cell>
          <cell r="M135">
            <v>10710400.801396109</v>
          </cell>
          <cell r="N135">
            <v>15628329.890931321</v>
          </cell>
          <cell r="O135">
            <v>40513047.890770383</v>
          </cell>
          <cell r="P135">
            <v>80088156.464054942</v>
          </cell>
          <cell r="T135">
            <v>727159.5825688492</v>
          </cell>
          <cell r="U135">
            <v>1024155.5408257343</v>
          </cell>
          <cell r="V135">
            <v>1720913.0949083078</v>
          </cell>
          <cell r="W135">
            <v>4565674.4043991389</v>
          </cell>
          <cell r="X135">
            <v>10876884.344839051</v>
          </cell>
        </row>
        <row r="136">
          <cell r="L136">
            <v>7488229.9741218872</v>
          </cell>
          <cell r="M136">
            <v>10889588.252288701</v>
          </cell>
          <cell r="N136">
            <v>15894322.961810157</v>
          </cell>
          <cell r="O136">
            <v>41281520.589873083</v>
          </cell>
          <cell r="P136">
            <v>81909090.859153479</v>
          </cell>
          <cell r="T136">
            <v>731451.26293644146</v>
          </cell>
          <cell r="U136">
            <v>1030556.3892300858</v>
          </cell>
          <cell r="V136">
            <v>1732406.0281530945</v>
          </cell>
          <cell r="W136">
            <v>4598336.630968404</v>
          </cell>
          <cell r="X136">
            <v>10956667.794065244</v>
          </cell>
        </row>
        <row r="137">
          <cell r="L137">
            <v>7605428.5031231362</v>
          </cell>
          <cell r="M137">
            <v>11068775.703181293</v>
          </cell>
          <cell r="N137">
            <v>16160316.032688992</v>
          </cell>
          <cell r="O137">
            <v>42049993.288975783</v>
          </cell>
          <cell r="P137">
            <v>83730025.254252017</v>
          </cell>
          <cell r="T137">
            <v>735742.94330403383</v>
          </cell>
          <cell r="U137">
            <v>1036957.2376344373</v>
          </cell>
          <cell r="V137">
            <v>1743898.9613978812</v>
          </cell>
          <cell r="W137">
            <v>4630998.8575376691</v>
          </cell>
          <cell r="X137">
            <v>11036451.243291436</v>
          </cell>
        </row>
        <row r="138">
          <cell r="L138">
            <v>7722627.0321243852</v>
          </cell>
          <cell r="M138">
            <v>11247963.154073885</v>
          </cell>
          <cell r="N138">
            <v>16426309.103567827</v>
          </cell>
          <cell r="O138">
            <v>42818465.988078482</v>
          </cell>
          <cell r="P138">
            <v>85550959.649350554</v>
          </cell>
          <cell r="T138">
            <v>740034.62367162609</v>
          </cell>
          <cell r="U138">
            <v>1043358.0860387889</v>
          </cell>
          <cell r="V138">
            <v>1755391.8946426678</v>
          </cell>
          <cell r="W138">
            <v>4663661.0841069352</v>
          </cell>
          <cell r="X138">
            <v>11116234.692517627</v>
          </cell>
        </row>
        <row r="139">
          <cell r="L139">
            <v>7839825.5611256342</v>
          </cell>
          <cell r="M139">
            <v>11427150.604966477</v>
          </cell>
          <cell r="N139">
            <v>16692302.174446663</v>
          </cell>
          <cell r="O139">
            <v>43586938.687181182</v>
          </cell>
          <cell r="P139">
            <v>87371894.044449091</v>
          </cell>
          <cell r="T139">
            <v>744326.30403921835</v>
          </cell>
          <cell r="U139">
            <v>1049758.9344431404</v>
          </cell>
          <cell r="V139">
            <v>1766884.8278874545</v>
          </cell>
          <cell r="W139">
            <v>4696323.3106762003</v>
          </cell>
          <cell r="X139">
            <v>11196018.14174382</v>
          </cell>
        </row>
        <row r="140">
          <cell r="L140">
            <v>7957024.0901268832</v>
          </cell>
          <cell r="M140">
            <v>11606338.055859068</v>
          </cell>
          <cell r="N140">
            <v>16958295.245325498</v>
          </cell>
          <cell r="O140">
            <v>44355411.386283882</v>
          </cell>
          <cell r="P140">
            <v>89192828.439547628</v>
          </cell>
          <cell r="T140">
            <v>748617.98440681072</v>
          </cell>
          <cell r="U140">
            <v>1056159.7828474918</v>
          </cell>
          <cell r="V140">
            <v>1778377.7611322412</v>
          </cell>
          <cell r="W140">
            <v>4728985.5372454654</v>
          </cell>
          <cell r="X140">
            <v>11275801.590970011</v>
          </cell>
        </row>
        <row r="141">
          <cell r="L141">
            <v>8074222.6191281322</v>
          </cell>
          <cell r="M141">
            <v>11785525.50675166</v>
          </cell>
          <cell r="N141">
            <v>17224288.316204332</v>
          </cell>
          <cell r="O141">
            <v>45123884.085386582</v>
          </cell>
          <cell r="P141">
            <v>91013762.834646165</v>
          </cell>
          <cell r="T141">
            <v>752909.66477440298</v>
          </cell>
          <cell r="U141">
            <v>1062560.6312518434</v>
          </cell>
          <cell r="V141">
            <v>1789870.6943770279</v>
          </cell>
          <cell r="W141">
            <v>4761647.7638147306</v>
          </cell>
          <cell r="X141">
            <v>11355585.040196203</v>
          </cell>
        </row>
        <row r="142">
          <cell r="L142">
            <v>8191421.1481293812</v>
          </cell>
          <cell r="M142">
            <v>11964712.957644252</v>
          </cell>
          <cell r="N142">
            <v>17490281.387083165</v>
          </cell>
          <cell r="O142">
            <v>45892356.784489281</v>
          </cell>
          <cell r="P142">
            <v>92834697.229744703</v>
          </cell>
          <cell r="T142">
            <v>757201.34514199523</v>
          </cell>
          <cell r="U142">
            <v>1068961.4796561948</v>
          </cell>
          <cell r="V142">
            <v>1801363.6276218146</v>
          </cell>
          <cell r="W142">
            <v>4794309.9903839957</v>
          </cell>
          <cell r="X142">
            <v>11435368.489422396</v>
          </cell>
        </row>
        <row r="143">
          <cell r="L143">
            <v>8308619.6771306302</v>
          </cell>
          <cell r="M143">
            <v>12143900.408536844</v>
          </cell>
          <cell r="N143">
            <v>17756274.457961999</v>
          </cell>
          <cell r="O143">
            <v>46660829.483591981</v>
          </cell>
          <cell r="P143">
            <v>94655631.62484324</v>
          </cell>
          <cell r="T143">
            <v>761493.02550958761</v>
          </cell>
          <cell r="U143">
            <v>1075362.3280605464</v>
          </cell>
          <cell r="V143">
            <v>1812856.5608666013</v>
          </cell>
          <cell r="W143">
            <v>4826972.2169532618</v>
          </cell>
          <cell r="X143">
            <v>11515151.938648587</v>
          </cell>
        </row>
        <row r="144">
          <cell r="L144">
            <v>8425818.2061318792</v>
          </cell>
          <cell r="M144">
            <v>12323087.859429436</v>
          </cell>
          <cell r="N144">
            <v>18022267.528840832</v>
          </cell>
          <cell r="O144">
            <v>47429302.182694681</v>
          </cell>
          <cell r="P144">
            <v>96476566.019941777</v>
          </cell>
          <cell r="T144">
            <v>765784.70587717986</v>
          </cell>
          <cell r="U144">
            <v>1081763.176464898</v>
          </cell>
          <cell r="V144">
            <v>1824349.494111388</v>
          </cell>
          <cell r="W144">
            <v>4859634.4435225269</v>
          </cell>
          <cell r="X144">
            <v>11594935.387874778</v>
          </cell>
        </row>
        <row r="145">
          <cell r="L145">
            <v>8543016.7351331282</v>
          </cell>
          <cell r="M145">
            <v>12502275.310322028</v>
          </cell>
          <cell r="N145">
            <v>18288260.599719666</v>
          </cell>
          <cell r="O145">
            <v>48197774.881797381</v>
          </cell>
          <cell r="P145">
            <v>98297500.415040314</v>
          </cell>
          <cell r="T145">
            <v>770076.38624477212</v>
          </cell>
          <cell r="U145">
            <v>1088164.0248692494</v>
          </cell>
          <cell r="V145">
            <v>1835842.4273561747</v>
          </cell>
          <cell r="W145">
            <v>4892296.670091792</v>
          </cell>
          <cell r="X145">
            <v>11674718.837100971</v>
          </cell>
        </row>
        <row r="146">
          <cell r="L146">
            <v>8660215.2641343772</v>
          </cell>
          <cell r="M146">
            <v>12681462.76121462</v>
          </cell>
          <cell r="N146">
            <v>18554253.670598499</v>
          </cell>
          <cell r="O146">
            <v>48966247.580900081</v>
          </cell>
          <cell r="P146">
            <v>100118434.81013885</v>
          </cell>
          <cell r="T146">
            <v>774368.06661236449</v>
          </cell>
          <cell r="U146">
            <v>1094564.8732736011</v>
          </cell>
          <cell r="V146">
            <v>1847335.3606009614</v>
          </cell>
          <cell r="W146">
            <v>4924958.8966610571</v>
          </cell>
          <cell r="X146">
            <v>11754502.286327163</v>
          </cell>
        </row>
        <row r="147">
          <cell r="L147">
            <v>8777413.7931356262</v>
          </cell>
          <cell r="M147">
            <v>12860650.212107211</v>
          </cell>
          <cell r="N147">
            <v>18820246.741477333</v>
          </cell>
          <cell r="O147">
            <v>49734720.28000278</v>
          </cell>
          <cell r="P147">
            <v>101939369.20523739</v>
          </cell>
          <cell r="T147">
            <v>778659.74697995675</v>
          </cell>
          <cell r="U147">
            <v>1100965.7216779524</v>
          </cell>
          <cell r="V147">
            <v>1858828.2938457481</v>
          </cell>
          <cell r="W147">
            <v>4957621.1232303232</v>
          </cell>
          <cell r="X147">
            <v>11834285.735553354</v>
          </cell>
        </row>
        <row r="148">
          <cell r="L148">
            <v>8894612.3221368752</v>
          </cell>
          <cell r="M148">
            <v>13039837.662999803</v>
          </cell>
          <cell r="N148">
            <v>19086239.812356167</v>
          </cell>
          <cell r="O148">
            <v>50503192.97910548</v>
          </cell>
          <cell r="P148">
            <v>103760303.60033593</v>
          </cell>
          <cell r="T148">
            <v>782951.427347549</v>
          </cell>
          <cell r="U148">
            <v>1107366.5700823041</v>
          </cell>
          <cell r="V148">
            <v>1870321.2270905348</v>
          </cell>
          <cell r="W148">
            <v>4990283.3497995883</v>
          </cell>
          <cell r="X148">
            <v>11914069.184779547</v>
          </cell>
        </row>
        <row r="149">
          <cell r="L149">
            <v>9011810.8511381242</v>
          </cell>
          <cell r="M149">
            <v>13219025.113892395</v>
          </cell>
          <cell r="N149">
            <v>19352232.883235</v>
          </cell>
          <cell r="O149">
            <v>51271665.67820818</v>
          </cell>
          <cell r="P149">
            <v>105581237.99543446</v>
          </cell>
          <cell r="T149">
            <v>787243.10771514126</v>
          </cell>
          <cell r="U149">
            <v>1113767.4184866555</v>
          </cell>
          <cell r="V149">
            <v>1881814.1603353214</v>
          </cell>
          <cell r="W149">
            <v>5022945.5763688534</v>
          </cell>
          <cell r="X149">
            <v>11993852.634005738</v>
          </cell>
        </row>
        <row r="150">
          <cell r="L150">
            <v>9129009.3801393732</v>
          </cell>
          <cell r="M150">
            <v>13398212.564784987</v>
          </cell>
          <cell r="N150">
            <v>19618225.954113834</v>
          </cell>
          <cell r="O150">
            <v>52040138.37731088</v>
          </cell>
          <cell r="P150">
            <v>107402172.390533</v>
          </cell>
          <cell r="T150">
            <v>791534.78808273363</v>
          </cell>
          <cell r="U150">
            <v>1120168.2668910071</v>
          </cell>
          <cell r="V150">
            <v>1893307.0935801081</v>
          </cell>
          <cell r="W150">
            <v>5055607.8029381186</v>
          </cell>
          <cell r="X150">
            <v>12073636.08323193</v>
          </cell>
        </row>
        <row r="151">
          <cell r="L151">
            <v>9246207.9091406222</v>
          </cell>
          <cell r="M151">
            <v>13577400.015677579</v>
          </cell>
          <cell r="N151">
            <v>19884219.024992667</v>
          </cell>
          <cell r="O151">
            <v>52808611.076413579</v>
          </cell>
          <cell r="P151">
            <v>109223106.78563154</v>
          </cell>
          <cell r="T151">
            <v>795826.46845032589</v>
          </cell>
          <cell r="U151">
            <v>1126569.1152953585</v>
          </cell>
          <cell r="V151">
            <v>1904800.0268248948</v>
          </cell>
          <cell r="W151">
            <v>5088270.0295073837</v>
          </cell>
          <cell r="X151">
            <v>12153419.532458123</v>
          </cell>
        </row>
        <row r="152">
          <cell r="L152">
            <v>9363406.4381418712</v>
          </cell>
          <cell r="M152">
            <v>13756587.466570171</v>
          </cell>
          <cell r="N152">
            <v>20150212.095871501</v>
          </cell>
          <cell r="O152">
            <v>53577083.775516279</v>
          </cell>
          <cell r="P152">
            <v>111044041.18073007</v>
          </cell>
          <cell r="T152">
            <v>800118.14881791826</v>
          </cell>
          <cell r="U152">
            <v>1132969.9636997101</v>
          </cell>
          <cell r="V152">
            <v>1916292.9600696815</v>
          </cell>
          <cell r="W152">
            <v>5120932.2560766498</v>
          </cell>
          <cell r="X152">
            <v>12233202.981684314</v>
          </cell>
        </row>
        <row r="153">
          <cell r="L153">
            <v>9480604.9671431202</v>
          </cell>
          <cell r="M153">
            <v>13935774.917462762</v>
          </cell>
          <cell r="N153">
            <v>20416205.166750334</v>
          </cell>
          <cell r="O153">
            <v>54345556.474618979</v>
          </cell>
          <cell r="P153">
            <v>112864975.57582861</v>
          </cell>
          <cell r="T153">
            <v>804409.82918551052</v>
          </cell>
          <cell r="U153">
            <v>1139370.8121040617</v>
          </cell>
          <cell r="V153">
            <v>1927785.8933144682</v>
          </cell>
          <cell r="W153">
            <v>5153594.4826459149</v>
          </cell>
          <cell r="X153">
            <v>12312986.430910505</v>
          </cell>
        </row>
        <row r="154">
          <cell r="L154">
            <v>9597803.4961443692</v>
          </cell>
          <cell r="M154">
            <v>14114962.368355354</v>
          </cell>
          <cell r="N154">
            <v>20682198.237629168</v>
          </cell>
          <cell r="O154">
            <v>55114029.173721679</v>
          </cell>
          <cell r="P154">
            <v>114685909.97092715</v>
          </cell>
          <cell r="T154">
            <v>808701.50955310278</v>
          </cell>
          <cell r="U154">
            <v>1145771.6605084131</v>
          </cell>
          <cell r="V154">
            <v>1939278.8265592547</v>
          </cell>
          <cell r="W154">
            <v>5186256.70921518</v>
          </cell>
          <cell r="X154">
            <v>12392769.880136698</v>
          </cell>
        </row>
        <row r="155">
          <cell r="L155">
            <v>9715002.0251456182</v>
          </cell>
          <cell r="M155">
            <v>14294149.819247946</v>
          </cell>
          <cell r="N155">
            <v>20948191.308508001</v>
          </cell>
          <cell r="O155">
            <v>55882501.872824378</v>
          </cell>
          <cell r="P155">
            <v>116506844.36602569</v>
          </cell>
          <cell r="T155">
            <v>812993.18992069515</v>
          </cell>
          <cell r="U155">
            <v>1152172.5089127647</v>
          </cell>
          <cell r="V155">
            <v>1950771.7598040414</v>
          </cell>
          <cell r="W155">
            <v>5218918.9357844451</v>
          </cell>
          <cell r="X155">
            <v>12472553.32936289</v>
          </cell>
        </row>
        <row r="156">
          <cell r="L156">
            <v>9832200.5541468672</v>
          </cell>
          <cell r="M156">
            <v>14473337.270140538</v>
          </cell>
          <cell r="N156">
            <v>21214184.379386835</v>
          </cell>
          <cell r="O156">
            <v>56650974.571927078</v>
          </cell>
          <cell r="P156">
            <v>118327778.76112422</v>
          </cell>
          <cell r="T156">
            <v>817284.87028828741</v>
          </cell>
          <cell r="U156">
            <v>1158573.3573171163</v>
          </cell>
          <cell r="V156">
            <v>1962264.693048828</v>
          </cell>
          <cell r="W156">
            <v>5251581.1623537112</v>
          </cell>
          <cell r="X156">
            <v>12552336.778589081</v>
          </cell>
        </row>
        <row r="157">
          <cell r="L157">
            <v>9949399.0831481162</v>
          </cell>
          <cell r="M157">
            <v>14652524.72103313</v>
          </cell>
          <cell r="N157">
            <v>21480177.450265668</v>
          </cell>
          <cell r="O157">
            <v>57419447.271029778</v>
          </cell>
          <cell r="P157">
            <v>120148713.15622276</v>
          </cell>
          <cell r="T157">
            <v>821576.55065587978</v>
          </cell>
          <cell r="U157">
            <v>1164974.2057214677</v>
          </cell>
          <cell r="V157">
            <v>1973757.6262936147</v>
          </cell>
          <cell r="W157">
            <v>5284243.3889229763</v>
          </cell>
          <cell r="X157">
            <v>12632120.227815274</v>
          </cell>
        </row>
        <row r="158">
          <cell r="L158">
            <v>10066597.612149365</v>
          </cell>
          <cell r="M158">
            <v>14831712.171925722</v>
          </cell>
          <cell r="N158">
            <v>21746170.521144502</v>
          </cell>
          <cell r="O158">
            <v>58187919.970132478</v>
          </cell>
          <cell r="P158">
            <v>121969647.5513213</v>
          </cell>
          <cell r="T158">
            <v>825868.23102347204</v>
          </cell>
          <cell r="U158">
            <v>1171375.0541258194</v>
          </cell>
          <cell r="V158">
            <v>1985250.5595384014</v>
          </cell>
          <cell r="W158">
            <v>5316905.6154922415</v>
          </cell>
          <cell r="X158">
            <v>12711903.677041465</v>
          </cell>
        </row>
        <row r="159">
          <cell r="L159">
            <v>10183796.141150614</v>
          </cell>
          <cell r="M159">
            <v>15010899.622818314</v>
          </cell>
          <cell r="N159">
            <v>22012163.592023335</v>
          </cell>
          <cell r="O159">
            <v>58956392.669235177</v>
          </cell>
          <cell r="P159">
            <v>123790581.94641984</v>
          </cell>
          <cell r="T159">
            <v>830159.91139106429</v>
          </cell>
          <cell r="U159">
            <v>1177775.902530171</v>
          </cell>
          <cell r="V159">
            <v>1996743.4927831881</v>
          </cell>
          <cell r="W159">
            <v>5349567.8420615066</v>
          </cell>
          <cell r="X159">
            <v>12791687.126267657</v>
          </cell>
        </row>
        <row r="160">
          <cell r="L160">
            <v>10300994.670151863</v>
          </cell>
          <cell r="M160">
            <v>15190087.073710905</v>
          </cell>
          <cell r="N160">
            <v>22278156.662902169</v>
          </cell>
          <cell r="O160">
            <v>59724865.368337877</v>
          </cell>
          <cell r="P160">
            <v>125611516.34151837</v>
          </cell>
          <cell r="T160">
            <v>834451.59175865666</v>
          </cell>
          <cell r="U160">
            <v>1184176.7509345224</v>
          </cell>
          <cell r="V160">
            <v>2008236.4260279748</v>
          </cell>
          <cell r="W160">
            <v>5382230.0686307726</v>
          </cell>
          <cell r="X160">
            <v>12871470.57549385</v>
          </cell>
        </row>
        <row r="161">
          <cell r="L161">
            <v>10418193.199153112</v>
          </cell>
          <cell r="M161">
            <v>15369274.524603497</v>
          </cell>
          <cell r="N161">
            <v>22544149.733781002</v>
          </cell>
          <cell r="O161">
            <v>60493338.067440577</v>
          </cell>
          <cell r="P161">
            <v>127432450.73661691</v>
          </cell>
          <cell r="T161">
            <v>838743.27212624892</v>
          </cell>
          <cell r="U161">
            <v>1190577.599338874</v>
          </cell>
          <cell r="V161">
            <v>2019729.3592727615</v>
          </cell>
          <cell r="W161">
            <v>5414892.2952000378</v>
          </cell>
          <cell r="X161">
            <v>12951254.024720041</v>
          </cell>
        </row>
        <row r="162">
          <cell r="L162">
            <v>10535391.728154361</v>
          </cell>
          <cell r="M162">
            <v>15548461.975496089</v>
          </cell>
          <cell r="N162">
            <v>22810142.804659836</v>
          </cell>
          <cell r="O162">
            <v>61261810.766543277</v>
          </cell>
          <cell r="P162">
            <v>129253385.13171545</v>
          </cell>
          <cell r="T162">
            <v>843034.95249384118</v>
          </cell>
          <cell r="U162">
            <v>1196978.4477432254</v>
          </cell>
          <cell r="V162">
            <v>2031222.2925175482</v>
          </cell>
          <cell r="W162">
            <v>5447554.5217693029</v>
          </cell>
          <cell r="X162">
            <v>13031037.473946234</v>
          </cell>
        </row>
        <row r="163">
          <cell r="L163">
            <v>10652590.25715561</v>
          </cell>
          <cell r="M163">
            <v>15727649.426388681</v>
          </cell>
          <cell r="N163">
            <v>23076135.87553867</v>
          </cell>
          <cell r="O163">
            <v>62030283.465645976</v>
          </cell>
          <cell r="P163">
            <v>131074319.52681398</v>
          </cell>
          <cell r="T163">
            <v>847326.63286143355</v>
          </cell>
          <cell r="U163">
            <v>1203379.296147577</v>
          </cell>
          <cell r="V163">
            <v>2042715.2257623349</v>
          </cell>
          <cell r="W163">
            <v>5480216.748338568</v>
          </cell>
          <cell r="X163">
            <v>13110820.923172425</v>
          </cell>
        </row>
        <row r="164">
          <cell r="T164">
            <v>851618.31322902581</v>
          </cell>
          <cell r="U164">
            <v>1209780.1445519286</v>
          </cell>
          <cell r="V164">
            <v>2054208.1590071216</v>
          </cell>
          <cell r="W164">
            <v>5512878.9749078341</v>
          </cell>
          <cell r="X164">
            <v>13190604.372398617</v>
          </cell>
        </row>
        <row r="165">
          <cell r="T165">
            <v>855909.99359661806</v>
          </cell>
          <cell r="U165">
            <v>1216180.99295628</v>
          </cell>
          <cell r="V165">
            <v>2065701.092251908</v>
          </cell>
          <cell r="W165">
            <v>5545541.2014770992</v>
          </cell>
          <cell r="X165">
            <v>13270387.821624808</v>
          </cell>
        </row>
        <row r="166">
          <cell r="T166">
            <v>860201.67396421044</v>
          </cell>
          <cell r="U166">
            <v>1222581.8413606316</v>
          </cell>
          <cell r="V166">
            <v>2077194.0254966947</v>
          </cell>
          <cell r="W166">
            <v>5578203.4280463643</v>
          </cell>
          <cell r="X166">
            <v>13350171.270851001</v>
          </cell>
        </row>
        <row r="167">
          <cell r="T167">
            <v>864493.35433180269</v>
          </cell>
          <cell r="U167">
            <v>1228982.689764983</v>
          </cell>
          <cell r="V167">
            <v>2088686.9587414814</v>
          </cell>
          <cell r="W167">
            <v>5610865.6546156295</v>
          </cell>
          <cell r="X167">
            <v>13429954.720077192</v>
          </cell>
        </row>
        <row r="168">
          <cell r="T168">
            <v>868785.03469939495</v>
          </cell>
          <cell r="U168">
            <v>1235383.5381693346</v>
          </cell>
          <cell r="V168">
            <v>2100179.8919862681</v>
          </cell>
          <cell r="W168">
            <v>5643527.8811848946</v>
          </cell>
          <cell r="X168">
            <v>13509738.169303384</v>
          </cell>
        </row>
        <row r="169">
          <cell r="T169">
            <v>873076.71506698732</v>
          </cell>
          <cell r="U169">
            <v>1241784.3865736863</v>
          </cell>
          <cell r="V169">
            <v>2111672.8252310548</v>
          </cell>
          <cell r="W169">
            <v>5676190.1077541607</v>
          </cell>
          <cell r="X169">
            <v>13589521.618529575</v>
          </cell>
        </row>
        <row r="170">
          <cell r="T170">
            <v>877368.39543457958</v>
          </cell>
          <cell r="U170">
            <v>1248185.2349780377</v>
          </cell>
          <cell r="V170">
            <v>2123165.7584758415</v>
          </cell>
          <cell r="W170">
            <v>5708852.3343234258</v>
          </cell>
          <cell r="X170">
            <v>13669305.067755768</v>
          </cell>
        </row>
        <row r="171">
          <cell r="T171">
            <v>881660.2218844234</v>
          </cell>
          <cell r="U171">
            <v>1254586.0833823893</v>
          </cell>
          <cell r="V171">
            <v>2134658.6917206282</v>
          </cell>
          <cell r="W171">
            <v>5741514.5608926909</v>
          </cell>
          <cell r="X171">
            <v>13749088.516981959</v>
          </cell>
        </row>
        <row r="172">
          <cell r="T172">
            <v>885953.32069953112</v>
          </cell>
          <cell r="U172">
            <v>1260986.9317867407</v>
          </cell>
          <cell r="V172">
            <v>2146159.8725496894</v>
          </cell>
          <cell r="W172">
            <v>5774176.787461956</v>
          </cell>
          <cell r="X172">
            <v>13828871.966208151</v>
          </cell>
        </row>
        <row r="173">
          <cell r="T173">
            <v>890246.41951463884</v>
          </cell>
          <cell r="U173">
            <v>1267387.7801910923</v>
          </cell>
          <cell r="V173">
            <v>2157683.9714066996</v>
          </cell>
          <cell r="W173">
            <v>5806839.0140312212</v>
          </cell>
          <cell r="X173">
            <v>13908655.415434344</v>
          </cell>
        </row>
        <row r="174">
          <cell r="T174">
            <v>894539.51832974656</v>
          </cell>
          <cell r="U174">
            <v>1273788.6285954437</v>
          </cell>
          <cell r="V174">
            <v>2169208.0702637094</v>
          </cell>
          <cell r="W174">
            <v>5839501.2406004872</v>
          </cell>
          <cell r="X174">
            <v>13988438.864660535</v>
          </cell>
        </row>
        <row r="175">
          <cell r="T175">
            <v>898832.61714485427</v>
          </cell>
          <cell r="U175">
            <v>1280189.4769997953</v>
          </cell>
          <cell r="V175">
            <v>2180732.1691207192</v>
          </cell>
          <cell r="W175">
            <v>5872163.4671697523</v>
          </cell>
          <cell r="X175">
            <v>14068222.313886726</v>
          </cell>
        </row>
        <row r="176">
          <cell r="T176">
            <v>903125.71595996199</v>
          </cell>
          <cell r="U176">
            <v>1286590.3254041469</v>
          </cell>
          <cell r="V176">
            <v>2192256.2679777294</v>
          </cell>
          <cell r="W176">
            <v>5904837.5244390359</v>
          </cell>
          <cell r="X176">
            <v>14148005.763112919</v>
          </cell>
        </row>
        <row r="177">
          <cell r="T177">
            <v>907418.81477506971</v>
          </cell>
          <cell r="U177">
            <v>1292991.1738084983</v>
          </cell>
          <cell r="V177">
            <v>2203780.3668347392</v>
          </cell>
          <cell r="W177">
            <v>5938023.495670788</v>
          </cell>
          <cell r="X177">
            <v>14227789.212339111</v>
          </cell>
        </row>
        <row r="178">
          <cell r="T178">
            <v>911711.91359017743</v>
          </cell>
          <cell r="U178">
            <v>1299392.0222128499</v>
          </cell>
          <cell r="V178">
            <v>2215304.465691749</v>
          </cell>
          <cell r="W178">
            <v>5971209.4669025401</v>
          </cell>
          <cell r="X178">
            <v>14307572.661565304</v>
          </cell>
        </row>
        <row r="179">
          <cell r="T179">
            <v>916005.01240528515</v>
          </cell>
          <cell r="U179">
            <v>1305792.8706172013</v>
          </cell>
          <cell r="V179">
            <v>2226828.5645487593</v>
          </cell>
          <cell r="W179">
            <v>6004395.4381342921</v>
          </cell>
          <cell r="X179">
            <v>14387356.110791495</v>
          </cell>
        </row>
        <row r="180">
          <cell r="T180">
            <v>920298.11122039286</v>
          </cell>
          <cell r="U180">
            <v>1312193.7190215529</v>
          </cell>
          <cell r="V180">
            <v>2238352.663405769</v>
          </cell>
          <cell r="W180">
            <v>6037581.4093660442</v>
          </cell>
          <cell r="X180">
            <v>14467139.560017686</v>
          </cell>
        </row>
        <row r="181">
          <cell r="T181">
            <v>924591.2100355007</v>
          </cell>
          <cell r="U181">
            <v>1318594.5674259046</v>
          </cell>
          <cell r="V181">
            <v>2249876.7622627793</v>
          </cell>
          <cell r="W181">
            <v>6070767.3805977963</v>
          </cell>
          <cell r="X181">
            <v>14546923.009243879</v>
          </cell>
        </row>
        <row r="182">
          <cell r="T182">
            <v>928884.30885060842</v>
          </cell>
          <cell r="U182">
            <v>1324995.415830256</v>
          </cell>
          <cell r="V182">
            <v>2261400.8611197891</v>
          </cell>
          <cell r="W182">
            <v>6103953.3518295484</v>
          </cell>
          <cell r="X182">
            <v>14626706.458470071</v>
          </cell>
        </row>
        <row r="183">
          <cell r="T183">
            <v>933177.40766571613</v>
          </cell>
          <cell r="U183">
            <v>1332194.7759369218</v>
          </cell>
          <cell r="V183">
            <v>2272924.9599767989</v>
          </cell>
          <cell r="W183">
            <v>6137139.3230613004</v>
          </cell>
          <cell r="X183">
            <v>14706774.339036958</v>
          </cell>
        </row>
        <row r="184">
          <cell r="T184">
            <v>938341.18899005547</v>
          </cell>
          <cell r="U184">
            <v>1339507.5136248113</v>
          </cell>
          <cell r="V184">
            <v>2285142.8386779674</v>
          </cell>
          <cell r="W184">
            <v>6170325.2942930525</v>
          </cell>
          <cell r="X184">
            <v>14787837.370170264</v>
          </cell>
        </row>
        <row r="185">
          <cell r="T185">
            <v>943522.13776683144</v>
          </cell>
          <cell r="U185">
            <v>1346820.2513127008</v>
          </cell>
          <cell r="V185">
            <v>2297711.7866978664</v>
          </cell>
          <cell r="W185">
            <v>6203511.2655248046</v>
          </cell>
          <cell r="X185">
            <v>14868900.401303571</v>
          </cell>
        </row>
        <row r="186">
          <cell r="T186">
            <v>948703.08654360741</v>
          </cell>
          <cell r="U186">
            <v>1354132.9890005903</v>
          </cell>
          <cell r="V186">
            <v>2310280.7347177654</v>
          </cell>
          <cell r="W186">
            <v>6236697.2367565567</v>
          </cell>
          <cell r="X186">
            <v>14949963.432436878</v>
          </cell>
        </row>
        <row r="187">
          <cell r="T187">
            <v>953884.0353203835</v>
          </cell>
          <cell r="U187">
            <v>1361445.7266884798</v>
          </cell>
          <cell r="V187">
            <v>2322849.6827376643</v>
          </cell>
          <cell r="W187">
            <v>6269883.2079883087</v>
          </cell>
          <cell r="X187">
            <v>15031026.463570185</v>
          </cell>
        </row>
        <row r="188">
          <cell r="T188">
            <v>959064.98409715947</v>
          </cell>
          <cell r="U188">
            <v>1368758.464376369</v>
          </cell>
          <cell r="V188">
            <v>2335418.6307575633</v>
          </cell>
          <cell r="W188">
            <v>6303069.1792200617</v>
          </cell>
          <cell r="X188">
            <v>15112089.49470349</v>
          </cell>
        </row>
        <row r="189">
          <cell r="T189">
            <v>964245.93287393544</v>
          </cell>
          <cell r="U189">
            <v>1376071.2020642585</v>
          </cell>
          <cell r="V189">
            <v>2347987.5787774622</v>
          </cell>
          <cell r="W189">
            <v>6336536.3366552088</v>
          </cell>
          <cell r="X189">
            <v>15193152.525836797</v>
          </cell>
        </row>
        <row r="190">
          <cell r="T190">
            <v>969426.88165071153</v>
          </cell>
          <cell r="U190">
            <v>1383383.939752148</v>
          </cell>
          <cell r="V190">
            <v>2360556.5267973612</v>
          </cell>
          <cell r="W190">
            <v>6370382.1794770975</v>
          </cell>
          <cell r="X190">
            <v>15274215.556970105</v>
          </cell>
        </row>
        <row r="191">
          <cell r="T191">
            <v>974607.8304274875</v>
          </cell>
          <cell r="U191">
            <v>1390696.6774400375</v>
          </cell>
          <cell r="V191">
            <v>2373125.4748172602</v>
          </cell>
          <cell r="W191">
            <v>6404228.0222989861</v>
          </cell>
          <cell r="X191">
            <v>15355278.58810341</v>
          </cell>
        </row>
        <row r="192">
          <cell r="T192">
            <v>979788.77920426358</v>
          </cell>
          <cell r="U192">
            <v>1398009.415127927</v>
          </cell>
          <cell r="V192">
            <v>2385694.4228371591</v>
          </cell>
          <cell r="W192">
            <v>6438073.8651208747</v>
          </cell>
          <cell r="X192">
            <v>15436341.619236717</v>
          </cell>
        </row>
        <row r="193">
          <cell r="T193">
            <v>984969.72798103956</v>
          </cell>
          <cell r="U193">
            <v>1405322.1528158165</v>
          </cell>
          <cell r="V193">
            <v>2398263.3708570581</v>
          </cell>
          <cell r="W193">
            <v>6471919.7079427643</v>
          </cell>
          <cell r="X193">
            <v>15517404.650370024</v>
          </cell>
        </row>
        <row r="194">
          <cell r="T194">
            <v>990150.67675781553</v>
          </cell>
          <cell r="U194">
            <v>1412634.8905037057</v>
          </cell>
          <cell r="V194">
            <v>2410832.3188769571</v>
          </cell>
          <cell r="W194">
            <v>6505765.5507646529</v>
          </cell>
          <cell r="X194">
            <v>15598467.681503331</v>
          </cell>
        </row>
        <row r="195">
          <cell r="T195">
            <v>995331.62553459161</v>
          </cell>
          <cell r="U195">
            <v>1419947.6281915952</v>
          </cell>
          <cell r="V195">
            <v>2423401.266896856</v>
          </cell>
          <cell r="W195">
            <v>6539611.3935865415</v>
          </cell>
          <cell r="X195">
            <v>15679530.712636637</v>
          </cell>
        </row>
        <row r="196">
          <cell r="T196">
            <v>1000512.5743113676</v>
          </cell>
          <cell r="U196">
            <v>1427323.8317425046</v>
          </cell>
          <cell r="V196">
            <v>2435970.214916755</v>
          </cell>
          <cell r="W196">
            <v>6573457.2364084302</v>
          </cell>
          <cell r="X196">
            <v>15760600.460049273</v>
          </cell>
        </row>
        <row r="197">
          <cell r="T197">
            <v>1005693.5230881436</v>
          </cell>
          <cell r="U197">
            <v>1434702.8753969581</v>
          </cell>
          <cell r="V197">
            <v>2448539.1629366539</v>
          </cell>
          <cell r="W197">
            <v>6607303.0792303197</v>
          </cell>
          <cell r="X197">
            <v>15841685.88715335</v>
          </cell>
        </row>
        <row r="198">
          <cell r="T198">
            <v>1010874.4718649196</v>
          </cell>
          <cell r="U198">
            <v>1442081.9190514118</v>
          </cell>
          <cell r="V198">
            <v>2461108.1109565534</v>
          </cell>
          <cell r="W198">
            <v>6641148.9220522083</v>
          </cell>
          <cell r="X198">
            <v>15922771.314257428</v>
          </cell>
        </row>
        <row r="199">
          <cell r="T199">
            <v>1016055.4206416956</v>
          </cell>
          <cell r="U199">
            <v>1449460.9627058655</v>
          </cell>
          <cell r="V199">
            <v>2473677.0589764523</v>
          </cell>
          <cell r="W199">
            <v>6674994.764874097</v>
          </cell>
          <cell r="X199">
            <v>16003856.741361506</v>
          </cell>
        </row>
        <row r="200">
          <cell r="T200">
            <v>1021236.3694184717</v>
          </cell>
          <cell r="U200">
            <v>1456840.006360319</v>
          </cell>
          <cell r="V200">
            <v>2486246.0069963513</v>
          </cell>
          <cell r="W200">
            <v>6708840.6076959856</v>
          </cell>
          <cell r="X200">
            <v>16084942.168465585</v>
          </cell>
        </row>
        <row r="201">
          <cell r="T201">
            <v>1026417.3181952477</v>
          </cell>
          <cell r="U201">
            <v>1464219.0500147727</v>
          </cell>
          <cell r="V201">
            <v>2498814.9550162503</v>
          </cell>
          <cell r="W201">
            <v>6742686.4505178751</v>
          </cell>
          <cell r="X201">
            <v>16166027.595569661</v>
          </cell>
        </row>
        <row r="202">
          <cell r="T202">
            <v>1031598.2669720236</v>
          </cell>
          <cell r="U202">
            <v>1471598.0936692264</v>
          </cell>
          <cell r="V202">
            <v>2511383.9030361492</v>
          </cell>
          <cell r="W202">
            <v>6776532.2933397638</v>
          </cell>
          <cell r="X202">
            <v>16247113.022673739</v>
          </cell>
        </row>
        <row r="203">
          <cell r="T203">
            <v>1036779.2157487997</v>
          </cell>
          <cell r="U203">
            <v>1478977.1373236799</v>
          </cell>
          <cell r="V203">
            <v>2523952.8510560482</v>
          </cell>
          <cell r="W203">
            <v>6810378.1361616524</v>
          </cell>
          <cell r="X203">
            <v>16328198.449777817</v>
          </cell>
        </row>
        <row r="204">
          <cell r="T204">
            <v>1041960.1645255757</v>
          </cell>
          <cell r="U204">
            <v>1486356.1809781336</v>
          </cell>
          <cell r="V204">
            <v>2536521.7990759471</v>
          </cell>
          <cell r="W204">
            <v>6844223.978983542</v>
          </cell>
          <cell r="X204">
            <v>16409283.876881896</v>
          </cell>
        </row>
        <row r="205">
          <cell r="T205">
            <v>1047141.1133023518</v>
          </cell>
          <cell r="U205">
            <v>1493735.2246325873</v>
          </cell>
          <cell r="V205">
            <v>2549090.7470958461</v>
          </cell>
          <cell r="W205">
            <v>6878069.8218054306</v>
          </cell>
          <cell r="X205">
            <v>16490369.303985972</v>
          </cell>
        </row>
        <row r="206">
          <cell r="T206">
            <v>1052322.0620791279</v>
          </cell>
          <cell r="U206">
            <v>1501114.2682870408</v>
          </cell>
          <cell r="V206">
            <v>2561659.6951157451</v>
          </cell>
          <cell r="W206">
            <v>6911915.6646273192</v>
          </cell>
          <cell r="X206">
            <v>16571454.73109005</v>
          </cell>
        </row>
        <row r="207">
          <cell r="T207">
            <v>1057503.0108559038</v>
          </cell>
          <cell r="U207">
            <v>1508493.3119414945</v>
          </cell>
          <cell r="V207">
            <v>2574228.643135644</v>
          </cell>
          <cell r="W207">
            <v>6945761.5074492088</v>
          </cell>
          <cell r="X207">
            <v>16652540.158194128</v>
          </cell>
        </row>
        <row r="208">
          <cell r="T208">
            <v>1062683.9596326798</v>
          </cell>
          <cell r="U208">
            <v>1515872.3555959482</v>
          </cell>
          <cell r="V208">
            <v>2586797.591155543</v>
          </cell>
          <cell r="W208">
            <v>6979607.3502710974</v>
          </cell>
          <cell r="X208">
            <v>16733625.585298207</v>
          </cell>
        </row>
        <row r="209">
          <cell r="T209">
            <v>1067864.9084094558</v>
          </cell>
          <cell r="U209">
            <v>1523251.3992504016</v>
          </cell>
          <cell r="V209">
            <v>2599366.5391754424</v>
          </cell>
          <cell r="W209">
            <v>7013453.193092986</v>
          </cell>
          <cell r="X209">
            <v>16814711.012402285</v>
          </cell>
        </row>
        <row r="210">
          <cell r="T210">
            <v>1073045.8571862318</v>
          </cell>
          <cell r="U210">
            <v>1530630.4429048554</v>
          </cell>
          <cell r="V210">
            <v>2611935.4871953414</v>
          </cell>
          <cell r="W210">
            <v>7047299.0359148756</v>
          </cell>
          <cell r="X210">
            <v>16895796.439506363</v>
          </cell>
        </row>
        <row r="211">
          <cell r="T211">
            <v>1078226.805963008</v>
          </cell>
          <cell r="U211">
            <v>1538009.4865593091</v>
          </cell>
          <cell r="V211">
            <v>2624504.4352152403</v>
          </cell>
          <cell r="W211">
            <v>7081144.8787367642</v>
          </cell>
          <cell r="X211">
            <v>16976881.866610438</v>
          </cell>
        </row>
        <row r="212">
          <cell r="T212">
            <v>1083407.7547397839</v>
          </cell>
          <cell r="U212">
            <v>1545388.5302137625</v>
          </cell>
          <cell r="V212">
            <v>2637073.3832351393</v>
          </cell>
          <cell r="W212">
            <v>7114990.7215586528</v>
          </cell>
          <cell r="X212">
            <v>17057967.293714516</v>
          </cell>
        </row>
        <row r="213">
          <cell r="T213">
            <v>1088588.7035165599</v>
          </cell>
          <cell r="U213">
            <v>1552767.5738682162</v>
          </cell>
          <cell r="V213">
            <v>2649642.3312550383</v>
          </cell>
          <cell r="W213">
            <v>7148836.5643805424</v>
          </cell>
          <cell r="X213">
            <v>17139052.720818594</v>
          </cell>
        </row>
        <row r="214">
          <cell r="T214">
            <v>1093769.6522933359</v>
          </cell>
          <cell r="U214">
            <v>1560146.6175226697</v>
          </cell>
          <cell r="V214">
            <v>2662211.2792749372</v>
          </cell>
          <cell r="W214">
            <v>7182682.407202431</v>
          </cell>
          <cell r="X214">
            <v>17220138.147922672</v>
          </cell>
        </row>
        <row r="215">
          <cell r="T215">
            <v>1098950.6010701121</v>
          </cell>
          <cell r="U215">
            <v>1567525.6611771234</v>
          </cell>
          <cell r="V215">
            <v>2674780.2272948362</v>
          </cell>
          <cell r="W215">
            <v>7216528.2500243196</v>
          </cell>
          <cell r="X215">
            <v>17301223.575026751</v>
          </cell>
        </row>
        <row r="216">
          <cell r="T216">
            <v>1104131.5498468881</v>
          </cell>
          <cell r="U216">
            <v>1574904.7048315771</v>
          </cell>
          <cell r="V216">
            <v>2687349.1753147352</v>
          </cell>
          <cell r="W216">
            <v>7250374.0928462092</v>
          </cell>
          <cell r="X216">
            <v>17382309.002130829</v>
          </cell>
        </row>
        <row r="217">
          <cell r="T217">
            <v>1109312.498623664</v>
          </cell>
          <cell r="U217">
            <v>1582283.7484860306</v>
          </cell>
          <cell r="V217">
            <v>2699918.1233346341</v>
          </cell>
          <cell r="W217">
            <v>7284219.9356680978</v>
          </cell>
          <cell r="X217">
            <v>17463394.429234907</v>
          </cell>
        </row>
        <row r="218">
          <cell r="T218">
            <v>1114493.44740044</v>
          </cell>
          <cell r="U218">
            <v>1589662.7921404843</v>
          </cell>
          <cell r="V218">
            <v>2712487.0713545331</v>
          </cell>
          <cell r="W218">
            <v>7318065.7784899864</v>
          </cell>
          <cell r="X218">
            <v>17544479.856338982</v>
          </cell>
        </row>
        <row r="219">
          <cell r="T219">
            <v>1119674.3961772162</v>
          </cell>
          <cell r="U219">
            <v>1597041.835794938</v>
          </cell>
          <cell r="V219">
            <v>2725056.019374432</v>
          </cell>
          <cell r="W219">
            <v>7351911.6213118751</v>
          </cell>
          <cell r="X219">
            <v>17625565.28344306</v>
          </cell>
        </row>
        <row r="220">
          <cell r="T220">
            <v>1124855.3449539922</v>
          </cell>
          <cell r="U220">
            <v>1604420.8794493915</v>
          </cell>
          <cell r="V220">
            <v>2737624.967394331</v>
          </cell>
          <cell r="W220">
            <v>7385757.4641337646</v>
          </cell>
          <cell r="X220">
            <v>17706650.710547138</v>
          </cell>
        </row>
        <row r="221">
          <cell r="T221">
            <v>1130036.2937307681</v>
          </cell>
          <cell r="U221">
            <v>1611799.9231038452</v>
          </cell>
          <cell r="V221">
            <v>2750193.91541423</v>
          </cell>
          <cell r="W221">
            <v>7419603.3069556532</v>
          </cell>
          <cell r="X221">
            <v>17787736.137651216</v>
          </cell>
        </row>
        <row r="222">
          <cell r="T222">
            <v>1135217.2425075441</v>
          </cell>
          <cell r="U222">
            <v>1619178.9667582989</v>
          </cell>
          <cell r="V222">
            <v>2762762.8634341289</v>
          </cell>
          <cell r="W222">
            <v>7453449.1497775419</v>
          </cell>
          <cell r="X222">
            <v>17868821.564755294</v>
          </cell>
        </row>
        <row r="223">
          <cell r="T223">
            <v>1140398.1912843203</v>
          </cell>
          <cell r="U223">
            <v>1626558.0104127524</v>
          </cell>
          <cell r="V223">
            <v>2775331.8114540279</v>
          </cell>
          <cell r="W223">
            <v>7487294.9925994305</v>
          </cell>
          <cell r="X223">
            <v>17949906.991859373</v>
          </cell>
        </row>
        <row r="224">
          <cell r="T224">
            <v>1145579.1400610963</v>
          </cell>
          <cell r="U224">
            <v>1633937.0540672061</v>
          </cell>
          <cell r="V224">
            <v>2787900.7594739269</v>
          </cell>
          <cell r="W224">
            <v>7521140.8354213201</v>
          </cell>
          <cell r="X224">
            <v>18030992.418963451</v>
          </cell>
        </row>
        <row r="225">
          <cell r="T225">
            <v>1150760.0888378723</v>
          </cell>
          <cell r="U225">
            <v>1641316.0977216596</v>
          </cell>
          <cell r="V225">
            <v>2800469.7074938258</v>
          </cell>
          <cell r="W225">
            <v>7554986.6782432087</v>
          </cell>
          <cell r="X225">
            <v>18112077.846067525</v>
          </cell>
        </row>
        <row r="226">
          <cell r="T226">
            <v>1155941.0376146482</v>
          </cell>
          <cell r="U226">
            <v>1648695.1413761133</v>
          </cell>
          <cell r="V226">
            <v>2813038.6555137248</v>
          </cell>
          <cell r="W226">
            <v>7588832.5210650973</v>
          </cell>
          <cell r="X226">
            <v>18193163.273171604</v>
          </cell>
        </row>
        <row r="227">
          <cell r="T227">
            <v>1161121.9863914244</v>
          </cell>
          <cell r="U227">
            <v>1656074.185030567</v>
          </cell>
          <cell r="V227">
            <v>2825607.6035336237</v>
          </cell>
          <cell r="W227">
            <v>7622678.3638869859</v>
          </cell>
          <cell r="X227">
            <v>18274248.700275682</v>
          </cell>
        </row>
        <row r="228">
          <cell r="T228">
            <v>1166302.9351682004</v>
          </cell>
          <cell r="U228">
            <v>1663453.2286850205</v>
          </cell>
          <cell r="V228">
            <v>2838176.5515535227</v>
          </cell>
          <cell r="W228">
            <v>7656524.2067088755</v>
          </cell>
          <cell r="X228">
            <v>18355334.12737976</v>
          </cell>
        </row>
        <row r="229">
          <cell r="T229">
            <v>1171483.8839449764</v>
          </cell>
          <cell r="U229">
            <v>1670832.2723394742</v>
          </cell>
          <cell r="V229">
            <v>2850745.4995734217</v>
          </cell>
          <cell r="W229">
            <v>7690370.0495307641</v>
          </cell>
          <cell r="X229">
            <v>18436419.554483838</v>
          </cell>
        </row>
        <row r="230">
          <cell r="T230">
            <v>1176664.8327217523</v>
          </cell>
          <cell r="U230">
            <v>1678211.3159939279</v>
          </cell>
          <cell r="V230">
            <v>2863314.4475933206</v>
          </cell>
          <cell r="W230">
            <v>7724215.8923526527</v>
          </cell>
          <cell r="X230">
            <v>18517504.981587917</v>
          </cell>
        </row>
        <row r="231">
          <cell r="T231">
            <v>1181845.7814985283</v>
          </cell>
          <cell r="U231">
            <v>1685590.3596483814</v>
          </cell>
          <cell r="V231">
            <v>2875883.3956132196</v>
          </cell>
          <cell r="W231">
            <v>7758061.7351745423</v>
          </cell>
          <cell r="X231">
            <v>18598590.408691995</v>
          </cell>
        </row>
        <row r="232">
          <cell r="T232">
            <v>1187026.7302753043</v>
          </cell>
          <cell r="U232">
            <v>1692969.4033028351</v>
          </cell>
          <cell r="V232">
            <v>2888452.3436331186</v>
          </cell>
          <cell r="W232">
            <v>7791907.5779964309</v>
          </cell>
          <cell r="X232">
            <v>18679675.835796073</v>
          </cell>
        </row>
        <row r="233">
          <cell r="T233">
            <v>1192207.6790520805</v>
          </cell>
          <cell r="U233">
            <v>1700348.4469572885</v>
          </cell>
          <cell r="V233">
            <v>2901021.2916530175</v>
          </cell>
          <cell r="W233">
            <v>7825753.4208183195</v>
          </cell>
          <cell r="X233">
            <v>18760761.262900148</v>
          </cell>
        </row>
        <row r="234">
          <cell r="T234">
            <v>1197388.6278288565</v>
          </cell>
          <cell r="U234">
            <v>1707727.4906117423</v>
          </cell>
          <cell r="V234">
            <v>2913590.2396729165</v>
          </cell>
          <cell r="W234">
            <v>7859599.2636402082</v>
          </cell>
          <cell r="X234">
            <v>18841846.690004226</v>
          </cell>
        </row>
        <row r="235">
          <cell r="T235">
            <v>1202569.5766056324</v>
          </cell>
          <cell r="U235">
            <v>1715106.534266196</v>
          </cell>
          <cell r="V235">
            <v>2926159.1876928154</v>
          </cell>
          <cell r="W235">
            <v>7893445.1064620977</v>
          </cell>
          <cell r="X235">
            <v>18922932.117108304</v>
          </cell>
        </row>
        <row r="236">
          <cell r="T236">
            <v>1207750.5253824084</v>
          </cell>
          <cell r="U236">
            <v>1722485.5779206494</v>
          </cell>
          <cell r="V236">
            <v>2938728.1357127144</v>
          </cell>
          <cell r="W236">
            <v>7927290.9492839864</v>
          </cell>
          <cell r="X236">
            <v>19004017.544212382</v>
          </cell>
        </row>
        <row r="237">
          <cell r="T237">
            <v>1212931.4741591844</v>
          </cell>
          <cell r="U237">
            <v>1729864.6215751031</v>
          </cell>
          <cell r="V237">
            <v>2951297.0837326134</v>
          </cell>
          <cell r="W237">
            <v>7961136.792105875</v>
          </cell>
          <cell r="X237">
            <v>19085102.971316461</v>
          </cell>
        </row>
        <row r="238">
          <cell r="T238">
            <v>1218112.4229359603</v>
          </cell>
          <cell r="U238">
            <v>1737243.6652295566</v>
          </cell>
          <cell r="V238">
            <v>2963866.0317525128</v>
          </cell>
          <cell r="W238">
            <v>7994982.6349277645</v>
          </cell>
          <cell r="X238">
            <v>19166188.398420539</v>
          </cell>
        </row>
        <row r="239">
          <cell r="T239">
            <v>1223293.3717127363</v>
          </cell>
          <cell r="U239">
            <v>1744622.7088840103</v>
          </cell>
          <cell r="V239">
            <v>2976434.9797724113</v>
          </cell>
          <cell r="W239">
            <v>8028828.4777496532</v>
          </cell>
          <cell r="X239">
            <v>19247273.825524617</v>
          </cell>
        </row>
        <row r="240">
          <cell r="T240">
            <v>1228474.3204895125</v>
          </cell>
          <cell r="U240">
            <v>1752001.752538464</v>
          </cell>
          <cell r="V240">
            <v>2989003.9277923107</v>
          </cell>
          <cell r="W240">
            <v>8062674.3205715418</v>
          </cell>
          <cell r="X240">
            <v>19328359.252628691</v>
          </cell>
        </row>
        <row r="241">
          <cell r="T241">
            <v>1233655.2692662885</v>
          </cell>
          <cell r="U241">
            <v>1759380.7961929175</v>
          </cell>
          <cell r="V241">
            <v>3001572.8758122097</v>
          </cell>
          <cell r="W241">
            <v>8096520.1633934304</v>
          </cell>
          <cell r="X241">
            <v>19409444.67973277</v>
          </cell>
        </row>
        <row r="242">
          <cell r="T242">
            <v>1238836.2180430645</v>
          </cell>
          <cell r="U242">
            <v>1766759.8398473712</v>
          </cell>
          <cell r="V242">
            <v>3014141.8238321086</v>
          </cell>
          <cell r="W242">
            <v>8130366.00621532</v>
          </cell>
          <cell r="X242">
            <v>19490530.106836848</v>
          </cell>
        </row>
        <row r="243">
          <cell r="T243">
            <v>1244017.1668198404</v>
          </cell>
          <cell r="U243">
            <v>1774138.8835018247</v>
          </cell>
          <cell r="V243">
            <v>3026710.7718520076</v>
          </cell>
          <cell r="W243">
            <v>8164211.8490372086</v>
          </cell>
          <cell r="X243">
            <v>19571615.533940926</v>
          </cell>
        </row>
        <row r="244">
          <cell r="T244">
            <v>1249198.1155966164</v>
          </cell>
          <cell r="U244">
            <v>1781517.9271562784</v>
          </cell>
          <cell r="V244">
            <v>3039279.7198719066</v>
          </cell>
          <cell r="W244">
            <v>8198057.6918590972</v>
          </cell>
          <cell r="X244">
            <v>19652700.961045004</v>
          </cell>
        </row>
        <row r="245">
          <cell r="T245">
            <v>1254379.0643733926</v>
          </cell>
          <cell r="U245">
            <v>1788896.9708107321</v>
          </cell>
          <cell r="V245">
            <v>3051848.6678918055</v>
          </cell>
          <cell r="W245">
            <v>8231903.5346809868</v>
          </cell>
          <cell r="X245">
            <v>19733786.388149083</v>
          </cell>
        </row>
        <row r="246">
          <cell r="T246">
            <v>1259560.0131501686</v>
          </cell>
          <cell r="U246">
            <v>1796276.0144651856</v>
          </cell>
          <cell r="V246">
            <v>3064417.6159117045</v>
          </cell>
          <cell r="W246">
            <v>8265749.3775028754</v>
          </cell>
          <cell r="X246">
            <v>19814871.815253161</v>
          </cell>
        </row>
        <row r="247">
          <cell r="T247">
            <v>1264740.9619269446</v>
          </cell>
          <cell r="U247">
            <v>1803655.0581196393</v>
          </cell>
          <cell r="V247">
            <v>3076986.5639316035</v>
          </cell>
          <cell r="W247">
            <v>8299595.220324764</v>
          </cell>
          <cell r="X247">
            <v>19895957.242357239</v>
          </cell>
        </row>
        <row r="248">
          <cell r="T248">
            <v>1269921.9107037205</v>
          </cell>
          <cell r="U248">
            <v>1811034.1017740928</v>
          </cell>
          <cell r="V248">
            <v>3089555.5119515024</v>
          </cell>
          <cell r="W248">
            <v>8333441.0631466527</v>
          </cell>
          <cell r="X248">
            <v>19977042.669461317</v>
          </cell>
        </row>
        <row r="249">
          <cell r="T249">
            <v>1275102.8594804965</v>
          </cell>
          <cell r="U249">
            <v>1818413.1454285465</v>
          </cell>
          <cell r="V249">
            <v>3102124.4599714014</v>
          </cell>
          <cell r="W249">
            <v>8367286.9059685422</v>
          </cell>
          <cell r="X249">
            <v>20058128.096565392</v>
          </cell>
        </row>
        <row r="250">
          <cell r="T250">
            <v>1280283.8082572725</v>
          </cell>
          <cell r="U250">
            <v>1825792.1890830002</v>
          </cell>
          <cell r="V250">
            <v>3114693.4079913003</v>
          </cell>
          <cell r="W250">
            <v>8401132.7487904299</v>
          </cell>
          <cell r="X250">
            <v>20139213.52366947</v>
          </cell>
        </row>
        <row r="251">
          <cell r="T251">
            <v>1285464.7570340487</v>
          </cell>
          <cell r="U251">
            <v>1833171.2327374537</v>
          </cell>
          <cell r="V251">
            <v>3127262.3560111993</v>
          </cell>
          <cell r="W251">
            <v>8434978.5916123204</v>
          </cell>
          <cell r="X251">
            <v>20220298.950773548</v>
          </cell>
        </row>
        <row r="252">
          <cell r="T252">
            <v>1290645.7058108246</v>
          </cell>
          <cell r="U252">
            <v>1840550.2763919074</v>
          </cell>
          <cell r="V252">
            <v>3139831.3040310983</v>
          </cell>
          <cell r="W252">
            <v>8468824.434434209</v>
          </cell>
          <cell r="X252">
            <v>20301384.377877627</v>
          </cell>
        </row>
        <row r="253">
          <cell r="T253">
            <v>1295826.6545876006</v>
          </cell>
          <cell r="U253">
            <v>1847929.3200463608</v>
          </cell>
          <cell r="V253">
            <v>3152400.2520509972</v>
          </cell>
          <cell r="W253">
            <v>8502670.2772560976</v>
          </cell>
          <cell r="X253">
            <v>20382469.804981705</v>
          </cell>
        </row>
        <row r="254">
          <cell r="T254">
            <v>1301007.6033643766</v>
          </cell>
          <cell r="U254">
            <v>1855308.3637008145</v>
          </cell>
          <cell r="V254">
            <v>3164969.2000708962</v>
          </cell>
          <cell r="W254">
            <v>8536516.1200779863</v>
          </cell>
          <cell r="X254">
            <v>20463555.232085783</v>
          </cell>
        </row>
        <row r="255">
          <cell r="T255">
            <v>1306188.5521411526</v>
          </cell>
          <cell r="U255">
            <v>1862687.4073552683</v>
          </cell>
          <cell r="V255">
            <v>3177538.1480907951</v>
          </cell>
          <cell r="W255">
            <v>8570361.9628998749</v>
          </cell>
          <cell r="X255">
            <v>20544640.659189861</v>
          </cell>
        </row>
        <row r="256">
          <cell r="T256">
            <v>1311369.5009179288</v>
          </cell>
          <cell r="U256">
            <v>1870066.4510097217</v>
          </cell>
          <cell r="V256">
            <v>3190107.0961106941</v>
          </cell>
          <cell r="W256">
            <v>8604207.8057217635</v>
          </cell>
          <cell r="X256">
            <v>20625726.08629394</v>
          </cell>
        </row>
        <row r="257">
          <cell r="T257">
            <v>1316550.4496947047</v>
          </cell>
          <cell r="U257">
            <v>1877445.4946641754</v>
          </cell>
          <cell r="V257">
            <v>3202676.0441305931</v>
          </cell>
          <cell r="W257">
            <v>8638053.6485436521</v>
          </cell>
          <cell r="X257">
            <v>20706811.513398018</v>
          </cell>
        </row>
        <row r="258">
          <cell r="T258">
            <v>1321731.3984714807</v>
          </cell>
          <cell r="U258">
            <v>1884824.5383186289</v>
          </cell>
          <cell r="V258">
            <v>3215244.992150492</v>
          </cell>
          <cell r="W258">
            <v>8671899.4913655408</v>
          </cell>
          <cell r="X258">
            <v>20787896.940502092</v>
          </cell>
        </row>
        <row r="259">
          <cell r="T259">
            <v>1326912.3472482567</v>
          </cell>
          <cell r="U259">
            <v>1892203.5819730826</v>
          </cell>
          <cell r="V259">
            <v>3227813.940170391</v>
          </cell>
          <cell r="W259">
            <v>8705745.3341874313</v>
          </cell>
          <cell r="X259">
            <v>20868982.36760617</v>
          </cell>
        </row>
        <row r="260">
          <cell r="T260">
            <v>1332093.2960250329</v>
          </cell>
          <cell r="U260">
            <v>1899582.6256275363</v>
          </cell>
          <cell r="V260">
            <v>3240382.88819029</v>
          </cell>
          <cell r="W260">
            <v>8739591.1770093199</v>
          </cell>
          <cell r="X260">
            <v>20950067.794710249</v>
          </cell>
        </row>
        <row r="261">
          <cell r="T261">
            <v>1337274.2448018088</v>
          </cell>
          <cell r="U261">
            <v>1906961.6692819898</v>
          </cell>
          <cell r="V261">
            <v>3252951.8362101889</v>
          </cell>
          <cell r="W261">
            <v>8773437.0198312085</v>
          </cell>
          <cell r="X261">
            <v>21031153.221814327</v>
          </cell>
        </row>
        <row r="262">
          <cell r="T262">
            <v>1342455.1935785848</v>
          </cell>
          <cell r="U262">
            <v>1914340.7129364435</v>
          </cell>
          <cell r="V262">
            <v>3265520.7842300879</v>
          </cell>
          <cell r="W262">
            <v>8807282.8626530971</v>
          </cell>
          <cell r="X262">
            <v>21112238.648918405</v>
          </cell>
        </row>
        <row r="263">
          <cell r="T263">
            <v>1347636.1423553608</v>
          </cell>
          <cell r="U263">
            <v>1921719.7565908972</v>
          </cell>
          <cell r="V263">
            <v>3278089.7322499868</v>
          </cell>
          <cell r="W263">
            <v>8841128.7054749858</v>
          </cell>
          <cell r="X263">
            <v>21193324.076022483</v>
          </cell>
        </row>
        <row r="264">
          <cell r="T264">
            <v>1352817.091132137</v>
          </cell>
          <cell r="U264">
            <v>1929098.8002453507</v>
          </cell>
          <cell r="V264">
            <v>3290658.6802698863</v>
          </cell>
          <cell r="W264">
            <v>8874974.5482968744</v>
          </cell>
          <cell r="X264">
            <v>21274409.503126562</v>
          </cell>
        </row>
        <row r="265">
          <cell r="T265">
            <v>1357998.039908913</v>
          </cell>
          <cell r="U265">
            <v>1936477.8438998044</v>
          </cell>
          <cell r="V265">
            <v>3303227.6282897852</v>
          </cell>
          <cell r="W265">
            <v>8908820.391118763</v>
          </cell>
          <cell r="X265">
            <v>21355494.93023064</v>
          </cell>
        </row>
        <row r="266">
          <cell r="T266">
            <v>1363178.9886856889</v>
          </cell>
          <cell r="U266">
            <v>1943856.8875542581</v>
          </cell>
          <cell r="V266">
            <v>3315796.5763096842</v>
          </cell>
          <cell r="W266">
            <v>8942666.2339406535</v>
          </cell>
          <cell r="X266">
            <v>21436580.357334718</v>
          </cell>
        </row>
        <row r="267">
          <cell r="T267">
            <v>1368359.9374624649</v>
          </cell>
          <cell r="U267">
            <v>1951235.9312087116</v>
          </cell>
          <cell r="V267">
            <v>3328365.5243295832</v>
          </cell>
          <cell r="W267">
            <v>8976512.0767625421</v>
          </cell>
          <cell r="X267">
            <v>21517665.784438796</v>
          </cell>
        </row>
        <row r="268">
          <cell r="T268">
            <v>1373540.8862392411</v>
          </cell>
          <cell r="U268">
            <v>1958614.9748631653</v>
          </cell>
          <cell r="V268">
            <v>3340934.4723494821</v>
          </cell>
          <cell r="W268">
            <v>9010357.9195844308</v>
          </cell>
          <cell r="X268">
            <v>21598751.211542871</v>
          </cell>
        </row>
        <row r="269">
          <cell r="T269">
            <v>1378721.8350160171</v>
          </cell>
          <cell r="U269">
            <v>1965994.0185176188</v>
          </cell>
          <cell r="V269">
            <v>3353503.4203693811</v>
          </cell>
          <cell r="W269">
            <v>9044203.7624063194</v>
          </cell>
          <cell r="X269">
            <v>21679836.638646949</v>
          </cell>
        </row>
        <row r="270">
          <cell r="T270">
            <v>1383902.7837927931</v>
          </cell>
          <cell r="U270">
            <v>1973373.0621720725</v>
          </cell>
          <cell r="V270">
            <v>3366072.36838928</v>
          </cell>
          <cell r="W270">
            <v>9078049.605228208</v>
          </cell>
          <cell r="X270">
            <v>21760922.065751027</v>
          </cell>
        </row>
        <row r="271">
          <cell r="T271">
            <v>1389083.732569569</v>
          </cell>
          <cell r="U271">
            <v>1980752.1058265262</v>
          </cell>
          <cell r="V271">
            <v>3378641.316409179</v>
          </cell>
          <cell r="W271">
            <v>9111895.4480500966</v>
          </cell>
          <cell r="X271">
            <v>21842007.492855106</v>
          </cell>
        </row>
        <row r="272">
          <cell r="T272">
            <v>1394264.6813463452</v>
          </cell>
          <cell r="U272">
            <v>1988131.1494809797</v>
          </cell>
          <cell r="V272">
            <v>3391210.264429078</v>
          </cell>
          <cell r="W272">
            <v>9145741.2908719853</v>
          </cell>
          <cell r="X272">
            <v>21923092.919959184</v>
          </cell>
        </row>
        <row r="273">
          <cell r="T273">
            <v>1399445.6301231212</v>
          </cell>
          <cell r="U273">
            <v>1995510.1931354334</v>
          </cell>
          <cell r="V273">
            <v>3403779.2124489769</v>
          </cell>
          <cell r="W273">
            <v>9179587.1336938757</v>
          </cell>
          <cell r="X273">
            <v>22004178.347063262</v>
          </cell>
        </row>
        <row r="274">
          <cell r="T274">
            <v>1404626.5788998972</v>
          </cell>
          <cell r="U274">
            <v>2002889.2367898868</v>
          </cell>
          <cell r="V274">
            <v>3416348.1604688764</v>
          </cell>
          <cell r="W274">
            <v>9213432.9765157644</v>
          </cell>
          <cell r="X274">
            <v>22085263.77416734</v>
          </cell>
        </row>
        <row r="275">
          <cell r="T275">
            <v>1409807.5276766731</v>
          </cell>
          <cell r="U275">
            <v>2010268.2804443405</v>
          </cell>
          <cell r="V275">
            <v>3428917.1084887753</v>
          </cell>
          <cell r="W275">
            <v>9247278.819337653</v>
          </cell>
          <cell r="X275">
            <v>22166349.201271418</v>
          </cell>
        </row>
        <row r="276">
          <cell r="T276">
            <v>1414988.4764534493</v>
          </cell>
          <cell r="U276">
            <v>2017647.3240987943</v>
          </cell>
          <cell r="V276">
            <v>3441486.0565086743</v>
          </cell>
          <cell r="W276">
            <v>9281124.6621595416</v>
          </cell>
          <cell r="X276">
            <v>22247434.628375497</v>
          </cell>
        </row>
        <row r="277">
          <cell r="T277">
            <v>1420169.4252302253</v>
          </cell>
          <cell r="U277">
            <v>2025026.3677532477</v>
          </cell>
          <cell r="V277">
            <v>3454055.0045285732</v>
          </cell>
          <cell r="W277">
            <v>9314970.5049814302</v>
          </cell>
          <cell r="X277">
            <v>22328520.055479571</v>
          </cell>
        </row>
        <row r="278">
          <cell r="T278">
            <v>1425350.3740070013</v>
          </cell>
          <cell r="U278">
            <v>2032405.4114077014</v>
          </cell>
          <cell r="V278">
            <v>3466623.9525484722</v>
          </cell>
          <cell r="W278">
            <v>9348816.3478033189</v>
          </cell>
          <cell r="X278">
            <v>22409605.482583649</v>
          </cell>
        </row>
        <row r="279">
          <cell r="T279">
            <v>1430531.3227837773</v>
          </cell>
          <cell r="U279">
            <v>2039784.4550621551</v>
          </cell>
          <cell r="V279">
            <v>3479192.9005683712</v>
          </cell>
          <cell r="W279">
            <v>9382662.1906252094</v>
          </cell>
          <cell r="X279">
            <v>22490690.909687728</v>
          </cell>
        </row>
        <row r="280">
          <cell r="T280">
            <v>1435712.2715605535</v>
          </cell>
          <cell r="U280">
            <v>2047163.4987166086</v>
          </cell>
          <cell r="V280">
            <v>3491761.8485882701</v>
          </cell>
          <cell r="W280">
            <v>9416508.033447098</v>
          </cell>
          <cell r="X280">
            <v>22571776.336791806</v>
          </cell>
        </row>
        <row r="281">
          <cell r="T281">
            <v>1440893.2203373294</v>
          </cell>
          <cell r="U281">
            <v>2054542.5423710623</v>
          </cell>
          <cell r="V281">
            <v>3504330.7966081691</v>
          </cell>
          <cell r="W281">
            <v>9450353.8762689866</v>
          </cell>
          <cell r="X281">
            <v>22652861.763895884</v>
          </cell>
        </row>
        <row r="282">
          <cell r="T282">
            <v>1446074.1691141054</v>
          </cell>
          <cell r="U282">
            <v>2061921.586025516</v>
          </cell>
          <cell r="V282">
            <v>3516899.7446280681</v>
          </cell>
          <cell r="W282">
            <v>9484199.7190908752</v>
          </cell>
          <cell r="X282">
            <v>22733947.190999962</v>
          </cell>
        </row>
        <row r="283">
          <cell r="T283">
            <v>1451255.1178908814</v>
          </cell>
          <cell r="U283">
            <v>2069300.6296799695</v>
          </cell>
          <cell r="V283">
            <v>3529468.692647967</v>
          </cell>
          <cell r="W283">
            <v>9518045.5619127639</v>
          </cell>
          <cell r="X283">
            <v>22815032.618104041</v>
          </cell>
        </row>
        <row r="284">
          <cell r="T284">
            <v>1456436.0666676573</v>
          </cell>
          <cell r="U284">
            <v>2076679.6733344232</v>
          </cell>
          <cell r="V284">
            <v>3542037.640667866</v>
          </cell>
          <cell r="W284">
            <v>9551891.4047346525</v>
          </cell>
          <cell r="X284">
            <v>22896118.045208115</v>
          </cell>
        </row>
        <row r="285">
          <cell r="T285">
            <v>1461617.0154444333</v>
          </cell>
          <cell r="U285">
            <v>2084058.7169888769</v>
          </cell>
          <cell r="V285">
            <v>3554606.5886877649</v>
          </cell>
          <cell r="W285">
            <v>9585737.247556543</v>
          </cell>
          <cell r="X285">
            <v>22977203.472312193</v>
          </cell>
        </row>
        <row r="286">
          <cell r="T286">
            <v>1466797.9642212095</v>
          </cell>
          <cell r="U286">
            <v>2091437.7606433304</v>
          </cell>
          <cell r="V286">
            <v>3567175.5367076639</v>
          </cell>
          <cell r="W286">
            <v>9619583.0903784316</v>
          </cell>
          <cell r="X286">
            <v>23058288.899416272</v>
          </cell>
        </row>
        <row r="287">
          <cell r="T287">
            <v>1471978.9129979855</v>
          </cell>
          <cell r="U287">
            <v>2098816.8042977843</v>
          </cell>
          <cell r="V287">
            <v>3579744.4847275629</v>
          </cell>
          <cell r="W287">
            <v>9653428.9332003202</v>
          </cell>
          <cell r="X287">
            <v>23139374.32652035</v>
          </cell>
        </row>
        <row r="288">
          <cell r="T288">
            <v>1477159.8617747615</v>
          </cell>
          <cell r="U288">
            <v>2106195.8479522378</v>
          </cell>
          <cell r="V288">
            <v>3592313.4327474618</v>
          </cell>
          <cell r="W288">
            <v>9687274.7760222089</v>
          </cell>
          <cell r="X288">
            <v>23220459.753624428</v>
          </cell>
        </row>
        <row r="289">
          <cell r="T289">
            <v>1482340.8105515374</v>
          </cell>
          <cell r="U289">
            <v>2113574.8916066913</v>
          </cell>
          <cell r="V289">
            <v>3604882.3807673608</v>
          </cell>
          <cell r="W289">
            <v>9721120.6188440975</v>
          </cell>
          <cell r="X289">
            <v>23301545.180728506</v>
          </cell>
        </row>
        <row r="290">
          <cell r="T290">
            <v>1487521.7593283134</v>
          </cell>
          <cell r="U290">
            <v>2120953.9352611452</v>
          </cell>
          <cell r="V290">
            <v>3617451.3287872598</v>
          </cell>
          <cell r="W290">
            <v>9754966.4616659861</v>
          </cell>
          <cell r="X290">
            <v>23382630.607832585</v>
          </cell>
        </row>
        <row r="291">
          <cell r="T291">
            <v>1492702.7081050896</v>
          </cell>
          <cell r="U291">
            <v>2128332.9789155987</v>
          </cell>
          <cell r="V291">
            <v>3630020.2768071587</v>
          </cell>
          <cell r="W291">
            <v>9788812.3044878766</v>
          </cell>
          <cell r="X291">
            <v>23463716.034936659</v>
          </cell>
        </row>
        <row r="292">
          <cell r="T292">
            <v>1497883.6568818656</v>
          </cell>
          <cell r="U292">
            <v>2135712.0225700522</v>
          </cell>
          <cell r="V292">
            <v>3642589.2248270577</v>
          </cell>
          <cell r="W292">
            <v>9822658.1473097652</v>
          </cell>
          <cell r="X292">
            <v>23544801.462040737</v>
          </cell>
        </row>
        <row r="293">
          <cell r="T293">
            <v>1503064.6056586416</v>
          </cell>
          <cell r="U293">
            <v>2143091.0662245061</v>
          </cell>
          <cell r="V293">
            <v>3655158.1728469566</v>
          </cell>
          <cell r="W293">
            <v>9856503.9901316538</v>
          </cell>
          <cell r="X293">
            <v>23625886.889144816</v>
          </cell>
        </row>
        <row r="294">
          <cell r="T294">
            <v>1508245.5544354175</v>
          </cell>
          <cell r="U294">
            <v>2150470.1098789596</v>
          </cell>
          <cell r="V294">
            <v>3667727.1208668556</v>
          </cell>
          <cell r="W294">
            <v>9890349.8329535425</v>
          </cell>
          <cell r="X294">
            <v>23706972.316248894</v>
          </cell>
        </row>
        <row r="295">
          <cell r="T295">
            <v>1513426.5032121935</v>
          </cell>
          <cell r="U295">
            <v>2157849.1535334131</v>
          </cell>
          <cell r="V295">
            <v>3680296.0688867546</v>
          </cell>
          <cell r="W295">
            <v>9924195.6757754311</v>
          </cell>
          <cell r="X295">
            <v>23788057.743352972</v>
          </cell>
        </row>
        <row r="296">
          <cell r="T296">
            <v>1518607.4519889695</v>
          </cell>
          <cell r="U296">
            <v>2165228.1971878665</v>
          </cell>
          <cell r="V296">
            <v>3692865.0169066535</v>
          </cell>
          <cell r="W296">
            <v>9958041.5185973197</v>
          </cell>
          <cell r="X296">
            <v>23869143.17045705</v>
          </cell>
        </row>
        <row r="297">
          <cell r="T297">
            <v>1523788.4007657457</v>
          </cell>
          <cell r="U297">
            <v>2172607.2408423205</v>
          </cell>
          <cell r="V297">
            <v>3705433.9649265525</v>
          </cell>
          <cell r="W297">
            <v>9991887.3614192102</v>
          </cell>
          <cell r="X297">
            <v>23950228.597561128</v>
          </cell>
        </row>
        <row r="298">
          <cell r="T298">
            <v>1528969.3495425216</v>
          </cell>
          <cell r="U298">
            <v>2179986.284496774</v>
          </cell>
          <cell r="V298">
            <v>3718002.9129464515</v>
          </cell>
          <cell r="W298">
            <v>10025733.204241099</v>
          </cell>
          <cell r="X298">
            <v>24031314.024665203</v>
          </cell>
        </row>
        <row r="299">
          <cell r="T299">
            <v>1534150.2983192976</v>
          </cell>
          <cell r="U299">
            <v>2187365.3281512274</v>
          </cell>
          <cell r="V299">
            <v>3730571.8609663504</v>
          </cell>
          <cell r="W299">
            <v>10059579.047062987</v>
          </cell>
          <cell r="X299">
            <v>24112399.451769281</v>
          </cell>
        </row>
        <row r="300">
          <cell r="T300">
            <v>1539331.2470960736</v>
          </cell>
          <cell r="U300">
            <v>2194744.3718056814</v>
          </cell>
          <cell r="V300">
            <v>3743140.8089862494</v>
          </cell>
          <cell r="W300">
            <v>10093424.889884876</v>
          </cell>
          <cell r="X300">
            <v>24193484.878873359</v>
          </cell>
        </row>
        <row r="301">
          <cell r="T301">
            <v>1544512.1958728496</v>
          </cell>
          <cell r="U301">
            <v>2202123.4154601349</v>
          </cell>
          <cell r="V301">
            <v>3755709.7570061483</v>
          </cell>
          <cell r="W301">
            <v>10127270.732706765</v>
          </cell>
          <cell r="X301">
            <v>24274570.305977438</v>
          </cell>
        </row>
        <row r="302">
          <cell r="T302">
            <v>1549693.1446496258</v>
          </cell>
          <cell r="U302">
            <v>2209502.4591145883</v>
          </cell>
          <cell r="V302">
            <v>3768278.7050260473</v>
          </cell>
          <cell r="W302">
            <v>10161116.575528653</v>
          </cell>
          <cell r="X302">
            <v>24355655.733081516</v>
          </cell>
        </row>
        <row r="303">
          <cell r="T303">
            <v>1554874.0934264017</v>
          </cell>
          <cell r="U303">
            <v>2216881.5027690423</v>
          </cell>
          <cell r="V303">
            <v>3780847.6530459463</v>
          </cell>
          <cell r="W303">
            <v>10194962.418350542</v>
          </cell>
          <cell r="X303">
            <v>24436741.160185594</v>
          </cell>
        </row>
        <row r="304">
          <cell r="T304">
            <v>1560055.0422031777</v>
          </cell>
          <cell r="U304">
            <v>2224260.5464234957</v>
          </cell>
          <cell r="V304">
            <v>3793416.6010658452</v>
          </cell>
          <cell r="W304">
            <v>10228808.261172431</v>
          </cell>
          <cell r="X304">
            <v>24517826.587289672</v>
          </cell>
        </row>
        <row r="305">
          <cell r="T305">
            <v>1565235.9909799537</v>
          </cell>
          <cell r="U305">
            <v>2231639.5900779492</v>
          </cell>
          <cell r="V305">
            <v>3805985.5490857442</v>
          </cell>
          <cell r="W305">
            <v>10262654.103994319</v>
          </cell>
          <cell r="X305">
            <v>24598912.014393747</v>
          </cell>
        </row>
        <row r="306">
          <cell r="T306">
            <v>1570416.9397567296</v>
          </cell>
          <cell r="U306">
            <v>2239018.6337324032</v>
          </cell>
          <cell r="V306">
            <v>3818554.4971056432</v>
          </cell>
          <cell r="W306">
            <v>10296499.94681621</v>
          </cell>
          <cell r="X306">
            <v>24679997.441497825</v>
          </cell>
        </row>
        <row r="307">
          <cell r="T307">
            <v>1575597.8885335058</v>
          </cell>
          <cell r="U307">
            <v>2246397.6773868566</v>
          </cell>
          <cell r="V307">
            <v>3831123.4451255426</v>
          </cell>
          <cell r="W307">
            <v>10330345.789638098</v>
          </cell>
          <cell r="X307">
            <v>24761082.868601903</v>
          </cell>
        </row>
        <row r="308">
          <cell r="T308">
            <v>1580778.8373102818</v>
          </cell>
          <cell r="U308">
            <v>2253776.7210413101</v>
          </cell>
          <cell r="V308">
            <v>3843692.3931454415</v>
          </cell>
          <cell r="W308">
            <v>10364191.632459987</v>
          </cell>
          <cell r="X308">
            <v>24842168.295705982</v>
          </cell>
        </row>
        <row r="309">
          <cell r="T309">
            <v>1585959.7860870578</v>
          </cell>
          <cell r="U309">
            <v>2261155.7646957641</v>
          </cell>
          <cell r="V309">
            <v>3856261.3411653405</v>
          </cell>
          <cell r="W309">
            <v>10398037.475281876</v>
          </cell>
          <cell r="X309">
            <v>24923253.72281006</v>
          </cell>
        </row>
        <row r="310">
          <cell r="T310">
            <v>1591140.7348638338</v>
          </cell>
          <cell r="U310">
            <v>2268534.8083502175</v>
          </cell>
          <cell r="V310">
            <v>3868830.2891852395</v>
          </cell>
          <cell r="W310">
            <v>10431883.318103764</v>
          </cell>
          <cell r="X310">
            <v>25004339.149914138</v>
          </cell>
        </row>
        <row r="311">
          <cell r="T311">
            <v>1596321.6836406097</v>
          </cell>
          <cell r="U311">
            <v>2275913.852004671</v>
          </cell>
          <cell r="V311">
            <v>3881399.2372051384</v>
          </cell>
          <cell r="W311">
            <v>10465729.160925653</v>
          </cell>
          <cell r="X311">
            <v>25085424.577018216</v>
          </cell>
        </row>
        <row r="312">
          <cell r="T312">
            <v>1601502.6324173859</v>
          </cell>
          <cell r="U312">
            <v>2283292.8956591245</v>
          </cell>
          <cell r="V312">
            <v>3893968.1852250374</v>
          </cell>
          <cell r="W312">
            <v>10499575.003747541</v>
          </cell>
          <cell r="X312">
            <v>25166510.004122294</v>
          </cell>
        </row>
        <row r="313">
          <cell r="T313">
            <v>1606683.5811941619</v>
          </cell>
          <cell r="U313">
            <v>2290671.9393135784</v>
          </cell>
          <cell r="V313">
            <v>3906537.1332449364</v>
          </cell>
          <cell r="W313">
            <v>10533420.84656943</v>
          </cell>
          <cell r="X313">
            <v>25247595.431226369</v>
          </cell>
        </row>
        <row r="314">
          <cell r="T314">
            <v>1611864.5299709379</v>
          </cell>
          <cell r="U314">
            <v>2298050.9829680319</v>
          </cell>
          <cell r="V314">
            <v>3919106.0812648353</v>
          </cell>
          <cell r="W314">
            <v>10567266.689391319</v>
          </cell>
          <cell r="X314">
            <v>25328680.858330447</v>
          </cell>
        </row>
        <row r="315">
          <cell r="T315">
            <v>1617045.4787477138</v>
          </cell>
          <cell r="U315">
            <v>2305430.0266224854</v>
          </cell>
          <cell r="V315">
            <v>3931675.0292847343</v>
          </cell>
          <cell r="W315">
            <v>10601112.532213209</v>
          </cell>
          <cell r="X315">
            <v>25409766.285434525</v>
          </cell>
        </row>
        <row r="316">
          <cell r="T316">
            <v>1622226.4275244898</v>
          </cell>
          <cell r="U316">
            <v>2312809.0702769393</v>
          </cell>
          <cell r="V316">
            <v>3944243.9773046332</v>
          </cell>
          <cell r="W316">
            <v>10634958.375035098</v>
          </cell>
          <cell r="X316">
            <v>25490851.712538604</v>
          </cell>
        </row>
        <row r="317">
          <cell r="T317">
            <v>1627407.376301266</v>
          </cell>
          <cell r="U317">
            <v>2320188.1139313928</v>
          </cell>
          <cell r="V317">
            <v>3956812.9253245322</v>
          </cell>
          <cell r="W317">
            <v>10668804.217856986</v>
          </cell>
          <cell r="X317">
            <v>25571937.139642682</v>
          </cell>
        </row>
        <row r="318">
          <cell r="T318">
            <v>1632588.325078042</v>
          </cell>
          <cell r="U318">
            <v>2327567.1575858463</v>
          </cell>
          <cell r="V318">
            <v>3969381.8733444312</v>
          </cell>
          <cell r="W318">
            <v>10702650.060678875</v>
          </cell>
          <cell r="X318">
            <v>25653022.56674676</v>
          </cell>
        </row>
        <row r="319">
          <cell r="T319">
            <v>1637769.273854818</v>
          </cell>
          <cell r="U319">
            <v>2334946.2012403002</v>
          </cell>
          <cell r="V319">
            <v>3981950.8213643301</v>
          </cell>
          <cell r="W319">
            <v>10736495.903500764</v>
          </cell>
          <cell r="X319">
            <v>25734107.993850835</v>
          </cell>
        </row>
        <row r="320">
          <cell r="T320">
            <v>1642950.2226315939</v>
          </cell>
          <cell r="U320">
            <v>2342325.2448947537</v>
          </cell>
          <cell r="V320">
            <v>3994519.7693842291</v>
          </cell>
          <cell r="W320">
            <v>10770341.746322652</v>
          </cell>
          <cell r="X320">
            <v>25815193.420954913</v>
          </cell>
        </row>
        <row r="321">
          <cell r="T321">
            <v>1648131.1714083701</v>
          </cell>
          <cell r="U321">
            <v>2349704.2885492072</v>
          </cell>
          <cell r="V321">
            <v>4007088.7174041281</v>
          </cell>
          <cell r="W321">
            <v>10804187.589144541</v>
          </cell>
          <cell r="X321">
            <v>25896278.848058991</v>
          </cell>
        </row>
        <row r="322">
          <cell r="T322">
            <v>1653312.1201851461</v>
          </cell>
          <cell r="U322">
            <v>2357083.3322036606</v>
          </cell>
          <cell r="V322">
            <v>4019657.665424027</v>
          </cell>
          <cell r="W322">
            <v>10838033.431966431</v>
          </cell>
          <cell r="X322">
            <v>25977364.275163069</v>
          </cell>
        </row>
        <row r="323">
          <cell r="T323">
            <v>1658493.0689619221</v>
          </cell>
          <cell r="U323">
            <v>2364462.3758581146</v>
          </cell>
          <cell r="V323">
            <v>4032226.613443926</v>
          </cell>
          <cell r="W323">
            <v>10871879.27478832</v>
          </cell>
          <cell r="X323">
            <v>26058449.702267148</v>
          </cell>
        </row>
        <row r="324">
          <cell r="T324">
            <v>1663674.0177386981</v>
          </cell>
          <cell r="U324">
            <v>2371841.419512568</v>
          </cell>
          <cell r="V324">
            <v>4044795.5614638249</v>
          </cell>
          <cell r="W324">
            <v>10905725.117610209</v>
          </cell>
          <cell r="X324">
            <v>26139535.129371226</v>
          </cell>
        </row>
        <row r="325">
          <cell r="T325">
            <v>1668854.9665154743</v>
          </cell>
          <cell r="U325">
            <v>2379220.4631670215</v>
          </cell>
          <cell r="V325">
            <v>4057364.5094837239</v>
          </cell>
          <cell r="W325">
            <v>10939570.960432097</v>
          </cell>
          <cell r="X325">
            <v>26220620.556475304</v>
          </cell>
        </row>
        <row r="326">
          <cell r="T326">
            <v>1674035.9152922502</v>
          </cell>
          <cell r="U326">
            <v>2386599.5068214755</v>
          </cell>
          <cell r="V326">
            <v>4069933.4575036229</v>
          </cell>
          <cell r="W326">
            <v>10973416.803253986</v>
          </cell>
          <cell r="X326">
            <v>26301705.983579379</v>
          </cell>
        </row>
        <row r="327">
          <cell r="T327">
            <v>1679216.8640690262</v>
          </cell>
          <cell r="U327">
            <v>2393978.5504759289</v>
          </cell>
          <cell r="V327">
            <v>4082502.4055235218</v>
          </cell>
          <cell r="W327">
            <v>11007262.646075875</v>
          </cell>
          <cell r="X327">
            <v>26382791.410683457</v>
          </cell>
        </row>
        <row r="328">
          <cell r="T328">
            <v>1684397.8128458022</v>
          </cell>
          <cell r="U328">
            <v>2401357.5941303824</v>
          </cell>
          <cell r="V328">
            <v>4095071.3535434208</v>
          </cell>
          <cell r="W328">
            <v>11041108.488897763</v>
          </cell>
          <cell r="X328">
            <v>26463876.837787535</v>
          </cell>
        </row>
        <row r="329">
          <cell r="T329">
            <v>1689578.7616225784</v>
          </cell>
          <cell r="U329">
            <v>2408736.6377848359</v>
          </cell>
          <cell r="V329">
            <v>4107640.3015633198</v>
          </cell>
          <cell r="W329">
            <v>11074954.331719654</v>
          </cell>
          <cell r="X329">
            <v>26544962.264891613</v>
          </cell>
        </row>
        <row r="330">
          <cell r="T330">
            <v>1694759.7103993543</v>
          </cell>
          <cell r="U330">
            <v>2416115.6814392898</v>
          </cell>
          <cell r="V330">
            <v>4120209.2495832187</v>
          </cell>
          <cell r="W330">
            <v>11108800.174541542</v>
          </cell>
          <cell r="X330">
            <v>26626047.691995692</v>
          </cell>
        </row>
        <row r="331">
          <cell r="T331">
            <v>1699940.6591761303</v>
          </cell>
          <cell r="U331">
            <v>2423494.7250937433</v>
          </cell>
          <cell r="V331">
            <v>4132778.1976031177</v>
          </cell>
          <cell r="W331">
            <v>11142646.017363431</v>
          </cell>
          <cell r="X331">
            <v>26707133.11909977</v>
          </cell>
        </row>
        <row r="332">
          <cell r="T332">
            <v>1705121.6079529063</v>
          </cell>
          <cell r="U332">
            <v>2430873.7687481968</v>
          </cell>
          <cell r="V332">
            <v>4145347.1456230166</v>
          </cell>
          <cell r="W332">
            <v>11176491.86018532</v>
          </cell>
          <cell r="X332">
            <v>26788218.546203844</v>
          </cell>
        </row>
        <row r="333">
          <cell r="T333">
            <v>1710302.5567296823</v>
          </cell>
          <cell r="U333">
            <v>2438252.8124026507</v>
          </cell>
          <cell r="V333">
            <v>4157916.0936429156</v>
          </cell>
          <cell r="W333">
            <v>11210337.703007208</v>
          </cell>
          <cell r="X333">
            <v>26869303.973307922</v>
          </cell>
        </row>
        <row r="334">
          <cell r="T334">
            <v>1715483.5055064585</v>
          </cell>
          <cell r="U334">
            <v>2445631.8560571042</v>
          </cell>
          <cell r="V334">
            <v>4170485.0416628146</v>
          </cell>
          <cell r="W334">
            <v>11244183.545829097</v>
          </cell>
          <cell r="X334">
            <v>26950389.400412001</v>
          </cell>
        </row>
        <row r="335">
          <cell r="T335">
            <v>1720664.4542832344</v>
          </cell>
          <cell r="U335">
            <v>2453010.8997115577</v>
          </cell>
          <cell r="V335">
            <v>4183053.9896827135</v>
          </cell>
          <cell r="W335">
            <v>11278029.388650985</v>
          </cell>
          <cell r="X335">
            <v>27031474.827516079</v>
          </cell>
        </row>
        <row r="336">
          <cell r="T336">
            <v>1725845.4030600104</v>
          </cell>
          <cell r="U336">
            <v>2460389.9433660116</v>
          </cell>
          <cell r="V336">
            <v>4195622.937702613</v>
          </cell>
          <cell r="W336">
            <v>11311875.231472876</v>
          </cell>
          <cell r="X336">
            <v>27112560.254620157</v>
          </cell>
        </row>
        <row r="337">
          <cell r="T337">
            <v>1731026.3518367866</v>
          </cell>
          <cell r="U337">
            <v>2467768.9870204651</v>
          </cell>
          <cell r="V337">
            <v>4208191.8857225114</v>
          </cell>
          <cell r="W337">
            <v>11345721.074294765</v>
          </cell>
          <cell r="X337">
            <v>27193645.681724235</v>
          </cell>
        </row>
        <row r="338">
          <cell r="T338">
            <v>1736207.3006135626</v>
          </cell>
          <cell r="U338">
            <v>2475148.0306749186</v>
          </cell>
          <cell r="V338">
            <v>4220760.8337424109</v>
          </cell>
          <cell r="W338">
            <v>11379566.917116653</v>
          </cell>
          <cell r="X338">
            <v>27274731.108828314</v>
          </cell>
        </row>
        <row r="339">
          <cell r="T339">
            <v>1741388.2493903385</v>
          </cell>
          <cell r="U339">
            <v>2482527.074329372</v>
          </cell>
          <cell r="V339">
            <v>4233329.7817623094</v>
          </cell>
          <cell r="W339">
            <v>11413412.759938542</v>
          </cell>
          <cell r="X339">
            <v>27347105.28154951</v>
          </cell>
        </row>
        <row r="340">
          <cell r="T340">
            <v>1746497.7346517409</v>
          </cell>
          <cell r="U340">
            <v>2489906.117983826</v>
          </cell>
          <cell r="V340">
            <v>4245898.7297822088</v>
          </cell>
          <cell r="W340">
            <v>11447258.60276043</v>
          </cell>
          <cell r="X340">
            <v>27418742.084752377</v>
          </cell>
        </row>
        <row r="341">
          <cell r="T341">
            <v>1751331.7307879352</v>
          </cell>
          <cell r="U341">
            <v>2497285.1616382794</v>
          </cell>
          <cell r="V341">
            <v>4258467.6778021073</v>
          </cell>
          <cell r="W341">
            <v>11481104.445582319</v>
          </cell>
          <cell r="X341">
            <v>27490378.887955248</v>
          </cell>
        </row>
        <row r="342">
          <cell r="T342">
            <v>1756165.7269241295</v>
          </cell>
          <cell r="U342">
            <v>2504664.2052927329</v>
          </cell>
          <cell r="V342">
            <v>4271036.6258220067</v>
          </cell>
          <cell r="W342">
            <v>11514950.288404208</v>
          </cell>
          <cell r="X342">
            <v>27562015.691158116</v>
          </cell>
        </row>
        <row r="343">
          <cell r="T343">
            <v>1760999.7230603236</v>
          </cell>
          <cell r="U343">
            <v>2512043.2489471869</v>
          </cell>
          <cell r="V343">
            <v>4283605.5738419052</v>
          </cell>
          <cell r="W343">
            <v>11548796.131226098</v>
          </cell>
          <cell r="X343">
            <v>27633652.494360987</v>
          </cell>
        </row>
        <row r="344">
          <cell r="T344">
            <v>1765833.719196518</v>
          </cell>
          <cell r="U344">
            <v>2519422.2926016403</v>
          </cell>
          <cell r="V344">
            <v>4296174.5218618046</v>
          </cell>
          <cell r="W344">
            <v>11582641.974047987</v>
          </cell>
          <cell r="X344">
            <v>27705289.297563855</v>
          </cell>
        </row>
        <row r="345">
          <cell r="T345">
            <v>1770667.715332712</v>
          </cell>
          <cell r="U345">
            <v>2526801.3362560938</v>
          </cell>
          <cell r="V345">
            <v>4308743.4698817041</v>
          </cell>
          <cell r="W345">
            <v>11616487.816869875</v>
          </cell>
          <cell r="X345">
            <v>27776926.100766726</v>
          </cell>
        </row>
        <row r="346">
          <cell r="T346">
            <v>1775501.7114689064</v>
          </cell>
          <cell r="U346">
            <v>2534180.3799105478</v>
          </cell>
          <cell r="V346">
            <v>4321312.4179016026</v>
          </cell>
          <cell r="W346">
            <v>11650333.659691764</v>
          </cell>
          <cell r="X346">
            <v>27848562.903969593</v>
          </cell>
        </row>
        <row r="347">
          <cell r="T347">
            <v>1780335.7076051005</v>
          </cell>
          <cell r="U347">
            <v>2541559.4235650012</v>
          </cell>
          <cell r="V347">
            <v>4333881.365921502</v>
          </cell>
          <cell r="W347">
            <v>11684179.502513653</v>
          </cell>
          <cell r="X347">
            <v>27920199.707172461</v>
          </cell>
        </row>
        <row r="348">
          <cell r="T348">
            <v>1785169.7037412948</v>
          </cell>
          <cell r="U348">
            <v>2548938.4672194547</v>
          </cell>
          <cell r="V348">
            <v>4346450.3139414005</v>
          </cell>
          <cell r="W348">
            <v>11718025.345335541</v>
          </cell>
          <cell r="X348">
            <v>27991836.510375332</v>
          </cell>
        </row>
        <row r="349">
          <cell r="T349">
            <v>1790003.6998774891</v>
          </cell>
          <cell r="U349">
            <v>2556317.5108739086</v>
          </cell>
          <cell r="V349">
            <v>4359019.2619612999</v>
          </cell>
          <cell r="W349">
            <v>11751871.18815743</v>
          </cell>
          <cell r="X349">
            <v>28063473.3135782</v>
          </cell>
        </row>
        <row r="350">
          <cell r="T350">
            <v>1794837.6960136832</v>
          </cell>
          <cell r="U350">
            <v>2563696.5545283621</v>
          </cell>
          <cell r="V350">
            <v>4371588.2099811984</v>
          </cell>
          <cell r="W350">
            <v>11785717.03097932</v>
          </cell>
          <cell r="X350">
            <v>28135110.116781071</v>
          </cell>
        </row>
        <row r="351">
          <cell r="T351">
            <v>1799671.6921498775</v>
          </cell>
          <cell r="U351">
            <v>2571075.5981828156</v>
          </cell>
          <cell r="V351">
            <v>4384157.1580010979</v>
          </cell>
          <cell r="W351">
            <v>11819562.873801209</v>
          </cell>
          <cell r="X351">
            <v>28206746.919983938</v>
          </cell>
        </row>
        <row r="352">
          <cell r="T352">
            <v>1804505.6882860716</v>
          </cell>
          <cell r="U352">
            <v>2578454.6418372695</v>
          </cell>
          <cell r="V352">
            <v>4396726.1060209963</v>
          </cell>
          <cell r="W352">
            <v>11853408.716623098</v>
          </cell>
          <cell r="X352">
            <v>28278383.72318681</v>
          </cell>
        </row>
        <row r="353">
          <cell r="T353">
            <v>1809339.684422266</v>
          </cell>
          <cell r="U353">
            <v>2585833.685491723</v>
          </cell>
          <cell r="V353">
            <v>4409295.0540408958</v>
          </cell>
          <cell r="W353">
            <v>11887254.559444986</v>
          </cell>
          <cell r="X353">
            <v>28350020.526389677</v>
          </cell>
        </row>
        <row r="354">
          <cell r="T354">
            <v>1814173.6805584601</v>
          </cell>
          <cell r="U354">
            <v>2593212.7291461765</v>
          </cell>
          <cell r="V354">
            <v>4421864.0020607943</v>
          </cell>
          <cell r="W354">
            <v>11921100.402266875</v>
          </cell>
          <cell r="X354">
            <v>28421657.329592548</v>
          </cell>
        </row>
        <row r="355">
          <cell r="T355">
            <v>1819007.6766946544</v>
          </cell>
          <cell r="U355">
            <v>2600591.77280063</v>
          </cell>
          <cell r="V355">
            <v>4434432.9500806937</v>
          </cell>
          <cell r="W355">
            <v>11954946.245088764</v>
          </cell>
          <cell r="X355">
            <v>28493294.132795416</v>
          </cell>
        </row>
        <row r="356">
          <cell r="T356">
            <v>1823841.6728308485</v>
          </cell>
          <cell r="U356">
            <v>2607970.8164550839</v>
          </cell>
          <cell r="V356">
            <v>4447001.8981005922</v>
          </cell>
          <cell r="W356">
            <v>11988792.087910652</v>
          </cell>
          <cell r="X356">
            <v>28564930.935998283</v>
          </cell>
        </row>
        <row r="357">
          <cell r="T357">
            <v>1828675.6689670428</v>
          </cell>
          <cell r="U357">
            <v>2615349.8601095374</v>
          </cell>
          <cell r="V357">
            <v>4459151.0702398699</v>
          </cell>
          <cell r="W357">
            <v>12022637.930732543</v>
          </cell>
          <cell r="X357">
            <v>28636567.739201155</v>
          </cell>
        </row>
        <row r="358">
          <cell r="T358">
            <v>1833509.6651032371</v>
          </cell>
          <cell r="U358">
            <v>2622728.9037639908</v>
          </cell>
          <cell r="V358">
            <v>4469931.4546439946</v>
          </cell>
          <cell r="W358">
            <v>12056483.773554431</v>
          </cell>
          <cell r="X358">
            <v>28708204.542404022</v>
          </cell>
        </row>
        <row r="359">
          <cell r="T359">
            <v>1838343.6612394312</v>
          </cell>
          <cell r="U359">
            <v>2630107.9474184448</v>
          </cell>
          <cell r="V359">
            <v>4480711.8390481202</v>
          </cell>
          <cell r="W359">
            <v>12089455.126217041</v>
          </cell>
          <cell r="X359">
            <v>28779841.345606893</v>
          </cell>
        </row>
        <row r="360">
          <cell r="T360">
            <v>1843177.6573756256</v>
          </cell>
          <cell r="U360">
            <v>2637486.9910728983</v>
          </cell>
          <cell r="V360">
            <v>4491492.2234522449</v>
          </cell>
          <cell r="W360">
            <v>12120553.199223181</v>
          </cell>
          <cell r="X360">
            <v>28851478.148809761</v>
          </cell>
        </row>
        <row r="361">
          <cell r="T361">
            <v>1848011.6535118197</v>
          </cell>
          <cell r="U361">
            <v>2644866.0347273517</v>
          </cell>
          <cell r="V361">
            <v>4502272.6078563705</v>
          </cell>
          <cell r="W361">
            <v>12151651.272229321</v>
          </cell>
          <cell r="X361">
            <v>28923114.952012632</v>
          </cell>
        </row>
        <row r="362">
          <cell r="T362">
            <v>1852845.649648014</v>
          </cell>
          <cell r="U362">
            <v>2651805.4801967652</v>
          </cell>
          <cell r="V362">
            <v>4513052.9922604952</v>
          </cell>
          <cell r="W362">
            <v>12182749.345235463</v>
          </cell>
          <cell r="X362">
            <v>28994751.7552155</v>
          </cell>
        </row>
        <row r="363">
          <cell r="T363">
            <v>1857679.6457842081</v>
          </cell>
          <cell r="U363">
            <v>2658570.114733153</v>
          </cell>
          <cell r="V363">
            <v>4523833.3766646208</v>
          </cell>
          <cell r="W363">
            <v>12213847.418241603</v>
          </cell>
          <cell r="X363">
            <v>29066388.558418371</v>
          </cell>
        </row>
        <row r="364">
          <cell r="T364">
            <v>1862513.6419204024</v>
          </cell>
          <cell r="U364">
            <v>2665334.7492695409</v>
          </cell>
          <cell r="V364">
            <v>4534613.7610687455</v>
          </cell>
          <cell r="W364">
            <v>12244945.491247743</v>
          </cell>
          <cell r="X364">
            <v>29137365.341176849</v>
          </cell>
        </row>
        <row r="365">
          <cell r="T365">
            <v>1867036.4386184732</v>
          </cell>
          <cell r="U365">
            <v>2672099.3838059288</v>
          </cell>
          <cell r="V365">
            <v>4545394.1454728711</v>
          </cell>
          <cell r="W365">
            <v>12276043.564253883</v>
          </cell>
          <cell r="X365">
            <v>29207689.92727419</v>
          </cell>
        </row>
        <row r="366">
          <cell r="T366">
            <v>1871546.7164945039</v>
          </cell>
          <cell r="U366">
            <v>2678864.0183423166</v>
          </cell>
          <cell r="V366">
            <v>4556174.5298769958</v>
          </cell>
          <cell r="W366">
            <v>12307141.637260025</v>
          </cell>
          <cell r="X366">
            <v>29278014.513371531</v>
          </cell>
        </row>
        <row r="367">
          <cell r="T367">
            <v>1876056.9943705346</v>
          </cell>
          <cell r="U367">
            <v>2685628.6528787045</v>
          </cell>
          <cell r="V367">
            <v>4566954.9142811215</v>
          </cell>
          <cell r="W367">
            <v>12338239.710266165</v>
          </cell>
          <cell r="X367">
            <v>29348339.099468868</v>
          </cell>
        </row>
        <row r="368">
          <cell r="T368">
            <v>1880567.2722465652</v>
          </cell>
          <cell r="U368">
            <v>2692393.2874150923</v>
          </cell>
          <cell r="V368">
            <v>4577735.2986852461</v>
          </cell>
          <cell r="W368">
            <v>12369337.783272306</v>
          </cell>
          <cell r="X368">
            <v>29418663.685566209</v>
          </cell>
        </row>
        <row r="369">
          <cell r="T369">
            <v>1885077.5501225961</v>
          </cell>
          <cell r="U369">
            <v>2699157.9219514802</v>
          </cell>
          <cell r="V369">
            <v>4588515.6830893718</v>
          </cell>
          <cell r="W369">
            <v>12400435.856278447</v>
          </cell>
          <cell r="X369">
            <v>29488988.271663547</v>
          </cell>
        </row>
        <row r="370">
          <cell r="T370">
            <v>1889587.8279986267</v>
          </cell>
          <cell r="U370">
            <v>2705922.5564878681</v>
          </cell>
          <cell r="V370">
            <v>4599296.0674934965</v>
          </cell>
          <cell r="W370">
            <v>12431533.929284588</v>
          </cell>
          <cell r="X370">
            <v>29559312.857760888</v>
          </cell>
        </row>
        <row r="371">
          <cell r="T371">
            <v>1894098.1058746574</v>
          </cell>
          <cell r="U371">
            <v>2712687.1910242559</v>
          </cell>
          <cell r="V371">
            <v>4610076.4518976212</v>
          </cell>
          <cell r="W371">
            <v>12462632.002290728</v>
          </cell>
          <cell r="X371">
            <v>29629637.443858225</v>
          </cell>
        </row>
        <row r="372">
          <cell r="T372">
            <v>1898608.3837506881</v>
          </cell>
          <cell r="U372">
            <v>2719451.8255606438</v>
          </cell>
          <cell r="V372">
            <v>4620856.8363017468</v>
          </cell>
          <cell r="W372">
            <v>12493730.075296868</v>
          </cell>
          <cell r="X372">
            <v>29699962.029955566</v>
          </cell>
        </row>
        <row r="373">
          <cell r="T373">
            <v>1903118.6616267187</v>
          </cell>
          <cell r="U373">
            <v>2726216.4600970317</v>
          </cell>
          <cell r="V373">
            <v>4631637.2207058715</v>
          </cell>
          <cell r="W373">
            <v>12524828.14830301</v>
          </cell>
          <cell r="X373">
            <v>29770286.616052903</v>
          </cell>
        </row>
        <row r="374">
          <cell r="T374">
            <v>1907628.9395027494</v>
          </cell>
          <cell r="U374">
            <v>2732981.0946334195</v>
          </cell>
          <cell r="V374">
            <v>4642417.6051099971</v>
          </cell>
          <cell r="W374">
            <v>12555926.22130915</v>
          </cell>
          <cell r="X374">
            <v>29840611.202150244</v>
          </cell>
        </row>
        <row r="375">
          <cell r="T375">
            <v>1912139.21737878</v>
          </cell>
          <cell r="U375">
            <v>2739745.7291698074</v>
          </cell>
          <cell r="V375">
            <v>4653197.9895141218</v>
          </cell>
          <cell r="W375">
            <v>12587024.29431529</v>
          </cell>
          <cell r="X375">
            <v>29910935.788247582</v>
          </cell>
        </row>
        <row r="376">
          <cell r="T376">
            <v>1916649.4952548107</v>
          </cell>
          <cell r="U376">
            <v>2746510.3637061953</v>
          </cell>
          <cell r="V376">
            <v>4663978.3739182474</v>
          </cell>
          <cell r="W376">
            <v>12618122.367321432</v>
          </cell>
          <cell r="X376">
            <v>29981260.374344923</v>
          </cell>
        </row>
        <row r="377">
          <cell r="T377">
            <v>1921159.7731308413</v>
          </cell>
          <cell r="U377">
            <v>2753274.9982425831</v>
          </cell>
          <cell r="V377">
            <v>4674758.7583223721</v>
          </cell>
          <cell r="W377">
            <v>12649220.440327572</v>
          </cell>
          <cell r="X377">
            <v>30051584.96044226</v>
          </cell>
        </row>
        <row r="378">
          <cell r="T378">
            <v>1925670.051006872</v>
          </cell>
          <cell r="U378">
            <v>2760039.632778971</v>
          </cell>
          <cell r="V378">
            <v>4685539.1427264977</v>
          </cell>
          <cell r="W378">
            <v>12680318.513333712</v>
          </cell>
          <cell r="X378">
            <v>30121909.546539601</v>
          </cell>
        </row>
        <row r="379">
          <cell r="T379">
            <v>1930180.3288829026</v>
          </cell>
          <cell r="U379">
            <v>2766804.2673153589</v>
          </cell>
          <cell r="V379">
            <v>4696319.5271306224</v>
          </cell>
          <cell r="W379">
            <v>12711416.586339852</v>
          </cell>
          <cell r="X379">
            <v>30192234.132636942</v>
          </cell>
        </row>
        <row r="380">
          <cell r="T380">
            <v>1934690.6067589333</v>
          </cell>
          <cell r="U380">
            <v>2773568.9018517467</v>
          </cell>
          <cell r="V380">
            <v>4707099.911534748</v>
          </cell>
          <cell r="W380">
            <v>12742514.659345994</v>
          </cell>
          <cell r="X380">
            <v>30262558.718734279</v>
          </cell>
        </row>
        <row r="381">
          <cell r="T381">
            <v>1939200.8846349642</v>
          </cell>
          <cell r="U381">
            <v>2780333.5363881346</v>
          </cell>
          <cell r="V381">
            <v>4717880.2959388727</v>
          </cell>
          <cell r="W381">
            <v>12773612.732352134</v>
          </cell>
          <cell r="X381">
            <v>30332883.30483162</v>
          </cell>
        </row>
        <row r="382">
          <cell r="T382">
            <v>1943711.1625109948</v>
          </cell>
          <cell r="U382">
            <v>2787098.1709245224</v>
          </cell>
          <cell r="V382">
            <v>4728205.3603542559</v>
          </cell>
          <cell r="W382">
            <v>12804710.805358274</v>
          </cell>
          <cell r="X382">
            <v>30403207.890928958</v>
          </cell>
        </row>
        <row r="383">
          <cell r="T383">
            <v>1948221.4403870255</v>
          </cell>
          <cell r="U383">
            <v>2793862.8054609103</v>
          </cell>
          <cell r="V383">
            <v>4738173.9749990096</v>
          </cell>
          <cell r="W383">
            <v>12835808.878364416</v>
          </cell>
          <cell r="X383">
            <v>30473532.477026299</v>
          </cell>
        </row>
        <row r="384">
          <cell r="T384">
            <v>1952731.7182630561</v>
          </cell>
          <cell r="U384">
            <v>2800627.4399972982</v>
          </cell>
          <cell r="V384">
            <v>4748142.5896437624</v>
          </cell>
          <cell r="W384">
            <v>12864255.476106184</v>
          </cell>
          <cell r="X384">
            <v>30543857.063123636</v>
          </cell>
        </row>
        <row r="385">
          <cell r="T385">
            <v>1957241.9961390868</v>
          </cell>
          <cell r="U385">
            <v>2807392.074533686</v>
          </cell>
          <cell r="V385">
            <v>4758111.2042885162</v>
          </cell>
          <cell r="W385">
            <v>12890985.315689495</v>
          </cell>
          <cell r="X385">
            <v>30614181.649220977</v>
          </cell>
        </row>
        <row r="386">
          <cell r="T386">
            <v>1961752.2740151174</v>
          </cell>
          <cell r="U386">
            <v>2814156.7090700739</v>
          </cell>
          <cell r="V386">
            <v>4768079.818933269</v>
          </cell>
          <cell r="W386">
            <v>12917715.155272808</v>
          </cell>
          <cell r="X386">
            <v>30684506.235318314</v>
          </cell>
        </row>
        <row r="387">
          <cell r="T387">
            <v>1966262.5518911481</v>
          </cell>
          <cell r="U387">
            <v>2820921.3436064618</v>
          </cell>
          <cell r="V387">
            <v>4778048.4335780218</v>
          </cell>
          <cell r="W387">
            <v>12944444.994856121</v>
          </cell>
          <cell r="X387">
            <v>30754830.821415655</v>
          </cell>
        </row>
        <row r="388">
          <cell r="T388">
            <v>1970772.8297671787</v>
          </cell>
          <cell r="U388">
            <v>2827656.33177274</v>
          </cell>
          <cell r="V388">
            <v>4788017.0482227756</v>
          </cell>
          <cell r="W388">
            <v>12971174.834439434</v>
          </cell>
          <cell r="X388">
            <v>30825155.407512993</v>
          </cell>
        </row>
        <row r="389">
          <cell r="T389">
            <v>1975283.1076432094</v>
          </cell>
          <cell r="U389">
            <v>2834290.1478072968</v>
          </cell>
          <cell r="V389">
            <v>4797985.6628675284</v>
          </cell>
          <cell r="W389">
            <v>12997904.674022745</v>
          </cell>
          <cell r="X389">
            <v>30895479.993610334</v>
          </cell>
        </row>
        <row r="390">
          <cell r="T390">
            <v>1979793.3855192401</v>
          </cell>
          <cell r="U390">
            <v>2840923.9638418537</v>
          </cell>
          <cell r="V390">
            <v>4807954.2775122821</v>
          </cell>
          <cell r="W390">
            <v>13024634.513606058</v>
          </cell>
          <cell r="X390">
            <v>30965301.596916083</v>
          </cell>
        </row>
        <row r="391">
          <cell r="T391">
            <v>1984008.7037019716</v>
          </cell>
          <cell r="U391">
            <v>2847557.7798764105</v>
          </cell>
          <cell r="V391">
            <v>4817922.8921570349</v>
          </cell>
          <cell r="W391">
            <v>13051364.353189372</v>
          </cell>
          <cell r="X391">
            <v>31034801.213090319</v>
          </cell>
        </row>
        <row r="392">
          <cell r="T392">
            <v>1988216.9417613067</v>
          </cell>
          <cell r="U392">
            <v>2854191.5959109673</v>
          </cell>
          <cell r="V392">
            <v>4827891.5068017887</v>
          </cell>
          <cell r="W392">
            <v>13078094.192772685</v>
          </cell>
          <cell r="X392">
            <v>31104300.829264559</v>
          </cell>
        </row>
        <row r="393">
          <cell r="T393">
            <v>1992425.1798206419</v>
          </cell>
          <cell r="U393">
            <v>2860825.4119455242</v>
          </cell>
          <cell r="V393">
            <v>4837860.1214465415</v>
          </cell>
          <cell r="W393">
            <v>13104824.032355996</v>
          </cell>
          <cell r="X393">
            <v>31173800.445438795</v>
          </cell>
        </row>
        <row r="394">
          <cell r="T394">
            <v>1996633.4178799773</v>
          </cell>
          <cell r="U394">
            <v>2867459.227980081</v>
          </cell>
          <cell r="V394">
            <v>4847828.7360912953</v>
          </cell>
          <cell r="W394">
            <v>13131553.871939309</v>
          </cell>
          <cell r="X394">
            <v>31243300.061613034</v>
          </cell>
        </row>
        <row r="395">
          <cell r="T395">
            <v>2000841.6559393124</v>
          </cell>
          <cell r="U395">
            <v>2874093.0440146378</v>
          </cell>
          <cell r="V395">
            <v>4857797.3507360481</v>
          </cell>
          <cell r="W395">
            <v>13158283.711522622</v>
          </cell>
          <cell r="X395">
            <v>31312799.67778727</v>
          </cell>
        </row>
        <row r="396">
          <cell r="T396">
            <v>2005049.8939986476</v>
          </cell>
          <cell r="U396">
            <v>2880726.8600491947</v>
          </cell>
          <cell r="V396">
            <v>4867765.9653808018</v>
          </cell>
          <cell r="W396">
            <v>13185013.551105935</v>
          </cell>
          <cell r="X396">
            <v>31382299.293961506</v>
          </cell>
        </row>
        <row r="397">
          <cell r="T397">
            <v>2009258.132057983</v>
          </cell>
          <cell r="U397">
            <v>2887360.6760837515</v>
          </cell>
          <cell r="V397">
            <v>4877734.5800255546</v>
          </cell>
          <cell r="W397">
            <v>13211743.390689246</v>
          </cell>
          <cell r="X397">
            <v>31451798.910135746</v>
          </cell>
        </row>
        <row r="398">
          <cell r="T398">
            <v>2013466.3701173181</v>
          </cell>
          <cell r="U398">
            <v>2893994.4921183083</v>
          </cell>
          <cell r="V398">
            <v>4887703.1946703084</v>
          </cell>
          <cell r="W398">
            <v>13238473.230272559</v>
          </cell>
          <cell r="X398">
            <v>31521298.526309982</v>
          </cell>
        </row>
        <row r="399">
          <cell r="T399">
            <v>2017674.6081766535</v>
          </cell>
          <cell r="U399">
            <v>2900628.3081528652</v>
          </cell>
          <cell r="V399">
            <v>4897671.8093150612</v>
          </cell>
          <cell r="W399">
            <v>13265203.069855873</v>
          </cell>
          <cell r="X399">
            <v>31590798.142484222</v>
          </cell>
        </row>
        <row r="400">
          <cell r="T400">
            <v>2021882.8462359887</v>
          </cell>
          <cell r="U400">
            <v>2907262.124187422</v>
          </cell>
          <cell r="V400">
            <v>4907640.4239598149</v>
          </cell>
          <cell r="W400">
            <v>13291932.909439186</v>
          </cell>
          <cell r="X400">
            <v>31660297.758658458</v>
          </cell>
        </row>
        <row r="401">
          <cell r="T401">
            <v>2026091.0842953238</v>
          </cell>
          <cell r="U401">
            <v>2913895.9402219788</v>
          </cell>
          <cell r="V401">
            <v>4917609.0386045678</v>
          </cell>
          <cell r="W401">
            <v>13318662.749022497</v>
          </cell>
          <cell r="X401">
            <v>31729797.374832697</v>
          </cell>
        </row>
        <row r="402">
          <cell r="T402">
            <v>2030299.3223546592</v>
          </cell>
          <cell r="U402">
            <v>2920529.7562565356</v>
          </cell>
          <cell r="V402">
            <v>4927577.6532493215</v>
          </cell>
          <cell r="W402">
            <v>13345392.58860581</v>
          </cell>
          <cell r="X402">
            <v>31799296.991006933</v>
          </cell>
        </row>
        <row r="403">
          <cell r="T403">
            <v>2034507.5604139944</v>
          </cell>
          <cell r="U403">
            <v>2927163.5722910925</v>
          </cell>
          <cell r="V403">
            <v>4937546.2678940743</v>
          </cell>
          <cell r="W403">
            <v>13372122.428189123</v>
          </cell>
          <cell r="X403">
            <v>31868796.607181169</v>
          </cell>
        </row>
        <row r="404">
          <cell r="T404">
            <v>2038715.7984733295</v>
          </cell>
          <cell r="U404">
            <v>2933797.3883256493</v>
          </cell>
          <cell r="V404">
            <v>4947514.8825388271</v>
          </cell>
          <cell r="W404">
            <v>13398852.267772436</v>
          </cell>
          <cell r="X404">
            <v>31938296.223355409</v>
          </cell>
        </row>
        <row r="405">
          <cell r="T405">
            <v>2042924.0365326649</v>
          </cell>
          <cell r="U405">
            <v>2940431.2043602061</v>
          </cell>
          <cell r="V405">
            <v>4957483.4971835809</v>
          </cell>
          <cell r="W405">
            <v>13425582.107355747</v>
          </cell>
          <cell r="X405">
            <v>32007795.839529645</v>
          </cell>
        </row>
        <row r="406">
          <cell r="T406">
            <v>2047132.2745920001</v>
          </cell>
          <cell r="U406">
            <v>2947065.020394763</v>
          </cell>
          <cell r="V406">
            <v>4967452.1118283337</v>
          </cell>
          <cell r="W406">
            <v>13452311.94693906</v>
          </cell>
          <cell r="X406">
            <v>32077295.455703884</v>
          </cell>
        </row>
        <row r="407">
          <cell r="T407">
            <v>2051340.5126513352</v>
          </cell>
          <cell r="U407">
            <v>2953698.8364293198</v>
          </cell>
          <cell r="V407">
            <v>4977420.7264730874</v>
          </cell>
          <cell r="W407">
            <v>13479041.786522374</v>
          </cell>
          <cell r="X407">
            <v>32146795.07187812</v>
          </cell>
        </row>
        <row r="408">
          <cell r="T408">
            <v>2055548.7507106706</v>
          </cell>
          <cell r="U408">
            <v>2960332.6524638766</v>
          </cell>
          <cell r="V408">
            <v>4987389.3411178403</v>
          </cell>
          <cell r="W408">
            <v>13505771.626105687</v>
          </cell>
          <cell r="X408">
            <v>32216294.68805236</v>
          </cell>
        </row>
        <row r="409">
          <cell r="T409">
            <v>2059756.9887700058</v>
          </cell>
          <cell r="U409">
            <v>2966966.4684984335</v>
          </cell>
          <cell r="V409">
            <v>4996782.8136878107</v>
          </cell>
          <cell r="W409">
            <v>13532501.465688998</v>
          </cell>
          <cell r="X409">
            <v>32285794.304226596</v>
          </cell>
        </row>
        <row r="410">
          <cell r="T410">
            <v>2063965.2268293411</v>
          </cell>
          <cell r="U410">
            <v>2973600.2845329903</v>
          </cell>
          <cell r="V410">
            <v>5006096.2534683198</v>
          </cell>
          <cell r="W410">
            <v>13559231.305272311</v>
          </cell>
          <cell r="X410">
            <v>32355293.920400832</v>
          </cell>
        </row>
        <row r="411">
          <cell r="T411">
            <v>2068173.4648886763</v>
          </cell>
          <cell r="U411">
            <v>2980234.1005675471</v>
          </cell>
          <cell r="V411">
            <v>5015409.6932488279</v>
          </cell>
          <cell r="W411">
            <v>13585961.144855624</v>
          </cell>
          <cell r="X411">
            <v>32424793.536575072</v>
          </cell>
        </row>
        <row r="412">
          <cell r="T412">
            <v>2072381.7029480115</v>
          </cell>
          <cell r="U412">
            <v>2986867.916602104</v>
          </cell>
          <cell r="V412">
            <v>5024723.133029337</v>
          </cell>
          <cell r="W412">
            <v>13612690.984438937</v>
          </cell>
          <cell r="X412">
            <v>32494293.152749307</v>
          </cell>
        </row>
        <row r="413">
          <cell r="T413">
            <v>2076589.9410073468</v>
          </cell>
          <cell r="U413">
            <v>2993501.7326366608</v>
          </cell>
          <cell r="V413">
            <v>5034036.5728098461</v>
          </cell>
          <cell r="W413">
            <v>13637046.611467788</v>
          </cell>
          <cell r="X413">
            <v>32563792.768923547</v>
          </cell>
        </row>
        <row r="414">
          <cell r="T414">
            <v>2080798.179066682</v>
          </cell>
          <cell r="U414">
            <v>3000135.5486712176</v>
          </cell>
          <cell r="V414">
            <v>5043350.0125903543</v>
          </cell>
          <cell r="W414">
            <v>13661007.27498381</v>
          </cell>
          <cell r="X414">
            <v>32633292.385097783</v>
          </cell>
        </row>
        <row r="415">
          <cell r="T415">
            <v>2085006.4171260172</v>
          </cell>
          <cell r="U415">
            <v>3006805.4000141639</v>
          </cell>
          <cell r="V415">
            <v>5052663.4523708634</v>
          </cell>
          <cell r="W415">
            <v>13684967.938499831</v>
          </cell>
          <cell r="X415">
            <v>32702792.001272023</v>
          </cell>
        </row>
        <row r="416">
          <cell r="T416">
            <v>2089214.6551853525</v>
          </cell>
          <cell r="U416">
            <v>3013606.5076430351</v>
          </cell>
          <cell r="V416">
            <v>5061976.8921513716</v>
          </cell>
          <cell r="W416">
            <v>13708928.602015853</v>
          </cell>
          <cell r="X416">
            <v>32771142.096803736</v>
          </cell>
        </row>
        <row r="417">
          <cell r="T417">
            <v>2093422.8932446877</v>
          </cell>
          <cell r="U417">
            <v>3020407.6152719064</v>
          </cell>
          <cell r="V417">
            <v>5071290.3319318807</v>
          </cell>
          <cell r="W417">
            <v>13732889.265531875</v>
          </cell>
          <cell r="X417">
            <v>32837831.552703492</v>
          </cell>
        </row>
        <row r="418">
          <cell r="T418">
            <v>2097595.4049916663</v>
          </cell>
          <cell r="U418">
            <v>3027208.7229007776</v>
          </cell>
          <cell r="V418">
            <v>5080603.7717123888</v>
          </cell>
          <cell r="W418">
            <v>13756849.929047896</v>
          </cell>
          <cell r="X418">
            <v>32904521.008603252</v>
          </cell>
        </row>
        <row r="419">
          <cell r="T419">
            <v>2101521.8299372667</v>
          </cell>
          <cell r="U419">
            <v>3034009.8305296493</v>
          </cell>
          <cell r="V419">
            <v>5089917.2114928979</v>
          </cell>
          <cell r="W419">
            <v>13780810.592563918</v>
          </cell>
          <cell r="X419">
            <v>32971210.464503013</v>
          </cell>
        </row>
        <row r="420">
          <cell r="T420">
            <v>2105448.2548828674</v>
          </cell>
          <cell r="U420">
            <v>3040810.9381585205</v>
          </cell>
          <cell r="V420">
            <v>5099230.6512734061</v>
          </cell>
          <cell r="W420">
            <v>13804771.256079938</v>
          </cell>
          <cell r="X420">
            <v>33037899.920402769</v>
          </cell>
        </row>
        <row r="421">
          <cell r="T421">
            <v>2109374.6798284678</v>
          </cell>
          <cell r="U421">
            <v>3047612.0457873917</v>
          </cell>
          <cell r="V421">
            <v>5108544.0910539152</v>
          </cell>
          <cell r="W421">
            <v>13828731.919595961</v>
          </cell>
          <cell r="X421">
            <v>33104589.376302529</v>
          </cell>
        </row>
        <row r="422">
          <cell r="T422">
            <v>2113301.1047740681</v>
          </cell>
          <cell r="U422">
            <v>3054413.1534162629</v>
          </cell>
          <cell r="V422">
            <v>5117857.5308344234</v>
          </cell>
          <cell r="W422">
            <v>13852692.583111981</v>
          </cell>
          <cell r="X422">
            <v>33171278.832202286</v>
          </cell>
        </row>
        <row r="423">
          <cell r="T423">
            <v>2117227.5297196689</v>
          </cell>
          <cell r="U423">
            <v>3061214.2610451342</v>
          </cell>
          <cell r="V423">
            <v>5127170.9706149325</v>
          </cell>
          <cell r="W423">
            <v>13876653.246628003</v>
          </cell>
          <cell r="X423">
            <v>33237968.288102046</v>
          </cell>
        </row>
        <row r="424">
          <cell r="T424">
            <v>2121153.9546652692</v>
          </cell>
          <cell r="U424">
            <v>3068015.3686740058</v>
          </cell>
          <cell r="V424">
            <v>5136484.4103954406</v>
          </cell>
          <cell r="W424">
            <v>13900613.910144024</v>
          </cell>
          <cell r="X424">
            <v>33304657.744001806</v>
          </cell>
        </row>
        <row r="425">
          <cell r="T425">
            <v>2125080.37961087</v>
          </cell>
          <cell r="U425">
            <v>3074816.4763028771</v>
          </cell>
          <cell r="V425">
            <v>5145797.8501759497</v>
          </cell>
          <cell r="W425">
            <v>13924574.573660046</v>
          </cell>
          <cell r="X425">
            <v>33371347.199901562</v>
          </cell>
        </row>
        <row r="426">
          <cell r="T426">
            <v>2129006.8045564704</v>
          </cell>
          <cell r="U426">
            <v>3081617.5839317483</v>
          </cell>
          <cell r="V426">
            <v>5155111.2899564579</v>
          </cell>
          <cell r="W426">
            <v>13948535.237176066</v>
          </cell>
          <cell r="X426">
            <v>33438036.655801322</v>
          </cell>
        </row>
        <row r="427">
          <cell r="T427">
            <v>2132933.2295020707</v>
          </cell>
          <cell r="U427">
            <v>3088418.6915606195</v>
          </cell>
          <cell r="V427">
            <v>5164424.729736967</v>
          </cell>
          <cell r="W427">
            <v>13972495.900692089</v>
          </cell>
          <cell r="X427">
            <v>33504726.111701079</v>
          </cell>
        </row>
        <row r="428">
          <cell r="T428">
            <v>2136859.6544476715</v>
          </cell>
          <cell r="U428">
            <v>3095219.7991894907</v>
          </cell>
          <cell r="V428">
            <v>5173738.1695174752</v>
          </cell>
          <cell r="W428">
            <v>13996456.564208109</v>
          </cell>
          <cell r="X428">
            <v>33571415.567600839</v>
          </cell>
        </row>
        <row r="429">
          <cell r="T429">
            <v>2140786.0793932718</v>
          </cell>
          <cell r="U429">
            <v>3102020.9068183624</v>
          </cell>
          <cell r="V429">
            <v>5183051.6092979843</v>
          </cell>
          <cell r="W429">
            <v>14020417.227724131</v>
          </cell>
          <cell r="X429">
            <v>33638105.023500599</v>
          </cell>
        </row>
        <row r="430">
          <cell r="T430">
            <v>2144712.5043388722</v>
          </cell>
          <cell r="U430">
            <v>3108822.0144472336</v>
          </cell>
          <cell r="V430">
            <v>5192365.0490784924</v>
          </cell>
          <cell r="W430">
            <v>14044377.891240152</v>
          </cell>
          <cell r="X430">
            <v>33704794.479400359</v>
          </cell>
        </row>
        <row r="431">
          <cell r="T431">
            <v>2148638.9292844729</v>
          </cell>
          <cell r="U431">
            <v>3115623.1220761049</v>
          </cell>
          <cell r="V431">
            <v>5201678.4888590015</v>
          </cell>
          <cell r="W431">
            <v>14068338.554756174</v>
          </cell>
          <cell r="X431">
            <v>33771483.935300112</v>
          </cell>
        </row>
        <row r="432">
          <cell r="T432">
            <v>2152565.3542300733</v>
          </cell>
          <cell r="U432">
            <v>3122424.2297049761</v>
          </cell>
          <cell r="V432">
            <v>5210991.9286395106</v>
          </cell>
          <cell r="W432">
            <v>14092299.218272196</v>
          </cell>
          <cell r="X432">
            <v>33838173.391199872</v>
          </cell>
        </row>
        <row r="433">
          <cell r="T433">
            <v>2156491.7791756741</v>
          </cell>
          <cell r="U433">
            <v>3129225.3373338473</v>
          </cell>
          <cell r="V433">
            <v>5220305.3684200188</v>
          </cell>
          <cell r="W433">
            <v>14116259.881788217</v>
          </cell>
          <cell r="X433">
            <v>33904862.847099632</v>
          </cell>
        </row>
        <row r="434">
          <cell r="T434">
            <v>2160418.2041212744</v>
          </cell>
          <cell r="U434">
            <v>3136026.444962719</v>
          </cell>
          <cell r="V434">
            <v>5229618.8082005279</v>
          </cell>
          <cell r="W434">
            <v>14140220.545304239</v>
          </cell>
          <cell r="X434">
            <v>33971552.302999392</v>
          </cell>
        </row>
        <row r="435">
          <cell r="T435">
            <v>2164344.6290668747</v>
          </cell>
          <cell r="U435">
            <v>3142827.5525915902</v>
          </cell>
          <cell r="V435">
            <v>5238932.2479810361</v>
          </cell>
          <cell r="W435">
            <v>14164181.208820259</v>
          </cell>
          <cell r="X435">
            <v>34038241.758899152</v>
          </cell>
        </row>
        <row r="436">
          <cell r="T436">
            <v>2168271.0540124755</v>
          </cell>
          <cell r="U436">
            <v>3149628.6602204614</v>
          </cell>
          <cell r="V436">
            <v>5248245.6877615452</v>
          </cell>
          <cell r="W436">
            <v>14188141.872336281</v>
          </cell>
          <cell r="X436">
            <v>34104931.214798905</v>
          </cell>
        </row>
        <row r="437">
          <cell r="T437">
            <v>2172197.4789580759</v>
          </cell>
          <cell r="U437">
            <v>3156429.7678493327</v>
          </cell>
          <cell r="V437">
            <v>5257358.5681498609</v>
          </cell>
          <cell r="W437">
            <v>14212102.535852302</v>
          </cell>
          <cell r="X437">
            <v>34171620.670698665</v>
          </cell>
        </row>
        <row r="438">
          <cell r="T438">
            <v>2176123.9039036762</v>
          </cell>
          <cell r="U438">
            <v>3163230.8754782039</v>
          </cell>
          <cell r="V438">
            <v>5266040.7482944326</v>
          </cell>
          <cell r="W438">
            <v>14236063.199368324</v>
          </cell>
          <cell r="X438">
            <v>34238310.126598425</v>
          </cell>
        </row>
        <row r="439">
          <cell r="T439">
            <v>2180050.328849277</v>
          </cell>
          <cell r="U439">
            <v>3170031.9831070756</v>
          </cell>
          <cell r="V439">
            <v>5274722.9284390043</v>
          </cell>
          <cell r="W439">
            <v>14260023.862884345</v>
          </cell>
          <cell r="X439">
            <v>34304999.582498185</v>
          </cell>
        </row>
        <row r="440">
          <cell r="T440">
            <v>2183976.7537948773</v>
          </cell>
          <cell r="U440">
            <v>3176833.0907359468</v>
          </cell>
          <cell r="V440">
            <v>5283405.108583577</v>
          </cell>
          <cell r="W440">
            <v>14283984.526400367</v>
          </cell>
          <cell r="X440">
            <v>34371689.038397945</v>
          </cell>
        </row>
        <row r="441">
          <cell r="T441">
            <v>2187903.1787404781</v>
          </cell>
          <cell r="U441">
            <v>3183634.198364818</v>
          </cell>
          <cell r="V441">
            <v>5292087.2887281487</v>
          </cell>
          <cell r="W441">
            <v>14307945.189916387</v>
          </cell>
          <cell r="X441">
            <v>34438378.494297698</v>
          </cell>
        </row>
        <row r="442">
          <cell r="T442">
            <v>2191829.6036860785</v>
          </cell>
          <cell r="U442">
            <v>3189502.2630852447</v>
          </cell>
          <cell r="V442">
            <v>5300769.4688727204</v>
          </cell>
          <cell r="W442">
            <v>14331905.853432409</v>
          </cell>
          <cell r="X442">
            <v>34505067.950197458</v>
          </cell>
        </row>
        <row r="443">
          <cell r="T443">
            <v>2195756.0286316788</v>
          </cell>
          <cell r="U443">
            <v>3195229.1790166204</v>
          </cell>
          <cell r="V443">
            <v>5309451.649017293</v>
          </cell>
          <cell r="W443">
            <v>14355866.51694843</v>
          </cell>
          <cell r="X443">
            <v>34571023.526589312</v>
          </cell>
        </row>
        <row r="444">
          <cell r="T444">
            <v>2199682.4535772796</v>
          </cell>
          <cell r="U444">
            <v>3200956.0949479961</v>
          </cell>
          <cell r="V444">
            <v>5318133.8291618647</v>
          </cell>
          <cell r="W444">
            <v>14379827.180464452</v>
          </cell>
          <cell r="X444">
            <v>34630681.910208084</v>
          </cell>
        </row>
        <row r="445">
          <cell r="T445">
            <v>2203608.8785228799</v>
          </cell>
          <cell r="U445">
            <v>3206683.0108793718</v>
          </cell>
          <cell r="V445">
            <v>5326816.0093064373</v>
          </cell>
          <cell r="W445">
            <v>14402625.433246234</v>
          </cell>
          <cell r="X445">
            <v>34690340.293826863</v>
          </cell>
        </row>
        <row r="446">
          <cell r="T446">
            <v>2207535.3034684802</v>
          </cell>
          <cell r="U446">
            <v>3212409.9268107475</v>
          </cell>
          <cell r="V446">
            <v>5335498.189451009</v>
          </cell>
          <cell r="W446">
            <v>14425105.523562668</v>
          </cell>
          <cell r="X446">
            <v>34749998.677445643</v>
          </cell>
        </row>
        <row r="447">
          <cell r="T447">
            <v>2211461.728414081</v>
          </cell>
          <cell r="U447">
            <v>3218136.8427421232</v>
          </cell>
          <cell r="V447">
            <v>5344180.3695955807</v>
          </cell>
          <cell r="W447">
            <v>14447585.613879099</v>
          </cell>
          <cell r="X447">
            <v>34809657.061064422</v>
          </cell>
        </row>
        <row r="448">
          <cell r="T448">
            <v>2215315.0264382237</v>
          </cell>
          <cell r="U448">
            <v>3223863.7586734989</v>
          </cell>
          <cell r="V448">
            <v>5352862.5497401534</v>
          </cell>
          <cell r="W448">
            <v>14470065.704195533</v>
          </cell>
          <cell r="X448">
            <v>34869315.444683202</v>
          </cell>
        </row>
        <row r="449">
          <cell r="T449">
            <v>2218978.5104512619</v>
          </cell>
          <cell r="U449">
            <v>3229590.6746048746</v>
          </cell>
          <cell r="V449">
            <v>5361544.7298847251</v>
          </cell>
          <cell r="W449">
            <v>14492545.794511965</v>
          </cell>
          <cell r="X449">
            <v>34928973.828301981</v>
          </cell>
        </row>
        <row r="450">
          <cell r="T450">
            <v>2222641.9944643006</v>
          </cell>
          <cell r="U450">
            <v>3235317.5905362503</v>
          </cell>
          <cell r="V450">
            <v>5370226.9100292968</v>
          </cell>
          <cell r="W450">
            <v>14515025.884828398</v>
          </cell>
          <cell r="X450">
            <v>34988632.211920761</v>
          </cell>
        </row>
        <row r="451">
          <cell r="T451">
            <v>2226305.4784773388</v>
          </cell>
          <cell r="U451">
            <v>3241044.506467626</v>
          </cell>
          <cell r="V451">
            <v>5378909.0901738694</v>
          </cell>
          <cell r="W451">
            <v>14537505.97514483</v>
          </cell>
          <cell r="X451">
            <v>35048290.59553954</v>
          </cell>
        </row>
        <row r="452">
          <cell r="T452">
            <v>2229968.9624903775</v>
          </cell>
          <cell r="U452">
            <v>3246771.4223990017</v>
          </cell>
          <cell r="V452">
            <v>5387591.2703184411</v>
          </cell>
          <cell r="W452">
            <v>14559986.065461263</v>
          </cell>
          <cell r="X452">
            <v>35107948.97915832</v>
          </cell>
        </row>
        <row r="453">
          <cell r="T453">
            <v>2233632.4465034157</v>
          </cell>
          <cell r="U453">
            <v>3252498.3383303774</v>
          </cell>
          <cell r="V453">
            <v>5396273.4504630137</v>
          </cell>
          <cell r="W453">
            <v>14582466.155777695</v>
          </cell>
          <cell r="X453">
            <v>35167607.362777099</v>
          </cell>
        </row>
        <row r="454">
          <cell r="T454">
            <v>2237295.9305164539</v>
          </cell>
          <cell r="U454">
            <v>3258225.2542617531</v>
          </cell>
          <cell r="V454">
            <v>5404955.6306075854</v>
          </cell>
          <cell r="W454">
            <v>14604946.246094128</v>
          </cell>
          <cell r="X454">
            <v>35227265.746395871</v>
          </cell>
        </row>
        <row r="455">
          <cell r="T455">
            <v>2240959.4145294926</v>
          </cell>
          <cell r="U455">
            <v>3263952.1701931288</v>
          </cell>
          <cell r="V455">
            <v>5413637.8107521571</v>
          </cell>
          <cell r="W455">
            <v>14627426.33641056</v>
          </cell>
          <cell r="X455">
            <v>35286924.130014651</v>
          </cell>
        </row>
        <row r="456">
          <cell r="T456">
            <v>2244622.8985425308</v>
          </cell>
          <cell r="U456">
            <v>3269679.0861245045</v>
          </cell>
          <cell r="V456">
            <v>5422319.9908967298</v>
          </cell>
          <cell r="W456">
            <v>14649906.426726993</v>
          </cell>
          <cell r="X456">
            <v>35346582.51363343</v>
          </cell>
        </row>
        <row r="457">
          <cell r="T457">
            <v>2248286.3825555695</v>
          </cell>
          <cell r="U457">
            <v>3275406.0020558801</v>
          </cell>
          <cell r="V457">
            <v>5431002.1710413015</v>
          </cell>
          <cell r="W457">
            <v>14672386.517043425</v>
          </cell>
          <cell r="X457">
            <v>35406240.897252209</v>
          </cell>
        </row>
        <row r="458">
          <cell r="T458">
            <v>2251949.8665686077</v>
          </cell>
          <cell r="U458">
            <v>3281132.9179872558</v>
          </cell>
          <cell r="V458">
            <v>5439684.3511858732</v>
          </cell>
          <cell r="W458">
            <v>14694866.607359858</v>
          </cell>
          <cell r="X458">
            <v>35465899.280870989</v>
          </cell>
        </row>
        <row r="459">
          <cell r="T459">
            <v>2255613.3505816464</v>
          </cell>
          <cell r="U459">
            <v>3286859.8339186315</v>
          </cell>
          <cell r="V459">
            <v>5448366.5313304458</v>
          </cell>
          <cell r="W459">
            <v>14717346.69767629</v>
          </cell>
          <cell r="X459">
            <v>35525557.664489768</v>
          </cell>
        </row>
        <row r="460">
          <cell r="T460">
            <v>2259276.8345946847</v>
          </cell>
          <cell r="U460">
            <v>3292586.7498500072</v>
          </cell>
          <cell r="V460">
            <v>5457048.7114750175</v>
          </cell>
          <cell r="W460">
            <v>14739826.787992723</v>
          </cell>
          <cell r="X460">
            <v>35585216.048108548</v>
          </cell>
        </row>
        <row r="461">
          <cell r="T461">
            <v>2262940.3186077233</v>
          </cell>
          <cell r="U461">
            <v>3298313.6657813829</v>
          </cell>
          <cell r="V461">
            <v>5465730.8916195901</v>
          </cell>
          <cell r="W461">
            <v>14762306.878309155</v>
          </cell>
          <cell r="X461">
            <v>35644874.431727327</v>
          </cell>
        </row>
        <row r="462">
          <cell r="T462">
            <v>2266603.8026207616</v>
          </cell>
          <cell r="U462">
            <v>3304040.5817127586</v>
          </cell>
          <cell r="V462">
            <v>5474413.0717641618</v>
          </cell>
          <cell r="W462">
            <v>14784786.968625588</v>
          </cell>
          <cell r="X462">
            <v>35704532.815346107</v>
          </cell>
        </row>
        <row r="463">
          <cell r="T463">
            <v>2270267.2866338002</v>
          </cell>
          <cell r="U463">
            <v>3309767.4976441343</v>
          </cell>
          <cell r="V463">
            <v>5483095.2519087335</v>
          </cell>
          <cell r="W463">
            <v>14807267.05894202</v>
          </cell>
          <cell r="X463">
            <v>35764191.198964879</v>
          </cell>
        </row>
        <row r="464">
          <cell r="T464">
            <v>2273930.7706468385</v>
          </cell>
          <cell r="U464">
            <v>3315494.41357551</v>
          </cell>
          <cell r="V464">
            <v>5491777.4320533061</v>
          </cell>
          <cell r="W464">
            <v>14829747.149258453</v>
          </cell>
          <cell r="X464">
            <v>35823849.582583658</v>
          </cell>
        </row>
        <row r="465">
          <cell r="T465">
            <v>2277594.2546598767</v>
          </cell>
          <cell r="U465">
            <v>3321221.3295068853</v>
          </cell>
          <cell r="V465">
            <v>5500459.6121978778</v>
          </cell>
          <cell r="W465">
            <v>14852227.239574885</v>
          </cell>
          <cell r="X465">
            <v>35883507.966202438</v>
          </cell>
        </row>
        <row r="466">
          <cell r="T466">
            <v>2281257.7386729154</v>
          </cell>
          <cell r="U466">
            <v>3326948.245438261</v>
          </cell>
          <cell r="V466">
            <v>5509141.7923424495</v>
          </cell>
          <cell r="W466">
            <v>14874707.329891318</v>
          </cell>
          <cell r="X466">
            <v>35943166.349821217</v>
          </cell>
        </row>
        <row r="467">
          <cell r="T467">
            <v>2284921.2226859536</v>
          </cell>
          <cell r="U467">
            <v>3332675.1613696367</v>
          </cell>
          <cell r="V467">
            <v>5517823.9724870222</v>
          </cell>
          <cell r="W467">
            <v>14897187.42020775</v>
          </cell>
          <cell r="X467">
            <v>36002824.733439997</v>
          </cell>
        </row>
        <row r="468">
          <cell r="T468">
            <v>2288584.7066989923</v>
          </cell>
          <cell r="U468">
            <v>3338402.0773010124</v>
          </cell>
          <cell r="V468">
            <v>5526266.8200800288</v>
          </cell>
          <cell r="W468">
            <v>14919667.510524184</v>
          </cell>
          <cell r="X468">
            <v>36062483.117058776</v>
          </cell>
        </row>
        <row r="469">
          <cell r="T469">
            <v>2292248.1907120305</v>
          </cell>
          <cell r="U469">
            <v>3344128.993232388</v>
          </cell>
          <cell r="V469">
            <v>5534597.5806224886</v>
          </cell>
          <cell r="W469">
            <v>14942147.600840615</v>
          </cell>
          <cell r="X469">
            <v>36122141.500677556</v>
          </cell>
        </row>
        <row r="470">
          <cell r="T470">
            <v>2295911.6747250692</v>
          </cell>
          <cell r="U470">
            <v>3349855.9091637637</v>
          </cell>
          <cell r="V470">
            <v>5542928.3411649494</v>
          </cell>
          <cell r="W470">
            <v>14964627.691157049</v>
          </cell>
          <cell r="X470">
            <v>36181799.884296335</v>
          </cell>
        </row>
        <row r="471">
          <cell r="T471">
            <v>2299575.1587381074</v>
          </cell>
          <cell r="U471">
            <v>3355582.8250951394</v>
          </cell>
          <cell r="V471">
            <v>5551259.1017074091</v>
          </cell>
          <cell r="W471">
            <v>14987107.78147348</v>
          </cell>
          <cell r="X471">
            <v>36241458.267915115</v>
          </cell>
        </row>
        <row r="472">
          <cell r="T472">
            <v>2303238.6427511461</v>
          </cell>
          <cell r="U472">
            <v>3361309.7410265151</v>
          </cell>
          <cell r="V472">
            <v>5559589.8622498699</v>
          </cell>
          <cell r="W472">
            <v>15009587.871789914</v>
          </cell>
          <cell r="X472">
            <v>36301116.651533894</v>
          </cell>
        </row>
        <row r="473">
          <cell r="T473">
            <v>2306902.1267641843</v>
          </cell>
          <cell r="U473">
            <v>3366876.608681615</v>
          </cell>
          <cell r="V473">
            <v>5567920.6227923296</v>
          </cell>
          <cell r="W473">
            <v>15032067.962106345</v>
          </cell>
          <cell r="X473">
            <v>36360775.035152666</v>
          </cell>
        </row>
        <row r="474">
          <cell r="T474">
            <v>2310565.610777223</v>
          </cell>
          <cell r="U474">
            <v>3372327.5569530576</v>
          </cell>
          <cell r="V474">
            <v>5576251.3833347904</v>
          </cell>
          <cell r="W474">
            <v>15054548.052422779</v>
          </cell>
          <cell r="X474">
            <v>36418185.714389272</v>
          </cell>
        </row>
        <row r="475">
          <cell r="T475">
            <v>2314229.0947902612</v>
          </cell>
          <cell r="U475">
            <v>3377778.5052245008</v>
          </cell>
          <cell r="V475">
            <v>5584582.1438772501</v>
          </cell>
          <cell r="W475">
            <v>15077028.14273921</v>
          </cell>
          <cell r="X475">
            <v>36473979.977168947</v>
          </cell>
        </row>
        <row r="476">
          <cell r="T476">
            <v>2317892.5788032999</v>
          </cell>
          <cell r="U476">
            <v>3383229.4534959435</v>
          </cell>
          <cell r="V476">
            <v>5592912.9044197109</v>
          </cell>
          <cell r="W476">
            <v>15099508.233055644</v>
          </cell>
          <cell r="X476">
            <v>36529774.239948623</v>
          </cell>
        </row>
        <row r="477">
          <cell r="T477">
            <v>2321556.0628163381</v>
          </cell>
          <cell r="U477">
            <v>3388680.4017673861</v>
          </cell>
          <cell r="V477">
            <v>5601243.6649621706</v>
          </cell>
          <cell r="W477">
            <v>15121988.323372075</v>
          </cell>
          <cell r="X477">
            <v>36585568.502728298</v>
          </cell>
        </row>
        <row r="478">
          <cell r="T478">
            <v>2325219.5468293764</v>
          </cell>
          <cell r="U478">
            <v>3394131.3500388288</v>
          </cell>
          <cell r="V478">
            <v>5609574.4255046304</v>
          </cell>
          <cell r="W478">
            <v>15144468.413688509</v>
          </cell>
          <cell r="X478">
            <v>36641362.765507966</v>
          </cell>
        </row>
        <row r="479">
          <cell r="T479">
            <v>2328883.0308424151</v>
          </cell>
          <cell r="U479">
            <v>3399582.2983102715</v>
          </cell>
          <cell r="V479">
            <v>5617905.1860470911</v>
          </cell>
          <cell r="W479">
            <v>15167506.831445288</v>
          </cell>
          <cell r="X479">
            <v>36697157.028287642</v>
          </cell>
        </row>
        <row r="480">
          <cell r="T480">
            <v>2332476.0778316748</v>
          </cell>
          <cell r="U480">
            <v>3405033.2465817141</v>
          </cell>
          <cell r="V480">
            <v>5626235.9465895509</v>
          </cell>
          <cell r="W480">
            <v>15190916.665867956</v>
          </cell>
          <cell r="X480">
            <v>36752951.291067317</v>
          </cell>
        </row>
        <row r="481">
          <cell r="T481">
            <v>2335894.2292798073</v>
          </cell>
          <cell r="U481">
            <v>3410484.1948531568</v>
          </cell>
          <cell r="V481">
            <v>5634566.7071320117</v>
          </cell>
          <cell r="W481">
            <v>15214326.500290627</v>
          </cell>
          <cell r="X481">
            <v>36808745.553846993</v>
          </cell>
        </row>
        <row r="482">
          <cell r="T482">
            <v>2339312.3807279398</v>
          </cell>
          <cell r="U482">
            <v>3415935.1431245995</v>
          </cell>
          <cell r="V482">
            <v>5642897.4676744714</v>
          </cell>
          <cell r="W482">
            <v>15237736.334713295</v>
          </cell>
          <cell r="X482">
            <v>36864539.816626668</v>
          </cell>
        </row>
        <row r="483">
          <cell r="T483">
            <v>2342730.5321760722</v>
          </cell>
          <cell r="U483">
            <v>3421386.0913960421</v>
          </cell>
          <cell r="V483">
            <v>5651228.2282169322</v>
          </cell>
          <cell r="W483">
            <v>15261146.169135965</v>
          </cell>
          <cell r="X483">
            <v>36920334.079406343</v>
          </cell>
        </row>
        <row r="484">
          <cell r="T484">
            <v>2346148.6836242047</v>
          </cell>
          <cell r="U484">
            <v>3426837.0396674848</v>
          </cell>
          <cell r="V484">
            <v>5659558.9887593919</v>
          </cell>
          <cell r="W484">
            <v>15284556.003558634</v>
          </cell>
          <cell r="X484">
            <v>36976128.342186019</v>
          </cell>
        </row>
        <row r="485">
          <cell r="T485">
            <v>2349566.8350723372</v>
          </cell>
          <cell r="U485">
            <v>3432287.9879389275</v>
          </cell>
          <cell r="V485">
            <v>5667889.7493018527</v>
          </cell>
          <cell r="W485">
            <v>15307965.837981302</v>
          </cell>
          <cell r="X485">
            <v>37031922.604965687</v>
          </cell>
        </row>
        <row r="486">
          <cell r="T486">
            <v>2352984.9865204697</v>
          </cell>
          <cell r="U486">
            <v>3437738.9362103702</v>
          </cell>
          <cell r="V486">
            <v>5676220.5098443124</v>
          </cell>
          <cell r="W486">
            <v>15331375.672403973</v>
          </cell>
          <cell r="X486">
            <v>37087716.867745362</v>
          </cell>
        </row>
        <row r="487">
          <cell r="T487">
            <v>2356403.1379686021</v>
          </cell>
          <cell r="U487">
            <v>3443189.8844818128</v>
          </cell>
          <cell r="V487">
            <v>5684551.2703867732</v>
          </cell>
          <cell r="W487">
            <v>15354785.506826641</v>
          </cell>
          <cell r="X487">
            <v>37143511.130525038</v>
          </cell>
        </row>
        <row r="488">
          <cell r="T488">
            <v>2359821.2894167351</v>
          </cell>
          <cell r="U488">
            <v>3448640.8327532555</v>
          </cell>
          <cell r="V488">
            <v>5692882.0309292329</v>
          </cell>
          <cell r="W488">
            <v>15378195.341249309</v>
          </cell>
          <cell r="X488">
            <v>37199305.393304713</v>
          </cell>
        </row>
        <row r="489">
          <cell r="T489">
            <v>2363239.4408648675</v>
          </cell>
          <cell r="U489">
            <v>3454091.7810246982</v>
          </cell>
          <cell r="V489">
            <v>5701212.7914716937</v>
          </cell>
          <cell r="W489">
            <v>15401605.17567198</v>
          </cell>
          <cell r="X489">
            <v>37255099.656084388</v>
          </cell>
        </row>
        <row r="490">
          <cell r="T490">
            <v>2366657.592313</v>
          </cell>
          <cell r="U490">
            <v>3459542.7292961408</v>
          </cell>
          <cell r="V490">
            <v>5709543.5520141535</v>
          </cell>
          <cell r="W490">
            <v>15425015.010094648</v>
          </cell>
          <cell r="X490">
            <v>37310893.918864064</v>
          </cell>
        </row>
        <row r="491">
          <cell r="T491">
            <v>2370075.7437611325</v>
          </cell>
          <cell r="U491">
            <v>3464993.6775675835</v>
          </cell>
          <cell r="V491">
            <v>5717874.3125566142</v>
          </cell>
          <cell r="W491">
            <v>15448424.844517317</v>
          </cell>
          <cell r="X491">
            <v>37366688.181643732</v>
          </cell>
        </row>
        <row r="492">
          <cell r="T492">
            <v>2373493.8952092649</v>
          </cell>
          <cell r="U492">
            <v>3470444.6258390262</v>
          </cell>
          <cell r="V492">
            <v>5726205.073099074</v>
          </cell>
          <cell r="W492">
            <v>15471834.678939987</v>
          </cell>
          <cell r="X492">
            <v>37422482.444423407</v>
          </cell>
        </row>
        <row r="493">
          <cell r="T493">
            <v>2376912.0466573974</v>
          </cell>
          <cell r="U493">
            <v>3475895.5741104688</v>
          </cell>
          <cell r="V493">
            <v>5734535.8336415347</v>
          </cell>
          <cell r="W493">
            <v>15495244.513362655</v>
          </cell>
          <cell r="X493">
            <v>37478276.707203083</v>
          </cell>
        </row>
        <row r="494">
          <cell r="T494">
            <v>2380330.1981055299</v>
          </cell>
          <cell r="U494">
            <v>3481346.5223819115</v>
          </cell>
          <cell r="V494">
            <v>5742866.5941839945</v>
          </cell>
          <cell r="W494">
            <v>15518654.347785326</v>
          </cell>
          <cell r="X494">
            <v>37534070.969982758</v>
          </cell>
        </row>
        <row r="495">
          <cell r="T495">
            <v>2383748.3495536624</v>
          </cell>
          <cell r="U495">
            <v>3486797.4706533542</v>
          </cell>
          <cell r="V495">
            <v>5751197.3547264542</v>
          </cell>
          <cell r="W495">
            <v>15542064.182207994</v>
          </cell>
          <cell r="X495">
            <v>37589865.232762434</v>
          </cell>
        </row>
        <row r="496">
          <cell r="T496">
            <v>2387166.5010017948</v>
          </cell>
          <cell r="U496">
            <v>3492248.4189247969</v>
          </cell>
          <cell r="V496">
            <v>5759528.115268915</v>
          </cell>
          <cell r="W496">
            <v>15565474.016630663</v>
          </cell>
          <cell r="X496">
            <v>37645659.495542109</v>
          </cell>
        </row>
        <row r="497">
          <cell r="T497">
            <v>2390584.6524499273</v>
          </cell>
          <cell r="U497">
            <v>3497699.3671962395</v>
          </cell>
          <cell r="V497">
            <v>5767858.8758113747</v>
          </cell>
          <cell r="W497">
            <v>15588883.851053333</v>
          </cell>
          <cell r="X497">
            <v>37701453.758321784</v>
          </cell>
        </row>
        <row r="498">
          <cell r="T498">
            <v>2394002.8038980598</v>
          </cell>
          <cell r="U498">
            <v>3503150.3154676822</v>
          </cell>
          <cell r="V498">
            <v>5776189.6363538355</v>
          </cell>
          <cell r="W498">
            <v>15612293.685476001</v>
          </cell>
          <cell r="X498">
            <v>37757248.021101452</v>
          </cell>
        </row>
        <row r="499">
          <cell r="T499">
            <v>2397420.9553461927</v>
          </cell>
          <cell r="U499">
            <v>3508601.2637391249</v>
          </cell>
          <cell r="V499">
            <v>5784520.3968962952</v>
          </cell>
          <cell r="W499">
            <v>15635703.51989867</v>
          </cell>
          <cell r="X499">
            <v>37813042.283881128</v>
          </cell>
        </row>
        <row r="500">
          <cell r="T500">
            <v>2400839.1067943252</v>
          </cell>
          <cell r="U500">
            <v>3514052.2120105675</v>
          </cell>
          <cell r="V500">
            <v>5792571.8292558137</v>
          </cell>
          <cell r="W500">
            <v>15659113.35432134</v>
          </cell>
          <cell r="X500">
            <v>37868836.546660803</v>
          </cell>
        </row>
        <row r="501">
          <cell r="T501">
            <v>2404257.2582424576</v>
          </cell>
          <cell r="U501">
            <v>3519503.1602820102</v>
          </cell>
          <cell r="V501">
            <v>5800531.1520607797</v>
          </cell>
          <cell r="W501">
            <v>15682523.188744009</v>
          </cell>
          <cell r="X501">
            <v>37924630.809440479</v>
          </cell>
        </row>
        <row r="502">
          <cell r="T502">
            <v>2407675.4096905901</v>
          </cell>
          <cell r="U502">
            <v>3524954.1085534529</v>
          </cell>
          <cell r="V502">
            <v>5808490.4748657467</v>
          </cell>
          <cell r="W502">
            <v>15705933.023166679</v>
          </cell>
          <cell r="X502">
            <v>37980425.072220154</v>
          </cell>
        </row>
        <row r="503">
          <cell r="T503">
            <v>2411093.5611387226</v>
          </cell>
          <cell r="U503">
            <v>3530405.0568248956</v>
          </cell>
          <cell r="V503">
            <v>5816449.7976707136</v>
          </cell>
          <cell r="W503">
            <v>15729342.857589347</v>
          </cell>
          <cell r="X503">
            <v>38036219.33499983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G363"/>
  <sheetViews>
    <sheetView tabSelected="1" topLeftCell="A23" workbookViewId="0">
      <selection activeCell="Y40" sqref="Y40"/>
    </sheetView>
  </sheetViews>
  <sheetFormatPr defaultColWidth="6.625" defaultRowHeight="11.25" x14ac:dyDescent="0.15"/>
  <cols>
    <col min="1" max="12" width="6.625" style="23"/>
    <col min="13" max="13" width="6.625" style="16"/>
    <col min="14" max="35" width="6.625" style="23"/>
    <col min="36" max="36" width="6.625" style="16"/>
    <col min="37" max="43" width="6.625" style="23"/>
    <col min="44" max="44" width="6.625" style="17"/>
    <col min="45" max="50" width="6.625" style="23"/>
    <col min="51" max="51" width="6.625" style="17"/>
    <col min="52" max="58" width="6.625" style="23"/>
    <col min="59" max="59" width="6.625" style="16"/>
    <col min="60" max="16384" width="6.625" style="23"/>
  </cols>
  <sheetData>
    <row r="1" spans="2:57" x14ac:dyDescent="0.15">
      <c r="F1" s="137" t="s">
        <v>161</v>
      </c>
      <c r="G1" s="137" t="s">
        <v>155</v>
      </c>
      <c r="H1" s="24"/>
      <c r="I1" s="137" t="s">
        <v>150</v>
      </c>
      <c r="J1" s="137" t="s">
        <v>155</v>
      </c>
      <c r="K1" s="137" t="s">
        <v>156</v>
      </c>
      <c r="P1" s="23">
        <v>1</v>
      </c>
      <c r="Q1" s="23">
        <v>0.85</v>
      </c>
      <c r="R1" s="23">
        <v>0.7</v>
      </c>
      <c r="S1" s="23">
        <v>0.5</v>
      </c>
      <c r="T1" s="23">
        <v>0.27500000000000002</v>
      </c>
      <c r="AM1" s="23">
        <v>1</v>
      </c>
      <c r="AN1" s="23">
        <v>0.8</v>
      </c>
      <c r="AO1" s="23">
        <v>0.6</v>
      </c>
      <c r="AP1" s="23">
        <v>0.4</v>
      </c>
      <c r="AQ1" s="23">
        <v>0.2</v>
      </c>
    </row>
    <row r="2" spans="2:57" x14ac:dyDescent="0.15">
      <c r="F2" s="137"/>
      <c r="G2" s="137"/>
      <c r="H2" s="24"/>
      <c r="I2" s="137"/>
      <c r="J2" s="137"/>
      <c r="K2" s="137"/>
      <c r="P2" s="136" t="s">
        <v>162</v>
      </c>
      <c r="Q2" s="136"/>
      <c r="R2" s="136"/>
      <c r="S2" s="136"/>
      <c r="T2" s="136"/>
      <c r="W2" s="136" t="s">
        <v>163</v>
      </c>
      <c r="X2" s="136"/>
      <c r="Y2" s="136"/>
      <c r="Z2" s="136"/>
      <c r="AA2" s="136"/>
      <c r="AD2" s="136" t="s">
        <v>164</v>
      </c>
      <c r="AE2" s="136"/>
      <c r="AF2" s="136"/>
      <c r="AG2" s="136"/>
      <c r="AH2" s="136"/>
      <c r="AM2" s="136" t="s">
        <v>151</v>
      </c>
      <c r="AN2" s="136"/>
      <c r="AO2" s="136"/>
      <c r="AP2" s="136"/>
      <c r="AQ2" s="136"/>
      <c r="AT2" s="136" t="s">
        <v>152</v>
      </c>
      <c r="AU2" s="136"/>
      <c r="AV2" s="136"/>
      <c r="AW2" s="136"/>
      <c r="AX2" s="136"/>
      <c r="BA2" s="136" t="s">
        <v>157</v>
      </c>
      <c r="BB2" s="136"/>
      <c r="BC2" s="136"/>
      <c r="BD2" s="136"/>
      <c r="BE2" s="136"/>
    </row>
    <row r="3" spans="2:57" x14ac:dyDescent="0.15">
      <c r="F3" s="23">
        <v>1</v>
      </c>
      <c r="G3" s="23">
        <v>7.1773462536293131E-2</v>
      </c>
      <c r="I3" s="23">
        <v>1</v>
      </c>
      <c r="J3" s="23">
        <v>7.4349177498517554E-3</v>
      </c>
      <c r="K3" s="18">
        <v>0.1</v>
      </c>
      <c r="N3" s="28" t="str">
        <f>[1]节奏总纲!N3</f>
        <v>对应玩家等级</v>
      </c>
      <c r="O3" s="23" t="s">
        <v>161</v>
      </c>
      <c r="P3" s="23" t="s">
        <v>74</v>
      </c>
      <c r="Q3" s="23" t="s">
        <v>75</v>
      </c>
      <c r="R3" s="23" t="s">
        <v>76</v>
      </c>
      <c r="S3" s="23" t="s">
        <v>77</v>
      </c>
      <c r="T3" s="23" t="s">
        <v>78</v>
      </c>
      <c r="V3" s="23" t="s">
        <v>161</v>
      </c>
      <c r="W3" s="23" t="s">
        <v>74</v>
      </c>
      <c r="X3" s="23" t="s">
        <v>75</v>
      </c>
      <c r="Y3" s="23" t="s">
        <v>76</v>
      </c>
      <c r="Z3" s="23" t="s">
        <v>77</v>
      </c>
      <c r="AA3" s="23" t="s">
        <v>78</v>
      </c>
      <c r="AC3" s="23" t="s">
        <v>158</v>
      </c>
      <c r="AD3" s="23" t="s">
        <v>74</v>
      </c>
      <c r="AE3" s="23" t="s">
        <v>75</v>
      </c>
      <c r="AF3" s="23" t="s">
        <v>76</v>
      </c>
      <c r="AG3" s="23" t="s">
        <v>77</v>
      </c>
      <c r="AH3" s="23" t="s">
        <v>78</v>
      </c>
      <c r="AL3" s="23" t="s">
        <v>150</v>
      </c>
      <c r="AM3" s="23" t="s">
        <v>74</v>
      </c>
      <c r="AN3" s="23" t="s">
        <v>75</v>
      </c>
      <c r="AO3" s="23" t="s">
        <v>76</v>
      </c>
      <c r="AP3" s="23" t="s">
        <v>77</v>
      </c>
      <c r="AQ3" s="23" t="s">
        <v>78</v>
      </c>
      <c r="AS3" s="23" t="s">
        <v>150</v>
      </c>
      <c r="AT3" s="23" t="s">
        <v>74</v>
      </c>
      <c r="AU3" s="23" t="s">
        <v>75</v>
      </c>
      <c r="AV3" s="23" t="s">
        <v>76</v>
      </c>
      <c r="AW3" s="23" t="s">
        <v>77</v>
      </c>
      <c r="AX3" s="23" t="s">
        <v>78</v>
      </c>
      <c r="AZ3" s="23" t="s">
        <v>158</v>
      </c>
      <c r="BA3" s="23" t="s">
        <v>74</v>
      </c>
      <c r="BB3" s="23" t="s">
        <v>75</v>
      </c>
      <c r="BC3" s="23" t="s">
        <v>76</v>
      </c>
      <c r="BD3" s="23" t="s">
        <v>77</v>
      </c>
      <c r="BE3" s="23" t="s">
        <v>78</v>
      </c>
    </row>
    <row r="4" spans="2:57" x14ac:dyDescent="0.15">
      <c r="F4" s="23">
        <v>2</v>
      </c>
      <c r="G4" s="23">
        <v>0.1486983549970351</v>
      </c>
      <c r="I4" s="23">
        <v>2</v>
      </c>
      <c r="J4" s="23">
        <v>2.3963093307967063E-2</v>
      </c>
      <c r="K4" s="18">
        <v>0.15</v>
      </c>
      <c r="N4" s="28">
        <f>[1]节奏总纲!N4</f>
        <v>2</v>
      </c>
      <c r="O4" s="23">
        <v>1</v>
      </c>
      <c r="P4" s="23">
        <f>[1]节奏总纲!P4</f>
        <v>7.1773462536293131E-2</v>
      </c>
      <c r="Q4" s="23">
        <f>[1]节奏总纲!Q4</f>
        <v>5.9787294292732177E-2</v>
      </c>
      <c r="R4" s="23">
        <f>[1]节奏总纲!R4</f>
        <v>4.677476553490223E-2</v>
      </c>
      <c r="S4" s="23">
        <f>[1]节奏总纲!S4</f>
        <v>3.2585151991477081E-2</v>
      </c>
      <c r="T4" s="23">
        <f>[1]节奏总纲!T4</f>
        <v>1.7039020006115988E-2</v>
      </c>
      <c r="V4" s="23">
        <v>1</v>
      </c>
      <c r="W4" s="23">
        <f>[1]节奏总纲!W4</f>
        <v>7.1773462536293131E-2</v>
      </c>
      <c r="X4" s="23">
        <f>[1]节奏总纲!X4</f>
        <v>5.9787294292732177E-2</v>
      </c>
      <c r="Y4" s="23">
        <f>[1]节奏总纲!Y4</f>
        <v>4.677476553490223E-2</v>
      </c>
      <c r="Z4" s="23">
        <f>[1]节奏总纲!Z4</f>
        <v>3.2585151991477081E-2</v>
      </c>
      <c r="AA4" s="23">
        <f>[1]节奏总纲!AA4</f>
        <v>1.7039020006115988E-2</v>
      </c>
      <c r="AC4" s="23">
        <v>1</v>
      </c>
      <c r="AD4" s="23">
        <f>[1]节奏总纲!AD4</f>
        <v>10</v>
      </c>
      <c r="AE4" s="23">
        <f>[1]节奏总纲!AE4</f>
        <v>11.148446722089302</v>
      </c>
      <c r="AF4" s="23">
        <f>[1]节奏总纲!AF4</f>
        <v>12.761737853656415</v>
      </c>
      <c r="AG4" s="23">
        <f>[1]节奏总纲!AG4</f>
        <v>15.452231935206081</v>
      </c>
      <c r="AH4" s="23">
        <f>[1]节奏总纲!AH4</f>
        <v>21.291911942729964</v>
      </c>
      <c r="AL4" s="23">
        <v>1</v>
      </c>
      <c r="AM4" s="23">
        <f>[1]节奏总纲!AM4</f>
        <v>7.4349177498517554E-3</v>
      </c>
      <c r="AN4" s="23">
        <f>[1]节奏总纲!AN4</f>
        <v>5.947934199881405E-3</v>
      </c>
      <c r="AO4" s="23">
        <f>[1]节奏总纲!AO4</f>
        <v>4.4609506499110529E-3</v>
      </c>
      <c r="AP4" s="23">
        <f>[1]节奏总纲!AP4</f>
        <v>2.9739670999407025E-3</v>
      </c>
      <c r="AQ4" s="23">
        <f>[1]节奏总纲!AQ4</f>
        <v>1.4869835499703513E-3</v>
      </c>
      <c r="AS4" s="23">
        <v>1</v>
      </c>
      <c r="AT4" s="23">
        <f>[1]节奏总纲!AT4</f>
        <v>7.4349177498517554E-3</v>
      </c>
      <c r="AU4" s="23">
        <f>[1]节奏总纲!AU4</f>
        <v>5.947934199881405E-3</v>
      </c>
      <c r="AV4" s="23">
        <f>[1]节奏总纲!AV4</f>
        <v>4.4609506499110529E-3</v>
      </c>
      <c r="AW4" s="23">
        <f>[1]节奏总纲!AW4</f>
        <v>2.9739670999407025E-3</v>
      </c>
      <c r="AX4" s="23">
        <f>[1]节奏总纲!AX4</f>
        <v>1.4869835499703513E-3</v>
      </c>
      <c r="AY4" s="23"/>
      <c r="AZ4" s="23">
        <v>1</v>
      </c>
      <c r="BA4" s="23">
        <f>[1]节奏总纲!BA4</f>
        <v>11.296493250964016</v>
      </c>
      <c r="BB4" s="23">
        <f>[1]节奏总纲!BB4</f>
        <v>12.361596792946616</v>
      </c>
      <c r="BC4" s="23">
        <f>[1]节奏总纲!BC4</f>
        <v>13.798091195443488</v>
      </c>
      <c r="BD4" s="23">
        <f>[1]节奏总纲!BD4</f>
        <v>15.911635365458322</v>
      </c>
      <c r="BE4" s="23">
        <f>[1]节奏总纲!BE4</f>
        <v>19.707330185578734</v>
      </c>
    </row>
    <row r="5" spans="2:57" x14ac:dyDescent="0.15">
      <c r="F5" s="23">
        <v>3</v>
      </c>
      <c r="G5" s="23">
        <v>0.23114441334491631</v>
      </c>
      <c r="I5" s="23">
        <v>3</v>
      </c>
      <c r="J5" s="23">
        <v>5.1571656651039799E-2</v>
      </c>
      <c r="K5" s="18">
        <v>0.2</v>
      </c>
      <c r="N5" s="28">
        <f>[1]节奏总纲!N5</f>
        <v>4</v>
      </c>
      <c r="O5" s="23">
        <v>2</v>
      </c>
      <c r="P5" s="23">
        <f>[1]节奏总纲!P5</f>
        <v>0.1486983549970351</v>
      </c>
      <c r="Q5" s="23">
        <f>[1]节奏总纲!Q5</f>
        <v>0.12505531655250651</v>
      </c>
      <c r="R5" s="23">
        <f>[1]节奏总纲!R5</f>
        <v>9.883979656652922E-2</v>
      </c>
      <c r="S5" s="23">
        <f>[1]节奏总纲!S5</f>
        <v>6.9828747506607683E-2</v>
      </c>
      <c r="T5" s="23">
        <f>[1]节奏总纲!T5</f>
        <v>3.7085369736260552E-2</v>
      </c>
      <c r="U5" s="29"/>
      <c r="V5" s="23">
        <v>2</v>
      </c>
      <c r="W5" s="23">
        <f>[1]节奏总纲!W5</f>
        <v>7.6924892460741967E-2</v>
      </c>
      <c r="X5" s="23">
        <f>[1]节奏总纲!X5</f>
        <v>6.5268022259774336E-2</v>
      </c>
      <c r="Y5" s="23">
        <f>[1]节奏总纲!Y5</f>
        <v>5.206503103162699E-2</v>
      </c>
      <c r="Z5" s="23">
        <f>[1]节奏总纲!Z5</f>
        <v>3.7243595515130602E-2</v>
      </c>
      <c r="AA5" s="23">
        <f>[1]节奏总纲!AA5</f>
        <v>2.0046349730144564E-2</v>
      </c>
      <c r="AC5" s="23">
        <v>2</v>
      </c>
      <c r="AD5" s="23">
        <f>[1]节奏总纲!AD5</f>
        <v>15.845161563010114</v>
      </c>
      <c r="AE5" s="23">
        <f>[1]节奏总纲!AE5</f>
        <v>17.271997130667014</v>
      </c>
      <c r="AF5" s="23">
        <f>[1]节奏总纲!AF5</f>
        <v>19.263096801323076</v>
      </c>
      <c r="AG5" s="23">
        <f>[1]节奏总纲!AG5</f>
        <v>22.536681597650272</v>
      </c>
      <c r="AH5" s="23">
        <f>[1]节奏总纲!AH5</f>
        <v>29.386000042029625</v>
      </c>
      <c r="AL5" s="23">
        <v>2</v>
      </c>
      <c r="AM5" s="23">
        <f>[1]节奏总纲!AM5</f>
        <v>2.3963093307967063E-2</v>
      </c>
      <c r="AN5" s="23">
        <f>[1]节奏总纲!AN5</f>
        <v>1.9170474646373652E-2</v>
      </c>
      <c r="AO5" s="23">
        <f>[1]节奏总纲!AO5</f>
        <v>1.4377855984780237E-2</v>
      </c>
      <c r="AP5" s="23">
        <f>[1]节奏总纲!AP5</f>
        <v>9.5852373231868262E-3</v>
      </c>
      <c r="AQ5" s="23">
        <f>[1]节奏总纲!AQ5</f>
        <v>4.7926186615934131E-3</v>
      </c>
      <c r="AS5" s="23">
        <v>2</v>
      </c>
      <c r="AT5" s="23">
        <f>[1]节奏总纲!AT5</f>
        <v>1.6528175558115307E-2</v>
      </c>
      <c r="AU5" s="23">
        <f>[1]节奏总纲!AU5</f>
        <v>1.3222540446492247E-2</v>
      </c>
      <c r="AV5" s="23">
        <f>[1]节奏总纲!AV5</f>
        <v>9.9169053348691846E-3</v>
      </c>
      <c r="AW5" s="23">
        <f>[1]节奏总纲!AW5</f>
        <v>6.6112702232461237E-3</v>
      </c>
      <c r="AX5" s="23">
        <f>[1]节奏总纲!AX5</f>
        <v>3.3056351116230618E-3</v>
      </c>
      <c r="AY5" s="23"/>
      <c r="AZ5" s="23">
        <v>2</v>
      </c>
      <c r="BA5" s="23">
        <f>[1]节奏总纲!BA5</f>
        <v>14.729965238833779</v>
      </c>
      <c r="BB5" s="23">
        <f>[1]节奏总纲!BB5</f>
        <v>15.911635365458322</v>
      </c>
      <c r="BC5" s="23">
        <f>[1]节奏总纲!BC5</f>
        <v>17.448850811924295</v>
      </c>
      <c r="BD5" s="23">
        <f>[1]节奏总纲!BD5</f>
        <v>19.707330185578734</v>
      </c>
      <c r="BE5" s="23">
        <f>[1]节奏总纲!BE5</f>
        <v>23.710496742673982</v>
      </c>
    </row>
    <row r="6" spans="2:57" x14ac:dyDescent="0.15">
      <c r="B6" s="136" t="s">
        <v>165</v>
      </c>
      <c r="C6" s="136"/>
      <c r="D6" s="136"/>
      <c r="F6" s="23">
        <v>4</v>
      </c>
      <c r="G6" s="23">
        <v>0.3195079107728942</v>
      </c>
      <c r="I6" s="23">
        <v>4</v>
      </c>
      <c r="J6" s="23">
        <v>9.2637640824031031E-2</v>
      </c>
      <c r="K6" s="18">
        <v>0.25</v>
      </c>
      <c r="N6" s="28">
        <f>[1]节奏总纲!N6</f>
        <v>6</v>
      </c>
      <c r="O6" s="23">
        <v>3</v>
      </c>
      <c r="P6" s="23">
        <f>[1]节奏总纲!P6</f>
        <v>0.23114441334491631</v>
      </c>
      <c r="Q6" s="23">
        <f>[1]节奏总纲!Q6</f>
        <v>0.19582554698581309</v>
      </c>
      <c r="R6" s="23">
        <f>[1]节奏总纲!R6</f>
        <v>0.15616116565582547</v>
      </c>
      <c r="S6" s="23">
        <f>[1]节奏总纲!S6</f>
        <v>0.11120357726023924</v>
      </c>
      <c r="T6" s="23">
        <f>[1]节奏总纲!T6</f>
        <v>5.9380999788309005E-2</v>
      </c>
      <c r="U6" s="29"/>
      <c r="V6" s="23">
        <v>3</v>
      </c>
      <c r="W6" s="23">
        <f>[1]节奏总纲!W6</f>
        <v>8.2446058347881213E-2</v>
      </c>
      <c r="X6" s="23">
        <f>[1]节奏总纲!X6</f>
        <v>7.0770230433306575E-2</v>
      </c>
      <c r="Y6" s="23">
        <f>[1]节奏总纲!Y6</f>
        <v>5.7321369089296248E-2</v>
      </c>
      <c r="Z6" s="23">
        <f>[1]节奏总纲!Z6</f>
        <v>4.1374829753631562E-2</v>
      </c>
      <c r="AA6" s="23">
        <f>[1]节奏总纲!AA6</f>
        <v>2.2295630052048453E-2</v>
      </c>
      <c r="AC6" s="23">
        <v>3</v>
      </c>
      <c r="AD6" s="23">
        <f>[1]节奏总纲!AD6</f>
        <v>20</v>
      </c>
      <c r="AE6" s="23">
        <f>[1]节奏总纲!AE6</f>
        <v>21.543844702365945</v>
      </c>
      <c r="AF6" s="23">
        <f>[1]节奏总纲!AF6</f>
        <v>23.734615677065324</v>
      </c>
      <c r="AG6" s="23">
        <f>[1]节奏总纲!AG6</f>
        <v>27.324610510337703</v>
      </c>
      <c r="AH6" s="23">
        <f>[1]节奏总纲!AH6</f>
        <v>34.517938607173015</v>
      </c>
      <c r="AL6" s="23">
        <v>3</v>
      </c>
      <c r="AM6" s="23">
        <f>[1]节奏总纲!AM6</f>
        <v>5.1571656651039799E-2</v>
      </c>
      <c r="AN6" s="23">
        <f>[1]节奏总纲!AN6</f>
        <v>4.1257325320831845E-2</v>
      </c>
      <c r="AO6" s="23">
        <f>[1]节奏总纲!AO6</f>
        <v>3.0942993990623877E-2</v>
      </c>
      <c r="AP6" s="23">
        <f>[1]节奏总纲!AP6</f>
        <v>2.0628662660415922E-2</v>
      </c>
      <c r="AQ6" s="23">
        <f>[1]节奏总纲!AQ6</f>
        <v>1.0314331330207961E-2</v>
      </c>
      <c r="AS6" s="23">
        <v>3</v>
      </c>
      <c r="AT6" s="23">
        <f>[1]节奏总纲!AT6</f>
        <v>2.7608563343072736E-2</v>
      </c>
      <c r="AU6" s="23">
        <f>[1]节奏总纲!AU6</f>
        <v>2.2086850674458192E-2</v>
      </c>
      <c r="AV6" s="23">
        <f>[1]节奏总纲!AV6</f>
        <v>1.6565138005843638E-2</v>
      </c>
      <c r="AW6" s="23">
        <f>[1]节奏总纲!AW6</f>
        <v>1.1043425337229096E-2</v>
      </c>
      <c r="AX6" s="23">
        <f>[1]节奏总纲!AX6</f>
        <v>5.5217126686145481E-3</v>
      </c>
      <c r="AY6" s="23"/>
      <c r="AZ6" s="23">
        <v>3</v>
      </c>
      <c r="BA6" s="23">
        <f>[1]节奏总纲!BA6</f>
        <v>16.888397947066121</v>
      </c>
      <c r="BB6" s="23">
        <f>[1]节奏总纲!BB6</f>
        <v>18.108391417375849</v>
      </c>
      <c r="BC6" s="23">
        <f>[1]节奏总纲!BC6</f>
        <v>19.707330185578734</v>
      </c>
      <c r="BD6" s="23">
        <f>[1]节奏总纲!BD6</f>
        <v>22.041972908628715</v>
      </c>
      <c r="BE6" s="23">
        <f>[1]节奏总纲!BE6</f>
        <v>26.127796402772656</v>
      </c>
    </row>
    <row r="7" spans="2:57" x14ac:dyDescent="0.15">
      <c r="B7" s="23" t="s">
        <v>161</v>
      </c>
      <c r="C7" s="23" t="s">
        <v>90</v>
      </c>
      <c r="D7" s="23" t="s">
        <v>153</v>
      </c>
      <c r="F7" s="23">
        <v>5</v>
      </c>
      <c r="G7" s="23">
        <v>0.41421356237309515</v>
      </c>
      <c r="I7" s="23">
        <v>5</v>
      </c>
      <c r="J7" s="23">
        <v>0.15</v>
      </c>
      <c r="K7" s="18">
        <v>0.3</v>
      </c>
      <c r="N7" s="28">
        <f>[1]节奏总纲!N7</f>
        <v>8</v>
      </c>
      <c r="O7" s="23">
        <v>4</v>
      </c>
      <c r="P7" s="23">
        <f>[1]节奏总纲!P7</f>
        <v>0.3195079107728942</v>
      </c>
      <c r="Q7" s="23">
        <f>[1]节奏总纲!Q7</f>
        <v>0.2719651336498875</v>
      </c>
      <c r="R7" s="23">
        <f>[1]节奏总纲!R7</f>
        <v>0.21816000147573214</v>
      </c>
      <c r="S7" s="23">
        <f>[1]节奏总纲!S7</f>
        <v>0.15607961441255883</v>
      </c>
      <c r="T7" s="23">
        <f>[1]节奏总纲!T7</f>
        <v>8.4062531324348461E-2</v>
      </c>
      <c r="U7" s="29"/>
      <c r="V7" s="23">
        <v>4</v>
      </c>
      <c r="W7" s="23">
        <f>[1]节奏总纲!W7</f>
        <v>8.8363497427977888E-2</v>
      </c>
      <c r="X7" s="23">
        <f>[1]节奏总纲!X7</f>
        <v>7.6139586664074416E-2</v>
      </c>
      <c r="Y7" s="23">
        <f>[1]节奏总纲!Y7</f>
        <v>6.1998835819906672E-2</v>
      </c>
      <c r="Z7" s="23">
        <f>[1]节奏总纲!Z7</f>
        <v>4.4876037152319581E-2</v>
      </c>
      <c r="AA7" s="23">
        <f>[1]节奏总纲!AA7</f>
        <v>2.4681531536039455E-2</v>
      </c>
      <c r="AC7" s="23">
        <v>4</v>
      </c>
      <c r="AD7" s="23">
        <f>[1]节奏总纲!AD7</f>
        <v>23.213386604241784</v>
      </c>
      <c r="AE7" s="23">
        <f>[1]节奏总纲!AE7</f>
        <v>24.836966034810484</v>
      </c>
      <c r="AF7" s="23">
        <f>[1]节奏总纲!AF7</f>
        <v>27.155717181399513</v>
      </c>
      <c r="AG7" s="23">
        <f>[1]节奏总纲!AG7</f>
        <v>30.831257561377125</v>
      </c>
      <c r="AH7" s="23">
        <f>[1]节奏总纲!AH7</f>
        <v>38.431365705145346</v>
      </c>
      <c r="AL7" s="23">
        <v>4</v>
      </c>
      <c r="AM7" s="23">
        <f>[1]节奏总纲!AM7</f>
        <v>9.2637640824031031E-2</v>
      </c>
      <c r="AN7" s="23">
        <f>[1]节奏总纲!AN7</f>
        <v>7.4110112659224833E-2</v>
      </c>
      <c r="AO7" s="23">
        <f>[1]节奏总纲!AO7</f>
        <v>5.5582584494418615E-2</v>
      </c>
      <c r="AP7" s="23">
        <f>[1]节奏总纲!AP7</f>
        <v>3.7055056329612417E-2</v>
      </c>
      <c r="AQ7" s="23">
        <f>[1]节奏总纲!AQ7</f>
        <v>1.8527528164806208E-2</v>
      </c>
      <c r="AS7" s="23">
        <v>4</v>
      </c>
      <c r="AT7" s="23">
        <f>[1]节奏总纲!AT7</f>
        <v>4.1065984172991232E-2</v>
      </c>
      <c r="AU7" s="23">
        <f>[1]节奏总纲!AU7</f>
        <v>3.2852787338392989E-2</v>
      </c>
      <c r="AV7" s="23">
        <f>[1]节奏总纲!AV7</f>
        <v>2.4639590503794738E-2</v>
      </c>
      <c r="AW7" s="23">
        <f>[1]节奏总纲!AW7</f>
        <v>1.6426393669196494E-2</v>
      </c>
      <c r="AX7" s="23">
        <f>[1]节奏总纲!AX7</f>
        <v>8.2131968345982471E-3</v>
      </c>
      <c r="AY7" s="23"/>
      <c r="AZ7" s="23">
        <v>4</v>
      </c>
      <c r="BA7" s="23">
        <f>[1]节奏总纲!BA7</f>
        <v>18.453550676044042</v>
      </c>
      <c r="BB7" s="23">
        <f>[1]节奏总纲!BB7</f>
        <v>19.707330185578734</v>
      </c>
      <c r="BC7" s="23">
        <f>[1]节奏总纲!BC7</f>
        <v>21.34613466141565</v>
      </c>
      <c r="BD7" s="23">
        <f>[1]节奏总纲!BD7</f>
        <v>23.710496742673982</v>
      </c>
      <c r="BE7" s="23">
        <f>[1]节奏总纲!BE7</f>
        <v>27.863030247590562</v>
      </c>
    </row>
    <row r="8" spans="2:57" x14ac:dyDescent="0.15">
      <c r="B8" s="23">
        <v>10</v>
      </c>
      <c r="C8" s="23">
        <v>1</v>
      </c>
      <c r="D8" s="23">
        <v>1</v>
      </c>
      <c r="F8" s="23">
        <v>6</v>
      </c>
      <c r="G8" s="23">
        <v>0.51571656651039799</v>
      </c>
      <c r="I8" s="23">
        <v>6</v>
      </c>
      <c r="J8" s="23">
        <v>0.22055744069899194</v>
      </c>
      <c r="K8" s="18">
        <v>0.34</v>
      </c>
      <c r="N8" s="28">
        <f>[1]节奏总纲!N8</f>
        <v>10</v>
      </c>
      <c r="O8" s="23">
        <v>5</v>
      </c>
      <c r="P8" s="23">
        <f>[1]节奏总纲!P8</f>
        <v>0.41421356237309515</v>
      </c>
      <c r="Q8" s="23">
        <f>[1]节奏总纲!Q8</f>
        <v>0.35241289886702937</v>
      </c>
      <c r="R8" s="23">
        <f>[1]节奏总纲!R8</f>
        <v>0.28315639123824782</v>
      </c>
      <c r="S8" s="23">
        <f>[1]节奏总纲!S8</f>
        <v>0.20296464556281663</v>
      </c>
      <c r="T8" s="23">
        <f>[1]节奏总纲!T8</f>
        <v>0.10951806589144637</v>
      </c>
      <c r="U8" s="29"/>
      <c r="V8" s="23">
        <v>5</v>
      </c>
      <c r="W8" s="23">
        <f>[1]节奏总纲!W8</f>
        <v>9.4705651600200946E-2</v>
      </c>
      <c r="X8" s="23">
        <f>[1]节奏总纲!X8</f>
        <v>8.0447765217141864E-2</v>
      </c>
      <c r="Y8" s="23">
        <f>[1]节奏总纲!Y8</f>
        <v>6.4996389762515677E-2</v>
      </c>
      <c r="Z8" s="23">
        <f>[1]节奏总纲!Z8</f>
        <v>4.68850311502578E-2</v>
      </c>
      <c r="AA8" s="23">
        <f>[1]节奏总纲!AA8</f>
        <v>2.5455534567097912E-2</v>
      </c>
      <c r="AC8" s="23">
        <v>5</v>
      </c>
      <c r="AD8" s="23">
        <f>[1]节奏总纲!AD8</f>
        <v>25.845161563010112</v>
      </c>
      <c r="AE8" s="23">
        <f>[1]节奏总纲!AE8</f>
        <v>27.525245270311611</v>
      </c>
      <c r="AF8" s="23">
        <f>[1]节奏总纲!AF8</f>
        <v>29.892344464157688</v>
      </c>
      <c r="AG8" s="23">
        <f>[1]节奏总纲!AG8</f>
        <v>33.672145166817529</v>
      </c>
      <c r="AH8" s="23">
        <f>[1]节奏总纲!AH8</f>
        <v>41.359260538726978</v>
      </c>
      <c r="AL8" s="23">
        <v>5</v>
      </c>
      <c r="AM8" s="23">
        <f>[1]节奏总纲!AM8</f>
        <v>0.15</v>
      </c>
      <c r="AN8" s="23">
        <f>[1]节奏总纲!AN8</f>
        <v>0.12</v>
      </c>
      <c r="AO8" s="23">
        <f>[1]节奏总纲!AO8</f>
        <v>0.09</v>
      </c>
      <c r="AP8" s="23">
        <f>[1]节奏总纲!AP8</f>
        <v>0.06</v>
      </c>
      <c r="AQ8" s="23">
        <f>[1]节奏总纲!AQ8</f>
        <v>0.03</v>
      </c>
      <c r="AS8" s="23">
        <v>5</v>
      </c>
      <c r="AT8" s="23">
        <f>[1]节奏总纲!AT8</f>
        <v>5.7362359175968963E-2</v>
      </c>
      <c r="AU8" s="23">
        <f>[1]节奏总纲!AU8</f>
        <v>4.5889887340775162E-2</v>
      </c>
      <c r="AV8" s="23">
        <f>[1]节奏总纲!AV8</f>
        <v>3.4417415505581382E-2</v>
      </c>
      <c r="AW8" s="23">
        <f>[1]节奏总纲!AW8</f>
        <v>2.2944943670387581E-2</v>
      </c>
      <c r="AX8" s="23">
        <f>[1]节奏总纲!AX8</f>
        <v>1.1472471835193791E-2</v>
      </c>
      <c r="AY8" s="23"/>
      <c r="AZ8" s="23">
        <v>5</v>
      </c>
      <c r="BA8" s="23">
        <f>[1]节奏总纲!BA8</f>
        <v>19.707330185578734</v>
      </c>
      <c r="BB8" s="23">
        <f>[1]节奏总纲!BB8</f>
        <v>20.993539484876777</v>
      </c>
      <c r="BC8" s="23">
        <f>[1]节奏总纲!BC8</f>
        <v>22.639743033177162</v>
      </c>
      <c r="BD8" s="23">
        <f>[1]节奏总纲!BD8</f>
        <v>25.044229735272328</v>
      </c>
      <c r="BE8" s="23">
        <f>[1]节奏总纲!BE8</f>
        <v>29.216428548527322</v>
      </c>
    </row>
    <row r="9" spans="2:57" x14ac:dyDescent="0.15">
      <c r="B9" s="23">
        <v>20</v>
      </c>
      <c r="C9" s="23">
        <v>3</v>
      </c>
      <c r="D9" s="23">
        <v>2</v>
      </c>
      <c r="F9" s="23">
        <v>7</v>
      </c>
      <c r="G9" s="23">
        <v>0.62450479271247095</v>
      </c>
      <c r="I9" s="23">
        <v>7</v>
      </c>
      <c r="J9" s="23">
        <v>0.31141300609369982</v>
      </c>
      <c r="K9" s="18">
        <v>0.38</v>
      </c>
      <c r="N9" s="28">
        <f>[1]节奏总纲!N9</f>
        <v>12</v>
      </c>
      <c r="O9" s="23">
        <v>6</v>
      </c>
      <c r="P9" s="23">
        <f>[1]节奏总纲!P9</f>
        <v>0.51571656651039799</v>
      </c>
      <c r="Q9" s="23">
        <f>[1]节奏总纲!Q9</f>
        <v>0.43939051466685908</v>
      </c>
      <c r="R9" s="23">
        <f>[1]节奏总纲!R9</f>
        <v>0.35336899137292471</v>
      </c>
      <c r="S9" s="23">
        <f>[1]节奏总纲!S9</f>
        <v>0.25440298225957936</v>
      </c>
      <c r="T9" s="23">
        <f>[1]节奏总纲!T9</f>
        <v>0.13836675479473978</v>
      </c>
      <c r="U9" s="29"/>
      <c r="V9" s="23">
        <v>6</v>
      </c>
      <c r="W9" s="23">
        <f>[1]节奏总纲!W9</f>
        <v>0.10150300413730284</v>
      </c>
      <c r="X9" s="23">
        <f>[1]节奏总纲!X9</f>
        <v>8.6977615799829711E-2</v>
      </c>
      <c r="Y9" s="23">
        <f>[1]节奏总纲!Y9</f>
        <v>7.0212600134676895E-2</v>
      </c>
      <c r="Z9" s="23">
        <f>[1]节奏总纲!Z9</f>
        <v>5.1438336696762732E-2</v>
      </c>
      <c r="AA9" s="23">
        <f>[1]节奏总纲!AA9</f>
        <v>2.884868890329341E-2</v>
      </c>
      <c r="AC9" s="23">
        <v>6</v>
      </c>
      <c r="AD9" s="23">
        <f>[1]节奏总纲!AD9</f>
        <v>28.071211008105138</v>
      </c>
      <c r="AE9" s="23">
        <f>[1]节奏总纲!AE9</f>
        <v>29.78183527117605</v>
      </c>
      <c r="AF9" s="23">
        <f>[1]节奏总纲!AF9</f>
        <v>32.202183458664891</v>
      </c>
      <c r="AG9" s="23">
        <f>[1]节奏总纲!AG9</f>
        <v>36.067019846099676</v>
      </c>
      <c r="AH9" s="23">
        <f>[1]节奏总纲!AH9</f>
        <v>43.870275262019007</v>
      </c>
      <c r="AL9" s="23">
        <v>6</v>
      </c>
      <c r="AM9" s="23">
        <f>[1]节奏总纲!AM9</f>
        <v>0.22055744069899194</v>
      </c>
      <c r="AN9" s="23">
        <f>[1]节奏总纲!AN9</f>
        <v>0.17644595255919357</v>
      </c>
      <c r="AO9" s="23">
        <f>[1]节奏总纲!AO9</f>
        <v>0.13233446441939517</v>
      </c>
      <c r="AP9" s="23">
        <f>[1]节奏总纲!AP9</f>
        <v>8.8222976279596785E-2</v>
      </c>
      <c r="AQ9" s="23">
        <f>[1]节奏总纲!AQ9</f>
        <v>4.4111488139798392E-2</v>
      </c>
      <c r="AS9" s="23">
        <v>6</v>
      </c>
      <c r="AT9" s="23">
        <f>[1]节奏总纲!AT9</f>
        <v>7.0557440698991947E-2</v>
      </c>
      <c r="AU9" s="23">
        <f>[1]节奏总纲!AU9</f>
        <v>5.6445952559193574E-2</v>
      </c>
      <c r="AV9" s="23">
        <f>[1]节奏总纲!AV9</f>
        <v>4.2334464419395174E-2</v>
      </c>
      <c r="AW9" s="23">
        <f>[1]节奏总纲!AW9</f>
        <v>2.8222976279596787E-2</v>
      </c>
      <c r="AX9" s="23">
        <f>[1]节奏总纲!AX9</f>
        <v>1.4111488139798394E-2</v>
      </c>
      <c r="AY9" s="23"/>
      <c r="AZ9" s="23">
        <v>6</v>
      </c>
      <c r="BA9" s="23">
        <f>[1]节奏总纲!BA9</f>
        <v>20.745154613657583</v>
      </c>
      <c r="BB9" s="23">
        <f>[1]节奏总纲!BB9</f>
        <v>22.041972908628715</v>
      </c>
      <c r="BC9" s="23">
        <f>[1]节奏总纲!BC9</f>
        <v>23.710496742673982</v>
      </c>
      <c r="BD9" s="23">
        <f>[1]节奏总纲!BD9</f>
        <v>26.127796402772656</v>
      </c>
      <c r="BE9" s="23">
        <f>[1]节奏总纲!BE9</f>
        <v>30.329493925593439</v>
      </c>
    </row>
    <row r="10" spans="2:57" x14ac:dyDescent="0.15">
      <c r="B10" s="23">
        <v>30</v>
      </c>
      <c r="C10" s="23">
        <v>7</v>
      </c>
      <c r="D10" s="23">
        <v>4</v>
      </c>
      <c r="F10" s="23">
        <v>8</v>
      </c>
      <c r="G10" s="23">
        <v>0.74110112659224825</v>
      </c>
      <c r="I10" s="23">
        <v>8</v>
      </c>
      <c r="J10" s="23">
        <v>0.42660095793436714</v>
      </c>
      <c r="K10" s="18">
        <v>0.42</v>
      </c>
      <c r="N10" s="28">
        <f>[1]节奏总纲!N10</f>
        <v>14</v>
      </c>
      <c r="O10" s="23">
        <v>7</v>
      </c>
      <c r="P10" s="23">
        <f>[1]节奏总纲!P10</f>
        <v>0.62450479271247095</v>
      </c>
      <c r="Q10" s="23">
        <f>[1]节奏总纲!Q10</f>
        <v>0.53413894920697635</v>
      </c>
      <c r="R10" s="23">
        <f>[1]节奏总纲!R10</f>
        <v>0.43072095553379119</v>
      </c>
      <c r="S10" s="23">
        <f>[1]节奏总纲!S10</f>
        <v>0.30950457526830061</v>
      </c>
      <c r="T10" s="23">
        <f>[1]节奏总纲!T10</f>
        <v>0.16699258157131475</v>
      </c>
      <c r="U10" s="29"/>
      <c r="V10" s="23">
        <v>7</v>
      </c>
      <c r="W10" s="23">
        <f>[1]节奏总纲!W10</f>
        <v>0.10878822620207296</v>
      </c>
      <c r="X10" s="23">
        <f>[1]节奏总纲!X10</f>
        <v>9.4748434540117277E-2</v>
      </c>
      <c r="Y10" s="23">
        <f>[1]节奏总纲!Y10</f>
        <v>7.7351964160866482E-2</v>
      </c>
      <c r="Z10" s="23">
        <f>[1]节奏总纲!Z10</f>
        <v>5.510159300872125E-2</v>
      </c>
      <c r="AA10" s="23">
        <f>[1]节奏总纲!AA10</f>
        <v>2.8625826776574964E-2</v>
      </c>
      <c r="AC10" s="23">
        <v>7</v>
      </c>
      <c r="AD10" s="23">
        <f>[1]节奏总纲!AD10</f>
        <v>30</v>
      </c>
      <c r="AE10" s="23">
        <f>[1]节奏总纲!AE10</f>
        <v>31.718819483847451</v>
      </c>
      <c r="AF10" s="23">
        <f>[1]节奏总纲!AF10</f>
        <v>34.192155176139416</v>
      </c>
      <c r="AG10" s="23">
        <f>[1]节奏总纲!AG10</f>
        <v>38.19822972207853</v>
      </c>
      <c r="AH10" s="23">
        <f>[1]节奏总纲!AH10</f>
        <v>46.093186357957826</v>
      </c>
      <c r="AL10" s="23">
        <v>7</v>
      </c>
      <c r="AM10" s="23">
        <f>[1]节奏总纲!AM10</f>
        <v>0.31141300609369982</v>
      </c>
      <c r="AN10" s="23">
        <f>[1]节奏总纲!AN10</f>
        <v>0.24913040487495985</v>
      </c>
      <c r="AO10" s="23">
        <f>[1]节奏总纲!AO10</f>
        <v>0.18684780365621989</v>
      </c>
      <c r="AP10" s="23">
        <f>[1]节奏总纲!AP10</f>
        <v>0.12456520243747993</v>
      </c>
      <c r="AQ10" s="23">
        <f>[1]节奏总纲!AQ10</f>
        <v>6.2282601218739964E-2</v>
      </c>
      <c r="AS10" s="23">
        <v>7</v>
      </c>
      <c r="AT10" s="23">
        <f>[1]节奏总纲!AT10</f>
        <v>9.0855565394707877E-2</v>
      </c>
      <c r="AU10" s="23">
        <f>[1]节奏总纲!AU10</f>
        <v>7.2684452315766285E-2</v>
      </c>
      <c r="AV10" s="23">
        <f>[1]节奏总纲!AV10</f>
        <v>5.451333923682472E-2</v>
      </c>
      <c r="AW10" s="23">
        <f>[1]节奏总纲!AW10</f>
        <v>3.6342226157883142E-2</v>
      </c>
      <c r="AX10" s="23">
        <f>[1]节奏总纲!AX10</f>
        <v>1.8171113078941571E-2</v>
      </c>
      <c r="AY10" s="23"/>
      <c r="AZ10" s="23">
        <v>7</v>
      </c>
      <c r="BA10" s="23">
        <f>[1]节奏总纲!BA10</f>
        <v>21.627432338833255</v>
      </c>
      <c r="BB10" s="23">
        <f>[1]节奏总纲!BB10</f>
        <v>22.938628095451385</v>
      </c>
      <c r="BC10" s="23">
        <f>[1]节奏总纲!BC10</f>
        <v>24.619152272059132</v>
      </c>
      <c r="BD10" s="23">
        <f>[1]节奏总纲!BD10</f>
        <v>27.059707353051884</v>
      </c>
      <c r="BE10" s="23">
        <f>[1]节奏总纲!BE10</f>
        <v>31.280110398778046</v>
      </c>
    </row>
    <row r="11" spans="2:57" x14ac:dyDescent="0.15">
      <c r="B11" s="23">
        <v>40</v>
      </c>
      <c r="C11" s="23">
        <v>15</v>
      </c>
      <c r="D11" s="23">
        <v>8</v>
      </c>
      <c r="F11" s="23">
        <v>9</v>
      </c>
      <c r="G11" s="23">
        <v>0.86606598307361482</v>
      </c>
      <c r="I11" s="23">
        <v>9</v>
      </c>
      <c r="J11" s="23">
        <v>0.57090651823243421</v>
      </c>
      <c r="K11" s="18">
        <v>0.46</v>
      </c>
      <c r="N11" s="28">
        <f>[1]节奏总纲!N11</f>
        <v>16</v>
      </c>
      <c r="O11" s="23">
        <v>8</v>
      </c>
      <c r="P11" s="23">
        <f>[1]节奏总纲!P11</f>
        <v>0.74110112659224825</v>
      </c>
      <c r="Q11" s="23">
        <f>[1]节奏总纲!Q11</f>
        <v>0.63089938906798093</v>
      </c>
      <c r="R11" s="23">
        <f>[1]节奏总纲!R11</f>
        <v>0.50550507844857251</v>
      </c>
      <c r="S11" s="23">
        <f>[1]节奏总纲!S11</f>
        <v>0.36195379022765406</v>
      </c>
      <c r="T11" s="23">
        <f>[1]节奏总纲!T11</f>
        <v>0.19579891764567198</v>
      </c>
      <c r="U11" s="29"/>
      <c r="V11" s="23">
        <v>8</v>
      </c>
      <c r="W11" s="23">
        <f>[1]节奏总纲!W11</f>
        <v>0.1165963338797773</v>
      </c>
      <c r="X11" s="23">
        <f>[1]节奏总纲!X11</f>
        <v>9.6760439861004577E-2</v>
      </c>
      <c r="Y11" s="23">
        <f>[1]节奏总纲!Y11</f>
        <v>7.4784122914781315E-2</v>
      </c>
      <c r="Z11" s="23">
        <f>[1]节奏总纲!Z11</f>
        <v>5.2449214959353452E-2</v>
      </c>
      <c r="AA11" s="23">
        <f>[1]节奏总纲!AA11</f>
        <v>2.8806336074357231E-2</v>
      </c>
      <c r="AC11" s="23">
        <v>8</v>
      </c>
      <c r="AD11" s="23">
        <f>[1]节奏总纲!AD11</f>
        <v>31.691928656135214</v>
      </c>
      <c r="AE11" s="23">
        <f>[1]节奏总纲!AE11</f>
        <v>33.465251056098396</v>
      </c>
      <c r="AF11" s="23">
        <f>[1]节奏总纲!AF11</f>
        <v>35.930751746472978</v>
      </c>
      <c r="AG11" s="23">
        <f>[1]节奏总纲!AG11</f>
        <v>39.998279638578282</v>
      </c>
      <c r="AH11" s="23">
        <f>[1]节奏总纲!AH11</f>
        <v>48.067140183443534</v>
      </c>
      <c r="AL11" s="23">
        <v>8</v>
      </c>
      <c r="AM11" s="23">
        <f>[1]节奏总纲!AM11</f>
        <v>0.42660095793436714</v>
      </c>
      <c r="AN11" s="23">
        <f>[1]节奏总纲!AN11</f>
        <v>0.34128076634749371</v>
      </c>
      <c r="AO11" s="23">
        <f>[1]节奏总纲!AO11</f>
        <v>0.25596057476062029</v>
      </c>
      <c r="AP11" s="23">
        <f>[1]节奏总纲!AP11</f>
        <v>0.17064038317374686</v>
      </c>
      <c r="AQ11" s="23">
        <f>[1]节奏总纲!AQ11</f>
        <v>8.5320191586873428E-2</v>
      </c>
      <c r="AS11" s="23">
        <v>8</v>
      </c>
      <c r="AT11" s="23">
        <f>[1]节奏总纲!AT11</f>
        <v>0.11518795184066732</v>
      </c>
      <c r="AU11" s="23">
        <f>[1]节奏总纲!AU11</f>
        <v>9.2150361472533859E-2</v>
      </c>
      <c r="AV11" s="23">
        <f>[1]节奏总纲!AV11</f>
        <v>6.9112771104400395E-2</v>
      </c>
      <c r="AW11" s="23">
        <f>[1]节奏总纲!AW11</f>
        <v>4.607518073626693E-2</v>
      </c>
      <c r="AX11" s="23">
        <f>[1]节奏总纲!AX11</f>
        <v>2.3037590368133465E-2</v>
      </c>
      <c r="AY11" s="23"/>
      <c r="AZ11" s="23">
        <v>8</v>
      </c>
      <c r="BA11" s="23">
        <f>[1]节奏总纲!BA11</f>
        <v>22.400634983357783</v>
      </c>
      <c r="BB11" s="23">
        <f>[1]节奏总纲!BB11</f>
        <v>23.710496742673982</v>
      </c>
      <c r="BC11" s="23">
        <f>[1]节奏总纲!BC11</f>
        <v>25.412810862541733</v>
      </c>
      <c r="BD11" s="23">
        <f>[1]节奏总纲!BD11</f>
        <v>27.863030247590562</v>
      </c>
      <c r="BE11" s="23">
        <f>[1]节奏总纲!BE11</f>
        <v>32.113552950216736</v>
      </c>
    </row>
    <row r="12" spans="2:57" x14ac:dyDescent="0.15">
      <c r="B12" s="23">
        <v>50</v>
      </c>
      <c r="C12" s="23">
        <v>31</v>
      </c>
      <c r="D12" s="23">
        <v>16</v>
      </c>
      <c r="F12" s="23">
        <v>10</v>
      </c>
      <c r="G12" s="23">
        <v>1</v>
      </c>
      <c r="I12" s="23">
        <v>10</v>
      </c>
      <c r="J12" s="23">
        <v>0.75</v>
      </c>
      <c r="K12" s="18">
        <v>0.5</v>
      </c>
      <c r="N12" s="28">
        <f>[1]节奏总纲!N12</f>
        <v>18</v>
      </c>
      <c r="O12" s="23">
        <v>9</v>
      </c>
      <c r="P12" s="23">
        <f>[1]节奏总纲!P12</f>
        <v>0.86606598307361482</v>
      </c>
      <c r="Q12" s="23">
        <f>[1]节奏总纲!Q12</f>
        <v>0.73702215159564621</v>
      </c>
      <c r="R12" s="23">
        <f>[1]节奏总纲!R12</f>
        <v>0.59282216541388932</v>
      </c>
      <c r="S12" s="23">
        <f>[1]节奏总纲!S12</f>
        <v>0.42766338244175101</v>
      </c>
      <c r="T12" s="23">
        <f>[1]节奏总纲!T12</f>
        <v>0.23193247026711403</v>
      </c>
      <c r="U12" s="29"/>
      <c r="V12" s="23">
        <v>9</v>
      </c>
      <c r="W12" s="23">
        <f>[1]节奏总纲!W12</f>
        <v>0.12496485648136657</v>
      </c>
      <c r="X12" s="23">
        <f>[1]节奏总纲!X12</f>
        <v>0.10612276252766528</v>
      </c>
      <c r="Y12" s="23">
        <f>[1]节奏总纲!Y12</f>
        <v>8.7317086965316815E-2</v>
      </c>
      <c r="Z12" s="23">
        <f>[1]节奏总纲!Z12</f>
        <v>6.5709592214096946E-2</v>
      </c>
      <c r="AA12" s="23">
        <f>[1]节奏总纲!AA12</f>
        <v>3.613355262144205E-2</v>
      </c>
      <c r="AC12" s="23">
        <v>9</v>
      </c>
      <c r="AD12" s="23">
        <f>[1]节奏总纲!AD12</f>
        <v>33.213386604241784</v>
      </c>
      <c r="AE12" s="23">
        <f>[1]节奏总纲!AE12</f>
        <v>34.992730785174565</v>
      </c>
      <c r="AF12" s="23">
        <f>[1]节奏总纲!AF12</f>
        <v>37.510565846691456</v>
      </c>
      <c r="AG12" s="23">
        <f>[1]节奏总纲!AG12</f>
        <v>41.534743419557365</v>
      </c>
      <c r="AH12" s="23">
        <f>[1]节奏总纲!AH12</f>
        <v>49.706056771838036</v>
      </c>
      <c r="AL12" s="23">
        <v>9</v>
      </c>
      <c r="AM12" s="23">
        <f>[1]节奏总纲!AM12</f>
        <v>0.57090651823243421</v>
      </c>
      <c r="AN12" s="23">
        <f>[1]节奏总纲!AN12</f>
        <v>0.45672521458594739</v>
      </c>
      <c r="AO12" s="23">
        <f>[1]节奏总纲!AO12</f>
        <v>0.34254391093946052</v>
      </c>
      <c r="AP12" s="23">
        <f>[1]节奏总纲!AP12</f>
        <v>0.2283626072929737</v>
      </c>
      <c r="AQ12" s="23">
        <f>[1]节奏总纲!AQ12</f>
        <v>0.11418130364648685</v>
      </c>
      <c r="AS12" s="23">
        <v>9</v>
      </c>
      <c r="AT12" s="23">
        <f>[1]节奏总纲!AT12</f>
        <v>0.14430556029806707</v>
      </c>
      <c r="AU12" s="23">
        <f>[1]节奏总纲!AU12</f>
        <v>0.11544444823845368</v>
      </c>
      <c r="AV12" s="23">
        <f>[1]节奏总纲!AV12</f>
        <v>8.6583336178840231E-2</v>
      </c>
      <c r="AW12" s="23">
        <f>[1]节奏总纲!AW12</f>
        <v>5.7722224119226839E-2</v>
      </c>
      <c r="AX12" s="23">
        <f>[1]节奏总纲!AX12</f>
        <v>2.886111205961342E-2</v>
      </c>
      <c r="AY12" s="23"/>
      <c r="AZ12" s="23">
        <v>9</v>
      </c>
      <c r="BA12" s="23">
        <f>[1]节奏总纲!BA12</f>
        <v>23.100336713798686</v>
      </c>
      <c r="BB12" s="23">
        <f>[1]节奏总纲!BB12</f>
        <v>24.402761517547276</v>
      </c>
      <c r="BC12" s="23">
        <f>[1]节奏总纲!BC12</f>
        <v>26.127796402772656</v>
      </c>
      <c r="BD12" s="23">
        <f>[1]节奏总纲!BD12</f>
        <v>28.568390277483555</v>
      </c>
      <c r="BE12" s="23">
        <f>[1]节奏总纲!BE12</f>
        <v>32.842201900114915</v>
      </c>
    </row>
    <row r="13" spans="2:57" x14ac:dyDescent="0.15">
      <c r="B13" s="23">
        <v>60</v>
      </c>
      <c r="C13" s="23">
        <v>63</v>
      </c>
      <c r="D13" s="23">
        <v>32</v>
      </c>
      <c r="F13" s="23">
        <v>11</v>
      </c>
      <c r="G13" s="23">
        <v>1.1435469250725863</v>
      </c>
      <c r="I13" s="23">
        <v>11</v>
      </c>
      <c r="J13" s="23">
        <v>0.93464628919691628</v>
      </c>
      <c r="K13" s="18">
        <v>0.52</v>
      </c>
      <c r="N13" s="28">
        <f>[1]节奏总纲!N13</f>
        <v>20</v>
      </c>
      <c r="O13" s="23">
        <v>10</v>
      </c>
      <c r="P13" s="23">
        <f>[1]节奏总纲!P13</f>
        <v>1</v>
      </c>
      <c r="Q13" s="23">
        <f>[1]节奏总纲!Q13</f>
        <v>0.8548</v>
      </c>
      <c r="R13" s="23">
        <f>[1]节奏总纲!R13</f>
        <v>0.6895</v>
      </c>
      <c r="S13" s="23">
        <f>[1]节奏总纲!S13</f>
        <v>0.49980000000000002</v>
      </c>
      <c r="T13" s="23">
        <f>[1]节奏总纲!T13</f>
        <v>0.2732</v>
      </c>
      <c r="U13" s="29"/>
      <c r="V13" s="23">
        <v>10</v>
      </c>
      <c r="W13" s="23">
        <f>[1]节奏总纲!W13</f>
        <v>0.13393401692638518</v>
      </c>
      <c r="X13" s="23">
        <f>[1]节奏总纲!X13</f>
        <v>0.11777784840435379</v>
      </c>
      <c r="Y13" s="23">
        <f>[1]节奏总纲!Y13</f>
        <v>9.6677834586110678E-2</v>
      </c>
      <c r="Z13" s="23">
        <f>[1]节奏总纲!Z13</f>
        <v>7.2136617558249017E-2</v>
      </c>
      <c r="AA13" s="23">
        <f>[1]节奏总纲!AA13</f>
        <v>4.1267529732885971E-2</v>
      </c>
      <c r="AC13" s="23">
        <v>10</v>
      </c>
      <c r="AD13" s="23">
        <f>[1]节奏总纲!AD13</f>
        <v>34.585942742481357</v>
      </c>
      <c r="AE13" s="23">
        <f>[1]节奏总纲!AE13</f>
        <v>36.36169634498642</v>
      </c>
      <c r="AF13" s="23">
        <f>[1]节奏总纲!AF13</f>
        <v>38.977035507933373</v>
      </c>
      <c r="AG13" s="23">
        <f>[1]节奏总纲!AG13</f>
        <v>42.970748198558951</v>
      </c>
      <c r="AH13" s="23">
        <f>[1]节奏总纲!AH13</f>
        <v>51.212821897464167</v>
      </c>
      <c r="AL13" s="23">
        <v>10</v>
      </c>
      <c r="AM13" s="23">
        <f>[1]节奏总纲!AM13</f>
        <v>0.75</v>
      </c>
      <c r="AN13" s="23">
        <f>[1]节奏总纲!AN13</f>
        <v>0.60000000000000009</v>
      </c>
      <c r="AO13" s="23">
        <f>[1]节奏总纲!AO13</f>
        <v>0.44999999999999996</v>
      </c>
      <c r="AP13" s="23">
        <f>[1]节奏总纲!AP13</f>
        <v>0.30000000000000004</v>
      </c>
      <c r="AQ13" s="23">
        <f>[1]节奏总纲!AQ13</f>
        <v>0.15000000000000002</v>
      </c>
      <c r="AS13" s="23">
        <v>10</v>
      </c>
      <c r="AT13" s="23">
        <f>[1]节奏总纲!AT13</f>
        <v>0.17909348176756579</v>
      </c>
      <c r="AU13" s="23">
        <f>[1]节奏总纲!AU13</f>
        <v>0.1432747854140527</v>
      </c>
      <c r="AV13" s="23">
        <f>[1]节奏总纲!AV13</f>
        <v>0.10745608906053944</v>
      </c>
      <c r="AW13" s="23">
        <f>[1]节奏总纲!AW13</f>
        <v>7.1637392707026348E-2</v>
      </c>
      <c r="AX13" s="23">
        <f>[1]节奏总纲!AX13</f>
        <v>3.5818696353513174E-2</v>
      </c>
      <c r="AY13" s="23"/>
      <c r="AZ13" s="23">
        <v>10</v>
      </c>
      <c r="BA13" s="23">
        <f>[1]节奏总纲!BA13</f>
        <v>23.710496742673982</v>
      </c>
      <c r="BB13" s="23">
        <f>[1]节奏总纲!BB13</f>
        <v>25.044229735272328</v>
      </c>
      <c r="BC13" s="23">
        <f>[1]节奏总纲!BC13</f>
        <v>26.755953543357073</v>
      </c>
      <c r="BD13" s="23">
        <f>[1]节奏总纲!BD13</f>
        <v>29.216428548527322</v>
      </c>
      <c r="BE13" s="23">
        <f>[1]节奏总纲!BE13</f>
        <v>33.487933395889513</v>
      </c>
    </row>
    <row r="14" spans="2:57" x14ac:dyDescent="0.15">
      <c r="B14" s="23">
        <v>70</v>
      </c>
      <c r="C14" s="23">
        <v>127</v>
      </c>
      <c r="D14" s="23">
        <v>64</v>
      </c>
      <c r="F14" s="23">
        <v>12</v>
      </c>
      <c r="G14" s="23">
        <v>1.2973967099940702</v>
      </c>
      <c r="I14" s="23">
        <v>12</v>
      </c>
      <c r="J14" s="23">
        <v>1.1550685436347259</v>
      </c>
      <c r="K14" s="18">
        <v>0.54</v>
      </c>
      <c r="N14" s="28">
        <f>[1]节奏总纲!N14</f>
        <v>21</v>
      </c>
      <c r="O14" s="23">
        <v>11</v>
      </c>
      <c r="P14" s="23">
        <f>[1]节奏总纲!P14</f>
        <v>1.1435469250725863</v>
      </c>
      <c r="Q14" s="23">
        <f>[1]节奏总纲!Q14</f>
        <v>0.98036277886472811</v>
      </c>
      <c r="R14" s="23">
        <f>[1]节奏总纲!R14</f>
        <v>0.79453640354043287</v>
      </c>
      <c r="S14" s="23">
        <f>[1]节奏总纲!S14</f>
        <v>0.57577587677404707</v>
      </c>
      <c r="T14" s="23">
        <f>[1]节奏总纲!T14</f>
        <v>0.31767733578516444</v>
      </c>
      <c r="U14" s="29"/>
      <c r="V14" s="23">
        <v>11</v>
      </c>
      <c r="W14" s="23">
        <f>[1]节奏总纲!W14</f>
        <v>0.14354692507258626</v>
      </c>
      <c r="X14" s="23">
        <f>[1]节奏总纲!X14</f>
        <v>0.12556277886472811</v>
      </c>
      <c r="Y14" s="23">
        <f>[1]节奏总纲!Y14</f>
        <v>0.10503640354043287</v>
      </c>
      <c r="Z14" s="23">
        <f>[1]节奏总纲!Z14</f>
        <v>7.5975876774047046E-2</v>
      </c>
      <c r="AA14" s="23">
        <f>[1]节奏总纲!AA14</f>
        <v>4.447733578516444E-2</v>
      </c>
      <c r="AC14" s="23">
        <v>11</v>
      </c>
      <c r="AD14" s="23">
        <f>[1]节奏总纲!AD14</f>
        <v>35.845161563010116</v>
      </c>
      <c r="AE14" s="23">
        <f>[1]节奏总纲!AE14</f>
        <v>37.6388925299823</v>
      </c>
      <c r="AF14" s="23">
        <f>[1]节奏总纲!AF14</f>
        <v>40.259528204263837</v>
      </c>
      <c r="AG14" s="23">
        <f>[1]节奏总纲!AG14</f>
        <v>44.288230531994081</v>
      </c>
      <c r="AH14" s="23">
        <f>[1]节奏总纲!AH14</f>
        <v>52.559419343629337</v>
      </c>
      <c r="AL14" s="23">
        <v>11</v>
      </c>
      <c r="AM14" s="23">
        <f>[1]节奏总纲!AM14</f>
        <v>0.93464628919691628</v>
      </c>
      <c r="AN14" s="23">
        <f>[1]节奏总纲!AN14</f>
        <v>0.74771703135753309</v>
      </c>
      <c r="AO14" s="23">
        <f>[1]节奏总纲!AO14</f>
        <v>0.56078777351814979</v>
      </c>
      <c r="AP14" s="23">
        <f>[1]节奏总纲!AP14</f>
        <v>0.37385851567876655</v>
      </c>
      <c r="AQ14" s="23">
        <f>[1]节奏总纲!AQ14</f>
        <v>0.18692925783938327</v>
      </c>
      <c r="AS14" s="23">
        <v>11</v>
      </c>
      <c r="AT14" s="23">
        <f>[1]节奏总纲!AT14</f>
        <v>0.18464628919691628</v>
      </c>
      <c r="AU14" s="23">
        <f>[1]节奏总纲!AU14</f>
        <v>0.147717031357533</v>
      </c>
      <c r="AV14" s="23">
        <f>[1]节奏总纲!AV14</f>
        <v>0.11078777351814983</v>
      </c>
      <c r="AW14" s="23">
        <f>[1]节奏总纲!AW14</f>
        <v>7.3858515678766501E-2</v>
      </c>
      <c r="AX14" s="23">
        <f>[1]节奏总纲!AX14</f>
        <v>3.692925783938325E-2</v>
      </c>
      <c r="AY14" s="23"/>
      <c r="AZ14" s="23">
        <v>11</v>
      </c>
      <c r="BA14" s="23">
        <f>[1]节奏总纲!BA14</f>
        <v>24.272927064840161</v>
      </c>
      <c r="BB14" s="23">
        <f>[1]节奏总纲!BB14</f>
        <v>25.597101426176433</v>
      </c>
      <c r="BC14" s="23">
        <f>[1]节奏总纲!BC14</f>
        <v>27.327481651231444</v>
      </c>
      <c r="BD14" s="23">
        <f>[1]节奏总纲!BD14</f>
        <v>29.80118336305917</v>
      </c>
      <c r="BE14" s="23">
        <f>[1]节奏总纲!BE14</f>
        <v>34.09469189131628</v>
      </c>
    </row>
    <row r="15" spans="2:57" x14ac:dyDescent="0.15">
      <c r="B15" s="23">
        <v>80</v>
      </c>
      <c r="C15" s="23">
        <v>255</v>
      </c>
      <c r="D15" s="23">
        <v>128</v>
      </c>
      <c r="F15" s="23">
        <v>13</v>
      </c>
      <c r="G15" s="23">
        <v>1.4622888266898326</v>
      </c>
      <c r="I15" s="23">
        <v>13</v>
      </c>
      <c r="J15" s="23">
        <v>1.417602554491646</v>
      </c>
      <c r="K15" s="18">
        <v>0.56000000000000005</v>
      </c>
      <c r="N15" s="28">
        <f>[1]节奏总纲!N15</f>
        <v>22</v>
      </c>
      <c r="O15" s="23">
        <v>12</v>
      </c>
      <c r="P15" s="23">
        <f>[1]节奏总纲!P15</f>
        <v>1.2973967099940702</v>
      </c>
      <c r="Q15" s="23">
        <f>[1]节奏总纲!Q15</f>
        <v>1.1126474184909145</v>
      </c>
      <c r="R15" s="23">
        <f>[1]节奏总纲!R15</f>
        <v>0.9058423829178599</v>
      </c>
      <c r="S15" s="23">
        <f>[1]节奏总纲!S15</f>
        <v>0.66219128078097333</v>
      </c>
      <c r="T15" s="23">
        <f>[1]节奏总纲!T15</f>
        <v>0.36560639287632896</v>
      </c>
      <c r="U15" s="29"/>
      <c r="V15" s="23">
        <v>12</v>
      </c>
      <c r="W15" s="23">
        <f>[1]节奏总纲!W15</f>
        <v>0.15384978492148393</v>
      </c>
      <c r="X15" s="23">
        <f>[1]节奏总纲!X15</f>
        <v>0.13228463962618642</v>
      </c>
      <c r="Y15" s="23">
        <f>[1]节奏总纲!Y15</f>
        <v>0.11130597937742703</v>
      </c>
      <c r="Z15" s="23">
        <f>[1]节奏总纲!Z15</f>
        <v>8.6415404006926266E-2</v>
      </c>
      <c r="AA15" s="23">
        <f>[1]节奏总纲!AA15</f>
        <v>4.7929057091164518E-2</v>
      </c>
      <c r="AC15" s="23">
        <v>12</v>
      </c>
      <c r="AD15" s="23">
        <f>[1]节奏总纲!AD15</f>
        <v>37.004247194324648</v>
      </c>
      <c r="AE15" s="23">
        <f>[1]节奏总纲!AE15</f>
        <v>38.827998824669805</v>
      </c>
      <c r="AF15" s="23">
        <f>[1]节奏总纲!AF15</f>
        <v>41.408320762540754</v>
      </c>
      <c r="AG15" s="23">
        <f>[1]节奏总纲!AG15</f>
        <v>45.500930067545958</v>
      </c>
      <c r="AH15" s="23">
        <f>[1]节奏总纲!AH15</f>
        <v>53.855547243088772</v>
      </c>
      <c r="AL15" s="23">
        <v>12</v>
      </c>
      <c r="AM15" s="23">
        <f>[1]节奏总纲!AM15</f>
        <v>1.1550685436347259</v>
      </c>
      <c r="AN15" s="23">
        <f>[1]节奏总纲!AN15</f>
        <v>0.92405483490778073</v>
      </c>
      <c r="AO15" s="23">
        <f>[1]节奏总纲!AO15</f>
        <v>0.69304112618083547</v>
      </c>
      <c r="AP15" s="23">
        <f>[1]节奏总纲!AP15</f>
        <v>0.46202741745389037</v>
      </c>
      <c r="AQ15" s="23">
        <f>[1]节奏总纲!AQ15</f>
        <v>0.23101370872694518</v>
      </c>
      <c r="AS15" s="23">
        <v>12</v>
      </c>
      <c r="AT15" s="23">
        <f>[1]节奏总纲!AT15</f>
        <v>0.22042225443780961</v>
      </c>
      <c r="AU15" s="23">
        <f>[1]节奏总纲!AU15</f>
        <v>0.17633780355024764</v>
      </c>
      <c r="AV15" s="23">
        <f>[1]节奏总纲!AV15</f>
        <v>0.13225335266268567</v>
      </c>
      <c r="AW15" s="23">
        <f>[1]节奏总纲!AW15</f>
        <v>8.816890177512382E-2</v>
      </c>
      <c r="AX15" s="23">
        <f>[1]节奏总纲!AX15</f>
        <v>4.408445088756191E-2</v>
      </c>
      <c r="AY15" s="23"/>
      <c r="AZ15" s="23">
        <v>12</v>
      </c>
      <c r="BA15" s="23">
        <f>[1]节奏总纲!BA15</f>
        <v>24.792264875668618</v>
      </c>
      <c r="BB15" s="23">
        <f>[1]节奏总纲!BB15</f>
        <v>26.127796402772656</v>
      </c>
      <c r="BC15" s="23">
        <f>[1]节奏总纲!BC15</f>
        <v>27.863030247590562</v>
      </c>
      <c r="BD15" s="23">
        <f>[1]节奏总纲!BD15</f>
        <v>30.329493925593439</v>
      </c>
      <c r="BE15" s="23">
        <f>[1]节奏总纲!BE15</f>
        <v>34.627226072894942</v>
      </c>
    </row>
    <row r="16" spans="2:57" x14ac:dyDescent="0.15">
      <c r="B16" s="23">
        <v>90</v>
      </c>
      <c r="C16" s="23">
        <v>511</v>
      </c>
      <c r="D16" s="23">
        <v>256</v>
      </c>
      <c r="F16" s="23">
        <v>14</v>
      </c>
      <c r="G16" s="23">
        <v>1.6390158215457884</v>
      </c>
      <c r="I16" s="23">
        <v>14</v>
      </c>
      <c r="J16" s="23">
        <v>1.7296773068470075</v>
      </c>
      <c r="K16" s="18">
        <v>0.57999999999999996</v>
      </c>
      <c r="N16" s="28">
        <f>[1]节奏总纲!N16</f>
        <v>23</v>
      </c>
      <c r="O16" s="23">
        <v>13</v>
      </c>
      <c r="P16" s="23">
        <f>[1]节奏总纲!P16</f>
        <v>1.4622888266898326</v>
      </c>
      <c r="Q16" s="23">
        <f>[1]节奏总纲!Q16</f>
        <v>1.2628326307293396</v>
      </c>
      <c r="R16" s="23">
        <f>[1]节奏总纲!R16</f>
        <v>1.0294513339896421</v>
      </c>
      <c r="S16" s="23">
        <f>[1]节奏总纲!S16</f>
        <v>0.75556463675063656</v>
      </c>
      <c r="T16" s="23">
        <f>[1]节奏总纲!T16</f>
        <v>0.41865329108129906</v>
      </c>
      <c r="U16" s="29"/>
      <c r="V16" s="23">
        <v>13</v>
      </c>
      <c r="W16" s="23">
        <f>[1]节奏总纲!W16</f>
        <v>0.16489211669576243</v>
      </c>
      <c r="X16" s="23">
        <f>[1]节奏总纲!X16</f>
        <v>0.15018521223842507</v>
      </c>
      <c r="Y16" s="23">
        <f>[1]节奏总纲!Y16</f>
        <v>0.12360895107178216</v>
      </c>
      <c r="Z16" s="23">
        <f>[1]节奏总纲!Z16</f>
        <v>9.337335596966323E-2</v>
      </c>
      <c r="AA16" s="23">
        <f>[1]节奏总纲!AA16</f>
        <v>5.3046898204970105E-2</v>
      </c>
      <c r="AC16" s="23">
        <v>13</v>
      </c>
      <c r="AD16" s="23">
        <f>[1]节奏总纲!AD16</f>
        <v>38.071211008105138</v>
      </c>
      <c r="AE16" s="23">
        <f>[1]节奏总纲!AE16</f>
        <v>39.935302111946527</v>
      </c>
      <c r="AF16" s="23">
        <f>[1]节奏总纲!AF16</f>
        <v>42.470214785133983</v>
      </c>
      <c r="AG16" s="23">
        <f>[1]节奏总纲!AG16</f>
        <v>46.631096344914496</v>
      </c>
      <c r="AH16" s="23">
        <f>[1]节奏总纲!AH16</f>
        <v>55.062101953238496</v>
      </c>
      <c r="AL16" s="23">
        <v>13</v>
      </c>
      <c r="AM16" s="23">
        <f>[1]节奏总纲!AM16</f>
        <v>1.417602554491646</v>
      </c>
      <c r="AN16" s="23">
        <f>[1]节奏总纲!AN16</f>
        <v>1.1340820435933168</v>
      </c>
      <c r="AO16" s="23">
        <f>[1]节奏总纲!AO16</f>
        <v>0.85056153269498758</v>
      </c>
      <c r="AP16" s="23">
        <f>[1]节奏总纲!AP16</f>
        <v>0.56704102179665838</v>
      </c>
      <c r="AQ16" s="23">
        <f>[1]节奏总纲!AQ16</f>
        <v>0.28352051089832919</v>
      </c>
      <c r="AS16" s="23">
        <v>13</v>
      </c>
      <c r="AT16" s="23">
        <f>[1]节奏总纲!AT16</f>
        <v>0.26253401085692007</v>
      </c>
      <c r="AU16" s="23">
        <f>[1]节奏总纲!AU16</f>
        <v>0.21002720868553604</v>
      </c>
      <c r="AV16" s="23">
        <f>[1]节奏总纲!AV16</f>
        <v>0.15752040651415211</v>
      </c>
      <c r="AW16" s="23">
        <f>[1]节奏总纲!AW16</f>
        <v>0.10501360434276802</v>
      </c>
      <c r="AX16" s="23">
        <f>[1]节奏总纲!AX16</f>
        <v>5.2506802171384009E-2</v>
      </c>
      <c r="AY16" s="23"/>
      <c r="AZ16" s="23">
        <v>13</v>
      </c>
      <c r="BA16" s="23">
        <f>[1]节奏总纲!BA16</f>
        <v>25.265378411633971</v>
      </c>
      <c r="BB16" s="23">
        <f>[1]节奏总纲!BB16</f>
        <v>26.598914258210968</v>
      </c>
      <c r="BC16" s="23">
        <f>[1]节奏总纲!BC16</f>
        <v>28.339982398803929</v>
      </c>
      <c r="BD16" s="23">
        <f>[1]节奏总纲!BD16</f>
        <v>30.828727146189561</v>
      </c>
      <c r="BE16" s="23">
        <f>[1]节奏总纲!BE16</f>
        <v>35.146386283795508</v>
      </c>
    </row>
    <row r="17" spans="2:57" x14ac:dyDescent="0.15">
      <c r="B17" s="23">
        <v>100</v>
      </c>
      <c r="C17" s="23">
        <v>1023</v>
      </c>
      <c r="D17" s="23">
        <v>512</v>
      </c>
      <c r="F17" s="23">
        <v>15</v>
      </c>
      <c r="G17" s="23">
        <v>1.8284271247461898</v>
      </c>
      <c r="I17" s="23">
        <v>15</v>
      </c>
      <c r="J17" s="23">
        <v>2.1</v>
      </c>
      <c r="K17" s="18">
        <v>0.6</v>
      </c>
      <c r="N17" s="28">
        <f>[1]节奏总纲!N17</f>
        <v>24</v>
      </c>
      <c r="O17" s="23">
        <v>14</v>
      </c>
      <c r="P17" s="23">
        <f>[1]节奏总纲!P17</f>
        <v>1.6390158215457884</v>
      </c>
      <c r="Q17" s="23">
        <f>[1]节奏总纲!Q17</f>
        <v>1.4136511460832426</v>
      </c>
      <c r="R17" s="23">
        <f>[1]节奏总纲!R17</f>
        <v>1.1545227446968533</v>
      </c>
      <c r="S17" s="23">
        <f>[1]节奏总纲!S17</f>
        <v>0.84605996708193598</v>
      </c>
      <c r="T17" s="23">
        <f>[1]节奏总纲!T17</f>
        <v>0.46810291863347719</v>
      </c>
      <c r="U17" s="29"/>
      <c r="V17" s="23">
        <v>14</v>
      </c>
      <c r="W17" s="23">
        <f>[1]节奏总纲!W17</f>
        <v>0.17672699485595578</v>
      </c>
      <c r="X17" s="23">
        <f>[1]节奏总纲!X17</f>
        <v>0.150818515353903</v>
      </c>
      <c r="Y17" s="23">
        <f>[1]节奏总纲!Y17</f>
        <v>0.12507141070721128</v>
      </c>
      <c r="Z17" s="23">
        <f>[1]节奏总纲!Z17</f>
        <v>9.0495330331299417E-2</v>
      </c>
      <c r="AA17" s="23">
        <f>[1]节奏总纲!AA17</f>
        <v>4.9449627552178133E-2</v>
      </c>
      <c r="AC17" s="23">
        <v>14</v>
      </c>
      <c r="AD17" s="23">
        <f>[1]节奏总纲!AD17</f>
        <v>39.066704614192943</v>
      </c>
      <c r="AE17" s="23">
        <f>[1]节奏总纲!AE17</f>
        <v>40.935169244165145</v>
      </c>
      <c r="AF17" s="23">
        <f>[1]节奏总纲!AF17</f>
        <v>43.484929789964411</v>
      </c>
      <c r="AG17" s="23">
        <f>[1]节奏总纲!AG17</f>
        <v>47.711408234944486</v>
      </c>
      <c r="AH17" s="23">
        <f>[1]节奏总纲!AH17</f>
        <v>56.165983112651688</v>
      </c>
      <c r="AL17" s="23">
        <v>14</v>
      </c>
      <c r="AM17" s="23">
        <f>[1]节奏总纲!AM17</f>
        <v>1.7296773068470075</v>
      </c>
      <c r="AN17" s="23">
        <f>[1]节奏总纲!AN17</f>
        <v>1.383741845477606</v>
      </c>
      <c r="AO17" s="23">
        <f>[1]节奏总纲!AO17</f>
        <v>1.0378063841082044</v>
      </c>
      <c r="AP17" s="23">
        <f>[1]节奏总纲!AP17</f>
        <v>0.69187092273880302</v>
      </c>
      <c r="AQ17" s="23">
        <f>[1]节奏总纲!AQ17</f>
        <v>0.34593546136940151</v>
      </c>
      <c r="AS17" s="23">
        <v>14</v>
      </c>
      <c r="AT17" s="23">
        <f>[1]节奏总纲!AT17</f>
        <v>0.31207475235536153</v>
      </c>
      <c r="AU17" s="23">
        <f>[1]节奏总纲!AU17</f>
        <v>0.24965980188428927</v>
      </c>
      <c r="AV17" s="23">
        <f>[1]节奏总纲!AV17</f>
        <v>0.18724485141321678</v>
      </c>
      <c r="AW17" s="23">
        <f>[1]节奏总纲!AW17</f>
        <v>0.12482990094214463</v>
      </c>
      <c r="AX17" s="23">
        <f>[1]节奏总纲!AX17</f>
        <v>6.2414950471072317E-2</v>
      </c>
      <c r="AY17" s="23"/>
      <c r="AZ17" s="23">
        <v>14</v>
      </c>
      <c r="BA17" s="23">
        <f>[1]节奏总纲!BA17</f>
        <v>25.707675764357255</v>
      </c>
      <c r="BB17" s="23">
        <f>[1]节奏总纲!BB17</f>
        <v>27.059707353051884</v>
      </c>
      <c r="BC17" s="23">
        <f>[1]节奏总纲!BC17</f>
        <v>28.796798156163181</v>
      </c>
      <c r="BD17" s="23">
        <f>[1]节奏总纲!BD17</f>
        <v>31.280110398778046</v>
      </c>
      <c r="BE17" s="23">
        <f>[1]节奏总纲!BE17</f>
        <v>35.634340563113874</v>
      </c>
    </row>
    <row r="18" spans="2:57" x14ac:dyDescent="0.15">
      <c r="F18" s="23">
        <v>16</v>
      </c>
      <c r="G18" s="23">
        <v>2.031433133020796</v>
      </c>
      <c r="I18" s="23">
        <v>16</v>
      </c>
      <c r="J18" s="23">
        <v>2.5387719203926467</v>
      </c>
      <c r="K18" s="18">
        <v>0.62</v>
      </c>
      <c r="N18" s="28">
        <f>[1]节奏总纲!N18</f>
        <v>25</v>
      </c>
      <c r="O18" s="23">
        <v>15</v>
      </c>
      <c r="P18" s="23">
        <f>[1]节奏总纲!P18</f>
        <v>1.8284271247461898</v>
      </c>
      <c r="Q18" s="23">
        <f>[1]节奏总纲!Q18</f>
        <v>1.5793953503557587</v>
      </c>
      <c r="R18" s="23">
        <f>[1]节奏总纲!R18</f>
        <v>1.2928808199080308</v>
      </c>
      <c r="S18" s="23">
        <f>[1]节奏总纲!S18</f>
        <v>0.94895367774327255</v>
      </c>
      <c r="T18" s="23">
        <f>[1]节奏总纲!T18</f>
        <v>0.5271355400643265</v>
      </c>
      <c r="U18" s="29"/>
      <c r="V18" s="23">
        <v>15</v>
      </c>
      <c r="W18" s="23">
        <f>[1]节奏总纲!W18</f>
        <v>0.18941130320040145</v>
      </c>
      <c r="X18" s="23">
        <f>[1]节奏总纲!X18</f>
        <v>0.16574420427251613</v>
      </c>
      <c r="Y18" s="23">
        <f>[1]节奏总纲!Y18</f>
        <v>0.13835807521117749</v>
      </c>
      <c r="Z18" s="23">
        <f>[1]节奏总纲!Z18</f>
        <v>0.10289371066133657</v>
      </c>
      <c r="AA18" s="23">
        <f>[1]节奏总纲!AA18</f>
        <v>5.9032621430849308E-2</v>
      </c>
      <c r="AC18" s="23">
        <v>15</v>
      </c>
      <c r="AD18" s="23">
        <f>[1]节奏总纲!AD18</f>
        <v>40</v>
      </c>
      <c r="AE18" s="23">
        <f>[1]节奏总纲!AE18</f>
        <v>41.83669503626701</v>
      </c>
      <c r="AF18" s="23">
        <f>[1]节奏总纲!AF18</f>
        <v>44.442238853326032</v>
      </c>
      <c r="AG18" s="23">
        <f>[1]节奏总纲!AG18</f>
        <v>48.731413734867289</v>
      </c>
      <c r="AH18" s="23">
        <f>[1]节奏总纲!AH18</f>
        <v>57.176846218996921</v>
      </c>
      <c r="AL18" s="23">
        <v>15</v>
      </c>
      <c r="AM18" s="23">
        <f>[1]节奏总纲!AM18</f>
        <v>2.1</v>
      </c>
      <c r="AN18" s="23">
        <f>[1]节奏总纲!AN18</f>
        <v>1.6800000000000002</v>
      </c>
      <c r="AO18" s="23">
        <f>[1]节奏总纲!AO18</f>
        <v>1.26</v>
      </c>
      <c r="AP18" s="23">
        <f>[1]节奏总纲!AP18</f>
        <v>0.84000000000000008</v>
      </c>
      <c r="AQ18" s="23">
        <f>[1]节奏总纲!AQ18</f>
        <v>0.42000000000000004</v>
      </c>
      <c r="AS18" s="23">
        <v>15</v>
      </c>
      <c r="AT18" s="23">
        <f>[1]节奏总纲!AT18</f>
        <v>0.3703226931529926</v>
      </c>
      <c r="AU18" s="23">
        <f>[1]节奏总纲!AU18</f>
        <v>0.29625815452239412</v>
      </c>
      <c r="AV18" s="23">
        <f>[1]节奏总纲!AV18</f>
        <v>0.22219361589179565</v>
      </c>
      <c r="AW18" s="23">
        <f>[1]节奏总纲!AW18</f>
        <v>0.14812907726119706</v>
      </c>
      <c r="AX18" s="23">
        <f>[1]节奏总纲!AX18</f>
        <v>7.4064538630598531E-2</v>
      </c>
      <c r="AY18" s="23"/>
      <c r="AZ18" s="23">
        <v>15</v>
      </c>
      <c r="BA18" s="23">
        <f>[1]节奏总纲!BA18</f>
        <v>26.127796402772656</v>
      </c>
      <c r="BB18" s="23">
        <f>[1]节奏总纲!BB18</f>
        <v>27.461368800321225</v>
      </c>
      <c r="BC18" s="23">
        <f>[1]节奏总纲!BC18</f>
        <v>29.216428548527322</v>
      </c>
      <c r="BD18" s="23">
        <f>[1]节奏总纲!BD18</f>
        <v>31.706504654507764</v>
      </c>
      <c r="BE18" s="23">
        <f>[1]节奏总纲!BE18</f>
        <v>36.105477566569242</v>
      </c>
    </row>
    <row r="19" spans="2:57" x14ac:dyDescent="0.15">
      <c r="F19" s="23">
        <v>17</v>
      </c>
      <c r="G19" s="23">
        <v>2.2490095854249419</v>
      </c>
      <c r="I19" s="23">
        <v>17</v>
      </c>
      <c r="J19" s="23">
        <v>3.0579402515786085</v>
      </c>
      <c r="K19" s="18">
        <v>0.64</v>
      </c>
      <c r="N19" s="28">
        <f>[1]节奏总纲!N19</f>
        <v>26</v>
      </c>
      <c r="O19" s="23">
        <v>16</v>
      </c>
      <c r="P19" s="23">
        <f>[1]节奏总纲!P19</f>
        <v>2.031433133020796</v>
      </c>
      <c r="Q19" s="23">
        <f>[1]节奏总纲!Q19</f>
        <v>1.7586116632561031</v>
      </c>
      <c r="R19" s="23">
        <f>[1]节奏总纲!R19</f>
        <v>1.4398798046851402</v>
      </c>
      <c r="S19" s="23">
        <f>[1]节奏总纲!S19</f>
        <v>1.0618300986299702</v>
      </c>
      <c r="T19" s="23">
        <f>[1]节奏总纲!T19</f>
        <v>0.59460047803518701</v>
      </c>
      <c r="U19" s="29"/>
      <c r="V19" s="23">
        <v>16</v>
      </c>
      <c r="W19" s="23">
        <f>[1]节奏总纲!W19</f>
        <v>0.20300600827460613</v>
      </c>
      <c r="X19" s="23">
        <f>[1]节奏总纲!X19</f>
        <v>0.17921631290034434</v>
      </c>
      <c r="Y19" s="23">
        <f>[1]节奏总纲!Y19</f>
        <v>0.14699898477710938</v>
      </c>
      <c r="Z19" s="23">
        <f>[1]节奏总纲!Z19</f>
        <v>0.11287642088669769</v>
      </c>
      <c r="AA19" s="23">
        <f>[1]节奏总纲!AA19</f>
        <v>6.7464937970860506E-2</v>
      </c>
      <c r="AC19" s="23">
        <v>16</v>
      </c>
      <c r="AD19" s="23">
        <f>[1]节奏总纲!AD19</f>
        <v>40.870795385807064</v>
      </c>
      <c r="AE19" s="23">
        <f>[1]节奏总纲!AE19</f>
        <v>42.707142308553742</v>
      </c>
      <c r="AF19" s="23">
        <f>[1]节奏总纲!AF19</f>
        <v>45.343250058486468</v>
      </c>
      <c r="AG19" s="23">
        <f>[1]节奏总纲!AG19</f>
        <v>49.654306534727205</v>
      </c>
      <c r="AH19" s="23">
        <f>[1]节奏总纲!AH19</f>
        <v>58.12511610143563</v>
      </c>
      <c r="AL19" s="23">
        <v>16</v>
      </c>
      <c r="AM19" s="23">
        <f>[1]节奏总纲!AM19</f>
        <v>2.5387719203926467</v>
      </c>
      <c r="AN19" s="23">
        <f>[1]节奏总纲!AN19</f>
        <v>2.0310175363141174</v>
      </c>
      <c r="AO19" s="23">
        <f>[1]节奏总纲!AO19</f>
        <v>1.5232631522355879</v>
      </c>
      <c r="AP19" s="23">
        <f>[1]节奏总纲!AP19</f>
        <v>1.0155087681570587</v>
      </c>
      <c r="AQ19" s="23">
        <f>[1]节奏总纲!AQ19</f>
        <v>0.50775438407852935</v>
      </c>
      <c r="AS19" s="23">
        <v>16</v>
      </c>
      <c r="AT19" s="23">
        <f>[1]节奏总纲!AT19</f>
        <v>0.43877192039264656</v>
      </c>
      <c r="AU19" s="23">
        <f>[1]节奏总纲!AU19</f>
        <v>0.35101753631411725</v>
      </c>
      <c r="AV19" s="23">
        <f>[1]节奏总纲!AV19</f>
        <v>0.26326315223558794</v>
      </c>
      <c r="AW19" s="23">
        <f>[1]节奏总纲!AW19</f>
        <v>0.17550876815705863</v>
      </c>
      <c r="AX19" s="23">
        <f>[1]节奏总纲!AX19</f>
        <v>8.7754384078529313E-2</v>
      </c>
      <c r="AY19" s="23"/>
      <c r="AZ19" s="23">
        <v>16</v>
      </c>
      <c r="BA19" s="23">
        <f>[1]节奏总纲!BA19</f>
        <v>26.504690687123308</v>
      </c>
      <c r="BB19" s="23">
        <f>[1]节奏总纲!BB19</f>
        <v>27.863030247590562</v>
      </c>
      <c r="BC19" s="23">
        <f>[1]节奏总纲!BC19</f>
        <v>29.606265091548554</v>
      </c>
      <c r="BD19" s="23">
        <f>[1]节奏总纲!BD19</f>
        <v>32.113552950216736</v>
      </c>
      <c r="BE19" s="23">
        <f>[1]节奏总纲!BE19</f>
        <v>36.526331209747774</v>
      </c>
    </row>
    <row r="20" spans="2:57" x14ac:dyDescent="0.15">
      <c r="F20" s="23">
        <v>18</v>
      </c>
      <c r="G20" s="23">
        <v>2.4822022531844965</v>
      </c>
      <c r="I20" s="23">
        <v>18</v>
      </c>
      <c r="J20" s="23">
        <v>3.671491735587451</v>
      </c>
      <c r="K20" s="18">
        <v>0.66</v>
      </c>
      <c r="N20" s="28">
        <f>[1]节奏总纲!N20</f>
        <v>27</v>
      </c>
      <c r="O20" s="23">
        <v>17</v>
      </c>
      <c r="P20" s="23">
        <f>[1]节奏总纲!P20</f>
        <v>2.2490095854249419</v>
      </c>
      <c r="Q20" s="23">
        <f>[1]节奏总纲!Q20</f>
        <v>1.9433691827656923</v>
      </c>
      <c r="R20" s="23">
        <f>[1]节奏总纲!R20</f>
        <v>1.5904995788125189</v>
      </c>
      <c r="S20" s="23">
        <f>[1]节奏总纲!S20</f>
        <v>1.1742079045503622</v>
      </c>
      <c r="T20" s="23">
        <f>[1]节奏总纲!T20</f>
        <v>0.65311238360740309</v>
      </c>
      <c r="U20" s="29"/>
      <c r="V20" s="23">
        <v>17</v>
      </c>
      <c r="W20" s="23">
        <f>[1]节奏总纲!W20</f>
        <v>0.21757645240414591</v>
      </c>
      <c r="X20" s="23">
        <f>[1]节奏总纲!X20</f>
        <v>0.18475751950958919</v>
      </c>
      <c r="Y20" s="23">
        <f>[1]节奏总纲!Y20</f>
        <v>0.1506197741273787</v>
      </c>
      <c r="Z20" s="23">
        <f>[1]节奏总纲!Z20</f>
        <v>0.11237780592039193</v>
      </c>
      <c r="AA20" s="23">
        <f>[1]节奏总纲!AA20</f>
        <v>5.8511905572216083E-2</v>
      </c>
      <c r="AC20" s="23">
        <v>17</v>
      </c>
      <c r="AD20" s="23">
        <f>[1]节奏总纲!AD20</f>
        <v>41.691928656135218</v>
      </c>
      <c r="AE20" s="23">
        <f>[1]节奏总纲!AE20</f>
        <v>43.535389560453282</v>
      </c>
      <c r="AF20" s="23">
        <f>[1]节奏总纲!AF20</f>
        <v>46.195785611164197</v>
      </c>
      <c r="AG20" s="23">
        <f>[1]节奏总纲!AG20</f>
        <v>50.510850036206186</v>
      </c>
      <c r="AH20" s="23">
        <f>[1]节奏总纲!AH20</f>
        <v>58.996855914896834</v>
      </c>
      <c r="AL20" s="23">
        <v>17</v>
      </c>
      <c r="AM20" s="23">
        <f>[1]节奏总纲!AM20</f>
        <v>3.0579402515786085</v>
      </c>
      <c r="AN20" s="23">
        <f>[1]节奏总纲!AN20</f>
        <v>2.4463522012628869</v>
      </c>
      <c r="AO20" s="23">
        <f>[1]节奏总纲!AO20</f>
        <v>1.8347641509471651</v>
      </c>
      <c r="AP20" s="23">
        <f>[1]节奏总纲!AP20</f>
        <v>1.2231761006314434</v>
      </c>
      <c r="AQ20" s="23">
        <f>[1]节奏总纲!AQ20</f>
        <v>0.61158805031572172</v>
      </c>
      <c r="AS20" s="23">
        <v>17</v>
      </c>
      <c r="AT20" s="23">
        <f>[1]节奏总纲!AT20</f>
        <v>0.51916833118596184</v>
      </c>
      <c r="AU20" s="23">
        <f>[1]节奏总纲!AU20</f>
        <v>0.41533466494876947</v>
      </c>
      <c r="AV20" s="23">
        <f>[1]节奏总纲!AV20</f>
        <v>0.3115009987115771</v>
      </c>
      <c r="AW20" s="23">
        <f>[1]节奏总纲!AW20</f>
        <v>0.20766733247438474</v>
      </c>
      <c r="AX20" s="23">
        <f>[1]节奏总纲!AX20</f>
        <v>0.10383366623719237</v>
      </c>
      <c r="AY20" s="23"/>
      <c r="AZ20" s="23">
        <v>17</v>
      </c>
      <c r="BA20" s="23">
        <f>[1]节奏总纲!BA20</f>
        <v>26.881584971473956</v>
      </c>
      <c r="BB20" s="23">
        <f>[1]节奏总纲!BB20</f>
        <v>28.225778459464117</v>
      </c>
      <c r="BC20" s="23">
        <f>[1]节奏总纲!BC20</f>
        <v>29.996101634569786</v>
      </c>
      <c r="BD20" s="23">
        <f>[1]节奏总纲!BD20</f>
        <v>32.477877425165822</v>
      </c>
      <c r="BE20" s="23">
        <f>[1]节奏总纲!BE20</f>
        <v>36.947184852926306</v>
      </c>
    </row>
    <row r="21" spans="2:57" x14ac:dyDescent="0.15">
      <c r="F21" s="23">
        <v>19</v>
      </c>
      <c r="G21" s="23">
        <v>2.7321319661472296</v>
      </c>
      <c r="I21" s="23">
        <v>19</v>
      </c>
      <c r="J21" s="23">
        <v>4.3957950643309154</v>
      </c>
      <c r="K21" s="18">
        <v>0.68</v>
      </c>
      <c r="N21" s="28">
        <f>[1]节奏总纲!N21</f>
        <v>28</v>
      </c>
      <c r="O21" s="23">
        <v>18</v>
      </c>
      <c r="P21" s="23">
        <f>[1]节奏总纲!P21</f>
        <v>2.4822022531844965</v>
      </c>
      <c r="Q21" s="23">
        <f>[1]节奏总纲!Q21</f>
        <v>2.1515729130603214</v>
      </c>
      <c r="R21" s="23">
        <f>[1]节奏总纲!R21</f>
        <v>1.7690655458445907</v>
      </c>
      <c r="S21" s="23">
        <f>[1]节奏总纲!S21</f>
        <v>1.3066312660763189</v>
      </c>
      <c r="T21" s="23">
        <f>[1]节奏总纲!T21</f>
        <v>0.72554771860582834</v>
      </c>
      <c r="U21" s="29"/>
      <c r="V21" s="23">
        <v>18</v>
      </c>
      <c r="W21" s="23">
        <f>[1]节奏总纲!W21</f>
        <v>0.23319266775955461</v>
      </c>
      <c r="X21" s="23">
        <f>[1]节奏总纲!X21</f>
        <v>0.20820373029462913</v>
      </c>
      <c r="Y21" s="23">
        <f>[1]节奏总纲!Y21</f>
        <v>0.17856596703207184</v>
      </c>
      <c r="Z21" s="23">
        <f>[1]节奏总纲!Z21</f>
        <v>0.13242336152595668</v>
      </c>
      <c r="AA21" s="23">
        <f>[1]节奏总纲!AA21</f>
        <v>7.2435334998425249E-2</v>
      </c>
      <c r="AC21" s="23">
        <v>18</v>
      </c>
      <c r="AD21" s="23">
        <f>[1]节奏总纲!AD21</f>
        <v>42.470630686057078</v>
      </c>
      <c r="AE21" s="23">
        <f>[1]节奏总纲!AE21</f>
        <v>44.32123076997032</v>
      </c>
      <c r="AF21" s="23">
        <f>[1]节奏总纲!AF21</f>
        <v>47.002405448181747</v>
      </c>
      <c r="AG21" s="23">
        <f>[1]节奏总纲!AG21</f>
        <v>51.307235833425089</v>
      </c>
      <c r="AH21" s="23">
        <f>[1]节奏总纲!AH21</f>
        <v>59.782901351568675</v>
      </c>
      <c r="AL21" s="23">
        <v>18</v>
      </c>
      <c r="AM21" s="23">
        <f>[1]节奏总纲!AM21</f>
        <v>3.671491735587451</v>
      </c>
      <c r="AN21" s="23">
        <f>[1]节奏总纲!AN21</f>
        <v>2.9371933884699608</v>
      </c>
      <c r="AO21" s="23">
        <f>[1]节奏总纲!AO21</f>
        <v>2.2028950413524706</v>
      </c>
      <c r="AP21" s="23">
        <f>[1]节奏总纲!AP21</f>
        <v>1.4685966942349804</v>
      </c>
      <c r="AQ21" s="23">
        <f>[1]节奏总纲!AQ21</f>
        <v>0.7342983471174902</v>
      </c>
      <c r="AS21" s="23">
        <v>18</v>
      </c>
      <c r="AT21" s="23">
        <f>[1]节奏总纲!AT21</f>
        <v>0.61355148400884252</v>
      </c>
      <c r="AU21" s="23">
        <f>[1]节奏总纲!AU21</f>
        <v>0.49084118720707393</v>
      </c>
      <c r="AV21" s="23">
        <f>[1]节奏总纲!AV21</f>
        <v>0.36813089040530556</v>
      </c>
      <c r="AW21" s="23">
        <f>[1]节奏总纲!AW21</f>
        <v>0.24542059360353696</v>
      </c>
      <c r="AX21" s="23">
        <f>[1]节奏总纲!AX21</f>
        <v>0.12271029680176848</v>
      </c>
      <c r="AY21" s="23"/>
      <c r="AZ21" s="23">
        <v>18</v>
      </c>
      <c r="BA21" s="23">
        <f>[1]节奏总纲!BA21</f>
        <v>27.220371931959619</v>
      </c>
      <c r="BB21" s="23">
        <f>[1]节奏总纲!BB21</f>
        <v>28.568390277483555</v>
      </c>
      <c r="BC21" s="23">
        <f>[1]节奏总纲!BC21</f>
        <v>30.329493925593439</v>
      </c>
      <c r="BD21" s="23">
        <f>[1]节奏总纲!BD21</f>
        <v>32.842201900114915</v>
      </c>
      <c r="BE21" s="23">
        <f>[1]节奏总纲!BE21</f>
        <v>37.317457773889828</v>
      </c>
    </row>
    <row r="22" spans="2:57" x14ac:dyDescent="0.15">
      <c r="B22" s="136" t="s">
        <v>154</v>
      </c>
      <c r="C22" s="136"/>
      <c r="D22" s="136"/>
      <c r="F22" s="23">
        <v>20</v>
      </c>
      <c r="G22" s="23">
        <v>3</v>
      </c>
      <c r="I22" s="23">
        <v>20</v>
      </c>
      <c r="J22" s="23">
        <v>5.25</v>
      </c>
      <c r="K22" s="18">
        <v>0.7</v>
      </c>
      <c r="N22" s="28">
        <f>[1]节奏总纲!N22</f>
        <v>29</v>
      </c>
      <c r="O22" s="23">
        <v>19</v>
      </c>
      <c r="P22" s="23">
        <f>[1]节奏总纲!P22</f>
        <v>2.7321319661472296</v>
      </c>
      <c r="Q22" s="23">
        <f>[1]节奏总纲!Q22</f>
        <v>2.3734030389920986</v>
      </c>
      <c r="R22" s="23">
        <f>[1]节奏总纲!R22</f>
        <v>1.9510154370257367</v>
      </c>
      <c r="S22" s="23">
        <f>[1]节奏总纲!S22</f>
        <v>1.4395603329629754</v>
      </c>
      <c r="T22" s="23">
        <f>[1]节奏总纲!T22</f>
        <v>0.80270037165405606</v>
      </c>
      <c r="U22" s="29"/>
      <c r="V22" s="23">
        <v>19</v>
      </c>
      <c r="W22" s="23">
        <f>[1]节奏总纲!W22</f>
        <v>0.24992971296273314</v>
      </c>
      <c r="X22" s="23">
        <f>[1]节奏总纲!X22</f>
        <v>0.2218301259317772</v>
      </c>
      <c r="Y22" s="23">
        <f>[1]节奏总纲!Y22</f>
        <v>0.18194989118114591</v>
      </c>
      <c r="Z22" s="23">
        <f>[1]节奏总纲!Z22</f>
        <v>0.13292906688665651</v>
      </c>
      <c r="AA22" s="23">
        <f>[1]节奏总纲!AA22</f>
        <v>7.7152653048227715E-2</v>
      </c>
      <c r="AC22" s="23">
        <v>19</v>
      </c>
      <c r="AD22" s="23">
        <f>[1]节奏总纲!AD22</f>
        <v>43.213386604241784</v>
      </c>
      <c r="AE22" s="23">
        <f>[1]节奏总纲!AE22</f>
        <v>45.070782602372333</v>
      </c>
      <c r="AF22" s="23">
        <f>[1]节奏总纲!AF22</f>
        <v>47.752799438858894</v>
      </c>
      <c r="AG22" s="23">
        <f>[1]节奏总纲!AG22</f>
        <v>52.050057424983954</v>
      </c>
      <c r="AH22" s="23">
        <f>[1]节奏总纲!AH22</f>
        <v>60.54585273688761</v>
      </c>
      <c r="AL22" s="23">
        <v>19</v>
      </c>
      <c r="AM22" s="23">
        <f>[1]节奏总纲!AM22</f>
        <v>4.3957950643309154</v>
      </c>
      <c r="AN22" s="23">
        <f>[1]节奏总纲!AN22</f>
        <v>3.5166360514647326</v>
      </c>
      <c r="AO22" s="23">
        <f>[1]节奏总纲!AO22</f>
        <v>2.6374770385985493</v>
      </c>
      <c r="AP22" s="23">
        <f>[1]节奏总纲!AP22</f>
        <v>1.7583180257323663</v>
      </c>
      <c r="AQ22" s="23">
        <f>[1]节奏总纲!AQ22</f>
        <v>0.87915901286618314</v>
      </c>
      <c r="AS22" s="23">
        <v>19</v>
      </c>
      <c r="AT22" s="23">
        <f>[1]节奏总纲!AT22</f>
        <v>0.72430332874346437</v>
      </c>
      <c r="AU22" s="23">
        <f>[1]节奏总纲!AU22</f>
        <v>0.57944266299477176</v>
      </c>
      <c r="AV22" s="23">
        <f>[1]节奏总纲!AV22</f>
        <v>0.43458199724607871</v>
      </c>
      <c r="AW22" s="23">
        <f>[1]节奏总纲!AW22</f>
        <v>0.28972133149738588</v>
      </c>
      <c r="AX22" s="23">
        <f>[1]节奏总纲!AX22</f>
        <v>0.14486066574869294</v>
      </c>
      <c r="AY22" s="23"/>
      <c r="AZ22" s="23">
        <v>19</v>
      </c>
      <c r="BA22" s="23">
        <f>[1]节奏总纲!BA22</f>
        <v>27.541701089775092</v>
      </c>
      <c r="BB22" s="23">
        <f>[1]节奏总纲!BB22</f>
        <v>28.911002095502997</v>
      </c>
      <c r="BC22" s="23">
        <f>[1]节奏总纲!BC22</f>
        <v>30.662316072657521</v>
      </c>
      <c r="BD22" s="23">
        <f>[1]节奏总纲!BD22</f>
        <v>33.176527924103851</v>
      </c>
      <c r="BE22" s="23">
        <f>[1]节奏总纲!BE22</f>
        <v>37.680472138177471</v>
      </c>
    </row>
    <row r="23" spans="2:57" x14ac:dyDescent="0.15">
      <c r="B23" s="23" t="s">
        <v>161</v>
      </c>
      <c r="C23" s="23" t="s">
        <v>90</v>
      </c>
      <c r="D23" s="23" t="s">
        <v>153</v>
      </c>
      <c r="F23" s="23">
        <v>21</v>
      </c>
      <c r="G23" s="23">
        <v>3.2870938501451725</v>
      </c>
      <c r="I23" s="23">
        <v>21</v>
      </c>
      <c r="J23" s="23">
        <v>6.2565025247829205</v>
      </c>
      <c r="K23" s="18">
        <v>0.72</v>
      </c>
      <c r="N23" s="28">
        <f>[1]节奏总纲!N23</f>
        <v>30</v>
      </c>
      <c r="O23" s="23">
        <v>20</v>
      </c>
      <c r="P23" s="23">
        <f>[1]节奏总纲!P23</f>
        <v>3</v>
      </c>
      <c r="Q23" s="23">
        <f>[1]节奏总纲!Q23</f>
        <v>2.6036999999999999</v>
      </c>
      <c r="R23" s="23">
        <f>[1]节奏总纲!R23</f>
        <v>2.1372</v>
      </c>
      <c r="S23" s="23">
        <f>[1]节奏总纲!S23</f>
        <v>1.5800999999999998</v>
      </c>
      <c r="T23" s="23">
        <f>[1]节奏总纲!T23</f>
        <v>0.87990000000000002</v>
      </c>
      <c r="U23" s="29"/>
      <c r="V23" s="23">
        <v>20</v>
      </c>
      <c r="W23" s="23">
        <f>[1]节奏总纲!W23</f>
        <v>0.26786803385277036</v>
      </c>
      <c r="X23" s="23">
        <f>[1]节奏总纲!X23</f>
        <v>0.23029696100790131</v>
      </c>
      <c r="Y23" s="23">
        <f>[1]节奏总纲!Y23</f>
        <v>0.18618456297426333</v>
      </c>
      <c r="Z23" s="23">
        <f>[1]节奏总纲!Z23</f>
        <v>0.14053966703702447</v>
      </c>
      <c r="AA23" s="23">
        <f>[1]节奏总纲!AA23</f>
        <v>7.719962834594396E-2</v>
      </c>
      <c r="AC23" s="23">
        <v>20</v>
      </c>
      <c r="AD23" s="23">
        <f>[1]节奏总纲!AD23</f>
        <v>43.920692243099523</v>
      </c>
      <c r="AE23" s="23">
        <f>[1]节奏总纲!AE23</f>
        <v>45.780025086357675</v>
      </c>
      <c r="AF23" s="23">
        <f>[1]节奏总纲!AF23</f>
        <v>48.482447528152484</v>
      </c>
      <c r="AG23" s="23">
        <f>[1]节奏总纲!AG23</f>
        <v>52.769987980532711</v>
      </c>
      <c r="AH23" s="23">
        <f>[1]节奏总纲!AH23</f>
        <v>61.261422558944936</v>
      </c>
      <c r="AL23" s="23">
        <v>20</v>
      </c>
      <c r="AM23" s="23">
        <f>[1]节奏总纲!AM23</f>
        <v>5.25</v>
      </c>
      <c r="AN23" s="23">
        <f>[1]节奏总纲!AN23</f>
        <v>4.2</v>
      </c>
      <c r="AO23" s="23">
        <f>[1]节奏总纲!AO23</f>
        <v>3.15</v>
      </c>
      <c r="AP23" s="23">
        <f>[1]节奏总纲!AP23</f>
        <v>2.1</v>
      </c>
      <c r="AQ23" s="23">
        <f>[1]节奏总纲!AQ23</f>
        <v>1.05</v>
      </c>
      <c r="AS23" s="23">
        <v>20</v>
      </c>
      <c r="AT23" s="23">
        <f>[1]节奏总纲!AT23</f>
        <v>0.85420493566908462</v>
      </c>
      <c r="AU23" s="23">
        <f>[1]节奏总纲!AU23</f>
        <v>0.68336394853526761</v>
      </c>
      <c r="AV23" s="23">
        <f>[1]节奏总纲!AV23</f>
        <v>0.51252296140145059</v>
      </c>
      <c r="AW23" s="23">
        <f>[1]节奏总纲!AW23</f>
        <v>0.3416819742676338</v>
      </c>
      <c r="AX23" s="23">
        <f>[1]节奏总纲!AX23</f>
        <v>0.1708409871338169</v>
      </c>
      <c r="AY23" s="23"/>
      <c r="AZ23" s="23">
        <v>20</v>
      </c>
      <c r="BA23" s="23">
        <f>[1]节奏总纲!BA23</f>
        <v>27.863030247590562</v>
      </c>
      <c r="BB23" s="23">
        <f>[1]节奏总纲!BB23</f>
        <v>29.216428548527322</v>
      </c>
      <c r="BC23" s="23">
        <f>[1]节奏总纲!BC23</f>
        <v>30.995138219721603</v>
      </c>
      <c r="BD23" s="23">
        <f>[1]节奏总纲!BD23</f>
        <v>33.487933395889513</v>
      </c>
      <c r="BE23" s="23">
        <f>[1]节奏总纲!BE23</f>
        <v>38.037513426486328</v>
      </c>
    </row>
    <row r="24" spans="2:57" x14ac:dyDescent="0.15">
      <c r="B24" s="23">
        <v>5</v>
      </c>
      <c r="C24" s="23">
        <v>0.5</v>
      </c>
      <c r="D24" s="23">
        <v>0.5</v>
      </c>
      <c r="F24" s="23">
        <v>22</v>
      </c>
      <c r="G24" s="23">
        <v>3.5947934199881395</v>
      </c>
      <c r="I24" s="23">
        <v>22</v>
      </c>
      <c r="J24" s="23">
        <v>7.4414868317755332</v>
      </c>
      <c r="K24" s="18">
        <v>0.74</v>
      </c>
      <c r="N24" s="28">
        <f>[1]节奏总纲!N24</f>
        <v>31</v>
      </c>
      <c r="O24" s="23">
        <v>21</v>
      </c>
      <c r="P24" s="23">
        <f>[1]节奏总纲!P24</f>
        <v>3.2870938501451725</v>
      </c>
      <c r="Q24" s="23">
        <f>[1]节奏总纲!Q24</f>
        <v>2.8518826243859516</v>
      </c>
      <c r="R24" s="23">
        <f>[1]节奏总纲!R24</f>
        <v>2.3466562996186386</v>
      </c>
      <c r="S24" s="23">
        <f>[1]节奏总纲!S24</f>
        <v>1.7365716810316947</v>
      </c>
      <c r="T24" s="23">
        <f>[1]节奏总纲!T24</f>
        <v>0.97166494210291288</v>
      </c>
      <c r="U24" s="29"/>
      <c r="V24" s="23">
        <v>21</v>
      </c>
      <c r="W24" s="23">
        <f>[1]节奏总纲!W24</f>
        <v>0.28709385014517252</v>
      </c>
      <c r="X24" s="23">
        <f>[1]节奏总纲!X24</f>
        <v>0.24818262438595173</v>
      </c>
      <c r="Y24" s="23">
        <f>[1]节奏总纲!Y24</f>
        <v>0.20945629961863865</v>
      </c>
      <c r="Z24" s="23">
        <f>[1]节奏总纲!Z24</f>
        <v>0.15647168103169484</v>
      </c>
      <c r="AA24" s="23">
        <f>[1]节奏总纲!AA24</f>
        <v>9.1764942102912861E-2</v>
      </c>
      <c r="AC24" s="23">
        <v>21</v>
      </c>
      <c r="AD24" s="23">
        <f>[1]节奏总纲!AD24</f>
        <v>44.585942742481357</v>
      </c>
      <c r="AE24" s="23">
        <f>[1]节奏总纲!AE24</f>
        <v>46.455967430551723</v>
      </c>
      <c r="AF24" s="23">
        <f>[1]节奏总纲!AF24</f>
        <v>49.18886033229559</v>
      </c>
      <c r="AG24" s="23">
        <f>[1]节奏总纲!AG24</f>
        <v>53.471660769826336</v>
      </c>
      <c r="AH24" s="23">
        <f>[1]节奏总纲!AH24</f>
        <v>61.918453772109508</v>
      </c>
      <c r="AL24" s="23">
        <v>21</v>
      </c>
      <c r="AM24" s="23">
        <f>[1]节奏总纲!AM24</f>
        <v>6.2565025247829205</v>
      </c>
      <c r="AN24" s="23">
        <f>[1]节奏总纲!AN24</f>
        <v>5.0052020198263367</v>
      </c>
      <c r="AO24" s="23">
        <f>[1]节奏总纲!AO24</f>
        <v>3.7539015148697521</v>
      </c>
      <c r="AP24" s="23">
        <f>[1]节奏总纲!AP24</f>
        <v>2.5026010099131684</v>
      </c>
      <c r="AQ24" s="23">
        <f>[1]节奏总纲!AQ24</f>
        <v>1.2513005049565842</v>
      </c>
      <c r="AS24" s="23">
        <v>21</v>
      </c>
      <c r="AT24" s="23">
        <f>[1]节奏总纲!AT24</f>
        <v>1.0065025247829205</v>
      </c>
      <c r="AU24" s="23">
        <f>[1]节奏总纲!AU24</f>
        <v>0.80520201982633655</v>
      </c>
      <c r="AV24" s="23">
        <f>[1]节奏总纲!AV24</f>
        <v>0.60390151486975219</v>
      </c>
      <c r="AW24" s="23">
        <f>[1]节奏总纲!AW24</f>
        <v>0.40260100991316827</v>
      </c>
      <c r="AX24" s="23">
        <f>[1]节奏总纲!AX24</f>
        <v>0.20130050495658414</v>
      </c>
      <c r="AY24" s="23"/>
      <c r="AZ24" s="23">
        <v>21</v>
      </c>
      <c r="BA24" s="23">
        <f>[1]节奏总纲!BA24</f>
        <v>28.157256095860227</v>
      </c>
      <c r="BB24" s="23">
        <f>[1]节奏总纲!BB24</f>
        <v>29.508805955793246</v>
      </c>
      <c r="BC24" s="23">
        <f>[1]节奏总纲!BC24</f>
        <v>31.280110398778046</v>
      </c>
      <c r="BD24" s="23">
        <f>[1]节奏总纲!BD24</f>
        <v>33.799338867675175</v>
      </c>
      <c r="BE24" s="23">
        <f>[1]节奏总纲!BE24</f>
        <v>38.35066605767593</v>
      </c>
    </row>
    <row r="25" spans="2:57" x14ac:dyDescent="0.15">
      <c r="B25" s="23">
        <v>10</v>
      </c>
      <c r="C25" s="23">
        <v>1.5</v>
      </c>
      <c r="D25" s="23">
        <v>1</v>
      </c>
      <c r="F25" s="23">
        <v>23</v>
      </c>
      <c r="G25" s="23">
        <v>3.9245776533796644</v>
      </c>
      <c r="I25" s="23">
        <v>23</v>
      </c>
      <c r="J25" s="23">
        <v>8.8355567243832152</v>
      </c>
      <c r="K25" s="18">
        <v>0.76</v>
      </c>
      <c r="N25" s="28">
        <f>[1]节奏总纲!N25</f>
        <v>32</v>
      </c>
      <c r="O25" s="23">
        <v>22</v>
      </c>
      <c r="P25" s="23">
        <f>[1]节奏总纲!P25</f>
        <v>3.5947934199881395</v>
      </c>
      <c r="Q25" s="23">
        <f>[1]节奏总纲!Q25</f>
        <v>3.124234961311692</v>
      </c>
      <c r="R25" s="23">
        <f>[1]节奏总纲!R25</f>
        <v>2.5749505267375046</v>
      </c>
      <c r="S25" s="23">
        <f>[1]节奏总纲!S25</f>
        <v>1.9077568679877055</v>
      </c>
      <c r="T25" s="23">
        <f>[1]节奏总纲!T25</f>
        <v>1.0687320837624739</v>
      </c>
      <c r="U25" s="29"/>
      <c r="V25" s="23">
        <v>22</v>
      </c>
      <c r="W25" s="23">
        <f>[1]节奏总纲!W25</f>
        <v>0.30769956984296698</v>
      </c>
      <c r="X25" s="23">
        <f>[1]节奏总纲!X25</f>
        <v>0.27235233692574035</v>
      </c>
      <c r="Y25" s="23">
        <f>[1]节奏总纲!Y25</f>
        <v>0.22829422711886593</v>
      </c>
      <c r="Z25" s="23">
        <f>[1]节奏总纲!Z25</f>
        <v>0.17118518695601082</v>
      </c>
      <c r="AA25" s="23">
        <f>[1]节奏总纲!AA25</f>
        <v>9.7067141659560985E-2</v>
      </c>
      <c r="AC25" s="23">
        <v>22</v>
      </c>
      <c r="AD25" s="23">
        <f>[1]节奏总纲!AD25</f>
        <v>45.229416240679988</v>
      </c>
      <c r="AE25" s="23">
        <f>[1]节奏总纲!AE25</f>
        <v>47.110426931480873</v>
      </c>
      <c r="AF25" s="23">
        <f>[1]节奏总纲!AF25</f>
        <v>49.861837738505173</v>
      </c>
      <c r="AG25" s="23">
        <f>[1]节奏总纲!AG25</f>
        <v>54.15637358335789</v>
      </c>
      <c r="AH25" s="23">
        <f>[1]节奏总纲!AH25</f>
        <v>62.555781631668886</v>
      </c>
      <c r="AL25" s="23">
        <v>22</v>
      </c>
      <c r="AM25" s="23">
        <f>[1]节奏总纲!AM25</f>
        <v>7.4414868317755332</v>
      </c>
      <c r="AN25" s="23">
        <f>[1]节奏总纲!AN25</f>
        <v>5.9531894654204267</v>
      </c>
      <c r="AO25" s="23">
        <f>[1]节奏总纲!AO25</f>
        <v>4.4648920990653194</v>
      </c>
      <c r="AP25" s="23">
        <f>[1]节奏总纲!AP25</f>
        <v>2.9765947327102134</v>
      </c>
      <c r="AQ25" s="23">
        <f>[1]节奏总纲!AQ25</f>
        <v>1.4882973663551067</v>
      </c>
      <c r="AS25" s="23">
        <v>22</v>
      </c>
      <c r="AT25" s="23">
        <f>[1]节奏总纲!AT25</f>
        <v>1.1849843069926127</v>
      </c>
      <c r="AU25" s="23">
        <f>[1]节奏总纲!AU25</f>
        <v>0.94798744559408998</v>
      </c>
      <c r="AV25" s="23">
        <f>[1]节奏总纲!AV25</f>
        <v>0.71099058419556727</v>
      </c>
      <c r="AW25" s="23">
        <f>[1]节奏总纲!AW25</f>
        <v>0.47399372279704499</v>
      </c>
      <c r="AX25" s="23">
        <f>[1]节奏总纲!AX25</f>
        <v>0.2369968613985225</v>
      </c>
      <c r="AY25" s="23"/>
      <c r="AZ25" s="23">
        <v>22</v>
      </c>
      <c r="BA25" s="23">
        <f>[1]节奏总纲!BA25</f>
        <v>28.431345550275779</v>
      </c>
      <c r="BB25" s="23">
        <f>[1]节奏总纲!BB25</f>
        <v>29.80118336305917</v>
      </c>
      <c r="BC25" s="23">
        <f>[1]节奏总纲!BC25</f>
        <v>31.564373235931193</v>
      </c>
      <c r="BD25" s="23">
        <f>[1]节奏总纲!BD25</f>
        <v>34.09469189131628</v>
      </c>
      <c r="BE25" s="23">
        <f>[1]节奏总纲!BE25</f>
        <v>38.663818688865533</v>
      </c>
    </row>
    <row r="26" spans="2:57" x14ac:dyDescent="0.15">
      <c r="B26" s="23">
        <v>15</v>
      </c>
      <c r="C26" s="23">
        <v>3.5</v>
      </c>
      <c r="D26" s="23">
        <v>2</v>
      </c>
      <c r="F26" s="23">
        <v>24</v>
      </c>
      <c r="G26" s="23">
        <v>4.2780316430915768</v>
      </c>
      <c r="I26" s="23">
        <v>24</v>
      </c>
      <c r="J26" s="23">
        <v>10.47447102993563</v>
      </c>
      <c r="K26" s="18">
        <v>0.78</v>
      </c>
      <c r="N26" s="28">
        <f>[1]节奏总纲!N26</f>
        <v>33</v>
      </c>
      <c r="O26" s="23">
        <v>23</v>
      </c>
      <c r="P26" s="23">
        <f>[1]节奏总纲!P26</f>
        <v>3.9245776533796644</v>
      </c>
      <c r="Q26" s="23">
        <f>[1]节奏总纲!Q26</f>
        <v>3.4081032341949005</v>
      </c>
      <c r="R26" s="23">
        <f>[1]节奏总纲!R26</f>
        <v>2.8064654799317976</v>
      </c>
      <c r="S26" s="23">
        <f>[1]节奏总纲!S26</f>
        <v>2.0796336985258841</v>
      </c>
      <c r="T26" s="23">
        <f>[1]节奏总纲!T26</f>
        <v>1.1608900698697047</v>
      </c>
      <c r="U26" s="29"/>
      <c r="V26" s="23">
        <v>23</v>
      </c>
      <c r="W26" s="23">
        <f>[1]节奏总纲!W26</f>
        <v>0.32978423339152485</v>
      </c>
      <c r="X26" s="23">
        <f>[1]节奏总纲!X26</f>
        <v>0.28386827288320848</v>
      </c>
      <c r="Y26" s="23">
        <f>[1]节奏总纲!Y26</f>
        <v>0.23151495319429305</v>
      </c>
      <c r="Z26" s="23">
        <f>[1]节奏总纲!Z26</f>
        <v>0.17187683053817859</v>
      </c>
      <c r="AA26" s="23">
        <f>[1]节奏总纲!AA26</f>
        <v>9.2157986107230805E-2</v>
      </c>
      <c r="AC26" s="23">
        <v>23</v>
      </c>
      <c r="AD26" s="23">
        <f>[1]节奏总纲!AD26</f>
        <v>45.845161563010116</v>
      </c>
      <c r="AE26" s="23">
        <f>[1]节奏总纲!AE26</f>
        <v>47.734594805743399</v>
      </c>
      <c r="AF26" s="23">
        <f>[1]节奏总纲!AF26</f>
        <v>50.503430607741265</v>
      </c>
      <c r="AG26" s="23">
        <f>[1]节奏总纲!AG26</f>
        <v>54.814188287451351</v>
      </c>
      <c r="AH26" s="23">
        <f>[1]节奏总纲!AH26</f>
        <v>63.182677965405439</v>
      </c>
      <c r="AL26" s="23">
        <v>23</v>
      </c>
      <c r="AM26" s="23">
        <f>[1]节奏总纲!AM26</f>
        <v>8.8355567243832152</v>
      </c>
      <c r="AN26" s="23">
        <f>[1]节奏总纲!AN26</f>
        <v>7.0684453795065725</v>
      </c>
      <c r="AO26" s="23">
        <f>[1]节奏总纲!AO26</f>
        <v>5.3013340346299289</v>
      </c>
      <c r="AP26" s="23">
        <f>[1]节奏总纲!AP26</f>
        <v>3.5342226897532862</v>
      </c>
      <c r="AQ26" s="23">
        <f>[1]节奏总纲!AQ26</f>
        <v>1.7671113448766431</v>
      </c>
      <c r="AS26" s="23">
        <v>23</v>
      </c>
      <c r="AT26" s="23">
        <f>[1]节奏总纲!AT26</f>
        <v>1.394069892607682</v>
      </c>
      <c r="AU26" s="23">
        <f>[1]节奏总纲!AU26</f>
        <v>1.1152559140861458</v>
      </c>
      <c r="AV26" s="23">
        <f>[1]节奏总纲!AV26</f>
        <v>0.83644193556460955</v>
      </c>
      <c r="AW26" s="23">
        <f>[1]节奏总纲!AW26</f>
        <v>0.55762795704307289</v>
      </c>
      <c r="AX26" s="23">
        <f>[1]节奏总纲!AX26</f>
        <v>0.27881397852153644</v>
      </c>
      <c r="AY26" s="23"/>
      <c r="AZ26" s="23">
        <v>23</v>
      </c>
      <c r="BA26" s="23">
        <f>[1]节奏总纲!BA26</f>
        <v>28.705435004691331</v>
      </c>
      <c r="BB26" s="23">
        <f>[1]节奏总纲!BB26</f>
        <v>30.079877315295377</v>
      </c>
      <c r="BC26" s="23">
        <f>[1]节奏总纲!BC26</f>
        <v>31.848636073084339</v>
      </c>
      <c r="BD26" s="23">
        <f>[1]节奏总纲!BD26</f>
        <v>34.360958982105608</v>
      </c>
      <c r="BE26" s="23">
        <f>[1]节奏总纲!BE26</f>
        <v>38.976971320055128</v>
      </c>
    </row>
    <row r="27" spans="2:57" x14ac:dyDescent="0.15">
      <c r="B27" s="23">
        <v>20</v>
      </c>
      <c r="C27" s="23">
        <v>7.5</v>
      </c>
      <c r="D27" s="23">
        <v>4</v>
      </c>
      <c r="F27" s="23">
        <v>25</v>
      </c>
      <c r="G27" s="23">
        <v>4.6568542494923806</v>
      </c>
      <c r="I27" s="23">
        <v>25</v>
      </c>
      <c r="J27" s="23">
        <v>12.4</v>
      </c>
      <c r="K27" s="18">
        <v>0.8</v>
      </c>
      <c r="N27" s="28">
        <f>[1]节奏总纲!N27</f>
        <v>34</v>
      </c>
      <c r="O27" s="23">
        <v>24</v>
      </c>
      <c r="P27" s="23">
        <f>[1]节奏总纲!P27</f>
        <v>4.2780316430915768</v>
      </c>
      <c r="Q27" s="23">
        <f>[1]节奏总纲!Q27</f>
        <v>3.7214597263253628</v>
      </c>
      <c r="R27" s="23">
        <f>[1]节奏总纲!R27</f>
        <v>3.0699155070825155</v>
      </c>
      <c r="S27" s="23">
        <f>[1]节奏总纲!S27</f>
        <v>2.2742016214674821</v>
      </c>
      <c r="T27" s="23">
        <f>[1]节奏总纲!T27</f>
        <v>1.2692919885052709</v>
      </c>
      <c r="U27" s="29"/>
      <c r="V27" s="23">
        <v>24</v>
      </c>
      <c r="W27" s="23">
        <f>[1]节奏总纲!W27</f>
        <v>0.35345398971191244</v>
      </c>
      <c r="X27" s="23">
        <f>[1]节奏总纲!X27</f>
        <v>0.31335649213046235</v>
      </c>
      <c r="Y27" s="23">
        <f>[1]节奏总纲!Y27</f>
        <v>0.26345002715071786</v>
      </c>
      <c r="Z27" s="23">
        <f>[1]节奏总纲!Z27</f>
        <v>0.19456792294159797</v>
      </c>
      <c r="AA27" s="23">
        <f>[1]节奏总纲!AA27</f>
        <v>0.10840191863556625</v>
      </c>
      <c r="AC27" s="23">
        <v>24</v>
      </c>
      <c r="AD27" s="23">
        <f>[1]节奏总纲!AD27</f>
        <v>46.430041330048923</v>
      </c>
      <c r="AE27" s="23">
        <f>[1]节奏总纲!AE27</f>
        <v>48.330142263709867</v>
      </c>
      <c r="AF27" s="23">
        <f>[1]节奏总纲!AF27</f>
        <v>51.118578408701396</v>
      </c>
      <c r="AG27" s="23">
        <f>[1]节奏总纲!AG27</f>
        <v>55.44072585486321</v>
      </c>
      <c r="AH27" s="23">
        <f>[1]节奏总纲!AH27</f>
        <v>63.791742872142052</v>
      </c>
      <c r="AL27" s="23">
        <v>24</v>
      </c>
      <c r="AM27" s="23">
        <f>[1]节奏总纲!AM27</f>
        <v>10.47447102993563</v>
      </c>
      <c r="AN27" s="23">
        <f>[1]节奏总纲!AN27</f>
        <v>8.3795768239485042</v>
      </c>
      <c r="AO27" s="23">
        <f>[1]节奏总纲!AO27</f>
        <v>6.2846826179613782</v>
      </c>
      <c r="AP27" s="23">
        <f>[1]节奏总纲!AP27</f>
        <v>4.1897884119742521</v>
      </c>
      <c r="AQ27" s="23">
        <f>[1]节奏总纲!AQ27</f>
        <v>2.0948942059871261</v>
      </c>
      <c r="AS27" s="23">
        <v>24</v>
      </c>
      <c r="AT27" s="23">
        <f>[1]节奏总纲!AT27</f>
        <v>1.6389143055524151</v>
      </c>
      <c r="AU27" s="23">
        <f>[1]节奏总纲!AU27</f>
        <v>1.3111314444419317</v>
      </c>
      <c r="AV27" s="23">
        <f>[1]节奏总纲!AV27</f>
        <v>0.98334858333144926</v>
      </c>
      <c r="AW27" s="23">
        <f>[1]节奏总纲!AW27</f>
        <v>0.65556572222096587</v>
      </c>
      <c r="AX27" s="23">
        <f>[1]节奏总纲!AX27</f>
        <v>0.32778286111048294</v>
      </c>
      <c r="AY27" s="23"/>
      <c r="AZ27" s="23">
        <v>24</v>
      </c>
      <c r="BA27" s="23">
        <f>[1]节奏总纲!BA27</f>
        <v>28.979524459106884</v>
      </c>
      <c r="BB27" s="23">
        <f>[1]节奏总纲!BB27</f>
        <v>30.329493925593439</v>
      </c>
      <c r="BC27" s="23">
        <f>[1]节奏总纲!BC27</f>
        <v>32.113552950216736</v>
      </c>
      <c r="BD27" s="23">
        <f>[1]节奏总纲!BD27</f>
        <v>34.627226072894942</v>
      </c>
      <c r="BE27" s="23">
        <f>[1]节奏总纲!BE27</f>
        <v>39.250296194358178</v>
      </c>
    </row>
    <row r="28" spans="2:57" x14ac:dyDescent="0.15">
      <c r="B28" s="23">
        <v>25</v>
      </c>
      <c r="C28" s="23">
        <v>15.5</v>
      </c>
      <c r="D28" s="23">
        <v>8</v>
      </c>
      <c r="F28" s="23">
        <v>26</v>
      </c>
      <c r="G28" s="23">
        <v>5.062866266041592</v>
      </c>
      <c r="I28" s="23">
        <v>26</v>
      </c>
      <c r="J28" s="23">
        <v>14.6609224175611</v>
      </c>
      <c r="K28" s="18">
        <v>0.82</v>
      </c>
      <c r="N28" s="28">
        <f>[1]节奏总纲!N28</f>
        <v>35</v>
      </c>
      <c r="O28" s="23">
        <v>25</v>
      </c>
      <c r="P28" s="23">
        <f>[1]节奏总纲!P28</f>
        <v>4.6568542494923806</v>
      </c>
      <c r="Q28" s="23">
        <f>[1]节奏总纲!Q28</f>
        <v>4.054257309608067</v>
      </c>
      <c r="R28" s="23">
        <f>[1]节奏总纲!R28</f>
        <v>3.3445527219854276</v>
      </c>
      <c r="S28" s="23">
        <f>[1]节奏总纲!S28</f>
        <v>2.478377831579845</v>
      </c>
      <c r="T28" s="23">
        <f>[1]节奏总纲!T28</f>
        <v>1.3802915995495415</v>
      </c>
      <c r="U28" s="29"/>
      <c r="V28" s="23">
        <v>25</v>
      </c>
      <c r="W28" s="23">
        <f>[1]节奏总纲!W28</f>
        <v>0.37882260640080379</v>
      </c>
      <c r="X28" s="23">
        <f>[1]节奏总纲!X28</f>
        <v>0.33279758328270415</v>
      </c>
      <c r="Y28" s="23">
        <f>[1]节奏总纲!Y28</f>
        <v>0.27463721490291215</v>
      </c>
      <c r="Z28" s="23">
        <f>[1]节奏总纲!Z28</f>
        <v>0.20417621011236298</v>
      </c>
      <c r="AA28" s="23">
        <f>[1]节奏总纲!AA28</f>
        <v>0.11099961104427059</v>
      </c>
      <c r="AC28" s="23">
        <v>25</v>
      </c>
      <c r="AD28" s="23">
        <f>[1]节奏总纲!AD28</f>
        <v>47.004247194324648</v>
      </c>
      <c r="AE28" s="23">
        <f>[1]节奏总纲!AE28</f>
        <v>48.904516930942819</v>
      </c>
      <c r="AF28" s="23">
        <f>[1]节奏总纲!AF28</f>
        <v>51.667220029142385</v>
      </c>
      <c r="AG28" s="23">
        <f>[1]节奏总纲!AG28</f>
        <v>56.05100027504308</v>
      </c>
      <c r="AH28" s="23">
        <f>[1]节奏总纲!AH28</f>
        <v>64.398425477456215</v>
      </c>
      <c r="AL28" s="23">
        <v>25</v>
      </c>
      <c r="AM28" s="23">
        <f>[1]节奏总纲!AM28</f>
        <v>12.4</v>
      </c>
      <c r="AN28" s="23">
        <f>[1]节奏总纲!AN28</f>
        <v>9.9200000000000017</v>
      </c>
      <c r="AO28" s="23">
        <f>[1]节奏总纲!AO28</f>
        <v>7.4399999999999995</v>
      </c>
      <c r="AP28" s="23">
        <f>[1]节奏总纲!AP28</f>
        <v>4.9600000000000009</v>
      </c>
      <c r="AQ28" s="23">
        <f>[1]节奏总纲!AQ28</f>
        <v>2.4800000000000004</v>
      </c>
      <c r="AS28" s="23">
        <v>25</v>
      </c>
      <c r="AT28" s="23">
        <f>[1]节奏总纲!AT28</f>
        <v>1.9255289700643701</v>
      </c>
      <c r="AU28" s="23">
        <f>[1]节奏总纲!AU28</f>
        <v>1.5404231760514975</v>
      </c>
      <c r="AV28" s="23">
        <f>[1]节奏总纲!AV28</f>
        <v>1.1553173820386213</v>
      </c>
      <c r="AW28" s="23">
        <f>[1]节奏总纲!AW28</f>
        <v>0.77021158802574874</v>
      </c>
      <c r="AX28" s="23">
        <f>[1]节奏总纲!AX28</f>
        <v>0.38510579401287437</v>
      </c>
      <c r="AY28" s="23"/>
      <c r="AZ28" s="23">
        <v>25</v>
      </c>
      <c r="BA28" s="23">
        <f>[1]节奏总纲!BA28</f>
        <v>29.216428548527322</v>
      </c>
      <c r="BB28" s="23">
        <f>[1]节奏总纲!BB28</f>
        <v>30.579110535891502</v>
      </c>
      <c r="BC28" s="23">
        <f>[1]节奏总纲!BC28</f>
        <v>32.356435933516131</v>
      </c>
      <c r="BD28" s="23">
        <f>[1]节奏总纲!BD28</f>
        <v>34.893493163684269</v>
      </c>
      <c r="BE28" s="23">
        <f>[1]节奏总纲!BE28</f>
        <v>39.520459727922798</v>
      </c>
    </row>
    <row r="29" spans="2:57" x14ac:dyDescent="0.15">
      <c r="B29" s="23">
        <v>30</v>
      </c>
      <c r="C29" s="23">
        <v>31.5</v>
      </c>
      <c r="D29" s="23">
        <v>16</v>
      </c>
      <c r="F29" s="23">
        <v>27</v>
      </c>
      <c r="G29" s="23">
        <v>5.4980191708498847</v>
      </c>
      <c r="I29" s="23">
        <v>27</v>
      </c>
      <c r="J29" s="23">
        <v>17.314186320787698</v>
      </c>
      <c r="K29" s="18">
        <v>0.84</v>
      </c>
      <c r="N29" s="28">
        <f>[1]节奏总纲!N29</f>
        <v>36</v>
      </c>
      <c r="O29" s="23">
        <v>26</v>
      </c>
      <c r="P29" s="23">
        <f>[1]节奏总纲!P29</f>
        <v>5.062866266041592</v>
      </c>
      <c r="Q29" s="23">
        <f>[1]节奏总纲!Q29</f>
        <v>4.408743944469018</v>
      </c>
      <c r="R29" s="23">
        <f>[1]节奏总纲!R29</f>
        <v>3.63716312552428</v>
      </c>
      <c r="S29" s="23">
        <f>[1]节奏总纲!S29</f>
        <v>2.6914197070277099</v>
      </c>
      <c r="T29" s="23">
        <f>[1]节奏总纲!T29</f>
        <v>1.4996209880015197</v>
      </c>
      <c r="U29" s="29"/>
      <c r="V29" s="23">
        <v>26</v>
      </c>
      <c r="W29" s="23">
        <f>[1]节奏总纲!W29</f>
        <v>0.40601201654921137</v>
      </c>
      <c r="X29" s="23">
        <f>[1]节奏总纲!X29</f>
        <v>0.354486634860951</v>
      </c>
      <c r="Y29" s="23">
        <f>[1]节奏总纲!Y29</f>
        <v>0.29261040353885237</v>
      </c>
      <c r="Z29" s="23">
        <f>[1]节奏总纲!Z29</f>
        <v>0.2130418754478649</v>
      </c>
      <c r="AA29" s="23">
        <f>[1]节奏总纲!AA29</f>
        <v>0.11932938845197816</v>
      </c>
      <c r="AC29" s="23">
        <v>26</v>
      </c>
      <c r="AD29" s="23">
        <f>[1]节奏总纲!AD29</f>
        <v>47.540284631526092</v>
      </c>
      <c r="AE29" s="23">
        <f>[1]节奏总纲!AE29</f>
        <v>49.446133440059114</v>
      </c>
      <c r="AF29" s="23">
        <f>[1]节奏总纲!AF29</f>
        <v>52.199341027338768</v>
      </c>
      <c r="AG29" s="23">
        <f>[1]节奏总纲!AG29</f>
        <v>56.621068614050692</v>
      </c>
      <c r="AH29" s="23">
        <f>[1]节奏总纲!AH29</f>
        <v>65.00344105132713</v>
      </c>
      <c r="AL29" s="23">
        <v>26</v>
      </c>
      <c r="AM29" s="23">
        <f>[1]节奏总纲!AM29</f>
        <v>14.6609224175611</v>
      </c>
      <c r="AN29" s="23">
        <f>[1]节奏总纲!AN29</f>
        <v>11.72873793404888</v>
      </c>
      <c r="AO29" s="23">
        <f>[1]节奏总纲!AO29</f>
        <v>8.7965534505366598</v>
      </c>
      <c r="AP29" s="23">
        <f>[1]节奏总纲!AP29</f>
        <v>5.8643689670244399</v>
      </c>
      <c r="AQ29" s="23">
        <f>[1]节奏总纲!AQ29</f>
        <v>2.9321844835122199</v>
      </c>
      <c r="AS29" s="23">
        <v>26</v>
      </c>
      <c r="AT29" s="23">
        <f>[1]节奏总纲!AT29</f>
        <v>2.2609224175610994</v>
      </c>
      <c r="AU29" s="23">
        <f>[1]节奏总纲!AU29</f>
        <v>1.8087379340488781</v>
      </c>
      <c r="AV29" s="23">
        <f>[1]节奏总纲!AV29</f>
        <v>1.3565534505366603</v>
      </c>
      <c r="AW29" s="23">
        <f>[1]节奏总纲!AW29</f>
        <v>0.90436896702443903</v>
      </c>
      <c r="AX29" s="23">
        <f>[1]节奏总纲!AX29</f>
        <v>0.45218448351221951</v>
      </c>
      <c r="AY29" s="23"/>
      <c r="AZ29" s="23">
        <v>26</v>
      </c>
      <c r="BA29" s="23">
        <f>[1]节奏总纲!BA29</f>
        <v>29.45033047434006</v>
      </c>
      <c r="BB29" s="23">
        <f>[1]节奏总纲!BB29</f>
        <v>30.828727146189561</v>
      </c>
      <c r="BC29" s="23">
        <f>[1]节奏总纲!BC29</f>
        <v>32.59931891681552</v>
      </c>
      <c r="BD29" s="23">
        <f>[1]节奏总纲!BD29</f>
        <v>35.146386283795508</v>
      </c>
      <c r="BE29" s="23">
        <f>[1]节奏总纲!BE29</f>
        <v>39.790623261487418</v>
      </c>
    </row>
    <row r="30" spans="2:57" x14ac:dyDescent="0.15">
      <c r="B30" s="23">
        <v>35</v>
      </c>
      <c r="C30" s="23">
        <v>63.5</v>
      </c>
      <c r="D30" s="23">
        <v>32</v>
      </c>
      <c r="F30" s="23">
        <v>28</v>
      </c>
      <c r="G30" s="23">
        <v>5.9644045063689921</v>
      </c>
      <c r="I30" s="23">
        <v>28</v>
      </c>
      <c r="J30" s="23">
        <v>20.42625995518307</v>
      </c>
      <c r="K30" s="18">
        <v>0.86</v>
      </c>
      <c r="N30" s="28">
        <f>[1]节奏总纲!N30</f>
        <v>37</v>
      </c>
      <c r="O30" s="23">
        <v>27</v>
      </c>
      <c r="P30" s="23">
        <f>[1]节奏总纲!P30</f>
        <v>5.4980191708498847</v>
      </c>
      <c r="Q30" s="23">
        <f>[1]节奏总纲!Q30</f>
        <v>4.7882248958931646</v>
      </c>
      <c r="R30" s="23">
        <f>[1]节奏总纲!R30</f>
        <v>3.9492271704214725</v>
      </c>
      <c r="S30" s="23">
        <f>[1]节奏总纲!S30</f>
        <v>2.9205477835554587</v>
      </c>
      <c r="T30" s="23">
        <f>[1]节奏总纲!T30</f>
        <v>1.6290630803228208</v>
      </c>
      <c r="U30" s="29"/>
      <c r="V30" s="23">
        <v>27</v>
      </c>
      <c r="W30" s="23">
        <f>[1]节奏总纲!W30</f>
        <v>0.43515290480829272</v>
      </c>
      <c r="X30" s="23">
        <f>[1]节奏总纲!X30</f>
        <v>0.37948095142414662</v>
      </c>
      <c r="Y30" s="23">
        <f>[1]节奏总纲!Y30</f>
        <v>0.31206404489719253</v>
      </c>
      <c r="Z30" s="23">
        <f>[1]节奏总纲!Z30</f>
        <v>0.2291280765277488</v>
      </c>
      <c r="AA30" s="23">
        <f>[1]节奏总纲!AA30</f>
        <v>0.12944209232130111</v>
      </c>
      <c r="AC30" s="23">
        <v>27</v>
      </c>
      <c r="AD30" s="23">
        <f>[1]节奏总纲!AD30</f>
        <v>48.071211008105138</v>
      </c>
      <c r="AE30" s="23">
        <f>[1]节奏总纲!AE30</f>
        <v>49.981218513907905</v>
      </c>
      <c r="AF30" s="23">
        <f>[1]节奏总纲!AF30</f>
        <v>52.705993248660157</v>
      </c>
      <c r="AG30" s="23">
        <f>[1]节奏总纲!AG30</f>
        <v>57.175765669822162</v>
      </c>
      <c r="AH30" s="23">
        <f>[1]节奏总纲!AH30</f>
        <v>65.541743280100334</v>
      </c>
      <c r="AL30" s="23">
        <v>27</v>
      </c>
      <c r="AM30" s="23">
        <f>[1]节奏总纲!AM30</f>
        <v>17.314186320787698</v>
      </c>
      <c r="AN30" s="23">
        <f>[1]节奏总纲!AN30</f>
        <v>13.851349056630159</v>
      </c>
      <c r="AO30" s="23">
        <f>[1]节奏总纲!AO30</f>
        <v>10.388511792472618</v>
      </c>
      <c r="AP30" s="23">
        <f>[1]节奏总纲!AP30</f>
        <v>6.9256745283150796</v>
      </c>
      <c r="AQ30" s="23">
        <f>[1]节奏总纲!AQ30</f>
        <v>3.4628372641575398</v>
      </c>
      <c r="AS30" s="23">
        <v>27</v>
      </c>
      <c r="AT30" s="23">
        <f>[1]节奏总纲!AT30</f>
        <v>2.6532639032265983</v>
      </c>
      <c r="AU30" s="23">
        <f>[1]节奏总纲!AU30</f>
        <v>2.1226111225812794</v>
      </c>
      <c r="AV30" s="23">
        <f>[1]节奏总纲!AV30</f>
        <v>1.5919583419359586</v>
      </c>
      <c r="AW30" s="23">
        <f>[1]节奏总纲!AW30</f>
        <v>1.0613055612906397</v>
      </c>
      <c r="AX30" s="23">
        <f>[1]节奏总纲!AX30</f>
        <v>0.53065278064531984</v>
      </c>
      <c r="AY30" s="23"/>
      <c r="AZ30" s="23">
        <v>27</v>
      </c>
      <c r="BA30" s="23">
        <f>[1]节奏总纲!BA30</f>
        <v>29.684232400152801</v>
      </c>
      <c r="BB30" s="23">
        <f>[1]节奏总纲!BB30</f>
        <v>31.066913270913183</v>
      </c>
      <c r="BC30" s="23">
        <f>[1]节奏总纲!BC30</f>
        <v>32.842201900114915</v>
      </c>
      <c r="BD30" s="23">
        <f>[1]节奏总纲!BD30</f>
        <v>35.390363423454687</v>
      </c>
      <c r="BE30" s="23">
        <f>[1]节奏总纲!BE30</f>
        <v>40.052446592012309</v>
      </c>
    </row>
    <row r="31" spans="2:57" x14ac:dyDescent="0.15">
      <c r="B31" s="23">
        <v>40</v>
      </c>
      <c r="C31" s="23">
        <v>127.5</v>
      </c>
      <c r="D31" s="23">
        <v>64</v>
      </c>
      <c r="F31" s="23">
        <v>29</v>
      </c>
      <c r="G31" s="23">
        <v>6.4642639322944575</v>
      </c>
      <c r="I31" s="23">
        <v>29</v>
      </c>
      <c r="J31" s="23">
        <v>24.074703862418847</v>
      </c>
      <c r="K31" s="18">
        <v>0.88</v>
      </c>
      <c r="N31" s="28">
        <f>[1]节奏总纲!N31</f>
        <v>38</v>
      </c>
      <c r="O31" s="23">
        <v>28</v>
      </c>
      <c r="P31" s="23">
        <f>[1]节奏总纲!P31</f>
        <v>5.9644045063689921</v>
      </c>
      <c r="Q31" s="23">
        <f>[1]节奏总纲!Q31</f>
        <v>5.1914176823435705</v>
      </c>
      <c r="R31" s="23">
        <f>[1]节奏总纲!R31</f>
        <v>4.2752851501652938</v>
      </c>
      <c r="S31" s="23">
        <f>[1]节奏总纲!S31</f>
        <v>3.1653094715300236</v>
      </c>
      <c r="T31" s="23">
        <f>[1]节奏总纲!T31</f>
        <v>1.7738139001941382</v>
      </c>
      <c r="U31" s="29"/>
      <c r="V31" s="23">
        <v>28</v>
      </c>
      <c r="W31" s="23">
        <f>[1]节奏总纲!W31</f>
        <v>0.46638533551910744</v>
      </c>
      <c r="X31" s="23">
        <f>[1]节奏总纲!X31</f>
        <v>0.4031927864504059</v>
      </c>
      <c r="Y31" s="23">
        <f>[1]节奏总纲!Y31</f>
        <v>0.32605797974382122</v>
      </c>
      <c r="Z31" s="23">
        <f>[1]节奏总纲!Z31</f>
        <v>0.24476168797456488</v>
      </c>
      <c r="AA31" s="23">
        <f>[1]节奏总纲!AA31</f>
        <v>0.14475081987131744</v>
      </c>
      <c r="AC31" s="23">
        <v>28</v>
      </c>
      <c r="AD31" s="23">
        <f>[1]节奏总纲!AD31</f>
        <v>48.571351621712928</v>
      </c>
      <c r="AE31" s="23">
        <f>[1]节奏总纲!AE31</f>
        <v>50.509688493127967</v>
      </c>
      <c r="AF31" s="23">
        <f>[1]节奏总纲!AF31</f>
        <v>53.212684955585161</v>
      </c>
      <c r="AG31" s="23">
        <f>[1]节奏总纲!AG31</f>
        <v>57.699988965458331</v>
      </c>
      <c r="AH31" s="23">
        <f>[1]节奏总纲!AH31</f>
        <v>66.076345334947405</v>
      </c>
      <c r="AL31" s="23">
        <v>28</v>
      </c>
      <c r="AM31" s="23">
        <f>[1]节奏总纲!AM31</f>
        <v>20.42625995518307</v>
      </c>
      <c r="AN31" s="23">
        <f>[1]节奏总纲!AN31</f>
        <v>16.341007964146456</v>
      </c>
      <c r="AO31" s="23">
        <f>[1]节奏总纲!AO31</f>
        <v>12.255755973109842</v>
      </c>
      <c r="AP31" s="23">
        <f>[1]节奏总纲!AP31</f>
        <v>8.1705039820732281</v>
      </c>
      <c r="AQ31" s="23">
        <f>[1]节奏总纲!AQ31</f>
        <v>4.0852519910366141</v>
      </c>
      <c r="AS31" s="23">
        <v>28</v>
      </c>
      <c r="AT31" s="23">
        <f>[1]节奏总纲!AT31</f>
        <v>3.1120736343953723</v>
      </c>
      <c r="AU31" s="23">
        <f>[1]节奏总纲!AU31</f>
        <v>2.4896589075162971</v>
      </c>
      <c r="AV31" s="23">
        <f>[1]节奏总纲!AV31</f>
        <v>1.8672441806372237</v>
      </c>
      <c r="AW31" s="23">
        <f>[1]节奏总纲!AW31</f>
        <v>1.2448294537581486</v>
      </c>
      <c r="AX31" s="23">
        <f>[1]节奏总纲!AX31</f>
        <v>0.62241472687907429</v>
      </c>
      <c r="AY31" s="23"/>
      <c r="AZ31" s="23">
        <v>28</v>
      </c>
      <c r="BA31" s="23">
        <f>[1]节奏总纲!BA31</f>
        <v>29.918134325965539</v>
      </c>
      <c r="BB31" s="23">
        <f>[1]节奏总纲!BB31</f>
        <v>31.280110398778046</v>
      </c>
      <c r="BC31" s="23">
        <f>[1]节奏总纲!BC31</f>
        <v>33.072726100175295</v>
      </c>
      <c r="BD31" s="23">
        <f>[1]节奏总纲!BD31</f>
        <v>35.634340563113874</v>
      </c>
      <c r="BE31" s="23">
        <f>[1]节奏总纲!BE31</f>
        <v>40.28554255651148</v>
      </c>
    </row>
    <row r="32" spans="2:57" x14ac:dyDescent="0.15">
      <c r="B32" s="23">
        <v>45</v>
      </c>
      <c r="C32" s="23">
        <v>255.5</v>
      </c>
      <c r="D32" s="23">
        <v>128</v>
      </c>
      <c r="F32" s="23">
        <v>30</v>
      </c>
      <c r="G32" s="23">
        <v>7</v>
      </c>
      <c r="I32" s="23">
        <v>30</v>
      </c>
      <c r="J32" s="23">
        <v>28.35</v>
      </c>
      <c r="K32" s="18">
        <v>0.9</v>
      </c>
      <c r="N32" s="28">
        <f>[1]节奏总纲!N32</f>
        <v>39</v>
      </c>
      <c r="O32" s="23">
        <v>29</v>
      </c>
      <c r="P32" s="23">
        <f>[1]节奏总纲!P32</f>
        <v>6.4642639322944575</v>
      </c>
      <c r="Q32" s="23">
        <f>[1]节奏总纲!Q32</f>
        <v>5.6323131642081607</v>
      </c>
      <c r="R32" s="23">
        <f>[1]节奏总纲!R32</f>
        <v>4.6510378992858623</v>
      </c>
      <c r="S32" s="23">
        <f>[1]节奏总纲!S32</f>
        <v>3.4532097926316991</v>
      </c>
      <c r="T32" s="23">
        <f>[1]节奏总纲!T32</f>
        <v>1.9366934741154194</v>
      </c>
      <c r="U32" s="29"/>
      <c r="V32" s="23">
        <v>29</v>
      </c>
      <c r="W32" s="23">
        <f>[1]节奏总纲!W32</f>
        <v>0.49985942592546539</v>
      </c>
      <c r="X32" s="23">
        <f>[1]节奏总纲!X32</f>
        <v>0.44089548186459027</v>
      </c>
      <c r="Y32" s="23">
        <f>[1]节奏总纲!Y32</f>
        <v>0.37575274912056855</v>
      </c>
      <c r="Z32" s="23">
        <f>[1]节奏总纲!Z32</f>
        <v>0.28790032110167552</v>
      </c>
      <c r="AA32" s="23">
        <f>[1]节奏总纲!AA32</f>
        <v>0.16287957392128116</v>
      </c>
      <c r="AC32" s="23">
        <v>29</v>
      </c>
      <c r="AD32" s="23">
        <f>[1]节奏总纲!AD32</f>
        <v>49.066704614192936</v>
      </c>
      <c r="AE32" s="23">
        <f>[1]节奏总纲!AE32</f>
        <v>51.033341828534468</v>
      </c>
      <c r="AF32" s="23">
        <f>[1]节奏总纲!AF32</f>
        <v>53.719431255885922</v>
      </c>
      <c r="AG32" s="23">
        <f>[1]节奏总纲!AG32</f>
        <v>58.210135614815364</v>
      </c>
      <c r="AH32" s="23">
        <f>[1]节奏总纲!AH32</f>
        <v>66.589764070576265</v>
      </c>
      <c r="AL32" s="23">
        <v>29</v>
      </c>
      <c r="AM32" s="23">
        <f>[1]节奏总纲!AM32</f>
        <v>24.074703862418847</v>
      </c>
      <c r="AN32" s="23">
        <f>[1]节奏总纲!AN32</f>
        <v>19.259763089935078</v>
      </c>
      <c r="AO32" s="23">
        <f>[1]节奏总纲!AO32</f>
        <v>14.444822317451308</v>
      </c>
      <c r="AP32" s="23">
        <f>[1]节奏总纲!AP32</f>
        <v>9.6298815449675388</v>
      </c>
      <c r="AQ32" s="23">
        <f>[1]节奏总纲!AQ32</f>
        <v>4.8149407724837694</v>
      </c>
      <c r="AS32" s="23">
        <v>29</v>
      </c>
      <c r="AT32" s="23">
        <f>[1]节奏总纲!AT32</f>
        <v>3.6484439072357766</v>
      </c>
      <c r="AU32" s="23">
        <f>[1]节奏总纲!AU32</f>
        <v>2.9187551257886213</v>
      </c>
      <c r="AV32" s="23">
        <f>[1]节奏总纲!AV32</f>
        <v>2.189066344341466</v>
      </c>
      <c r="AW32" s="23">
        <f>[1]节奏总纲!AW32</f>
        <v>1.4593775628943106</v>
      </c>
      <c r="AX32" s="23">
        <f>[1]节奏总纲!AX32</f>
        <v>0.72968878144715532</v>
      </c>
      <c r="AY32" s="23"/>
      <c r="AZ32" s="23">
        <v>29</v>
      </c>
      <c r="BA32" s="23">
        <f>[1]节奏总纲!BA32</f>
        <v>30.12980063735499</v>
      </c>
      <c r="BB32" s="23">
        <f>[1]节奏总纲!BB32</f>
        <v>31.493307526642905</v>
      </c>
      <c r="BC32" s="23">
        <f>[1]节奏总纲!BC32</f>
        <v>33.280329748032408</v>
      </c>
      <c r="BD32" s="23">
        <f>[1]节奏总纲!BD32</f>
        <v>35.878317702773053</v>
      </c>
      <c r="BE32" s="23">
        <f>[1]节奏总纲!BE32</f>
        <v>40.518638521010644</v>
      </c>
    </row>
    <row r="33" spans="2:57" x14ac:dyDescent="0.15">
      <c r="B33" s="23">
        <v>50</v>
      </c>
      <c r="C33" s="23">
        <v>511.5</v>
      </c>
      <c r="D33" s="23">
        <v>256</v>
      </c>
      <c r="F33" s="23">
        <v>31</v>
      </c>
      <c r="G33" s="23">
        <v>7.5741877002903433</v>
      </c>
      <c r="I33" s="23">
        <v>31</v>
      </c>
      <c r="J33" s="23">
        <v>33.357679571112705</v>
      </c>
      <c r="K33" s="18">
        <v>0.92</v>
      </c>
      <c r="N33" s="28">
        <f>[1]节奏总纲!N33</f>
        <v>40</v>
      </c>
      <c r="O33" s="23">
        <v>30</v>
      </c>
      <c r="P33" s="23">
        <f>[1]节奏总纲!P33</f>
        <v>7</v>
      </c>
      <c r="Q33" s="23">
        <f>[1]节奏总纲!Q33</f>
        <v>6.1025999999999998</v>
      </c>
      <c r="R33" s="23">
        <f>[1]节奏总纲!R33</f>
        <v>5.0421000000000005</v>
      </c>
      <c r="S33" s="23">
        <f>[1]节奏总纲!S33</f>
        <v>3.7428999999999997</v>
      </c>
      <c r="T33" s="23">
        <f>[1]节奏总纲!T33</f>
        <v>2.1006999999999998</v>
      </c>
      <c r="U33" s="29"/>
      <c r="V33" s="23">
        <v>30</v>
      </c>
      <c r="W33" s="23">
        <f>[1]节奏总纲!W33</f>
        <v>0.5357360677055425</v>
      </c>
      <c r="X33" s="23">
        <f>[1]节奏总纲!X33</f>
        <v>0.47028683579183905</v>
      </c>
      <c r="Y33" s="23">
        <f>[1]节奏总纲!Y33</f>
        <v>0.39106210071413816</v>
      </c>
      <c r="Z33" s="23">
        <f>[1]节奏总纲!Z33</f>
        <v>0.28969020736830053</v>
      </c>
      <c r="AA33" s="23">
        <f>[1]节奏总纲!AA33</f>
        <v>0.16400652588458042</v>
      </c>
      <c r="AC33" s="23">
        <v>30</v>
      </c>
      <c r="AD33" s="23">
        <f>[1]节奏总纲!AD33</f>
        <v>49.533352307096472</v>
      </c>
      <c r="AE33" s="23">
        <f>[1]节奏总纲!AE33</f>
        <v>51.497823295559343</v>
      </c>
      <c r="AF33" s="23">
        <f>[1]节奏总纲!AF33</f>
        <v>54.213705787583436</v>
      </c>
      <c r="AG33" s="23">
        <f>[1]节奏总纲!AG33</f>
        <v>58.701446767877648</v>
      </c>
      <c r="AH33" s="23">
        <f>[1]节奏总纲!AH33</f>
        <v>67.097551508592701</v>
      </c>
      <c r="AL33" s="23">
        <v>30</v>
      </c>
      <c r="AM33" s="23">
        <f>[1]节奏总纲!AM33</f>
        <v>28.35</v>
      </c>
      <c r="AN33" s="23">
        <f>[1]节奏总纲!AN33</f>
        <v>22.680000000000003</v>
      </c>
      <c r="AO33" s="23">
        <f>[1]节奏总纲!AO33</f>
        <v>17.010000000000002</v>
      </c>
      <c r="AP33" s="23">
        <f>[1]节奏总纲!AP33</f>
        <v>11.340000000000002</v>
      </c>
      <c r="AQ33" s="23">
        <f>[1]节奏总纲!AQ33</f>
        <v>5.6700000000000008</v>
      </c>
      <c r="AS33" s="23">
        <v>30</v>
      </c>
      <c r="AT33" s="23">
        <f>[1]节奏总纲!AT33</f>
        <v>4.2752961375811545</v>
      </c>
      <c r="AU33" s="23">
        <f>[1]节奏总纲!AU33</f>
        <v>3.4202369100649257</v>
      </c>
      <c r="AV33" s="23">
        <f>[1]节奏总纲!AV33</f>
        <v>2.5651776825486934</v>
      </c>
      <c r="AW33" s="23">
        <f>[1]节奏总纲!AW33</f>
        <v>1.7101184550324628</v>
      </c>
      <c r="AX33" s="23">
        <f>[1]节奏总纲!AX33</f>
        <v>0.85505922751623142</v>
      </c>
      <c r="AY33" s="23"/>
      <c r="AZ33" s="23">
        <v>30</v>
      </c>
      <c r="BA33" s="23">
        <f>[1]节奏总纲!BA33</f>
        <v>30.329493925593439</v>
      </c>
      <c r="BB33" s="23">
        <f>[1]节奏总纲!BB33</f>
        <v>31.706504654507764</v>
      </c>
      <c r="BC33" s="23">
        <f>[1]节奏总纲!BC33</f>
        <v>33.487933395889513</v>
      </c>
      <c r="BD33" s="23">
        <f>[1]节奏总纲!BD33</f>
        <v>36.105477566569242</v>
      </c>
      <c r="BE33" s="23">
        <f>[1]节奏总纲!BE33</f>
        <v>40.751734485509814</v>
      </c>
    </row>
    <row r="34" spans="2:57" x14ac:dyDescent="0.15">
      <c r="B34" s="23">
        <v>55</v>
      </c>
      <c r="C34" s="23">
        <v>1023.5</v>
      </c>
      <c r="D34" s="23">
        <v>512</v>
      </c>
      <c r="F34" s="23">
        <v>32</v>
      </c>
      <c r="G34" s="23">
        <v>8.189586839976279</v>
      </c>
      <c r="I34" s="23">
        <v>32</v>
      </c>
      <c r="J34" s="23">
        <v>39.220797956048642</v>
      </c>
      <c r="K34" s="18">
        <v>0.94</v>
      </c>
      <c r="N34" s="28">
        <f>[1]节奏总纲!N34</f>
        <v>41</v>
      </c>
      <c r="O34" s="23">
        <v>31</v>
      </c>
      <c r="P34" s="23">
        <f>[1]节奏总纲!P34</f>
        <v>7.5741877002903433</v>
      </c>
      <c r="Q34" s="23">
        <f>[1]节奏总纲!Q34</f>
        <v>6.6115084435834408</v>
      </c>
      <c r="R34" s="23">
        <f>[1]节奏总纲!R34</f>
        <v>5.4632615882194253</v>
      </c>
      <c r="S34" s="23">
        <f>[1]节奏总纲!S34</f>
        <v>4.052190419655334</v>
      </c>
      <c r="T34" s="23">
        <f>[1]节奏总纲!T34</f>
        <v>2.2783156602473356</v>
      </c>
      <c r="U34" s="29"/>
      <c r="V34" s="23">
        <v>31</v>
      </c>
      <c r="W34" s="23">
        <f>[1]节奏总纲!W34</f>
        <v>0.57418770029034327</v>
      </c>
      <c r="X34" s="23">
        <f>[1]节奏总纲!X34</f>
        <v>0.50890844358344101</v>
      </c>
      <c r="Y34" s="23">
        <f>[1]节奏总纲!Y34</f>
        <v>0.42116158821942484</v>
      </c>
      <c r="Z34" s="23">
        <f>[1]节奏总纲!Z34</f>
        <v>0.30929041965533433</v>
      </c>
      <c r="AA34" s="23">
        <f>[1]节奏总纲!AA34</f>
        <v>0.17761566024733577</v>
      </c>
      <c r="AC34" s="23">
        <v>31</v>
      </c>
      <c r="AD34" s="23">
        <f>[1]节奏总纲!AD34</f>
        <v>50</v>
      </c>
      <c r="AE34" s="23">
        <f>[1]节奏总纲!AE34</f>
        <v>51.96230476258421</v>
      </c>
      <c r="AF34" s="23">
        <f>[1]节奏总纲!AF34</f>
        <v>54.692509339255828</v>
      </c>
      <c r="AG34" s="23">
        <f>[1]节奏总纲!AG34</f>
        <v>59.178112178215827</v>
      </c>
      <c r="AH34" s="23">
        <f>[1]节奏总纲!AH34</f>
        <v>67.582949939226467</v>
      </c>
      <c r="AL34" s="23">
        <v>31</v>
      </c>
      <c r="AM34" s="23">
        <f>[1]节奏总纲!AM34</f>
        <v>33.357679571112705</v>
      </c>
      <c r="AN34" s="23">
        <f>[1]节奏总纲!AN34</f>
        <v>26.686143656890167</v>
      </c>
      <c r="AO34" s="23">
        <f>[1]节奏总纲!AO34</f>
        <v>20.014607742667621</v>
      </c>
      <c r="AP34" s="23">
        <f>[1]节奏总纲!AP34</f>
        <v>13.343071828445083</v>
      </c>
      <c r="AQ34" s="23">
        <f>[1]节奏总纲!AQ34</f>
        <v>6.6715359142225417</v>
      </c>
      <c r="AS34" s="23">
        <v>31</v>
      </c>
      <c r="AT34" s="23">
        <f>[1]节奏总纲!AT34</f>
        <v>5.0076795711127033</v>
      </c>
      <c r="AU34" s="23">
        <f>[1]节奏总纲!AU34</f>
        <v>4.0061436568901634</v>
      </c>
      <c r="AV34" s="23">
        <f>[1]节奏总纲!AV34</f>
        <v>3.0046077426676199</v>
      </c>
      <c r="AW34" s="23">
        <f>[1]节奏总纲!AW34</f>
        <v>2.0030718284450817</v>
      </c>
      <c r="AX34" s="23">
        <f>[1]节奏总纲!AX34</f>
        <v>1.0015359142225408</v>
      </c>
      <c r="AY34" s="23"/>
      <c r="AZ34" s="23">
        <v>31</v>
      </c>
      <c r="BA34" s="23">
        <f>[1]节奏总纲!BA34</f>
        <v>30.529187213831889</v>
      </c>
      <c r="BB34" s="23">
        <f>[1]节奏总纲!BB34</f>
        <v>31.919701782372627</v>
      </c>
      <c r="BC34" s="23">
        <f>[1]节奏总纲!BC34</f>
        <v>33.695537043746626</v>
      </c>
      <c r="BD34" s="23">
        <f>[1]节奏总纲!BD34</f>
        <v>36.315904388158508</v>
      </c>
      <c r="BE34" s="23">
        <f>[1]节奏总纲!BE34</f>
        <v>40.984830450008978</v>
      </c>
    </row>
    <row r="35" spans="2:57" x14ac:dyDescent="0.15">
      <c r="B35" s="23">
        <v>60</v>
      </c>
      <c r="C35" s="23">
        <v>2047.5</v>
      </c>
      <c r="D35" s="23">
        <v>1024</v>
      </c>
      <c r="F35" s="23">
        <v>33</v>
      </c>
      <c r="G35" s="23">
        <v>8.8491553067593287</v>
      </c>
      <c r="I35" s="23">
        <v>33</v>
      </c>
      <c r="J35" s="23">
        <v>46.082812923199413</v>
      </c>
      <c r="K35" s="18">
        <v>0.96</v>
      </c>
      <c r="N35" s="28">
        <f>[1]节奏总纲!N35</f>
        <v>42</v>
      </c>
      <c r="O35" s="23">
        <v>32</v>
      </c>
      <c r="P35" s="23">
        <f>[1]节奏总纲!P35</f>
        <v>8.189586839976279</v>
      </c>
      <c r="Q35" s="23">
        <f>[1]节奏总纲!Q35</f>
        <v>7.1519661873512845</v>
      </c>
      <c r="R35" s="23">
        <f>[1]节奏总纲!R35</f>
        <v>5.906330028990892</v>
      </c>
      <c r="S35" s="23">
        <f>[1]节奏总纲!S35</f>
        <v>4.3855237528072974</v>
      </c>
      <c r="T35" s="23">
        <f>[1]节奏总纲!T35</f>
        <v>2.46506563883286</v>
      </c>
      <c r="U35" s="29"/>
      <c r="V35" s="23">
        <v>32</v>
      </c>
      <c r="W35" s="23">
        <f>[1]节奏总纲!W35</f>
        <v>0.61539913968593574</v>
      </c>
      <c r="X35" s="23">
        <f>[1]节奏总纲!X35</f>
        <v>0.54045774376784372</v>
      </c>
      <c r="Y35" s="23">
        <f>[1]节奏总纲!Y35</f>
        <v>0.44306844077146668</v>
      </c>
      <c r="Z35" s="23">
        <f>[1]节奏总纲!Z35</f>
        <v>0.33333333315196345</v>
      </c>
      <c r="AA35" s="23">
        <f>[1]节奏总纲!AA35</f>
        <v>0.18674997858552445</v>
      </c>
      <c r="AC35" s="23">
        <v>32</v>
      </c>
      <c r="AD35" s="23">
        <f>[1]节奏总纲!AD35</f>
        <v>50.435397692903535</v>
      </c>
      <c r="AE35" s="23">
        <f>[1]节奏总纲!AE35</f>
        <v>52.391506955233744</v>
      </c>
      <c r="AF35" s="23">
        <f>[1]节奏总纲!AF35</f>
        <v>55.159275389027101</v>
      </c>
      <c r="AG35" s="23">
        <f>[1]节奏总纲!AG35</f>
        <v>59.632093520341421</v>
      </c>
      <c r="AH35" s="23">
        <f>[1]节奏总纲!AH35</f>
        <v>68.063981730538742</v>
      </c>
      <c r="AL35" s="23">
        <v>32</v>
      </c>
      <c r="AM35" s="23">
        <f>[1]节奏总纲!AM35</f>
        <v>39.220797956048642</v>
      </c>
      <c r="AN35" s="23">
        <f>[1]节奏总纲!AN35</f>
        <v>31.376638364838914</v>
      </c>
      <c r="AO35" s="23">
        <f>[1]节奏总纲!AO35</f>
        <v>23.532478773629183</v>
      </c>
      <c r="AP35" s="23">
        <f>[1]节奏总纲!AP35</f>
        <v>15.688319182419457</v>
      </c>
      <c r="AQ35" s="23">
        <f>[1]节奏总纲!AQ35</f>
        <v>7.8441595912097286</v>
      </c>
      <c r="AS35" s="23">
        <v>32</v>
      </c>
      <c r="AT35" s="23">
        <f>[1]节奏总纲!AT35</f>
        <v>5.8631183849359374</v>
      </c>
      <c r="AU35" s="23">
        <f>[1]节奏总纲!AU35</f>
        <v>4.6904947079487478</v>
      </c>
      <c r="AV35" s="23">
        <f>[1]节奏总纲!AV35</f>
        <v>3.5178710309615617</v>
      </c>
      <c r="AW35" s="23">
        <f>[1]节奏总纲!AW35</f>
        <v>2.3452473539743739</v>
      </c>
      <c r="AX35" s="23">
        <f>[1]节奏总纲!AX35</f>
        <v>1.1726236769871869</v>
      </c>
      <c r="AY35" s="23"/>
      <c r="AZ35" s="23">
        <v>32</v>
      </c>
      <c r="BA35" s="23">
        <f>[1]节奏总纲!BA35</f>
        <v>30.728880502070336</v>
      </c>
      <c r="BB35" s="23">
        <f>[1]节奏总纲!BB35</f>
        <v>32.113552950216736</v>
      </c>
      <c r="BC35" s="23">
        <f>[1]节奏总纲!BC35</f>
        <v>33.903140691603731</v>
      </c>
      <c r="BD35" s="23">
        <f>[1]节奏总纲!BD35</f>
        <v>36.526331209747774</v>
      </c>
      <c r="BE35" s="23">
        <f>[1]节奏总纲!BE35</f>
        <v>41.188041754455355</v>
      </c>
    </row>
    <row r="36" spans="2:57" x14ac:dyDescent="0.15">
      <c r="F36" s="23">
        <v>34</v>
      </c>
      <c r="G36" s="23">
        <v>9.5560632861831518</v>
      </c>
      <c r="I36" s="23">
        <v>34</v>
      </c>
      <c r="J36" s="23">
        <v>54.110931329932889</v>
      </c>
      <c r="K36" s="18">
        <v>0.98</v>
      </c>
      <c r="N36" s="28">
        <f>[1]节奏总纲!N36</f>
        <v>43</v>
      </c>
      <c r="O36" s="23">
        <v>33</v>
      </c>
      <c r="P36" s="23">
        <f>[1]节奏总纲!P36</f>
        <v>8.8491553067593287</v>
      </c>
      <c r="Q36" s="23">
        <f>[1]节奏总纲!Q36</f>
        <v>7.7120388498407557</v>
      </c>
      <c r="R36" s="23">
        <f>[1]节奏总纲!R36</f>
        <v>6.3696219898053652</v>
      </c>
      <c r="S36" s="23">
        <f>[1]节奏总纲!S36</f>
        <v>4.736067920177593</v>
      </c>
      <c r="T36" s="23">
        <f>[1]节奏总纲!T36</f>
        <v>2.6627108318038819</v>
      </c>
      <c r="U36" s="29"/>
      <c r="V36" s="23">
        <v>33</v>
      </c>
      <c r="W36" s="23">
        <f>[1]节奏总纲!W36</f>
        <v>0.6595684667830497</v>
      </c>
      <c r="X36" s="23">
        <f>[1]节奏总纲!X36</f>
        <v>0.56007266248947118</v>
      </c>
      <c r="Y36" s="23">
        <f>[1]节奏总纲!Y36</f>
        <v>0.46329196081447321</v>
      </c>
      <c r="Z36" s="23">
        <f>[1]节奏总纲!Z36</f>
        <v>0.35054416737029559</v>
      </c>
      <c r="AA36" s="23">
        <f>[1]节奏总纲!AA36</f>
        <v>0.1976451929710219</v>
      </c>
      <c r="AC36" s="23">
        <v>33</v>
      </c>
      <c r="AD36" s="23">
        <f>[1]节奏总纲!AD36</f>
        <v>50.870795385807064</v>
      </c>
      <c r="AE36" s="23">
        <f>[1]节奏总纲!AE36</f>
        <v>52.81759316022675</v>
      </c>
      <c r="AF36" s="23">
        <f>[1]节奏总纲!AF36</f>
        <v>55.604435245632025</v>
      </c>
      <c r="AG36" s="23">
        <f>[1]节奏总纲!AG36</f>
        <v>60.078368706270226</v>
      </c>
      <c r="AH36" s="23">
        <f>[1]节奏总纲!AH36</f>
        <v>68.518369035696878</v>
      </c>
      <c r="AL36" s="23">
        <v>33</v>
      </c>
      <c r="AM36" s="23">
        <f>[1]节奏总纲!AM36</f>
        <v>46.082812923199413</v>
      </c>
      <c r="AN36" s="23">
        <f>[1]节奏总纲!AN36</f>
        <v>36.866250338559531</v>
      </c>
      <c r="AO36" s="23">
        <f>[1]节奏总纲!AO36</f>
        <v>27.649687753919647</v>
      </c>
      <c r="AP36" s="23">
        <f>[1]节奏总纲!AP36</f>
        <v>18.433125169279766</v>
      </c>
      <c r="AQ36" s="23">
        <f>[1]节奏总纲!AQ36</f>
        <v>9.2165625846398829</v>
      </c>
      <c r="AS36" s="23">
        <v>33</v>
      </c>
      <c r="AT36" s="23">
        <f>[1]节奏总纲!AT36</f>
        <v>6.8620149671507704</v>
      </c>
      <c r="AU36" s="23">
        <f>[1]节奏总纲!AU36</f>
        <v>5.489611973720617</v>
      </c>
      <c r="AV36" s="23">
        <f>[1]节奏总纲!AV36</f>
        <v>4.1172089802904637</v>
      </c>
      <c r="AW36" s="23">
        <f>[1]节奏总纲!AW36</f>
        <v>2.7448059868603085</v>
      </c>
      <c r="AX36" s="23">
        <f>[1]节奏总纲!AX36</f>
        <v>1.3724029934301543</v>
      </c>
      <c r="AY36" s="23"/>
      <c r="AZ36" s="23">
        <v>33</v>
      </c>
      <c r="BA36" s="23">
        <f>[1]节奏总纲!BA36</f>
        <v>30.928573790308786</v>
      </c>
      <c r="BB36" s="23">
        <f>[1]节奏总纲!BB36</f>
        <v>32.295715187691279</v>
      </c>
      <c r="BC36" s="23">
        <f>[1]节奏总纲!BC36</f>
        <v>34.09469189131628</v>
      </c>
      <c r="BD36" s="23">
        <f>[1]节奏总纲!BD36</f>
        <v>36.73675803133704</v>
      </c>
      <c r="BE36" s="23">
        <f>[1]节奏总纲!BE36</f>
        <v>41.389172829914081</v>
      </c>
    </row>
    <row r="37" spans="2:57" x14ac:dyDescent="0.15">
      <c r="F37" s="23">
        <v>35</v>
      </c>
      <c r="G37" s="23">
        <v>10.313708498984759</v>
      </c>
      <c r="I37" s="23">
        <v>35</v>
      </c>
      <c r="J37" s="23">
        <v>63.5</v>
      </c>
      <c r="K37" s="18">
        <v>1</v>
      </c>
      <c r="N37" s="28">
        <f>[1]节奏总纲!N37</f>
        <v>44</v>
      </c>
      <c r="O37" s="23">
        <v>34</v>
      </c>
      <c r="P37" s="23">
        <f>[1]节奏总纲!P37</f>
        <v>9.5560632861831518</v>
      </c>
      <c r="Q37" s="23">
        <f>[1]节奏总纲!Q37</f>
        <v>8.3309759728944712</v>
      </c>
      <c r="R37" s="23">
        <f>[1]节奏总纲!R37</f>
        <v>6.8918328419952886</v>
      </c>
      <c r="S37" s="23">
        <f>[1]节奏总纲!S37</f>
        <v>5.1287391656944967</v>
      </c>
      <c r="T37" s="23">
        <f>[1]节奏总纲!T37</f>
        <v>2.8811530807842201</v>
      </c>
      <c r="U37" s="29"/>
      <c r="V37" s="23">
        <v>34</v>
      </c>
      <c r="W37" s="23">
        <f>[1]节奏总纲!W37</f>
        <v>0.70690797942382311</v>
      </c>
      <c r="X37" s="23">
        <f>[1]节奏总纲!X37</f>
        <v>0.61893712305371551</v>
      </c>
      <c r="Y37" s="23">
        <f>[1]节奏总纲!Y37</f>
        <v>0.52221085218992336</v>
      </c>
      <c r="Z37" s="23">
        <f>[1]节奏总纲!Z37</f>
        <v>0.39267124551690369</v>
      </c>
      <c r="AA37" s="23">
        <f>[1]节奏总纲!AA37</f>
        <v>0.21844224898033815</v>
      </c>
      <c r="AC37" s="23">
        <v>34</v>
      </c>
      <c r="AD37" s="23">
        <f>[1]节奏总纲!AD37</f>
        <v>51.285688244217212</v>
      </c>
      <c r="AE37" s="23">
        <f>[1]节奏总纲!AE37</f>
        <v>53.226994578658328</v>
      </c>
      <c r="AF37" s="23">
        <f>[1]节奏总纲!AF37</f>
        <v>56.045896281048073</v>
      </c>
      <c r="AG37" s="23">
        <f>[1]节奏总纲!AG37</f>
        <v>60.491705764657482</v>
      </c>
      <c r="AH37" s="23">
        <f>[1]节奏总纲!AH37</f>
        <v>68.972756340855</v>
      </c>
      <c r="AL37" s="23">
        <v>34</v>
      </c>
      <c r="AM37" s="23">
        <f>[1]节奏总纲!AM37</f>
        <v>54.110931329932889</v>
      </c>
      <c r="AN37" s="23">
        <f>[1]节奏总纲!AN37</f>
        <v>43.288745063946315</v>
      </c>
      <c r="AO37" s="23">
        <f>[1]节奏总纲!AO37</f>
        <v>32.466558797959735</v>
      </c>
      <c r="AP37" s="23">
        <f>[1]节奏总纲!AP37</f>
        <v>21.644372531973158</v>
      </c>
      <c r="AQ37" s="23">
        <f>[1]节奏总纲!AQ37</f>
        <v>10.822186265986579</v>
      </c>
      <c r="AS37" s="23">
        <v>34</v>
      </c>
      <c r="AT37" s="23">
        <f>[1]节奏总纲!AT37</f>
        <v>8.0281184067334763</v>
      </c>
      <c r="AU37" s="23">
        <f>[1]节奏总纲!AU37</f>
        <v>6.4224947253867839</v>
      </c>
      <c r="AV37" s="23">
        <f>[1]节奏总纲!AV37</f>
        <v>4.8168710440400879</v>
      </c>
      <c r="AW37" s="23">
        <f>[1]节奏总纲!AW37</f>
        <v>3.2112473626933919</v>
      </c>
      <c r="AX37" s="23">
        <f>[1]节奏总纲!AX37</f>
        <v>1.605623681346696</v>
      </c>
      <c r="AY37" s="23"/>
      <c r="AZ37" s="23">
        <v>34</v>
      </c>
      <c r="BA37" s="23">
        <f>[1]节奏总纲!BA37</f>
        <v>31.109552696486158</v>
      </c>
      <c r="BB37" s="23">
        <f>[1]节奏总纲!BB37</f>
        <v>32.477877425165822</v>
      </c>
      <c r="BC37" s="23">
        <f>[1]节奏总纲!BC37</f>
        <v>34.272203285175834</v>
      </c>
      <c r="BD37" s="23">
        <f>[1]节奏总纲!BD37</f>
        <v>36.947184852926306</v>
      </c>
      <c r="BE37" s="23">
        <f>[1]节奏总纲!BE37</f>
        <v>41.590303905372799</v>
      </c>
    </row>
    <row r="38" spans="2:57" x14ac:dyDescent="0.15">
      <c r="F38" s="23">
        <v>36</v>
      </c>
      <c r="G38" s="23">
        <v>11.125732532083184</v>
      </c>
      <c r="I38" s="23">
        <v>36</v>
      </c>
      <c r="J38" s="23">
        <v>73.746861667008318</v>
      </c>
      <c r="K38" s="18">
        <v>1.01</v>
      </c>
      <c r="N38" s="28">
        <f>[1]节奏总纲!N38</f>
        <v>45</v>
      </c>
      <c r="O38" s="23">
        <v>35</v>
      </c>
      <c r="P38" s="23">
        <f>[1]节奏总纲!P38</f>
        <v>10.313708498984759</v>
      </c>
      <c r="Q38" s="23">
        <f>[1]节奏总纲!Q38</f>
        <v>9.0048988904635934</v>
      </c>
      <c r="R38" s="23">
        <f>[1]节奏总纲!R38</f>
        <v>7.4547485030661838</v>
      </c>
      <c r="S38" s="23">
        <f>[1]节奏总纲!S38</f>
        <v>5.5405242056546129</v>
      </c>
      <c r="T38" s="23">
        <f>[1]节奏总纲!T38</f>
        <v>3.1106144832938032</v>
      </c>
      <c r="U38" s="29"/>
      <c r="V38" s="23">
        <v>35</v>
      </c>
      <c r="W38" s="23">
        <f>[1]节奏总纲!W38</f>
        <v>0.75764521280160757</v>
      </c>
      <c r="X38" s="23">
        <f>[1]节奏总纲!X38</f>
        <v>0.67392291756912215</v>
      </c>
      <c r="Y38" s="23">
        <f>[1]节奏总纲!Y38</f>
        <v>0.56291566107089519</v>
      </c>
      <c r="Z38" s="23">
        <f>[1]节奏总纲!Z38</f>
        <v>0.41178503996011617</v>
      </c>
      <c r="AA38" s="23">
        <f>[1]节奏总纲!AA38</f>
        <v>0.22946140250958313</v>
      </c>
      <c r="AC38" s="23">
        <v>35</v>
      </c>
      <c r="AD38" s="23">
        <f>[1]节奏总纲!AD38</f>
        <v>51.691928656135211</v>
      </c>
      <c r="AE38" s="23">
        <f>[1]节奏总纲!AE38</f>
        <v>53.623906555539456</v>
      </c>
      <c r="AF38" s="23">
        <f>[1]节奏总纲!AF38</f>
        <v>56.457855949816349</v>
      </c>
      <c r="AG38" s="23">
        <f>[1]节奏总纲!AG38</f>
        <v>60.905042823044738</v>
      </c>
      <c r="AH38" s="23">
        <f>[1]节奏总纲!AH38</f>
        <v>69.385288338144662</v>
      </c>
      <c r="AL38" s="23">
        <v>35</v>
      </c>
      <c r="AM38" s="23">
        <f>[1]节奏总纲!AM38</f>
        <v>63.5</v>
      </c>
      <c r="AN38" s="23">
        <f>[1]节奏总纲!AN38</f>
        <v>50.800000000000004</v>
      </c>
      <c r="AO38" s="23">
        <f>[1]节奏总纲!AO38</f>
        <v>38.1</v>
      </c>
      <c r="AP38" s="23">
        <f>[1]节奏总纲!AP38</f>
        <v>25.400000000000002</v>
      </c>
      <c r="AQ38" s="23">
        <f>[1]节奏总纲!AQ38</f>
        <v>12.700000000000001</v>
      </c>
      <c r="AS38" s="23">
        <v>35</v>
      </c>
      <c r="AT38" s="23">
        <f>[1]节奏总纲!AT38</f>
        <v>9.3890686700671111</v>
      </c>
      <c r="AU38" s="23">
        <f>[1]节奏总纲!AU38</f>
        <v>7.5112549360536889</v>
      </c>
      <c r="AV38" s="23">
        <f>[1]节奏总纲!AV38</f>
        <v>5.6334412020402667</v>
      </c>
      <c r="AW38" s="23">
        <f>[1]节奏总纲!AW38</f>
        <v>3.7556274680268444</v>
      </c>
      <c r="AX38" s="23">
        <f>[1]节奏总纲!AX38</f>
        <v>1.8778137340134222</v>
      </c>
      <c r="AY38" s="23"/>
      <c r="AZ38" s="23">
        <v>35</v>
      </c>
      <c r="BA38" s="23">
        <f>[1]节奏总纲!BA38</f>
        <v>31.280110398778046</v>
      </c>
      <c r="BB38" s="23">
        <f>[1]节奏总纲!BB38</f>
        <v>32.660039662640372</v>
      </c>
      <c r="BC38" s="23">
        <f>[1]节奏总纲!BC38</f>
        <v>34.449714679035388</v>
      </c>
      <c r="BD38" s="23">
        <f>[1]节奏总纲!BD38</f>
        <v>37.135950591746003</v>
      </c>
      <c r="BE38" s="23">
        <f>[1]节奏总纲!BE38</f>
        <v>41.791434980831518</v>
      </c>
    </row>
    <row r="39" spans="2:57" x14ac:dyDescent="0.15">
      <c r="F39" s="23">
        <v>37</v>
      </c>
      <c r="G39" s="23">
        <v>11.996038341699768</v>
      </c>
      <c r="I39" s="23">
        <v>37</v>
      </c>
      <c r="J39" s="23">
        <v>85.62747641525452</v>
      </c>
      <c r="K39" s="18">
        <v>1.02</v>
      </c>
      <c r="N39" s="28">
        <f>[1]节奏总纲!N39</f>
        <v>46</v>
      </c>
      <c r="O39" s="23">
        <v>36</v>
      </c>
      <c r="P39" s="23">
        <f>[1]节奏总纲!P39</f>
        <v>11.125732532083184</v>
      </c>
      <c r="Q39" s="23">
        <f>[1]节奏总纲!Q39</f>
        <v>9.7261153795471191</v>
      </c>
      <c r="R39" s="23">
        <f>[1]节奏总纲!R39</f>
        <v>8.0405669009365166</v>
      </c>
      <c r="S39" s="23">
        <f>[1]节奏总纲!S39</f>
        <v>5.9700680767158358</v>
      </c>
      <c r="T39" s="23">
        <f>[1]节奏总纲!T39</f>
        <v>3.3388323328781633</v>
      </c>
      <c r="U39" s="29"/>
      <c r="V39" s="23">
        <v>36</v>
      </c>
      <c r="W39" s="23">
        <f>[1]节奏总纲!W39</f>
        <v>0.81202403309842452</v>
      </c>
      <c r="X39" s="23">
        <f>[1]节奏总纲!X39</f>
        <v>0.72121648908352576</v>
      </c>
      <c r="Y39" s="23">
        <f>[1]节奏总纲!Y39</f>
        <v>0.58581839787033285</v>
      </c>
      <c r="Z39" s="23">
        <f>[1]节奏总纲!Z39</f>
        <v>0.42954387106122294</v>
      </c>
      <c r="AA39" s="23">
        <f>[1]节奏总纲!AA39</f>
        <v>0.22821784958436009</v>
      </c>
      <c r="AC39" s="23">
        <v>36</v>
      </c>
      <c r="AD39" s="23">
        <f>[1]节奏总纲!AD39</f>
        <v>52.091594979242075</v>
      </c>
      <c r="AE39" s="23">
        <f>[1]节奏总纲!AE39</f>
        <v>54.020289560649204</v>
      </c>
      <c r="AF39" s="23">
        <f>[1]节奏总纲!AF39</f>
        <v>56.869815618584624</v>
      </c>
      <c r="AG39" s="23">
        <f>[1]节奏总纲!AG39</f>
        <v>61.294362422865476</v>
      </c>
      <c r="AH39" s="23">
        <f>[1]节奏总纲!AH39</f>
        <v>69.795150761037945</v>
      </c>
      <c r="AL39" s="23">
        <v>36</v>
      </c>
      <c r="AM39" s="23">
        <f>[1]节奏总纲!AM39</f>
        <v>73.746861667008318</v>
      </c>
      <c r="AN39" s="23">
        <f>[1]节奏总纲!AN39</f>
        <v>58.997489333606659</v>
      </c>
      <c r="AO39" s="23">
        <f>[1]节奏总纲!AO39</f>
        <v>44.248117000204992</v>
      </c>
      <c r="AP39" s="23">
        <f>[1]节奏总纲!AP39</f>
        <v>29.498744666803329</v>
      </c>
      <c r="AQ39" s="23">
        <f>[1]节奏总纲!AQ39</f>
        <v>14.749372333401665</v>
      </c>
      <c r="AS39" s="23">
        <v>36</v>
      </c>
      <c r="AT39" s="23">
        <f>[1]节奏总纲!AT39</f>
        <v>10.246861667008318</v>
      </c>
      <c r="AU39" s="23">
        <f>[1]节奏总纲!AU39</f>
        <v>8.1974893336066543</v>
      </c>
      <c r="AV39" s="23">
        <f>[1]节奏总纲!AV39</f>
        <v>6.1481170002049907</v>
      </c>
      <c r="AW39" s="23">
        <f>[1]节奏总纲!AW39</f>
        <v>4.0987446668033272</v>
      </c>
      <c r="AX39" s="23">
        <f>[1]节奏总纲!AX39</f>
        <v>2.0493723334016636</v>
      </c>
      <c r="AY39" s="23"/>
      <c r="AZ39" s="23">
        <v>36</v>
      </c>
      <c r="BA39" s="23">
        <f>[1]节奏总纲!BA39</f>
        <v>31.450668101069933</v>
      </c>
      <c r="BB39" s="23">
        <f>[1]节奏总纲!BB39</f>
        <v>32.842201900114915</v>
      </c>
      <c r="BC39" s="23">
        <f>[1]节奏总纲!BC39</f>
        <v>34.627226072894942</v>
      </c>
      <c r="BD39" s="23">
        <f>[1]节奏总纲!BD39</f>
        <v>37.317457773889828</v>
      </c>
      <c r="BE39" s="23">
        <f>[1]节奏总纲!BE39</f>
        <v>41.992566056290244</v>
      </c>
    </row>
    <row r="40" spans="2:57" x14ac:dyDescent="0.15">
      <c r="F40" s="23">
        <v>38</v>
      </c>
      <c r="G40" s="23">
        <v>12.928809012737984</v>
      </c>
      <c r="I40" s="23">
        <v>38</v>
      </c>
      <c r="J40" s="23">
        <v>99.401036064365428</v>
      </c>
      <c r="K40" s="18">
        <v>1.03</v>
      </c>
      <c r="N40" s="28">
        <f>[1]节奏总纲!N40</f>
        <v>47</v>
      </c>
      <c r="O40" s="23">
        <v>37</v>
      </c>
      <c r="P40" s="23">
        <f>[1]节奏总纲!P40</f>
        <v>11.996038341699768</v>
      </c>
      <c r="Q40" s="23">
        <f>[1]节奏总纲!Q40</f>
        <v>10.483337906811427</v>
      </c>
      <c r="R40" s="23">
        <f>[1]节奏总纲!R40</f>
        <v>8.6671377018780831</v>
      </c>
      <c r="S40" s="23">
        <f>[1]节奏总纲!S40</f>
        <v>6.4166809089752066</v>
      </c>
      <c r="T40" s="23">
        <f>[1]节奏总纲!T40</f>
        <v>3.6000111063441</v>
      </c>
      <c r="U40" s="29"/>
      <c r="V40" s="23">
        <v>37</v>
      </c>
      <c r="W40" s="23">
        <f>[1]节奏总纲!W40</f>
        <v>0.87030580961658366</v>
      </c>
      <c r="X40" s="23">
        <f>[1]节奏总纲!X40</f>
        <v>0.75722252726430739</v>
      </c>
      <c r="Y40" s="23">
        <f>[1]节奏总纲!Y40</f>
        <v>0.62657080094156647</v>
      </c>
      <c r="Z40" s="23">
        <f>[1]节奏总纲!Z40</f>
        <v>0.44661283225937076</v>
      </c>
      <c r="AA40" s="23">
        <f>[1]节奏总纲!AA40</f>
        <v>0.26117877346593676</v>
      </c>
      <c r="AC40" s="23">
        <v>37</v>
      </c>
      <c r="AD40" s="23">
        <f>[1]节奏总纲!AD40</f>
        <v>52.470630686057078</v>
      </c>
      <c r="AE40" s="23">
        <f>[1]节奏总纲!AE40</f>
        <v>54.407116521581436</v>
      </c>
      <c r="AF40" s="23">
        <f>[1]节奏总纲!AF40</f>
        <v>57.263329041432932</v>
      </c>
      <c r="AG40" s="23">
        <f>[1]节奏总纲!AG40</f>
        <v>61.676518787205197</v>
      </c>
      <c r="AH40" s="23">
        <f>[1]节奏总纲!AH40</f>
        <v>70.190427169053478</v>
      </c>
      <c r="AL40" s="23">
        <v>37</v>
      </c>
      <c r="AM40" s="23">
        <f>[1]节奏总纲!AM40</f>
        <v>85.62747641525452</v>
      </c>
      <c r="AN40" s="23">
        <f>[1]节奏总纲!AN40</f>
        <v>68.501981132203625</v>
      </c>
      <c r="AO40" s="23">
        <f>[1]节奏总纲!AO40</f>
        <v>51.376485849152708</v>
      </c>
      <c r="AP40" s="23">
        <f>[1]节奏总纲!AP40</f>
        <v>34.250990566101812</v>
      </c>
      <c r="AQ40" s="23">
        <f>[1]节奏总纲!AQ40</f>
        <v>17.125495283050906</v>
      </c>
      <c r="AS40" s="23">
        <v>37</v>
      </c>
      <c r="AT40" s="23">
        <f>[1]节奏总纲!AT40</f>
        <v>11.880614748246202</v>
      </c>
      <c r="AU40" s="23">
        <f>[1]节奏总纲!AU40</f>
        <v>9.5044917985969661</v>
      </c>
      <c r="AV40" s="23">
        <f>[1]节奏总纲!AV40</f>
        <v>7.1283688489477157</v>
      </c>
      <c r="AW40" s="23">
        <f>[1]节奏总纲!AW40</f>
        <v>4.7522458992984831</v>
      </c>
      <c r="AX40" s="23">
        <f>[1]节奏总纲!AX40</f>
        <v>2.3761229496492415</v>
      </c>
      <c r="AY40" s="23"/>
      <c r="AZ40" s="23">
        <v>37</v>
      </c>
      <c r="BA40" s="23">
        <f>[1]节奏总纲!BA40</f>
        <v>31.621225803361821</v>
      </c>
      <c r="BB40" s="23">
        <f>[1]节奏总纲!BB40</f>
        <v>33.02082518821102</v>
      </c>
      <c r="BC40" s="23">
        <f>[1]节奏总纲!BC40</f>
        <v>34.804737466754489</v>
      </c>
      <c r="BD40" s="23">
        <f>[1]节奏总纲!BD40</f>
        <v>37.498964956033646</v>
      </c>
      <c r="BE40" s="23">
        <f>[1]节奏总纲!BE40</f>
        <v>42.167148737437564</v>
      </c>
    </row>
    <row r="41" spans="2:57" x14ac:dyDescent="0.15">
      <c r="F41" s="23">
        <v>39</v>
      </c>
      <c r="G41" s="23">
        <v>13.928527864588917</v>
      </c>
      <c r="I41" s="23">
        <v>39</v>
      </c>
      <c r="J41" s="23">
        <v>115.36769098598003</v>
      </c>
      <c r="K41" s="18">
        <v>1.04</v>
      </c>
      <c r="N41" s="28">
        <f>[1]节奏总纲!N41</f>
        <v>48</v>
      </c>
      <c r="O41" s="23">
        <v>38</v>
      </c>
      <c r="P41" s="23">
        <f>[1]节奏总纲!P41</f>
        <v>12.928809012737984</v>
      </c>
      <c r="Q41" s="23">
        <f>[1]节奏总纲!Q41</f>
        <v>11.292021791725356</v>
      </c>
      <c r="R41" s="23">
        <f>[1]节奏总纲!R41</f>
        <v>9.3190855363815395</v>
      </c>
      <c r="S41" s="23">
        <f>[1]节奏总纲!S41</f>
        <v>6.8962267273944402</v>
      </c>
      <c r="T41" s="23">
        <f>[1]节奏总纲!T41</f>
        <v>3.8708854184137524</v>
      </c>
      <c r="U41" s="29"/>
      <c r="V41" s="23">
        <v>38</v>
      </c>
      <c r="W41" s="23">
        <f>[1]节奏总纲!W41</f>
        <v>0.93277067103821665</v>
      </c>
      <c r="X41" s="23">
        <f>[1]节奏总纲!X41</f>
        <v>0.80868388491392906</v>
      </c>
      <c r="Y41" s="23">
        <f>[1]节奏总纲!Y41</f>
        <v>0.65194783450345639</v>
      </c>
      <c r="Z41" s="23">
        <f>[1]节奏总纲!Z41</f>
        <v>0.4795458184192336</v>
      </c>
      <c r="AA41" s="23">
        <f>[1]节奏总纲!AA41</f>
        <v>0.2708743120696524</v>
      </c>
      <c r="AC41" s="23">
        <v>38</v>
      </c>
      <c r="AD41" s="23">
        <f>[1]节奏总纲!AD41</f>
        <v>52.849666392872081</v>
      </c>
      <c r="AE41" s="23">
        <f>[1]节奏总纲!AE41</f>
        <v>54.793943482513676</v>
      </c>
      <c r="AF41" s="23">
        <f>[1]节奏总纲!AF41</f>
        <v>57.64832002380362</v>
      </c>
      <c r="AG41" s="23">
        <f>[1]节奏总纲!AG41</f>
        <v>62.054222259937362</v>
      </c>
      <c r="AH41" s="23">
        <f>[1]节奏总纲!AH41</f>
        <v>70.571129226337533</v>
      </c>
      <c r="AL41" s="23">
        <v>38</v>
      </c>
      <c r="AM41" s="23">
        <f>[1]节奏总纲!AM41</f>
        <v>99.401036064365428</v>
      </c>
      <c r="AN41" s="23">
        <f>[1]节奏总纲!AN41</f>
        <v>79.520828851492354</v>
      </c>
      <c r="AO41" s="23">
        <f>[1]节奏总纲!AO41</f>
        <v>59.640621638619251</v>
      </c>
      <c r="AP41" s="23">
        <f>[1]节奏总纲!AP41</f>
        <v>39.760414425746177</v>
      </c>
      <c r="AQ41" s="23">
        <f>[1]节奏总纲!AQ41</f>
        <v>19.880207212873088</v>
      </c>
      <c r="AS41" s="23">
        <v>38</v>
      </c>
      <c r="AT41" s="23">
        <f>[1]节奏总纲!AT41</f>
        <v>13.773559649110908</v>
      </c>
      <c r="AU41" s="23">
        <f>[1]节奏总纲!AU41</f>
        <v>11.018847719288729</v>
      </c>
      <c r="AV41" s="23">
        <f>[1]节奏总纲!AV41</f>
        <v>8.2641357894665433</v>
      </c>
      <c r="AW41" s="23">
        <f>[1]节奏总纲!AW41</f>
        <v>5.5094238596443645</v>
      </c>
      <c r="AX41" s="23">
        <f>[1]节奏总纲!AX41</f>
        <v>2.7547119298221823</v>
      </c>
      <c r="AY41" s="23"/>
      <c r="AZ41" s="23">
        <v>38</v>
      </c>
      <c r="BA41" s="23">
        <f>[1]节奏总纲!BA41</f>
        <v>31.791783505653711</v>
      </c>
      <c r="BB41" s="23">
        <f>[1]节奏总纲!BB41</f>
        <v>33.176527924103851</v>
      </c>
      <c r="BC41" s="23">
        <f>[1]节奏总纲!BC41</f>
        <v>34.982248860614042</v>
      </c>
      <c r="BD41" s="23">
        <f>[1]节奏总纲!BD41</f>
        <v>37.680472138177471</v>
      </c>
      <c r="BE41" s="23">
        <f>[1]节奏总纲!BE41</f>
        <v>42.340712512072891</v>
      </c>
    </row>
    <row r="42" spans="2:57" x14ac:dyDescent="0.15">
      <c r="F42" s="23">
        <v>40</v>
      </c>
      <c r="G42" s="23">
        <v>15</v>
      </c>
      <c r="I42" s="23">
        <v>40</v>
      </c>
      <c r="J42" s="23">
        <v>133.875</v>
      </c>
      <c r="K42" s="18">
        <v>1.05</v>
      </c>
      <c r="N42" s="28">
        <f>[1]节奏总纲!N42</f>
        <v>49</v>
      </c>
      <c r="O42" s="23">
        <v>39</v>
      </c>
      <c r="P42" s="23">
        <f>[1]节奏总纲!P42</f>
        <v>13.928527864588917</v>
      </c>
      <c r="Q42" s="23">
        <f>[1]节奏总纲!Q42</f>
        <v>12.147069150707994</v>
      </c>
      <c r="R42" s="23">
        <f>[1]节奏总纲!R42</f>
        <v>10.016004387425889</v>
      </c>
      <c r="S42" s="23">
        <f>[1]节奏总纲!S42</f>
        <v>7.4197267934665154</v>
      </c>
      <c r="T42" s="23">
        <f>[1]节奏总纲!T42</f>
        <v>4.1702012426579218</v>
      </c>
      <c r="U42" s="29"/>
      <c r="V42" s="23">
        <v>39</v>
      </c>
      <c r="W42" s="23">
        <f>[1]节奏总纲!W42</f>
        <v>0.99971885185093257</v>
      </c>
      <c r="X42" s="23">
        <f>[1]节奏总纲!X42</f>
        <v>0.85504735898263817</v>
      </c>
      <c r="Y42" s="23">
        <f>[1]节奏总纲!Y42</f>
        <v>0.69691885104434981</v>
      </c>
      <c r="Z42" s="23">
        <f>[1]节奏总纲!Z42</f>
        <v>0.52350006607207522</v>
      </c>
      <c r="AA42" s="23">
        <f>[1]节奏总纲!AA42</f>
        <v>0.29931582424416936</v>
      </c>
      <c r="AC42" s="23">
        <v>39</v>
      </c>
      <c r="AD42" s="23">
        <f>[1]节奏总纲!AD42</f>
        <v>53.213386604241784</v>
      </c>
      <c r="AE42" s="23">
        <f>[1]节奏总纲!AE42</f>
        <v>55.170390866416149</v>
      </c>
      <c r="AF42" s="23">
        <f>[1]节奏总纲!AF42</f>
        <v>58.030740707238266</v>
      </c>
      <c r="AG42" s="23">
        <f>[1]节奏总纲!AG42</f>
        <v>62.407376554018477</v>
      </c>
      <c r="AH42" s="23">
        <f>[1]节奏总纲!AH42</f>
        <v>70.951831283621587</v>
      </c>
      <c r="AL42" s="23">
        <v>39</v>
      </c>
      <c r="AM42" s="23">
        <f>[1]节奏总纲!AM42</f>
        <v>115.36769098598003</v>
      </c>
      <c r="AN42" s="23">
        <f>[1]节奏总纲!AN42</f>
        <v>92.294152788784032</v>
      </c>
      <c r="AO42" s="23">
        <f>[1]节奏总纲!AO42</f>
        <v>69.220614591588017</v>
      </c>
      <c r="AP42" s="23">
        <f>[1]节奏总纲!AP42</f>
        <v>46.147076394392016</v>
      </c>
      <c r="AQ42" s="23">
        <f>[1]节奏总纲!AQ42</f>
        <v>23.073538197196008</v>
      </c>
      <c r="AS42" s="23">
        <v>39</v>
      </c>
      <c r="AT42" s="23">
        <f>[1]节奏总纲!AT42</f>
        <v>15.966654921614605</v>
      </c>
      <c r="AU42" s="23">
        <f>[1]节奏总纲!AU42</f>
        <v>12.773323937291678</v>
      </c>
      <c r="AV42" s="23">
        <f>[1]节奏总纲!AV42</f>
        <v>9.579992952968766</v>
      </c>
      <c r="AW42" s="23">
        <f>[1]节奏总纲!AW42</f>
        <v>6.3866619686458392</v>
      </c>
      <c r="AX42" s="23">
        <f>[1]节奏总纲!AX42</f>
        <v>3.1933309843229196</v>
      </c>
      <c r="AY42" s="23"/>
      <c r="AZ42" s="23">
        <v>39</v>
      </c>
      <c r="BA42" s="23">
        <f>[1]节奏总纲!BA42</f>
        <v>31.962341207945599</v>
      </c>
      <c r="BB42" s="23">
        <f>[1]节奏总纲!BB42</f>
        <v>33.332230659996682</v>
      </c>
      <c r="BC42" s="23">
        <f>[1]节奏总纲!BC42</f>
        <v>35.146386283795508</v>
      </c>
      <c r="BD42" s="23">
        <f>[1]节奏总纲!BD42</f>
        <v>37.861979320321296</v>
      </c>
      <c r="BE42" s="23">
        <f>[1]节奏总纲!BE42</f>
        <v>42.51427628670821</v>
      </c>
    </row>
    <row r="43" spans="2:57" x14ac:dyDescent="0.15">
      <c r="F43" s="23">
        <v>41</v>
      </c>
      <c r="G43" s="23">
        <v>16.148375400580683</v>
      </c>
      <c r="I43" s="23">
        <v>41</v>
      </c>
      <c r="J43" s="23">
        <v>155.32539280599755</v>
      </c>
      <c r="K43" s="18">
        <v>1.06</v>
      </c>
      <c r="N43" s="28">
        <f>[1]节奏总纲!N43</f>
        <v>50</v>
      </c>
      <c r="O43" s="23">
        <v>40</v>
      </c>
      <c r="P43" s="23">
        <f>[1]节奏总纲!P43</f>
        <v>15</v>
      </c>
      <c r="Q43" s="23">
        <f>[1]节奏总纲!Q43</f>
        <v>13.059000000000001</v>
      </c>
      <c r="R43" s="23">
        <f>[1]节奏总纲!R43</f>
        <v>10.782</v>
      </c>
      <c r="S43" s="23">
        <f>[1]节奏总纲!S43</f>
        <v>8.0009999999999994</v>
      </c>
      <c r="T43" s="23">
        <f>[1]节奏总纲!T43</f>
        <v>4.5</v>
      </c>
      <c r="U43" s="29"/>
      <c r="V43" s="23">
        <v>40</v>
      </c>
      <c r="W43" s="23">
        <f>[1]节奏总纲!W43</f>
        <v>1.0714721354110832</v>
      </c>
      <c r="X43" s="23">
        <f>[1]节奏总纲!X43</f>
        <v>0.9119308492920073</v>
      </c>
      <c r="Y43" s="23">
        <f>[1]节奏总纲!Y43</f>
        <v>0.76599561257411075</v>
      </c>
      <c r="Z43" s="23">
        <f>[1]节奏总纲!Z43</f>
        <v>0.58127320653348402</v>
      </c>
      <c r="AA43" s="23">
        <f>[1]节奏总纲!AA43</f>
        <v>0.3297987573420782</v>
      </c>
      <c r="AC43" s="23">
        <v>40</v>
      </c>
      <c r="AD43" s="23">
        <f>[1]节奏总纲!AD43</f>
        <v>53.567039423670657</v>
      </c>
      <c r="AE43" s="23">
        <f>[1]节奏总纲!AE43</f>
        <v>55.535006783542492</v>
      </c>
      <c r="AF43" s="23">
        <f>[1]节奏总纲!AF43</f>
        <v>58.38602553461638</v>
      </c>
      <c r="AG43" s="23">
        <f>[1]节奏总纲!AG43</f>
        <v>62.760530848099599</v>
      </c>
      <c r="AH43" s="23">
        <f>[1]节奏总纲!AH43</f>
        <v>71.315281959371688</v>
      </c>
      <c r="AL43" s="23">
        <v>40</v>
      </c>
      <c r="AM43" s="23">
        <f>[1]节奏总纲!AM43</f>
        <v>133.875</v>
      </c>
      <c r="AN43" s="23">
        <f>[1]节奏总纲!AN43</f>
        <v>107.10000000000001</v>
      </c>
      <c r="AO43" s="23">
        <f>[1]节奏总纲!AO43</f>
        <v>80.325000000000003</v>
      </c>
      <c r="AP43" s="23">
        <f>[1]节奏总纲!AP43</f>
        <v>53.550000000000004</v>
      </c>
      <c r="AQ43" s="23">
        <f>[1]节奏总纲!AQ43</f>
        <v>26.775000000000002</v>
      </c>
      <c r="AS43" s="23">
        <v>40</v>
      </c>
      <c r="AT43" s="23">
        <f>[1]节奏总纲!AT43</f>
        <v>18.507309014019967</v>
      </c>
      <c r="AU43" s="23">
        <f>[1]节奏总纲!AU43</f>
        <v>14.805847211215976</v>
      </c>
      <c r="AV43" s="23">
        <f>[1]节奏总纲!AV43</f>
        <v>11.104385408411986</v>
      </c>
      <c r="AW43" s="23">
        <f>[1]节奏总纲!AW43</f>
        <v>7.4029236056079881</v>
      </c>
      <c r="AX43" s="23">
        <f>[1]节奏总纲!AX43</f>
        <v>3.7014618028039941</v>
      </c>
      <c r="AY43" s="23"/>
      <c r="AZ43" s="23">
        <v>40</v>
      </c>
      <c r="BA43" s="23">
        <f>[1]节奏总纲!BA43</f>
        <v>32.113552950216736</v>
      </c>
      <c r="BB43" s="23">
        <f>[1]节奏总纲!BB43</f>
        <v>33.487933395889513</v>
      </c>
      <c r="BC43" s="23">
        <f>[1]节奏总纲!BC43</f>
        <v>35.309037710234961</v>
      </c>
      <c r="BD43" s="23">
        <f>[1]节奏总纲!BD43</f>
        <v>38.037513426486328</v>
      </c>
      <c r="BE43" s="23">
        <f>[1]节奏总纲!BE43</f>
        <v>42.687840061343536</v>
      </c>
    </row>
    <row r="44" spans="2:57" x14ac:dyDescent="0.15">
      <c r="F44" s="23">
        <v>42</v>
      </c>
      <c r="G44" s="23">
        <v>17.379173679952558</v>
      </c>
      <c r="I44" s="23">
        <v>42</v>
      </c>
      <c r="J44" s="23">
        <v>180.18480345945557</v>
      </c>
      <c r="K44" s="18">
        <v>1.07</v>
      </c>
      <c r="N44" s="28">
        <f>[1]节奏总纲!N44</f>
        <v>51</v>
      </c>
      <c r="O44" s="23">
        <v>41</v>
      </c>
      <c r="P44" s="23">
        <f>[1]节奏总纲!P44</f>
        <v>16.148375400580683</v>
      </c>
      <c r="Q44" s="23">
        <f>[1]节奏总纲!Q44</f>
        <v>14.065234973905774</v>
      </c>
      <c r="R44" s="23">
        <f>[1]节奏总纲!R44</f>
        <v>11.621985775797917</v>
      </c>
      <c r="S44" s="23">
        <f>[1]节奏总纲!S44</f>
        <v>8.6296918140703163</v>
      </c>
      <c r="T44" s="23">
        <f>[1]节奏总纲!T44</f>
        <v>4.8606609955747855</v>
      </c>
      <c r="U44" s="29"/>
      <c r="V44" s="23">
        <v>41</v>
      </c>
      <c r="W44" s="23">
        <f>[1]节奏总纲!W44</f>
        <v>1.148375400580683</v>
      </c>
      <c r="X44" s="23">
        <f>[1]节奏总纲!X44</f>
        <v>1.006234973905773</v>
      </c>
      <c r="Y44" s="23">
        <f>[1]节奏总纲!Y44</f>
        <v>0.839985775797917</v>
      </c>
      <c r="Z44" s="23">
        <f>[1]节奏总纲!Z44</f>
        <v>0.62869181407031682</v>
      </c>
      <c r="AA44" s="23">
        <f>[1]节奏总纲!AA44</f>
        <v>0.36066099557478548</v>
      </c>
      <c r="AC44" s="23">
        <v>41</v>
      </c>
      <c r="AD44" s="23">
        <f>[1]节奏总纲!AD44</f>
        <v>53.920692243099523</v>
      </c>
      <c r="AE44" s="23">
        <f>[1]节奏总纲!AE44</f>
        <v>55.899622700668843</v>
      </c>
      <c r="AF44" s="23">
        <f>[1]节奏总纲!AF44</f>
        <v>58.741310361994486</v>
      </c>
      <c r="AG44" s="23">
        <f>[1]节奏总纲!AG44</f>
        <v>63.10587219844583</v>
      </c>
      <c r="AH44" s="23">
        <f>[1]节奏总纲!AH44</f>
        <v>71.676233707038421</v>
      </c>
      <c r="AL44" s="23">
        <v>41</v>
      </c>
      <c r="AM44" s="23">
        <f>[1]节奏总纲!AM44</f>
        <v>155.32539280599755</v>
      </c>
      <c r="AN44" s="23">
        <f>[1]节奏总纲!AN44</f>
        <v>124.26031424479805</v>
      </c>
      <c r="AO44" s="23">
        <f>[1]节奏总纲!AO44</f>
        <v>93.195235683598526</v>
      </c>
      <c r="AP44" s="23">
        <f>[1]节奏总纲!AP44</f>
        <v>62.130157122399027</v>
      </c>
      <c r="AQ44" s="23">
        <f>[1]节奏总纲!AQ44</f>
        <v>31.065078561199513</v>
      </c>
      <c r="AS44" s="23">
        <v>41</v>
      </c>
      <c r="AT44" s="23">
        <f>[1]节奏总纲!AT44</f>
        <v>21.450392805997552</v>
      </c>
      <c r="AU44" s="23">
        <f>[1]节奏总纲!AU44</f>
        <v>17.160314244798045</v>
      </c>
      <c r="AV44" s="23">
        <f>[1]节奏总纲!AV44</f>
        <v>12.870235683598523</v>
      </c>
      <c r="AW44" s="23">
        <f>[1]节奏总纲!AW44</f>
        <v>8.5801571223990223</v>
      </c>
      <c r="AX44" s="23">
        <f>[1]节奏总纲!AX44</f>
        <v>4.2900785611995111</v>
      </c>
      <c r="AY44" s="23"/>
      <c r="AZ44" s="23">
        <v>41</v>
      </c>
      <c r="BA44" s="23">
        <f>[1]节奏总纲!BA44</f>
        <v>32.259282740196369</v>
      </c>
      <c r="BB44" s="23">
        <f>[1]节奏总纲!BB44</f>
        <v>33.643636131782344</v>
      </c>
      <c r="BC44" s="23">
        <f>[1]节奏总纲!BC44</f>
        <v>35.471689136674414</v>
      </c>
      <c r="BD44" s="23">
        <f>[1]节奏总纲!BD44</f>
        <v>38.194089742081125</v>
      </c>
      <c r="BE44" s="23">
        <f>[1]节奏总纲!BE44</f>
        <v>42.861403835978855</v>
      </c>
    </row>
    <row r="45" spans="2:57" x14ac:dyDescent="0.15">
      <c r="F45" s="23">
        <v>43</v>
      </c>
      <c r="G45" s="23">
        <v>18.698310613518661</v>
      </c>
      <c r="I45" s="23">
        <v>43</v>
      </c>
      <c r="J45" s="23">
        <v>208.99265815439742</v>
      </c>
      <c r="K45" s="18">
        <v>1.08</v>
      </c>
      <c r="N45" s="28">
        <f>[1]节奏总纲!N45</f>
        <v>52</v>
      </c>
      <c r="O45" s="23">
        <v>42</v>
      </c>
      <c r="P45" s="23">
        <f>[1]节奏总纲!P45</f>
        <v>17.379173679952558</v>
      </c>
      <c r="Q45" s="23">
        <f>[1]节奏总纲!Q45</f>
        <v>15.182446126806555</v>
      </c>
      <c r="R45" s="23">
        <f>[1]节奏总纲!R45</f>
        <v>12.547763396925747</v>
      </c>
      <c r="S45" s="23">
        <f>[1]节奏总纲!S45</f>
        <v>9.3221887619265527</v>
      </c>
      <c r="T45" s="23">
        <f>[1]节奏总纲!T45</f>
        <v>5.2485104513456724</v>
      </c>
      <c r="U45" s="29"/>
      <c r="V45" s="23">
        <v>42</v>
      </c>
      <c r="W45" s="23">
        <f>[1]节奏总纲!W45</f>
        <v>1.230798279371875</v>
      </c>
      <c r="X45" s="23">
        <f>[1]节奏总纲!X45</f>
        <v>1.1172111529007811</v>
      </c>
      <c r="Y45" s="23">
        <f>[1]节奏总纲!Y45</f>
        <v>0.92577762112783013</v>
      </c>
      <c r="Z45" s="23">
        <f>[1]节奏总纲!Z45</f>
        <v>0.69249694785623639</v>
      </c>
      <c r="AA45" s="23">
        <f>[1]节奏总纲!AA45</f>
        <v>0.38784945577088692</v>
      </c>
      <c r="AC45" s="23">
        <v>42</v>
      </c>
      <c r="AD45" s="23">
        <f>[1]节奏总纲!AD45</f>
        <v>54.255972994404218</v>
      </c>
      <c r="AE45" s="23">
        <f>[1]节奏总纲!AE45</f>
        <v>56.238779717153008</v>
      </c>
      <c r="AF45" s="23">
        <f>[1]节奏总纲!AF45</f>
        <v>59.09095196730258</v>
      </c>
      <c r="AG45" s="23">
        <f>[1]节奏总纲!AG45</f>
        <v>63.434756173851497</v>
      </c>
      <c r="AH45" s="23">
        <f>[1]节奏总纲!AH45</f>
        <v>72.034562459436771</v>
      </c>
      <c r="AL45" s="23">
        <v>42</v>
      </c>
      <c r="AM45" s="23">
        <f>[1]节奏总纲!AM45</f>
        <v>180.18480345945557</v>
      </c>
      <c r="AN45" s="23">
        <f>[1]节奏总纲!AN45</f>
        <v>144.14784276756447</v>
      </c>
      <c r="AO45" s="23">
        <f>[1]节奏总纲!AO45</f>
        <v>108.11088207567333</v>
      </c>
      <c r="AP45" s="23">
        <f>[1]节奏总纲!AP45</f>
        <v>72.073921383782235</v>
      </c>
      <c r="AQ45" s="23">
        <f>[1]节奏总纲!AQ45</f>
        <v>36.036960691891117</v>
      </c>
      <c r="AS45" s="23">
        <v>42</v>
      </c>
      <c r="AT45" s="23">
        <f>[1]节奏总纲!AT45</f>
        <v>24.859410653458013</v>
      </c>
      <c r="AU45" s="23">
        <f>[1]节奏总纲!AU45</f>
        <v>19.887528522766416</v>
      </c>
      <c r="AV45" s="23">
        <f>[1]节奏总纲!AV45</f>
        <v>14.915646392074805</v>
      </c>
      <c r="AW45" s="23">
        <f>[1]节奏总纲!AW45</f>
        <v>9.9437642613832082</v>
      </c>
      <c r="AX45" s="23">
        <f>[1]节奏总纲!AX45</f>
        <v>4.9718821306916041</v>
      </c>
      <c r="AY45" s="23"/>
      <c r="AZ45" s="23">
        <v>42</v>
      </c>
      <c r="BA45" s="23">
        <f>[1]节奏总纲!BA45</f>
        <v>32.405012530176009</v>
      </c>
      <c r="BB45" s="23">
        <f>[1]节奏总纲!BB45</f>
        <v>33.799338867675175</v>
      </c>
      <c r="BC45" s="23">
        <f>[1]节奏总纲!BC45</f>
        <v>35.634340563113874</v>
      </c>
      <c r="BD45" s="23">
        <f>[1]节奏总纲!BD45</f>
        <v>38.35066605767593</v>
      </c>
      <c r="BE45" s="23">
        <f>[1]节奏总纲!BE45</f>
        <v>43.030177309109042</v>
      </c>
    </row>
    <row r="46" spans="2:57" x14ac:dyDescent="0.15">
      <c r="F46" s="23">
        <v>44</v>
      </c>
      <c r="G46" s="23">
        <v>20.112126572366307</v>
      </c>
      <c r="I46" s="23">
        <v>44</v>
      </c>
      <c r="J46" s="23">
        <v>242.37342918215046</v>
      </c>
      <c r="K46" s="18">
        <v>1.0900000000000001</v>
      </c>
      <c r="N46" s="28">
        <f>[1]节奏总纲!N46</f>
        <v>53</v>
      </c>
      <c r="O46" s="23">
        <v>43</v>
      </c>
      <c r="P46" s="23">
        <f>[1]节奏总纲!P46</f>
        <v>18.698310613518661</v>
      </c>
      <c r="Q46" s="23">
        <f>[1]节奏总纲!Q46</f>
        <v>16.338583814092605</v>
      </c>
      <c r="R46" s="23">
        <f>[1]节奏总纲!R46</f>
        <v>13.509529418267233</v>
      </c>
      <c r="S46" s="23">
        <f>[1]节奏总纲!S46</f>
        <v>10.020424657784652</v>
      </c>
      <c r="T46" s="23">
        <f>[1]节奏总纲!T46</f>
        <v>5.6394104810372276</v>
      </c>
      <c r="U46" s="29"/>
      <c r="V46" s="23">
        <v>43</v>
      </c>
      <c r="W46" s="23">
        <f>[1]节奏总纲!W46</f>
        <v>1.319136933566103</v>
      </c>
      <c r="X46" s="23">
        <f>[1]节奏总纲!X46</f>
        <v>1.1561376872860496</v>
      </c>
      <c r="Y46" s="23">
        <f>[1]节奏总纲!Y46</f>
        <v>0.96176602134148581</v>
      </c>
      <c r="Z46" s="23">
        <f>[1]节奏总纲!Z46</f>
        <v>0.6982358958580992</v>
      </c>
      <c r="AA46" s="23">
        <f>[1]节奏总纲!AA46</f>
        <v>0.39090002969155524</v>
      </c>
      <c r="AC46" s="23">
        <v>43</v>
      </c>
      <c r="AD46" s="23">
        <f>[1]节奏总纲!AD46</f>
        <v>54.585942742481357</v>
      </c>
      <c r="AE46" s="23">
        <f>[1]节奏总纲!AE46</f>
        <v>56.568265567054013</v>
      </c>
      <c r="AF46" s="23">
        <f>[1]节奏总纲!AF46</f>
        <v>59.425480572843689</v>
      </c>
      <c r="AG46" s="23">
        <f>[1]节奏总纲!AG46</f>
        <v>63.763640149257171</v>
      </c>
      <c r="AH46" s="23">
        <f>[1]节奏总纲!AH46</f>
        <v>72.370053318329937</v>
      </c>
      <c r="AL46" s="23">
        <v>43</v>
      </c>
      <c r="AM46" s="23">
        <f>[1]节奏总纲!AM46</f>
        <v>208.99265815439742</v>
      </c>
      <c r="AN46" s="23">
        <f>[1]节奏总纲!AN46</f>
        <v>167.19412652351795</v>
      </c>
      <c r="AO46" s="23">
        <f>[1]节奏总纲!AO46</f>
        <v>125.39559489263844</v>
      </c>
      <c r="AP46" s="23">
        <f>[1]节奏总纲!AP46</f>
        <v>83.597063261758976</v>
      </c>
      <c r="AQ46" s="23">
        <f>[1]节奏总纲!AQ46</f>
        <v>41.798531630879488</v>
      </c>
      <c r="AS46" s="23">
        <v>43</v>
      </c>
      <c r="AT46" s="23">
        <f>[1]节奏总纲!AT46</f>
        <v>28.807854694941852</v>
      </c>
      <c r="AU46" s="23">
        <f>[1]节奏总纲!AU46</f>
        <v>23.046283755953482</v>
      </c>
      <c r="AV46" s="23">
        <f>[1]节奏总纲!AV46</f>
        <v>17.284712816965111</v>
      </c>
      <c r="AW46" s="23">
        <f>[1]节奏总纲!AW46</f>
        <v>11.523141877976741</v>
      </c>
      <c r="AX46" s="23">
        <f>[1]节奏总纲!AX46</f>
        <v>5.7615709389883705</v>
      </c>
      <c r="AY46" s="23"/>
      <c r="AZ46" s="23">
        <v>43</v>
      </c>
      <c r="BA46" s="23">
        <f>[1]节奏总纲!BA46</f>
        <v>32.550742320155642</v>
      </c>
      <c r="BB46" s="23">
        <f>[1]节奏总纲!BB46</f>
        <v>33.955041603568006</v>
      </c>
      <c r="BC46" s="23">
        <f>[1]节奏总纲!BC46</f>
        <v>35.796991989553327</v>
      </c>
      <c r="BD46" s="23">
        <f>[1]节奏总纲!BD46</f>
        <v>38.507242373270728</v>
      </c>
      <c r="BE46" s="23">
        <f>[1]节奏总纲!BE46</f>
        <v>43.179964142847631</v>
      </c>
    </row>
    <row r="47" spans="2:57" x14ac:dyDescent="0.15">
      <c r="F47" s="23">
        <v>45</v>
      </c>
      <c r="G47" s="23">
        <v>21.627416997969519</v>
      </c>
      <c r="I47" s="23">
        <v>45</v>
      </c>
      <c r="J47" s="23">
        <v>281.05</v>
      </c>
      <c r="K47" s="18">
        <v>1.1000000000000001</v>
      </c>
      <c r="N47" s="28">
        <f>[1]节奏总纲!N47</f>
        <v>54</v>
      </c>
      <c r="O47" s="23">
        <v>44</v>
      </c>
      <c r="P47" s="23">
        <f>[1]节奏总纲!P47</f>
        <v>20.112126572366307</v>
      </c>
      <c r="Q47" s="23">
        <f>[1]节奏总纲!Q47</f>
        <v>17.573976198933678</v>
      </c>
      <c r="R47" s="23">
        <f>[1]节奏总纲!R47</f>
        <v>14.520955385248474</v>
      </c>
      <c r="S47" s="23">
        <f>[1]节奏总纲!S47</f>
        <v>10.768032566844921</v>
      </c>
      <c r="T47" s="23">
        <f>[1]节奏总纲!T47</f>
        <v>6.0537500982822579</v>
      </c>
      <c r="U47" s="29"/>
      <c r="V47" s="23">
        <v>44</v>
      </c>
      <c r="W47" s="23">
        <f>[1]节奏总纲!W47</f>
        <v>1.4138159588476462</v>
      </c>
      <c r="X47" s="23">
        <f>[1]节奏总纲!X47</f>
        <v>1.2353923848410737</v>
      </c>
      <c r="Y47" s="23">
        <f>[1]节奏总纲!Y47</f>
        <v>1.0114259669812409</v>
      </c>
      <c r="Z47" s="23">
        <f>[1]节奏总纲!Z47</f>
        <v>0.74760790906026919</v>
      </c>
      <c r="AA47" s="23">
        <f>[1]节奏总纲!AA47</f>
        <v>0.41433961724503021</v>
      </c>
      <c r="AC47" s="23">
        <v>44</v>
      </c>
      <c r="AD47" s="23">
        <f>[1]节奏总纲!AD47</f>
        <v>54.915912490558505</v>
      </c>
      <c r="AE47" s="23">
        <f>[1]节奏总纲!AE47</f>
        <v>56.897751416955018</v>
      </c>
      <c r="AF47" s="23">
        <f>[1]节奏总纲!AF47</f>
        <v>59.760009178384806</v>
      </c>
      <c r="AG47" s="23">
        <f>[1]节奏总纲!AG47</f>
        <v>64.08760696397195</v>
      </c>
      <c r="AH47" s="23">
        <f>[1]节奏总纲!AH47</f>
        <v>72.705544177223089</v>
      </c>
      <c r="AL47" s="23">
        <v>44</v>
      </c>
      <c r="AM47" s="23">
        <f>[1]节奏总纲!AM47</f>
        <v>242.37342918215046</v>
      </c>
      <c r="AN47" s="23">
        <f>[1]节奏总纲!AN47</f>
        <v>193.89874334572039</v>
      </c>
      <c r="AO47" s="23">
        <f>[1]节奏总纲!AO47</f>
        <v>145.42405750929026</v>
      </c>
      <c r="AP47" s="23">
        <f>[1]节奏总纲!AP47</f>
        <v>96.949371672860195</v>
      </c>
      <c r="AQ47" s="23">
        <f>[1]节奏总纲!AQ47</f>
        <v>48.474685836430098</v>
      </c>
      <c r="AS47" s="23">
        <v>44</v>
      </c>
      <c r="AT47" s="23">
        <f>[1]节奏总纲!AT47</f>
        <v>33.380771027753042</v>
      </c>
      <c r="AU47" s="23">
        <f>[1]节奏总纲!AU47</f>
        <v>26.704616822202439</v>
      </c>
      <c r="AV47" s="23">
        <f>[1]节奏总纲!AV47</f>
        <v>20.028462616651822</v>
      </c>
      <c r="AW47" s="23">
        <f>[1]节奏总纲!AW47</f>
        <v>13.35230841110122</v>
      </c>
      <c r="AX47" s="23">
        <f>[1]节奏总纲!AX47</f>
        <v>6.6761542055506098</v>
      </c>
      <c r="AY47" s="23"/>
      <c r="AZ47" s="23">
        <v>44</v>
      </c>
      <c r="BA47" s="23">
        <f>[1]节奏总纲!BA47</f>
        <v>32.696472110135275</v>
      </c>
      <c r="BB47" s="23">
        <f>[1]节奏总纲!BB47</f>
        <v>34.09469189131628</v>
      </c>
      <c r="BC47" s="23">
        <f>[1]节奏总纲!BC47</f>
        <v>35.95964341599278</v>
      </c>
      <c r="BD47" s="23">
        <f>[1]节奏总纲!BD47</f>
        <v>38.663818688865533</v>
      </c>
      <c r="BE47" s="23">
        <f>[1]节奏总纲!BE47</f>
        <v>43.329750976586219</v>
      </c>
    </row>
    <row r="48" spans="2:57" x14ac:dyDescent="0.15">
      <c r="F48" s="23">
        <v>46</v>
      </c>
      <c r="G48" s="23">
        <v>23.251465064166357</v>
      </c>
      <c r="I48" s="23">
        <v>46</v>
      </c>
      <c r="J48" s="23">
        <v>325.85912455595718</v>
      </c>
      <c r="K48" s="18">
        <v>1.1100000000000001</v>
      </c>
      <c r="N48" s="28">
        <f>[1]节奏总纲!N48</f>
        <v>55</v>
      </c>
      <c r="O48" s="23">
        <v>45</v>
      </c>
      <c r="P48" s="23">
        <f>[1]节奏总纲!P48</f>
        <v>21.627416997969519</v>
      </c>
      <c r="Q48" s="23">
        <f>[1]节奏总纲!Q48</f>
        <v>18.900199714525563</v>
      </c>
      <c r="R48" s="23">
        <f>[1]节奏总纲!R48</f>
        <v>15.604181364035009</v>
      </c>
      <c r="S48" s="23">
        <f>[1]节奏总纲!S48</f>
        <v>11.572830835613489</v>
      </c>
      <c r="T48" s="23">
        <f>[1]节奏总纲!T48</f>
        <v>6.49903880788984</v>
      </c>
      <c r="U48" s="29"/>
      <c r="V48" s="23">
        <v>45</v>
      </c>
      <c r="W48" s="23">
        <f>[1]节奏总纲!W48</f>
        <v>1.5152904256032116</v>
      </c>
      <c r="X48" s="23">
        <f>[1]节奏总纲!X48</f>
        <v>1.3262235155918844</v>
      </c>
      <c r="Y48" s="23">
        <f>[1]节奏总纲!Y48</f>
        <v>1.083225978786535</v>
      </c>
      <c r="Z48" s="23">
        <f>[1]节奏总纲!Z48</f>
        <v>0.80479826876856819</v>
      </c>
      <c r="AA48" s="23">
        <f>[1]节奏总纲!AA48</f>
        <v>0.44528870960758216</v>
      </c>
      <c r="AC48" s="23">
        <v>45</v>
      </c>
      <c r="AD48" s="23">
        <f>[1]节奏总纲!AD48</f>
        <v>55.229416240679981</v>
      </c>
      <c r="AE48" s="23">
        <f>[1]节奏总纲!AE48</f>
        <v>57.218966664386244</v>
      </c>
      <c r="AF48" s="23">
        <f>[1]节奏总纲!AF48</f>
        <v>60.086674688654931</v>
      </c>
      <c r="AG48" s="23">
        <f>[1]节奏总纲!AG48</f>
        <v>64.399012521055653</v>
      </c>
      <c r="AH48" s="23">
        <f>[1]节奏总纲!AH48</f>
        <v>73.037155126421851</v>
      </c>
      <c r="AL48" s="23">
        <v>45</v>
      </c>
      <c r="AM48" s="23">
        <f>[1]节奏总纲!AM48</f>
        <v>281.05</v>
      </c>
      <c r="AN48" s="23">
        <f>[1]节奏总纲!AN48</f>
        <v>224.84000000000003</v>
      </c>
      <c r="AO48" s="23">
        <f>[1]节奏总纲!AO48</f>
        <v>168.63</v>
      </c>
      <c r="AP48" s="23">
        <f>[1]节奏总纲!AP48</f>
        <v>112.42000000000002</v>
      </c>
      <c r="AQ48" s="23">
        <f>[1]节奏总纲!AQ48</f>
        <v>56.210000000000008</v>
      </c>
      <c r="AS48" s="23">
        <v>45</v>
      </c>
      <c r="AT48" s="23">
        <f>[1]节奏总纲!AT48</f>
        <v>38.676570817849552</v>
      </c>
      <c r="AU48" s="23">
        <f>[1]节奏总纲!AU48</f>
        <v>30.941256654279641</v>
      </c>
      <c r="AV48" s="23">
        <f>[1]节奏总纲!AV48</f>
        <v>23.205942490709731</v>
      </c>
      <c r="AW48" s="23">
        <f>[1]节奏总纲!AW48</f>
        <v>15.470628327139821</v>
      </c>
      <c r="AX48" s="23">
        <f>[1]节奏总纲!AX48</f>
        <v>7.7353141635699103</v>
      </c>
      <c r="AY48" s="23"/>
      <c r="AZ48" s="23">
        <v>45</v>
      </c>
      <c r="BA48" s="23">
        <f>[1]节奏总纲!BA48</f>
        <v>32.842201900114915</v>
      </c>
      <c r="BB48" s="23">
        <f>[1]节奏总纲!BB48</f>
        <v>34.227825436710944</v>
      </c>
      <c r="BC48" s="23">
        <f>[1]节奏总纲!BC48</f>
        <v>36.105477566569242</v>
      </c>
      <c r="BD48" s="23">
        <f>[1]节奏总纲!BD48</f>
        <v>38.82039500446033</v>
      </c>
      <c r="BE48" s="23">
        <f>[1]节奏总纲!BE48</f>
        <v>43.479537810324807</v>
      </c>
    </row>
    <row r="49" spans="6:57" x14ac:dyDescent="0.15">
      <c r="F49" s="23">
        <v>47</v>
      </c>
      <c r="G49" s="23">
        <v>24.992076683399535</v>
      </c>
      <c r="I49" s="23">
        <v>47</v>
      </c>
      <c r="J49" s="23">
        <v>377.76930817680426</v>
      </c>
      <c r="K49" s="18">
        <v>1.1200000000000001</v>
      </c>
      <c r="N49" s="28">
        <f>[1]节奏总纲!N49</f>
        <v>56</v>
      </c>
      <c r="O49" s="23">
        <v>46</v>
      </c>
      <c r="P49" s="23">
        <f>[1]节奏总纲!P49</f>
        <v>23.251465064166357</v>
      </c>
      <c r="Q49" s="23">
        <f>[1]节奏总纲!Q49</f>
        <v>20.310154733549314</v>
      </c>
      <c r="R49" s="23">
        <f>[1]节奏总纲!R49</f>
        <v>16.757330871744692</v>
      </c>
      <c r="S49" s="23">
        <f>[1]节奏总纲!S49</f>
        <v>12.425582930290501</v>
      </c>
      <c r="T49" s="23">
        <f>[1]节奏总纲!T49</f>
        <v>6.9545132006921566</v>
      </c>
      <c r="U49" s="29"/>
      <c r="V49" s="23">
        <v>46</v>
      </c>
      <c r="W49" s="23">
        <f>[1]节奏总纲!W49</f>
        <v>1.6240480661968384</v>
      </c>
      <c r="X49" s="23">
        <f>[1]节奏总纲!X49</f>
        <v>1.4099550190237515</v>
      </c>
      <c r="Y49" s="23">
        <f>[1]节奏总纲!Y49</f>
        <v>1.1531495077096832</v>
      </c>
      <c r="Z49" s="23">
        <f>[1]节奏总纲!Z49</f>
        <v>0.85275209467701174</v>
      </c>
      <c r="AA49" s="23">
        <f>[1]节奏总纲!AA49</f>
        <v>0.45547439280231661</v>
      </c>
      <c r="AC49" s="23">
        <v>46</v>
      </c>
      <c r="AD49" s="23">
        <f>[1]节奏总纲!AD49</f>
        <v>55.537288901845052</v>
      </c>
      <c r="AE49" s="23">
        <f>[1]节奏总纲!AE49</f>
        <v>57.53646043868428</v>
      </c>
      <c r="AF49" s="23">
        <f>[1]节奏总纲!AF49</f>
        <v>60.393379177879737</v>
      </c>
      <c r="AG49" s="23">
        <f>[1]节奏总纲!AG49</f>
        <v>64.710418078139355</v>
      </c>
      <c r="AH49" s="23">
        <f>[1]节奏总纲!AH49</f>
        <v>73.340924940105893</v>
      </c>
      <c r="AL49" s="23">
        <v>46</v>
      </c>
      <c r="AM49" s="23">
        <f>[1]节奏总纲!AM49</f>
        <v>325.85912455595718</v>
      </c>
      <c r="AN49" s="23">
        <f>[1]节奏总纲!AN49</f>
        <v>260.68729964476574</v>
      </c>
      <c r="AO49" s="23">
        <f>[1]节奏总纲!AO49</f>
        <v>195.51547473357431</v>
      </c>
      <c r="AP49" s="23">
        <f>[1]节奏总纲!AP49</f>
        <v>130.34364982238287</v>
      </c>
      <c r="AQ49" s="23">
        <f>[1]节奏总纲!AQ49</f>
        <v>65.171824911191436</v>
      </c>
      <c r="AS49" s="23">
        <v>46</v>
      </c>
      <c r="AT49" s="23">
        <f>[1]节奏总纲!AT49</f>
        <v>44.809124555957169</v>
      </c>
      <c r="AU49" s="23">
        <f>[1]节奏总纲!AU49</f>
        <v>35.847299644765712</v>
      </c>
      <c r="AV49" s="23">
        <f>[1]节奏总纲!AV49</f>
        <v>26.885474733574313</v>
      </c>
      <c r="AW49" s="23">
        <f>[1]节奏总纲!AW49</f>
        <v>17.923649822382856</v>
      </c>
      <c r="AX49" s="23">
        <f>[1]节奏总纲!AX49</f>
        <v>8.9618249111914281</v>
      </c>
      <c r="AY49" s="23"/>
      <c r="AZ49" s="23">
        <v>46</v>
      </c>
      <c r="BA49" s="23">
        <f>[1]节奏总纲!BA49</f>
        <v>32.987931690094548</v>
      </c>
      <c r="BB49" s="23">
        <f>[1]节奏总纲!BB49</f>
        <v>34.360958982105608</v>
      </c>
      <c r="BC49" s="23">
        <f>[1]节奏总纲!BC49</f>
        <v>36.245762114295424</v>
      </c>
      <c r="BD49" s="23">
        <f>[1]节奏总纲!BD49</f>
        <v>38.976971320055128</v>
      </c>
      <c r="BE49" s="23">
        <f>[1]节奏总纲!BE49</f>
        <v>43.629324644063402</v>
      </c>
    </row>
    <row r="50" spans="6:57" x14ac:dyDescent="0.15">
      <c r="F50" s="23">
        <v>48</v>
      </c>
      <c r="G50" s="23">
        <v>26.857618025475972</v>
      </c>
      <c r="I50" s="23">
        <v>48</v>
      </c>
      <c r="J50" s="23">
        <v>437.90148836012787</v>
      </c>
      <c r="K50" s="18">
        <v>1.1299999999999999</v>
      </c>
      <c r="N50" s="28">
        <f>[1]节奏总纲!N50</f>
        <v>57</v>
      </c>
      <c r="O50" s="23">
        <v>47</v>
      </c>
      <c r="P50" s="23">
        <f>[1]节奏总纲!P50</f>
        <v>24.992076683399535</v>
      </c>
      <c r="Q50" s="23">
        <f>[1]节奏总纲!Q50</f>
        <v>21.823081359944474</v>
      </c>
      <c r="R50" s="23">
        <f>[1]节奏总纲!R50</f>
        <v>17.996794419716004</v>
      </c>
      <c r="S50" s="23">
        <f>[1]节奏总纲!S50</f>
        <v>13.335772118261991</v>
      </c>
      <c r="T50" s="23">
        <f>[1]节奏总纲!T50</f>
        <v>7.4426404363163821</v>
      </c>
      <c r="U50" s="29"/>
      <c r="V50" s="23">
        <v>47</v>
      </c>
      <c r="W50" s="23">
        <f>[1]节奏总纲!W50</f>
        <v>1.740611619233178</v>
      </c>
      <c r="X50" s="23">
        <f>[1]节奏总纲!X50</f>
        <v>1.51292662639516</v>
      </c>
      <c r="Y50" s="23">
        <f>[1]节奏总纲!Y50</f>
        <v>1.2394635479713116</v>
      </c>
      <c r="Z50" s="23">
        <f>[1]节奏总纲!Z50</f>
        <v>0.91018918797148984</v>
      </c>
      <c r="AA50" s="23">
        <f>[1]节奏总纲!AA50</f>
        <v>0.48812723562422544</v>
      </c>
      <c r="AC50" s="23">
        <v>47</v>
      </c>
      <c r="AD50" s="23">
        <f>[1]节奏总纲!AD50</f>
        <v>55.845161563010116</v>
      </c>
      <c r="AE50" s="23">
        <f>[1]节奏总纲!AE50</f>
        <v>57.853954212982316</v>
      </c>
      <c r="AF50" s="23">
        <f>[1]节奏总纲!AF50</f>
        <v>60.700083667104536</v>
      </c>
      <c r="AG50" s="23">
        <f>[1]节奏总纲!AG50</f>
        <v>65.021675833900701</v>
      </c>
      <c r="AH50" s="23">
        <f>[1]节奏总纲!AH50</f>
        <v>73.644694753789935</v>
      </c>
      <c r="AL50" s="23">
        <v>47</v>
      </c>
      <c r="AM50" s="23">
        <f>[1]节奏总纲!AM50</f>
        <v>377.76930817680426</v>
      </c>
      <c r="AN50" s="23">
        <f>[1]节奏总纲!AN50</f>
        <v>302.21544654144344</v>
      </c>
      <c r="AO50" s="23">
        <f>[1]节奏总纲!AO50</f>
        <v>226.66158490608254</v>
      </c>
      <c r="AP50" s="23">
        <f>[1]节奏总纲!AP50</f>
        <v>151.10772327072172</v>
      </c>
      <c r="AQ50" s="23">
        <f>[1]节奏总纲!AQ50</f>
        <v>75.55386163536086</v>
      </c>
      <c r="AS50" s="23">
        <v>47</v>
      </c>
      <c r="AT50" s="23">
        <f>[1]节奏总纲!AT50</f>
        <v>51.910183620847079</v>
      </c>
      <c r="AU50" s="23">
        <f>[1]节奏总纲!AU50</f>
        <v>41.528146896677697</v>
      </c>
      <c r="AV50" s="23">
        <f>[1]节奏总纲!AV50</f>
        <v>31.14611017250823</v>
      </c>
      <c r="AW50" s="23">
        <f>[1]节奏总纲!AW50</f>
        <v>20.764073448338848</v>
      </c>
      <c r="AX50" s="23">
        <f>[1]节奏总纲!AX50</f>
        <v>10.382036724169424</v>
      </c>
      <c r="AY50" s="23"/>
      <c r="AZ50" s="23">
        <v>47</v>
      </c>
      <c r="BA50" s="23">
        <f>[1]节奏总纲!BA50</f>
        <v>33.114246829746719</v>
      </c>
      <c r="BB50" s="23">
        <f>[1]节奏总纲!BB50</f>
        <v>34.494092527500278</v>
      </c>
      <c r="BC50" s="23">
        <f>[1]节奏总纲!BC50</f>
        <v>36.386046662021599</v>
      </c>
      <c r="BD50" s="23">
        <f>[1]节奏总纲!BD50</f>
        <v>39.115214427575864</v>
      </c>
      <c r="BE50" s="23">
        <f>[1]节奏总纲!BE50</f>
        <v>43.77911147780199</v>
      </c>
    </row>
    <row r="51" spans="6:57" x14ac:dyDescent="0.15">
      <c r="F51" s="23">
        <v>49</v>
      </c>
      <c r="G51" s="23">
        <v>28.857055729177837</v>
      </c>
      <c r="I51" s="23">
        <v>49</v>
      </c>
      <c r="J51" s="23">
        <v>507.55295278468168</v>
      </c>
      <c r="K51" s="18">
        <v>1.1399999999999999</v>
      </c>
      <c r="N51" s="28">
        <f>[1]节奏总纲!N51</f>
        <v>58</v>
      </c>
      <c r="O51" s="23">
        <v>48</v>
      </c>
      <c r="P51" s="23">
        <f>[1]节奏总纲!P51</f>
        <v>26.857618025475972</v>
      </c>
      <c r="Q51" s="23">
        <f>[1]节奏总纲!Q51</f>
        <v>23.425214441820142</v>
      </c>
      <c r="R51" s="23">
        <f>[1]节奏总纲!R51</f>
        <v>19.329427692935056</v>
      </c>
      <c r="S51" s="23">
        <f>[1]节奏总纲!S51</f>
        <v>14.269452456935383</v>
      </c>
      <c r="T51" s="23">
        <f>[1]节奏总纲!T51</f>
        <v>7.9605979827510778</v>
      </c>
      <c r="U51" s="29"/>
      <c r="V51" s="23">
        <v>48</v>
      </c>
      <c r="W51" s="23">
        <f>[1]节奏总纲!W51</f>
        <v>1.8655413420764368</v>
      </c>
      <c r="X51" s="23">
        <f>[1]节奏总纲!X51</f>
        <v>1.6021330818756674</v>
      </c>
      <c r="Y51" s="23">
        <f>[1]节奏总纲!Y51</f>
        <v>1.3326332732190522</v>
      </c>
      <c r="Z51" s="23">
        <f>[1]节奏总纲!Z51</f>
        <v>0.93368033867339228</v>
      </c>
      <c r="AA51" s="23">
        <f>[1]节奏总纲!AA51</f>
        <v>0.51795754643469571</v>
      </c>
      <c r="AC51" s="23">
        <v>48</v>
      </c>
      <c r="AD51" s="23">
        <f>[1]节奏总纲!AD51</f>
        <v>56.142785979989682</v>
      </c>
      <c r="AE51" s="23">
        <f>[1]节奏总纲!AE51</f>
        <v>58.155157256402767</v>
      </c>
      <c r="AF51" s="23">
        <f>[1]节奏总纲!AF51</f>
        <v>61.006268532239034</v>
      </c>
      <c r="AG51" s="23">
        <f>[1]节奏总纲!AG51</f>
        <v>65.330972386106993</v>
      </c>
      <c r="AH51" s="23">
        <f>[1]节奏总纲!AH51</f>
        <v>73.948464567473962</v>
      </c>
      <c r="AL51" s="23">
        <v>48</v>
      </c>
      <c r="AM51" s="23">
        <f>[1]节奏总纲!AM51</f>
        <v>437.90148836012787</v>
      </c>
      <c r="AN51" s="23">
        <f>[1]节奏总纲!AN51</f>
        <v>350.32119068810232</v>
      </c>
      <c r="AO51" s="23">
        <f>[1]节奏总纲!AO51</f>
        <v>262.74089301607671</v>
      </c>
      <c r="AP51" s="23">
        <f>[1]节奏总纲!AP51</f>
        <v>175.16059534405116</v>
      </c>
      <c r="AQ51" s="23">
        <f>[1]节奏总纲!AQ51</f>
        <v>87.58029767202558</v>
      </c>
      <c r="AS51" s="23">
        <v>48</v>
      </c>
      <c r="AT51" s="23">
        <f>[1]节奏总纲!AT51</f>
        <v>60.132180183323612</v>
      </c>
      <c r="AU51" s="23">
        <f>[1]节奏总纲!AU51</f>
        <v>48.105744146658878</v>
      </c>
      <c r="AV51" s="23">
        <f>[1]节奏总纲!AV51</f>
        <v>36.079308109994173</v>
      </c>
      <c r="AW51" s="23">
        <f>[1]节奏总纲!AW51</f>
        <v>24.052872073329439</v>
      </c>
      <c r="AX51" s="23">
        <f>[1]节奏总纲!AX51</f>
        <v>12.02643603666472</v>
      </c>
      <c r="AY51" s="23"/>
      <c r="AZ51" s="23">
        <v>48</v>
      </c>
      <c r="BA51" s="23">
        <f>[1]节奏总纲!BA51</f>
        <v>33.238809018460984</v>
      </c>
      <c r="BB51" s="23">
        <f>[1]节奏总纲!BB51</f>
        <v>34.627226072894942</v>
      </c>
      <c r="BC51" s="23">
        <f>[1]节奏总纲!BC51</f>
        <v>36.526331209747774</v>
      </c>
      <c r="BD51" s="23">
        <f>[1]节奏总纲!BD51</f>
        <v>39.250296194358178</v>
      </c>
      <c r="BE51" s="23">
        <f>[1]节奏总纲!BE51</f>
        <v>43.928898311540578</v>
      </c>
    </row>
    <row r="52" spans="6:57" x14ac:dyDescent="0.15">
      <c r="F52" s="23">
        <v>50</v>
      </c>
      <c r="G52" s="23">
        <v>31</v>
      </c>
      <c r="I52" s="23">
        <v>50</v>
      </c>
      <c r="J52" s="23">
        <v>588.22499999999991</v>
      </c>
      <c r="K52" s="18">
        <v>1.1499999999999999</v>
      </c>
      <c r="N52" s="28">
        <f>[1]节奏总纲!N52</f>
        <v>59</v>
      </c>
      <c r="O52" s="23">
        <v>49</v>
      </c>
      <c r="P52" s="23">
        <f>[1]节奏总纲!P52</f>
        <v>28.857055729177837</v>
      </c>
      <c r="Q52" s="23">
        <f>[1]节奏总纲!Q52</f>
        <v>25.166238301415991</v>
      </c>
      <c r="R52" s="23">
        <f>[1]节奏总纲!R52</f>
        <v>20.719366013549685</v>
      </c>
      <c r="S52" s="23">
        <f>[1]节奏总纲!S52</f>
        <v>15.268268186307994</v>
      </c>
      <c r="T52" s="23">
        <f>[1]节奏总纲!T52</f>
        <v>8.5474599069824766</v>
      </c>
      <c r="U52" s="29"/>
      <c r="V52" s="23">
        <v>49</v>
      </c>
      <c r="W52" s="23">
        <f>[1]节奏总纲!W52</f>
        <v>1.9994377037018651</v>
      </c>
      <c r="X52" s="23">
        <f>[1]节奏总纲!X52</f>
        <v>1.7410238595958489</v>
      </c>
      <c r="Y52" s="23">
        <f>[1]节奏总纲!Y52</f>
        <v>1.389938320614629</v>
      </c>
      <c r="Z52" s="23">
        <f>[1]节奏总纲!Z52</f>
        <v>0.99881572937261076</v>
      </c>
      <c r="AA52" s="23">
        <f>[1]节奏总纲!AA52</f>
        <v>0.58686192423139882</v>
      </c>
      <c r="AC52" s="23">
        <v>49</v>
      </c>
      <c r="AD52" s="23">
        <f>[1]节奏总纲!AD52</f>
        <v>56.430041330048923</v>
      </c>
      <c r="AE52" s="23">
        <f>[1]节奏总纲!AE52</f>
        <v>58.442483247955479</v>
      </c>
      <c r="AF52" s="23">
        <f>[1]节奏总纲!AF52</f>
        <v>61.289495211956165</v>
      </c>
      <c r="AG52" s="23">
        <f>[1]节奏总纲!AG52</f>
        <v>65.640268938313284</v>
      </c>
      <c r="AH52" s="23">
        <f>[1]节奏总纲!AH52</f>
        <v>74.231558509323534</v>
      </c>
      <c r="AL52" s="23">
        <v>49</v>
      </c>
      <c r="AM52" s="23">
        <f>[1]节奏总纲!AM52</f>
        <v>507.55295278468168</v>
      </c>
      <c r="AN52" s="23">
        <f>[1]节奏总纲!AN52</f>
        <v>406.04236222774534</v>
      </c>
      <c r="AO52" s="23">
        <f>[1]节奏总纲!AO52</f>
        <v>304.53177167080901</v>
      </c>
      <c r="AP52" s="23">
        <f>[1]节奏总纲!AP52</f>
        <v>203.02118111387267</v>
      </c>
      <c r="AQ52" s="23">
        <f>[1]节奏总纲!AQ52</f>
        <v>101.51059055693634</v>
      </c>
      <c r="AS52" s="23">
        <v>49</v>
      </c>
      <c r="AT52" s="23">
        <f>[1]节奏总纲!AT52</f>
        <v>69.651464424553808</v>
      </c>
      <c r="AU52" s="23">
        <f>[1]节奏总纲!AU52</f>
        <v>55.721171539643024</v>
      </c>
      <c r="AV52" s="23">
        <f>[1]节奏总纲!AV52</f>
        <v>41.790878654732296</v>
      </c>
      <c r="AW52" s="23">
        <f>[1]节奏总纲!AW52</f>
        <v>27.860585769821512</v>
      </c>
      <c r="AX52" s="23">
        <f>[1]节奏总纲!AX52</f>
        <v>13.930292884910756</v>
      </c>
      <c r="AY52" s="23"/>
      <c r="AZ52" s="23">
        <v>49</v>
      </c>
      <c r="BA52" s="23">
        <f>[1]节奏总纲!BA52</f>
        <v>33.363371207175248</v>
      </c>
      <c r="BB52" s="23">
        <f>[1]节奏总纲!BB52</f>
        <v>34.760359618289606</v>
      </c>
      <c r="BC52" s="23">
        <f>[1]节奏总纲!BC52</f>
        <v>36.666615757473956</v>
      </c>
      <c r="BD52" s="23">
        <f>[1]节奏总纲!BD52</f>
        <v>39.385377961140485</v>
      </c>
      <c r="BE52" s="23">
        <f>[1]节奏总纲!BE52</f>
        <v>44.067911160744309</v>
      </c>
    </row>
    <row r="53" spans="6:57" x14ac:dyDescent="0.15">
      <c r="F53" s="23">
        <v>51</v>
      </c>
      <c r="G53" s="23">
        <v>33.296750801161366</v>
      </c>
      <c r="K53" s="18"/>
      <c r="N53" s="28">
        <f>[1]节奏总纲!N53</f>
        <v>60</v>
      </c>
      <c r="O53" s="23">
        <v>50</v>
      </c>
      <c r="P53" s="23">
        <f>[1]节奏总纲!P53</f>
        <v>31</v>
      </c>
      <c r="Q53" s="23">
        <f>[1]节奏总纲!Q53</f>
        <v>27.0351</v>
      </c>
      <c r="R53" s="23">
        <f>[1]节奏总纲!R53</f>
        <v>22.205300000000001</v>
      </c>
      <c r="S53" s="23">
        <f>[1]节奏总纲!S53</f>
        <v>16.386599999999998</v>
      </c>
      <c r="T53" s="23">
        <f>[1]节奏总纲!T53</f>
        <v>9.1883999999999997</v>
      </c>
      <c r="U53" s="29"/>
      <c r="V53" s="23">
        <v>50</v>
      </c>
      <c r="W53" s="23">
        <f>[1]节奏总纲!W53</f>
        <v>2.1429442708221629</v>
      </c>
      <c r="X53" s="23">
        <f>[1]节奏总纲!X53</f>
        <v>1.8688616985840092</v>
      </c>
      <c r="Y53" s="23">
        <f>[1]节奏总纲!Y53</f>
        <v>1.4859339864503163</v>
      </c>
      <c r="Z53" s="23">
        <f>[1]节奏总纲!Z53</f>
        <v>1.118331813692004</v>
      </c>
      <c r="AA53" s="23">
        <f>[1]节奏总纲!AA53</f>
        <v>0.64094009301752308</v>
      </c>
      <c r="AC53" s="23">
        <v>50</v>
      </c>
      <c r="AD53" s="23">
        <f>[1]节奏总纲!AD53</f>
        <v>56.717296680108156</v>
      </c>
      <c r="AE53" s="23">
        <f>[1]节奏总纲!AE53</f>
        <v>58.729809239508185</v>
      </c>
      <c r="AF53" s="23">
        <f>[1]节奏总纲!AF53</f>
        <v>61.572721891673297</v>
      </c>
      <c r="AG53" s="23">
        <f>[1]节奏总纲!AG53</f>
        <v>65.949565490519575</v>
      </c>
      <c r="AH53" s="23">
        <f>[1]节奏总纲!AH53</f>
        <v>74.51042804689898</v>
      </c>
      <c r="AL53" s="23">
        <v>50</v>
      </c>
      <c r="AM53" s="23">
        <f>[1]节奏总纲!AM53</f>
        <v>588.22499999999991</v>
      </c>
      <c r="AN53" s="23">
        <f>[1]节奏总纲!AN53</f>
        <v>470.57999999999993</v>
      </c>
      <c r="AO53" s="23">
        <f>[1]节奏总纲!AO53</f>
        <v>352.93499999999995</v>
      </c>
      <c r="AP53" s="23">
        <f>[1]节奏总纲!AP53</f>
        <v>235.28999999999996</v>
      </c>
      <c r="AQ53" s="23">
        <f>[1]节奏总纲!AQ53</f>
        <v>117.64499999999998</v>
      </c>
      <c r="AS53" s="23">
        <v>50</v>
      </c>
      <c r="AT53" s="23">
        <f>[1]节奏总纲!AT53</f>
        <v>80.67204721531823</v>
      </c>
      <c r="AU53" s="23">
        <f>[1]节奏总纲!AU53</f>
        <v>64.537637772254584</v>
      </c>
      <c r="AV53" s="23">
        <f>[1]节奏总纲!AV53</f>
        <v>48.403228329190938</v>
      </c>
      <c r="AW53" s="23">
        <f>[1]节奏总纲!AW53</f>
        <v>32.268818886127292</v>
      </c>
      <c r="AX53" s="23">
        <f>[1]节奏总纲!AX53</f>
        <v>16.134409443063646</v>
      </c>
      <c r="AY53" s="23"/>
      <c r="AZ53" s="23">
        <v>50</v>
      </c>
      <c r="BA53" s="23">
        <f>[1]节奏总纲!BA53</f>
        <v>33.487933395889513</v>
      </c>
      <c r="BB53" s="23">
        <f>[1]节奏总纲!BB53</f>
        <v>34.893493163684269</v>
      </c>
      <c r="BC53" s="23">
        <f>[1]节奏总纲!BC53</f>
        <v>36.806900305200131</v>
      </c>
      <c r="BD53" s="23">
        <f>[1]节奏总纲!BD53</f>
        <v>39.520459727922798</v>
      </c>
      <c r="BE53" s="23">
        <f>[1]节奏总纲!BE53</f>
        <v>44.197188392263818</v>
      </c>
    </row>
    <row r="54" spans="6:57" x14ac:dyDescent="0.15">
      <c r="F54" s="23">
        <v>52</v>
      </c>
      <c r="G54" s="23">
        <v>35.758347359905123</v>
      </c>
      <c r="K54" s="18"/>
      <c r="N54" s="28">
        <f>[1]节奏总纲!N54</f>
        <v>61</v>
      </c>
      <c r="O54" s="23">
        <v>51</v>
      </c>
      <c r="P54" s="23">
        <f>[1]节奏总纲!P54</f>
        <v>33.296750801161366</v>
      </c>
      <c r="Q54" s="23">
        <f>[1]节奏总纲!Q54</f>
        <v>28.928217096048996</v>
      </c>
      <c r="R54" s="23">
        <f>[1]节奏总纲!R54</f>
        <v>23.783869097269566</v>
      </c>
      <c r="S54" s="23">
        <f>[1]节奏总纲!S54</f>
        <v>17.587343773173433</v>
      </c>
      <c r="T54" s="23">
        <f>[1]节奏总纲!T54</f>
        <v>9.8458492119034169</v>
      </c>
      <c r="U54" s="29"/>
      <c r="V54" s="23">
        <v>51</v>
      </c>
      <c r="W54" s="23">
        <f>[1]节奏总纲!W54</f>
        <v>2.296750801161366</v>
      </c>
      <c r="X54" s="23">
        <f>[1]节奏总纲!X54</f>
        <v>1.8931170960489965</v>
      </c>
      <c r="Y54" s="23">
        <f>[1]节奏总纲!Y54</f>
        <v>1.5785690972695647</v>
      </c>
      <c r="Z54" s="23">
        <f>[1]节奏总纲!Z54</f>
        <v>1.2007437731734356</v>
      </c>
      <c r="AA54" s="23">
        <f>[1]节奏总纲!AA54</f>
        <v>0.65744921190341721</v>
      </c>
      <c r="AC54" s="23">
        <v>51</v>
      </c>
      <c r="AD54" s="23">
        <f>[1]节奏总纲!AD54</f>
        <v>57.004247194324648</v>
      </c>
      <c r="AE54" s="23">
        <f>[1]节奏总纲!AE54</f>
        <v>59.016342740868758</v>
      </c>
      <c r="AF54" s="23">
        <f>[1]节奏总纲!AF54</f>
        <v>61.855948571390428</v>
      </c>
      <c r="AG54" s="23">
        <f>[1]节奏总纲!AG54</f>
        <v>66.241691764589476</v>
      </c>
      <c r="AH54" s="23">
        <f>[1]节奏总纲!AH54</f>
        <v>74.789297584474426</v>
      </c>
      <c r="AZ54" s="23">
        <v>51</v>
      </c>
      <c r="BA54" s="23">
        <v>33.612495584603778</v>
      </c>
      <c r="BB54" s="23">
        <v>35.024397713965918</v>
      </c>
      <c r="BC54" s="23">
        <v>36.947184852926306</v>
      </c>
      <c r="BD54" s="23">
        <v>39.655541494705105</v>
      </c>
      <c r="BE54" s="23">
        <v>44.326465623783335</v>
      </c>
    </row>
    <row r="55" spans="6:57" x14ac:dyDescent="0.15">
      <c r="F55" s="23">
        <v>53</v>
      </c>
      <c r="G55" s="23">
        <v>38.396621227037308</v>
      </c>
      <c r="K55" s="18"/>
      <c r="N55" s="28">
        <f>[1]节奏总纲!N55</f>
        <v>62</v>
      </c>
      <c r="O55" s="23">
        <v>52</v>
      </c>
      <c r="P55" s="23">
        <f>[1]节奏总纲!P55</f>
        <v>35.758347359905123</v>
      </c>
      <c r="Q55" s="23">
        <f>[1]节奏总纲!Q55</f>
        <v>31.081155525229534</v>
      </c>
      <c r="R55" s="23">
        <f>[1]节奏总纲!R55</f>
        <v>25.606552544428059</v>
      </c>
      <c r="S55" s="23">
        <f>[1]节奏总纲!S55</f>
        <v>18.930469092333773</v>
      </c>
      <c r="T55" s="23">
        <f>[1]节奏总纲!T55</f>
        <v>10.570167479587953</v>
      </c>
      <c r="U55" s="29"/>
      <c r="V55" s="23">
        <v>52</v>
      </c>
      <c r="W55" s="23">
        <f>[1]节奏总纲!W55</f>
        <v>2.4615965587437572</v>
      </c>
      <c r="X55" s="23">
        <f>[1]节奏总纲!X55</f>
        <v>2.1529384291805371</v>
      </c>
      <c r="Y55" s="23">
        <f>[1]节奏总纲!Y55</f>
        <v>1.822683447158493</v>
      </c>
      <c r="Z55" s="23">
        <f>[1]节奏总纲!Z55</f>
        <v>1.3431253191603396</v>
      </c>
      <c r="AA55" s="23">
        <f>[1]节奏总纲!AA55</f>
        <v>0.72431826768453611</v>
      </c>
      <c r="AC55" s="23">
        <v>52</v>
      </c>
      <c r="AD55" s="23">
        <f>[1]节奏总纲!AD55</f>
        <v>57.27226591292537</v>
      </c>
      <c r="AE55" s="23">
        <f>[1]节奏总纲!AE55</f>
        <v>59.290380144164828</v>
      </c>
      <c r="AF55" s="23">
        <f>[1]节奏总纲!AF55</f>
        <v>62.130298748930763</v>
      </c>
      <c r="AG55" s="23">
        <f>[1]节奏总纲!AG55</f>
        <v>66.530472725664353</v>
      </c>
      <c r="AH55" s="23">
        <f>[1]节奏总纲!AH55</f>
        <v>75.062532510920803</v>
      </c>
      <c r="AZ55" s="23">
        <v>52</v>
      </c>
      <c r="BA55" s="23">
        <v>33.737057773318043</v>
      </c>
      <c r="BB55" s="23">
        <v>35.146386283795508</v>
      </c>
      <c r="BC55" s="23">
        <v>37.075448197698059</v>
      </c>
      <c r="BD55" s="23">
        <v>39.790623261487418</v>
      </c>
      <c r="BE55" s="23">
        <v>44.455742855302844</v>
      </c>
    </row>
    <row r="56" spans="6:57" x14ac:dyDescent="0.15">
      <c r="F56" s="23">
        <v>54</v>
      </c>
      <c r="G56" s="23">
        <v>41.224253144732614</v>
      </c>
      <c r="K56" s="18"/>
      <c r="N56" s="28">
        <f>[1]节奏总纲!N56</f>
        <v>63</v>
      </c>
      <c r="O56" s="23">
        <v>53</v>
      </c>
      <c r="P56" s="23">
        <f>[1]节奏总纲!P56</f>
        <v>38.396621227037308</v>
      </c>
      <c r="Q56" s="23">
        <f>[1]节奏总纲!Q56</f>
        <v>33.42809844025868</v>
      </c>
      <c r="R56" s="23">
        <f>[1]节奏总纲!R56</f>
        <v>27.5802930273809</v>
      </c>
      <c r="S56" s="23">
        <f>[1]节奏总纲!S56</f>
        <v>20.319491953348145</v>
      </c>
      <c r="T56" s="23">
        <f>[1]节奏总纲!T56</f>
        <v>11.338522248344118</v>
      </c>
      <c r="U56" s="29"/>
      <c r="V56" s="23">
        <v>53</v>
      </c>
      <c r="W56" s="23">
        <f>[1]节奏总纲!W56</f>
        <v>2.6382738671321846</v>
      </c>
      <c r="X56" s="23">
        <f>[1]节奏总纲!X56</f>
        <v>2.3469429150291461</v>
      </c>
      <c r="Y56" s="23">
        <f>[1]节奏总纲!Y56</f>
        <v>1.9737404829528415</v>
      </c>
      <c r="Z56" s="23">
        <f>[1]节奏总纲!Z56</f>
        <v>1.3890228610143716</v>
      </c>
      <c r="AA56" s="23">
        <f>[1]节奏总纲!AA56</f>
        <v>0.76835476875616493</v>
      </c>
      <c r="AC56" s="23">
        <v>53</v>
      </c>
      <c r="AD56" s="23">
        <f>[1]节奏总纲!AD56</f>
        <v>57.540284631526099</v>
      </c>
      <c r="AE56" s="23">
        <f>[1]节奏总纲!AE56</f>
        <v>59.564417547460899</v>
      </c>
      <c r="AF56" s="23">
        <f>[1]节奏总纲!AF56</f>
        <v>62.395461425033538</v>
      </c>
      <c r="AG56" s="23">
        <f>[1]节奏总纲!AG56</f>
        <v>66.819253686739231</v>
      </c>
      <c r="AH56" s="23">
        <f>[1]节奏总纲!AH56</f>
        <v>75.318351032805268</v>
      </c>
      <c r="AZ56" s="23">
        <v>53</v>
      </c>
      <c r="BA56" s="23">
        <v>33.861619962032307</v>
      </c>
      <c r="BB56" s="23">
        <v>35.268374853625097</v>
      </c>
      <c r="BC56" s="23">
        <v>37.196452985793947</v>
      </c>
      <c r="BD56" s="23">
        <v>39.925705028269732</v>
      </c>
      <c r="BE56" s="23">
        <v>44.585020086822361</v>
      </c>
    </row>
    <row r="57" spans="6:57" x14ac:dyDescent="0.15">
      <c r="F57" s="23">
        <v>55</v>
      </c>
      <c r="G57" s="23">
        <v>44.254833995939045</v>
      </c>
      <c r="K57" s="18"/>
      <c r="N57" s="28">
        <f>[1]节奏总纲!N57</f>
        <v>64</v>
      </c>
      <c r="O57" s="23">
        <v>54</v>
      </c>
      <c r="P57" s="23">
        <f>[1]节奏总纲!P57</f>
        <v>41.224253144732614</v>
      </c>
      <c r="Q57" s="23">
        <f>[1]节奏总纲!Q57</f>
        <v>35.947548742206841</v>
      </c>
      <c r="R57" s="23">
        <f>[1]节奏总纲!R57</f>
        <v>29.553667079458812</v>
      </c>
      <c r="S57" s="23">
        <f>[1]节奏总纲!S57</f>
        <v>21.762283235104348</v>
      </c>
      <c r="T57" s="23">
        <f>[1]节奏总纲!T57</f>
        <v>12.111685573922442</v>
      </c>
      <c r="U57" s="29"/>
      <c r="V57" s="23">
        <v>54</v>
      </c>
      <c r="W57" s="23">
        <f>[1]节奏总纲!W57</f>
        <v>2.8276319176953066</v>
      </c>
      <c r="X57" s="23">
        <f>[1]节奏总纲!X57</f>
        <v>2.5194503019481616</v>
      </c>
      <c r="Y57" s="23">
        <f>[1]节奏总纲!Y57</f>
        <v>1.9733740520779115</v>
      </c>
      <c r="Z57" s="23">
        <f>[1]节奏总纲!Z57</f>
        <v>1.4427912817562039</v>
      </c>
      <c r="AA57" s="23">
        <f>[1]节奏总纲!AA57</f>
        <v>0.77316332557832368</v>
      </c>
      <c r="AC57" s="23">
        <v>54</v>
      </c>
      <c r="AD57" s="23">
        <f>[1]节奏总纲!AD57</f>
        <v>57.80830335012682</v>
      </c>
      <c r="AE57" s="23">
        <f>[1]节奏总纲!AE57</f>
        <v>59.838454950756969</v>
      </c>
      <c r="AF57" s="23">
        <f>[1]节奏总纲!AF57</f>
        <v>62.660624101136307</v>
      </c>
      <c r="AG57" s="23">
        <f>[1]节奏总纲!AG57</f>
        <v>67.098789255934349</v>
      </c>
      <c r="AH57" s="23">
        <f>[1]节奏总纲!AH57</f>
        <v>75.574169554689718</v>
      </c>
      <c r="AZ57" s="23">
        <v>54</v>
      </c>
      <c r="BA57" s="23">
        <v>33.986182150746572</v>
      </c>
      <c r="BB57" s="23">
        <v>35.390363423454687</v>
      </c>
      <c r="BC57" s="23">
        <v>37.317457773889828</v>
      </c>
      <c r="BD57" s="23">
        <v>40.052446592012309</v>
      </c>
      <c r="BE57" s="23">
        <v>44.71429731834187</v>
      </c>
    </row>
    <row r="58" spans="6:57" x14ac:dyDescent="0.15">
      <c r="F58" s="23">
        <v>56</v>
      </c>
      <c r="G58" s="23">
        <v>47.502930128332721</v>
      </c>
      <c r="K58" s="18"/>
      <c r="N58" s="28">
        <f>[1]节奏总纲!N58</f>
        <v>65</v>
      </c>
      <c r="O58" s="23">
        <v>55</v>
      </c>
      <c r="P58" s="23">
        <f>[1]节奏总纲!P58</f>
        <v>44.254833995939045</v>
      </c>
      <c r="Q58" s="23">
        <f>[1]节奏总纲!Q58</f>
        <v>38.53268396026413</v>
      </c>
      <c r="R58" s="23">
        <f>[1]节奏总纲!R58</f>
        <v>31.642206307096416</v>
      </c>
      <c r="S58" s="23">
        <f>[1]节奏总纲!S58</f>
        <v>23.282468165263531</v>
      </c>
      <c r="T58" s="23">
        <f>[1]节奏总纲!T58</f>
        <v>12.944538943812169</v>
      </c>
      <c r="U58" s="29"/>
      <c r="V58" s="23">
        <v>55</v>
      </c>
      <c r="W58" s="23">
        <f>[1]节奏总纲!W58</f>
        <v>3.0305808512064303</v>
      </c>
      <c r="X58" s="23">
        <f>[1]节奏总纲!X58</f>
        <v>2.5851352180572889</v>
      </c>
      <c r="Y58" s="23">
        <f>[1]节奏总纲!Y58</f>
        <v>2.0885392276376038</v>
      </c>
      <c r="Z58" s="23">
        <f>[1]节奏总纲!Z58</f>
        <v>1.5201849301591821</v>
      </c>
      <c r="AA58" s="23">
        <f>[1]节奏总纲!AA58</f>
        <v>0.8328533698897278</v>
      </c>
      <c r="AC58" s="23">
        <v>55</v>
      </c>
      <c r="AD58" s="23">
        <f>[1]节奏总纲!AD58</f>
        <v>58.071211008105138</v>
      </c>
      <c r="AE58" s="23">
        <f>[1]节奏总纲!AE58</f>
        <v>60.102437883401088</v>
      </c>
      <c r="AF58" s="23">
        <f>[1]节奏总纲!AF58</f>
        <v>62.925786777239075</v>
      </c>
      <c r="AG58" s="23">
        <f>[1]节奏总纲!AG58</f>
        <v>67.36285691246691</v>
      </c>
      <c r="AH58" s="23">
        <f>[1]节奏总纲!AH58</f>
        <v>75.829988076574182</v>
      </c>
      <c r="AZ58" s="23">
        <v>55</v>
      </c>
      <c r="BA58" s="23">
        <v>34.09469189131628</v>
      </c>
      <c r="BB58" s="23">
        <v>35.512351993284277</v>
      </c>
      <c r="BC58" s="23">
        <v>37.438462561985709</v>
      </c>
      <c r="BD58" s="23">
        <v>40.168994574261895</v>
      </c>
      <c r="BE58" s="23">
        <v>44.843574549861387</v>
      </c>
    </row>
    <row r="59" spans="6:57" x14ac:dyDescent="0.15">
      <c r="F59" s="23">
        <v>57</v>
      </c>
      <c r="G59" s="23">
        <v>50.984153366799077</v>
      </c>
      <c r="K59" s="18"/>
      <c r="N59" s="28">
        <f>[1]节奏总纲!N59</f>
        <v>66</v>
      </c>
      <c r="O59" s="23">
        <v>56</v>
      </c>
      <c r="P59" s="23">
        <f>[1]节奏总纲!P59</f>
        <v>47.502930128332721</v>
      </c>
      <c r="Q59" s="23">
        <f>[1]节奏总纲!Q59</f>
        <v>41.275295988508304</v>
      </c>
      <c r="R59" s="23">
        <f>[1]节奏总纲!R59</f>
        <v>33.888590353552566</v>
      </c>
      <c r="S59" s="23">
        <f>[1]节奏总纲!S59</f>
        <v>24.910536559297679</v>
      </c>
      <c r="T59" s="23">
        <f>[1]节奏总纲!T59</f>
        <v>13.837603546383322</v>
      </c>
      <c r="U59" s="29"/>
      <c r="V59" s="23">
        <v>56</v>
      </c>
      <c r="W59" s="23">
        <f>[1]节奏总纲!W59</f>
        <v>3.2480961323936768</v>
      </c>
      <c r="X59" s="23">
        <f>[1]节奏总纲!X59</f>
        <v>2.7426120282441744</v>
      </c>
      <c r="Y59" s="23">
        <f>[1]节奏总纲!Y59</f>
        <v>2.24638404645615</v>
      </c>
      <c r="Z59" s="23">
        <f>[1]节奏总纲!Z59</f>
        <v>1.6280683940341483</v>
      </c>
      <c r="AA59" s="23">
        <f>[1]节奏总纲!AA59</f>
        <v>0.89306460257115283</v>
      </c>
      <c r="AC59" s="23">
        <v>56</v>
      </c>
      <c r="AD59" s="23">
        <f>[1]节奏总纲!AD59</f>
        <v>58.321281314909029</v>
      </c>
      <c r="AE59" s="23">
        <f>[1]节奏总纲!AE59</f>
        <v>60.351982057337977</v>
      </c>
      <c r="AF59" s="23">
        <f>[1]节奏总纲!AF59</f>
        <v>63.17626763611517</v>
      </c>
      <c r="AG59" s="23">
        <f>[1]节奏总纲!AG59</f>
        <v>67.626924568999456</v>
      </c>
      <c r="AH59" s="23">
        <f>[1]节奏总纲!AH59</f>
        <v>76.086647524934079</v>
      </c>
      <c r="AZ59" s="23">
        <v>56</v>
      </c>
      <c r="BA59" s="23">
        <v>34.201198727632011</v>
      </c>
      <c r="BB59" s="23">
        <v>35.634340563113874</v>
      </c>
      <c r="BC59" s="23">
        <v>37.55946735008159</v>
      </c>
      <c r="BD59" s="23">
        <v>40.28554255651148</v>
      </c>
      <c r="BE59" s="23">
        <v>44.972851781380903</v>
      </c>
    </row>
    <row r="60" spans="6:57" x14ac:dyDescent="0.15">
      <c r="F60" s="23">
        <v>58</v>
      </c>
      <c r="G60" s="23">
        <v>54.715236050951923</v>
      </c>
      <c r="K60" s="18"/>
      <c r="N60" s="28">
        <f>[1]节奏总纲!N60</f>
        <v>67</v>
      </c>
      <c r="O60" s="23">
        <v>57</v>
      </c>
      <c r="P60" s="23">
        <f>[1]节奏总纲!P60</f>
        <v>50.984153366799077</v>
      </c>
      <c r="Q60" s="23">
        <f>[1]节奏总纲!Q60</f>
        <v>44.310327691085078</v>
      </c>
      <c r="R60" s="23">
        <f>[1]节奏总纲!R60</f>
        <v>36.316012443170983</v>
      </c>
      <c r="S60" s="23">
        <f>[1]节奏总纲!S60</f>
        <v>26.664712210835919</v>
      </c>
      <c r="T60" s="23">
        <f>[1]节奏总纲!T60</f>
        <v>14.815994968391813</v>
      </c>
      <c r="U60" s="29"/>
      <c r="V60" s="23">
        <v>57</v>
      </c>
      <c r="W60" s="23">
        <f>[1]节奏总纲!W60</f>
        <v>3.481223238466356</v>
      </c>
      <c r="X60" s="23">
        <f>[1]节奏总纲!X60</f>
        <v>3.0350317025767737</v>
      </c>
      <c r="Y60" s="23">
        <f>[1]节奏总纲!Y60</f>
        <v>2.4274220896184175</v>
      </c>
      <c r="Z60" s="23">
        <f>[1]节奏总纲!Z60</f>
        <v>1.7541756515382403</v>
      </c>
      <c r="AA60" s="23">
        <f>[1]节奏总纲!AA60</f>
        <v>0.97839142200849061</v>
      </c>
      <c r="AC60" s="23">
        <v>57</v>
      </c>
      <c r="AD60" s="23">
        <f>[1]节奏总纲!AD60</f>
        <v>58.571351621712921</v>
      </c>
      <c r="AE60" s="23">
        <f>[1]节奏总纲!AE60</f>
        <v>60.60152623127486</v>
      </c>
      <c r="AF60" s="23">
        <f>[1]节奏总纲!AF60</f>
        <v>63.421042351541736</v>
      </c>
      <c r="AG60" s="23">
        <f>[1]节奏总纲!AG60</f>
        <v>67.890992225532017</v>
      </c>
      <c r="AH60" s="23">
        <f>[1]节奏总纲!AH60</f>
        <v>76.344973133357612</v>
      </c>
      <c r="AZ60" s="23">
        <v>57</v>
      </c>
      <c r="BA60" s="23">
        <v>34.307705563947749</v>
      </c>
      <c r="BB60" s="23">
        <v>35.756329132943463</v>
      </c>
      <c r="BC60" s="23">
        <v>37.680472138177478</v>
      </c>
      <c r="BD60" s="23">
        <v>40.402090538761065</v>
      </c>
      <c r="BE60" s="23">
        <v>45.088151688727308</v>
      </c>
    </row>
    <row r="61" spans="6:57" x14ac:dyDescent="0.15">
      <c r="F61" s="23">
        <v>59</v>
      </c>
      <c r="G61" s="23">
        <v>58.714111458355703</v>
      </c>
      <c r="K61" s="18"/>
      <c r="N61" s="28">
        <f>[1]节奏总纲!N61</f>
        <v>68</v>
      </c>
      <c r="O61" s="23">
        <v>58</v>
      </c>
      <c r="P61" s="23">
        <f>[1]节奏总纲!P61</f>
        <v>54.715236050951923</v>
      </c>
      <c r="Q61" s="23">
        <f>[1]节奏总纲!Q61</f>
        <v>47.459995750595695</v>
      </c>
      <c r="R61" s="23">
        <f>[1]节奏总纲!R61</f>
        <v>38.913475879437009</v>
      </c>
      <c r="S61" s="23">
        <f>[1]节奏总纲!S61</f>
        <v>28.572296265807093</v>
      </c>
      <c r="T61" s="23">
        <f>[1]节奏总纲!T61</f>
        <v>15.856475407565867</v>
      </c>
      <c r="U61" s="29"/>
      <c r="V61" s="23">
        <v>58</v>
      </c>
      <c r="W61" s="23">
        <f>[1]节奏总纲!W61</f>
        <v>3.7310826841528453</v>
      </c>
      <c r="X61" s="23">
        <f>[1]节奏总纲!X61</f>
        <v>3.149668059510617</v>
      </c>
      <c r="Y61" s="23">
        <f>[1]节奏总纲!Y61</f>
        <v>2.5974634362660254</v>
      </c>
      <c r="Z61" s="23">
        <f>[1]节奏总纲!Z61</f>
        <v>1.9075840549711742</v>
      </c>
      <c r="AA61" s="23">
        <f>[1]节奏总纲!AA61</f>
        <v>1.0404804391740541</v>
      </c>
      <c r="AC61" s="23">
        <v>58</v>
      </c>
      <c r="AD61" s="23">
        <f>[1]节奏总纲!AD61</f>
        <v>58.821421928516813</v>
      </c>
      <c r="AE61" s="23">
        <f>[1]节奏总纲!AE61</f>
        <v>60.851070405211743</v>
      </c>
      <c r="AF61" s="23">
        <f>[1]节奏总纲!AF61</f>
        <v>63.665817066968295</v>
      </c>
      <c r="AG61" s="23">
        <f>[1]节奏总纲!AG61</f>
        <v>68.142437172458173</v>
      </c>
      <c r="AH61" s="23">
        <f>[1]节奏总纲!AH61</f>
        <v>76.60329874178116</v>
      </c>
      <c r="AZ61" s="23">
        <v>58</v>
      </c>
      <c r="BA61" s="23">
        <v>34.41421240026348</v>
      </c>
      <c r="BB61" s="23">
        <v>35.878317702773053</v>
      </c>
      <c r="BC61" s="23">
        <v>37.801476926273359</v>
      </c>
      <c r="BD61" s="23">
        <v>40.518638521010644</v>
      </c>
      <c r="BE61" s="23">
        <v>45.199736104837825</v>
      </c>
    </row>
    <row r="62" spans="6:57" x14ac:dyDescent="0.15">
      <c r="F62" s="23">
        <v>60</v>
      </c>
      <c r="G62" s="23">
        <v>63</v>
      </c>
      <c r="K62" s="18"/>
      <c r="N62" s="28">
        <f>[1]节奏总纲!N62</f>
        <v>69</v>
      </c>
      <c r="O62" s="23">
        <v>59</v>
      </c>
      <c r="P62" s="23">
        <f>[1]节奏总纲!P62</f>
        <v>58.714111458355703</v>
      </c>
      <c r="Q62" s="23">
        <f>[1]节奏总纲!Q62</f>
        <v>50.940363101269412</v>
      </c>
      <c r="R62" s="23">
        <f>[1]节奏总纲!R62</f>
        <v>41.728119013453394</v>
      </c>
      <c r="S62" s="23">
        <f>[1]节奏总纲!S62</f>
        <v>30.607666303240826</v>
      </c>
      <c r="T62" s="23">
        <f>[1]节奏总纲!T62</f>
        <v>17.003606678339814</v>
      </c>
      <c r="U62" s="29"/>
      <c r="V62" s="23">
        <v>59</v>
      </c>
      <c r="W62" s="23">
        <f>[1]节奏总纲!W62</f>
        <v>3.99887540740378</v>
      </c>
      <c r="X62" s="23">
        <f>[1]节奏总纲!X62</f>
        <v>3.4803673506737169</v>
      </c>
      <c r="Y62" s="23">
        <f>[1]节奏总纲!Y62</f>
        <v>2.8146431340163858</v>
      </c>
      <c r="Z62" s="23">
        <f>[1]节奏总纲!Z62</f>
        <v>2.0353700374337329</v>
      </c>
      <c r="AA62" s="23">
        <f>[1]节奏总纲!AA62</f>
        <v>1.1471312707739472</v>
      </c>
      <c r="AC62" s="23">
        <v>59</v>
      </c>
      <c r="AD62" s="23">
        <f>[1]节奏总纲!AD62</f>
        <v>59.066704614192936</v>
      </c>
      <c r="AE62" s="23">
        <f>[1]节奏总纲!AE62</f>
        <v>61.094954819415335</v>
      </c>
      <c r="AF62" s="23">
        <f>[1]节奏总纲!AF62</f>
        <v>63.91059178239486</v>
      </c>
      <c r="AG62" s="23">
        <f>[1]节奏总纲!AG62</f>
        <v>68.385008299388929</v>
      </c>
      <c r="AH62" s="23">
        <f>[1]节奏总纲!AH62</f>
        <v>76.861624350204693</v>
      </c>
      <c r="AZ62" s="23">
        <v>59</v>
      </c>
      <c r="BA62" s="23">
        <v>34.520719236579211</v>
      </c>
      <c r="BB62" s="23">
        <v>36.000264155774609</v>
      </c>
      <c r="BC62" s="23">
        <v>37.922481714369241</v>
      </c>
      <c r="BD62" s="23">
        <v>40.635186503260229</v>
      </c>
      <c r="BE62" s="23">
        <v>45.31132052094835</v>
      </c>
    </row>
    <row r="63" spans="6:57" x14ac:dyDescent="0.15">
      <c r="F63" s="23">
        <v>61</v>
      </c>
      <c r="G63" s="23">
        <v>67.593501602322732</v>
      </c>
      <c r="N63" s="28">
        <f>[1]节奏总纲!N63</f>
        <v>70</v>
      </c>
      <c r="O63" s="23">
        <v>60</v>
      </c>
      <c r="P63" s="23">
        <f>[1]节奏总纲!P63</f>
        <v>63</v>
      </c>
      <c r="Q63" s="23">
        <f>[1]节奏总纲!Q63</f>
        <v>54.589500000000001</v>
      </c>
      <c r="R63" s="23">
        <f>[1]节奏总纲!R63</f>
        <v>44.717399999999998</v>
      </c>
      <c r="S63" s="23">
        <f>[1]节奏总纲!S63</f>
        <v>32.810400000000001</v>
      </c>
      <c r="T63" s="23">
        <f>[1]节奏总纲!T63</f>
        <v>18.276300000000003</v>
      </c>
      <c r="U63" s="29"/>
      <c r="V63" s="23">
        <v>60</v>
      </c>
      <c r="W63" s="23">
        <f>[1]节奏总纲!W63</f>
        <v>4.2858885416442973</v>
      </c>
      <c r="X63" s="23">
        <f>[1]节奏总纲!X63</f>
        <v>3.649136898730589</v>
      </c>
      <c r="Y63" s="23">
        <f>[1]节奏总纲!Y63</f>
        <v>2.9892809865466035</v>
      </c>
      <c r="Z63" s="23">
        <f>[1]节奏总纲!Z63</f>
        <v>2.2027336967591751</v>
      </c>
      <c r="AA63" s="23">
        <f>[1]节奏总纲!AA63</f>
        <v>1.2726933216601886</v>
      </c>
      <c r="AC63" s="23">
        <v>60</v>
      </c>
      <c r="AD63" s="23">
        <f>[1]节奏总纲!AD63</f>
        <v>59.300028460644697</v>
      </c>
      <c r="AE63" s="23">
        <f>[1]节奏总纲!AE63</f>
        <v>61.330461663183208</v>
      </c>
      <c r="AF63" s="23">
        <f>[1]节奏总纲!AF63</f>
        <v>64.14304723627319</v>
      </c>
      <c r="AG63" s="23">
        <f>[1]节奏总纲!AG63</f>
        <v>68.627579426319684</v>
      </c>
      <c r="AH63" s="23">
        <f>[1]节奏总纲!AH63</f>
        <v>77.112805903056142</v>
      </c>
      <c r="AZ63" s="23">
        <v>60</v>
      </c>
      <c r="BA63" s="23">
        <v>34.627226072894942</v>
      </c>
      <c r="BB63" s="23">
        <v>36.105477566569242</v>
      </c>
      <c r="BC63" s="23">
        <v>38.037513426486328</v>
      </c>
      <c r="BD63" s="23">
        <v>40.751734485509814</v>
      </c>
      <c r="BE63" s="23">
        <v>45.422904937058867</v>
      </c>
    </row>
    <row r="64" spans="6:57" x14ac:dyDescent="0.15">
      <c r="F64" s="23">
        <v>62</v>
      </c>
      <c r="G64" s="23">
        <v>72.516694719810218</v>
      </c>
      <c r="N64" s="28">
        <f>[1]节奏总纲!N64</f>
        <v>71</v>
      </c>
      <c r="O64" s="23">
        <v>61</v>
      </c>
      <c r="P64" s="23">
        <f>[1]节奏总纲!P64</f>
        <v>67.593501602322732</v>
      </c>
      <c r="Q64" s="23">
        <f>[1]节奏总纲!Q64</f>
        <v>58.596806539053574</v>
      </c>
      <c r="R64" s="23">
        <f>[1]节奏总纲!R64</f>
        <v>47.977867437328676</v>
      </c>
      <c r="S64" s="23">
        <f>[1]节奏总纲!S64</f>
        <v>35.229733035130607</v>
      </c>
      <c r="T64" s="23">
        <f>[1]节奏总纲!T64</f>
        <v>19.602115464673592</v>
      </c>
      <c r="U64" s="29"/>
      <c r="V64" s="23">
        <v>61</v>
      </c>
      <c r="W64" s="23">
        <f>[1]节奏总纲!W64</f>
        <v>4.593501602322732</v>
      </c>
      <c r="X64" s="23">
        <f>[1]节奏总纲!X64</f>
        <v>4.0073065390535731</v>
      </c>
      <c r="Y64" s="23">
        <f>[1]节奏总纲!Y64</f>
        <v>3.2604674373286784</v>
      </c>
      <c r="Z64" s="23">
        <f>[1]节奏总纲!Z64</f>
        <v>2.4193330351306059</v>
      </c>
      <c r="AA64" s="23">
        <f>[1]节奏总纲!AA64</f>
        <v>1.3258154646735889</v>
      </c>
      <c r="AC64" s="23">
        <v>61</v>
      </c>
      <c r="AD64" s="23">
        <f>[1]节奏总纲!AD64</f>
        <v>59.533352307096465</v>
      </c>
      <c r="AE64" s="23">
        <f>[1]节奏总纲!AE64</f>
        <v>61.56596850695108</v>
      </c>
      <c r="AF64" s="23">
        <f>[1]节奏总纲!AF64</f>
        <v>64.368413367596901</v>
      </c>
      <c r="AG64" s="23">
        <f>[1]节奏总纲!AG64</f>
        <v>68.870150553250454</v>
      </c>
      <c r="AH64" s="23">
        <f>[1]节奏总纲!AH64</f>
        <v>77.355745991356301</v>
      </c>
      <c r="AZ64" s="23">
        <v>61</v>
      </c>
      <c r="BA64" s="23">
        <v>34.733732909210673</v>
      </c>
      <c r="BB64" s="23">
        <v>36.210690977363875</v>
      </c>
      <c r="BC64" s="23">
        <v>38.14189763688286</v>
      </c>
      <c r="BD64" s="23">
        <v>40.8682824677594</v>
      </c>
      <c r="BE64" s="23">
        <v>45.534489353169384</v>
      </c>
    </row>
    <row r="65" spans="6:57" x14ac:dyDescent="0.15">
      <c r="F65" s="23">
        <v>63</v>
      </c>
      <c r="G65" s="23">
        <v>77.793242454074615</v>
      </c>
      <c r="N65" s="28">
        <f>[1]节奏总纲!N65</f>
        <v>72</v>
      </c>
      <c r="O65" s="23">
        <v>62</v>
      </c>
      <c r="P65" s="23">
        <f>[1]节奏总纲!P65</f>
        <v>72.516694719810218</v>
      </c>
      <c r="Q65" s="23">
        <f>[1]节奏总纲!Q65</f>
        <v>62.842967644187539</v>
      </c>
      <c r="R65" s="23">
        <f>[1]节奏总纲!R65</f>
        <v>51.5086082594812</v>
      </c>
      <c r="S65" s="23">
        <f>[1]节奏总纲!S65</f>
        <v>37.846462974268952</v>
      </c>
      <c r="T65" s="23">
        <f>[1]节奏总纲!T65</f>
        <v>21.124113171880715</v>
      </c>
      <c r="U65" s="29"/>
      <c r="V65" s="23">
        <v>62</v>
      </c>
      <c r="W65" s="23">
        <f>[1]节奏总纲!W65</f>
        <v>4.9231931174874859</v>
      </c>
      <c r="X65" s="23">
        <f>[1]节奏总纲!X65</f>
        <v>4.2461611051339645</v>
      </c>
      <c r="Y65" s="23">
        <f>[1]节奏总纲!Y65</f>
        <v>3.5307408221525236</v>
      </c>
      <c r="Z65" s="23">
        <f>[1]节奏总纲!Z65</f>
        <v>2.6167299391383452</v>
      </c>
      <c r="AA65" s="23">
        <f>[1]节奏总纲!AA65</f>
        <v>1.5219977072071238</v>
      </c>
      <c r="AC65" s="23">
        <v>62</v>
      </c>
      <c r="AD65" s="23">
        <f>[1]节奏总纲!AD65</f>
        <v>59.766676153548232</v>
      </c>
      <c r="AE65" s="23">
        <f>[1]节奏总纲!AE65</f>
        <v>61.801475350718952</v>
      </c>
      <c r="AF65" s="23">
        <f>[1]节奏总纲!AF65</f>
        <v>64.593779498920611</v>
      </c>
      <c r="AG65" s="23">
        <f>[1]节奏总纲!AG65</f>
        <v>69.105843627521551</v>
      </c>
      <c r="AH65" s="23">
        <f>[1]节奏总纲!AH65</f>
        <v>77.59868607965646</v>
      </c>
      <c r="AZ65" s="23">
        <v>62</v>
      </c>
      <c r="BA65" s="23">
        <v>34.840239745526404</v>
      </c>
      <c r="BB65" s="23">
        <v>36.315904388158508</v>
      </c>
      <c r="BC65" s="23">
        <v>38.246281847279398</v>
      </c>
      <c r="BD65" s="23">
        <v>40.984830450008978</v>
      </c>
      <c r="BE65" s="23">
        <v>45.646073769279901</v>
      </c>
    </row>
    <row r="66" spans="6:57" x14ac:dyDescent="0.15">
      <c r="F66" s="23">
        <v>64</v>
      </c>
      <c r="G66" s="23">
        <v>83.4485062894652</v>
      </c>
      <c r="N66" s="28">
        <f>[1]节奏总纲!N66</f>
        <v>73</v>
      </c>
      <c r="O66" s="23">
        <v>63</v>
      </c>
      <c r="P66" s="23">
        <f>[1]节奏总纲!P66</f>
        <v>77.793242454074615</v>
      </c>
      <c r="Q66" s="23">
        <f>[1]节奏总纲!Q66</f>
        <v>67.470079180418907</v>
      </c>
      <c r="R66" s="23">
        <f>[1]节奏总纲!R66</f>
        <v>55.27987808786542</v>
      </c>
      <c r="S66" s="23">
        <f>[1]节奏总纲!S66</f>
        <v>40.678086479235617</v>
      </c>
      <c r="T66" s="23">
        <f>[1]节奏总纲!T66</f>
        <v>22.700068148098975</v>
      </c>
      <c r="U66" s="29"/>
      <c r="V66" s="23">
        <v>63</v>
      </c>
      <c r="W66" s="23">
        <f>[1]节奏总纲!W66</f>
        <v>5.2765477342643976</v>
      </c>
      <c r="X66" s="23">
        <f>[1]节奏总纲!X66</f>
        <v>4.6271115362313679</v>
      </c>
      <c r="Y66" s="23">
        <f>[1]节奏总纲!Y66</f>
        <v>3.7712698283842201</v>
      </c>
      <c r="Z66" s="23">
        <f>[1]节奏总纲!Z66</f>
        <v>2.8316235049666645</v>
      </c>
      <c r="AA66" s="23">
        <f>[1]节奏总纲!AA66</f>
        <v>1.5759549762182594</v>
      </c>
      <c r="AC66" s="23">
        <v>63</v>
      </c>
      <c r="AD66" s="23">
        <f>[1]节奏总纲!AD66</f>
        <v>60</v>
      </c>
      <c r="AE66" s="23">
        <f>[1]节奏总纲!AE66</f>
        <v>62.033937447710706</v>
      </c>
      <c r="AF66" s="23">
        <f>[1]节奏总纲!AF66</f>
        <v>64.819145630244321</v>
      </c>
      <c r="AG66" s="23">
        <f>[1]节奏总纲!AG66</f>
        <v>69.333613546893503</v>
      </c>
      <c r="AH66" s="23">
        <f>[1]节奏总纲!AH66</f>
        <v>77.841626167956619</v>
      </c>
      <c r="AZ66" s="23">
        <v>63</v>
      </c>
      <c r="BA66" s="23">
        <v>34.946746581842135</v>
      </c>
      <c r="BB66" s="23">
        <v>36.421117798953141</v>
      </c>
      <c r="BC66" s="23">
        <v>38.35066605767593</v>
      </c>
      <c r="BD66" s="23">
        <v>41.087476216725996</v>
      </c>
      <c r="BE66" s="23">
        <v>45.757658185390426</v>
      </c>
    </row>
    <row r="67" spans="6:57" x14ac:dyDescent="0.15">
      <c r="F67" s="23">
        <v>65</v>
      </c>
      <c r="G67" s="23">
        <v>89.509667991878061</v>
      </c>
      <c r="N67" s="28">
        <f>[1]节奏总纲!N67</f>
        <v>74</v>
      </c>
      <c r="O67" s="23">
        <v>64</v>
      </c>
      <c r="P67" s="23">
        <f>[1]节奏总纲!P67</f>
        <v>83.4485062894652</v>
      </c>
      <c r="Q67" s="23">
        <f>[1]节奏总纲!Q67</f>
        <v>72.399924056740005</v>
      </c>
      <c r="R67" s="23">
        <f>[1]节奏总纲!R67</f>
        <v>59.365267374325548</v>
      </c>
      <c r="S67" s="23">
        <f>[1]节奏总纲!S67</f>
        <v>43.718672445050821</v>
      </c>
      <c r="T67" s="23">
        <f>[1]节奏总纲!T67</f>
        <v>24.341929284637001</v>
      </c>
      <c r="U67" s="29"/>
      <c r="V67" s="23">
        <v>64</v>
      </c>
      <c r="W67" s="23">
        <f>[1]节奏总纲!W67</f>
        <v>5.6552638353905849</v>
      </c>
      <c r="X67" s="23">
        <f>[1]节奏总纲!X67</f>
        <v>4.9298448763210985</v>
      </c>
      <c r="Y67" s="23">
        <f>[1]节奏总纲!Y67</f>
        <v>4.0853892864601278</v>
      </c>
      <c r="Z67" s="23">
        <f>[1]节奏总纲!Z67</f>
        <v>3.0405859658152039</v>
      </c>
      <c r="AA67" s="23">
        <f>[1]节奏总纲!AA67</f>
        <v>1.6418611365380258</v>
      </c>
      <c r="AC67" s="23">
        <v>64</v>
      </c>
      <c r="AD67" s="23">
        <f>[1]节奏总纲!AD67</f>
        <v>60.217698846451768</v>
      </c>
      <c r="AE67" s="23">
        <f>[1]节奏总纲!AE67</f>
        <v>62.250054995811666</v>
      </c>
      <c r="AF67" s="23">
        <f>[1]节奏总纲!AF67</f>
        <v>65.042129882798193</v>
      </c>
      <c r="AG67" s="23">
        <f>[1]节奏总纲!AG67</f>
        <v>69.56138346626544</v>
      </c>
      <c r="AH67" s="23">
        <f>[1]节奏总纲!AH67</f>
        <v>78.077870469399883</v>
      </c>
      <c r="AZ67" s="23">
        <v>64</v>
      </c>
      <c r="BA67" s="23">
        <v>35.048795427931836</v>
      </c>
      <c r="BB67" s="23">
        <v>36.526331209747774</v>
      </c>
      <c r="BC67" s="23">
        <v>38.455050268072462</v>
      </c>
      <c r="BD67" s="23">
        <v>41.188041754455355</v>
      </c>
      <c r="BE67" s="23">
        <v>45.869242601500943</v>
      </c>
    </row>
    <row r="68" spans="6:57" x14ac:dyDescent="0.15">
      <c r="F68" s="23">
        <v>66</v>
      </c>
      <c r="G68" s="23">
        <v>96.005860256665443</v>
      </c>
      <c r="N68" s="28">
        <f>[1]节奏总纲!N68</f>
        <v>75</v>
      </c>
      <c r="O68" s="23">
        <v>65</v>
      </c>
      <c r="P68" s="23">
        <f>[1]节奏总纲!P68</f>
        <v>89.509667991878061</v>
      </c>
      <c r="Q68" s="23">
        <f>[1]节奏总纲!Q68</f>
        <v>77.64963698295422</v>
      </c>
      <c r="R68" s="23">
        <f>[1]节奏总纲!R68</f>
        <v>63.802491344610679</v>
      </c>
      <c r="S68" s="23">
        <f>[1]节奏总纲!S68</f>
        <v>46.929918928141667</v>
      </c>
      <c r="T68" s="23">
        <f>[1]节奏总纲!T68</f>
        <v>25.993607584841389</v>
      </c>
      <c r="U68" s="29"/>
      <c r="V68" s="23">
        <v>65</v>
      </c>
      <c r="W68" s="23">
        <f>[1]节奏总纲!W68</f>
        <v>6.0611617024128606</v>
      </c>
      <c r="X68" s="23">
        <f>[1]节奏总纲!X68</f>
        <v>5.2497129262142153</v>
      </c>
      <c r="Y68" s="23">
        <f>[1]节奏总纲!Y68</f>
        <v>4.4372239702851317</v>
      </c>
      <c r="Z68" s="23">
        <f>[1]节奏总纲!Z68</f>
        <v>3.2112464830908465</v>
      </c>
      <c r="AA68" s="23">
        <f>[1]节奏总纲!AA68</f>
        <v>1.651678300204388</v>
      </c>
      <c r="AC68" s="23">
        <v>65</v>
      </c>
      <c r="AD68" s="23">
        <f>[1]节奏总纲!AD68</f>
        <v>60.435397692903535</v>
      </c>
      <c r="AE68" s="23">
        <f>[1]节奏总纲!AE68</f>
        <v>62.466172543912634</v>
      </c>
      <c r="AF68" s="23">
        <f>[1]节奏总纲!AF68</f>
        <v>65.255436396961542</v>
      </c>
      <c r="AG68" s="23">
        <f>[1]节奏总纲!AG68</f>
        <v>69.789153385637391</v>
      </c>
      <c r="AH68" s="23">
        <f>[1]节奏总纲!AH68</f>
        <v>78.301575047908599</v>
      </c>
      <c r="AZ68" s="23">
        <v>65</v>
      </c>
      <c r="BA68" s="23">
        <v>35.146386283795508</v>
      </c>
      <c r="BB68" s="23">
        <v>36.631544620542407</v>
      </c>
      <c r="BC68" s="23">
        <v>38.559434478468994</v>
      </c>
      <c r="BD68" s="23">
        <v>41.288607292184714</v>
      </c>
      <c r="BE68" s="23">
        <v>45.98082701761146</v>
      </c>
    </row>
    <row r="69" spans="6:57" x14ac:dyDescent="0.15">
      <c r="F69" s="23">
        <v>67</v>
      </c>
      <c r="G69" s="23">
        <v>102.96830673359811</v>
      </c>
      <c r="N69" s="28">
        <f>[1]节奏总纲!N69</f>
        <v>76</v>
      </c>
      <c r="O69" s="23">
        <v>66</v>
      </c>
      <c r="P69" s="23">
        <f>[1]节奏总纲!P69</f>
        <v>96.005860256665443</v>
      </c>
      <c r="Q69" s="23">
        <f>[1]节奏总纲!Q69</f>
        <v>83.352287874836932</v>
      </c>
      <c r="R69" s="23">
        <f>[1]节奏总纲!R69</f>
        <v>68.490580707105124</v>
      </c>
      <c r="S69" s="23">
        <f>[1]节奏总纲!S69</f>
        <v>50.163061984107692</v>
      </c>
      <c r="T69" s="23">
        <f>[1]节奏总纲!T69</f>
        <v>27.851300060458648</v>
      </c>
      <c r="U69" s="29"/>
      <c r="V69" s="23">
        <v>66</v>
      </c>
      <c r="W69" s="23">
        <f>[1]节奏总纲!W69</f>
        <v>6.496192264787382</v>
      </c>
      <c r="X69" s="23">
        <f>[1]节奏总纲!X69</f>
        <v>5.7026508918827119</v>
      </c>
      <c r="Y69" s="23">
        <f>[1]节奏总纲!Y69</f>
        <v>4.6880893624944449</v>
      </c>
      <c r="Z69" s="23">
        <f>[1]节奏总纲!Z69</f>
        <v>3.2331430559660248</v>
      </c>
      <c r="AA69" s="23">
        <f>[1]节奏总纲!AA69</f>
        <v>1.8576924756172595</v>
      </c>
      <c r="AC69" s="23">
        <v>66</v>
      </c>
      <c r="AD69" s="23">
        <f>[1]节奏总纲!AD69</f>
        <v>60.653096539355303</v>
      </c>
      <c r="AE69" s="23">
        <f>[1]节奏总纲!AE69</f>
        <v>62.682290092013595</v>
      </c>
      <c r="AF69" s="23">
        <f>[1]节奏总纲!AF69</f>
        <v>65.468742911124906</v>
      </c>
      <c r="AG69" s="23">
        <f>[1]节奏总纲!AG69</f>
        <v>70.015851474333999</v>
      </c>
      <c r="AH69" s="23">
        <f>[1]节奏总纲!AH69</f>
        <v>78.525279626417301</v>
      </c>
      <c r="AZ69" s="23">
        <v>66</v>
      </c>
      <c r="BA69" s="23">
        <v>35.243977139659179</v>
      </c>
      <c r="BB69" s="23">
        <v>36.73675803133704</v>
      </c>
      <c r="BC69" s="23">
        <v>38.663818688865533</v>
      </c>
      <c r="BD69" s="23">
        <v>41.389172829914081</v>
      </c>
      <c r="BE69" s="23">
        <v>46.079770001861057</v>
      </c>
    </row>
    <row r="70" spans="6:57" x14ac:dyDescent="0.15">
      <c r="F70" s="23">
        <v>68</v>
      </c>
      <c r="G70" s="23">
        <v>110.43047210190386</v>
      </c>
      <c r="N70" s="28">
        <f>[1]节奏总纲!N70</f>
        <v>77</v>
      </c>
      <c r="O70" s="23">
        <v>67</v>
      </c>
      <c r="P70" s="23">
        <f>[1]节奏总纲!P70</f>
        <v>102.96830673359811</v>
      </c>
      <c r="Q70" s="23">
        <f>[1]节奏总纲!Q70</f>
        <v>89.469161720823394</v>
      </c>
      <c r="R70" s="23">
        <f>[1]节奏总纲!R70</f>
        <v>73.292840732975137</v>
      </c>
      <c r="S70" s="23">
        <f>[1]节奏总纲!S70</f>
        <v>53.625894146857902</v>
      </c>
      <c r="T70" s="23">
        <f>[1]节奏总纲!T70</f>
        <v>29.799027968703292</v>
      </c>
      <c r="U70" s="29"/>
      <c r="V70" s="23">
        <v>67</v>
      </c>
      <c r="W70" s="23">
        <f>[1]节奏总纲!W70</f>
        <v>6.9624464769326693</v>
      </c>
      <c r="X70" s="23">
        <f>[1]节奏总纲!X70</f>
        <v>6.1168738459864613</v>
      </c>
      <c r="Y70" s="23">
        <f>[1]节奏总纲!Y70</f>
        <v>4.8022600258700123</v>
      </c>
      <c r="Z70" s="23">
        <f>[1]节奏总纲!Z70</f>
        <v>3.4628321627502103</v>
      </c>
      <c r="AA70" s="23">
        <f>[1]节奏总纲!AA70</f>
        <v>1.9477279082446444</v>
      </c>
      <c r="AC70" s="23">
        <v>67</v>
      </c>
      <c r="AD70" s="23">
        <f>[1]节奏总纲!AD70</f>
        <v>60.870795385807064</v>
      </c>
      <c r="AE70" s="23">
        <f>[1]节奏总纲!AE70</f>
        <v>62.898407640114556</v>
      </c>
      <c r="AF70" s="23">
        <f>[1]节奏总纲!AF70</f>
        <v>65.682049425288255</v>
      </c>
      <c r="AG70" s="23">
        <f>[1]节奏总纲!AG70</f>
        <v>70.229195678021767</v>
      </c>
      <c r="AH70" s="23">
        <f>[1]节奏总纲!AH70</f>
        <v>78.748984204926018</v>
      </c>
      <c r="AZ70" s="23">
        <v>67</v>
      </c>
      <c r="BA70" s="23">
        <v>35.341567995522851</v>
      </c>
      <c r="BB70" s="23">
        <v>36.841971442131673</v>
      </c>
      <c r="BC70" s="23">
        <v>38.768202899262064</v>
      </c>
      <c r="BD70" s="23">
        <v>41.48973836764344</v>
      </c>
      <c r="BE70" s="23">
        <v>46.176090215954694</v>
      </c>
    </row>
    <row r="71" spans="6:57" x14ac:dyDescent="0.15">
      <c r="F71" s="23">
        <v>69</v>
      </c>
      <c r="G71" s="23">
        <v>118.42822291671132</v>
      </c>
      <c r="N71" s="28">
        <f>[1]节奏总纲!N71</f>
        <v>78</v>
      </c>
      <c r="O71" s="23">
        <v>68</v>
      </c>
      <c r="P71" s="23">
        <f>[1]节奏总纲!P71</f>
        <v>110.43047210190386</v>
      </c>
      <c r="Q71" s="23">
        <f>[1]节奏总纲!Q71</f>
        <v>95.831563690032169</v>
      </c>
      <c r="R71" s="23">
        <f>[1]节奏总纲!R71</f>
        <v>78.251032531409081</v>
      </c>
      <c r="S71" s="23">
        <f>[1]节奏总纲!S71</f>
        <v>57.412802445779818</v>
      </c>
      <c r="T71" s="23">
        <f>[1]节奏总纲!T71</f>
        <v>31.859191201399263</v>
      </c>
      <c r="U71" s="29"/>
      <c r="V71" s="23">
        <v>68</v>
      </c>
      <c r="W71" s="23">
        <f>[1]节奏总纲!W71</f>
        <v>7.4621653683057474</v>
      </c>
      <c r="X71" s="23">
        <f>[1]节奏总纲!X71</f>
        <v>6.3624019692087757</v>
      </c>
      <c r="Y71" s="23">
        <f>[1]节奏总纲!Y71</f>
        <v>4.9581917984339441</v>
      </c>
      <c r="Z71" s="23">
        <f>[1]节奏总纲!Z71</f>
        <v>3.7869082989219152</v>
      </c>
      <c r="AA71" s="23">
        <f>[1]节奏总纲!AA71</f>
        <v>2.0601632326959702</v>
      </c>
      <c r="AC71" s="23">
        <v>68</v>
      </c>
      <c r="AD71" s="23">
        <f>[1]节奏总纲!AD71</f>
        <v>61.082568038258209</v>
      </c>
      <c r="AE71" s="23">
        <f>[1]节奏总纲!AE71</f>
        <v>63.107492392331935</v>
      </c>
      <c r="AF71" s="23">
        <f>[1]节奏总纲!AF71</f>
        <v>65.895355939451605</v>
      </c>
      <c r="AG71" s="23">
        <f>[1]节奏总纲!AG71</f>
        <v>70.442539881709536</v>
      </c>
      <c r="AH71" s="23">
        <f>[1]节奏总纲!AH71</f>
        <v>78.972688783434734</v>
      </c>
      <c r="AZ71" s="23">
        <v>68</v>
      </c>
      <c r="BA71" s="23">
        <v>35.439158851386523</v>
      </c>
      <c r="BB71" s="23">
        <v>36.947184852926306</v>
      </c>
      <c r="BC71" s="23">
        <v>38.872587109658596</v>
      </c>
      <c r="BD71" s="23">
        <v>41.590303905372799</v>
      </c>
      <c r="BE71" s="23">
        <v>46.272410430048332</v>
      </c>
    </row>
    <row r="72" spans="6:57" x14ac:dyDescent="0.15">
      <c r="F72" s="23">
        <v>70</v>
      </c>
      <c r="G72" s="23">
        <v>127</v>
      </c>
      <c r="N72" s="28">
        <f>[1]节奏总纲!N72</f>
        <v>79</v>
      </c>
      <c r="O72" s="23">
        <v>69</v>
      </c>
      <c r="P72" s="23">
        <f>[1]节奏总纲!P72</f>
        <v>118.42822291671132</v>
      </c>
      <c r="Q72" s="23">
        <f>[1]节奏总纲!Q72</f>
        <v>102.51146975670532</v>
      </c>
      <c r="R72" s="23">
        <f>[1]节奏总纲!R72</f>
        <v>83.894553114198303</v>
      </c>
      <c r="S72" s="23">
        <f>[1]节奏总纲!S72</f>
        <v>61.535304627523196</v>
      </c>
      <c r="T72" s="23">
        <f>[1]节奏总纲!T72</f>
        <v>34.059956910846175</v>
      </c>
      <c r="U72" s="29"/>
      <c r="V72" s="23">
        <v>69</v>
      </c>
      <c r="W72" s="23">
        <f>[1]节奏总纲!W72</f>
        <v>7.9977508148074605</v>
      </c>
      <c r="X72" s="23">
        <f>[1]节奏总纲!X72</f>
        <v>6.6799060666731549</v>
      </c>
      <c r="Y72" s="23">
        <f>[1]节奏总纲!Y72</f>
        <v>5.6435205827892219</v>
      </c>
      <c r="Z72" s="23">
        <f>[1]节奏总纲!Z72</f>
        <v>4.1225021817433785</v>
      </c>
      <c r="AA72" s="23">
        <f>[1]节奏总纲!AA72</f>
        <v>2.2007657094469124</v>
      </c>
      <c r="AC72" s="23">
        <v>69</v>
      </c>
      <c r="AD72" s="23">
        <f>[1]节奏总纲!AD72</f>
        <v>61.285688244217212</v>
      </c>
      <c r="AE72" s="23">
        <f>[1]节奏总纲!AE72</f>
        <v>63.310338531528565</v>
      </c>
      <c r="AF72" s="23">
        <f>[1]节奏总纲!AF72</f>
        <v>66.106079073217742</v>
      </c>
      <c r="AG72" s="23">
        <f>[1]节奏总纲!AG72</f>
        <v>70.655884085397304</v>
      </c>
      <c r="AH72" s="23">
        <f>[1]节奏总纲!AH72</f>
        <v>79.188599387584361</v>
      </c>
      <c r="AZ72" s="23">
        <v>69</v>
      </c>
      <c r="BA72" s="23">
        <v>35.536749707250202</v>
      </c>
      <c r="BB72" s="23">
        <v>37.045197000674086</v>
      </c>
      <c r="BC72" s="23">
        <v>38.976971320055128</v>
      </c>
      <c r="BD72" s="23">
        <v>41.690869443102159</v>
      </c>
      <c r="BE72" s="23">
        <v>46.368730644141969</v>
      </c>
    </row>
    <row r="73" spans="6:57" x14ac:dyDescent="0.15">
      <c r="F73" s="23">
        <v>71</v>
      </c>
      <c r="G73" s="23">
        <v>136.18700320464549</v>
      </c>
      <c r="N73" s="28">
        <f>[1]节奏总纲!N73</f>
        <v>80</v>
      </c>
      <c r="O73" s="23">
        <v>70</v>
      </c>
      <c r="P73" s="23">
        <f>[1]节奏总纲!P73</f>
        <v>127</v>
      </c>
      <c r="Q73" s="23">
        <f>[1]节奏总纲!Q73</f>
        <v>109.9693</v>
      </c>
      <c r="R73" s="23">
        <f>[1]节奏总纲!R73</f>
        <v>90.106499999999997</v>
      </c>
      <c r="S73" s="23">
        <f>[1]节奏总纲!S73</f>
        <v>65.925700000000006</v>
      </c>
      <c r="T73" s="23">
        <f>[1]节奏总纲!T73</f>
        <v>36.4998</v>
      </c>
      <c r="U73" s="29"/>
      <c r="V73" s="23">
        <v>70</v>
      </c>
      <c r="W73" s="23">
        <f>[1]节奏总纲!W73</f>
        <v>8.5717770832886799</v>
      </c>
      <c r="X73" s="23">
        <f>[1]节奏总纲!X73</f>
        <v>7.4578302432946799</v>
      </c>
      <c r="Y73" s="23">
        <f>[1]节奏总纲!Y73</f>
        <v>6.2119468858016944</v>
      </c>
      <c r="Z73" s="23">
        <f>[1]节奏总纲!Z73</f>
        <v>4.3903953724768101</v>
      </c>
      <c r="AA73" s="23">
        <f>[1]节奏总纲!AA73</f>
        <v>2.4398430891538254</v>
      </c>
      <c r="AC73" s="23">
        <v>70</v>
      </c>
      <c r="AD73" s="23">
        <f>[1]节奏总纲!AD73</f>
        <v>61.488808450176215</v>
      </c>
      <c r="AE73" s="23">
        <f>[1]节奏总纲!AE73</f>
        <v>63.513184670725188</v>
      </c>
      <c r="AF73" s="23">
        <f>[1]节奏总纲!AF73</f>
        <v>66.314314361313961</v>
      </c>
      <c r="AG73" s="23">
        <f>[1]节奏总纲!AG73</f>
        <v>70.869228289085072</v>
      </c>
      <c r="AH73" s="23">
        <f>[1]节奏总纲!AH73</f>
        <v>79.403426131671111</v>
      </c>
      <c r="AZ73" s="23">
        <v>70</v>
      </c>
      <c r="BA73" s="23">
        <v>35.634340563113874</v>
      </c>
      <c r="BB73" s="23">
        <v>37.135950591746003</v>
      </c>
      <c r="BC73" s="23">
        <v>39.070187171981765</v>
      </c>
      <c r="BD73" s="23">
        <v>41.791434980831518</v>
      </c>
      <c r="BE73" s="23">
        <v>46.465050858235607</v>
      </c>
    </row>
    <row r="74" spans="6:57" x14ac:dyDescent="0.15">
      <c r="F74" s="23">
        <v>72</v>
      </c>
      <c r="G74" s="23">
        <v>146.03338943962044</v>
      </c>
      <c r="N74" s="28">
        <f>[1]节奏总纲!N74</f>
        <v>81</v>
      </c>
      <c r="O74" s="23">
        <v>71</v>
      </c>
      <c r="P74" s="23">
        <f>[1]节奏总纲!P74</f>
        <v>136.18700320464549</v>
      </c>
      <c r="Q74" s="23">
        <f>[1]节奏总纲!Q74</f>
        <v>118.03327567746625</v>
      </c>
      <c r="R74" s="23">
        <f>[1]节奏总纲!R74</f>
        <v>96.583822672734584</v>
      </c>
      <c r="S74" s="23">
        <f>[1]节奏总纲!S74</f>
        <v>70.612961161608681</v>
      </c>
      <c r="T74" s="23">
        <f>[1]节奏总纲!T74</f>
        <v>39.126526020694648</v>
      </c>
      <c r="U74" s="29"/>
      <c r="V74" s="23">
        <v>71</v>
      </c>
      <c r="W74" s="23">
        <f>[1]节奏总纲!W74</f>
        <v>9.1870032046454924</v>
      </c>
      <c r="X74" s="23">
        <f>[1]节奏总纲!X74</f>
        <v>8.0639756774662459</v>
      </c>
      <c r="Y74" s="23">
        <f>[1]节奏总纲!Y74</f>
        <v>6.4773226727345872</v>
      </c>
      <c r="Z74" s="23">
        <f>[1]节奏总纲!Z74</f>
        <v>4.6872611616086743</v>
      </c>
      <c r="AA74" s="23">
        <f>[1]节奏总纲!AA74</f>
        <v>2.6267260206946474</v>
      </c>
      <c r="AC74" s="23">
        <v>71</v>
      </c>
      <c r="AD74" s="23">
        <f>[1]节奏总纲!AD74</f>
        <v>61.691928656135218</v>
      </c>
      <c r="AE74" s="23">
        <f>[1]节奏总纲!AE74</f>
        <v>63.716030809921811</v>
      </c>
      <c r="AF74" s="23">
        <f>[1]节奏总纲!AF74</f>
        <v>66.52254964941018</v>
      </c>
      <c r="AG74" s="23">
        <f>[1]节奏总纲!AG74</f>
        <v>71.07781362467729</v>
      </c>
      <c r="AH74" s="23">
        <f>[1]节奏总纲!AH74</f>
        <v>79.618252875757847</v>
      </c>
      <c r="AZ74" s="23">
        <v>71</v>
      </c>
      <c r="BA74" s="23">
        <v>35.731931418977545</v>
      </c>
      <c r="BB74" s="23">
        <v>37.226704182817912</v>
      </c>
      <c r="BC74" s="23">
        <v>39.160241683169971</v>
      </c>
      <c r="BD74" s="23">
        <v>41.892000518560877</v>
      </c>
      <c r="BE74" s="23">
        <v>46.561371072329244</v>
      </c>
    </row>
    <row r="75" spans="6:57" x14ac:dyDescent="0.15">
      <c r="F75" s="23">
        <v>73</v>
      </c>
      <c r="G75" s="23">
        <v>156.58648490814926</v>
      </c>
      <c r="N75" s="28">
        <f>[1]节奏总纲!N75</f>
        <v>82</v>
      </c>
      <c r="O75" s="23">
        <v>72</v>
      </c>
      <c r="P75" s="23">
        <f>[1]节奏总纲!P75</f>
        <v>146.03338943962044</v>
      </c>
      <c r="Q75" s="23">
        <f>[1]节奏总纲!Q75</f>
        <v>126.581741966263</v>
      </c>
      <c r="R75" s="23">
        <f>[1]节奏总纲!R75</f>
        <v>103.31862302853146</v>
      </c>
      <c r="S75" s="23">
        <f>[1]节奏总纲!S75</f>
        <v>75.586882373947532</v>
      </c>
      <c r="T75" s="23">
        <f>[1]节奏总纲!T75</f>
        <v>41.896979430227098</v>
      </c>
      <c r="U75" s="29"/>
      <c r="V75" s="23">
        <v>72</v>
      </c>
      <c r="W75" s="23">
        <f>[1]节奏总纲!W75</f>
        <v>9.8463862349749434</v>
      </c>
      <c r="X75" s="23">
        <f>[1]节奏总纲!X75</f>
        <v>8.548466288796746</v>
      </c>
      <c r="Y75" s="23">
        <f>[1]节奏总纲!Y75</f>
        <v>6.7348003557968781</v>
      </c>
      <c r="Z75" s="23">
        <f>[1]节奏总纲!Z75</f>
        <v>4.9739212123388512</v>
      </c>
      <c r="AA75" s="23">
        <f>[1]节奏总纲!AA75</f>
        <v>2.7704534095324505</v>
      </c>
      <c r="AC75" s="23">
        <v>72</v>
      </c>
      <c r="AD75" s="23">
        <f>[1]节奏总纲!AD75</f>
        <v>61.895048862094221</v>
      </c>
      <c r="AE75" s="23">
        <f>[1]节奏总纲!AE75</f>
        <v>63.918876949118435</v>
      </c>
      <c r="AF75" s="23">
        <f>[1]节奏总纲!AF75</f>
        <v>66.7307849375064</v>
      </c>
      <c r="AG75" s="23">
        <f>[1]节奏总纲!AG75</f>
        <v>71.278862245535876</v>
      </c>
      <c r="AH75" s="23">
        <f>[1]节奏总纲!AH75</f>
        <v>79.833079619844597</v>
      </c>
      <c r="AZ75" s="23">
        <v>72</v>
      </c>
      <c r="BA75" s="23">
        <v>35.829522274841217</v>
      </c>
      <c r="BB75" s="23">
        <v>37.317457773889828</v>
      </c>
      <c r="BC75" s="23">
        <v>39.250296194358178</v>
      </c>
      <c r="BD75" s="23">
        <v>41.992566056290244</v>
      </c>
      <c r="BE75" s="23">
        <v>46.657691286422882</v>
      </c>
    </row>
    <row r="76" spans="6:57" x14ac:dyDescent="0.15">
      <c r="F76" s="23">
        <v>74</v>
      </c>
      <c r="G76" s="23">
        <v>167.89701257893043</v>
      </c>
      <c r="N76" s="28">
        <f>[1]节奏总纲!N76</f>
        <v>83</v>
      </c>
      <c r="O76" s="23">
        <v>73</v>
      </c>
      <c r="P76" s="23">
        <f>[1]节奏总纲!P76</f>
        <v>156.58648490814926</v>
      </c>
      <c r="Q76" s="23">
        <f>[1]节奏总纲!Q76</f>
        <v>135.41599214856748</v>
      </c>
      <c r="R76" s="23">
        <f>[1]节奏总纲!R76</f>
        <v>110.58137564213501</v>
      </c>
      <c r="S76" s="23">
        <f>[1]节奏总纲!S76</f>
        <v>80.955212697513176</v>
      </c>
      <c r="T76" s="23">
        <f>[1]节奏总纲!T76</f>
        <v>44.877686574675579</v>
      </c>
      <c r="U76" s="29"/>
      <c r="V76" s="23">
        <v>73</v>
      </c>
      <c r="W76" s="23">
        <f>[1]节奏总纲!W76</f>
        <v>10.553095468528824</v>
      </c>
      <c r="X76" s="23">
        <f>[1]节奏总纲!X76</f>
        <v>8.834250182304487</v>
      </c>
      <c r="Y76" s="23">
        <f>[1]节奏总纲!Y76</f>
        <v>7.2627526136035527</v>
      </c>
      <c r="Z76" s="23">
        <f>[1]节奏总纲!Z76</f>
        <v>5.3683303235656439</v>
      </c>
      <c r="AA76" s="23">
        <f>[1]节奏总纲!AA76</f>
        <v>2.9807071444484805</v>
      </c>
      <c r="AC76" s="23">
        <v>73</v>
      </c>
      <c r="AD76" s="23">
        <f>[1]节奏总纲!AD76</f>
        <v>62.091594979242075</v>
      </c>
      <c r="AE76" s="23">
        <f>[1]节奏总纲!AE76</f>
        <v>64.114306430026588</v>
      </c>
      <c r="AF76" s="23">
        <f>[1]节奏总纲!AF76</f>
        <v>66.939020225602619</v>
      </c>
      <c r="AG76" s="23">
        <f>[1]节奏总纲!AG76</f>
        <v>71.479910866394462</v>
      </c>
      <c r="AH76" s="23">
        <f>[1]节奏总纲!AH76</f>
        <v>80.043898354812981</v>
      </c>
      <c r="AZ76" s="23">
        <v>73</v>
      </c>
      <c r="BA76" s="23">
        <v>35.927113130704889</v>
      </c>
      <c r="BB76" s="23">
        <v>37.408211364961737</v>
      </c>
      <c r="BC76" s="23">
        <v>39.340350705546385</v>
      </c>
      <c r="BD76" s="23">
        <v>42.080366850119908</v>
      </c>
      <c r="BE76" s="23">
        <v>46.754011500516519</v>
      </c>
    </row>
    <row r="77" spans="6:57" x14ac:dyDescent="0.15">
      <c r="F77" s="23">
        <v>75</v>
      </c>
      <c r="G77" s="23">
        <v>180.01933598375612</v>
      </c>
      <c r="N77" s="28">
        <f>[1]节奏总纲!N77</f>
        <v>84</v>
      </c>
      <c r="O77" s="23">
        <v>74</v>
      </c>
      <c r="P77" s="23">
        <f>[1]节奏总纲!P77</f>
        <v>167.89701257893043</v>
      </c>
      <c r="Q77" s="23">
        <f>[1]节奏总纲!Q77</f>
        <v>145.16375707574326</v>
      </c>
      <c r="R77" s="23">
        <f>[1]节奏总纲!R77</f>
        <v>118.70318789330381</v>
      </c>
      <c r="S77" s="23">
        <f>[1]节奏总纲!S77</f>
        <v>86.869914308338593</v>
      </c>
      <c r="T77" s="23">
        <f>[1]节奏总纲!T77</f>
        <v>48.169652908895138</v>
      </c>
      <c r="U77" s="29"/>
      <c r="V77" s="23">
        <v>74</v>
      </c>
      <c r="W77" s="23">
        <f>[1]节奏总纲!W77</f>
        <v>11.31052767078117</v>
      </c>
      <c r="X77" s="23">
        <f>[1]节奏总纲!X77</f>
        <v>9.7477649271757798</v>
      </c>
      <c r="Y77" s="23">
        <f>[1]节奏总纲!Y77</f>
        <v>8.1218122511687909</v>
      </c>
      <c r="Z77" s="23">
        <f>[1]节奏总纲!Z77</f>
        <v>5.9147016108254178</v>
      </c>
      <c r="AA77" s="23">
        <f>[1]节奏总纲!AA77</f>
        <v>3.2919663342195591</v>
      </c>
      <c r="AC77" s="23">
        <v>74</v>
      </c>
      <c r="AD77" s="23">
        <f>[1]节奏总纲!AD77</f>
        <v>62.281112832649576</v>
      </c>
      <c r="AE77" s="23">
        <f>[1]节奏总纲!AE77</f>
        <v>64.304793036447776</v>
      </c>
      <c r="AF77" s="23">
        <f>[1]节奏总纲!AF77</f>
        <v>67.14262442756818</v>
      </c>
      <c r="AG77" s="23">
        <f>[1]节奏总纲!AG77</f>
        <v>71.680959487253048</v>
      </c>
      <c r="AH77" s="23">
        <f>[1]节奏总纲!AH77</f>
        <v>80.24075196383977</v>
      </c>
      <c r="AZ77" s="23">
        <v>74</v>
      </c>
      <c r="BA77" s="23">
        <v>36.021306837933537</v>
      </c>
      <c r="BB77" s="23">
        <v>37.498964956033646</v>
      </c>
      <c r="BC77" s="23">
        <v>39.430405216734592</v>
      </c>
      <c r="BD77" s="23">
        <v>42.167148737437564</v>
      </c>
      <c r="BE77" s="23">
        <v>46.850331714610157</v>
      </c>
    </row>
    <row r="78" spans="6:57" x14ac:dyDescent="0.15">
      <c r="F78" s="23">
        <v>76</v>
      </c>
      <c r="G78" s="23">
        <v>193.01172051333091</v>
      </c>
      <c r="N78" s="28">
        <f>[1]节奏总纲!N78</f>
        <v>85</v>
      </c>
      <c r="O78" s="23">
        <v>75</v>
      </c>
      <c r="P78" s="23">
        <f>[1]节奏总纲!P78</f>
        <v>180.01933598375612</v>
      </c>
      <c r="Q78" s="23">
        <f>[1]节奏总纲!Q78</f>
        <v>155.75272949314578</v>
      </c>
      <c r="R78" s="23">
        <f>[1]节奏总纲!R78</f>
        <v>127.38168214210583</v>
      </c>
      <c r="S78" s="23">
        <f>[1]节奏总纲!S78</f>
        <v>93.214012172388934</v>
      </c>
      <c r="T78" s="23">
        <f>[1]节奏总纲!T78</f>
        <v>51.755559095329879</v>
      </c>
      <c r="U78" s="29"/>
      <c r="V78" s="23">
        <v>75</v>
      </c>
      <c r="W78" s="23">
        <f>[1]节奏总纲!W78</f>
        <v>12.122323404825693</v>
      </c>
      <c r="X78" s="23">
        <f>[1]节奏总纲!X78</f>
        <v>10.588972417402516</v>
      </c>
      <c r="Y78" s="23">
        <f>[1]节奏总纲!Y78</f>
        <v>8.6784942488020249</v>
      </c>
      <c r="Z78" s="23">
        <f>[1]节奏总纲!Z78</f>
        <v>6.3440978640503403</v>
      </c>
      <c r="AA78" s="23">
        <f>[1]节奏总纲!AA78</f>
        <v>3.585906186434741</v>
      </c>
      <c r="AC78" s="23">
        <v>75</v>
      </c>
      <c r="AD78" s="23">
        <f>[1]节奏总纲!AD78</f>
        <v>62.470630686057078</v>
      </c>
      <c r="AE78" s="23">
        <f>[1]节奏总纲!AE78</f>
        <v>64.495279642868965</v>
      </c>
      <c r="AF78" s="23">
        <f>[1]节奏总纲!AF78</f>
        <v>67.344310856946692</v>
      </c>
      <c r="AG78" s="23">
        <f>[1]节奏总纲!AG78</f>
        <v>71.882008108111634</v>
      </c>
      <c r="AH78" s="23">
        <f>[1]节奏总纲!AH78</f>
        <v>80.437605572866573</v>
      </c>
      <c r="AZ78" s="23">
        <v>75</v>
      </c>
      <c r="BA78" s="23">
        <v>36.105477566569242</v>
      </c>
      <c r="BB78" s="23">
        <v>37.589718547105562</v>
      </c>
      <c r="BC78" s="23">
        <v>39.520459727922798</v>
      </c>
      <c r="BD78" s="23">
        <v>42.253930624755228</v>
      </c>
      <c r="BE78" s="23">
        <v>46.946651928703787</v>
      </c>
    </row>
    <row r="79" spans="6:57" x14ac:dyDescent="0.15">
      <c r="F79" s="23">
        <v>77</v>
      </c>
      <c r="G79" s="23">
        <v>206.93661346719625</v>
      </c>
      <c r="N79" s="28">
        <f>[1]节奏总纲!N79</f>
        <v>86</v>
      </c>
      <c r="O79" s="23">
        <v>76</v>
      </c>
      <c r="P79" s="23">
        <f>[1]节奏总纲!P79</f>
        <v>193.01172051333091</v>
      </c>
      <c r="Q79" s="23">
        <f>[1]节奏总纲!Q79</f>
        <v>166.97443941608256</v>
      </c>
      <c r="R79" s="23">
        <f>[1]节奏总纲!R79</f>
        <v>136.51718991907896</v>
      </c>
      <c r="S79" s="23">
        <f>[1]节奏总纲!S79</f>
        <v>100.0379747420594</v>
      </c>
      <c r="T79" s="23">
        <f>[1]节奏总纲!T79</f>
        <v>55.664580196044632</v>
      </c>
      <c r="U79" s="29"/>
      <c r="V79" s="23">
        <v>76</v>
      </c>
      <c r="W79" s="23">
        <f>[1]节奏总纲!W79</f>
        <v>12.992384529574792</v>
      </c>
      <c r="X79" s="23">
        <f>[1]节奏总纲!X79</f>
        <v>11.221709922936782</v>
      </c>
      <c r="Y79" s="23">
        <f>[1]节奏总纲!Y79</f>
        <v>9.1355077769731281</v>
      </c>
      <c r="Z79" s="23">
        <f>[1]节奏总纲!Z79</f>
        <v>6.8239625696704707</v>
      </c>
      <c r="AA79" s="23">
        <f>[1]节奏总纲!AA79</f>
        <v>3.9090211007147531</v>
      </c>
      <c r="AC79" s="23">
        <v>76</v>
      </c>
      <c r="AD79" s="23">
        <f>[1]节奏总纲!AD79</f>
        <v>62.660148539464579</v>
      </c>
      <c r="AE79" s="23">
        <f>[1]节奏总纲!AE79</f>
        <v>64.685766249290154</v>
      </c>
      <c r="AF79" s="23">
        <f>[1]节奏总纲!AF79</f>
        <v>67.545997286325218</v>
      </c>
      <c r="AG79" s="23">
        <f>[1]节奏总纲!AG79</f>
        <v>72.076954583856178</v>
      </c>
      <c r="AH79" s="23">
        <f>[1]节奏总纲!AH79</f>
        <v>80.634459181893376</v>
      </c>
      <c r="AZ79" s="23">
        <v>76</v>
      </c>
      <c r="BA79" s="23">
        <v>36.189648295204947</v>
      </c>
      <c r="BB79" s="23">
        <v>37.680472138177471</v>
      </c>
      <c r="BC79" s="23">
        <v>39.610514239111005</v>
      </c>
      <c r="BD79" s="23">
        <v>42.340712512072891</v>
      </c>
      <c r="BE79" s="23">
        <v>47.037096473408994</v>
      </c>
    </row>
    <row r="80" spans="6:57" x14ac:dyDescent="0.15">
      <c r="F80" s="23">
        <v>78</v>
      </c>
      <c r="G80" s="23">
        <v>221.86094420380775</v>
      </c>
      <c r="N80" s="28">
        <f>[1]节奏总纲!N80</f>
        <v>87</v>
      </c>
      <c r="O80" s="23">
        <v>77</v>
      </c>
      <c r="P80" s="23">
        <f>[1]节奏总纲!P80</f>
        <v>206.93661346719625</v>
      </c>
      <c r="Q80" s="23">
        <f>[1]节奏总纲!Q80</f>
        <v>179.12433261720508</v>
      </c>
      <c r="R80" s="23">
        <f>[1]节奏总纲!R80</f>
        <v>146.53181599612165</v>
      </c>
      <c r="S80" s="23">
        <f>[1]节奏总纲!S80</f>
        <v>107.42079605082158</v>
      </c>
      <c r="T80" s="23">
        <f>[1]节奏总纲!T80</f>
        <v>59.535663694512365</v>
      </c>
      <c r="U80" s="29"/>
      <c r="V80" s="23">
        <v>77</v>
      </c>
      <c r="W80" s="23">
        <f>[1]节奏总纲!W80</f>
        <v>13.924892953865339</v>
      </c>
      <c r="X80" s="23">
        <f>[1]节奏总纲!X80</f>
        <v>12.149893201122524</v>
      </c>
      <c r="Y80" s="23">
        <f>[1]节奏总纲!Y80</f>
        <v>10.014626077042692</v>
      </c>
      <c r="Z80" s="23">
        <f>[1]节奏总纲!Z80</f>
        <v>7.3828213087621748</v>
      </c>
      <c r="AA80" s="23">
        <f>[1]节奏总纲!AA80</f>
        <v>3.8710834984677334</v>
      </c>
      <c r="AC80" s="23">
        <v>77</v>
      </c>
      <c r="AD80" s="23">
        <f>[1]节奏总纲!AD80</f>
        <v>62.849666392872081</v>
      </c>
      <c r="AE80" s="23">
        <f>[1]节奏总纲!AE80</f>
        <v>64.876252855711357</v>
      </c>
      <c r="AF80" s="23">
        <f>[1]节奏总纲!AF80</f>
        <v>67.747683715703729</v>
      </c>
      <c r="AG80" s="23">
        <f>[1]节奏总纲!AG80</f>
        <v>72.263232241847945</v>
      </c>
      <c r="AH80" s="23">
        <f>[1]节奏总纲!AH80</f>
        <v>80.83131279092018</v>
      </c>
      <c r="AZ80" s="23">
        <v>77</v>
      </c>
      <c r="BA80" s="23">
        <v>36.273819023840659</v>
      </c>
      <c r="BB80" s="23">
        <v>37.771225729249387</v>
      </c>
      <c r="BC80" s="23">
        <v>39.700568750299212</v>
      </c>
      <c r="BD80" s="23">
        <v>42.427494399390554</v>
      </c>
      <c r="BE80" s="23">
        <v>47.12024662670057</v>
      </c>
    </row>
    <row r="81" spans="6:57" x14ac:dyDescent="0.15">
      <c r="F81" s="23">
        <v>79</v>
      </c>
      <c r="G81" s="23">
        <v>237.85644583342264</v>
      </c>
      <c r="N81" s="28">
        <f>[1]节奏总纲!N81</f>
        <v>88</v>
      </c>
      <c r="O81" s="23">
        <v>78</v>
      </c>
      <c r="P81" s="23">
        <f>[1]节奏总纲!P81</f>
        <v>221.86094420380775</v>
      </c>
      <c r="Q81" s="23">
        <f>[1]节奏总纲!Q81</f>
        <v>192.04283330281601</v>
      </c>
      <c r="R81" s="23">
        <f>[1]节奏总纲!R81</f>
        <v>157.23285115723854</v>
      </c>
      <c r="S81" s="23">
        <f>[1]节奏总纲!S81</f>
        <v>115.1680161361966</v>
      </c>
      <c r="T81" s="23">
        <f>[1]节奏总纲!T81</f>
        <v>63.651904892072437</v>
      </c>
      <c r="U81" s="29"/>
      <c r="V81" s="23">
        <v>78</v>
      </c>
      <c r="W81" s="23">
        <f>[1]节奏总纲!W81</f>
        <v>14.924330736611495</v>
      </c>
      <c r="X81" s="23">
        <f>[1]节奏总纲!X81</f>
        <v>12.918500685610923</v>
      </c>
      <c r="Y81" s="23">
        <f>[1]节奏总纲!Y81</f>
        <v>10.701035161116891</v>
      </c>
      <c r="Z81" s="23">
        <f>[1]节奏总纲!Z81</f>
        <v>7.7472200853750195</v>
      </c>
      <c r="AA81" s="23">
        <f>[1]节奏总纲!AA81</f>
        <v>4.1162411975600719</v>
      </c>
      <c r="AC81" s="23">
        <v>78</v>
      </c>
      <c r="AD81" s="23">
        <f>[1]节奏总纲!AD81</f>
        <v>63.036560194527354</v>
      </c>
      <c r="AE81" s="23">
        <f>[1]节奏总纲!AE81</f>
        <v>65.061438622789353</v>
      </c>
      <c r="AF81" s="23">
        <f>[1]节奏总纲!AF81</f>
        <v>67.949370145082256</v>
      </c>
      <c r="AG81" s="23">
        <f>[1]节奏总纲!AG81</f>
        <v>72.449509899839711</v>
      </c>
      <c r="AH81" s="23">
        <f>[1]节奏总纲!AH81</f>
        <v>81.026624803116562</v>
      </c>
      <c r="AZ81" s="23">
        <v>78</v>
      </c>
      <c r="BA81" s="23">
        <v>36.357989752476364</v>
      </c>
      <c r="BB81" s="23">
        <v>37.861979320321296</v>
      </c>
      <c r="BC81" s="23">
        <v>39.790623261487418</v>
      </c>
      <c r="BD81" s="23">
        <v>42.51427628670821</v>
      </c>
      <c r="BE81" s="23">
        <v>47.203396779992147</v>
      </c>
    </row>
    <row r="82" spans="6:57" x14ac:dyDescent="0.15">
      <c r="F82" s="23">
        <v>80</v>
      </c>
      <c r="G82" s="23">
        <v>255</v>
      </c>
      <c r="N82" s="28">
        <f>[1]节奏总纲!N82</f>
        <v>89</v>
      </c>
      <c r="O82" s="23">
        <v>79</v>
      </c>
      <c r="P82" s="23">
        <f>[1]节奏总纲!P82</f>
        <v>237.85644583342264</v>
      </c>
      <c r="Q82" s="23">
        <f>[1]节奏总纲!Q82</f>
        <v>206.07882467007735</v>
      </c>
      <c r="R82" s="23">
        <f>[1]节奏总纲!R82</f>
        <v>168.73536267423003</v>
      </c>
      <c r="S82" s="23">
        <f>[1]节奏总纲!S82</f>
        <v>123.11449636337954</v>
      </c>
      <c r="T82" s="23">
        <f>[1]节奏总纲!T82</f>
        <v>68.122086086692235</v>
      </c>
      <c r="U82" s="29"/>
      <c r="V82" s="23">
        <v>79</v>
      </c>
      <c r="W82" s="23">
        <f>[1]节奏总纲!W82</f>
        <v>15.995501629614893</v>
      </c>
      <c r="X82" s="23">
        <f>[1]节奏总纲!X82</f>
        <v>14.035991367261346</v>
      </c>
      <c r="Y82" s="23">
        <f>[1]节奏总纲!Y82</f>
        <v>11.50251151699149</v>
      </c>
      <c r="Z82" s="23">
        <f>[1]节奏总纲!Z82</f>
        <v>7.9464802271829456</v>
      </c>
      <c r="AA82" s="23">
        <f>[1]节奏总纲!AA82</f>
        <v>4.4701811946197978</v>
      </c>
      <c r="AC82" s="23">
        <v>79</v>
      </c>
      <c r="AD82" s="23">
        <f>[1]节奏总纲!AD82</f>
        <v>63.213386604241791</v>
      </c>
      <c r="AE82" s="23">
        <f>[1]节奏总纲!AE82</f>
        <v>65.23679566619937</v>
      </c>
      <c r="AF82" s="23">
        <f>[1]节奏总纲!AF82</f>
        <v>68.132712808893615</v>
      </c>
      <c r="AG82" s="23">
        <f>[1]节奏总纲!AG82</f>
        <v>72.635787557831478</v>
      </c>
      <c r="AH82" s="23">
        <f>[1]节奏总纲!AH82</f>
        <v>81.212704266341873</v>
      </c>
      <c r="AZ82" s="23">
        <v>79</v>
      </c>
      <c r="BA82" s="23">
        <v>36.442160481112069</v>
      </c>
      <c r="BB82" s="23">
        <v>37.952732911393213</v>
      </c>
      <c r="BC82" s="23">
        <v>39.880677772675625</v>
      </c>
      <c r="BD82" s="23">
        <v>42.601058174025873</v>
      </c>
      <c r="BE82" s="23">
        <v>47.286546933283724</v>
      </c>
    </row>
    <row r="83" spans="6:57" x14ac:dyDescent="0.15">
      <c r="F83" s="23">
        <v>81</v>
      </c>
      <c r="G83" s="23">
        <v>273.37400640929098</v>
      </c>
      <c r="N83" s="28">
        <f>[1]节奏总纲!N83</f>
        <v>90</v>
      </c>
      <c r="O83" s="23">
        <v>80</v>
      </c>
      <c r="P83" s="23">
        <f>[1]节奏总纲!P83</f>
        <v>255</v>
      </c>
      <c r="Q83" s="23">
        <f>[1]节奏总纲!Q83</f>
        <v>221.08500000000001</v>
      </c>
      <c r="R83" s="23">
        <f>[1]节奏总纲!R83</f>
        <v>180.33600000000001</v>
      </c>
      <c r="S83" s="23">
        <f>[1]节奏总纲!S83</f>
        <v>131.58000000000001</v>
      </c>
      <c r="T83" s="23">
        <f>[1]节奏总纲!T83</f>
        <v>72.777000000000001</v>
      </c>
      <c r="U83" s="29"/>
      <c r="V83" s="23">
        <v>80</v>
      </c>
      <c r="W83" s="23">
        <f>[1]节奏总纲!W83</f>
        <v>17.14355416657736</v>
      </c>
      <c r="X83" s="23">
        <f>[1]节奏总纲!X83</f>
        <v>15.006175329922655</v>
      </c>
      <c r="Y83" s="23">
        <f>[1]节奏总纲!Y83</f>
        <v>11.600637325769981</v>
      </c>
      <c r="Z83" s="23">
        <f>[1]节奏总纲!Z83</f>
        <v>8.4655036366204683</v>
      </c>
      <c r="AA83" s="23">
        <f>[1]节奏总纲!AA83</f>
        <v>4.6549139133077659</v>
      </c>
      <c r="AC83" s="23">
        <v>80</v>
      </c>
      <c r="AD83" s="23">
        <f>[1]节奏总纲!AD83</f>
        <v>63.39021301395622</v>
      </c>
      <c r="AE83" s="23">
        <f>[1]节奏总纲!AE83</f>
        <v>65.412152709609373</v>
      </c>
      <c r="AF83" s="23">
        <f>[1]节奏总纲!AF83</f>
        <v>68.309907165737044</v>
      </c>
      <c r="AG83" s="23">
        <f>[1]节奏总纲!AG83</f>
        <v>72.822065215823244</v>
      </c>
      <c r="AH83" s="23">
        <f>[1]节奏总纲!AH83</f>
        <v>81.398783729567185</v>
      </c>
      <c r="AZ83" s="23">
        <v>80</v>
      </c>
      <c r="BA83" s="23">
        <v>36.526331209747774</v>
      </c>
      <c r="BB83" s="23">
        <v>38.037513426486328</v>
      </c>
      <c r="BC83" s="23">
        <v>39.970732283863832</v>
      </c>
      <c r="BD83" s="23">
        <v>42.687840061343536</v>
      </c>
      <c r="BE83" s="23">
        <v>47.3696970865753</v>
      </c>
    </row>
    <row r="84" spans="6:57" x14ac:dyDescent="0.15">
      <c r="F84" s="23">
        <v>82</v>
      </c>
      <c r="G84" s="23">
        <v>293.06677887924064</v>
      </c>
      <c r="N84" s="28">
        <f>[1]节奏总纲!N84</f>
        <v>91</v>
      </c>
      <c r="O84" s="23">
        <v>81</v>
      </c>
      <c r="P84" s="23">
        <f>[1]节奏总纲!P84</f>
        <v>273.37400640929098</v>
      </c>
      <c r="Q84" s="23">
        <f>[1]节奏总纲!Q84</f>
        <v>236.35916594147301</v>
      </c>
      <c r="R84" s="23">
        <f>[1]节奏总纲!R84</f>
        <v>192.67399971726829</v>
      </c>
      <c r="S84" s="23">
        <f>[1]节奏总纲!S84</f>
        <v>140.76027590014394</v>
      </c>
      <c r="T84" s="23">
        <f>[1]节奏总纲!T84</f>
        <v>77.856917025366073</v>
      </c>
      <c r="U84" s="29"/>
      <c r="V84" s="23">
        <v>81</v>
      </c>
      <c r="W84" s="23">
        <f>[1]节奏总纲!W84</f>
        <v>18.374006409290985</v>
      </c>
      <c r="X84" s="23">
        <f>[1]节奏总纲!X84</f>
        <v>15.274165941473001</v>
      </c>
      <c r="Y84" s="23">
        <f>[1]节奏总纲!Y84</f>
        <v>12.337999717268275</v>
      </c>
      <c r="Z84" s="23">
        <f>[1]节奏总纲!Z84</f>
        <v>9.1802759001439256</v>
      </c>
      <c r="AA84" s="23">
        <f>[1]节奏总纲!AA84</f>
        <v>5.0799170253660719</v>
      </c>
      <c r="AC84" s="23">
        <v>81</v>
      </c>
      <c r="AD84" s="23">
        <f>[1]节奏总纲!AD84</f>
        <v>63.567039423670657</v>
      </c>
      <c r="AE84" s="23">
        <f>[1]节奏总纲!AE84</f>
        <v>65.58750975301939</v>
      </c>
      <c r="AF84" s="23">
        <f>[1]节奏总纲!AF84</f>
        <v>68.487101522580488</v>
      </c>
      <c r="AG84" s="23">
        <f>[1]节奏总纲!AG84</f>
        <v>73.007572199822363</v>
      </c>
      <c r="AH84" s="23">
        <f>[1]节奏总纲!AH84</f>
        <v>81.584863192792497</v>
      </c>
      <c r="AZ84" s="23">
        <v>81</v>
      </c>
      <c r="BA84" s="23">
        <v>36.610501938383479</v>
      </c>
      <c r="BB84" s="23">
        <v>38.11580158428373</v>
      </c>
      <c r="BC84" s="23">
        <v>40.052446592012309</v>
      </c>
      <c r="BD84" s="23">
        <v>42.774621948661192</v>
      </c>
      <c r="BE84" s="23">
        <v>47.452847239866877</v>
      </c>
    </row>
    <row r="85" spans="6:57" x14ac:dyDescent="0.15">
      <c r="F85" s="23">
        <v>83</v>
      </c>
      <c r="G85" s="23">
        <v>314.1729698162988</v>
      </c>
      <c r="N85" s="28">
        <f>[1]节奏总纲!N85</f>
        <v>92</v>
      </c>
      <c r="O85" s="23">
        <v>82</v>
      </c>
      <c r="P85" s="23">
        <f>[1]节奏总纲!P85</f>
        <v>293.06677887924064</v>
      </c>
      <c r="Q85" s="23">
        <f>[1]节奏总纲!Q85</f>
        <v>253.15108359588808</v>
      </c>
      <c r="R85" s="23">
        <f>[1]节奏总纲!R85</f>
        <v>206.37762568676126</v>
      </c>
      <c r="S85" s="23">
        <f>[1]节奏总纲!S85</f>
        <v>150.81216441125721</v>
      </c>
      <c r="T85" s="23">
        <f>[1]节奏总纲!T85</f>
        <v>83.230965201704336</v>
      </c>
      <c r="U85" s="29"/>
      <c r="V85" s="23">
        <v>82</v>
      </c>
      <c r="W85" s="23">
        <f>[1]节奏总纲!W85</f>
        <v>19.692772469949659</v>
      </c>
      <c r="X85" s="23">
        <f>[1]节奏总纲!X85</f>
        <v>16.791917654415073</v>
      </c>
      <c r="Y85" s="23">
        <f>[1]节奏总纲!Y85</f>
        <v>13.703625969492975</v>
      </c>
      <c r="Z85" s="23">
        <f>[1]节奏总纲!Z85</f>
        <v>10.051888511113276</v>
      </c>
      <c r="AA85" s="23">
        <f>[1]节奏总纲!AA85</f>
        <v>5.3740481763382633</v>
      </c>
      <c r="AC85" s="23">
        <v>82</v>
      </c>
      <c r="AD85" s="23">
        <f>[1]节奏总纲!AD85</f>
        <v>63.743865833385094</v>
      </c>
      <c r="AE85" s="23">
        <f>[1]节奏总纲!AE85</f>
        <v>65.762866796429392</v>
      </c>
      <c r="AF85" s="23">
        <f>[1]节奏总纲!AF85</f>
        <v>68.664295879423918</v>
      </c>
      <c r="AG85" s="23">
        <f>[1]节奏总纲!AG85</f>
        <v>73.176642436293761</v>
      </c>
      <c r="AH85" s="23">
        <f>[1]节奏总纲!AH85</f>
        <v>81.770942656017823</v>
      </c>
      <c r="AZ85" s="23">
        <v>82</v>
      </c>
      <c r="BA85" s="23">
        <v>36.694672667019191</v>
      </c>
      <c r="BB85" s="23">
        <v>38.194089742081125</v>
      </c>
      <c r="BC85" s="23">
        <v>40.130145246845366</v>
      </c>
      <c r="BD85" s="23">
        <v>42.861403835978855</v>
      </c>
      <c r="BE85" s="23">
        <v>47.535997393158453</v>
      </c>
    </row>
    <row r="86" spans="6:57" x14ac:dyDescent="0.15">
      <c r="F86" s="23">
        <v>84</v>
      </c>
      <c r="G86" s="23">
        <v>336.79402515786086</v>
      </c>
      <c r="N86" s="28">
        <f>[1]节奏总纲!N86</f>
        <v>93</v>
      </c>
      <c r="O86" s="23">
        <v>83</v>
      </c>
      <c r="P86" s="23">
        <f>[1]节奏总纲!P86</f>
        <v>314.1729698162988</v>
      </c>
      <c r="Q86" s="23">
        <f>[1]节奏总纲!Q86</f>
        <v>271.53969781222702</v>
      </c>
      <c r="R86" s="23">
        <f>[1]节奏总纲!R86</f>
        <v>221.55477831445393</v>
      </c>
      <c r="S86" s="23">
        <f>[1]节奏总纲!S86</f>
        <v>161.57915837652246</v>
      </c>
      <c r="T86" s="23">
        <f>[1]节奏总纲!T86</f>
        <v>89.193706130847232</v>
      </c>
      <c r="U86" s="29"/>
      <c r="V86" s="23">
        <v>83</v>
      </c>
      <c r="W86" s="23">
        <f>[1]节奏总纲!W86</f>
        <v>21.106190937058159</v>
      </c>
      <c r="X86" s="23">
        <f>[1]节奏总纲!X86</f>
        <v>18.388614216338937</v>
      </c>
      <c r="Y86" s="23">
        <f>[1]节奏总纲!Y86</f>
        <v>15.177152627692664</v>
      </c>
      <c r="Z86" s="23">
        <f>[1]节奏总纲!Z86</f>
        <v>10.766993965265243</v>
      </c>
      <c r="AA86" s="23">
        <f>[1]节奏总纲!AA86</f>
        <v>5.9627409291428961</v>
      </c>
      <c r="AC86" s="23">
        <v>83</v>
      </c>
      <c r="AD86" s="23">
        <f>[1]节奏总纲!AD86</f>
        <v>63.920692243099523</v>
      </c>
      <c r="AE86" s="23">
        <f>[1]节奏总纲!AE86</f>
        <v>65.938223839839395</v>
      </c>
      <c r="AF86" s="23">
        <f>[1]节奏总纲!AF86</f>
        <v>68.841490236267347</v>
      </c>
      <c r="AG86" s="23">
        <f>[1]节奏总纲!AG86</f>
        <v>73.34571267276516</v>
      </c>
      <c r="AH86" s="23">
        <f>[1]节奏总纲!AH86</f>
        <v>81.957022119243135</v>
      </c>
      <c r="AZ86" s="23">
        <v>83</v>
      </c>
      <c r="BA86" s="23">
        <v>36.778843395654896</v>
      </c>
      <c r="BB86" s="23">
        <v>38.272377899878528</v>
      </c>
      <c r="BC86" s="23">
        <v>40.207843901678423</v>
      </c>
      <c r="BD86" s="23">
        <v>42.948185723296518</v>
      </c>
      <c r="BE86" s="23">
        <v>47.619147546450023</v>
      </c>
    </row>
    <row r="87" spans="6:57" x14ac:dyDescent="0.15">
      <c r="F87" s="23">
        <v>85</v>
      </c>
      <c r="G87" s="23">
        <v>361.0386719675123</v>
      </c>
      <c r="N87" s="28">
        <f>[1]节奏总纲!N87</f>
        <v>94</v>
      </c>
      <c r="O87" s="23">
        <v>84</v>
      </c>
      <c r="P87" s="23">
        <f>[1]节奏总纲!P87</f>
        <v>336.79402515786086</v>
      </c>
      <c r="Q87" s="23">
        <f>[1]节奏总纲!Q87</f>
        <v>291.2594729565181</v>
      </c>
      <c r="R87" s="23">
        <f>[1]节奏总纲!R87</f>
        <v>237.27139072371298</v>
      </c>
      <c r="S87" s="23">
        <f>[1]节奏总纲!S87</f>
        <v>172.97741132107731</v>
      </c>
      <c r="T87" s="23">
        <f>[1]节奏总纲!T87</f>
        <v>95.64950314483248</v>
      </c>
      <c r="U87" s="29"/>
      <c r="V87" s="23">
        <v>84</v>
      </c>
      <c r="W87" s="23">
        <f>[1]节奏总纲!W87</f>
        <v>22.621055341562055</v>
      </c>
      <c r="X87" s="23">
        <f>[1]节奏总纲!X87</f>
        <v>19.719775144291077</v>
      </c>
      <c r="Y87" s="23">
        <f>[1]节奏总纲!Y87</f>
        <v>15.716612409259056</v>
      </c>
      <c r="Z87" s="23">
        <f>[1]节奏总纲!Z87</f>
        <v>11.398252944554855</v>
      </c>
      <c r="AA87" s="23">
        <f>[1]节奏总纲!AA87</f>
        <v>6.4557970139852472</v>
      </c>
      <c r="AC87" s="23">
        <v>84</v>
      </c>
      <c r="AD87" s="23">
        <f>[1]节奏总纲!AD87</f>
        <v>64.090988120365651</v>
      </c>
      <c r="AE87" s="23">
        <f>[1]节奏总纲!AE87</f>
        <v>66.105889403880397</v>
      </c>
      <c r="AF87" s="23">
        <f>[1]节奏总纲!AF87</f>
        <v>69.01697485309198</v>
      </c>
      <c r="AG87" s="23">
        <f>[1]节奏总纲!AG87</f>
        <v>73.514782909236544</v>
      </c>
      <c r="AH87" s="23">
        <f>[1]节奏总纲!AH87</f>
        <v>82.128973371044353</v>
      </c>
      <c r="AZ87" s="23">
        <v>84</v>
      </c>
      <c r="BA87" s="23">
        <v>36.863014124290601</v>
      </c>
      <c r="BB87" s="23">
        <v>38.35066605767593</v>
      </c>
      <c r="BC87" s="23">
        <v>40.28554255651148</v>
      </c>
      <c r="BD87" s="23">
        <v>43.030177309109042</v>
      </c>
      <c r="BE87" s="23">
        <v>47.7022976997416</v>
      </c>
    </row>
    <row r="88" spans="6:57" x14ac:dyDescent="0.15">
      <c r="F88" s="23">
        <v>86</v>
      </c>
      <c r="G88" s="23">
        <v>387.02344102666189</v>
      </c>
      <c r="N88" s="28">
        <f>[1]节奏总纲!N88</f>
        <v>95</v>
      </c>
      <c r="O88" s="23">
        <v>85</v>
      </c>
      <c r="P88" s="23">
        <f>[1]节奏总纲!P88</f>
        <v>361.0386719675123</v>
      </c>
      <c r="Q88" s="23">
        <f>[1]节奏总纲!Q88</f>
        <v>311.72078937675008</v>
      </c>
      <c r="R88" s="23">
        <f>[1]节奏总纲!R88</f>
        <v>253.91849799475142</v>
      </c>
      <c r="S88" s="23">
        <f>[1]节奏总纲!S88</f>
        <v>185.57387739130132</v>
      </c>
      <c r="T88" s="23">
        <f>[1]节奏总纲!T88</f>
        <v>102.53498283877349</v>
      </c>
      <c r="U88" s="29"/>
      <c r="V88" s="23">
        <v>85</v>
      </c>
      <c r="W88" s="23">
        <f>[1]节奏总纲!W88</f>
        <v>24.244646809651442</v>
      </c>
      <c r="X88" s="23">
        <f>[1]节奏总纲!X88</f>
        <v>20.461316420231981</v>
      </c>
      <c r="Y88" s="23">
        <f>[1]节奏总纲!Y88</f>
        <v>16.647107271038436</v>
      </c>
      <c r="Z88" s="23">
        <f>[1]节奏总纲!Z88</f>
        <v>12.596466070224011</v>
      </c>
      <c r="AA88" s="23">
        <f>[1]节奏总纲!AA88</f>
        <v>6.8854796939410079</v>
      </c>
      <c r="AC88" s="23">
        <v>85</v>
      </c>
      <c r="AD88" s="23">
        <f>[1]节奏总纲!AD88</f>
        <v>64.255972994404218</v>
      </c>
      <c r="AE88" s="23">
        <f>[1]节奏总纲!AE88</f>
        <v>66.269371604948859</v>
      </c>
      <c r="AF88" s="23">
        <f>[1]节奏总纲!AF88</f>
        <v>69.17795498031839</v>
      </c>
      <c r="AG88" s="23">
        <f>[1]节奏总纲!AG88</f>
        <v>73.683853145707943</v>
      </c>
      <c r="AH88" s="23">
        <f>[1]节奏总纲!AH88</f>
        <v>82.296681479091191</v>
      </c>
      <c r="AZ88" s="23">
        <v>85</v>
      </c>
      <c r="BA88" s="23">
        <v>36.947184852926306</v>
      </c>
      <c r="BB88" s="23">
        <v>38.428954215473325</v>
      </c>
      <c r="BC88" s="23">
        <v>40.363241211344537</v>
      </c>
      <c r="BD88" s="23">
        <v>43.105070725978337</v>
      </c>
      <c r="BE88" s="23">
        <v>47.785447853033176</v>
      </c>
    </row>
    <row r="89" spans="6:57" x14ac:dyDescent="0.15">
      <c r="F89" s="23">
        <v>87</v>
      </c>
      <c r="G89" s="23">
        <v>414.87322693439216</v>
      </c>
      <c r="N89" s="28">
        <f>[1]节奏总纲!N89</f>
        <v>96</v>
      </c>
      <c r="O89" s="23">
        <v>86</v>
      </c>
      <c r="P89" s="23">
        <f>[1]节奏总纲!P89</f>
        <v>387.02344102666189</v>
      </c>
      <c r="Q89" s="23">
        <f>[1]节奏总纲!Q89</f>
        <v>334.00122960600919</v>
      </c>
      <c r="R89" s="23">
        <f>[1]节奏总纲!R89</f>
        <v>272.23228841815398</v>
      </c>
      <c r="S89" s="23">
        <f>[1]节奏总纲!S89</f>
        <v>199.39447681693619</v>
      </c>
      <c r="T89" s="23">
        <f>[1]节奏总纲!T89</f>
        <v>108.94709864900531</v>
      </c>
      <c r="U89" s="29"/>
      <c r="V89" s="23">
        <v>86</v>
      </c>
      <c r="W89" s="23">
        <f>[1]节奏总纲!W89</f>
        <v>25.984769059149585</v>
      </c>
      <c r="X89" s="23">
        <f>[1]节奏总纲!X89</f>
        <v>22.280440229259113</v>
      </c>
      <c r="Y89" s="23">
        <f>[1]节奏总纲!Y89</f>
        <v>18.313790423402565</v>
      </c>
      <c r="Z89" s="23">
        <f>[1]节奏总纲!Z89</f>
        <v>13.820599425634867</v>
      </c>
      <c r="AA89" s="23">
        <f>[1]节奏总纲!AA89</f>
        <v>6.4121158102318248</v>
      </c>
      <c r="AC89" s="23">
        <v>86</v>
      </c>
      <c r="AD89" s="23">
        <f>[1]节奏总纲!AD89</f>
        <v>64.420957868442798</v>
      </c>
      <c r="AE89" s="23">
        <f>[1]节奏总纲!AE89</f>
        <v>66.43285380601732</v>
      </c>
      <c r="AF89" s="23">
        <f>[1]节奏总纲!AF89</f>
        <v>69.338935107544785</v>
      </c>
      <c r="AG89" s="23">
        <f>[1]节奏总纲!AG89</f>
        <v>73.852923382179341</v>
      </c>
      <c r="AH89" s="23">
        <f>[1]节奏总纲!AH89</f>
        <v>82.464389587138029</v>
      </c>
      <c r="AZ89" s="23">
        <v>86</v>
      </c>
      <c r="BA89" s="23">
        <v>37.027046282459708</v>
      </c>
      <c r="BB89" s="23">
        <v>38.507242373270728</v>
      </c>
      <c r="BC89" s="23">
        <v>40.440939866177594</v>
      </c>
      <c r="BD89" s="23">
        <v>43.179964142847631</v>
      </c>
      <c r="BE89" s="23">
        <v>47.868598006324753</v>
      </c>
    </row>
    <row r="90" spans="6:57" x14ac:dyDescent="0.15">
      <c r="F90" s="23">
        <v>88</v>
      </c>
      <c r="G90" s="23">
        <v>444.72188840761549</v>
      </c>
      <c r="N90" s="28">
        <f>[1]节奏总纲!N90</f>
        <v>97</v>
      </c>
      <c r="O90" s="23">
        <v>87</v>
      </c>
      <c r="P90" s="23">
        <f>[1]节奏总纲!P90</f>
        <v>414.87322693439216</v>
      </c>
      <c r="Q90" s="23">
        <f>[1]节奏总纲!Q90</f>
        <v>358.28451878054108</v>
      </c>
      <c r="R90" s="23">
        <f>[1]节奏总纲!R90</f>
        <v>292.4026503433596</v>
      </c>
      <c r="S90" s="23">
        <f>[1]节奏总纲!S90</f>
        <v>212.58104148118252</v>
      </c>
      <c r="T90" s="23">
        <f>[1]节奏总纲!T90</f>
        <v>115.74963031469542</v>
      </c>
      <c r="U90" s="29"/>
      <c r="V90" s="23">
        <v>87</v>
      </c>
      <c r="W90" s="23">
        <f>[1]节奏总纲!W90</f>
        <v>27.849785907730279</v>
      </c>
      <c r="X90" s="23">
        <f>[1]节奏总纲!X90</f>
        <v>24.283289174531888</v>
      </c>
      <c r="Y90" s="23">
        <f>[1]节奏总纲!Y90</f>
        <v>20.170361925205611</v>
      </c>
      <c r="Z90" s="23">
        <f>[1]节奏总纲!Z90</f>
        <v>13.186564664246333</v>
      </c>
      <c r="AA90" s="23">
        <f>[1]节奏总纲!AA90</f>
        <v>6.8025316656901111</v>
      </c>
      <c r="AC90" s="23">
        <v>87</v>
      </c>
      <c r="AD90" s="23">
        <f>[1]节奏总纲!AD90</f>
        <v>64.585942742481365</v>
      </c>
      <c r="AE90" s="23">
        <f>[1]节奏总纲!AE90</f>
        <v>66.596336007085796</v>
      </c>
      <c r="AF90" s="23">
        <f>[1]节奏总纲!AF90</f>
        <v>69.49991523477118</v>
      </c>
      <c r="AG90" s="23">
        <f>[1]节奏总纲!AG90</f>
        <v>74.02050499447661</v>
      </c>
      <c r="AH90" s="23">
        <f>[1]节奏总纲!AH90</f>
        <v>82.632097695184868</v>
      </c>
      <c r="AZ90" s="23">
        <v>87</v>
      </c>
      <c r="BA90" s="23">
        <v>37.099649155317238</v>
      </c>
      <c r="BB90" s="23">
        <v>38.58553053106813</v>
      </c>
      <c r="BC90" s="23">
        <v>40.518638521010651</v>
      </c>
      <c r="BD90" s="23">
        <v>43.254857559716925</v>
      </c>
      <c r="BE90" s="23">
        <v>47.951748159616329</v>
      </c>
    </row>
    <row r="91" spans="6:57" x14ac:dyDescent="0.15">
      <c r="F91" s="23">
        <v>89</v>
      </c>
      <c r="G91" s="23">
        <v>476.71289166684534</v>
      </c>
      <c r="N91" s="28">
        <f>[1]节奏总纲!N91</f>
        <v>98</v>
      </c>
      <c r="O91" s="23">
        <v>88</v>
      </c>
      <c r="P91" s="23">
        <f>[1]节奏总纲!P91</f>
        <v>444.72188840761549</v>
      </c>
      <c r="Q91" s="23">
        <f>[1]节奏总纲!Q91</f>
        <v>384.7733778502689</v>
      </c>
      <c r="R91" s="23">
        <f>[1]节奏总纲!R91</f>
        <v>312.90632068359827</v>
      </c>
      <c r="S91" s="23">
        <f>[1]节奏总纲!S91</f>
        <v>226.0076636887502</v>
      </c>
      <c r="T91" s="23">
        <f>[1]节奏总纲!T91</f>
        <v>123.1879630889095</v>
      </c>
      <c r="U91" s="29"/>
      <c r="V91" s="23">
        <v>88</v>
      </c>
      <c r="W91" s="23">
        <f>[1]节奏总纲!W91</f>
        <v>29.848661473223331</v>
      </c>
      <c r="X91" s="23">
        <f>[1]节奏总纲!X91</f>
        <v>26.488859069727823</v>
      </c>
      <c r="Y91" s="23">
        <f>[1]节奏总纲!Y91</f>
        <v>20.503670340238671</v>
      </c>
      <c r="Z91" s="23">
        <f>[1]节奏总纲!Z91</f>
        <v>13.426622207567675</v>
      </c>
      <c r="AA91" s="23">
        <f>[1]节奏总纲!AA91</f>
        <v>7.438332774214075</v>
      </c>
      <c r="AC91" s="23">
        <v>88</v>
      </c>
      <c r="AD91" s="23">
        <f>[1]节奏总纲!AD91</f>
        <v>64.750927616519931</v>
      </c>
      <c r="AE91" s="23">
        <f>[1]节奏总纲!AE91</f>
        <v>66.759818208154257</v>
      </c>
      <c r="AF91" s="23">
        <f>[1]节奏总纲!AF91</f>
        <v>69.660895361997589</v>
      </c>
      <c r="AG91" s="23">
        <f>[1]节奏总纲!AG91</f>
        <v>74.178131818877702</v>
      </c>
      <c r="AH91" s="23">
        <f>[1]节奏总纲!AH91</f>
        <v>82.799805803231706</v>
      </c>
      <c r="AZ91" s="23">
        <v>88</v>
      </c>
      <c r="BA91" s="23">
        <v>37.172252028174768</v>
      </c>
      <c r="BB91" s="23">
        <v>38.663818688865533</v>
      </c>
      <c r="BC91" s="23">
        <v>40.596337175843701</v>
      </c>
      <c r="BD91" s="23">
        <v>43.329750976586219</v>
      </c>
      <c r="BE91" s="23">
        <v>48.030128751164234</v>
      </c>
    </row>
    <row r="92" spans="6:57" x14ac:dyDescent="0.15">
      <c r="F92" s="23">
        <v>90</v>
      </c>
      <c r="G92" s="23">
        <v>511</v>
      </c>
      <c r="N92" s="28">
        <f>[1]节奏总纲!N92</f>
        <v>99</v>
      </c>
      <c r="O92" s="23">
        <v>89</v>
      </c>
      <c r="P92" s="23">
        <f>[1]节奏总纲!P92</f>
        <v>476.71289166684534</v>
      </c>
      <c r="Q92" s="23">
        <f>[1]节奏总纲!Q92</f>
        <v>411.78459582182103</v>
      </c>
      <c r="R92" s="23">
        <f>[1]节奏总纲!R92</f>
        <v>332.60258451595797</v>
      </c>
      <c r="S92" s="23">
        <f>[1]节奏总纲!S92</f>
        <v>240.31096868925673</v>
      </c>
      <c r="T92" s="23">
        <f>[1]节奏总纲!T92</f>
        <v>130.61933231671563</v>
      </c>
      <c r="U92" s="29"/>
      <c r="V92" s="23">
        <v>89</v>
      </c>
      <c r="W92" s="23">
        <f>[1]节奏总纲!W92</f>
        <v>31.991003259229842</v>
      </c>
      <c r="X92" s="23">
        <f>[1]节奏总纲!X92</f>
        <v>27.011217971552128</v>
      </c>
      <c r="Y92" s="23">
        <f>[1]节奏总纲!Y92</f>
        <v>19.696263832359705</v>
      </c>
      <c r="Z92" s="23">
        <f>[1]节奏总纲!Z92</f>
        <v>14.303305000506526</v>
      </c>
      <c r="AA92" s="23">
        <f>[1]节奏总纲!AA92</f>
        <v>7.4313692278061296</v>
      </c>
      <c r="AC92" s="23">
        <v>89</v>
      </c>
      <c r="AD92" s="23">
        <f>[1]节奏总纲!AD92</f>
        <v>64.915912490558512</v>
      </c>
      <c r="AE92" s="23">
        <f>[1]节奏总纲!AE92</f>
        <v>66.923300409222719</v>
      </c>
      <c r="AF92" s="23">
        <f>[1]节奏总纲!AF92</f>
        <v>69.821875489223984</v>
      </c>
      <c r="AG92" s="23">
        <f>[1]节奏总纲!AG92</f>
        <v>74.335758643278794</v>
      </c>
      <c r="AH92" s="23">
        <f>[1]节奏总纲!AH92</f>
        <v>82.967513911278544</v>
      </c>
      <c r="AZ92" s="23">
        <v>89</v>
      </c>
      <c r="BA92" s="23">
        <v>37.244854901032298</v>
      </c>
      <c r="BB92" s="23">
        <v>38.742106846662928</v>
      </c>
      <c r="BC92" s="23">
        <v>40.674035830676758</v>
      </c>
      <c r="BD92" s="23">
        <v>43.404644393455513</v>
      </c>
      <c r="BE92" s="23">
        <v>48.101914750802706</v>
      </c>
    </row>
    <row r="93" spans="6:57" x14ac:dyDescent="0.15">
      <c r="F93" s="23">
        <v>91</v>
      </c>
      <c r="G93" s="23">
        <v>547.74801281858208</v>
      </c>
      <c r="N93" s="28">
        <f>[1]节奏总纲!N93</f>
        <v>100</v>
      </c>
      <c r="O93" s="23">
        <v>90</v>
      </c>
      <c r="P93" s="23">
        <f>[1]节奏总纲!P93</f>
        <v>511</v>
      </c>
      <c r="Q93" s="23">
        <f>[1]节奏总纲!Q93</f>
        <v>438.13140000000004</v>
      </c>
      <c r="R93" s="23">
        <f>[1]节奏总纲!R93</f>
        <v>353.76530000000002</v>
      </c>
      <c r="S93" s="23">
        <f>[1]节奏总纲!S93</f>
        <v>254.88680000000002</v>
      </c>
      <c r="T93" s="23">
        <f>[1]节奏总纲!T93</f>
        <v>138.48100000000002</v>
      </c>
      <c r="U93" s="29"/>
      <c r="V93" s="23">
        <v>90</v>
      </c>
      <c r="W93" s="23">
        <f>[1]节奏总纲!W93</f>
        <v>34.287108333154663</v>
      </c>
      <c r="X93" s="23">
        <f>[1]节奏总纲!X93</f>
        <v>26.346804178179013</v>
      </c>
      <c r="Y93" s="23">
        <f>[1]节奏总纲!Y93</f>
        <v>21.162715484042053</v>
      </c>
      <c r="Z93" s="23">
        <f>[1]节奏总纲!Z93</f>
        <v>14.575831310743297</v>
      </c>
      <c r="AA93" s="23">
        <f>[1]节奏总纲!AA93</f>
        <v>7.861667683284395</v>
      </c>
      <c r="AC93" s="23">
        <v>90</v>
      </c>
      <c r="AD93" s="23">
        <f>[1]节奏总纲!AD93</f>
        <v>65.075479910097457</v>
      </c>
      <c r="AE93" s="23">
        <f>[1]节奏总纲!AE93</f>
        <v>67.083433628014333</v>
      </c>
      <c r="AF93" s="23">
        <f>[1]节奏总纲!AF93</f>
        <v>69.982855616450394</v>
      </c>
      <c r="AG93" s="23">
        <f>[1]节奏总纲!AG93</f>
        <v>74.493385467679886</v>
      </c>
      <c r="AH93" s="23">
        <f>[1]节奏总纲!AH93</f>
        <v>83.124894550960335</v>
      </c>
      <c r="AZ93" s="23">
        <v>90</v>
      </c>
      <c r="BA93" s="23">
        <v>37.317457773889828</v>
      </c>
      <c r="BB93" s="23">
        <v>38.82039500446033</v>
      </c>
      <c r="BC93" s="23">
        <v>40.751734485509814</v>
      </c>
      <c r="BD93" s="23">
        <v>43.479537810324807</v>
      </c>
      <c r="BE93" s="23">
        <v>48.173700750441178</v>
      </c>
    </row>
    <row r="94" spans="6:57" x14ac:dyDescent="0.15">
      <c r="F94" s="23">
        <v>92</v>
      </c>
      <c r="G94" s="23">
        <v>587.1335577584814</v>
      </c>
      <c r="N94" s="28">
        <f>[1]节奏总纲!N94</f>
        <v>101</v>
      </c>
      <c r="O94" s="23">
        <v>91</v>
      </c>
      <c r="P94" s="23">
        <f>[1]节奏总纲!P94</f>
        <v>547.74801281858208</v>
      </c>
      <c r="Q94" s="23">
        <f>[1]节奏总纲!Q94</f>
        <v>469.42004698552483</v>
      </c>
      <c r="R94" s="23">
        <f>[1]节奏总纲!R94</f>
        <v>378.43910205635837</v>
      </c>
      <c r="S94" s="23">
        <f>[1]节奏总纲!S94</f>
        <v>272.61418597980827</v>
      </c>
      <c r="T94" s="23">
        <f>[1]节奏总纲!T94</f>
        <v>147.89196346101718</v>
      </c>
      <c r="U94" s="29"/>
      <c r="V94" s="23">
        <v>91</v>
      </c>
      <c r="W94" s="23">
        <f>[1]节奏总纲!W94</f>
        <v>36.748012818582083</v>
      </c>
      <c r="X94" s="23">
        <f>[1]节奏总纲!X94</f>
        <v>31.288646985524792</v>
      </c>
      <c r="Y94" s="23">
        <f>[1]节奏总纲!Y94</f>
        <v>24.67380205635834</v>
      </c>
      <c r="Z94" s="23">
        <f>[1]节奏总纲!Z94</f>
        <v>17.727385979808247</v>
      </c>
      <c r="AA94" s="23">
        <f>[1]节奏总纲!AA94</f>
        <v>9.4109634610171611</v>
      </c>
      <c r="AC94" s="23">
        <v>91</v>
      </c>
      <c r="AD94" s="23">
        <f>[1]节奏总纲!AD94</f>
        <v>65.229416240679981</v>
      </c>
      <c r="AE94" s="23">
        <f>[1]节奏总纲!AE94</f>
        <v>67.240606973055961</v>
      </c>
      <c r="AF94" s="23">
        <f>[1]节奏总纲!AF94</f>
        <v>70.137942795989005</v>
      </c>
      <c r="AG94" s="23">
        <f>[1]节奏总纲!AG94</f>
        <v>74.651012292080978</v>
      </c>
      <c r="AH94" s="23">
        <f>[1]节奏总纲!AH94</f>
        <v>83.279794092850153</v>
      </c>
      <c r="AZ94" s="23">
        <v>91</v>
      </c>
      <c r="BA94" s="23">
        <v>37.390060646747358</v>
      </c>
      <c r="BB94" s="23">
        <v>38.898683162257733</v>
      </c>
      <c r="BC94" s="23">
        <v>40.829433140342871</v>
      </c>
      <c r="BD94" s="23">
        <v>43.554431227194108</v>
      </c>
      <c r="BE94" s="23">
        <v>48.24548675007965</v>
      </c>
    </row>
    <row r="95" spans="6:57" x14ac:dyDescent="0.15">
      <c r="F95" s="23">
        <v>93</v>
      </c>
      <c r="G95" s="23">
        <v>629.34593963259704</v>
      </c>
      <c r="N95" s="28">
        <f>[1]节奏总纲!N95</f>
        <v>102</v>
      </c>
      <c r="O95" s="23">
        <v>92</v>
      </c>
      <c r="P95" s="23">
        <f>[1]节奏总纲!P95</f>
        <v>587.1335577584814</v>
      </c>
      <c r="Q95" s="23">
        <f>[1]节奏总纲!Q95</f>
        <v>502.29275866238083</v>
      </c>
      <c r="R95" s="23">
        <f>[1]节奏总纲!R95</f>
        <v>405.12215485335213</v>
      </c>
      <c r="S95" s="23">
        <f>[1]节奏总纲!S95</f>
        <v>291.57052478286187</v>
      </c>
      <c r="T95" s="23">
        <f>[1]节奏总纲!T95</f>
        <v>158.23249381591074</v>
      </c>
      <c r="U95" s="29"/>
      <c r="V95" s="23">
        <v>92</v>
      </c>
      <c r="W95" s="23">
        <f>[1]节奏总纲!W95</f>
        <v>39.385544939899319</v>
      </c>
      <c r="X95" s="23">
        <f>[1]节奏总纲!X95</f>
        <v>32.872711676855999</v>
      </c>
      <c r="Y95" s="23">
        <f>[1]节奏总纲!Y95</f>
        <v>26.683052796993763</v>
      </c>
      <c r="Z95" s="23">
        <f>[1]节奏总纲!Z95</f>
        <v>18.956338803053598</v>
      </c>
      <c r="AA95" s="23">
        <f>[1]节奏总纲!AA95</f>
        <v>10.340530354893559</v>
      </c>
      <c r="AC95" s="23">
        <v>92</v>
      </c>
      <c r="AD95" s="23">
        <f>[1]节奏总纲!AD95</f>
        <v>65.38335257126252</v>
      </c>
      <c r="AE95" s="23">
        <f>[1]节奏总纲!AE95</f>
        <v>67.397780318097588</v>
      </c>
      <c r="AF95" s="23">
        <f>[1]节奏总纲!AF95</f>
        <v>70.292327570459079</v>
      </c>
      <c r="AG95" s="23">
        <f>[1]节奏总纲!AG95</f>
        <v>74.808639116482055</v>
      </c>
      <c r="AH95" s="23">
        <f>[1]节奏总纲!AH95</f>
        <v>83.434693634739986</v>
      </c>
      <c r="AZ95" s="23">
        <v>92</v>
      </c>
      <c r="BA95" s="23">
        <v>37.462663519604888</v>
      </c>
      <c r="BB95" s="23">
        <v>38.976971320055128</v>
      </c>
      <c r="BC95" s="23">
        <v>40.907131795175928</v>
      </c>
      <c r="BD95" s="23">
        <v>43.629324644063402</v>
      </c>
      <c r="BE95" s="23">
        <v>48.317272749718121</v>
      </c>
    </row>
    <row r="96" spans="6:57" x14ac:dyDescent="0.15">
      <c r="F96" s="23">
        <v>94</v>
      </c>
      <c r="G96" s="23">
        <v>674.58805031572183</v>
      </c>
      <c r="N96" s="28">
        <f>[1]节奏总纲!N96</f>
        <v>103</v>
      </c>
      <c r="O96" s="23">
        <v>93</v>
      </c>
      <c r="P96" s="23">
        <f>[1]节奏总纲!P96</f>
        <v>629.34593963259704</v>
      </c>
      <c r="Q96" s="23">
        <f>[1]节奏总纲!Q96</f>
        <v>538.1537129798337</v>
      </c>
      <c r="R96" s="23">
        <f>[1]节奏总纲!R96</f>
        <v>433.68228700082267</v>
      </c>
      <c r="S96" s="23">
        <f>[1]节奏总纲!S96</f>
        <v>312.34438983965794</v>
      </c>
      <c r="T96" s="23">
        <f>[1]节奏总纲!T96</f>
        <v>168.664711821536</v>
      </c>
      <c r="U96" s="29"/>
      <c r="V96" s="23">
        <v>93</v>
      </c>
      <c r="W96" s="23">
        <f>[1]节奏总纲!W96</f>
        <v>42.212381874115636</v>
      </c>
      <c r="X96" s="23">
        <f>[1]节奏总纲!X96</f>
        <v>35.860954317452865</v>
      </c>
      <c r="Y96" s="23">
        <f>[1]节奏总纲!Y96</f>
        <v>28.56013214747054</v>
      </c>
      <c r="Z96" s="23">
        <f>[1]节奏总纲!Z96</f>
        <v>20.773865056796069</v>
      </c>
      <c r="AA96" s="23">
        <f>[1]节奏总纲!AA96</f>
        <v>10.432218005625259</v>
      </c>
      <c r="AC96" s="23">
        <v>93</v>
      </c>
      <c r="AD96" s="23">
        <f>[1]节奏总纲!AD96</f>
        <v>65.537288901845059</v>
      </c>
      <c r="AE96" s="23">
        <f>[1]节奏总纲!AE96</f>
        <v>67.554953663139216</v>
      </c>
      <c r="AF96" s="23">
        <f>[1]节奏总纲!AF96</f>
        <v>70.446712344929153</v>
      </c>
      <c r="AG96" s="23">
        <f>[1]节奏总纲!AG96</f>
        <v>74.966265940883147</v>
      </c>
      <c r="AH96" s="23">
        <f>[1]节奏总纲!AH96</f>
        <v>83.589593176629805</v>
      </c>
      <c r="AZ96" s="23">
        <v>93</v>
      </c>
      <c r="BA96" s="23">
        <v>37.535266392462418</v>
      </c>
      <c r="BB96" s="23">
        <v>39.047673544184711</v>
      </c>
      <c r="BC96" s="23">
        <v>40.984830450008985</v>
      </c>
      <c r="BD96" s="23">
        <v>43.704218060932696</v>
      </c>
      <c r="BE96" s="23">
        <v>48.389058749356593</v>
      </c>
    </row>
    <row r="97" spans="6:57" x14ac:dyDescent="0.15">
      <c r="F97" s="23">
        <v>95</v>
      </c>
      <c r="G97" s="23">
        <v>723.0773439350246</v>
      </c>
      <c r="N97" s="28">
        <f>[1]节奏总纲!N97</f>
        <v>104</v>
      </c>
      <c r="O97" s="23">
        <v>94</v>
      </c>
      <c r="P97" s="23">
        <f>[1]节奏总纲!P97</f>
        <v>674.58805031572183</v>
      </c>
      <c r="Q97" s="23">
        <f>[1]节奏总纲!Q97</f>
        <v>576.57040660484745</v>
      </c>
      <c r="R97" s="23">
        <f>[1]节奏总纲!R97</f>
        <v>464.31895503231135</v>
      </c>
      <c r="S97" s="23">
        <f>[1]节奏总纲!S97</f>
        <v>332.97666163584029</v>
      </c>
      <c r="T97" s="23">
        <f>[1]节奏总纲!T97</f>
        <v>179.77771540913989</v>
      </c>
      <c r="U97" s="29"/>
      <c r="V97" s="23">
        <v>94</v>
      </c>
      <c r="W97" s="23">
        <f>[1]节奏总纲!W97</f>
        <v>45.242110683124793</v>
      </c>
      <c r="X97" s="23">
        <f>[1]节奏总纲!X97</f>
        <v>38.41669362501375</v>
      </c>
      <c r="Y97" s="23">
        <f>[1]节奏总纲!Y97</f>
        <v>30.636668031488682</v>
      </c>
      <c r="Z97" s="23">
        <f>[1]节奏总纲!Z97</f>
        <v>20.632271796182351</v>
      </c>
      <c r="AA97" s="23">
        <f>[1]节奏总纲!AA97</f>
        <v>11.113003587603885</v>
      </c>
      <c r="AC97" s="23">
        <v>94</v>
      </c>
      <c r="AD97" s="23">
        <f>[1]节奏总纲!AD97</f>
        <v>65.691225232427584</v>
      </c>
      <c r="AE97" s="23">
        <f>[1]节奏总纲!AE97</f>
        <v>67.712127008180858</v>
      </c>
      <c r="AF97" s="23">
        <f>[1]节奏总纲!AF97</f>
        <v>70.601097119399213</v>
      </c>
      <c r="AG97" s="23">
        <f>[1]节奏总纲!AG97</f>
        <v>75.115180559621535</v>
      </c>
      <c r="AH97" s="23">
        <f>[1]节奏总纲!AH97</f>
        <v>83.744492718519624</v>
      </c>
      <c r="AZ97" s="23">
        <v>94</v>
      </c>
      <c r="BA97" s="23">
        <v>37.607869265319941</v>
      </c>
      <c r="BB97" s="23">
        <v>39.115214427575864</v>
      </c>
      <c r="BC97" s="23">
        <v>41.053954370816207</v>
      </c>
      <c r="BD97" s="23">
        <v>43.77911147780199</v>
      </c>
      <c r="BE97" s="23">
        <v>48.460844748995065</v>
      </c>
    </row>
    <row r="98" spans="6:57" x14ac:dyDescent="0.15">
      <c r="F98" s="23">
        <v>96</v>
      </c>
      <c r="G98" s="23">
        <v>775.04688205332377</v>
      </c>
      <c r="N98" s="28">
        <f>[1]节奏总纲!N98</f>
        <v>105</v>
      </c>
      <c r="O98" s="23">
        <v>95</v>
      </c>
      <c r="P98" s="23">
        <f>[1]节奏总纲!P98</f>
        <v>723.0773439350246</v>
      </c>
      <c r="Q98" s="23">
        <f>[1]节奏总纲!Q98</f>
        <v>618.44805226762651</v>
      </c>
      <c r="R98" s="23">
        <f>[1]节奏总纲!R98</f>
        <v>496.24798114260739</v>
      </c>
      <c r="S98" s="23">
        <f>[1]节奏总纲!S98</f>
        <v>355.68174548163859</v>
      </c>
      <c r="T98" s="23">
        <f>[1]节奏总纲!T98</f>
        <v>192.70011215868408</v>
      </c>
      <c r="U98" s="29"/>
      <c r="V98" s="23">
        <v>95</v>
      </c>
      <c r="W98" s="23">
        <f>[1]节奏总纲!W98</f>
        <v>48.489293619302771</v>
      </c>
      <c r="X98" s="23">
        <f>[1]节奏总纲!X98</f>
        <v>41.877645662779059</v>
      </c>
      <c r="Y98" s="23">
        <f>[1]节奏总纲!Y98</f>
        <v>31.929026110296036</v>
      </c>
      <c r="Z98" s="23">
        <f>[1]节奏总纲!Z98</f>
        <v>22.705083845798299</v>
      </c>
      <c r="AA98" s="23">
        <f>[1]节奏总纲!AA98</f>
        <v>12.922396749544191</v>
      </c>
      <c r="AC98" s="23">
        <v>95</v>
      </c>
      <c r="AD98" s="23">
        <f>[1]节奏总纲!AD98</f>
        <v>65.845161563010123</v>
      </c>
      <c r="AE98" s="23">
        <f>[1]节奏总纲!AE98</f>
        <v>67.869300353222485</v>
      </c>
      <c r="AF98" s="23">
        <f>[1]节奏总纲!AF98</f>
        <v>70.755481893869288</v>
      </c>
      <c r="AG98" s="23">
        <f>[1]节奏总纲!AG98</f>
        <v>75.261722981240993</v>
      </c>
      <c r="AH98" s="23">
        <f>[1]节奏总纲!AH98</f>
        <v>83.899392260409456</v>
      </c>
      <c r="AZ98" s="23">
        <v>95</v>
      </c>
      <c r="BA98" s="23">
        <v>37.680472138177471</v>
      </c>
      <c r="BB98" s="23">
        <v>39.182755310967018</v>
      </c>
      <c r="BC98" s="23">
        <v>41.120998062635785</v>
      </c>
      <c r="BD98" s="23">
        <v>43.854004894671284</v>
      </c>
      <c r="BE98" s="23">
        <v>48.532630748633537</v>
      </c>
    </row>
    <row r="99" spans="6:57" x14ac:dyDescent="0.15">
      <c r="F99" s="23">
        <v>97</v>
      </c>
      <c r="G99" s="23">
        <v>830.74645386878444</v>
      </c>
      <c r="N99" s="28">
        <f>[1]节奏总纲!N99</f>
        <v>106</v>
      </c>
      <c r="O99" s="23">
        <v>96</v>
      </c>
      <c r="P99" s="23">
        <f>[1]节奏总纲!P99</f>
        <v>775.04688205332377</v>
      </c>
      <c r="Q99" s="23">
        <f>[1]节奏总纲!Q99</f>
        <v>661.0374857032798</v>
      </c>
      <c r="R99" s="23">
        <f>[1]节奏总纲!R99</f>
        <v>529.6670391952415</v>
      </c>
      <c r="S99" s="23">
        <f>[1]节奏总纲!S99</f>
        <v>380.3930097117713</v>
      </c>
      <c r="T99" s="23">
        <f>[1]节奏总纲!T99</f>
        <v>206.5499940672108</v>
      </c>
      <c r="U99" s="29"/>
      <c r="V99" s="23">
        <v>96</v>
      </c>
      <c r="W99" s="23">
        <f>[1]节奏总纲!W99</f>
        <v>51.96953811829917</v>
      </c>
      <c r="X99" s="23">
        <f>[1]节奏总纲!X99</f>
        <v>42.589433435653291</v>
      </c>
      <c r="Y99" s="23">
        <f>[1]节奏总纲!Y99</f>
        <v>33.419058052634114</v>
      </c>
      <c r="Z99" s="23">
        <f>[1]节奏总纲!Z99</f>
        <v>24.711264230132713</v>
      </c>
      <c r="AA99" s="23">
        <f>[1]节奏总纲!AA99</f>
        <v>13.849881908526726</v>
      </c>
      <c r="AC99" s="23">
        <v>96</v>
      </c>
      <c r="AD99" s="23">
        <f>[1]节奏总纲!AD99</f>
        <v>65.999097893592648</v>
      </c>
      <c r="AE99" s="23">
        <f>[1]节奏总纲!AE99</f>
        <v>68.025215371037646</v>
      </c>
      <c r="AF99" s="23">
        <f>[1]节奏总纲!AF99</f>
        <v>70.909866668339362</v>
      </c>
      <c r="AG99" s="23">
        <f>[1]节奏总纲!AG99</f>
        <v>75.408265402860437</v>
      </c>
      <c r="AH99" s="23">
        <f>[1]节奏总纲!AH99</f>
        <v>84.050903767166133</v>
      </c>
      <c r="AZ99" s="23">
        <v>96</v>
      </c>
      <c r="BA99" s="23">
        <v>37.753075011035001</v>
      </c>
      <c r="BB99" s="23">
        <v>39.250296194358178</v>
      </c>
      <c r="BC99" s="23">
        <v>41.188041754455355</v>
      </c>
      <c r="BD99" s="23">
        <v>43.928898311540578</v>
      </c>
      <c r="BE99" s="23">
        <v>48.604416748272008</v>
      </c>
    </row>
    <row r="100" spans="6:57" x14ac:dyDescent="0.15">
      <c r="F100" s="23">
        <v>98</v>
      </c>
      <c r="G100" s="23">
        <v>890.4437768152311</v>
      </c>
      <c r="N100" s="28">
        <f>[1]节奏总纲!N100</f>
        <v>107</v>
      </c>
      <c r="O100" s="23">
        <v>97</v>
      </c>
      <c r="P100" s="23">
        <f>[1]节奏总纲!P100</f>
        <v>830.74645386878444</v>
      </c>
      <c r="Q100" s="23">
        <f>[1]节奏总纲!Q100</f>
        <v>707.38060546926999</v>
      </c>
      <c r="R100" s="23">
        <f>[1]节奏总纲!R100</f>
        <v>568.64594767318295</v>
      </c>
      <c r="S100" s="23">
        <f>[1]节奏总纲!S100</f>
        <v>409.14262853037633</v>
      </c>
      <c r="T100" s="23">
        <f>[1]节奏总纲!T100</f>
        <v>222.64004963683425</v>
      </c>
      <c r="U100" s="29"/>
      <c r="V100" s="23">
        <v>97</v>
      </c>
      <c r="W100" s="23">
        <f>[1]节奏总纲!W100</f>
        <v>55.699571815460672</v>
      </c>
      <c r="X100" s="23">
        <f>[1]节奏总纲!X100</f>
        <v>46.343119765990195</v>
      </c>
      <c r="Y100" s="23">
        <f>[1]节奏总纲!Y100</f>
        <v>38.978908477941445</v>
      </c>
      <c r="Z100" s="23">
        <f>[1]节奏总纲!Z100</f>
        <v>28.749618818605029</v>
      </c>
      <c r="AA100" s="23">
        <f>[1]节奏总纲!AA100</f>
        <v>16.090055569623445</v>
      </c>
      <c r="AC100" s="23">
        <v>97</v>
      </c>
      <c r="AD100" s="23">
        <f>[1]节奏总纲!AD100</f>
        <v>66.142785979989682</v>
      </c>
      <c r="AE100" s="23">
        <f>[1]节奏总纲!AE100</f>
        <v>68.174918074940805</v>
      </c>
      <c r="AF100" s="23">
        <f>[1]节奏总纲!AF100</f>
        <v>71.061795050376986</v>
      </c>
      <c r="AG100" s="23">
        <f>[1]节奏总纲!AG100</f>
        <v>75.554807824479894</v>
      </c>
      <c r="AH100" s="23">
        <f>[1]节奏总纲!AH100</f>
        <v>84.196136930932482</v>
      </c>
      <c r="AZ100" s="23">
        <v>97</v>
      </c>
      <c r="BA100" s="23">
        <v>37.825677883892531</v>
      </c>
      <c r="BB100" s="23">
        <v>39.317837077749331</v>
      </c>
      <c r="BC100" s="23">
        <v>41.255085446274933</v>
      </c>
      <c r="BD100" s="23">
        <v>44.003272544984547</v>
      </c>
      <c r="BE100" s="23">
        <v>48.67620274791048</v>
      </c>
    </row>
    <row r="101" spans="6:57" x14ac:dyDescent="0.15">
      <c r="F101" s="23">
        <v>99</v>
      </c>
      <c r="G101" s="23">
        <v>954.42578333369079</v>
      </c>
      <c r="N101" s="28">
        <f>[1]节奏总纲!N101</f>
        <v>108</v>
      </c>
      <c r="O101" s="23">
        <v>98</v>
      </c>
      <c r="P101" s="23">
        <f>[1]节奏总纲!P101</f>
        <v>890.4437768152311</v>
      </c>
      <c r="Q101" s="23">
        <f>[1]节奏总纲!Q101</f>
        <v>759.6375860010736</v>
      </c>
      <c r="R101" s="23">
        <f>[1]节奏总纲!R101</f>
        <v>612.26914093815287</v>
      </c>
      <c r="S101" s="23">
        <f>[1]节奏总纲!S101</f>
        <v>441.21489141194701</v>
      </c>
      <c r="T101" s="23">
        <f>[1]节奏总纲!T101</f>
        <v>240.41981974011242</v>
      </c>
      <c r="U101" s="29"/>
      <c r="V101" s="23">
        <v>98</v>
      </c>
      <c r="W101" s="23">
        <f>[1]节奏总纲!W101</f>
        <v>59.697322946446661</v>
      </c>
      <c r="X101" s="23">
        <f>[1]节奏总纲!X101</f>
        <v>52.256980531803606</v>
      </c>
      <c r="Y101" s="23">
        <f>[1]节奏总纲!Y101</f>
        <v>43.623193264969927</v>
      </c>
      <c r="Z101" s="23">
        <f>[1]节奏总纲!Z101</f>
        <v>32.07226288157068</v>
      </c>
      <c r="AA101" s="23">
        <f>[1]节奏总纲!AA101</f>
        <v>17.779770103278167</v>
      </c>
      <c r="AC101" s="23">
        <v>98</v>
      </c>
      <c r="AD101" s="23">
        <f>[1]节奏总纲!AD101</f>
        <v>66.286413655019302</v>
      </c>
      <c r="AE101" s="23">
        <f>[1]节奏总纲!AE101</f>
        <v>68.324620778843951</v>
      </c>
      <c r="AF101" s="23">
        <f>[1]节奏总纲!AF101</f>
        <v>71.210277551293188</v>
      </c>
      <c r="AG101" s="23">
        <f>[1]节奏总纲!AG101</f>
        <v>75.701350246099338</v>
      </c>
      <c r="AH101" s="23">
        <f>[1]节奏总纲!AH101</f>
        <v>84.341370094698831</v>
      </c>
      <c r="AZ101" s="23">
        <v>98</v>
      </c>
      <c r="BA101" s="23">
        <v>37.898280756750061</v>
      </c>
      <c r="BB101" s="23">
        <v>39.385377961140485</v>
      </c>
      <c r="BC101" s="23">
        <v>41.322129138094503</v>
      </c>
      <c r="BD101" s="23">
        <v>44.067911160744309</v>
      </c>
      <c r="BE101" s="23">
        <v>48.747988747548945</v>
      </c>
    </row>
    <row r="102" spans="6:57" x14ac:dyDescent="0.15">
      <c r="F102" s="23">
        <v>100</v>
      </c>
      <c r="G102" s="23">
        <v>1023</v>
      </c>
      <c r="N102" s="28">
        <f>[1]节奏总纲!N102</f>
        <v>109</v>
      </c>
      <c r="O102" s="23">
        <v>99</v>
      </c>
      <c r="P102" s="23">
        <f>[1]节奏总纲!P102</f>
        <v>954.42578333369079</v>
      </c>
      <c r="Q102" s="23">
        <f>[1]节奏总纲!Q102</f>
        <v>815.74771701530551</v>
      </c>
      <c r="R102" s="23">
        <f>[1]节奏总纲!R102</f>
        <v>658.26746276524648</v>
      </c>
      <c r="S102" s="23">
        <f>[1]节奏总纲!S102</f>
        <v>475.39948267851139</v>
      </c>
      <c r="T102" s="23">
        <f>[1]节奏总纲!T102</f>
        <v>257.2177486084297</v>
      </c>
      <c r="U102" s="29"/>
      <c r="V102" s="23">
        <v>99</v>
      </c>
      <c r="W102" s="23">
        <f>[1]节奏总纲!W102</f>
        <v>63.982006518459684</v>
      </c>
      <c r="X102" s="23">
        <f>[1]节奏总纲!X102</f>
        <v>56.110131014231911</v>
      </c>
      <c r="Y102" s="23">
        <f>[1]节奏总纲!Y102</f>
        <v>45.998321827093605</v>
      </c>
      <c r="Z102" s="23">
        <f>[1]节奏总纲!Z102</f>
        <v>34.184591266564382</v>
      </c>
      <c r="AA102" s="23">
        <f>[1]节奏总纲!AA102</f>
        <v>16.797928868317285</v>
      </c>
      <c r="AC102" s="23">
        <v>99</v>
      </c>
      <c r="AD102" s="23">
        <f>[1]节奏总纲!AD102</f>
        <v>66.430041330048923</v>
      </c>
      <c r="AE102" s="23">
        <f>[1]节奏总纲!AE102</f>
        <v>68.474323482747096</v>
      </c>
      <c r="AF102" s="23">
        <f>[1]节奏总纲!AF102</f>
        <v>71.358760052209377</v>
      </c>
      <c r="AG102" s="23">
        <f>[1]节奏总纲!AG102</f>
        <v>75.847892667718796</v>
      </c>
      <c r="AH102" s="23">
        <f>[1]节奏总纲!AH102</f>
        <v>84.48660325846518</v>
      </c>
      <c r="AZ102" s="23">
        <v>99</v>
      </c>
      <c r="BA102" s="23">
        <v>37.970883629607592</v>
      </c>
      <c r="BB102" s="23">
        <v>39.452918844531645</v>
      </c>
      <c r="BC102" s="23">
        <v>41.389172829914081</v>
      </c>
      <c r="BD102" s="23">
        <v>44.132549776504064</v>
      </c>
      <c r="BE102" s="23">
        <v>48.819774747187417</v>
      </c>
    </row>
    <row r="103" spans="6:57" x14ac:dyDescent="0.15">
      <c r="F103" s="23">
        <v>101</v>
      </c>
      <c r="G103" s="23">
        <v>1096.4960256371633</v>
      </c>
      <c r="N103" s="28">
        <f>[1]节奏总纲!N103</f>
        <v>110</v>
      </c>
      <c r="O103" s="23">
        <v>100</v>
      </c>
      <c r="P103" s="23">
        <f>[1]节奏总纲!P103</f>
        <v>1023</v>
      </c>
      <c r="Q103" s="23">
        <f>[1]节奏总纲!Q103</f>
        <v>874.97189999999989</v>
      </c>
      <c r="R103" s="23">
        <f>[1]节奏总纲!R103</f>
        <v>706.6884</v>
      </c>
      <c r="S103" s="23">
        <f>[1]节奏总纲!S103</f>
        <v>508.22640000000001</v>
      </c>
      <c r="T103" s="23">
        <f>[1]节奏总纲!T103</f>
        <v>274.16400000000004</v>
      </c>
      <c r="U103" s="29"/>
      <c r="V103" s="23">
        <v>100</v>
      </c>
      <c r="W103" s="23">
        <f>[1]节奏总纲!W103</f>
        <v>68.574216666309212</v>
      </c>
      <c r="X103" s="23">
        <f>[1]节奏总纲!X103</f>
        <v>59.22418298469438</v>
      </c>
      <c r="Y103" s="23">
        <f>[1]节奏总纲!Y103</f>
        <v>48.420937234753524</v>
      </c>
      <c r="Z103" s="23">
        <f>[1]节奏总纲!Z103</f>
        <v>32.826917321488622</v>
      </c>
      <c r="AA103" s="23">
        <f>[1]节奏总纲!AA103</f>
        <v>16.946251391570343</v>
      </c>
      <c r="AC103" s="23">
        <v>100</v>
      </c>
      <c r="AD103" s="23">
        <f>[1]节奏总纲!AD103</f>
        <v>66.573669005078543</v>
      </c>
      <c r="AE103" s="23">
        <f>[1]节奏总纲!AE103</f>
        <v>68.624026186650241</v>
      </c>
      <c r="AF103" s="23">
        <f>[1]节奏总纲!AF103</f>
        <v>71.507242553125565</v>
      </c>
      <c r="AG103" s="23">
        <f>[1]节奏总纲!AG103</f>
        <v>75.994435089338239</v>
      </c>
      <c r="AH103" s="23">
        <f>[1]节奏总纲!AH103</f>
        <v>84.63183642223153</v>
      </c>
      <c r="AZ103" s="23">
        <v>100</v>
      </c>
      <c r="BA103" s="23">
        <v>38.037513426486328</v>
      </c>
      <c r="BB103" s="23">
        <v>39.520459727922798</v>
      </c>
      <c r="BC103" s="23">
        <v>41.456216521733651</v>
      </c>
      <c r="BD103" s="23">
        <v>44.197188392263818</v>
      </c>
      <c r="BE103" s="23">
        <v>48.891560746825888</v>
      </c>
    </row>
    <row r="104" spans="6:57" x14ac:dyDescent="0.15">
      <c r="F104" s="23">
        <v>102</v>
      </c>
      <c r="G104" s="23">
        <v>1175.2671155169628</v>
      </c>
      <c r="N104" s="28">
        <f>[1]节奏总纲!N104</f>
        <v>111</v>
      </c>
      <c r="O104" s="23">
        <v>101</v>
      </c>
      <c r="P104" s="23">
        <f>[1]节奏总纲!P104</f>
        <v>1096.4960256371633</v>
      </c>
      <c r="Q104" s="23">
        <f>[1]节奏总纲!Q104</f>
        <v>939.58744436848519</v>
      </c>
      <c r="R104" s="23">
        <f>[1]节奏总纲!R104</f>
        <v>756.47260808707892</v>
      </c>
      <c r="S104" s="23">
        <f>[1]节奏总纲!S104</f>
        <v>541.34008785706749</v>
      </c>
      <c r="T104" s="23">
        <f>[1]节奏总纲!T104</f>
        <v>292.76443884512258</v>
      </c>
      <c r="U104" s="29"/>
      <c r="V104" s="23">
        <v>101</v>
      </c>
      <c r="W104" s="23">
        <f>[1]节奏总纲!W104</f>
        <v>73.496025637163257</v>
      </c>
      <c r="X104" s="23">
        <f>[1]节奏总纲!X104</f>
        <v>64.615544368485303</v>
      </c>
      <c r="Y104" s="23">
        <f>[1]节奏总纲!Y104</f>
        <v>49.784208087078923</v>
      </c>
      <c r="Z104" s="23">
        <f>[1]节奏总纲!Z104</f>
        <v>33.113687857067475</v>
      </c>
      <c r="AA104" s="23">
        <f>[1]节奏总纲!AA104</f>
        <v>18.60043884512254</v>
      </c>
      <c r="AC104" s="23">
        <v>101</v>
      </c>
      <c r="AD104" s="23">
        <f>[1]节奏总纲!AD104</f>
        <v>66.717296680108163</v>
      </c>
      <c r="AE104" s="23">
        <f>[1]节奏总纲!AE104</f>
        <v>68.773728890553386</v>
      </c>
      <c r="AF104" s="23">
        <f>[1]节奏总纲!AF104</f>
        <v>71.655725054041767</v>
      </c>
      <c r="AG104" s="23">
        <f>[1]节奏总纲!AG104</f>
        <v>76.130305911210229</v>
      </c>
      <c r="AH104" s="23">
        <f>[1]节奏总纲!AH104</f>
        <v>84.777069585997879</v>
      </c>
      <c r="AZ104" s="23">
        <v>101</v>
      </c>
      <c r="BA104" s="23">
        <v>38.100143952724252</v>
      </c>
      <c r="BB104" s="23">
        <v>39.588000611313952</v>
      </c>
      <c r="BC104" s="23">
        <v>41.523260213553229</v>
      </c>
      <c r="BD104" s="23">
        <v>44.261827008023573</v>
      </c>
      <c r="BE104" s="23">
        <v>48.96334674646436</v>
      </c>
    </row>
    <row r="105" spans="6:57" x14ac:dyDescent="0.15">
      <c r="F105" s="23">
        <v>103</v>
      </c>
      <c r="G105" s="23">
        <v>1259.6918792651943</v>
      </c>
      <c r="N105" s="28">
        <f>[1]节奏总纲!N105</f>
        <v>112</v>
      </c>
      <c r="O105" s="23">
        <v>102</v>
      </c>
      <c r="P105" s="23">
        <f>[1]节奏总纲!P105</f>
        <v>1175.2671155169628</v>
      </c>
      <c r="Q105" s="23">
        <f>[1]节奏总纲!Q105</f>
        <v>1004.2657502092447</v>
      </c>
      <c r="R105" s="23">
        <f>[1]节奏总纲!R105</f>
        <v>806.23324124463659</v>
      </c>
      <c r="S105" s="23">
        <f>[1]节奏总纲!S105</f>
        <v>577.05615371882868</v>
      </c>
      <c r="T105" s="23">
        <f>[1]节奏总纲!T105</f>
        <v>312.62105272751211</v>
      </c>
      <c r="U105" s="29"/>
      <c r="V105" s="23">
        <v>102</v>
      </c>
      <c r="W105" s="23">
        <f>[1]节奏总纲!W105</f>
        <v>78.771089879799547</v>
      </c>
      <c r="X105" s="23">
        <f>[1]节奏总纲!X105</f>
        <v>64.678305840759549</v>
      </c>
      <c r="Y105" s="23">
        <f>[1]节奏总纲!Y105</f>
        <v>49.760633157557663</v>
      </c>
      <c r="Z105" s="23">
        <f>[1]节奏总纲!Z105</f>
        <v>35.716065861761194</v>
      </c>
      <c r="AA105" s="23">
        <f>[1]节奏总纲!AA105</f>
        <v>19.856613882389524</v>
      </c>
      <c r="AC105" s="23">
        <v>102</v>
      </c>
      <c r="AD105" s="23">
        <f>[1]节奏总纲!AD105</f>
        <v>66.860924355137783</v>
      </c>
      <c r="AE105" s="23">
        <f>[1]节奏总纲!AE105</f>
        <v>68.923431594456531</v>
      </c>
      <c r="AF105" s="23">
        <f>[1]节奏总纲!AF105</f>
        <v>71.804207554957955</v>
      </c>
      <c r="AG105" s="23">
        <f>[1]节奏总纲!AG105</f>
        <v>76.265755485049056</v>
      </c>
      <c r="AH105" s="23">
        <f>[1]节奏总纲!AH105</f>
        <v>84.922302749764228</v>
      </c>
      <c r="AZ105" s="23">
        <v>102</v>
      </c>
      <c r="BA105" s="23">
        <v>38.16277447896217</v>
      </c>
      <c r="BB105" s="23">
        <v>39.655541494705105</v>
      </c>
      <c r="BC105" s="23">
        <v>41.590303905372799</v>
      </c>
      <c r="BD105" s="23">
        <v>44.326465623783335</v>
      </c>
      <c r="BE105" s="23">
        <v>49.030333272797542</v>
      </c>
    </row>
    <row r="106" spans="6:57" x14ac:dyDescent="0.15">
      <c r="F106" s="23">
        <v>104</v>
      </c>
      <c r="G106" s="23">
        <v>1350.1761006314437</v>
      </c>
      <c r="N106" s="28">
        <f>[1]节奏总纲!N106</f>
        <v>113</v>
      </c>
      <c r="O106" s="23">
        <v>103</v>
      </c>
      <c r="P106" s="23">
        <f>[1]节奏总纲!P106</f>
        <v>1259.6918792651943</v>
      </c>
      <c r="Q106" s="23">
        <f>[1]节奏总纲!Q106</f>
        <v>1073.383450321872</v>
      </c>
      <c r="R106" s="23">
        <f>[1]节奏总纲!R106</f>
        <v>860.49552272605433</v>
      </c>
      <c r="S106" s="23">
        <f>[1]节奏总纲!S106</f>
        <v>618.00483596750428</v>
      </c>
      <c r="T106" s="23">
        <f>[1]节奏总纲!T106</f>
        <v>335.07803988454168</v>
      </c>
      <c r="U106" s="29"/>
      <c r="V106" s="23">
        <v>103</v>
      </c>
      <c r="W106" s="23">
        <f>[1]节奏总纲!W106</f>
        <v>84.424763748231499</v>
      </c>
      <c r="X106" s="23">
        <f>[1]节奏总纲!X106</f>
        <v>69.11770011262729</v>
      </c>
      <c r="Y106" s="23">
        <f>[1]节奏总纲!Y106</f>
        <v>54.262281481417745</v>
      </c>
      <c r="Z106" s="23">
        <f>[1]节奏总纲!Z106</f>
        <v>40.948682248675595</v>
      </c>
      <c r="AA106" s="23">
        <f>[1]节奏总纲!AA106</f>
        <v>22.456987157029573</v>
      </c>
      <c r="AC106" s="23">
        <v>103</v>
      </c>
      <c r="AD106" s="23">
        <f>[1]节奏总纲!AD106</f>
        <v>67.004247194324648</v>
      </c>
      <c r="AE106" s="23">
        <f>[1]节奏总纲!AE106</f>
        <v>69.0655056802525</v>
      </c>
      <c r="AF106" s="23">
        <f>[1]节奏总纲!AF106</f>
        <v>71.952690055874157</v>
      </c>
      <c r="AG106" s="23">
        <f>[1]节奏总纲!AG106</f>
        <v>76.401205058887882</v>
      </c>
      <c r="AH106" s="23">
        <f>[1]节奏总纲!AH106</f>
        <v>85.072521641060263</v>
      </c>
      <c r="AZ106" s="23">
        <v>103</v>
      </c>
      <c r="BA106" s="23">
        <v>38.225405005200088</v>
      </c>
      <c r="BB106" s="23">
        <v>39.723082378096265</v>
      </c>
      <c r="BC106" s="23">
        <v>41.657347597192377</v>
      </c>
      <c r="BD106" s="23">
        <v>44.39110423954309</v>
      </c>
      <c r="BE106" s="23">
        <v>49.09231260978715</v>
      </c>
    </row>
    <row r="107" spans="6:57" x14ac:dyDescent="0.15">
      <c r="F107" s="23">
        <v>105</v>
      </c>
      <c r="G107" s="23">
        <v>1447.1546878700494</v>
      </c>
      <c r="N107" s="28">
        <f>[1]节奏总纲!N107</f>
        <v>114</v>
      </c>
      <c r="O107" s="23">
        <v>104</v>
      </c>
      <c r="P107" s="23">
        <f>[1]节奏总纲!P107</f>
        <v>1350.1761006314437</v>
      </c>
      <c r="Q107" s="23">
        <f>[1]节奏总纲!Q107</f>
        <v>1149.9449849078005</v>
      </c>
      <c r="R107" s="23">
        <f>[1]节奏总纲!R107</f>
        <v>925.14066415266529</v>
      </c>
      <c r="S107" s="23">
        <f>[1]节奏总纲!S107</f>
        <v>664.55667673079665</v>
      </c>
      <c r="T107" s="23">
        <f>[1]节奏总纲!T107</f>
        <v>360.49701886859549</v>
      </c>
      <c r="U107" s="29"/>
      <c r="V107" s="23">
        <v>104</v>
      </c>
      <c r="W107" s="23">
        <f>[1]节奏总纲!W107</f>
        <v>90.484221366249358</v>
      </c>
      <c r="X107" s="23">
        <f>[1]节奏总纲!X107</f>
        <v>76.561534585928484</v>
      </c>
      <c r="Y107" s="23">
        <f>[1]节奏总纲!Y107</f>
        <v>64.645141426610962</v>
      </c>
      <c r="Z107" s="23">
        <f>[1]节奏总纲!Z107</f>
        <v>46.551840763292375</v>
      </c>
      <c r="AA107" s="23">
        <f>[1]节奏总纲!AA107</f>
        <v>25.418978984053808</v>
      </c>
      <c r="AC107" s="23">
        <v>104</v>
      </c>
      <c r="AD107" s="23">
        <f>[1]节奏总纲!AD107</f>
        <v>67.138256553625013</v>
      </c>
      <c r="AE107" s="23">
        <f>[1]节奏总纲!AE107</f>
        <v>69.199592937186125</v>
      </c>
      <c r="AF107" s="23">
        <f>[1]节奏总纲!AF107</f>
        <v>72.093818006439079</v>
      </c>
      <c r="AG107" s="23">
        <f>[1]节奏总纲!AG107</f>
        <v>76.536654632726695</v>
      </c>
      <c r="AH107" s="23">
        <f>[1]节奏总纲!AH107</f>
        <v>85.228476403824274</v>
      </c>
      <c r="AZ107" s="23">
        <v>104</v>
      </c>
      <c r="BA107" s="23">
        <v>38.288035531438013</v>
      </c>
      <c r="BB107" s="23">
        <v>39.790623261487418</v>
      </c>
      <c r="BC107" s="23">
        <v>41.724391289011947</v>
      </c>
      <c r="BD107" s="23">
        <v>44.455742855302844</v>
      </c>
      <c r="BE107" s="23">
        <v>49.154291946776759</v>
      </c>
    </row>
    <row r="108" spans="6:57" x14ac:dyDescent="0.15">
      <c r="F108" s="23">
        <v>106</v>
      </c>
      <c r="G108" s="23">
        <v>1551.0937641066464</v>
      </c>
      <c r="N108" s="28">
        <f>[1]节奏总纲!N108</f>
        <v>115</v>
      </c>
      <c r="O108" s="23">
        <v>105</v>
      </c>
      <c r="P108" s="23">
        <f>[1]节奏总纲!P108</f>
        <v>1447.1546878700494</v>
      </c>
      <c r="Q108" s="23">
        <f>[1]节奏总纲!Q108</f>
        <v>1234.8570951595132</v>
      </c>
      <c r="R108" s="23">
        <f>[1]节奏总纲!R108</f>
        <v>993.18226228521496</v>
      </c>
      <c r="S108" s="23">
        <f>[1]节奏总纲!S108</f>
        <v>714.74970033901741</v>
      </c>
      <c r="T108" s="23">
        <f>[1]节奏总纲!T108</f>
        <v>386.39030166130323</v>
      </c>
      <c r="U108" s="29"/>
      <c r="V108" s="23">
        <v>105</v>
      </c>
      <c r="W108" s="23">
        <f>[1]节奏总纲!W108</f>
        <v>96.978587238605769</v>
      </c>
      <c r="X108" s="23">
        <f>[1]节奏总纲!X108</f>
        <v>84.912110251712647</v>
      </c>
      <c r="Y108" s="23">
        <f>[1]节奏总纲!Y108</f>
        <v>68.041598132549666</v>
      </c>
      <c r="Z108" s="23">
        <f>[1]节奏总纲!Z108</f>
        <v>50.193023608220756</v>
      </c>
      <c r="AA108" s="23">
        <f>[1]节奏总纲!AA108</f>
        <v>25.893282792707737</v>
      </c>
      <c r="AC108" s="23">
        <v>105</v>
      </c>
      <c r="AD108" s="23">
        <f>[1]节奏总纲!AD108</f>
        <v>67.272265912925377</v>
      </c>
      <c r="AE108" s="23">
        <f>[1]节奏总纲!AE108</f>
        <v>69.333680194119751</v>
      </c>
      <c r="AF108" s="23">
        <f>[1]节奏总纲!AF108</f>
        <v>72.23150684883845</v>
      </c>
      <c r="AG108" s="23">
        <f>[1]节奏总纲!AG108</f>
        <v>76.672104206565521</v>
      </c>
      <c r="AH108" s="23">
        <f>[1]节奏总纲!AH108</f>
        <v>85.384431166588271</v>
      </c>
      <c r="AZ108" s="23">
        <v>105</v>
      </c>
      <c r="BA108" s="23">
        <v>38.35066605767593</v>
      </c>
      <c r="BB108" s="23">
        <v>39.858164144878572</v>
      </c>
      <c r="BC108" s="23">
        <v>41.791434980831518</v>
      </c>
      <c r="BD108" s="23">
        <v>44.520381471062606</v>
      </c>
      <c r="BE108" s="23">
        <v>49.216271283766375</v>
      </c>
    </row>
    <row r="109" spans="6:57" x14ac:dyDescent="0.15">
      <c r="F109" s="23">
        <v>107</v>
      </c>
      <c r="G109" s="23">
        <v>1662.4929077375689</v>
      </c>
      <c r="N109" s="28">
        <f>[1]节奏总纲!N109</f>
        <v>116</v>
      </c>
      <c r="O109" s="23">
        <v>106</v>
      </c>
      <c r="P109" s="23">
        <f>[1]节奏总纲!P109</f>
        <v>1551.0937641066464</v>
      </c>
      <c r="Q109" s="23">
        <f>[1]节奏总纲!Q109</f>
        <v>1324.4789651706653</v>
      </c>
      <c r="R109" s="23">
        <f>[1]节奏总纲!R109</f>
        <v>1064.6707596828021</v>
      </c>
      <c r="S109" s="23">
        <f>[1]节奏总纲!S109</f>
        <v>764.999444457398</v>
      </c>
      <c r="T109" s="23">
        <f>[1]节奏总纲!T109</f>
        <v>412.59094125236794</v>
      </c>
      <c r="U109" s="29"/>
      <c r="V109" s="23">
        <v>106</v>
      </c>
      <c r="W109" s="23">
        <f>[1]节奏总纲!W109</f>
        <v>103.93907623659697</v>
      </c>
      <c r="X109" s="23">
        <f>[1]节奏总纲!X109</f>
        <v>89.621870011152168</v>
      </c>
      <c r="Y109" s="23">
        <f>[1]节奏总纲!Y109</f>
        <v>71.488497397587139</v>
      </c>
      <c r="Z109" s="23">
        <f>[1]节奏总纲!Z109</f>
        <v>50.24974411838059</v>
      </c>
      <c r="AA109" s="23">
        <f>[1]节奏总纲!AA109</f>
        <v>26.200639591064714</v>
      </c>
      <c r="AC109" s="23">
        <v>106</v>
      </c>
      <c r="AD109" s="23">
        <f>[1]节奏总纲!AD109</f>
        <v>67.406275272225741</v>
      </c>
      <c r="AE109" s="23">
        <f>[1]节奏总纲!AE109</f>
        <v>69.467767451053362</v>
      </c>
      <c r="AF109" s="23">
        <f>[1]节奏总纲!AF109</f>
        <v>72.369195691237806</v>
      </c>
      <c r="AG109" s="23">
        <f>[1]节奏总纲!AG109</f>
        <v>76.807553780404334</v>
      </c>
      <c r="AH109" s="23">
        <f>[1]节奏总纲!AH109</f>
        <v>85.540385929352269</v>
      </c>
      <c r="AZ109" s="23">
        <v>106</v>
      </c>
      <c r="BA109" s="23">
        <v>38.413296583913848</v>
      </c>
      <c r="BB109" s="23">
        <v>39.925705028269732</v>
      </c>
      <c r="BC109" s="23">
        <v>41.858478672651096</v>
      </c>
      <c r="BD109" s="23">
        <v>44.585020086822361</v>
      </c>
      <c r="BE109" s="23">
        <v>49.278250620755983</v>
      </c>
    </row>
    <row r="110" spans="6:57" x14ac:dyDescent="0.15">
      <c r="F110" s="23">
        <v>108</v>
      </c>
      <c r="G110" s="23">
        <v>1781.8875536304624</v>
      </c>
      <c r="N110" s="28">
        <f>[1]节奏总纲!N110</f>
        <v>117</v>
      </c>
      <c r="O110" s="23">
        <v>107</v>
      </c>
      <c r="P110" s="23">
        <f>[1]节奏总纲!P110</f>
        <v>1662.4929077375689</v>
      </c>
      <c r="Q110" s="23">
        <f>[1]节奏总纲!Q110</f>
        <v>1418.9376967540152</v>
      </c>
      <c r="R110" s="23">
        <f>[1]节奏总纲!R110</f>
        <v>1142.9638740695787</v>
      </c>
      <c r="S110" s="23">
        <f>[1]节奏总纲!S110</f>
        <v>817.11526415301512</v>
      </c>
      <c r="T110" s="23">
        <f>[1]节奏总纲!T110</f>
        <v>439.89562338736073</v>
      </c>
      <c r="U110" s="29"/>
      <c r="V110" s="23">
        <v>107</v>
      </c>
      <c r="W110" s="23">
        <f>[1]节奏总纲!W110</f>
        <v>111.39914363092248</v>
      </c>
      <c r="X110" s="23">
        <f>[1]节奏总纲!X110</f>
        <v>94.458731583349845</v>
      </c>
      <c r="Y110" s="23">
        <f>[1]节奏总纲!Y110</f>
        <v>78.293114386776551</v>
      </c>
      <c r="Z110" s="23">
        <f>[1]节奏总纲!Z110</f>
        <v>52.11581969561712</v>
      </c>
      <c r="AA110" s="23">
        <f>[1]节奏总纲!AA110</f>
        <v>27.304682134992788</v>
      </c>
      <c r="AC110" s="23">
        <v>107</v>
      </c>
      <c r="AD110" s="23">
        <f>[1]节奏总纲!AD110</f>
        <v>67.540284631526106</v>
      </c>
      <c r="AE110" s="23">
        <f>[1]节奏总纲!AE110</f>
        <v>69.601854707986988</v>
      </c>
      <c r="AF110" s="23">
        <f>[1]节奏总纲!AF110</f>
        <v>72.506884533637162</v>
      </c>
      <c r="AG110" s="23">
        <f>[1]节奏总纲!AG110</f>
        <v>76.94300335424316</v>
      </c>
      <c r="AH110" s="23">
        <f>[1]节奏总纲!AH110</f>
        <v>85.696340692116266</v>
      </c>
      <c r="AZ110" s="23">
        <v>107</v>
      </c>
      <c r="BA110" s="23">
        <v>38.475927110151773</v>
      </c>
      <c r="BB110" s="23">
        <v>39.993245911660885</v>
      </c>
      <c r="BC110" s="23">
        <v>41.925522364470666</v>
      </c>
      <c r="BD110" s="23">
        <v>44.649658702582116</v>
      </c>
      <c r="BE110" s="23">
        <v>49.340229957745592</v>
      </c>
    </row>
    <row r="111" spans="6:57" x14ac:dyDescent="0.15">
      <c r="F111" s="23">
        <v>109</v>
      </c>
      <c r="G111" s="23">
        <v>1909.8515666673818</v>
      </c>
      <c r="N111" s="28">
        <f>[1]节奏总纲!N111</f>
        <v>118</v>
      </c>
      <c r="O111" s="23">
        <v>108</v>
      </c>
      <c r="P111" s="23">
        <f>[1]节奏总纲!P111</f>
        <v>1781.8875536304624</v>
      </c>
      <c r="Q111" s="23">
        <f>[1]节奏总纲!Q111</f>
        <v>1521.9101595557779</v>
      </c>
      <c r="R111" s="23">
        <f>[1]节奏总纲!R111</f>
        <v>1218.0983316617842</v>
      </c>
      <c r="S111" s="23">
        <f>[1]节奏总纲!S111</f>
        <v>870.98663621457001</v>
      </c>
      <c r="T111" s="23">
        <f>[1]节奏总纲!T111</f>
        <v>470.41831415844212</v>
      </c>
      <c r="U111" s="29"/>
      <c r="V111" s="23">
        <v>108</v>
      </c>
      <c r="W111" s="23">
        <f>[1]节奏总纲!W111</f>
        <v>119.39464589289355</v>
      </c>
      <c r="X111" s="23">
        <f>[1]节奏总纲!X111</f>
        <v>102.97246280176273</v>
      </c>
      <c r="Y111" s="23">
        <f>[1]节奏总纲!Y111</f>
        <v>75.134457592205536</v>
      </c>
      <c r="Z111" s="23">
        <f>[1]节奏总纲!Z111</f>
        <v>53.871372061554894</v>
      </c>
      <c r="AA111" s="23">
        <f>[1]节奏总纲!AA111</f>
        <v>30.522690771081386</v>
      </c>
      <c r="AC111" s="23">
        <v>108</v>
      </c>
      <c r="AD111" s="23">
        <f>[1]节奏总纲!AD111</f>
        <v>67.674293990826456</v>
      </c>
      <c r="AE111" s="23">
        <f>[1]节奏总纲!AE111</f>
        <v>69.735941964920613</v>
      </c>
      <c r="AF111" s="23">
        <f>[1]节奏总纲!AF111</f>
        <v>72.644573376036519</v>
      </c>
      <c r="AG111" s="23">
        <f>[1]节奏总纲!AG111</f>
        <v>77.074762810762508</v>
      </c>
      <c r="AH111" s="23">
        <f>[1]节奏总纲!AH111</f>
        <v>85.852295454880277</v>
      </c>
      <c r="AZ111" s="23">
        <v>108</v>
      </c>
      <c r="BA111" s="23">
        <v>38.53855763638969</v>
      </c>
      <c r="BB111" s="23">
        <v>40.052446592012309</v>
      </c>
      <c r="BC111" s="23">
        <v>41.992566056290244</v>
      </c>
      <c r="BD111" s="23">
        <v>44.71429731834187</v>
      </c>
      <c r="BE111" s="23">
        <v>49.402209294735208</v>
      </c>
    </row>
    <row r="112" spans="6:57" x14ac:dyDescent="0.15">
      <c r="F112" s="23">
        <v>110</v>
      </c>
      <c r="G112" s="23">
        <v>2047</v>
      </c>
      <c r="N112" s="28">
        <f>[1]节奏总纲!N112</f>
        <v>119</v>
      </c>
      <c r="O112" s="23">
        <v>109</v>
      </c>
      <c r="P112" s="23">
        <f>[1]节奏总纲!P112</f>
        <v>1909.8515666673818</v>
      </c>
      <c r="Q112" s="23">
        <f>[1]节奏总纲!Q112</f>
        <v>1624.7107277639418</v>
      </c>
      <c r="R112" s="23">
        <f>[1]节奏总纲!R112</f>
        <v>1300.0359614304869</v>
      </c>
      <c r="S112" s="23">
        <f>[1]节奏总纲!S112</f>
        <v>930.28869812368168</v>
      </c>
      <c r="T112" s="23">
        <f>[1]节奏总纲!T112</f>
        <v>503.05490266018842</v>
      </c>
      <c r="U112" s="29"/>
      <c r="V112" s="23">
        <v>109</v>
      </c>
      <c r="W112" s="23">
        <f>[1]节奏总纲!W112</f>
        <v>127.96401303691937</v>
      </c>
      <c r="X112" s="23">
        <f>[1]节奏总纲!X112</f>
        <v>102.8005682081639</v>
      </c>
      <c r="Y112" s="23">
        <f>[1]节奏总纲!Y112</f>
        <v>81.937629768702664</v>
      </c>
      <c r="Z112" s="23">
        <f>[1]节奏总纲!Z112</f>
        <v>59.302061909111671</v>
      </c>
      <c r="AA112" s="23">
        <f>[1]节奏总纲!AA112</f>
        <v>32.636588501746303</v>
      </c>
      <c r="AC112" s="23">
        <v>109</v>
      </c>
      <c r="AD112" s="23">
        <f>[1]节奏总纲!AD112</f>
        <v>67.80830335012682</v>
      </c>
      <c r="AE112" s="23">
        <f>[1]节奏总纲!AE112</f>
        <v>69.870029221854239</v>
      </c>
      <c r="AF112" s="23">
        <f>[1]节奏总纲!AF112</f>
        <v>72.782262218435889</v>
      </c>
      <c r="AG112" s="23">
        <f>[1]节奏总纲!AG112</f>
        <v>77.203841369133116</v>
      </c>
      <c r="AH112" s="23">
        <f>[1]节奏总纲!AH112</f>
        <v>86.007776715139968</v>
      </c>
      <c r="AZ112" s="23">
        <v>109</v>
      </c>
      <c r="BA112" s="23">
        <v>38.601188162627608</v>
      </c>
      <c r="BB112" s="23">
        <v>40.110720583137102</v>
      </c>
      <c r="BC112" s="23">
        <v>42.051439554347354</v>
      </c>
      <c r="BD112" s="23">
        <v>44.778935934101632</v>
      </c>
      <c r="BE112" s="23">
        <v>49.464188631724817</v>
      </c>
    </row>
    <row r="113" spans="6:57" x14ac:dyDescent="0.15">
      <c r="F113" s="23">
        <v>111</v>
      </c>
      <c r="G113" s="23">
        <v>2193.9920512743265</v>
      </c>
      <c r="N113" s="28">
        <f>[1]节奏总纲!N113</f>
        <v>120</v>
      </c>
      <c r="O113" s="23">
        <v>110</v>
      </c>
      <c r="P113" s="23">
        <f>[1]节奏总纲!P113</f>
        <v>2047</v>
      </c>
      <c r="Q113" s="23">
        <f>[1]节奏总纲!Q113</f>
        <v>1740.5640999999998</v>
      </c>
      <c r="R113" s="23">
        <f>[1]节奏总纲!R113</f>
        <v>1395.6445999999999</v>
      </c>
      <c r="S113" s="23">
        <f>[1]节奏总纲!S113</f>
        <v>999.75480000000005</v>
      </c>
      <c r="T113" s="23">
        <f>[1]节奏总纲!T113</f>
        <v>541.22680000000003</v>
      </c>
      <c r="U113" s="29"/>
      <c r="V113" s="23">
        <v>110</v>
      </c>
      <c r="W113" s="23">
        <f>[1]节奏总纲!W113</f>
        <v>137.1484333326182</v>
      </c>
      <c r="X113" s="23">
        <f>[1]节奏总纲!X113</f>
        <v>115.85337223605802</v>
      </c>
      <c r="Y113" s="23">
        <f>[1]节奏总纲!Y113</f>
        <v>95.608638569513005</v>
      </c>
      <c r="Z113" s="23">
        <f>[1]节奏总纲!Z113</f>
        <v>69.466101876318362</v>
      </c>
      <c r="AA113" s="23">
        <f>[1]节奏总纲!AA113</f>
        <v>38.171897339811608</v>
      </c>
      <c r="AC113" s="23">
        <v>110</v>
      </c>
      <c r="AD113" s="23">
        <f>[1]节奏总纲!AD113</f>
        <v>67.942312709427185</v>
      </c>
      <c r="AE113" s="23">
        <f>[1]节奏总纲!AE113</f>
        <v>70.003807055133578</v>
      </c>
      <c r="AF113" s="23">
        <f>[1]节奏总纲!AF113</f>
        <v>72.919951060835245</v>
      </c>
      <c r="AG113" s="23">
        <f>[1]节奏总纲!AG113</f>
        <v>77.332919927503724</v>
      </c>
      <c r="AH113" s="23">
        <f>[1]节奏总纲!AH113</f>
        <v>86.154780808490045</v>
      </c>
      <c r="AZ113" s="23">
        <v>110</v>
      </c>
      <c r="BA113" s="23">
        <v>38.663818688865533</v>
      </c>
      <c r="BB113" s="23">
        <v>40.168994574261895</v>
      </c>
      <c r="BC113" s="23">
        <v>42.109294145892463</v>
      </c>
      <c r="BD113" s="23">
        <v>44.843574549861387</v>
      </c>
      <c r="BE113" s="23">
        <v>49.526167968714425</v>
      </c>
    </row>
    <row r="114" spans="6:57" x14ac:dyDescent="0.15">
      <c r="F114" s="23">
        <v>112</v>
      </c>
      <c r="G114" s="23">
        <v>2351.5342310339256</v>
      </c>
      <c r="N114" s="91">
        <f>[1]节奏总纲!N114</f>
        <v>121</v>
      </c>
      <c r="O114" s="91">
        <v>111</v>
      </c>
      <c r="P114" s="91">
        <f>[1]节奏总纲!P114</f>
        <v>2193.9920512743265</v>
      </c>
      <c r="Q114" s="91">
        <f>[1]节奏总纲!Q114</f>
        <v>1869.0618284805987</v>
      </c>
      <c r="R114" s="91">
        <f>[1]节奏总纲!R114</f>
        <v>1500.4711638665117</v>
      </c>
      <c r="S114" s="91">
        <f>[1]节奏总纲!S114</f>
        <v>1076.5918995603122</v>
      </c>
      <c r="T114" s="91">
        <f>[1]节奏总纲!T114</f>
        <v>583.60188563897088</v>
      </c>
      <c r="U114" s="91"/>
      <c r="V114" s="91">
        <v>111</v>
      </c>
      <c r="W114" s="91">
        <f>[1]节奏总纲!W114</f>
        <v>146.99205127432651</v>
      </c>
      <c r="X114" s="91">
        <f>[1]节奏总纲!X114</f>
        <v>128.49772848059888</v>
      </c>
      <c r="Y114" s="91">
        <f>[1]节奏总纲!Y114</f>
        <v>104.82656386651183</v>
      </c>
      <c r="Z114" s="91">
        <f>[1]节奏总纲!Z114</f>
        <v>76.83709956031214</v>
      </c>
      <c r="AA114" s="91">
        <f>[1]节奏总纲!AA114</f>
        <v>42.375085638970859</v>
      </c>
      <c r="AC114" s="23">
        <v>111</v>
      </c>
      <c r="AD114" s="23">
        <f>[1]节奏总纲!AD114</f>
        <v>68.071211008105138</v>
      </c>
      <c r="AE114" s="23">
        <f>[1]节奏总纲!AE114</f>
        <v>70.127815365673797</v>
      </c>
      <c r="AF114" s="23">
        <f>[1]节奏总纲!AF114</f>
        <v>73.051543220271398</v>
      </c>
      <c r="AG114" s="23">
        <f>[1]节奏总纲!AG114</f>
        <v>77.461998485874332</v>
      </c>
      <c r="AH114" s="23">
        <f>[1]节奏总纲!AH114</f>
        <v>86.301784901840136</v>
      </c>
      <c r="AZ114" s="23">
        <v>111</v>
      </c>
      <c r="BA114" s="23">
        <v>38.72644921510345</v>
      </c>
      <c r="BB114" s="23">
        <v>40.227268565386687</v>
      </c>
      <c r="BC114" s="23">
        <v>42.167148737437572</v>
      </c>
      <c r="BD114" s="23">
        <v>44.908213165621142</v>
      </c>
      <c r="BE114" s="23">
        <v>49.588147305704041</v>
      </c>
    </row>
    <row r="115" spans="6:57" x14ac:dyDescent="0.15">
      <c r="F115" s="23">
        <v>113</v>
      </c>
      <c r="G115" s="23">
        <v>2520.3837585303886</v>
      </c>
      <c r="N115" s="91">
        <f>[1]节奏总纲!N115</f>
        <v>122</v>
      </c>
      <c r="O115" s="91">
        <v>112</v>
      </c>
      <c r="P115" s="91">
        <f>[1]节奏总纲!P115</f>
        <v>2351.5342310339256</v>
      </c>
      <c r="Q115" s="91">
        <f>[1]节奏总纲!Q115</f>
        <v>2004.6829319564217</v>
      </c>
      <c r="R115" s="91">
        <f>[1]节奏总纲!R115</f>
        <v>1609.3900277196187</v>
      </c>
      <c r="S115" s="91">
        <f>[1]节奏总纲!S115</f>
        <v>1155.3087677069677</v>
      </c>
      <c r="T115" s="91">
        <f>[1]节奏总纲!T115</f>
        <v>623.15657122399034</v>
      </c>
      <c r="U115" s="91"/>
      <c r="V115" s="91">
        <v>112</v>
      </c>
      <c r="W115" s="91">
        <f>[1]节奏总纲!W115</f>
        <v>157.54217975959909</v>
      </c>
      <c r="X115" s="91">
        <f>[1]节奏总纲!X115</f>
        <v>135.62110347582302</v>
      </c>
      <c r="Y115" s="91">
        <f>[1]节奏总纲!Y115</f>
        <v>108.91886385310704</v>
      </c>
      <c r="Z115" s="91">
        <f>[1]节奏总纲!Z115</f>
        <v>78.716868146655543</v>
      </c>
      <c r="AA115" s="91">
        <f>[1]节奏总纲!AA115</f>
        <v>39.554685585019456</v>
      </c>
      <c r="AC115" s="23">
        <v>112</v>
      </c>
      <c r="AD115" s="23">
        <f>[1]节奏总纲!AD115</f>
        <v>68.196246161507091</v>
      </c>
      <c r="AE115" s="23">
        <f>[1]节奏总纲!AE115</f>
        <v>70.251823676214016</v>
      </c>
      <c r="AF115" s="23">
        <f>[1]节奏总纲!AF115</f>
        <v>73.174668450093861</v>
      </c>
      <c r="AG115" s="23">
        <f>[1]节奏总纲!AG115</f>
        <v>77.591077044244926</v>
      </c>
      <c r="AH115" s="23">
        <f>[1]节奏总纲!AH115</f>
        <v>86.448788995190213</v>
      </c>
      <c r="AZ115" s="23">
        <v>112</v>
      </c>
      <c r="BA115" s="23">
        <v>38.789079741341368</v>
      </c>
      <c r="BB115" s="23">
        <v>40.28554255651148</v>
      </c>
      <c r="BC115" s="23">
        <v>42.225003328982673</v>
      </c>
      <c r="BD115" s="23">
        <v>44.972851781380903</v>
      </c>
      <c r="BE115" s="23">
        <v>49.65012664269365</v>
      </c>
    </row>
    <row r="116" spans="6:57" x14ac:dyDescent="0.15">
      <c r="F116" s="23">
        <v>114</v>
      </c>
      <c r="G116" s="23">
        <v>2701.3522012628878</v>
      </c>
      <c r="N116" s="91">
        <f>[1]节奏总纲!N116</f>
        <v>123</v>
      </c>
      <c r="O116" s="91">
        <v>113</v>
      </c>
      <c r="P116" s="91">
        <f>[1]节奏总纲!P116</f>
        <v>2520.3837585303886</v>
      </c>
      <c r="Q116" s="91">
        <f>[1]节奏总纲!Q116</f>
        <v>2150.1393844022746</v>
      </c>
      <c r="R116" s="91">
        <f>[1]节奏总纲!R116</f>
        <v>1727.7230664725814</v>
      </c>
      <c r="S116" s="91">
        <f>[1]节奏总纲!S116</f>
        <v>1235.7441568074496</v>
      </c>
      <c r="T116" s="91">
        <f>[1]节奏总纲!T116</f>
        <v>664.12112037275745</v>
      </c>
      <c r="U116" s="91"/>
      <c r="V116" s="91">
        <v>113</v>
      </c>
      <c r="W116" s="91">
        <f>[1]节奏总纲!W116</f>
        <v>168.849527496463</v>
      </c>
      <c r="X116" s="91">
        <f>[1]节奏总纲!X116</f>
        <v>145.45645244585285</v>
      </c>
      <c r="Y116" s="91">
        <f>[1]节奏总纲!Y116</f>
        <v>118.33303875296269</v>
      </c>
      <c r="Z116" s="91">
        <f>[1]节奏总纲!Z116</f>
        <v>80.435389100481871</v>
      </c>
      <c r="AA116" s="91">
        <f>[1]节奏总纲!AA116</f>
        <v>40.964549148767105</v>
      </c>
      <c r="AC116" s="23">
        <v>113</v>
      </c>
      <c r="AD116" s="23">
        <f>[1]节奏总纲!AD116</f>
        <v>68.321281314909029</v>
      </c>
      <c r="AE116" s="23">
        <f>[1]节奏总纲!AE116</f>
        <v>70.375831986754235</v>
      </c>
      <c r="AF116" s="23">
        <f>[1]节奏总纲!AF116</f>
        <v>73.297793679916325</v>
      </c>
      <c r="AG116" s="23">
        <f>[1]节奏总纲!AG116</f>
        <v>77.720155602615534</v>
      </c>
      <c r="AH116" s="23">
        <f>[1]节奏总纲!AH116</f>
        <v>86.595793088540304</v>
      </c>
      <c r="AZ116" s="23">
        <v>113</v>
      </c>
      <c r="BA116" s="23">
        <v>38.851710267579293</v>
      </c>
      <c r="BB116" s="23">
        <v>40.343816547636273</v>
      </c>
      <c r="BC116" s="23">
        <v>42.282857920527782</v>
      </c>
      <c r="BD116" s="23">
        <v>45.032359480672049</v>
      </c>
      <c r="BE116" s="23">
        <v>49.712105979683258</v>
      </c>
    </row>
    <row r="117" spans="6:57" x14ac:dyDescent="0.15">
      <c r="F117" s="23">
        <v>115</v>
      </c>
      <c r="G117" s="23">
        <v>2895.3093757400989</v>
      </c>
      <c r="N117" s="91">
        <f>[1]节奏总纲!N117</f>
        <v>124</v>
      </c>
      <c r="O117" s="91">
        <v>114</v>
      </c>
      <c r="P117" s="91">
        <f>[1]节奏总纲!P117</f>
        <v>2701.3522012628878</v>
      </c>
      <c r="Q117" s="91">
        <f>[1]节奏总纲!Q117</f>
        <v>2306.1443742181273</v>
      </c>
      <c r="R117" s="91">
        <f>[1]节奏总纲!R117</f>
        <v>1846.3742295631837</v>
      </c>
      <c r="S117" s="91">
        <f>[1]节奏总纲!S117</f>
        <v>1317.1793333357841</v>
      </c>
      <c r="T117" s="91">
        <f>[1]节奏总纲!T117</f>
        <v>708.83481761138182</v>
      </c>
      <c r="U117" s="91"/>
      <c r="V117" s="91">
        <v>114</v>
      </c>
      <c r="W117" s="91">
        <f>[1]节奏总纲!W117</f>
        <v>180.96844273249917</v>
      </c>
      <c r="X117" s="91">
        <f>[1]节奏总纲!X117</f>
        <v>156.0049898158527</v>
      </c>
      <c r="Y117" s="91">
        <f>[1]节奏总纲!Y117</f>
        <v>118.65116309060227</v>
      </c>
      <c r="Z117" s="91">
        <f>[1]节奏总纲!Z117</f>
        <v>81.435176528334523</v>
      </c>
      <c r="AA117" s="91">
        <f>[1]节奏总纲!AA117</f>
        <v>44.713697238624377</v>
      </c>
      <c r="AC117" s="23">
        <v>114</v>
      </c>
      <c r="AD117" s="23">
        <f>[1]节奏总纲!AD117</f>
        <v>68.446316468310982</v>
      </c>
      <c r="AE117" s="23">
        <f>[1]节奏总纲!AE117</f>
        <v>70.499840297294455</v>
      </c>
      <c r="AF117" s="23">
        <f>[1]节奏总纲!AF117</f>
        <v>73.420918909738774</v>
      </c>
      <c r="AG117" s="23">
        <f>[1]节奏总纲!AG117</f>
        <v>77.849234160986143</v>
      </c>
      <c r="AH117" s="23">
        <f>[1]节奏总纲!AH117</f>
        <v>86.742797181890381</v>
      </c>
      <c r="AZ117" s="23">
        <v>114</v>
      </c>
      <c r="BA117" s="23">
        <v>38.91434079381721</v>
      </c>
      <c r="BB117" s="23">
        <v>40.402090538761065</v>
      </c>
      <c r="BC117" s="23">
        <v>42.340712512072891</v>
      </c>
      <c r="BD117" s="23">
        <v>45.088151688727308</v>
      </c>
      <c r="BE117" s="23">
        <v>49.774085316672867</v>
      </c>
    </row>
    <row r="118" spans="6:57" x14ac:dyDescent="0.15">
      <c r="F118" s="23">
        <v>116</v>
      </c>
      <c r="G118" s="23">
        <v>3103.1875282132928</v>
      </c>
      <c r="N118" s="91">
        <f>[1]节奏总纲!N118</f>
        <v>125</v>
      </c>
      <c r="O118" s="91">
        <v>115</v>
      </c>
      <c r="P118" s="91">
        <f>[1]节奏总纲!P118</f>
        <v>2895.3093757400989</v>
      </c>
      <c r="Q118" s="91">
        <f>[1]节奏总纲!Q118</f>
        <v>2461.8815621918061</v>
      </c>
      <c r="R118" s="91">
        <f>[1]节奏总纲!R118</f>
        <v>1967.6522517529711</v>
      </c>
      <c r="S118" s="91">
        <f>[1]节奏总纲!S118</f>
        <v>1404.8041091090961</v>
      </c>
      <c r="T118" s="91">
        <f>[1]节奏总纲!T118</f>
        <v>756.54433988088772</v>
      </c>
      <c r="U118" s="91"/>
      <c r="V118" s="91">
        <v>115</v>
      </c>
      <c r="W118" s="91">
        <f>[1]节奏总纲!W118</f>
        <v>193.95717447721108</v>
      </c>
      <c r="X118" s="91">
        <f>[1]节奏总纲!X118</f>
        <v>155.73718797367883</v>
      </c>
      <c r="Y118" s="91">
        <f>[1]节奏总纲!Y118</f>
        <v>121.27802218978741</v>
      </c>
      <c r="Z118" s="91">
        <f>[1]节奏总纲!Z118</f>
        <v>87.624775773311967</v>
      </c>
      <c r="AA118" s="91">
        <f>[1]节奏总纲!AA118</f>
        <v>47.709522269505896</v>
      </c>
      <c r="AC118" s="23">
        <v>115</v>
      </c>
      <c r="AD118" s="23">
        <f>[1]节奏总纲!AD118</f>
        <v>68.571351621712935</v>
      </c>
      <c r="AE118" s="23">
        <f>[1]节奏总纲!AE118</f>
        <v>70.623848607834674</v>
      </c>
      <c r="AF118" s="23">
        <f>[1]节奏总纲!AF118</f>
        <v>73.544044139561237</v>
      </c>
      <c r="AG118" s="23">
        <f>[1]节奏总纲!AG118</f>
        <v>77.978312719356751</v>
      </c>
      <c r="AH118" s="23">
        <f>[1]节奏总纲!AH118</f>
        <v>86.889801275240458</v>
      </c>
      <c r="AZ118" s="23">
        <v>115</v>
      </c>
      <c r="BA118" s="23">
        <v>38.976971320055128</v>
      </c>
      <c r="BB118" s="23">
        <v>40.460364529885858</v>
      </c>
      <c r="BC118" s="23">
        <v>42.398567103617999</v>
      </c>
      <c r="BD118" s="23">
        <v>45.143943896782567</v>
      </c>
      <c r="BE118" s="23">
        <v>49.836064653662483</v>
      </c>
    </row>
    <row r="119" spans="6:57" x14ac:dyDescent="0.15">
      <c r="F119" s="23">
        <v>117</v>
      </c>
      <c r="G119" s="23">
        <v>3325.985815475135</v>
      </c>
      <c r="N119" s="91">
        <f>[1]节奏总纲!N119</f>
        <v>126</v>
      </c>
      <c r="O119" s="91">
        <v>116</v>
      </c>
      <c r="P119" s="91">
        <f>[1]节奏总纲!P119</f>
        <v>3103.1875282132928</v>
      </c>
      <c r="Q119" s="91">
        <f>[1]节奏总纲!Q119</f>
        <v>2634.2958927002642</v>
      </c>
      <c r="R119" s="91">
        <f>[1]节奏总纲!R119</f>
        <v>2106.4436941511831</v>
      </c>
      <c r="S119" s="91">
        <f>[1]节奏总纲!S119</f>
        <v>1506.5975449475536</v>
      </c>
      <c r="T119" s="91">
        <f>[1]节奏总纲!T119</f>
        <v>811.48353862777606</v>
      </c>
      <c r="U119" s="91"/>
      <c r="V119" s="91">
        <v>116</v>
      </c>
      <c r="W119" s="91">
        <f>[1]节奏总纲!W119</f>
        <v>207.87815247319395</v>
      </c>
      <c r="X119" s="91">
        <f>[1]节奏总纲!X119</f>
        <v>172.41433050845808</v>
      </c>
      <c r="Y119" s="91">
        <f>[1]节奏总纲!Y119</f>
        <v>138.79144239821198</v>
      </c>
      <c r="Z119" s="91">
        <f>[1]节奏总纲!Z119</f>
        <v>101.79343583845753</v>
      </c>
      <c r="AA119" s="91">
        <f>[1]节奏总纲!AA119</f>
        <v>54.939198746888337</v>
      </c>
      <c r="AC119" s="23">
        <v>116</v>
      </c>
      <c r="AD119" s="23">
        <f>[1]节奏总纲!AD119</f>
        <v>68.696386775114874</v>
      </c>
      <c r="AE119" s="23">
        <f>[1]节奏总纲!AE119</f>
        <v>70.747856918374893</v>
      </c>
      <c r="AF119" s="23">
        <f>[1]节奏总纲!AF119</f>
        <v>73.667169369383686</v>
      </c>
      <c r="AG119" s="23">
        <f>[1]节奏总纲!AG119</f>
        <v>78.10469841238104</v>
      </c>
      <c r="AH119" s="23">
        <f>[1]节奏总纲!AH119</f>
        <v>87.033659382136349</v>
      </c>
      <c r="AZ119" s="23">
        <v>116</v>
      </c>
      <c r="BA119" s="23">
        <v>39.034165367506482</v>
      </c>
      <c r="BB119" s="23">
        <v>40.518638521010644</v>
      </c>
      <c r="BC119" s="23">
        <v>42.456421695163108</v>
      </c>
      <c r="BD119" s="23">
        <v>45.199736104837825</v>
      </c>
      <c r="BE119" s="23">
        <v>49.898043990652091</v>
      </c>
    </row>
    <row r="120" spans="6:57" x14ac:dyDescent="0.15">
      <c r="F120" s="23">
        <v>118</v>
      </c>
      <c r="G120" s="23">
        <v>3564.7751072609281</v>
      </c>
      <c r="N120" s="91">
        <f>[1]节奏总纲!N120</f>
        <v>127</v>
      </c>
      <c r="O120" s="91">
        <v>117</v>
      </c>
      <c r="P120" s="91">
        <f>[1]节奏总纲!P120</f>
        <v>3325.985815475135</v>
      </c>
      <c r="Q120" s="91">
        <f>[1]节奏总纲!Q120</f>
        <v>2825.4249502461275</v>
      </c>
      <c r="R120" s="91">
        <f>[1]节奏总纲!R120</f>
        <v>2260.0073616153541</v>
      </c>
      <c r="S120" s="91">
        <f>[1]节奏总纲!S120</f>
        <v>1618.0920992286531</v>
      </c>
      <c r="T120" s="91">
        <f>[1]节奏总纲!T120</f>
        <v>872.40607939912786</v>
      </c>
      <c r="U120" s="91"/>
      <c r="V120" s="91">
        <v>117</v>
      </c>
      <c r="W120" s="91">
        <f>[1]节奏总纲!W120</f>
        <v>222.79828726184223</v>
      </c>
      <c r="X120" s="91">
        <f>[1]节奏总纲!X120</f>
        <v>191.12905754586336</v>
      </c>
      <c r="Y120" s="91">
        <f>[1]节奏总纲!Y120</f>
        <v>153.56366746417098</v>
      </c>
      <c r="Z120" s="91">
        <f>[1]节奏总纲!Z120</f>
        <v>111.49455428109945</v>
      </c>
      <c r="AA120" s="91">
        <f>[1]节奏总纲!AA120</f>
        <v>60.922540771351805</v>
      </c>
      <c r="AC120" s="23">
        <v>117</v>
      </c>
      <c r="AD120" s="23">
        <f>[1]节奏总纲!AD120</f>
        <v>68.821421928516827</v>
      </c>
      <c r="AE120" s="23">
        <f>[1]节奏总纲!AE120</f>
        <v>70.871865228915112</v>
      </c>
      <c r="AF120" s="23">
        <f>[1]节奏总纲!AF120</f>
        <v>73.790294599206149</v>
      </c>
      <c r="AG120" s="23">
        <f>[1]节奏总纲!AG120</f>
        <v>78.230540290975199</v>
      </c>
      <c r="AH120" s="23">
        <f>[1]节奏总纲!AH120</f>
        <v>87.168098110592624</v>
      </c>
      <c r="AZ120" s="23">
        <v>117</v>
      </c>
      <c r="BA120" s="23">
        <v>39.088198074219406</v>
      </c>
      <c r="BB120" s="23">
        <v>40.576912512135436</v>
      </c>
      <c r="BC120" s="23">
        <v>42.51427628670821</v>
      </c>
      <c r="BD120" s="23">
        <v>45.255528312893091</v>
      </c>
      <c r="BE120" s="23">
        <v>49.9600233276417</v>
      </c>
    </row>
    <row r="121" spans="6:57" x14ac:dyDescent="0.15">
      <c r="F121" s="23">
        <v>119</v>
      </c>
      <c r="G121" s="23">
        <v>3820.7031333347636</v>
      </c>
      <c r="N121" s="91">
        <f>[1]节奏总纲!N121</f>
        <v>128</v>
      </c>
      <c r="O121" s="91">
        <v>118</v>
      </c>
      <c r="P121" s="91">
        <f>[1]节奏总纲!P121</f>
        <v>3564.7751072609281</v>
      </c>
      <c r="Q121" s="91">
        <f>[1]节奏总纲!Q121</f>
        <v>3030.4153186825147</v>
      </c>
      <c r="R121" s="91">
        <f>[1]节奏总纲!R121</f>
        <v>2426.1859380017877</v>
      </c>
      <c r="S121" s="91">
        <f>[1]节奏总纲!S121</f>
        <v>1738.8972973218808</v>
      </c>
      <c r="T121" s="91">
        <f>[1]节奏总纲!T121</f>
        <v>936.10994316671975</v>
      </c>
      <c r="U121" s="91"/>
      <c r="V121" s="91">
        <v>118</v>
      </c>
      <c r="W121" s="91">
        <f>[1]节奏总纲!W121</f>
        <v>238.78929178579301</v>
      </c>
      <c r="X121" s="91">
        <f>[1]节奏总纲!X121</f>
        <v>204.99036843638714</v>
      </c>
      <c r="Y121" s="91">
        <f>[1]节奏总纲!Y121</f>
        <v>166.17857638643363</v>
      </c>
      <c r="Z121" s="91">
        <f>[1]节奏总纲!Z121</f>
        <v>120.80519809322777</v>
      </c>
      <c r="AA121" s="91">
        <f>[1]节奏总纲!AA121</f>
        <v>63.703863767591884</v>
      </c>
      <c r="AC121" s="23">
        <v>118</v>
      </c>
      <c r="AD121" s="23">
        <f>[1]节奏总纲!AD121</f>
        <v>68.946457081918766</v>
      </c>
      <c r="AE121" s="23">
        <f>[1]节奏总纲!AE121</f>
        <v>70.995873539455332</v>
      </c>
      <c r="AF121" s="23">
        <f>[1]节奏总纲!AF121</f>
        <v>73.913419829028598</v>
      </c>
      <c r="AG121" s="23">
        <f>[1]节奏总纲!AG121</f>
        <v>78.356382169569343</v>
      </c>
      <c r="AH121" s="23">
        <f>[1]节奏总纲!AH121</f>
        <v>87.302536839048898</v>
      </c>
      <c r="AZ121" s="23">
        <v>118</v>
      </c>
      <c r="BA121" s="23">
        <v>39.14223078093233</v>
      </c>
      <c r="BB121" s="23">
        <v>40.635186503260229</v>
      </c>
      <c r="BC121" s="23">
        <v>42.572130878253319</v>
      </c>
      <c r="BD121" s="23">
        <v>45.31132052094835</v>
      </c>
      <c r="BE121" s="23">
        <v>50</v>
      </c>
    </row>
    <row r="122" spans="6:57" x14ac:dyDescent="0.15">
      <c r="F122" s="23">
        <v>120</v>
      </c>
      <c r="G122" s="23">
        <v>4095</v>
      </c>
      <c r="N122" s="91">
        <f>[1]节奏总纲!N122</f>
        <v>129</v>
      </c>
      <c r="O122" s="91">
        <v>119</v>
      </c>
      <c r="P122" s="91">
        <f>[1]节奏总纲!P122</f>
        <v>3820.7031333347636</v>
      </c>
      <c r="Q122" s="91">
        <f>[1]节奏总纲!Q122</f>
        <v>3250.2721555278836</v>
      </c>
      <c r="R122" s="91">
        <f>[1]节奏总纲!R122</f>
        <v>2604.5733259943081</v>
      </c>
      <c r="S122" s="91">
        <f>[1]节奏总纲!S122</f>
        <v>1864.8851993806979</v>
      </c>
      <c r="T122" s="91">
        <f>[1]节奏总纲!T122</f>
        <v>998.73179905370728</v>
      </c>
      <c r="U122" s="91"/>
      <c r="V122" s="91">
        <v>119</v>
      </c>
      <c r="W122" s="91">
        <f>[1]节奏总纲!W122</f>
        <v>255.92802607383555</v>
      </c>
      <c r="X122" s="91">
        <f>[1]节奏总纲!X122</f>
        <v>219.85683684536889</v>
      </c>
      <c r="Y122" s="91">
        <f>[1]节奏总纲!Y122</f>
        <v>178.38738799252042</v>
      </c>
      <c r="Z122" s="91">
        <f>[1]节奏总纲!Z122</f>
        <v>125.9879020588171</v>
      </c>
      <c r="AA122" s="91">
        <f>[1]节奏总纲!AA122</f>
        <v>62.621855886987532</v>
      </c>
      <c r="AC122" s="23">
        <v>119</v>
      </c>
      <c r="AD122" s="23">
        <f>[1]节奏总纲!AD122</f>
        <v>69.066704614192943</v>
      </c>
      <c r="AE122" s="23">
        <f>[1]节奏总纲!AE122</f>
        <v>71.113087458015798</v>
      </c>
      <c r="AF122" s="23">
        <f>[1]节奏总纲!AF122</f>
        <v>74.034200876118248</v>
      </c>
      <c r="AG122" s="23">
        <f>[1]节奏总纲!AG122</f>
        <v>78.482224048163502</v>
      </c>
      <c r="AH122" s="23">
        <f>[1]节奏总纲!AH122</f>
        <v>87.436975567505186</v>
      </c>
      <c r="AZ122" s="23">
        <v>119</v>
      </c>
      <c r="BA122" s="23">
        <v>39.196263487645254</v>
      </c>
      <c r="BB122" s="23">
        <v>40.693460494385022</v>
      </c>
      <c r="BC122" s="23">
        <v>42.629985469798427</v>
      </c>
      <c r="BD122" s="23">
        <v>45.367112729003608</v>
      </c>
      <c r="BE122" s="23">
        <v>50</v>
      </c>
    </row>
    <row r="123" spans="6:57" x14ac:dyDescent="0.15">
      <c r="F123" s="23">
        <v>121</v>
      </c>
      <c r="G123" s="23">
        <v>4388.9841025486576</v>
      </c>
      <c r="N123" s="91">
        <f>[1]节奏总纲!N123</f>
        <v>130</v>
      </c>
      <c r="O123" s="91">
        <v>120</v>
      </c>
      <c r="P123" s="91">
        <f>[1]节奏总纲!P123</f>
        <v>4095</v>
      </c>
      <c r="Q123" s="91">
        <f>[1]节奏总纲!Q123</f>
        <v>3486.0735</v>
      </c>
      <c r="R123" s="91">
        <f>[1]节奏总纲!R123</f>
        <v>2791.971</v>
      </c>
      <c r="S123" s="91">
        <f>[1]节奏总纲!S123</f>
        <v>1987.713</v>
      </c>
      <c r="T123" s="91">
        <f>[1]节奏总纲!T123</f>
        <v>1066.3380000000002</v>
      </c>
      <c r="U123" s="91"/>
      <c r="V123" s="91">
        <v>120</v>
      </c>
      <c r="W123" s="91">
        <f>[1]节奏总纲!W123</f>
        <v>274.29686666523639</v>
      </c>
      <c r="X123" s="91">
        <f>[1]节奏总纲!X123</f>
        <v>235.8013444721164</v>
      </c>
      <c r="Y123" s="91">
        <f>[1]节奏总纲!Y123</f>
        <v>187.3976740056919</v>
      </c>
      <c r="Z123" s="91">
        <f>[1]节奏总纲!Z123</f>
        <v>122.82780061930202</v>
      </c>
      <c r="AA123" s="91">
        <f>[1]节奏总纲!AA123</f>
        <v>67.606200946292915</v>
      </c>
      <c r="AC123" s="23">
        <v>120</v>
      </c>
      <c r="AD123" s="23">
        <f>[1]节奏总纲!AD123</f>
        <v>69.18336653741882</v>
      </c>
      <c r="AE123" s="23">
        <f>[1]节奏总纲!AE123</f>
        <v>71.230067506391322</v>
      </c>
      <c r="AF123" s="23">
        <f>[1]节奏总纲!AF123</f>
        <v>74.149428238300118</v>
      </c>
      <c r="AG123" s="23">
        <f>[1]节奏总纲!AG123</f>
        <v>78.608065926757661</v>
      </c>
      <c r="AH123" s="23">
        <f>[1]节奏总纲!AH123</f>
        <v>87.571414295961461</v>
      </c>
      <c r="AZ123" s="23">
        <v>120</v>
      </c>
      <c r="BA123" s="23">
        <v>39.250296194358178</v>
      </c>
      <c r="BB123" s="23">
        <v>40.751734485509814</v>
      </c>
      <c r="BC123" s="23">
        <v>42.687840061343536</v>
      </c>
      <c r="BD123" s="23">
        <v>45.422904937058867</v>
      </c>
      <c r="BE123" s="23">
        <v>50</v>
      </c>
    </row>
    <row r="124" spans="6:57" x14ac:dyDescent="0.15">
      <c r="F124" s="23">
        <v>122</v>
      </c>
      <c r="G124" s="23">
        <v>4704.0684620678521</v>
      </c>
      <c r="N124" s="91">
        <f>[1]节奏总纲!N124</f>
        <v>131</v>
      </c>
      <c r="O124" s="91">
        <v>121</v>
      </c>
      <c r="P124" s="91">
        <f>[1]节奏总纲!P124</f>
        <v>4388.9841025486576</v>
      </c>
      <c r="Q124" s="91">
        <f>[1]节奏总纲!Q124</f>
        <v>3731.5142839868686</v>
      </c>
      <c r="R124" s="91">
        <f>[1]节奏总纲!R124</f>
        <v>2975.2923231177347</v>
      </c>
      <c r="S124" s="91">
        <f>[1]节奏总纲!S124</f>
        <v>2118.5626263002373</v>
      </c>
      <c r="T124" s="91">
        <f>[1]节奏总纲!T124</f>
        <v>1139.8191714318864</v>
      </c>
      <c r="U124" s="91"/>
      <c r="V124" s="91">
        <v>121</v>
      </c>
      <c r="W124" s="91">
        <f>[1]节奏总纲!W124</f>
        <v>293.98410254865757</v>
      </c>
      <c r="X124" s="91">
        <f>[1]节奏总纲!X124</f>
        <v>245.44078398686861</v>
      </c>
      <c r="Y124" s="91">
        <f>[1]节奏总纲!Y124</f>
        <v>183.32132311773466</v>
      </c>
      <c r="Z124" s="91">
        <f>[1]节奏总纲!Z124</f>
        <v>130.84962630023733</v>
      </c>
      <c r="AA124" s="91">
        <f>[1]节奏总纲!AA124</f>
        <v>73.481171431886196</v>
      </c>
      <c r="AC124" s="23">
        <v>121</v>
      </c>
      <c r="AD124" s="23">
        <f>[1]节奏总纲!AD124</f>
        <v>69.300028460644711</v>
      </c>
      <c r="AE124" s="23">
        <f>[1]节奏总纲!AE124</f>
        <v>71.347047554766846</v>
      </c>
      <c r="AF124" s="23">
        <f>[1]节奏总纲!AF124</f>
        <v>74.264655600481987</v>
      </c>
      <c r="AG124" s="23">
        <f>[1]节奏总纲!AG124</f>
        <v>78.733907805351805</v>
      </c>
      <c r="AH124" s="23">
        <f>[1]节奏总纲!AH124</f>
        <v>87.705853024417735</v>
      </c>
      <c r="AZ124" s="23">
        <v>121</v>
      </c>
      <c r="BA124" s="23">
        <v>39.304328901071102</v>
      </c>
      <c r="BB124" s="23">
        <v>40.810008476634607</v>
      </c>
      <c r="BC124" s="23">
        <v>42.745694652888645</v>
      </c>
      <c r="BD124" s="23">
        <v>45.478697145114126</v>
      </c>
      <c r="BE124" s="23">
        <v>50</v>
      </c>
    </row>
    <row r="125" spans="6:57" x14ac:dyDescent="0.15">
      <c r="F125" s="23">
        <v>123</v>
      </c>
      <c r="G125" s="23">
        <v>5041.7675170607781</v>
      </c>
      <c r="N125" s="91">
        <f>[1]节奏总纲!N125</f>
        <v>132</v>
      </c>
      <c r="O125" s="91">
        <v>122</v>
      </c>
      <c r="P125" s="91">
        <f>[1]节奏总纲!P125</f>
        <v>4704.0684620678521</v>
      </c>
      <c r="Q125" s="91">
        <f>[1]节奏总纲!Q125</f>
        <v>3986.6980216025049</v>
      </c>
      <c r="R125" s="91">
        <f>[1]节奏总纲!R125</f>
        <v>3179.9502803578685</v>
      </c>
      <c r="S125" s="91">
        <f>[1]节奏总纲!S125</f>
        <v>2267.3609987167047</v>
      </c>
      <c r="T125" s="91">
        <f>[1]节奏总纲!T125</f>
        <v>1221.1761727528144</v>
      </c>
      <c r="U125" s="91"/>
      <c r="V125" s="91">
        <v>122</v>
      </c>
      <c r="W125" s="91">
        <f>[1]节奏总纲!W125</f>
        <v>315.08435951919455</v>
      </c>
      <c r="X125" s="91">
        <f>[1]节奏总纲!X125</f>
        <v>255.18373761563635</v>
      </c>
      <c r="Y125" s="91">
        <f>[1]节奏总纲!Y125</f>
        <v>204.65795724013378</v>
      </c>
      <c r="Z125" s="91">
        <f>[1]节奏总纲!Z125</f>
        <v>148.79837241646737</v>
      </c>
      <c r="AA125" s="91">
        <f>[1]节奏总纲!AA125</f>
        <v>81.357001320928021</v>
      </c>
      <c r="AC125" s="23">
        <v>122</v>
      </c>
      <c r="AD125" s="23">
        <f>[1]节奏总纲!AD125</f>
        <v>69.416690383870588</v>
      </c>
      <c r="AE125" s="23">
        <f>[1]节奏总纲!AE125</f>
        <v>71.46402760314237</v>
      </c>
      <c r="AF125" s="23">
        <f>[1]节奏总纲!AF125</f>
        <v>74.379882962663856</v>
      </c>
      <c r="AG125" s="23">
        <f>[1]节奏总纲!AG125</f>
        <v>78.859749683945964</v>
      </c>
      <c r="AH125" s="23">
        <f>[1]节奏总纲!AH125</f>
        <v>87.840291752874009</v>
      </c>
      <c r="AZ125" s="23">
        <v>122</v>
      </c>
      <c r="BA125" s="23">
        <v>39.358361607784026</v>
      </c>
      <c r="BB125" s="23">
        <v>40.8682824677594</v>
      </c>
      <c r="BC125" s="23">
        <v>42.803549244433754</v>
      </c>
      <c r="BD125" s="23">
        <v>45.534489353169384</v>
      </c>
      <c r="BE125" s="23">
        <v>50</v>
      </c>
    </row>
    <row r="126" spans="6:57" x14ac:dyDescent="0.15">
      <c r="F126" s="23">
        <v>124</v>
      </c>
      <c r="G126" s="23">
        <v>5403.704402525771</v>
      </c>
      <c r="N126" s="91">
        <f>[1]节奏总纲!N126</f>
        <v>133</v>
      </c>
      <c r="O126" s="91">
        <v>123</v>
      </c>
      <c r="P126" s="91">
        <f>[1]节奏总纲!P126</f>
        <v>5041.7675170607781</v>
      </c>
      <c r="Q126" s="91">
        <f>[1]节奏总纲!Q126</f>
        <v>4270.8812637021847</v>
      </c>
      <c r="R126" s="91">
        <f>[1]节奏总纲!R126</f>
        <v>3414.7891393052651</v>
      </c>
      <c r="S126" s="91">
        <f>[1]节奏总纲!S126</f>
        <v>2441.7280085125349</v>
      </c>
      <c r="T126" s="91">
        <f>[1]节奏总纲!T126</f>
        <v>1313.3804381943328</v>
      </c>
      <c r="U126" s="91"/>
      <c r="V126" s="91">
        <v>123</v>
      </c>
      <c r="W126" s="91">
        <f>[1]节奏总纲!W126</f>
        <v>337.69905499292599</v>
      </c>
      <c r="X126" s="91">
        <f>[1]节奏总纲!X126</f>
        <v>284.18324209967977</v>
      </c>
      <c r="Y126" s="91">
        <f>[1]节奏总纲!Y126</f>
        <v>234.8388589473966</v>
      </c>
      <c r="Z126" s="91">
        <f>[1]节奏总纲!Z126</f>
        <v>174.3670097958302</v>
      </c>
      <c r="AA126" s="91">
        <f>[1]节奏总纲!AA126</f>
        <v>92.204265441518373</v>
      </c>
      <c r="AC126" s="23">
        <v>123</v>
      </c>
      <c r="AD126" s="23">
        <f>[1]节奏总纲!AD126</f>
        <v>69.533352307096465</v>
      </c>
      <c r="AE126" s="23">
        <f>[1]节奏总纲!AE126</f>
        <v>71.581007651517908</v>
      </c>
      <c r="AF126" s="23">
        <f>[1]节奏总纲!AF126</f>
        <v>74.495110324845726</v>
      </c>
      <c r="AG126" s="23">
        <f>[1]节奏总纲!AG126</f>
        <v>78.985591562540122</v>
      </c>
      <c r="AH126" s="23">
        <f>[1]节奏总纲!AH126</f>
        <v>87.974730481330297</v>
      </c>
      <c r="AZ126" s="23">
        <v>123</v>
      </c>
      <c r="BA126" s="23">
        <v>39.41239431449695</v>
      </c>
      <c r="BB126" s="23">
        <v>40.926556458884193</v>
      </c>
      <c r="BC126" s="23">
        <v>42.861403835978855</v>
      </c>
      <c r="BD126" s="23">
        <v>45.590281561224643</v>
      </c>
      <c r="BE126" s="23">
        <v>50</v>
      </c>
    </row>
    <row r="127" spans="6:57" x14ac:dyDescent="0.15">
      <c r="F127" s="23">
        <v>125</v>
      </c>
      <c r="G127" s="23">
        <v>5791.6187514801986</v>
      </c>
      <c r="N127" s="91">
        <f>[1]节奏总纲!N127</f>
        <v>134</v>
      </c>
      <c r="O127" s="91">
        <v>124</v>
      </c>
      <c r="P127" s="91">
        <f>[1]节奏总纲!P127</f>
        <v>5403.704402525771</v>
      </c>
      <c r="Q127" s="91">
        <f>[1]节奏总纲!Q127</f>
        <v>4591.5276308261473</v>
      </c>
      <c r="R127" s="91">
        <f>[1]节奏总纲!R127</f>
        <v>3670.1960301955037</v>
      </c>
      <c r="S127" s="91">
        <f>[1]节奏总纲!S127</f>
        <v>2624.0388578665143</v>
      </c>
      <c r="T127" s="91">
        <f>[1]节奏总纲!T127</f>
        <v>1415.7705534617521</v>
      </c>
      <c r="U127" s="91"/>
      <c r="V127" s="91">
        <v>124</v>
      </c>
      <c r="W127" s="91">
        <f>[1]节奏总纲!W127</f>
        <v>361.93688546499288</v>
      </c>
      <c r="X127" s="91">
        <f>[1]节奏总纲!X127</f>
        <v>320.64636712396259</v>
      </c>
      <c r="Y127" s="91">
        <f>[1]节奏总纲!Y127</f>
        <v>255.40689089023863</v>
      </c>
      <c r="Z127" s="91">
        <f>[1]节奏总纲!Z127</f>
        <v>182.31084935397939</v>
      </c>
      <c r="AA127" s="91">
        <f>[1]节奏总纲!AA127</f>
        <v>102.39011526741933</v>
      </c>
      <c r="AC127" s="23">
        <v>124</v>
      </c>
      <c r="AD127" s="23">
        <f>[1]节奏总纲!AD127</f>
        <v>69.650014230322356</v>
      </c>
      <c r="AE127" s="23">
        <f>[1]节奏总纲!AE127</f>
        <v>71.697987699893432</v>
      </c>
      <c r="AF127" s="23">
        <f>[1]节奏总纲!AF127</f>
        <v>74.610337687027609</v>
      </c>
      <c r="AG127" s="23">
        <f>[1]节奏总纲!AG127</f>
        <v>79.104601412347151</v>
      </c>
      <c r="AH127" s="23">
        <f>[1]节奏总纲!AH127</f>
        <v>88.109271506528316</v>
      </c>
      <c r="AZ127" s="23">
        <v>124</v>
      </c>
      <c r="BA127" s="23">
        <v>39.466427021209874</v>
      </c>
      <c r="BB127" s="23">
        <v>40.984830450008978</v>
      </c>
      <c r="BC127" s="23">
        <v>42.919258427523964</v>
      </c>
      <c r="BD127" s="23">
        <v>45.646073769279901</v>
      </c>
      <c r="BE127" s="23">
        <v>50</v>
      </c>
    </row>
    <row r="128" spans="6:57" x14ac:dyDescent="0.15">
      <c r="F128" s="23">
        <v>126</v>
      </c>
      <c r="G128" s="23">
        <v>6207.3750564265865</v>
      </c>
      <c r="N128" s="91">
        <f>[1]节奏总纲!N128</f>
        <v>135</v>
      </c>
      <c r="O128" s="91">
        <v>125</v>
      </c>
      <c r="P128" s="91">
        <f>[1]节奏总纲!P128</f>
        <v>5791.6187514801986</v>
      </c>
      <c r="Q128" s="91">
        <f>[1]节奏总纲!Q128</f>
        <v>4918.821805632133</v>
      </c>
      <c r="R128" s="91">
        <f>[1]节奏总纲!R128</f>
        <v>3940.0382366319791</v>
      </c>
      <c r="S128" s="91">
        <f>[1]节奏总纲!S128</f>
        <v>2819.9391700957085</v>
      </c>
      <c r="T128" s="91">
        <f>[1]节奏总纲!T128</f>
        <v>1508.7166847605918</v>
      </c>
      <c r="U128" s="91"/>
      <c r="V128" s="91">
        <v>125</v>
      </c>
      <c r="W128" s="91">
        <f>[1]节奏总纲!W128</f>
        <v>387.91434895442762</v>
      </c>
      <c r="X128" s="91">
        <f>[1]节奏总纲!X128</f>
        <v>327.29417480598568</v>
      </c>
      <c r="Y128" s="91">
        <f>[1]节奏总纲!Y128</f>
        <v>269.84220643647541</v>
      </c>
      <c r="Z128" s="91">
        <f>[1]节奏总纲!Z128</f>
        <v>195.90031222919424</v>
      </c>
      <c r="AA128" s="91">
        <f>[1]节奏总纲!AA128</f>
        <v>92.946131298839646</v>
      </c>
      <c r="AC128" s="23">
        <v>125</v>
      </c>
      <c r="AD128" s="23">
        <f>[1]节奏总纲!AD128</f>
        <v>69.766676153548232</v>
      </c>
      <c r="AE128" s="23">
        <f>[1]节奏总纲!AE128</f>
        <v>71.814967748268955</v>
      </c>
      <c r="AF128" s="23">
        <f>[1]节奏总纲!AF128</f>
        <v>74.725565049209479</v>
      </c>
      <c r="AG128" s="23">
        <f>[1]节奏总纲!AG128</f>
        <v>79.222727875098187</v>
      </c>
      <c r="AH128" s="23">
        <f>[1]节奏总纲!AH128</f>
        <v>88.243836210467165</v>
      </c>
      <c r="AZ128" s="23">
        <v>125</v>
      </c>
      <c r="BA128" s="23">
        <v>39.520459727922798</v>
      </c>
      <c r="BB128" s="23">
        <v>41.037193447861313</v>
      </c>
      <c r="BC128" s="23">
        <v>42.977113019069073</v>
      </c>
      <c r="BD128" s="23">
        <v>45.701865977335167</v>
      </c>
      <c r="BE128" s="23">
        <v>50</v>
      </c>
    </row>
    <row r="129" spans="6:57" x14ac:dyDescent="0.15">
      <c r="F129" s="23">
        <v>127</v>
      </c>
      <c r="G129" s="23">
        <v>6652.971630950271</v>
      </c>
      <c r="N129" s="91">
        <f>[1]节奏总纲!N129</f>
        <v>136</v>
      </c>
      <c r="O129" s="91">
        <v>126</v>
      </c>
      <c r="P129" s="91">
        <f>[1]节奏总纲!P129</f>
        <v>6207.3750564265865</v>
      </c>
      <c r="Q129" s="91">
        <f>[1]节奏总纲!Q129</f>
        <v>5281.855435513382</v>
      </c>
      <c r="R129" s="91">
        <f>[1]节奏总纲!R129</f>
        <v>4229.7053634490758</v>
      </c>
      <c r="S129" s="91">
        <f>[1]节奏总纲!S129</f>
        <v>3005.6110023217534</v>
      </c>
      <c r="T129" s="91">
        <f>[1]节奏总纲!T129</f>
        <v>1607.710139614486</v>
      </c>
      <c r="U129" s="91"/>
      <c r="V129" s="91">
        <v>126</v>
      </c>
      <c r="W129" s="91">
        <f>[1]节奏总纲!W129</f>
        <v>415.7563049463879</v>
      </c>
      <c r="X129" s="91">
        <f>[1]节奏总纲!X129</f>
        <v>363.033629881249</v>
      </c>
      <c r="Y129" s="91">
        <f>[1]节奏总纲!Y129</f>
        <v>289.66712681709669</v>
      </c>
      <c r="Z129" s="91">
        <f>[1]节奏总纲!Z129</f>
        <v>185.6718322260449</v>
      </c>
      <c r="AA129" s="91">
        <f>[1]节奏总纲!AA129</f>
        <v>98.993454853894264</v>
      </c>
      <c r="AC129" s="23">
        <v>126</v>
      </c>
      <c r="AD129" s="23">
        <f>[1]节奏总纲!AD129</f>
        <v>69.883338076774123</v>
      </c>
      <c r="AE129" s="23">
        <f>[1]节奏总纲!AE129</f>
        <v>71.931947796644479</v>
      </c>
      <c r="AF129" s="23">
        <f>[1]节奏总纲!AF129</f>
        <v>74.840792411391348</v>
      </c>
      <c r="AG129" s="23">
        <f>[1]节奏总纲!AG129</f>
        <v>79.340854337849223</v>
      </c>
      <c r="AH129" s="23">
        <f>[1]节奏总纲!AH129</f>
        <v>88.378400914406001</v>
      </c>
      <c r="AZ129" s="23">
        <v>126</v>
      </c>
      <c r="BA129" s="23">
        <v>39.574492434635722</v>
      </c>
      <c r="BB129" s="23">
        <v>41.087476216725996</v>
      </c>
      <c r="BC129" s="23">
        <v>43.030177309109042</v>
      </c>
      <c r="BD129" s="23">
        <v>45.757658185390426</v>
      </c>
      <c r="BE129" s="23">
        <v>50</v>
      </c>
    </row>
    <row r="130" spans="6:57" x14ac:dyDescent="0.15">
      <c r="F130" s="23">
        <v>128</v>
      </c>
      <c r="G130" s="23">
        <v>7130.5502145218443</v>
      </c>
      <c r="N130" s="91">
        <f>[1]节奏总纲!N130</f>
        <v>137</v>
      </c>
      <c r="O130" s="91">
        <v>127</v>
      </c>
      <c r="P130" s="91">
        <f>[1]节奏总纲!P130</f>
        <v>6652.971630950271</v>
      </c>
      <c r="Q130" s="91">
        <f>[1]节奏总纲!Q130</f>
        <v>5658.3523721232059</v>
      </c>
      <c r="R130" s="91">
        <f>[1]节奏总纲!R130</f>
        <v>4507.3882799688081</v>
      </c>
      <c r="S130" s="91">
        <f>[1]节奏总纲!S130</f>
        <v>3196.752868671605</v>
      </c>
      <c r="T130" s="91">
        <f>[1]节奏总纲!T130</f>
        <v>1713.1401949696949</v>
      </c>
      <c r="U130" s="91"/>
      <c r="V130" s="91">
        <v>127</v>
      </c>
      <c r="W130" s="91">
        <f>[1]节奏总纲!W130</f>
        <v>445.59657452368447</v>
      </c>
      <c r="X130" s="91">
        <f>[1]节奏总纲!X130</f>
        <v>376.49693660982393</v>
      </c>
      <c r="Y130" s="91">
        <f>[1]节奏总纲!Y130</f>
        <v>277.68291651973232</v>
      </c>
      <c r="Z130" s="91">
        <f>[1]节奏总纲!Z130</f>
        <v>191.14186634985163</v>
      </c>
      <c r="AA130" s="91">
        <f>[1]节奏总纲!AA130</f>
        <v>105.43005535520888</v>
      </c>
      <c r="AC130" s="23">
        <v>127</v>
      </c>
      <c r="AD130" s="23">
        <f>[1]节奏总纲!AD130</f>
        <v>70</v>
      </c>
      <c r="AE130" s="23">
        <f>[1]节奏总纲!AE130</f>
        <v>72.047345051940553</v>
      </c>
      <c r="AF130" s="23">
        <f>[1]节奏总纲!AF130</f>
        <v>74.956019773573217</v>
      </c>
      <c r="AG130" s="23">
        <f>[1]节奏总纲!AG130</f>
        <v>79.458980800600258</v>
      </c>
      <c r="AH130" s="23">
        <f>[1]节奏总纲!AH130</f>
        <v>88.51296561834485</v>
      </c>
      <c r="AZ130" s="23">
        <v>127</v>
      </c>
      <c r="BA130" s="23">
        <v>39.628525141348646</v>
      </c>
      <c r="BB130" s="23">
        <v>41.137758985590679</v>
      </c>
      <c r="BC130" s="23">
        <v>43.080106253688569</v>
      </c>
      <c r="BD130" s="23">
        <v>45.813450393445684</v>
      </c>
      <c r="BE130" s="23">
        <v>50</v>
      </c>
    </row>
    <row r="131" spans="6:57" x14ac:dyDescent="0.15">
      <c r="F131" s="23">
        <v>129</v>
      </c>
      <c r="G131" s="23">
        <v>7642.4062666695281</v>
      </c>
      <c r="N131" s="91">
        <f>[1]节奏总纲!N131</f>
        <v>138</v>
      </c>
      <c r="O131" s="91">
        <v>128</v>
      </c>
      <c r="P131" s="91">
        <f>[1]节奏总纲!P131</f>
        <v>7130.5502145218443</v>
      </c>
      <c r="Q131" s="91">
        <f>[1]节奏总纲!Q131</f>
        <v>6033.1585365069323</v>
      </c>
      <c r="R131" s="91">
        <f>[1]节奏总纲!R131</f>
        <v>4796.0080742873924</v>
      </c>
      <c r="S131" s="91">
        <f>[1]节奏总纲!S131</f>
        <v>3409.1160575628937</v>
      </c>
      <c r="T131" s="91">
        <f>[1]节奏总纲!T131</f>
        <v>1828.9861300248531</v>
      </c>
      <c r="U131" s="91"/>
      <c r="V131" s="91">
        <v>128</v>
      </c>
      <c r="W131" s="91">
        <f>[1]节奏总纲!W131</f>
        <v>477.57858357157329</v>
      </c>
      <c r="X131" s="91">
        <f>[1]节奏总纲!X131</f>
        <v>374.80616438372635</v>
      </c>
      <c r="Y131" s="91">
        <f>[1]节奏总纲!Y131</f>
        <v>288.61979431858435</v>
      </c>
      <c r="Z131" s="91">
        <f>[1]节奏总纲!Z131</f>
        <v>212.3631888912887</v>
      </c>
      <c r="AA131" s="91">
        <f>[1]节奏总纲!AA131</f>
        <v>115.84593505515818</v>
      </c>
      <c r="AC131" s="23">
        <v>128</v>
      </c>
      <c r="AD131" s="23">
        <f>[1]节奏总纲!AD131</f>
        <v>70.108849423225877</v>
      </c>
      <c r="AE131" s="23">
        <f>[1]节奏总纲!AE131</f>
        <v>72.160540850040434</v>
      </c>
      <c r="AF131" s="23">
        <f>[1]节奏总纲!AF131</f>
        <v>75.067682921736733</v>
      </c>
      <c r="AG131" s="23">
        <f>[1]节奏总纲!AG131</f>
        <v>79.577107263351294</v>
      </c>
      <c r="AH131" s="23">
        <f>[1]节奏总纲!AH131</f>
        <v>88.6475303222837</v>
      </c>
      <c r="AZ131" s="23">
        <v>128</v>
      </c>
      <c r="BA131" s="23">
        <v>39.68255784806157</v>
      </c>
      <c r="BB131" s="23">
        <v>41.188041754455355</v>
      </c>
      <c r="BC131" s="23">
        <v>43.130035198268104</v>
      </c>
      <c r="BD131" s="23">
        <v>45.869242601500943</v>
      </c>
      <c r="BE131" s="23">
        <v>50</v>
      </c>
    </row>
    <row r="132" spans="6:57" x14ac:dyDescent="0.15">
      <c r="F132" s="23">
        <v>130</v>
      </c>
      <c r="G132" s="23">
        <v>8191</v>
      </c>
      <c r="N132" s="91">
        <f>[1]节奏总纲!N132</f>
        <v>139</v>
      </c>
      <c r="O132" s="91">
        <v>129</v>
      </c>
      <c r="P132" s="91">
        <f>[1]节奏总纲!P132</f>
        <v>7642.4062666695281</v>
      </c>
      <c r="Q132" s="91">
        <f>[1]节奏总纲!Q132</f>
        <v>6463.18297972242</v>
      </c>
      <c r="R132" s="91">
        <f>[1]节奏总纲!R132</f>
        <v>5148.6891018552606</v>
      </c>
      <c r="S132" s="91">
        <f>[1]节奏总纲!S132</f>
        <v>3666.0622861213728</v>
      </c>
      <c r="T132" s="91">
        <f>[1]节奏总纲!T132</f>
        <v>1967.9196136674036</v>
      </c>
      <c r="U132" s="91"/>
      <c r="V132" s="91">
        <v>129</v>
      </c>
      <c r="W132" s="91">
        <f>[1]节奏总纲!W132</f>
        <v>511.85605214768384</v>
      </c>
      <c r="X132" s="91">
        <f>[1]节奏总纲!X132</f>
        <v>430.02444321548774</v>
      </c>
      <c r="Y132" s="91">
        <f>[1]节奏总纲!Y132</f>
        <v>352.68102756786811</v>
      </c>
      <c r="Z132" s="91">
        <f>[1]节奏总纲!Z132</f>
        <v>256.94622855847911</v>
      </c>
      <c r="AA132" s="91">
        <f>[1]节奏总纲!AA132</f>
        <v>138.93348364255053</v>
      </c>
      <c r="AC132" s="23">
        <v>129</v>
      </c>
      <c r="AD132" s="23">
        <f>[1]节奏总纲!AD132</f>
        <v>70.217698846451768</v>
      </c>
      <c r="AE132" s="23">
        <f>[1]节奏总纲!AE132</f>
        <v>72.273736648140314</v>
      </c>
      <c r="AF132" s="23">
        <f>[1]节奏总纲!AF132</f>
        <v>75.177145912126889</v>
      </c>
      <c r="AG132" s="23">
        <f>[1]节奏总纲!AG132</f>
        <v>79.69523372610233</v>
      </c>
      <c r="AH132" s="23">
        <f>[1]节奏总纲!AH132</f>
        <v>88.782095026222549</v>
      </c>
      <c r="AZ132" s="23">
        <v>129</v>
      </c>
      <c r="BA132" s="23">
        <v>39.736590554774494</v>
      </c>
      <c r="BB132" s="23">
        <v>41.238324523320038</v>
      </c>
      <c r="BC132" s="23">
        <v>43.179964142847631</v>
      </c>
      <c r="BD132" s="23">
        <v>45.925034809556202</v>
      </c>
      <c r="BE132" s="23">
        <v>50</v>
      </c>
    </row>
    <row r="133" spans="6:57" x14ac:dyDescent="0.15">
      <c r="F133" s="23">
        <v>131</v>
      </c>
      <c r="G133" s="23">
        <v>8778.9682050973151</v>
      </c>
      <c r="N133" s="91">
        <f>[1]节奏总纲!N133</f>
        <v>140</v>
      </c>
      <c r="O133" s="91">
        <v>130</v>
      </c>
      <c r="P133" s="91">
        <f>[1]节奏总纲!P133</f>
        <v>8191</v>
      </c>
      <c r="Q133" s="91">
        <f>[1]节奏总纲!Q133</f>
        <v>6940.2343000000001</v>
      </c>
      <c r="R133" s="91">
        <f>[1]节奏总纲!R133</f>
        <v>5535.4777999999997</v>
      </c>
      <c r="S133" s="91">
        <f>[1]节奏总纲!S133</f>
        <v>3951.3384000000001</v>
      </c>
      <c r="T133" s="91">
        <f>[1]节奏总纲!T133</f>
        <v>2123.1071999999999</v>
      </c>
      <c r="U133" s="91"/>
      <c r="V133" s="91">
        <v>130</v>
      </c>
      <c r="W133" s="91">
        <f>[1]节奏总纲!W133</f>
        <v>548.59373333047188</v>
      </c>
      <c r="X133" s="91">
        <f>[1]节奏总纲!X133</f>
        <v>477.05132027758009</v>
      </c>
      <c r="Y133" s="91">
        <f>[1]节奏总纲!Y133</f>
        <v>386.7886981447391</v>
      </c>
      <c r="Z133" s="91">
        <f>[1]节奏总纲!Z133</f>
        <v>285.27611387862726</v>
      </c>
      <c r="AA133" s="91">
        <f>[1]节奏总纲!AA133</f>
        <v>155.18758633259631</v>
      </c>
      <c r="AC133" s="23">
        <v>130</v>
      </c>
      <c r="AD133" s="23">
        <f>[1]节奏总纲!AD133</f>
        <v>70.326548269677644</v>
      </c>
      <c r="AE133" s="23">
        <f>[1]节奏总纲!AE133</f>
        <v>72.386932446240195</v>
      </c>
      <c r="AF133" s="23">
        <f>[1]节奏总纲!AF133</f>
        <v>75.286608902517045</v>
      </c>
      <c r="AG133" s="23">
        <f>[1]节奏总纲!AG133</f>
        <v>79.813360188853366</v>
      </c>
      <c r="AH133" s="23">
        <f>[1]节奏总纲!AH133</f>
        <v>88.916659730161399</v>
      </c>
      <c r="AZ133" s="23">
        <v>130</v>
      </c>
      <c r="BA133" s="23">
        <v>39.790623261487418</v>
      </c>
      <c r="BB133" s="23">
        <v>41.288607292184714</v>
      </c>
      <c r="BC133" s="23">
        <v>43.229893087427158</v>
      </c>
      <c r="BD133" s="23">
        <v>45.98082701761146</v>
      </c>
      <c r="BE133" s="23">
        <v>50</v>
      </c>
    </row>
    <row r="134" spans="6:57" x14ac:dyDescent="0.15">
      <c r="F134" s="23">
        <v>132</v>
      </c>
      <c r="G134" s="23">
        <v>9409.1369241357042</v>
      </c>
      <c r="N134" s="91">
        <f>[1]节奏总纲!N134</f>
        <v>141</v>
      </c>
      <c r="O134" s="91">
        <v>131</v>
      </c>
      <c r="P134" s="91">
        <f>[1]节奏总纲!P134</f>
        <v>8778.9682050973151</v>
      </c>
      <c r="Q134" s="91">
        <f>[1]节奏总纲!Q134</f>
        <v>7443.6871411020138</v>
      </c>
      <c r="R134" s="91">
        <f>[1]节奏总纲!R134</f>
        <v>5941.6056812098623</v>
      </c>
      <c r="S134" s="91">
        <f>[1]节奏总纲!S134</f>
        <v>4246.3869208055712</v>
      </c>
      <c r="T134" s="91">
        <f>[1]节奏总纲!T134</f>
        <v>2275.5085587612239</v>
      </c>
      <c r="U134" s="91"/>
      <c r="V134" s="91">
        <v>131</v>
      </c>
      <c r="W134" s="91">
        <f>[1]节奏总纲!W134</f>
        <v>587.96820509731515</v>
      </c>
      <c r="X134" s="91">
        <f>[1]节奏总纲!X134</f>
        <v>503.45284110201374</v>
      </c>
      <c r="Y134" s="91">
        <f>[1]节奏总纲!Y134</f>
        <v>406.12788120986261</v>
      </c>
      <c r="Z134" s="91">
        <f>[1]节奏总纲!Z134</f>
        <v>295.04852080557112</v>
      </c>
      <c r="AA134" s="91">
        <f>[1]节奏总纲!AA134</f>
        <v>152.40135876122395</v>
      </c>
      <c r="AC134" s="23">
        <v>131</v>
      </c>
      <c r="AD134" s="23">
        <f>[1]节奏总纲!AD134</f>
        <v>70.435397692903535</v>
      </c>
      <c r="AE134" s="23">
        <f>[1]节奏总纲!AE134</f>
        <v>72.50012824434009</v>
      </c>
      <c r="AF134" s="23">
        <f>[1]节奏总纲!AF134</f>
        <v>75.396071892907202</v>
      </c>
      <c r="AG134" s="23">
        <f>[1]节奏总纲!AG134</f>
        <v>79.931486651604402</v>
      </c>
      <c r="AH134" s="23">
        <f>[1]节奏总纲!AH134</f>
        <v>89.048420729369383</v>
      </c>
      <c r="AZ134" s="23">
        <v>131</v>
      </c>
      <c r="BA134" s="23">
        <v>39.844655968200342</v>
      </c>
      <c r="BB134" s="23">
        <v>41.338890061049398</v>
      </c>
      <c r="BC134" s="23">
        <v>43.279822032006692</v>
      </c>
      <c r="BD134" s="23">
        <v>46.031609894814238</v>
      </c>
      <c r="BE134" s="23">
        <v>50</v>
      </c>
    </row>
    <row r="135" spans="6:57" x14ac:dyDescent="0.15">
      <c r="F135" s="23">
        <v>133</v>
      </c>
      <c r="G135" s="23">
        <v>10084.535034121556</v>
      </c>
      <c r="N135" s="91">
        <f>[1]节奏总纲!N135</f>
        <v>142</v>
      </c>
      <c r="O135" s="91">
        <v>132</v>
      </c>
      <c r="P135" s="91">
        <f>[1]节奏总纲!P135</f>
        <v>9409.1369241357042</v>
      </c>
      <c r="Q135" s="91">
        <f>[1]节奏总纲!Q135</f>
        <v>7983.6526801291457</v>
      </c>
      <c r="R135" s="91">
        <f>[1]节奏总纲!R135</f>
        <v>6387.8630577957292</v>
      </c>
      <c r="S135" s="91">
        <f>[1]节奏总纲!S135</f>
        <v>4544.6131343575453</v>
      </c>
      <c r="T135" s="91">
        <f>[1]节奏总纲!T135</f>
        <v>2427.557326427012</v>
      </c>
      <c r="U135" s="91"/>
      <c r="V135" s="91">
        <v>132</v>
      </c>
      <c r="W135" s="91">
        <f>[1]节奏总纲!W135</f>
        <v>630.1687190383891</v>
      </c>
      <c r="X135" s="91">
        <f>[1]节奏总纲!X135</f>
        <v>539.96553902713185</v>
      </c>
      <c r="Y135" s="91">
        <f>[1]节奏总纲!Y135</f>
        <v>446.25737658586695</v>
      </c>
      <c r="Z135" s="91">
        <f>[1]节奏总纲!Z135</f>
        <v>298.22621355197407</v>
      </c>
      <c r="AA135" s="91">
        <f>[1]节奏总纲!AA135</f>
        <v>152.04876766578809</v>
      </c>
      <c r="AC135" s="23">
        <v>132</v>
      </c>
      <c r="AD135" s="23">
        <f>[1]节奏总纲!AD135</f>
        <v>70.544247116129412</v>
      </c>
      <c r="AE135" s="23">
        <f>[1]节奏总纲!AE135</f>
        <v>72.61332404243997</v>
      </c>
      <c r="AF135" s="23">
        <f>[1]节奏总纲!AF135</f>
        <v>75.505534883297358</v>
      </c>
      <c r="AG135" s="23">
        <f>[1]节奏总纲!AG135</f>
        <v>80.045750258986601</v>
      </c>
      <c r="AH135" s="23">
        <f>[1]节奏总纲!AH135</f>
        <v>89.175620204122851</v>
      </c>
      <c r="AZ135" s="23">
        <v>132</v>
      </c>
      <c r="BA135" s="23">
        <v>39.898688674913267</v>
      </c>
      <c r="BB135" s="23">
        <v>41.389172829914081</v>
      </c>
      <c r="BC135" s="23">
        <v>43.329750976586219</v>
      </c>
      <c r="BD135" s="23">
        <v>46.079770001861057</v>
      </c>
      <c r="BE135" s="23">
        <v>50</v>
      </c>
    </row>
    <row r="136" spans="6:57" x14ac:dyDescent="0.15">
      <c r="F136" s="23">
        <v>134</v>
      </c>
      <c r="G136" s="23">
        <v>10808.408805051544</v>
      </c>
      <c r="N136" s="91">
        <f>[1]节奏总纲!N136</f>
        <v>143</v>
      </c>
      <c r="O136" s="91">
        <v>133</v>
      </c>
      <c r="P136" s="91">
        <f>[1]节奏总纲!P136</f>
        <v>10084.535034121556</v>
      </c>
      <c r="Q136" s="91">
        <f>[1]节奏总纲!Q136</f>
        <v>8562.7786974726132</v>
      </c>
      <c r="R136" s="91">
        <f>[1]节奏总纲!R136</f>
        <v>6827.2302181002942</v>
      </c>
      <c r="S136" s="91">
        <f>[1]节奏总纲!S136</f>
        <v>4843.6021768885839</v>
      </c>
      <c r="T136" s="91">
        <f>[1]节奏总纲!T136</f>
        <v>2583.6578757419425</v>
      </c>
      <c r="U136" s="91"/>
      <c r="V136" s="91">
        <v>133</v>
      </c>
      <c r="W136" s="91">
        <f>[1]节奏总纲!W136</f>
        <v>675.39810998585199</v>
      </c>
      <c r="X136" s="91">
        <f>[1]节奏总纲!X136</f>
        <v>579.12601734346754</v>
      </c>
      <c r="Y136" s="91">
        <f>[1]节奏总纲!Y136</f>
        <v>439.367160304565</v>
      </c>
      <c r="Z136" s="91">
        <f>[1]节奏总纲!Z136</f>
        <v>298.98904253103865</v>
      </c>
      <c r="AA136" s="91">
        <f>[1]节奏总纲!AA136</f>
        <v>156.1005493149305</v>
      </c>
      <c r="AC136" s="23">
        <v>133</v>
      </c>
      <c r="AD136" s="23">
        <f>[1]节奏总纲!AD136</f>
        <v>70.653096539355303</v>
      </c>
      <c r="AE136" s="23">
        <f>[1]节奏总纲!AE136</f>
        <v>72.726519840539851</v>
      </c>
      <c r="AF136" s="23">
        <f>[1]节奏总纲!AF136</f>
        <v>75.614997873687514</v>
      </c>
      <c r="AG136" s="23">
        <f>[1]节奏总纲!AG136</f>
        <v>80.154679447049915</v>
      </c>
      <c r="AH136" s="23">
        <f>[1]节奏总纲!AH136</f>
        <v>89.302819678876304</v>
      </c>
      <c r="AZ136" s="23">
        <v>133</v>
      </c>
      <c r="BA136" s="23">
        <v>39.952721381626191</v>
      </c>
      <c r="BB136" s="23">
        <v>41.439455598778757</v>
      </c>
      <c r="BC136" s="23">
        <v>43.379679921165753</v>
      </c>
      <c r="BD136" s="23">
        <v>46.127930108907876</v>
      </c>
      <c r="BE136" s="23">
        <v>50</v>
      </c>
    </row>
    <row r="137" spans="6:57" x14ac:dyDescent="0.15">
      <c r="F137" s="23">
        <v>135</v>
      </c>
      <c r="G137" s="23">
        <v>11584.237502960397</v>
      </c>
      <c r="N137" s="91">
        <f>[1]节奏总纲!N137</f>
        <v>144</v>
      </c>
      <c r="O137" s="91">
        <v>134</v>
      </c>
      <c r="P137" s="91">
        <f>[1]节奏总纲!P137</f>
        <v>10808.408805051544</v>
      </c>
      <c r="Q137" s="91">
        <f>[1]节奏总纲!Q137</f>
        <v>9151.4797352371424</v>
      </c>
      <c r="R137" s="91">
        <f>[1]节奏总纲!R137</f>
        <v>7268.654921397163</v>
      </c>
      <c r="S137" s="91">
        <f>[1]节奏总纲!S137</f>
        <v>5162.0960452926174</v>
      </c>
      <c r="T137" s="91">
        <f>[1]节奏总纲!T137</f>
        <v>2762.6292905711744</v>
      </c>
      <c r="U137" s="91"/>
      <c r="V137" s="91">
        <v>134</v>
      </c>
      <c r="W137" s="91">
        <f>[1]节奏总纲!W137</f>
        <v>723.87377092998759</v>
      </c>
      <c r="X137" s="91">
        <f>[1]节奏总纲!X137</f>
        <v>588.70103776452925</v>
      </c>
      <c r="Y137" s="91">
        <f>[1]节奏总纲!Y137</f>
        <v>441.42470329686876</v>
      </c>
      <c r="Z137" s="91">
        <f>[1]节奏总纲!Z137</f>
        <v>318.49386840403349</v>
      </c>
      <c r="AA137" s="91">
        <f>[1]节奏总纲!AA137</f>
        <v>178.97141482923189</v>
      </c>
      <c r="AC137" s="23">
        <v>134</v>
      </c>
      <c r="AD137" s="23">
        <f>[1]节奏总纲!AD137</f>
        <v>70.76194596258118</v>
      </c>
      <c r="AE137" s="23">
        <f>[1]节奏总纲!AE137</f>
        <v>72.839715638639731</v>
      </c>
      <c r="AF137" s="23">
        <f>[1]节奏总纲!AF137</f>
        <v>75.72446086407767</v>
      </c>
      <c r="AG137" s="23">
        <f>[1]节奏总纲!AG137</f>
        <v>80.263608635113243</v>
      </c>
      <c r="AH137" s="23">
        <f>[1]节奏总纲!AH137</f>
        <v>89.430019153629758</v>
      </c>
      <c r="AZ137" s="23">
        <v>134</v>
      </c>
      <c r="BA137" s="23">
        <v>40.005827399112476</v>
      </c>
      <c r="BB137" s="23">
        <v>41.48973836764344</v>
      </c>
      <c r="BC137" s="23">
        <v>43.42960886574528</v>
      </c>
      <c r="BD137" s="23">
        <v>46.176090215954694</v>
      </c>
      <c r="BE137" s="23">
        <v>50</v>
      </c>
    </row>
    <row r="138" spans="6:57" x14ac:dyDescent="0.15">
      <c r="F138" s="23">
        <v>136</v>
      </c>
      <c r="G138" s="23">
        <v>12415.750112853173</v>
      </c>
      <c r="N138" s="91">
        <f>[1]节奏总纲!N138</f>
        <v>145</v>
      </c>
      <c r="O138" s="91">
        <v>135</v>
      </c>
      <c r="P138" s="91">
        <f>[1]节奏总纲!P138</f>
        <v>11584.237502960397</v>
      </c>
      <c r="Q138" s="91">
        <f>[1]节奏总纲!Q138</f>
        <v>9780.5717237494646</v>
      </c>
      <c r="R138" s="91">
        <f>[1]节奏总纲!R138</f>
        <v>7779.9739069882025</v>
      </c>
      <c r="S138" s="91">
        <f>[1]节奏总纲!S138</f>
        <v>5532.6318314138862</v>
      </c>
      <c r="T138" s="91">
        <f>[1]节奏总纲!T138</f>
        <v>2965.5648007578616</v>
      </c>
      <c r="U138" s="91"/>
      <c r="V138" s="91">
        <v>135</v>
      </c>
      <c r="W138" s="91">
        <f>[1]节奏总纲!W138</f>
        <v>775.82869790885343</v>
      </c>
      <c r="X138" s="91">
        <f>[1]节奏总纲!X138</f>
        <v>629.09198851232213</v>
      </c>
      <c r="Y138" s="91">
        <f>[1]节奏总纲!Y138</f>
        <v>511.31898559103956</v>
      </c>
      <c r="Z138" s="91">
        <f>[1]节奏总纲!Z138</f>
        <v>370.53578612126876</v>
      </c>
      <c r="AA138" s="91">
        <f>[1]节奏总纲!AA138</f>
        <v>202.93551018668722</v>
      </c>
      <c r="AC138" s="23">
        <v>135</v>
      </c>
      <c r="AD138" s="23">
        <f>[1]节奏总纲!AD138</f>
        <v>70.870795385807057</v>
      </c>
      <c r="AE138" s="23">
        <f>[1]节奏总纲!AE138</f>
        <v>72.952911436739612</v>
      </c>
      <c r="AF138" s="23">
        <f>[1]节奏总纲!AF138</f>
        <v>75.833923854467812</v>
      </c>
      <c r="AG138" s="23">
        <f>[1]节奏总纲!AG138</f>
        <v>80.372537823176572</v>
      </c>
      <c r="AH138" s="23">
        <f>[1]节奏总纲!AH138</f>
        <v>89.557218628383211</v>
      </c>
      <c r="AZ138" s="23">
        <v>135</v>
      </c>
      <c r="BA138" s="23">
        <v>40.052446592012309</v>
      </c>
      <c r="BB138" s="23">
        <v>41.540021136508116</v>
      </c>
      <c r="BC138" s="23">
        <v>43.479537810324814</v>
      </c>
      <c r="BD138" s="23">
        <v>46.224250323001513</v>
      </c>
      <c r="BE138" s="23">
        <v>50</v>
      </c>
    </row>
    <row r="139" spans="6:57" x14ac:dyDescent="0.15">
      <c r="F139" s="23">
        <v>137</v>
      </c>
      <c r="G139" s="23">
        <v>13306.943261900544</v>
      </c>
      <c r="N139" s="91">
        <f>[1]节奏总纲!N139</f>
        <v>146</v>
      </c>
      <c r="O139" s="91">
        <v>136</v>
      </c>
      <c r="P139" s="91">
        <f>[1]节奏总纲!P139</f>
        <v>12415.750112853173</v>
      </c>
      <c r="Q139" s="91">
        <f>[1]节奏总纲!Q139</f>
        <v>10502.4830204625</v>
      </c>
      <c r="R139" s="91">
        <f>[1]节奏总纲!R139</f>
        <v>8371.9403010968945</v>
      </c>
      <c r="S139" s="91">
        <f>[1]节奏总纲!S139</f>
        <v>5949.627454079241</v>
      </c>
      <c r="T139" s="91">
        <f>[1]节奏总纲!T139</f>
        <v>3194.5725040371212</v>
      </c>
      <c r="U139" s="91"/>
      <c r="V139" s="91">
        <v>136</v>
      </c>
      <c r="W139" s="91">
        <f>[1]节奏总纲!W139</f>
        <v>831.5126098927758</v>
      </c>
      <c r="X139" s="91">
        <f>[1]节奏总纲!X139</f>
        <v>721.91129671303497</v>
      </c>
      <c r="Y139" s="91">
        <f>[1]节奏总纲!Y139</f>
        <v>591.96639410869193</v>
      </c>
      <c r="Z139" s="91">
        <f>[1]节奏总纲!Z139</f>
        <v>416.99562266535486</v>
      </c>
      <c r="AA139" s="91">
        <f>[1]节奏总纲!AA139</f>
        <v>229.00770327925966</v>
      </c>
      <c r="AC139" s="23">
        <v>136</v>
      </c>
      <c r="AD139" s="23">
        <f>[1]节奏总纲!AD139</f>
        <v>70.979644809032948</v>
      </c>
      <c r="AE139" s="23">
        <f>[1]节奏总纲!AE139</f>
        <v>73.059911975288244</v>
      </c>
      <c r="AF139" s="23">
        <f>[1]节奏总纲!AF139</f>
        <v>75.943386844857969</v>
      </c>
      <c r="AG139" s="23">
        <f>[1]节奏总纲!AG139</f>
        <v>80.4814670112399</v>
      </c>
      <c r="AH139" s="23">
        <f>[1]节奏总纲!AH139</f>
        <v>89.684418103136665</v>
      </c>
      <c r="AZ139" s="23">
        <v>136</v>
      </c>
      <c r="BA139" s="23">
        <v>40.099065784912149</v>
      </c>
      <c r="BB139" s="23">
        <v>41.590303905372799</v>
      </c>
      <c r="BC139" s="23">
        <v>43.529466754904341</v>
      </c>
      <c r="BD139" s="23">
        <v>46.272410430048332</v>
      </c>
      <c r="BE139" s="23">
        <v>50</v>
      </c>
    </row>
    <row r="140" spans="6:57" x14ac:dyDescent="0.15">
      <c r="F140" s="23">
        <v>138</v>
      </c>
      <c r="G140" s="23">
        <v>14262.10042904369</v>
      </c>
      <c r="N140" s="91">
        <f>[1]节奏总纲!N140</f>
        <v>147</v>
      </c>
      <c r="O140" s="91">
        <v>137</v>
      </c>
      <c r="P140" s="91">
        <f>[1]节奏总纲!P140</f>
        <v>13306.943261900544</v>
      </c>
      <c r="Q140" s="91">
        <f>[1]节奏总纲!Q140</f>
        <v>11264.327471198811</v>
      </c>
      <c r="R140" s="91">
        <f>[1]节奏总纲!R140</f>
        <v>8987.5094790876265</v>
      </c>
      <c r="S140" s="91">
        <f>[1]节奏总纲!S140</f>
        <v>6407.293180605112</v>
      </c>
      <c r="T140" s="91">
        <f>[1]节奏总纲!T140</f>
        <v>3433.1913615703402</v>
      </c>
      <c r="U140" s="91"/>
      <c r="V140" s="91">
        <v>137</v>
      </c>
      <c r="W140" s="91">
        <f>[1]节奏总纲!W140</f>
        <v>891.19314904737075</v>
      </c>
      <c r="X140" s="91">
        <f>[1]节奏总纲!X140</f>
        <v>761.84445073631105</v>
      </c>
      <c r="Y140" s="91">
        <f>[1]节奏总纲!Y140</f>
        <v>615.56917799073199</v>
      </c>
      <c r="Z140" s="91">
        <f>[1]节奏总纲!Z140</f>
        <v>457.66572652587092</v>
      </c>
      <c r="AA140" s="91">
        <f>[1]节奏总纲!AA140</f>
        <v>238.61885753321894</v>
      </c>
      <c r="AC140" s="23">
        <v>137</v>
      </c>
      <c r="AD140" s="23">
        <f>[1]节奏总纲!AD140</f>
        <v>71.082568038258202</v>
      </c>
      <c r="AE140" s="23">
        <f>[1]节奏总纲!AE140</f>
        <v>73.162499594857536</v>
      </c>
      <c r="AF140" s="23">
        <f>[1]节奏总纲!AF140</f>
        <v>76.048210495050611</v>
      </c>
      <c r="AG140" s="23">
        <f>[1]节奏总纲!AG140</f>
        <v>80.590396199303228</v>
      </c>
      <c r="AH140" s="23">
        <f>[1]节奏总纲!AH140</f>
        <v>89.811617577890132</v>
      </c>
      <c r="AZ140" s="23">
        <v>137</v>
      </c>
      <c r="BA140" s="23">
        <v>40.145684977811982</v>
      </c>
      <c r="BB140" s="23">
        <v>41.640586674237483</v>
      </c>
      <c r="BC140" s="23">
        <v>43.579395699483875</v>
      </c>
      <c r="BD140" s="23">
        <v>46.320570537095151</v>
      </c>
      <c r="BE140" s="23">
        <v>50</v>
      </c>
    </row>
    <row r="141" spans="6:57" x14ac:dyDescent="0.15">
      <c r="F141" s="23">
        <v>139</v>
      </c>
      <c r="G141" s="23">
        <v>15285.812533339058</v>
      </c>
      <c r="N141" s="91">
        <f>[1]节奏总纲!N141</f>
        <v>148</v>
      </c>
      <c r="O141" s="91">
        <v>138</v>
      </c>
      <c r="P141" s="91">
        <f>[1]节奏总纲!P141</f>
        <v>14262.10042904369</v>
      </c>
      <c r="Q141" s="91">
        <f>[1]节奏总纲!Q141</f>
        <v>12081.42527344291</v>
      </c>
      <c r="R141" s="91">
        <f>[1]节奏总纲!R141</f>
        <v>9648.3109402480568</v>
      </c>
      <c r="S141" s="91">
        <f>[1]节奏总纲!S141</f>
        <v>6871.4799867132497</v>
      </c>
      <c r="T141" s="91">
        <f>[1]节奏总纲!T141</f>
        <v>3665.3598102642286</v>
      </c>
      <c r="U141" s="91"/>
      <c r="V141" s="91">
        <v>138</v>
      </c>
      <c r="W141" s="91">
        <f>[1]节奏总纲!W141</f>
        <v>955.15716714314658</v>
      </c>
      <c r="X141" s="91">
        <f>[1]节奏总纲!X141</f>
        <v>817.09780224409951</v>
      </c>
      <c r="Y141" s="91">
        <f>[1]节奏总纲!Y141</f>
        <v>660.80146116043034</v>
      </c>
      <c r="Z141" s="91">
        <f>[1]节奏总纲!Z141</f>
        <v>464.18680610813772</v>
      </c>
      <c r="AA141" s="91">
        <f>[1]节奏总纲!AA141</f>
        <v>232.16844869388842</v>
      </c>
      <c r="AC141" s="23">
        <v>138</v>
      </c>
      <c r="AD141" s="23">
        <f>[1]节奏总纲!AD141</f>
        <v>71.184128141237707</v>
      </c>
      <c r="AE141" s="23">
        <f>[1]节奏总纲!AE141</f>
        <v>73.265087214426828</v>
      </c>
      <c r="AF141" s="23">
        <f>[1]节奏总纲!AF141</f>
        <v>76.148064447889894</v>
      </c>
      <c r="AG141" s="23">
        <f>[1]节奏总纲!AG141</f>
        <v>80.699325387366557</v>
      </c>
      <c r="AH141" s="23">
        <f>[1]节奏总纲!AH141</f>
        <v>89.938817052643586</v>
      </c>
      <c r="AZ141" s="23">
        <v>138</v>
      </c>
      <c r="BA141" s="23">
        <v>40.192304170711814</v>
      </c>
      <c r="BB141" s="23">
        <v>41.690869443102159</v>
      </c>
      <c r="BC141" s="23">
        <v>43.629324644063402</v>
      </c>
      <c r="BD141" s="23">
        <v>46.368730644141969</v>
      </c>
      <c r="BE141" s="23">
        <v>50</v>
      </c>
    </row>
    <row r="142" spans="6:57" x14ac:dyDescent="0.15">
      <c r="F142" s="23">
        <v>140</v>
      </c>
      <c r="G142" s="23">
        <v>16383</v>
      </c>
      <c r="N142" s="91">
        <f>[1]节奏总纲!N142</f>
        <v>149</v>
      </c>
      <c r="O142" s="91">
        <v>139</v>
      </c>
      <c r="P142" s="91">
        <f>[1]节奏总纲!P142</f>
        <v>15285.812533339058</v>
      </c>
      <c r="Q142" s="91">
        <f>[1]节奏总纲!Q142</f>
        <v>12957.783284511519</v>
      </c>
      <c r="R142" s="91">
        <f>[1]节奏总纲!R142</f>
        <v>10342.380760057207</v>
      </c>
      <c r="S142" s="91">
        <f>[1]节奏总纲!S142</f>
        <v>7323.4327847227432</v>
      </c>
      <c r="T142" s="91">
        <f>[1]节奏总纲!T142</f>
        <v>3902.4679397614618</v>
      </c>
      <c r="U142" s="91"/>
      <c r="V142" s="91">
        <v>139</v>
      </c>
      <c r="W142" s="91">
        <f>[1]节奏总纲!W142</f>
        <v>1023.7121042953677</v>
      </c>
      <c r="X142" s="91">
        <f>[1]节奏总纲!X142</f>
        <v>876.3580110686089</v>
      </c>
      <c r="Y142" s="91">
        <f>[1]节奏总纲!Y142</f>
        <v>694.06981980915043</v>
      </c>
      <c r="Z142" s="91">
        <f>[1]节奏总纲!Z142</f>
        <v>451.95279800949356</v>
      </c>
      <c r="AA142" s="91">
        <f>[1]节奏总纲!AA142</f>
        <v>237.10812949723322</v>
      </c>
      <c r="AC142" s="23">
        <v>139</v>
      </c>
      <c r="AD142" s="23">
        <f>[1]节奏总纲!AD142</f>
        <v>71.285688244217212</v>
      </c>
      <c r="AE142" s="23">
        <f>[1]节奏总纲!AE142</f>
        <v>73.367674833996119</v>
      </c>
      <c r="AF142" s="23">
        <f>[1]节奏总纲!AF142</f>
        <v>76.247918400729162</v>
      </c>
      <c r="AG142" s="23">
        <f>[1]节奏总纲!AG142</f>
        <v>80.808254575429885</v>
      </c>
      <c r="AH142" s="23">
        <f>[1]节奏总纲!AH142</f>
        <v>90.055148444912135</v>
      </c>
      <c r="AZ142" s="23">
        <v>139</v>
      </c>
      <c r="BA142" s="23">
        <v>40.238923363611647</v>
      </c>
      <c r="BB142" s="23">
        <v>41.741152211966842</v>
      </c>
      <c r="BC142" s="23">
        <v>43.679253588642929</v>
      </c>
      <c r="BD142" s="23">
        <v>46.416890751188788</v>
      </c>
      <c r="BE142" s="23">
        <v>50</v>
      </c>
    </row>
    <row r="143" spans="6:57" x14ac:dyDescent="0.15">
      <c r="F143" s="23">
        <v>141</v>
      </c>
      <c r="G143" s="23">
        <v>17558.936410194601</v>
      </c>
      <c r="N143" s="91">
        <f>[1]节奏总纲!N143</f>
        <v>150</v>
      </c>
      <c r="O143" s="91">
        <v>140</v>
      </c>
      <c r="P143" s="91">
        <f>[1]节奏总纲!P143</f>
        <v>16383</v>
      </c>
      <c r="Q143" s="91">
        <f>[1]节奏总纲!Q143</f>
        <v>13881.315900000001</v>
      </c>
      <c r="R143" s="91">
        <f>[1]节奏总纲!R143</f>
        <v>11020.8441</v>
      </c>
      <c r="S143" s="91">
        <f>[1]节奏总纲!S143</f>
        <v>7804.8612000000003</v>
      </c>
      <c r="T143" s="91">
        <f>[1]节奏总纲!T143</f>
        <v>4169.4735000000001</v>
      </c>
      <c r="U143" s="91"/>
      <c r="V143" s="91">
        <v>140</v>
      </c>
      <c r="W143" s="91">
        <f>[1]节奏总纲!W143</f>
        <v>1097.1874666609419</v>
      </c>
      <c r="X143" s="91">
        <f>[1]节奏总纲!X143</f>
        <v>923.53261548848241</v>
      </c>
      <c r="Y143" s="91">
        <f>[1]节奏总纲!Y143</f>
        <v>678.46333994279303</v>
      </c>
      <c r="Z143" s="91">
        <f>[1]节奏总纲!Z143</f>
        <v>481.42841527725705</v>
      </c>
      <c r="AA143" s="91">
        <f>[1]节奏总纲!AA143</f>
        <v>267.00556023853824</v>
      </c>
      <c r="AC143" s="23">
        <v>140</v>
      </c>
      <c r="AD143" s="23">
        <f>[1]节奏总纲!AD143</f>
        <v>71.387248347196717</v>
      </c>
      <c r="AE143" s="23">
        <f>[1]节奏总纲!AE143</f>
        <v>73.470262453565411</v>
      </c>
      <c r="AF143" s="23">
        <f>[1]节奏总纲!AF143</f>
        <v>76.347772353568445</v>
      </c>
      <c r="AG143" s="23">
        <f>[1]节奏总纲!AG143</f>
        <v>80.917183763493213</v>
      </c>
      <c r="AH143" s="23">
        <f>[1]节奏总纲!AH143</f>
        <v>90.16140749098561</v>
      </c>
      <c r="AZ143" s="23">
        <v>140</v>
      </c>
      <c r="BA143" s="23">
        <v>40.28554255651148</v>
      </c>
      <c r="BB143" s="23">
        <v>41.791434980831518</v>
      </c>
      <c r="BC143" s="23">
        <v>43.729182533222463</v>
      </c>
      <c r="BD143" s="23">
        <v>46.465050858235607</v>
      </c>
      <c r="BE143" s="23">
        <v>50</v>
      </c>
    </row>
    <row r="144" spans="6:57" x14ac:dyDescent="0.15">
      <c r="F144" s="23">
        <v>142</v>
      </c>
      <c r="G144" s="23">
        <v>18819.273848271412</v>
      </c>
      <c r="N144" s="91">
        <f>[1]节奏总纲!N144</f>
        <v>151</v>
      </c>
      <c r="O144" s="91">
        <v>141</v>
      </c>
      <c r="P144" s="91">
        <f>[1]节奏总纲!P144</f>
        <v>17558.936410194601</v>
      </c>
      <c r="Q144" s="91">
        <f>[1]节奏总纲!Q144</f>
        <v>14817.986436563224</v>
      </c>
      <c r="R144" s="91">
        <f>[1]节奏总纲!R144</f>
        <v>11760.975607548344</v>
      </c>
      <c r="S144" s="91">
        <f>[1]节奏总纲!S144</f>
        <v>8352.7860503295724</v>
      </c>
      <c r="T144" s="91">
        <f>[1]节奏总纲!T144</f>
        <v>4465.2375291124872</v>
      </c>
      <c r="U144" s="91"/>
      <c r="V144" s="91">
        <v>141</v>
      </c>
      <c r="W144" s="91">
        <f>[1]节奏总纲!W144</f>
        <v>1175.9364101946012</v>
      </c>
      <c r="X144" s="91">
        <f>[1]节奏总纲!X144</f>
        <v>936.67053656322241</v>
      </c>
      <c r="Y144" s="91">
        <f>[1]节奏总纲!Y144</f>
        <v>740.13150754834351</v>
      </c>
      <c r="Z144" s="91">
        <f>[1]节奏总纲!Z144</f>
        <v>547.92485032957211</v>
      </c>
      <c r="AA144" s="91">
        <f>[1]节奏总纲!AA144</f>
        <v>295.76402911248715</v>
      </c>
      <c r="AC144" s="23">
        <v>141</v>
      </c>
      <c r="AD144" s="23">
        <f>[1]节奏总纲!AD144</f>
        <v>71.488808450176208</v>
      </c>
      <c r="AE144" s="23">
        <f>[1]节奏总纲!AE144</f>
        <v>73.572850073134703</v>
      </c>
      <c r="AF144" s="23">
        <f>[1]节奏总纲!AF144</f>
        <v>76.447626306407713</v>
      </c>
      <c r="AG144" s="23">
        <f>[1]节奏总纲!AG144</f>
        <v>81.023848662825003</v>
      </c>
      <c r="AH144" s="23">
        <f>[1]节奏总纲!AH144</f>
        <v>90.267666537059071</v>
      </c>
      <c r="AZ144" s="23">
        <v>141</v>
      </c>
      <c r="BA144" s="23">
        <v>40.332161749411313</v>
      </c>
      <c r="BB144" s="23">
        <v>41.841717749696201</v>
      </c>
      <c r="BC144" s="23">
        <v>43.77911147780199</v>
      </c>
      <c r="BD144" s="23">
        <v>46.513210965282425</v>
      </c>
      <c r="BE144" s="23">
        <v>50</v>
      </c>
    </row>
    <row r="145" spans="6:57" x14ac:dyDescent="0.15">
      <c r="F145" s="23">
        <v>143</v>
      </c>
      <c r="G145" s="23">
        <v>20170.070068243116</v>
      </c>
      <c r="N145" s="91">
        <f>[1]节奏总纲!N145</f>
        <v>152</v>
      </c>
      <c r="O145" s="91">
        <v>142</v>
      </c>
      <c r="P145" s="91">
        <f>[1]节奏总纲!P145</f>
        <v>18819.273848271412</v>
      </c>
      <c r="Q145" s="91">
        <f>[1]节奏总纲!Q145</f>
        <v>15892.876764865208</v>
      </c>
      <c r="R145" s="91">
        <f>[1]节奏总纲!R145</f>
        <v>12644.670098653563</v>
      </c>
      <c r="S145" s="91">
        <f>[1]节奏总纲!S145</f>
        <v>8976.7936256254634</v>
      </c>
      <c r="T145" s="91">
        <f>[1]节奏总纲!T145</f>
        <v>4804.5606134636919</v>
      </c>
      <c r="U145" s="91"/>
      <c r="V145" s="91">
        <v>142</v>
      </c>
      <c r="W145" s="91">
        <f>[1]节奏总纲!W145</f>
        <v>1260.3374380768109</v>
      </c>
      <c r="X145" s="91">
        <f>[1]节奏总纲!X145</f>
        <v>1074.8903283019845</v>
      </c>
      <c r="Y145" s="91">
        <f>[1]节奏总纲!Y145</f>
        <v>883.69449110521964</v>
      </c>
      <c r="Z145" s="91">
        <f>[1]节奏总纲!Z145</f>
        <v>624.007575295891</v>
      </c>
      <c r="AA145" s="91">
        <f>[1]节奏总纲!AA145</f>
        <v>339.32308435120467</v>
      </c>
      <c r="AC145" s="23">
        <v>142</v>
      </c>
      <c r="AD145" s="23">
        <f>[1]节奏总纲!AD145</f>
        <v>71.590368553155713</v>
      </c>
      <c r="AE145" s="23">
        <f>[1]节奏总纲!AE145</f>
        <v>73.675437692703994</v>
      </c>
      <c r="AF145" s="23">
        <f>[1]节奏总纲!AF145</f>
        <v>76.547480259246996</v>
      </c>
      <c r="AG145" s="23">
        <f>[1]节奏总纲!AG145</f>
        <v>81.123332456233015</v>
      </c>
      <c r="AH145" s="23">
        <f>[1]节奏总纲!AH145</f>
        <v>90.373925583132547</v>
      </c>
      <c r="AZ145" s="23">
        <v>142</v>
      </c>
      <c r="BA145" s="23">
        <v>40.378780942311145</v>
      </c>
      <c r="BB145" s="23">
        <v>41.892000518560877</v>
      </c>
      <c r="BC145" s="23">
        <v>43.829040422381524</v>
      </c>
      <c r="BD145" s="23">
        <v>46.561371072329244</v>
      </c>
      <c r="BE145" s="23">
        <v>50</v>
      </c>
    </row>
    <row r="146" spans="6:57" x14ac:dyDescent="0.15">
      <c r="F146" s="23">
        <v>144</v>
      </c>
      <c r="G146" s="23">
        <v>21617.817610103088</v>
      </c>
      <c r="N146" s="91">
        <f>[1]节奏总纲!N146</f>
        <v>153</v>
      </c>
      <c r="O146" s="91">
        <v>143</v>
      </c>
      <c r="P146" s="91">
        <f>[1]节奏总纲!P146</f>
        <v>20170.070068243116</v>
      </c>
      <c r="Q146" s="91">
        <f>[1]节奏总纲!Q146</f>
        <v>17065.896284740498</v>
      </c>
      <c r="R146" s="91">
        <f>[1]节奏总纲!R146</f>
        <v>13574.457155927617</v>
      </c>
      <c r="S146" s="91">
        <f>[1]节奏总纲!S146</f>
        <v>9653.3955346611565</v>
      </c>
      <c r="T146" s="91">
        <f>[1]节奏总纲!T146</f>
        <v>5173.6229725043595</v>
      </c>
      <c r="U146" s="91"/>
      <c r="V146" s="91">
        <v>143</v>
      </c>
      <c r="W146" s="91">
        <f>[1]节奏总纲!W146</f>
        <v>1350.796219971704</v>
      </c>
      <c r="X146" s="91">
        <f>[1]节奏总纲!X146</f>
        <v>1173.0195198752899</v>
      </c>
      <c r="Y146" s="91">
        <f>[1]节奏总纲!Y146</f>
        <v>929.78705727405395</v>
      </c>
      <c r="Z146" s="91">
        <f>[1]节奏总纲!Z146</f>
        <v>676.6019090356931</v>
      </c>
      <c r="AA146" s="91">
        <f>[1]节奏总纲!AA146</f>
        <v>369.06235904066762</v>
      </c>
      <c r="AC146" s="23">
        <v>143</v>
      </c>
      <c r="AD146" s="23">
        <f>[1]节奏总纲!AD146</f>
        <v>71.691928656135218</v>
      </c>
      <c r="AE146" s="23">
        <f>[1]节奏总纲!AE146</f>
        <v>73.778025312273286</v>
      </c>
      <c r="AF146" s="23">
        <f>[1]节奏总纲!AF146</f>
        <v>76.647334212086264</v>
      </c>
      <c r="AG146" s="23">
        <f>[1]节奏总纲!AG146</f>
        <v>81.222816249641028</v>
      </c>
      <c r="AH146" s="23">
        <f>[1]节奏总纲!AH146</f>
        <v>90.480184629206022</v>
      </c>
      <c r="AZ146" s="23">
        <v>143</v>
      </c>
      <c r="BA146" s="23">
        <v>40.425400135210978</v>
      </c>
      <c r="BB146" s="23">
        <v>41.94228328742556</v>
      </c>
      <c r="BC146" s="23">
        <v>43.878969366961051</v>
      </c>
      <c r="BD146" s="23">
        <v>46.609531179376063</v>
      </c>
      <c r="BE146" s="23">
        <v>50</v>
      </c>
    </row>
    <row r="147" spans="6:57" x14ac:dyDescent="0.15">
      <c r="F147" s="23">
        <v>145</v>
      </c>
      <c r="G147" s="23">
        <v>23169.475005920798</v>
      </c>
      <c r="N147" s="91">
        <f>[1]节奏总纲!N147</f>
        <v>154</v>
      </c>
      <c r="O147" s="91">
        <v>144</v>
      </c>
      <c r="P147" s="91">
        <f>[1]节奏总纲!P147</f>
        <v>21617.817610103088</v>
      </c>
      <c r="Q147" s="91">
        <f>[1]节奏总纲!Q147</f>
        <v>18282.188352864181</v>
      </c>
      <c r="R147" s="91">
        <f>[1]节奏总纲!R147</f>
        <v>14572.570850970493</v>
      </c>
      <c r="S147" s="91">
        <f>[1]节奏总纲!S147</f>
        <v>10367.905325805441</v>
      </c>
      <c r="T147" s="91">
        <f>[1]节奏总纲!T147</f>
        <v>5534.1613081863907</v>
      </c>
      <c r="U147" s="91"/>
      <c r="V147" s="91">
        <v>144</v>
      </c>
      <c r="W147" s="91">
        <f>[1]节奏总纲!W147</f>
        <v>1447.7475418599715</v>
      </c>
      <c r="X147" s="91">
        <f>[1]节奏总纲!X147</f>
        <v>1216.2920681236828</v>
      </c>
      <c r="Y147" s="91">
        <f>[1]节奏总纲!Y147</f>
        <v>998.11369504287541</v>
      </c>
      <c r="Z147" s="91">
        <f>[1]节奏总纲!Z147</f>
        <v>714.50979114428446</v>
      </c>
      <c r="AA147" s="91">
        <f>[1]节奏总纲!AA147</f>
        <v>360.53833568203117</v>
      </c>
      <c r="AC147" s="23">
        <v>144</v>
      </c>
      <c r="AD147" s="23">
        <f>[1]节奏总纲!AD147</f>
        <v>71.793488759114723</v>
      </c>
      <c r="AE147" s="23">
        <f>[1]节奏总纲!AE147</f>
        <v>73.880612931842577</v>
      </c>
      <c r="AF147" s="23">
        <f>[1]节奏总纲!AF147</f>
        <v>76.747188164925547</v>
      </c>
      <c r="AG147" s="23">
        <f>[1]节奏总纲!AG147</f>
        <v>81.322300043049054</v>
      </c>
      <c r="AH147" s="23">
        <f>[1]节奏总纲!AH147</f>
        <v>90.586443675279497</v>
      </c>
      <c r="AZ147" s="23">
        <v>144</v>
      </c>
      <c r="BA147" s="23">
        <v>40.472019328110811</v>
      </c>
      <c r="BB147" s="23">
        <v>41.992566056290244</v>
      </c>
      <c r="BC147" s="23">
        <v>43.928898311540586</v>
      </c>
      <c r="BD147" s="23">
        <v>46.657691286422882</v>
      </c>
      <c r="BE147" s="23">
        <v>50</v>
      </c>
    </row>
    <row r="148" spans="6:57" x14ac:dyDescent="0.15">
      <c r="F148" s="23">
        <v>146</v>
      </c>
      <c r="G148" s="23">
        <v>24832.50022570635</v>
      </c>
      <c r="N148" s="91">
        <f>[1]节奏总纲!N148</f>
        <v>155</v>
      </c>
      <c r="O148" s="91">
        <v>145</v>
      </c>
      <c r="P148" s="91">
        <f>[1]节奏总纲!P148</f>
        <v>23169.475005920798</v>
      </c>
      <c r="Q148" s="91">
        <f>[1]节奏总纲!Q148</f>
        <v>19631.496172516694</v>
      </c>
      <c r="R148" s="91">
        <f>[1]节奏总纲!R148</f>
        <v>15650.9803664995</v>
      </c>
      <c r="S148" s="91">
        <f>[1]节奏总纲!S148</f>
        <v>11095.86158033547</v>
      </c>
      <c r="T148" s="91">
        <f>[1]节奏总纲!T148</f>
        <v>5908.2161265098039</v>
      </c>
      <c r="U148" s="91"/>
      <c r="V148" s="91">
        <v>145</v>
      </c>
      <c r="W148" s="91">
        <f>[1]节奏总纲!W148</f>
        <v>1551.6573958177105</v>
      </c>
      <c r="X148" s="91">
        <f>[1]节奏总纲!X148</f>
        <v>1349.307819652513</v>
      </c>
      <c r="Y148" s="91">
        <f>[1]节奏总纲!Y148</f>
        <v>1078.409515529007</v>
      </c>
      <c r="Z148" s="91">
        <f>[1]节奏总纲!Z148</f>
        <v>727.95625453002867</v>
      </c>
      <c r="AA148" s="91">
        <f>[1]节奏总纲!AA148</f>
        <v>374.0548183234132</v>
      </c>
      <c r="AC148" s="23">
        <v>145</v>
      </c>
      <c r="AD148" s="23">
        <f>[1]节奏总纲!AD148</f>
        <v>71.895048862094214</v>
      </c>
      <c r="AE148" s="23">
        <f>[1]节奏总纲!AE148</f>
        <v>73.983200551411869</v>
      </c>
      <c r="AF148" s="23">
        <f>[1]节奏总纲!AF148</f>
        <v>76.847042117764815</v>
      </c>
      <c r="AG148" s="23">
        <f>[1]节奏总纲!AG148</f>
        <v>81.421783836457067</v>
      </c>
      <c r="AH148" s="23">
        <f>[1]节奏总纲!AH148</f>
        <v>90.692702721352973</v>
      </c>
      <c r="AZ148" s="23">
        <v>145</v>
      </c>
      <c r="BA148" s="23">
        <v>40.518638521010651</v>
      </c>
      <c r="BB148" s="23">
        <v>42.036975906461073</v>
      </c>
      <c r="BC148" s="23">
        <v>43.978827256120113</v>
      </c>
      <c r="BD148" s="23">
        <v>46.7058513934697</v>
      </c>
      <c r="BE148" s="23">
        <v>50</v>
      </c>
    </row>
    <row r="149" spans="6:57" x14ac:dyDescent="0.15">
      <c r="F149" s="23">
        <v>147</v>
      </c>
      <c r="G149" s="23">
        <v>26614.886523801088</v>
      </c>
      <c r="N149" s="91">
        <f>[1]节奏总纲!N149</f>
        <v>156</v>
      </c>
      <c r="O149" s="91">
        <v>146</v>
      </c>
      <c r="P149" s="91">
        <f>[1]节奏总纲!P149</f>
        <v>24832.50022570635</v>
      </c>
      <c r="Q149" s="91">
        <f>[1]节奏总纲!Q149</f>
        <v>21030.644441150707</v>
      </c>
      <c r="R149" s="91">
        <f>[1]节奏总纲!R149</f>
        <v>16694.889901742379</v>
      </c>
      <c r="S149" s="91">
        <f>[1]节奏总纲!S149</f>
        <v>11807.853857323369</v>
      </c>
      <c r="T149" s="91">
        <f>[1]节奏总纲!T149</f>
        <v>6290.0723071714192</v>
      </c>
      <c r="U149" s="91"/>
      <c r="V149" s="91">
        <v>146</v>
      </c>
      <c r="W149" s="91">
        <f>[1]节奏总纲!W149</f>
        <v>1663.0252197855516</v>
      </c>
      <c r="X149" s="91">
        <f>[1]节奏总纲!X149</f>
        <v>1399.1482686340132</v>
      </c>
      <c r="Y149" s="91">
        <f>[1]节奏总纲!Y149</f>
        <v>1043.9095352428794</v>
      </c>
      <c r="Z149" s="91">
        <f>[1]节奏总纲!Z149</f>
        <v>711.99227698789946</v>
      </c>
      <c r="AA149" s="91">
        <f>[1]节奏总纲!AA149</f>
        <v>381.85618066161533</v>
      </c>
      <c r="AC149" s="23">
        <v>146</v>
      </c>
      <c r="AD149" s="23">
        <f>[1]节奏总纲!AD149</f>
        <v>71.996608965073719</v>
      </c>
      <c r="AE149" s="23">
        <f>[1]节奏总纲!AE149</f>
        <v>74.078973000522922</v>
      </c>
      <c r="AF149" s="23">
        <f>[1]节奏总纲!AF149</f>
        <v>76.946896070604097</v>
      </c>
      <c r="AG149" s="23">
        <f>[1]节奏总纲!AG149</f>
        <v>81.521267629865079</v>
      </c>
      <c r="AH149" s="23">
        <f>[1]节奏总纲!AH149</f>
        <v>90.798961767426448</v>
      </c>
      <c r="AZ149" s="23">
        <v>146</v>
      </c>
      <c r="BA149" s="23">
        <v>40.565257713910484</v>
      </c>
      <c r="BB149" s="23">
        <v>42.080366850119908</v>
      </c>
      <c r="BC149" s="23">
        <v>44.024818750237806</v>
      </c>
      <c r="BD149" s="23">
        <v>46.754011500516519</v>
      </c>
      <c r="BE149" s="23">
        <v>50</v>
      </c>
    </row>
    <row r="150" spans="6:57" x14ac:dyDescent="0.15">
      <c r="F150" s="23">
        <v>148</v>
      </c>
      <c r="G150" s="23">
        <v>28525.200858087381</v>
      </c>
      <c r="N150" s="91">
        <f>[1]节奏总纲!N150</f>
        <v>157</v>
      </c>
      <c r="O150" s="91">
        <v>147</v>
      </c>
      <c r="P150" s="91">
        <f>[1]节奏总纲!P150</f>
        <v>26614.886523801088</v>
      </c>
      <c r="Q150" s="91">
        <f>[1]节奏总纲!Q150</f>
        <v>22449.65678282622</v>
      </c>
      <c r="R150" s="91">
        <f>[1]节奏总纲!R150</f>
        <v>17789.390152508648</v>
      </c>
      <c r="S150" s="91">
        <f>[1]节奏总纲!S150</f>
        <v>12583.518348453154</v>
      </c>
      <c r="T150" s="91">
        <f>[1]节奏总纲!T150</f>
        <v>6706.951403997874</v>
      </c>
      <c r="U150" s="91"/>
      <c r="V150" s="91">
        <v>147</v>
      </c>
      <c r="W150" s="91">
        <f>[1]节奏总纲!W150</f>
        <v>1782.3862980947379</v>
      </c>
      <c r="X150" s="91">
        <f>[1]节奏总纲!X150</f>
        <v>1419.0123416755123</v>
      </c>
      <c r="Y150" s="91">
        <f>[1]节奏总纲!Y150</f>
        <v>1094.5002507662684</v>
      </c>
      <c r="Z150" s="91">
        <f>[1]节奏总纲!Z150</f>
        <v>775.66449112978444</v>
      </c>
      <c r="AA150" s="91">
        <f>[1]节奏总纲!AA150</f>
        <v>416.87909682645477</v>
      </c>
      <c r="AC150" s="23">
        <v>147</v>
      </c>
      <c r="AD150" s="23">
        <f>[1]节奏总纲!AD150</f>
        <v>72.091594979242075</v>
      </c>
      <c r="AE150" s="23">
        <f>[1]节奏总纲!AE150</f>
        <v>74.173410870467364</v>
      </c>
      <c r="AF150" s="23">
        <f>[1]节奏总纲!AF150</f>
        <v>77.043751281705866</v>
      </c>
      <c r="AG150" s="23">
        <f>[1]节奏总纲!AG150</f>
        <v>81.620751423273092</v>
      </c>
      <c r="AH150" s="23">
        <f>[1]节奏总纲!AH150</f>
        <v>90.905220813499923</v>
      </c>
      <c r="AZ150" s="23">
        <v>147</v>
      </c>
      <c r="BA150" s="23">
        <v>40.611876906810316</v>
      </c>
      <c r="BB150" s="23">
        <v>42.123757793778736</v>
      </c>
      <c r="BC150" s="23">
        <v>44.067911160744309</v>
      </c>
      <c r="BD150" s="23">
        <v>46.802171607563338</v>
      </c>
      <c r="BE150" s="23">
        <v>50</v>
      </c>
    </row>
    <row r="151" spans="6:57" x14ac:dyDescent="0.15">
      <c r="F151" s="23">
        <v>149</v>
      </c>
      <c r="G151" s="23">
        <v>30572.62506667812</v>
      </c>
      <c r="N151" s="91">
        <f>[1]节奏总纲!N151</f>
        <v>158</v>
      </c>
      <c r="O151" s="91">
        <v>148</v>
      </c>
      <c r="P151" s="91">
        <f>[1]节奏总纲!P151</f>
        <v>28525.200858087381</v>
      </c>
      <c r="Q151" s="91">
        <f>[1]节奏总纲!Q151</f>
        <v>24049.59684345347</v>
      </c>
      <c r="R151" s="91">
        <f>[1]节奏总纲!R151</f>
        <v>19077.65433388884</v>
      </c>
      <c r="S151" s="91">
        <f>[1]节奏总纲!S151</f>
        <v>13515.240166561802</v>
      </c>
      <c r="T151" s="91">
        <f>[1]节奏总纲!T151</f>
        <v>7202.6132166670641</v>
      </c>
      <c r="U151" s="91"/>
      <c r="V151" s="91">
        <v>148</v>
      </c>
      <c r="W151" s="91">
        <f>[1]节奏总纲!W151</f>
        <v>1910.3143342862932</v>
      </c>
      <c r="X151" s="91">
        <f>[1]节奏总纲!X151</f>
        <v>1599.9400606272502</v>
      </c>
      <c r="Y151" s="91">
        <f>[1]节奏总纲!Y151</f>
        <v>1288.2641813801929</v>
      </c>
      <c r="Z151" s="91">
        <f>[1]节奏总纲!Z151</f>
        <v>931.72181810864822</v>
      </c>
      <c r="AA151" s="91">
        <f>[1]节奏总纲!AA151</f>
        <v>495.66181266919011</v>
      </c>
      <c r="AC151" s="23">
        <v>148</v>
      </c>
      <c r="AD151" s="23">
        <f>[1]节奏总纲!AD151</f>
        <v>72.186353905945822</v>
      </c>
      <c r="AE151" s="23">
        <f>[1]节奏总纲!AE151</f>
        <v>74.267848740411821</v>
      </c>
      <c r="AF151" s="23">
        <f>[1]节奏总纲!AF151</f>
        <v>77.137200185007629</v>
      </c>
      <c r="AG151" s="23">
        <f>[1]节奏总纲!AG151</f>
        <v>81.720235216681118</v>
      </c>
      <c r="AH151" s="23">
        <f>[1]节奏总纲!AH151</f>
        <v>91.01044787213759</v>
      </c>
      <c r="AZ151" s="23">
        <v>148</v>
      </c>
      <c r="BA151" s="23">
        <v>40.658496099710149</v>
      </c>
      <c r="BB151" s="23">
        <v>42.167148737437564</v>
      </c>
      <c r="BC151" s="23">
        <v>44.111003571250812</v>
      </c>
      <c r="BD151" s="23">
        <v>46.850331714610157</v>
      </c>
      <c r="BE151" s="23">
        <v>50</v>
      </c>
    </row>
    <row r="152" spans="6:57" x14ac:dyDescent="0.15">
      <c r="F152" s="23">
        <v>150</v>
      </c>
      <c r="G152" s="23">
        <v>32767</v>
      </c>
      <c r="N152" s="91">
        <f>[1]节奏总纲!N152</f>
        <v>159</v>
      </c>
      <c r="O152" s="91">
        <v>149</v>
      </c>
      <c r="P152" s="91">
        <f>[1]节奏总纲!P152</f>
        <v>30572.62506667812</v>
      </c>
      <c r="Q152" s="91">
        <f>[1]节奏总纲!Q152</f>
        <v>25794.12376875633</v>
      </c>
      <c r="R152" s="91">
        <f>[1]节奏总纲!R152</f>
        <v>20471.429744647667</v>
      </c>
      <c r="S152" s="91">
        <f>[1]节奏总纲!S152</f>
        <v>14525.054169178775</v>
      </c>
      <c r="T152" s="91">
        <f>[1]节奏总纲!T152</f>
        <v>7744.0459293895683</v>
      </c>
      <c r="U152" s="91"/>
      <c r="V152" s="91">
        <v>149</v>
      </c>
      <c r="W152" s="91">
        <f>[1]节奏总纲!W152</f>
        <v>2047.424208590739</v>
      </c>
      <c r="X152" s="91">
        <f>[1]节奏总纲!X152</f>
        <v>1744.52692530286</v>
      </c>
      <c r="Y152" s="91">
        <f>[1]节奏总纲!Y152</f>
        <v>1393.7754107588262</v>
      </c>
      <c r="Z152" s="91">
        <f>[1]节奏总纲!Z152</f>
        <v>1009.8140026169731</v>
      </c>
      <c r="AA152" s="91">
        <f>[1]节奏总纲!AA152</f>
        <v>541.43271272250422</v>
      </c>
      <c r="AC152" s="23">
        <v>149</v>
      </c>
      <c r="AD152" s="23">
        <f>[1]节奏总纲!AD152</f>
        <v>72.281112832649583</v>
      </c>
      <c r="AE152" s="23">
        <f>[1]节奏总纲!AE152</f>
        <v>74.362286610356264</v>
      </c>
      <c r="AF152" s="23">
        <f>[1]节奏总纲!AF152</f>
        <v>77.230649088309391</v>
      </c>
      <c r="AG152" s="23">
        <f>[1]节奏总纲!AG152</f>
        <v>81.819719010089131</v>
      </c>
      <c r="AH152" s="23">
        <f>[1]节奏总纲!AH152</f>
        <v>91.10715471073091</v>
      </c>
      <c r="AZ152" s="23">
        <v>149</v>
      </c>
      <c r="BA152" s="23">
        <v>40.705115292609982</v>
      </c>
      <c r="BB152" s="23">
        <v>42.2105396810964</v>
      </c>
      <c r="BC152" s="23">
        <v>44.154095981757315</v>
      </c>
      <c r="BD152" s="23">
        <v>46.898491821656968</v>
      </c>
      <c r="BE152" s="23">
        <v>50</v>
      </c>
    </row>
    <row r="153" spans="6:57" x14ac:dyDescent="0.15">
      <c r="N153" s="91">
        <f>[1]节奏总纲!N153</f>
        <v>160</v>
      </c>
      <c r="O153" s="91">
        <v>150</v>
      </c>
      <c r="P153" s="91">
        <f>[1]节奏总纲!P153</f>
        <v>32767</v>
      </c>
      <c r="Q153" s="91">
        <f>[1]节奏总纲!Q153</f>
        <v>27665.178100000001</v>
      </c>
      <c r="R153" s="91">
        <f>[1]节奏总纲!R153</f>
        <v>21976.8269</v>
      </c>
      <c r="S153" s="91">
        <f>[1]节奏总纲!S153</f>
        <v>15577.4318</v>
      </c>
      <c r="T153" s="91">
        <f>[1]节奏总纲!T153</f>
        <v>8355.5850000000009</v>
      </c>
      <c r="U153" s="91"/>
      <c r="V153" s="91">
        <v>150</v>
      </c>
      <c r="W153" s="91">
        <f>[1]节奏总纲!W153</f>
        <v>2194.3749333218802</v>
      </c>
      <c r="X153" s="91">
        <f>[1]节奏总纲!X153</f>
        <v>1871.0543312436712</v>
      </c>
      <c r="Y153" s="91">
        <f>[1]节奏总纲!Y153</f>
        <v>1505.3971553523334</v>
      </c>
      <c r="Z153" s="91">
        <f>[1]节奏总纲!Z153</f>
        <v>1052.3776308212255</v>
      </c>
      <c r="AA153" s="91">
        <f>[1]节奏总纲!AA153</f>
        <v>611.53907061043265</v>
      </c>
      <c r="AC153" s="23">
        <v>150</v>
      </c>
      <c r="AD153" s="23">
        <f>[1]节奏总纲!AD153</f>
        <v>72.375871759353331</v>
      </c>
      <c r="AE153" s="23">
        <f>[1]节奏总纲!AE153</f>
        <v>74.456724480300707</v>
      </c>
      <c r="AF153" s="23">
        <f>[1]节奏总纲!AF153</f>
        <v>77.324097991611154</v>
      </c>
      <c r="AG153" s="23">
        <f>[1]节奏总纲!AG153</f>
        <v>81.919202803497143</v>
      </c>
      <c r="AH153" s="23">
        <f>[1]节奏总纲!AH153</f>
        <v>91.20386154932423</v>
      </c>
      <c r="AZ153" s="23">
        <v>150</v>
      </c>
      <c r="BA153" s="23">
        <v>40.751734485509814</v>
      </c>
      <c r="BB153" s="23">
        <v>42.253930624755228</v>
      </c>
      <c r="BC153" s="23">
        <v>44.197188392263818</v>
      </c>
      <c r="BD153" s="23">
        <v>46.946651928703787</v>
      </c>
      <c r="BE153" s="23">
        <v>50</v>
      </c>
    </row>
    <row r="154" spans="6:57" x14ac:dyDescent="0.15">
      <c r="N154" s="91">
        <f>[1]节奏总纲!N154</f>
        <v>161</v>
      </c>
      <c r="O154" s="91">
        <v>151</v>
      </c>
      <c r="P154" s="91">
        <f>[1]节奏总纲!P154</f>
        <v>35118.87282038921</v>
      </c>
      <c r="Q154" s="91">
        <f>[1]节奏总纲!Q154</f>
        <v>29671.935645946844</v>
      </c>
      <c r="R154" s="91">
        <f>[1]节奏总纲!R154</f>
        <v>23592.858760737468</v>
      </c>
      <c r="S154" s="91">
        <f>[1]节奏总纲!S154</f>
        <v>16825.451968248472</v>
      </c>
      <c r="T154" s="91">
        <f>[1]节奏总纲!T154</f>
        <v>9211.6803407880889</v>
      </c>
      <c r="U154" s="91"/>
      <c r="V154" s="91">
        <v>151</v>
      </c>
      <c r="W154" s="91">
        <f>[1]节奏总纲!W154</f>
        <v>2351.8728203892097</v>
      </c>
      <c r="X154" s="91">
        <f>[1]节奏总纲!X154</f>
        <v>2006.7575459468426</v>
      </c>
      <c r="Y154" s="91">
        <f>[1]节奏总纲!Y154</f>
        <v>1616.0318607374684</v>
      </c>
      <c r="Z154" s="91">
        <f>[1]节奏总纲!Z154</f>
        <v>1248.0201682484712</v>
      </c>
      <c r="AA154" s="91">
        <f>[1]节奏总纲!AA154</f>
        <v>856.09534078808792</v>
      </c>
      <c r="AC154" s="23">
        <v>151</v>
      </c>
      <c r="AD154" s="23">
        <f>[1]节奏总纲!AD154</f>
        <v>72.470630686057078</v>
      </c>
      <c r="AE154" s="23">
        <f>[1]节奏总纲!AE154</f>
        <v>74.551162350245164</v>
      </c>
      <c r="AF154" s="23">
        <f>[1]节奏总纲!AF154</f>
        <v>77.417546894912917</v>
      </c>
      <c r="AG154" s="23">
        <f>[1]节奏总纲!AG154</f>
        <v>82.01744549958407</v>
      </c>
      <c r="AH154" s="23">
        <f>[1]节奏总纲!AH154</f>
        <v>91.300568387917551</v>
      </c>
      <c r="AZ154" s="23">
        <v>151</v>
      </c>
      <c r="BA154" s="23">
        <v>40.798353678409647</v>
      </c>
      <c r="BB154" s="23">
        <v>42.297321568414056</v>
      </c>
      <c r="BC154" s="23">
        <v>44.240280802770329</v>
      </c>
      <c r="BD154" s="23">
        <v>46.994812035750606</v>
      </c>
      <c r="BE154" s="23">
        <v>50</v>
      </c>
    </row>
    <row r="155" spans="6:57" x14ac:dyDescent="0.15">
      <c r="N155" s="91">
        <f>[1]节奏总纲!N155</f>
        <v>162</v>
      </c>
      <c r="O155" s="91">
        <v>152</v>
      </c>
      <c r="P155" s="91">
        <f>[1]节奏总纲!P155</f>
        <v>37639.547696542824</v>
      </c>
      <c r="Q155" s="91">
        <f>[1]节奏总纲!Q155</f>
        <v>31786.598029730416</v>
      </c>
      <c r="R155" s="91">
        <f>[1]节奏总纲!R155</f>
        <v>25478.209835789836</v>
      </c>
      <c r="S155" s="91">
        <f>[1]节奏总纲!S155</f>
        <v>18481.017919002526</v>
      </c>
      <c r="T155" s="91">
        <f>[1]节奏总纲!T155</f>
        <v>16185.005509513414</v>
      </c>
      <c r="U155" s="91"/>
      <c r="V155" s="91">
        <v>152</v>
      </c>
      <c r="W155" s="91">
        <f>[1]节奏总纲!W155</f>
        <v>2520.6748761536146</v>
      </c>
      <c r="X155" s="91">
        <f>[1]节奏总纲!X155</f>
        <v>2114.6623837835723</v>
      </c>
      <c r="Y155" s="91">
        <f>[1]节奏总纲!Y155</f>
        <v>1885.3510750523674</v>
      </c>
      <c r="Z155" s="91">
        <f>[1]节奏总纲!Z155</f>
        <v>1655.5659507540549</v>
      </c>
      <c r="AA155" s="91">
        <f>[1]节奏总纲!AA155</f>
        <v>6973.3251687253251</v>
      </c>
      <c r="AC155" s="23">
        <v>152</v>
      </c>
      <c r="AD155" s="23">
        <f>[1]节奏总纲!AD155</f>
        <v>72.565389612760825</v>
      </c>
      <c r="AE155" s="23">
        <f>[1]节奏总纲!AE155</f>
        <v>74.645600220189607</v>
      </c>
      <c r="AF155" s="23">
        <f>[1]节奏总纲!AF155</f>
        <v>77.51099579821468</v>
      </c>
      <c r="AG155" s="23">
        <f>[1]节奏总纲!AG155</f>
        <v>82.110321933176039</v>
      </c>
      <c r="AH155" s="23">
        <f>[1]节奏总纲!AH155</f>
        <v>91.397275226510871</v>
      </c>
      <c r="AZ155" s="23">
        <v>152</v>
      </c>
      <c r="BA155" s="23">
        <v>40.84497287130948</v>
      </c>
      <c r="BB155" s="23">
        <v>42.340712512072891</v>
      </c>
      <c r="BC155" s="23">
        <v>44.283373213276832</v>
      </c>
      <c r="BD155" s="23">
        <v>47.037096473408994</v>
      </c>
      <c r="BE155" s="23">
        <v>50</v>
      </c>
    </row>
    <row r="156" spans="6:57" x14ac:dyDescent="0.15">
      <c r="N156" s="91">
        <f>[1]节奏总纲!N156</f>
        <v>163</v>
      </c>
      <c r="O156" s="91">
        <v>153</v>
      </c>
      <c r="P156" s="91">
        <f>[1]节奏总纲!P156</f>
        <v>40341.140136486232</v>
      </c>
      <c r="Q156" s="91">
        <f>[1]节奏总纲!Q156</f>
        <v>34471.50424662749</v>
      </c>
      <c r="R156" s="91">
        <f>[1]节奏总纲!R156</f>
        <v>27916.06897444847</v>
      </c>
      <c r="S156" s="91">
        <f>[1]节奏总纲!S156</f>
        <v>26221.741088716051</v>
      </c>
      <c r="T156" s="91">
        <f>[1]节奏总纲!T156</f>
        <v>26423.446789398484</v>
      </c>
      <c r="U156" s="91"/>
      <c r="V156" s="91">
        <v>153</v>
      </c>
      <c r="W156" s="91">
        <f>[1]节奏总纲!W156</f>
        <v>2701.592439943408</v>
      </c>
      <c r="X156" s="91">
        <f>[1]节奏总纲!X156</f>
        <v>2684.906216897074</v>
      </c>
      <c r="Y156" s="91">
        <f>[1]节奏总纲!Y156</f>
        <v>2437.859138658634</v>
      </c>
      <c r="Z156" s="91">
        <f>[1]节奏总纲!Z156</f>
        <v>7740.7231697135248</v>
      </c>
      <c r="AA156" s="91">
        <f>[1]节奏总纲!AA156</f>
        <v>10238.44127988507</v>
      </c>
      <c r="AC156" s="23">
        <v>153</v>
      </c>
      <c r="AD156" s="23">
        <f>[1]节奏总纲!AD156</f>
        <v>72.660148539464572</v>
      </c>
      <c r="AE156" s="23">
        <f>[1]节奏总纲!AE156</f>
        <v>74.74003809013405</v>
      </c>
      <c r="AF156" s="23">
        <f>[1]节奏总纲!AF156</f>
        <v>77.604444701516456</v>
      </c>
      <c r="AG156" s="23">
        <f>[1]节奏总纲!AG156</f>
        <v>82.203198366767992</v>
      </c>
      <c r="AH156" s="23">
        <f>[1]节奏总纲!AH156</f>
        <v>91.493982065104177</v>
      </c>
      <c r="AZ156" s="23">
        <v>153</v>
      </c>
      <c r="BA156" s="23">
        <v>40.891592064209313</v>
      </c>
      <c r="BB156" s="23">
        <v>42.384103455731719</v>
      </c>
      <c r="BC156" s="23">
        <v>44.326465623783335</v>
      </c>
      <c r="BD156" s="23">
        <v>47.078671550054786</v>
      </c>
      <c r="BE156" s="23">
        <v>50</v>
      </c>
    </row>
    <row r="157" spans="6:57" x14ac:dyDescent="0.15">
      <c r="N157" s="91">
        <f>[1]节奏总纲!N157</f>
        <v>164</v>
      </c>
      <c r="O157" s="91">
        <v>154</v>
      </c>
      <c r="P157" s="91">
        <f>[1]节奏总纲!P157</f>
        <v>43236.635220206183</v>
      </c>
      <c r="Q157" s="91">
        <f>[1]节奏总纲!Q157</f>
        <v>37140.269654157113</v>
      </c>
      <c r="R157" s="91">
        <f>[1]节奏总纲!R157</f>
        <v>35237.857704468035</v>
      </c>
      <c r="S157" s="91">
        <f>[1]节奏总纲!S157</f>
        <v>35367.567610128652</v>
      </c>
      <c r="T157" s="91">
        <f>[1]节奏总纲!T157</f>
        <v>35454.040880569068</v>
      </c>
      <c r="U157" s="91"/>
      <c r="V157" s="91">
        <v>154</v>
      </c>
      <c r="W157" s="91">
        <f>[1]节奏总纲!W157</f>
        <v>2895.4950837199503</v>
      </c>
      <c r="X157" s="91">
        <f>[1]节奏总纲!X157</f>
        <v>2668.7654075296232</v>
      </c>
      <c r="Y157" s="91">
        <f>[1]节奏总纲!Y157</f>
        <v>7321.7887300195653</v>
      </c>
      <c r="Z157" s="91">
        <f>[1]节奏总纲!Z157</f>
        <v>9145.8265214126004</v>
      </c>
      <c r="AA157" s="91">
        <f>[1]节奏总纲!AA157</f>
        <v>9030.5940911705839</v>
      </c>
      <c r="AC157" s="23">
        <v>154</v>
      </c>
      <c r="AD157" s="23">
        <f>[1]节奏总纲!AD157</f>
        <v>72.754907466168333</v>
      </c>
      <c r="AE157" s="23">
        <f>[1]节奏总纲!AE157</f>
        <v>74.834475960078507</v>
      </c>
      <c r="AF157" s="23">
        <f>[1]节奏总纲!AF157</f>
        <v>77.697893604818219</v>
      </c>
      <c r="AG157" s="23">
        <f>[1]节奏总纲!AG157</f>
        <v>82.29607480035996</v>
      </c>
      <c r="AH157" s="23">
        <f>[1]节奏总纲!AH157</f>
        <v>91.590688903697497</v>
      </c>
      <c r="AZ157" s="23">
        <v>154</v>
      </c>
      <c r="BA157" s="23">
        <v>40.938211257109145</v>
      </c>
      <c r="BB157" s="23">
        <v>42.427494399390554</v>
      </c>
      <c r="BC157" s="23">
        <v>44.369558034289838</v>
      </c>
      <c r="BD157" s="23">
        <v>47.12024662670057</v>
      </c>
      <c r="BE157" s="23">
        <v>50</v>
      </c>
    </row>
    <row r="158" spans="6:57" x14ac:dyDescent="0.15">
      <c r="N158" s="91">
        <f>[1]节奏总纲!N158</f>
        <v>165</v>
      </c>
      <c r="O158" s="91">
        <v>155</v>
      </c>
      <c r="P158" s="91">
        <f>[1]节奏总纲!P158</f>
        <v>46339.950011841604</v>
      </c>
      <c r="Q158" s="91">
        <f>[1]节奏总纲!Q158</f>
        <v>44161.972361285043</v>
      </c>
      <c r="R158" s="91">
        <f>[1]节奏总纲!R158</f>
        <v>44486.352011367941</v>
      </c>
      <c r="S158" s="91">
        <f>[1]节奏总纲!S158</f>
        <v>44486.352011367941</v>
      </c>
      <c r="T158" s="91">
        <f>[1]节奏总纲!T158</f>
        <v>44625.371861403466</v>
      </c>
      <c r="U158" s="91"/>
      <c r="V158" s="91">
        <v>155</v>
      </c>
      <c r="W158" s="91">
        <f>[1]节奏总纲!W158</f>
        <v>3103.314791635421</v>
      </c>
      <c r="X158" s="91">
        <f>[1]节奏总纲!X158</f>
        <v>7021.7027071279299</v>
      </c>
      <c r="Y158" s="91">
        <f>[1]节奏总纲!Y158</f>
        <v>9248.4943068999055</v>
      </c>
      <c r="Z158" s="91">
        <f>[1]节奏总纲!Z158</f>
        <v>9118.7844012392889</v>
      </c>
      <c r="AA158" s="91">
        <f>[1]节奏总纲!AA158</f>
        <v>9171.3309808343984</v>
      </c>
      <c r="AC158" s="23">
        <v>155</v>
      </c>
      <c r="AD158" s="23">
        <f>[1]节奏总纲!AD158</f>
        <v>72.849666392872081</v>
      </c>
      <c r="AE158" s="23">
        <f>[1]节奏总纲!AE158</f>
        <v>74.92891383002295</v>
      </c>
      <c r="AF158" s="23">
        <f>[1]节奏总纲!AF158</f>
        <v>77.791342508119982</v>
      </c>
      <c r="AG158" s="23">
        <f>[1]节奏总纲!AG158</f>
        <v>82.388951233951914</v>
      </c>
      <c r="AH158" s="23">
        <f>[1]节奏总纲!AH158</f>
        <v>91.687395742290818</v>
      </c>
      <c r="AZ158" s="23">
        <v>155</v>
      </c>
      <c r="BA158" s="23">
        <v>40.984830450008985</v>
      </c>
      <c r="BB158" s="23">
        <v>42.470885343049382</v>
      </c>
      <c r="BC158" s="23">
        <v>44.412650444796341</v>
      </c>
      <c r="BD158" s="23">
        <v>47.161821703346362</v>
      </c>
      <c r="BE158" s="23">
        <v>50</v>
      </c>
    </row>
    <row r="159" spans="6:57" x14ac:dyDescent="0.15">
      <c r="N159" s="91">
        <f>[1]节奏总纲!N159</f>
        <v>166</v>
      </c>
      <c r="O159" s="91">
        <v>156</v>
      </c>
      <c r="P159" s="91">
        <f>[1]节奏总纲!P159</f>
        <v>49666.000451412707</v>
      </c>
      <c r="Q159" s="91">
        <f>[1]节奏总纲!Q159</f>
        <v>49666.000451412707</v>
      </c>
      <c r="R159" s="91">
        <f>[1]节奏总纲!R159</f>
        <v>50162.660455926831</v>
      </c>
      <c r="S159" s="91">
        <f>[1]节奏总纲!S159</f>
        <v>50162.660455926831</v>
      </c>
      <c r="T159" s="91">
        <f>[1]节奏总纲!T159</f>
        <v>50311.658457281068</v>
      </c>
      <c r="U159" s="91"/>
      <c r="V159" s="91">
        <v>156</v>
      </c>
      <c r="W159" s="91">
        <f>[1]节奏总纲!W159</f>
        <v>3326.0504395711032</v>
      </c>
      <c r="X159" s="91">
        <f>[1]节奏总纲!X159</f>
        <v>5504.0280901276637</v>
      </c>
      <c r="Y159" s="91">
        <f>[1]节奏总纲!Y159</f>
        <v>5676.3084445588902</v>
      </c>
      <c r="Z159" s="91">
        <f>[1]节奏总纲!Z159</f>
        <v>5676.3084445588902</v>
      </c>
      <c r="AA159" s="91">
        <f>[1]节奏总纲!AA159</f>
        <v>5686.2865958776019</v>
      </c>
      <c r="AC159" s="23">
        <v>156</v>
      </c>
      <c r="AD159" s="23">
        <f>[1]节奏总纲!AD159</f>
        <v>72.944425319575828</v>
      </c>
      <c r="AE159" s="23">
        <f>[1]节奏总纲!AE159</f>
        <v>75.022035011469043</v>
      </c>
      <c r="AF159" s="23">
        <f>[1]节奏总纲!AF159</f>
        <v>77.884791411421745</v>
      </c>
      <c r="AG159" s="23">
        <f>[1]节奏总纲!AG159</f>
        <v>82.481827667543882</v>
      </c>
      <c r="AH159" s="23">
        <f>[1]节奏总纲!AH159</f>
        <v>91.784102580884138</v>
      </c>
      <c r="AZ159" s="23">
        <v>156</v>
      </c>
      <c r="BA159" s="23">
        <v>41.027136894088379</v>
      </c>
      <c r="BB159" s="23">
        <v>42.51427628670821</v>
      </c>
      <c r="BC159" s="23">
        <v>44.455742855302844</v>
      </c>
      <c r="BD159" s="23">
        <v>47.203396779992147</v>
      </c>
      <c r="BE159" s="23">
        <v>50</v>
      </c>
    </row>
    <row r="160" spans="6:57" x14ac:dyDescent="0.15">
      <c r="N160" s="91">
        <f>[1]节奏总纲!N160</f>
        <v>167</v>
      </c>
      <c r="O160" s="91">
        <v>157</v>
      </c>
      <c r="P160" s="91">
        <f>[1]节奏总纲!P160</f>
        <v>53230.773047602182</v>
      </c>
      <c r="Q160" s="91">
        <f>[1]节奏总纲!Q160</f>
        <v>53230.773047602182</v>
      </c>
      <c r="R160" s="91">
        <f>[1]节奏总纲!R160</f>
        <v>53763.080778078205</v>
      </c>
      <c r="S160" s="91">
        <f>[1]节奏总纲!S160</f>
        <v>53763.080778078205</v>
      </c>
      <c r="T160" s="91">
        <f>[1]节奏总纲!T160</f>
        <v>53763.080778078205</v>
      </c>
      <c r="U160" s="91"/>
      <c r="V160" s="91">
        <v>157</v>
      </c>
      <c r="W160" s="91">
        <f>[1]节奏总纲!W160</f>
        <v>3564.7725961894757</v>
      </c>
      <c r="X160" s="91">
        <f>[1]节奏总纲!X160</f>
        <v>3564.7725961894757</v>
      </c>
      <c r="Y160" s="91">
        <f>[1]节奏总纲!Y160</f>
        <v>3600.4203221513744</v>
      </c>
      <c r="Z160" s="91">
        <f>[1]节奏总纲!Z160</f>
        <v>3600.4203221513744</v>
      </c>
      <c r="AA160" s="91">
        <f>[1]节奏总纲!AA160</f>
        <v>3451.4223207971372</v>
      </c>
      <c r="AC160" s="23">
        <v>157</v>
      </c>
      <c r="AD160" s="23">
        <f>[1]节奏总纲!AD160</f>
        <v>73.036560194527354</v>
      </c>
      <c r="AE160" s="23">
        <f>[1]节奏总纲!AE160</f>
        <v>75.111147990406067</v>
      </c>
      <c r="AF160" s="23">
        <f>[1]节奏总纲!AF160</f>
        <v>77.978240314723507</v>
      </c>
      <c r="AG160" s="23">
        <f>[1]节奏总纲!AG160</f>
        <v>82.574704101135836</v>
      </c>
      <c r="AH160" s="23">
        <f>[1]节奏总纲!AH160</f>
        <v>91.880809419477458</v>
      </c>
      <c r="AZ160" s="23">
        <v>157</v>
      </c>
      <c r="BA160" s="23">
        <v>41.067363109180121</v>
      </c>
      <c r="BB160" s="23">
        <v>42.557667230367045</v>
      </c>
      <c r="BC160" s="23">
        <v>44.498835265809355</v>
      </c>
      <c r="BD160" s="23">
        <v>47.244971856637939</v>
      </c>
      <c r="BE160" s="23">
        <v>50</v>
      </c>
    </row>
    <row r="161" spans="14:57" x14ac:dyDescent="0.15">
      <c r="N161" s="91">
        <f>[1]节奏总纲!N161</f>
        <v>168</v>
      </c>
      <c r="O161" s="91">
        <v>158</v>
      </c>
      <c r="P161" s="91">
        <f>[1]节奏总纲!P161</f>
        <v>57051.401716174769</v>
      </c>
      <c r="Q161" s="91">
        <f>[1]节奏总纲!Q161</f>
        <v>57051.401716174769</v>
      </c>
      <c r="R161" s="91">
        <f>[1]节奏总纲!R161</f>
        <v>57621.915733336515</v>
      </c>
      <c r="S161" s="91">
        <f>[1]节奏总纲!S161</f>
        <v>57621.915733336515</v>
      </c>
      <c r="T161" s="91">
        <f>[1]节奏总纲!T161</f>
        <v>57621.915733336515</v>
      </c>
      <c r="U161" s="91"/>
      <c r="V161" s="91">
        <v>158</v>
      </c>
      <c r="W161" s="91">
        <f>[1]节奏总纲!W161</f>
        <v>3820.6286685725863</v>
      </c>
      <c r="X161" s="91">
        <f>[1]节奏总纲!X161</f>
        <v>3820.6286685725863</v>
      </c>
      <c r="Y161" s="91">
        <f>[1]节奏总纲!Y161</f>
        <v>3858.8349552583095</v>
      </c>
      <c r="Z161" s="91">
        <f>[1]节奏总纲!Z161</f>
        <v>3858.8349552583095</v>
      </c>
      <c r="AA161" s="91">
        <f>[1]节奏总纲!AA161</f>
        <v>3858.8349552583095</v>
      </c>
      <c r="AC161" s="23">
        <v>158</v>
      </c>
      <c r="AD161" s="23">
        <f>[1]节奏总纲!AD161</f>
        <v>73.124973399384572</v>
      </c>
      <c r="AE161" s="23">
        <f>[1]节奏总纲!AE161</f>
        <v>75.200260969343077</v>
      </c>
      <c r="AF161" s="23">
        <f>[1]节奏总纲!AF161</f>
        <v>78.066694029528094</v>
      </c>
      <c r="AG161" s="23">
        <f>[1]节奏总纲!AG161</f>
        <v>82.667580534727804</v>
      </c>
      <c r="AH161" s="23">
        <f>[1]节奏总纲!AH161</f>
        <v>91.977516258070779</v>
      </c>
      <c r="AZ161" s="23">
        <v>158</v>
      </c>
      <c r="BA161" s="23">
        <v>41.107589324271871</v>
      </c>
      <c r="BB161" s="23">
        <v>42.601058174025873</v>
      </c>
      <c r="BC161" s="23">
        <v>44.541927676315858</v>
      </c>
      <c r="BD161" s="23">
        <v>47.286546933283724</v>
      </c>
      <c r="BE161" s="23">
        <v>50</v>
      </c>
    </row>
    <row r="162" spans="14:57" x14ac:dyDescent="0.15">
      <c r="N162" s="91">
        <f>[1]节奏总纲!N162</f>
        <v>169</v>
      </c>
      <c r="O162" s="91">
        <v>159</v>
      </c>
      <c r="P162" s="91">
        <f>[1]节奏总纲!P162</f>
        <v>61146.25013335624</v>
      </c>
      <c r="Q162" s="91">
        <f>[1]节奏总纲!Q162</f>
        <v>61146.25013335624</v>
      </c>
      <c r="R162" s="91">
        <f>[1]节奏总纲!R162</f>
        <v>61757.7126346898</v>
      </c>
      <c r="S162" s="91">
        <f>[1]节奏总纲!S162</f>
        <v>61757.7126346898</v>
      </c>
      <c r="T162" s="91">
        <f>[1]节奏总纲!T162</f>
        <v>61757.7126346898</v>
      </c>
      <c r="U162" s="91"/>
      <c r="V162" s="91">
        <v>159</v>
      </c>
      <c r="W162" s="91">
        <f>[1]节奏总纲!W162</f>
        <v>4094.8484171814707</v>
      </c>
      <c r="X162" s="91">
        <f>[1]节奏总纲!X162</f>
        <v>4094.8484171814707</v>
      </c>
      <c r="Y162" s="91">
        <f>[1]节奏总纲!Y162</f>
        <v>4135.7969013532856</v>
      </c>
      <c r="Z162" s="91">
        <f>[1]节奏总纲!Z162</f>
        <v>4135.7969013532856</v>
      </c>
      <c r="AA162" s="91">
        <f>[1]节奏总纲!AA162</f>
        <v>4135.7969013532856</v>
      </c>
      <c r="AC162" s="23">
        <v>159</v>
      </c>
      <c r="AD162" s="23">
        <f>[1]节奏总纲!AD162</f>
        <v>73.213386604241791</v>
      </c>
      <c r="AE162" s="23">
        <f>[1]节奏总纲!AE162</f>
        <v>75.289373948280101</v>
      </c>
      <c r="AF162" s="23">
        <f>[1]节奏总纲!AF162</f>
        <v>78.153631564737054</v>
      </c>
      <c r="AG162" s="23">
        <f>[1]节奏总纲!AG162</f>
        <v>82.760456968319758</v>
      </c>
      <c r="AH162" s="23">
        <f>[1]节奏总纲!AH162</f>
        <v>92.073570757788559</v>
      </c>
      <c r="AZ162" s="23">
        <v>159</v>
      </c>
      <c r="BA162" s="23">
        <v>41.147815539363613</v>
      </c>
      <c r="BB162" s="23">
        <v>42.644449117684701</v>
      </c>
      <c r="BC162" s="23">
        <v>44.585020086822361</v>
      </c>
      <c r="BD162" s="23">
        <v>47.328122009929508</v>
      </c>
      <c r="BE162" s="23">
        <v>50</v>
      </c>
    </row>
    <row r="163" spans="14:57" x14ac:dyDescent="0.15">
      <c r="N163" s="91">
        <f>[1]节奏总纲!N163</f>
        <v>170</v>
      </c>
      <c r="O163" s="91">
        <v>160</v>
      </c>
      <c r="P163" s="91">
        <f>[1]节奏总纲!P163</f>
        <v>65535</v>
      </c>
      <c r="Q163" s="91">
        <f>[1]节奏总纲!Q163</f>
        <v>65535</v>
      </c>
      <c r="R163" s="91">
        <f>[1]节奏总纲!R163</f>
        <v>66190.350000000006</v>
      </c>
      <c r="S163" s="91">
        <f>[1]节奏总纲!S163</f>
        <v>66190.350000000006</v>
      </c>
      <c r="T163" s="91">
        <f>[1]节奏总纲!T163</f>
        <v>66190.350000000006</v>
      </c>
      <c r="U163" s="91"/>
      <c r="V163" s="91">
        <v>160</v>
      </c>
      <c r="W163" s="91">
        <f>[1]节奏总纲!W163</f>
        <v>4388.7498666437605</v>
      </c>
      <c r="X163" s="91">
        <f>[1]节奏总纲!X163</f>
        <v>4388.7498666437605</v>
      </c>
      <c r="Y163" s="91">
        <f>[1]节奏总纲!Y163</f>
        <v>4432.6373653102055</v>
      </c>
      <c r="Z163" s="91">
        <f>[1]节奏总纲!Z163</f>
        <v>4432.6373653102055</v>
      </c>
      <c r="AA163" s="91">
        <f>[1]节奏总纲!AA163</f>
        <v>4432.6373653102055</v>
      </c>
      <c r="AC163" s="23">
        <v>160</v>
      </c>
      <c r="AD163" s="23">
        <f>[1]节奏总纲!AD163</f>
        <v>73.301799809099009</v>
      </c>
      <c r="AE163" s="23">
        <f>[1]节奏总纲!AE163</f>
        <v>75.378486927217125</v>
      </c>
      <c r="AF163" s="23">
        <f>[1]节奏总纲!AF163</f>
        <v>78.240569099946029</v>
      </c>
      <c r="AG163" s="23">
        <f>[1]节奏总纲!AG163</f>
        <v>82.853333401911726</v>
      </c>
      <c r="AH163" s="23">
        <f>[1]节奏总纲!AH163</f>
        <v>92.169427650297976</v>
      </c>
      <c r="AZ163" s="23">
        <v>160</v>
      </c>
      <c r="BA163" s="23">
        <v>41.188041754455355</v>
      </c>
      <c r="BB163" s="23">
        <v>42.687840061343536</v>
      </c>
      <c r="BC163" s="23">
        <v>44.628112497328864</v>
      </c>
      <c r="BD163" s="23">
        <v>47.3696970865753</v>
      </c>
      <c r="BE163" s="23">
        <v>50</v>
      </c>
    </row>
    <row r="164" spans="14:57" x14ac:dyDescent="0.15"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23">
        <v>161</v>
      </c>
      <c r="AD164" s="23">
        <f>[1]节奏总纲!AD164</f>
        <v>73.390213013956213</v>
      </c>
      <c r="AE164" s="23">
        <f>[1]节奏总纲!AE164</f>
        <v>75.467599906154135</v>
      </c>
      <c r="AF164" s="23">
        <f>[1]节奏总纲!AF164</f>
        <v>78.32750663515499</v>
      </c>
      <c r="AG164" s="23">
        <f>[1]节奏总纲!AG164</f>
        <v>82.94620983550368</v>
      </c>
      <c r="AH164" s="23">
        <f>[1]节奏总纲!AH164</f>
        <v>92.265284542807379</v>
      </c>
      <c r="AZ164" s="23">
        <v>161</v>
      </c>
      <c r="BA164" s="23">
        <v>41.228267969547105</v>
      </c>
      <c r="BB164" s="23">
        <v>42.731231005002364</v>
      </c>
      <c r="BC164" s="23">
        <v>44.671204907835367</v>
      </c>
      <c r="BD164" s="23">
        <v>47.411272163221085</v>
      </c>
      <c r="BE164" s="23">
        <v>50</v>
      </c>
    </row>
    <row r="165" spans="14:57" x14ac:dyDescent="0.15"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23">
        <v>162</v>
      </c>
      <c r="AD165" s="23">
        <f>[1]节奏总纲!AD165</f>
        <v>73.478626218813432</v>
      </c>
      <c r="AE165" s="23">
        <f>[1]节奏总纲!AE165</f>
        <v>75.556712885091159</v>
      </c>
      <c r="AF165" s="23">
        <f>[1]节奏总纲!AF165</f>
        <v>78.414444170363964</v>
      </c>
      <c r="AG165" s="23">
        <f>[1]节奏总纲!AG165</f>
        <v>83.036921590135321</v>
      </c>
      <c r="AH165" s="23">
        <f>[1]节奏总纲!AH165</f>
        <v>92.361141435316796</v>
      </c>
      <c r="AZ165" s="23">
        <v>162</v>
      </c>
      <c r="BA165" s="23">
        <v>41.268494184638847</v>
      </c>
      <c r="BB165" s="23">
        <v>42.774621948661192</v>
      </c>
      <c r="BC165" s="23">
        <v>44.714297318341877</v>
      </c>
      <c r="BD165" s="23">
        <v>47.452847239866877</v>
      </c>
      <c r="BE165" s="23">
        <v>50</v>
      </c>
    </row>
    <row r="166" spans="14:57" x14ac:dyDescent="0.15"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23">
        <v>163</v>
      </c>
      <c r="AD166" s="23">
        <f>[1]节奏总纲!AD166</f>
        <v>73.56703942367065</v>
      </c>
      <c r="AE166" s="23">
        <f>[1]节奏总纲!AE166</f>
        <v>75.645825864028183</v>
      </c>
      <c r="AF166" s="23">
        <f>[1]节奏总纲!AF166</f>
        <v>78.501381705572925</v>
      </c>
      <c r="AG166" s="23">
        <f>[1]节奏总纲!AG166</f>
        <v>83.124654333465756</v>
      </c>
      <c r="AH166" s="23">
        <f>[1]节奏总纲!AH166</f>
        <v>92.456998327826213</v>
      </c>
      <c r="AZ166" s="23">
        <v>163</v>
      </c>
      <c r="BA166" s="23">
        <v>41.308720399730589</v>
      </c>
      <c r="BB166" s="23">
        <v>42.818012892320027</v>
      </c>
      <c r="BC166" s="23">
        <v>44.757389728848381</v>
      </c>
      <c r="BD166" s="23">
        <v>47.494422316512662</v>
      </c>
      <c r="BE166" s="23">
        <v>50</v>
      </c>
    </row>
    <row r="167" spans="14:57" x14ac:dyDescent="0.15"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23">
        <v>164</v>
      </c>
      <c r="AD167" s="23">
        <f>[1]节奏总纲!AD167</f>
        <v>73.655452628527868</v>
      </c>
      <c r="AE167" s="23">
        <f>[1]节奏总纲!AE167</f>
        <v>75.734938842965192</v>
      </c>
      <c r="AF167" s="23">
        <f>[1]节奏总纲!AF167</f>
        <v>78.5883192407819</v>
      </c>
      <c r="AG167" s="23">
        <f>[1]节奏总纲!AG167</f>
        <v>83.21238707679619</v>
      </c>
      <c r="AH167" s="23">
        <f>[1]节奏总纲!AH167</f>
        <v>92.55285522033563</v>
      </c>
      <c r="AZ167" s="23">
        <v>164</v>
      </c>
      <c r="BA167" s="23">
        <v>41.348946614822331</v>
      </c>
      <c r="BB167" s="23">
        <v>42.861403835978855</v>
      </c>
      <c r="BC167" s="23">
        <v>44.800482139354884</v>
      </c>
      <c r="BD167" s="23">
        <v>47.535997393158453</v>
      </c>
      <c r="BE167" s="23">
        <v>50</v>
      </c>
    </row>
    <row r="168" spans="14:57" x14ac:dyDescent="0.15"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23">
        <v>165</v>
      </c>
      <c r="AD168" s="23">
        <f>[1]节奏总纲!AD168</f>
        <v>73.743865833385087</v>
      </c>
      <c r="AE168" s="23">
        <f>[1]节奏总纲!AE168</f>
        <v>75.824051821902216</v>
      </c>
      <c r="AF168" s="23">
        <f>[1]节奏总纲!AF168</f>
        <v>78.67525677599086</v>
      </c>
      <c r="AG168" s="23">
        <f>[1]节奏总纲!AG168</f>
        <v>83.300119820126625</v>
      </c>
      <c r="AH168" s="23">
        <f>[1]节奏总纲!AH168</f>
        <v>92.648712112845047</v>
      </c>
      <c r="AZ168" s="23">
        <v>165</v>
      </c>
      <c r="BA168" s="23">
        <v>41.389172829914081</v>
      </c>
      <c r="BB168" s="23">
        <v>42.904794779637683</v>
      </c>
      <c r="BC168" s="23">
        <v>44.843574549861387</v>
      </c>
      <c r="BD168" s="23">
        <v>47.577572469804238</v>
      </c>
      <c r="BE168" s="23">
        <v>50</v>
      </c>
    </row>
    <row r="169" spans="14:57" x14ac:dyDescent="0.15"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23">
        <v>166</v>
      </c>
      <c r="AD169" s="23">
        <f>[1]节奏总纲!AD169</f>
        <v>73.832279038242305</v>
      </c>
      <c r="AE169" s="23">
        <f>[1]节奏总纲!AE169</f>
        <v>75.91316480083924</v>
      </c>
      <c r="AF169" s="23">
        <f>[1]节奏总纲!AF169</f>
        <v>78.762194311199835</v>
      </c>
      <c r="AG169" s="23">
        <f>[1]节奏总纲!AG169</f>
        <v>83.387852563457059</v>
      </c>
      <c r="AH169" s="23">
        <f>[1]节奏总纲!AH169</f>
        <v>92.744569005354464</v>
      </c>
      <c r="AZ169" s="23">
        <v>166</v>
      </c>
      <c r="BA169" s="23">
        <v>41.429399045005823</v>
      </c>
      <c r="BB169" s="23">
        <v>42.948185723296518</v>
      </c>
      <c r="BC169" s="23">
        <v>44.88666696036789</v>
      </c>
      <c r="BD169" s="23">
        <v>47.619147546450023</v>
      </c>
      <c r="BE169" s="23">
        <v>50</v>
      </c>
    </row>
    <row r="170" spans="14:57" x14ac:dyDescent="0.15"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23">
        <v>167</v>
      </c>
      <c r="AD170" s="23">
        <f>[1]节奏总纲!AD170</f>
        <v>73.920692243099523</v>
      </c>
      <c r="AE170" s="23">
        <f>[1]节奏总纲!AE170</f>
        <v>76.002103770254962</v>
      </c>
      <c r="AF170" s="23">
        <f>[1]节奏总纲!AF170</f>
        <v>78.849131846408795</v>
      </c>
      <c r="AG170" s="23">
        <f>[1]节奏总纲!AG170</f>
        <v>83.475585306787494</v>
      </c>
      <c r="AH170" s="23">
        <f>[1]节奏总纲!AH170</f>
        <v>92.840425897863867</v>
      </c>
      <c r="AZ170" s="23">
        <v>167</v>
      </c>
      <c r="BA170" s="23">
        <v>41.469625260097565</v>
      </c>
      <c r="BB170" s="23">
        <v>42.991576666955346</v>
      </c>
      <c r="BC170" s="23">
        <v>44.9297593708744</v>
      </c>
      <c r="BD170" s="23">
        <v>47.660722623095815</v>
      </c>
      <c r="BE170" s="23">
        <v>50</v>
      </c>
    </row>
    <row r="171" spans="14:57" x14ac:dyDescent="0.15"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23">
        <v>168</v>
      </c>
      <c r="AD171" s="23">
        <f>[1]节奏总纲!AD171</f>
        <v>74.008495683346354</v>
      </c>
      <c r="AE171" s="23">
        <f>[1]节奏总纲!AE171</f>
        <v>76.084409020469636</v>
      </c>
      <c r="AF171" s="23">
        <f>[1]节奏总纲!AF171</f>
        <v>78.93606938161777</v>
      </c>
      <c r="AG171" s="23">
        <f>[1]节奏总纲!AG171</f>
        <v>83.563318050117928</v>
      </c>
      <c r="AH171" s="23">
        <f>[1]节奏总纲!AH171</f>
        <v>92.936282790373284</v>
      </c>
      <c r="AZ171" s="23">
        <v>168</v>
      </c>
      <c r="BA171" s="23">
        <v>41.509851475189308</v>
      </c>
      <c r="BB171" s="23">
        <v>43.030177309109042</v>
      </c>
      <c r="BC171" s="23">
        <v>44.972851781380903</v>
      </c>
      <c r="BD171" s="23">
        <v>47.7022976997416</v>
      </c>
      <c r="BE171" s="23">
        <v>50</v>
      </c>
    </row>
    <row r="172" spans="14:57" x14ac:dyDescent="0.15"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23">
        <v>169</v>
      </c>
      <c r="AD172" s="23">
        <f>[1]节奏总纲!AD172</f>
        <v>74.090988120365651</v>
      </c>
      <c r="AE172" s="23">
        <f>[1]节奏总纲!AE172</f>
        <v>76.166714270684309</v>
      </c>
      <c r="AF172" s="23">
        <f>[1]节奏总纲!AF172</f>
        <v>79.022812309215297</v>
      </c>
      <c r="AG172" s="23">
        <f>[1]节奏总纲!AG172</f>
        <v>83.651050793448363</v>
      </c>
      <c r="AH172" s="23">
        <f>[1]节奏总纲!AH172</f>
        <v>93.030170797284541</v>
      </c>
      <c r="AZ172" s="23">
        <v>169</v>
      </c>
      <c r="BA172" s="23">
        <v>41.550077690281057</v>
      </c>
      <c r="BB172" s="23">
        <v>43.067624017543686</v>
      </c>
      <c r="BC172" s="23">
        <v>45.013762077986961</v>
      </c>
      <c r="BD172" s="23">
        <v>47.743872776387391</v>
      </c>
      <c r="BE172" s="23">
        <v>50</v>
      </c>
    </row>
    <row r="173" spans="14:57" x14ac:dyDescent="0.15"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23">
        <v>170</v>
      </c>
      <c r="AD173" s="23">
        <f>[1]节奏总纲!AD173</f>
        <v>74.173480557384934</v>
      </c>
      <c r="AE173" s="23">
        <f>[1]节奏总纲!AE173</f>
        <v>76.249019520898997</v>
      </c>
      <c r="AF173" s="23">
        <f>[1]节奏总纲!AF173</f>
        <v>79.109014469658547</v>
      </c>
      <c r="AG173" s="23">
        <f>[1]节奏总纲!AG173</f>
        <v>83.738783536778797</v>
      </c>
      <c r="AH173" s="23">
        <f>[1]节奏总纲!AH173</f>
        <v>93.1201554708354</v>
      </c>
      <c r="AZ173" s="23">
        <v>170</v>
      </c>
      <c r="BA173" s="23">
        <v>41.590303905372799</v>
      </c>
      <c r="BB173" s="23">
        <v>43.105070725978337</v>
      </c>
      <c r="BC173" s="23">
        <v>45.050956883357138</v>
      </c>
      <c r="BD173" s="23">
        <v>47.785447853033176</v>
      </c>
      <c r="BE173" s="23">
        <v>50</v>
      </c>
    </row>
    <row r="174" spans="14:57" x14ac:dyDescent="0.15"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23">
        <v>171</v>
      </c>
      <c r="AD174" s="23">
        <f>[1]节奏总纲!AD174</f>
        <v>74.255972994404218</v>
      </c>
      <c r="AE174" s="23">
        <f>[1]节奏总纲!AE174</f>
        <v>76.331324771113671</v>
      </c>
      <c r="AF174" s="23">
        <f>[1]节奏总纲!AF174</f>
        <v>79.195216630101797</v>
      </c>
      <c r="AG174" s="23">
        <f>[1]节奏总纲!AG174</f>
        <v>83.826516280109232</v>
      </c>
      <c r="AH174" s="23">
        <f>[1]节奏总纲!AH174</f>
        <v>93.210140144386244</v>
      </c>
      <c r="AZ174" s="23">
        <v>171</v>
      </c>
      <c r="BA174" s="23">
        <v>41.630530120464542</v>
      </c>
      <c r="BB174" s="23">
        <v>43.14251743441298</v>
      </c>
      <c r="BC174" s="23">
        <v>45.088151688727308</v>
      </c>
      <c r="BD174" s="23">
        <v>47.827022929678968</v>
      </c>
      <c r="BE174" s="23">
        <v>50</v>
      </c>
    </row>
    <row r="175" spans="14:57" x14ac:dyDescent="0.15"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23">
        <v>172</v>
      </c>
      <c r="AD175" s="23">
        <f>[1]节奏总纲!AD175</f>
        <v>74.338465431423501</v>
      </c>
      <c r="AE175" s="23">
        <f>[1]节奏总纲!AE175</f>
        <v>76.413630021328345</v>
      </c>
      <c r="AF175" s="23">
        <f>[1]节奏总纲!AF175</f>
        <v>79.281418790545047</v>
      </c>
      <c r="AG175" s="23">
        <f>[1]节奏总纲!AG175</f>
        <v>83.914249023439666</v>
      </c>
      <c r="AH175" s="23">
        <f>[1]节奏总纲!AH175</f>
        <v>93.300124817937103</v>
      </c>
      <c r="AZ175" s="23">
        <v>172</v>
      </c>
      <c r="BA175" s="23">
        <v>41.670756335556291</v>
      </c>
      <c r="BB175" s="23">
        <v>43.179964142847631</v>
      </c>
      <c r="BC175" s="23">
        <v>45.125346494097485</v>
      </c>
      <c r="BD175" s="23">
        <v>47.868598006324753</v>
      </c>
      <c r="BE175" s="23">
        <v>50</v>
      </c>
    </row>
    <row r="176" spans="14:57" x14ac:dyDescent="0.15"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23">
        <v>173</v>
      </c>
      <c r="AD176" s="23">
        <f>[1]节奏总纲!AD176</f>
        <v>74.420957868442784</v>
      </c>
      <c r="AE176" s="23">
        <f>[1]节奏总纲!AE176</f>
        <v>76.495935271543019</v>
      </c>
      <c r="AF176" s="23">
        <f>[1]节奏总纲!AF176</f>
        <v>79.367620950988297</v>
      </c>
      <c r="AG176" s="23">
        <f>[1]节奏总纲!AG176</f>
        <v>84.00179325525086</v>
      </c>
      <c r="AH176" s="23">
        <f>[1]节奏总纲!AH176</f>
        <v>93.390109491487962</v>
      </c>
      <c r="AZ176" s="23">
        <v>173</v>
      </c>
      <c r="BA176" s="23">
        <v>41.710982550648033</v>
      </c>
      <c r="BB176" s="23">
        <v>43.217410851282274</v>
      </c>
      <c r="BC176" s="23">
        <v>45.162541299467655</v>
      </c>
      <c r="BD176" s="23">
        <v>47.910173082970537</v>
      </c>
      <c r="BE176" s="23">
        <v>50</v>
      </c>
    </row>
    <row r="177" spans="14:57" x14ac:dyDescent="0.15"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23">
        <v>174</v>
      </c>
      <c r="AD177" s="23">
        <f>[1]节奏总纲!AD177</f>
        <v>74.503450305462081</v>
      </c>
      <c r="AE177" s="23">
        <f>[1]节奏总纲!AE177</f>
        <v>76.578240521757706</v>
      </c>
      <c r="AF177" s="23">
        <f>[1]节奏总纲!AF177</f>
        <v>79.453823111431561</v>
      </c>
      <c r="AG177" s="23">
        <f>[1]节奏总纲!AG177</f>
        <v>84.08118060043364</v>
      </c>
      <c r="AH177" s="23">
        <f>[1]节奏总纲!AH177</f>
        <v>93.480094165038807</v>
      </c>
      <c r="AZ177" s="23">
        <v>174</v>
      </c>
      <c r="BA177" s="23">
        <v>41.751208765739776</v>
      </c>
      <c r="BB177" s="23">
        <v>43.254857559716925</v>
      </c>
      <c r="BC177" s="23">
        <v>45.199736104837832</v>
      </c>
      <c r="BD177" s="23">
        <v>47.951748159616329</v>
      </c>
      <c r="BE177" s="23">
        <v>50</v>
      </c>
    </row>
    <row r="178" spans="14:57" x14ac:dyDescent="0.15"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23">
        <v>175</v>
      </c>
      <c r="AD178" s="23">
        <f>[1]节奏总纲!AD178</f>
        <v>74.585942742481365</v>
      </c>
      <c r="AE178" s="23">
        <f>[1]节奏总纲!AE178</f>
        <v>76.66054577197238</v>
      </c>
      <c r="AF178" s="23">
        <f>[1]节奏总纲!AF178</f>
        <v>79.540025271874811</v>
      </c>
      <c r="AG178" s="23">
        <f>[1]节奏总纲!AG178</f>
        <v>84.160567945616407</v>
      </c>
      <c r="AH178" s="23">
        <f>[1]节奏总纲!AH178</f>
        <v>93.570078838589666</v>
      </c>
      <c r="AZ178" s="23">
        <v>175</v>
      </c>
      <c r="BA178" s="23">
        <v>41.791434980831518</v>
      </c>
      <c r="BB178" s="23">
        <v>43.292304268151575</v>
      </c>
      <c r="BC178" s="23">
        <v>45.236930910208002</v>
      </c>
      <c r="BD178" s="23">
        <v>47.993323236262114</v>
      </c>
      <c r="BE178" s="23">
        <v>50</v>
      </c>
    </row>
    <row r="179" spans="14:57" x14ac:dyDescent="0.15"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23">
        <v>176</v>
      </c>
      <c r="AD179" s="23">
        <f>[1]节奏总纲!AD179</f>
        <v>74.668435179500648</v>
      </c>
      <c r="AE179" s="23">
        <f>[1]节奏总纲!AE179</f>
        <v>76.742851022187054</v>
      </c>
      <c r="AF179" s="23">
        <f>[1]节奏总纲!AF179</f>
        <v>79.626227432318061</v>
      </c>
      <c r="AG179" s="23">
        <f>[1]节奏总纲!AG179</f>
        <v>84.239955290799188</v>
      </c>
      <c r="AH179" s="23">
        <f>[1]节奏总纲!AH179</f>
        <v>93.660063512140525</v>
      </c>
      <c r="AZ179" s="23">
        <v>176</v>
      </c>
      <c r="BA179" s="23">
        <v>41.831661195923267</v>
      </c>
      <c r="BB179" s="23">
        <v>43.329750976586219</v>
      </c>
      <c r="BC179" s="23">
        <v>45.274125715578172</v>
      </c>
      <c r="BD179" s="23">
        <v>48.030128751164234</v>
      </c>
      <c r="BE179" s="23">
        <v>50</v>
      </c>
    </row>
    <row r="180" spans="14:57" x14ac:dyDescent="0.15"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23">
        <v>177</v>
      </c>
      <c r="AD180" s="23">
        <f>[1]节奏总纲!AD180</f>
        <v>74.750927616519931</v>
      </c>
      <c r="AE180" s="23">
        <f>[1]节奏总纲!AE180</f>
        <v>76.825156272401728</v>
      </c>
      <c r="AF180" s="23">
        <f>[1]节奏总纲!AF180</f>
        <v>79.71242959276131</v>
      </c>
      <c r="AG180" s="23">
        <f>[1]节奏总纲!AG180</f>
        <v>84.319342635981968</v>
      </c>
      <c r="AH180" s="23">
        <f>[1]节奏总纲!AH180</f>
        <v>93.750048185691369</v>
      </c>
      <c r="AZ180" s="23">
        <v>177</v>
      </c>
      <c r="BA180" s="23">
        <v>41.87188741101501</v>
      </c>
      <c r="BB180" s="23">
        <v>43.367197685020869</v>
      </c>
      <c r="BC180" s="23">
        <v>45.31132052094835</v>
      </c>
      <c r="BD180" s="23">
        <v>48.066021750983474</v>
      </c>
      <c r="BE180" s="23">
        <v>50</v>
      </c>
    </row>
    <row r="181" spans="14:57" x14ac:dyDescent="0.15"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23">
        <v>178</v>
      </c>
      <c r="AD181" s="23">
        <f>[1]节奏总纲!AD181</f>
        <v>74.833420053539214</v>
      </c>
      <c r="AE181" s="23">
        <f>[1]节奏总纲!AE181</f>
        <v>76.907461522616416</v>
      </c>
      <c r="AF181" s="23">
        <f>[1]节奏总纲!AF181</f>
        <v>79.79863175320456</v>
      </c>
      <c r="AG181" s="23">
        <f>[1]节奏总纲!AG181</f>
        <v>84.398729981164735</v>
      </c>
      <c r="AH181" s="23">
        <f>[1]节奏总纲!AH181</f>
        <v>93.840032859242228</v>
      </c>
      <c r="AZ181" s="23">
        <v>178</v>
      </c>
      <c r="BA181" s="23">
        <v>41.912113626106752</v>
      </c>
      <c r="BB181" s="23">
        <v>43.404644393455513</v>
      </c>
      <c r="BC181" s="23">
        <v>45.34851532631852</v>
      </c>
      <c r="BD181" s="23">
        <v>48.101914750802706</v>
      </c>
      <c r="BE181" s="23">
        <v>50</v>
      </c>
    </row>
    <row r="182" spans="14:57" x14ac:dyDescent="0.15"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23">
        <v>179</v>
      </c>
      <c r="AD182" s="23">
        <f>[1]节奏总纲!AD182</f>
        <v>74.915912490558512</v>
      </c>
      <c r="AE182" s="23">
        <f>[1]节奏总纲!AE182</f>
        <v>76.989766772831089</v>
      </c>
      <c r="AF182" s="23">
        <f>[1]节奏总纲!AF182</f>
        <v>79.88483391364781</v>
      </c>
      <c r="AG182" s="23">
        <f>[1]节奏总纲!AG182</f>
        <v>84.478117326347515</v>
      </c>
      <c r="AH182" s="23">
        <f>[1]节奏总纲!AH182</f>
        <v>93.930017532793073</v>
      </c>
      <c r="AZ182" s="23">
        <v>179</v>
      </c>
      <c r="BA182" s="23">
        <v>41.952339841198494</v>
      </c>
      <c r="BB182" s="23">
        <v>43.442091101890163</v>
      </c>
      <c r="BC182" s="23">
        <v>45.385710131688697</v>
      </c>
      <c r="BD182" s="23">
        <v>48.137807750621946</v>
      </c>
      <c r="BE182" s="23">
        <v>50</v>
      </c>
    </row>
    <row r="183" spans="14:57" x14ac:dyDescent="0.15"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1"/>
      <c r="AB183" s="91"/>
      <c r="AC183" s="23">
        <v>180</v>
      </c>
      <c r="AD183" s="23">
        <f>[1]节奏总纲!AD183</f>
        <v>74.998404927577795</v>
      </c>
      <c r="AE183" s="23">
        <f>[1]节奏总纲!AE183</f>
        <v>77.06778397927944</v>
      </c>
      <c r="AF183" s="23">
        <f>[1]节奏总纲!AF183</f>
        <v>79.97103607409106</v>
      </c>
      <c r="AG183" s="23">
        <f>[1]节奏总纲!AG183</f>
        <v>84.557504671530296</v>
      </c>
      <c r="AH183" s="23">
        <f>[1]节奏总纲!AH183</f>
        <v>94.01720149869783</v>
      </c>
      <c r="AZ183" s="23">
        <v>180</v>
      </c>
      <c r="BA183" s="23">
        <v>41.992566056290244</v>
      </c>
      <c r="BB183" s="23">
        <v>43.479537810324807</v>
      </c>
      <c r="BC183" s="23">
        <v>45.422904937058867</v>
      </c>
      <c r="BD183" s="23">
        <v>48.173700750441178</v>
      </c>
      <c r="BE183" s="23">
        <v>50</v>
      </c>
    </row>
    <row r="184" spans="14:57" x14ac:dyDescent="0.15"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23">
        <v>181</v>
      </c>
      <c r="AD184" s="23">
        <f>[1]节奏总纲!AD184</f>
        <v>75.075479910097457</v>
      </c>
      <c r="AE184" s="23">
        <f>[1]节奏总纲!AE184</f>
        <v>77.145192343015793</v>
      </c>
      <c r="AF184" s="23">
        <f>[1]节奏总纲!AF184</f>
        <v>80.053817475702374</v>
      </c>
      <c r="AG184" s="23">
        <f>[1]节奏总纲!AG184</f>
        <v>84.636892016713063</v>
      </c>
      <c r="AH184" s="23">
        <f>[1]节奏总纲!AH184</f>
        <v>94.094586524044246</v>
      </c>
      <c r="AZ184" s="23">
        <v>181</v>
      </c>
      <c r="BA184" s="23">
        <v>42.028297717729309</v>
      </c>
      <c r="BB184" s="23">
        <v>43.516984518759458</v>
      </c>
      <c r="BC184" s="23">
        <v>45.460099742429037</v>
      </c>
      <c r="BD184" s="23">
        <v>48.209593750260417</v>
      </c>
      <c r="BE184" s="23">
        <v>50</v>
      </c>
    </row>
    <row r="185" spans="14:57" x14ac:dyDescent="0.15"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1"/>
      <c r="AB185" s="91"/>
      <c r="AC185" s="23">
        <v>182</v>
      </c>
      <c r="AD185" s="23">
        <f>[1]节奏总纲!AD185</f>
        <v>75.152448075388719</v>
      </c>
      <c r="AE185" s="23">
        <f>[1]节奏总纲!AE185</f>
        <v>77.222600706752132</v>
      </c>
      <c r="AF185" s="23">
        <f>[1]节奏总纲!AF185</f>
        <v>80.134867890916794</v>
      </c>
      <c r="AG185" s="23">
        <f>[1]节奏总纲!AG185</f>
        <v>84.716279361895843</v>
      </c>
      <c r="AH185" s="23">
        <f>[1]节奏总纲!AH185</f>
        <v>94.171971549390676</v>
      </c>
      <c r="AZ185" s="23">
        <v>182</v>
      </c>
      <c r="BA185" s="23">
        <v>42.063010472656373</v>
      </c>
      <c r="BB185" s="23">
        <v>43.554431227194108</v>
      </c>
      <c r="BC185" s="23">
        <v>45.497294547799214</v>
      </c>
      <c r="BD185" s="23">
        <v>48.24548675007965</v>
      </c>
      <c r="BE185" s="23">
        <v>50</v>
      </c>
    </row>
    <row r="186" spans="14:57" x14ac:dyDescent="0.15"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23">
        <v>183</v>
      </c>
      <c r="AD186" s="23">
        <f>[1]节奏总纲!AD186</f>
        <v>75.229416240679981</v>
      </c>
      <c r="AE186" s="23">
        <f>[1]节奏总纲!AE186</f>
        <v>77.300009070488485</v>
      </c>
      <c r="AF186" s="23">
        <f>[1]节奏总纲!AF186</f>
        <v>80.215918306131215</v>
      </c>
      <c r="AG186" s="23">
        <f>[1]节奏总纲!AG186</f>
        <v>84.795666707078624</v>
      </c>
      <c r="AH186" s="23">
        <f>[1]节奏总纲!AH186</f>
        <v>94.249356574737092</v>
      </c>
      <c r="AZ186" s="23">
        <v>183</v>
      </c>
      <c r="BA186" s="23">
        <v>42.097723227583437</v>
      </c>
      <c r="BB186" s="23">
        <v>43.591877935628752</v>
      </c>
      <c r="BC186" s="23">
        <v>45.534489353169384</v>
      </c>
      <c r="BD186" s="23">
        <v>48.281379749898889</v>
      </c>
      <c r="BE186" s="23">
        <v>50</v>
      </c>
    </row>
    <row r="187" spans="14:57" x14ac:dyDescent="0.15"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23">
        <v>184</v>
      </c>
      <c r="AD187" s="23">
        <f>[1]节奏总纲!AD187</f>
        <v>75.306384405971258</v>
      </c>
      <c r="AE187" s="23">
        <f>[1]节奏总纲!AE187</f>
        <v>77.377417434224824</v>
      </c>
      <c r="AF187" s="23">
        <f>[1]节奏总纲!AF187</f>
        <v>80.296968721345635</v>
      </c>
      <c r="AG187" s="23">
        <f>[1]节奏总纲!AG187</f>
        <v>84.87505405226139</v>
      </c>
      <c r="AH187" s="23">
        <f>[1]节奏总纲!AH187</f>
        <v>94.326741600083523</v>
      </c>
      <c r="AZ187" s="23">
        <v>184</v>
      </c>
      <c r="BA187" s="23">
        <v>42.132435982510501</v>
      </c>
      <c r="BB187" s="23">
        <v>43.629324644063402</v>
      </c>
      <c r="BC187" s="23">
        <v>45.571684158539561</v>
      </c>
      <c r="BD187" s="23">
        <v>48.317272749718121</v>
      </c>
      <c r="BE187" s="23">
        <v>50</v>
      </c>
    </row>
    <row r="188" spans="14:57" x14ac:dyDescent="0.15"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23">
        <v>185</v>
      </c>
      <c r="AD188" s="23">
        <f>[1]节奏总纲!AD188</f>
        <v>75.38335257126252</v>
      </c>
      <c r="AE188" s="23">
        <f>[1]节奏总纲!AE188</f>
        <v>77.454825797961163</v>
      </c>
      <c r="AF188" s="23">
        <f>[1]节奏总纲!AF188</f>
        <v>80.378019136560056</v>
      </c>
      <c r="AG188" s="23">
        <f>[1]节奏总纲!AG188</f>
        <v>84.954441397444171</v>
      </c>
      <c r="AH188" s="23">
        <f>[1]节奏总纲!AH188</f>
        <v>94.404126625429939</v>
      </c>
      <c r="AZ188" s="23">
        <v>185</v>
      </c>
      <c r="BA188" s="23">
        <v>42.167148737437564</v>
      </c>
      <c r="BB188" s="23">
        <v>43.666771352498046</v>
      </c>
      <c r="BC188" s="23">
        <v>45.608878963909731</v>
      </c>
      <c r="BD188" s="23">
        <v>48.353165749537354</v>
      </c>
      <c r="BE188" s="23">
        <v>50</v>
      </c>
    </row>
    <row r="189" spans="14:57" x14ac:dyDescent="0.15"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23">
        <v>186</v>
      </c>
      <c r="AD189" s="23">
        <f>[1]节奏总纲!AD189</f>
        <v>75.460320736553783</v>
      </c>
      <c r="AE189" s="23">
        <f>[1]节奏总纲!AE189</f>
        <v>77.532234161697517</v>
      </c>
      <c r="AF189" s="23">
        <f>[1]节奏总纲!AF189</f>
        <v>80.459069551774476</v>
      </c>
      <c r="AG189" s="23">
        <f>[1]节奏总纲!AG189</f>
        <v>85.030832425973387</v>
      </c>
      <c r="AH189" s="23">
        <f>[1]节奏总纲!AH189</f>
        <v>94.481511650776355</v>
      </c>
      <c r="AZ189" s="23">
        <v>186</v>
      </c>
      <c r="BA189" s="23">
        <v>42.201861492364635</v>
      </c>
      <c r="BB189" s="23">
        <v>43.704218060932696</v>
      </c>
      <c r="BC189" s="23">
        <v>45.646073769279901</v>
      </c>
      <c r="BD189" s="23">
        <v>48.389058749356593</v>
      </c>
      <c r="BE189" s="23">
        <v>50</v>
      </c>
    </row>
    <row r="190" spans="14:57" x14ac:dyDescent="0.15"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23">
        <v>187</v>
      </c>
      <c r="AD190" s="23">
        <f>[1]节奏总纲!AD190</f>
        <v>75.537288901845045</v>
      </c>
      <c r="AE190" s="23">
        <f>[1]节奏总纲!AE190</f>
        <v>77.609642525433856</v>
      </c>
      <c r="AF190" s="23">
        <f>[1]节奏总纲!AF190</f>
        <v>80.540119966988897</v>
      </c>
      <c r="AG190" s="23">
        <f>[1]节奏总纲!AG190</f>
        <v>85.103188187775231</v>
      </c>
      <c r="AH190" s="23">
        <f>[1]节奏总纲!AH190</f>
        <v>94.558896676122785</v>
      </c>
      <c r="AZ190" s="23">
        <v>187</v>
      </c>
      <c r="BA190" s="23">
        <v>42.236574247291699</v>
      </c>
      <c r="BB190" s="23">
        <v>43.741664769367347</v>
      </c>
      <c r="BC190" s="23">
        <v>45.683268574650079</v>
      </c>
      <c r="BD190" s="23">
        <v>48.424951749175825</v>
      </c>
      <c r="BE190" s="23">
        <v>50</v>
      </c>
    </row>
    <row r="191" spans="14:57" x14ac:dyDescent="0.15"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23">
        <v>188</v>
      </c>
      <c r="AD191" s="23">
        <f>[1]节奏总纲!AD191</f>
        <v>75.614257067136322</v>
      </c>
      <c r="AE191" s="23">
        <f>[1]节奏总纲!AE191</f>
        <v>77.687050889170209</v>
      </c>
      <c r="AF191" s="23">
        <f>[1]节奏总纲!AF191</f>
        <v>80.621170382203317</v>
      </c>
      <c r="AG191" s="23">
        <f>[1]节奏总纲!AG191</f>
        <v>85.175543949577076</v>
      </c>
      <c r="AH191" s="23">
        <f>[1]节奏总纲!AH191</f>
        <v>94.636281701469201</v>
      </c>
      <c r="AZ191" s="23">
        <v>188</v>
      </c>
      <c r="BA191" s="23">
        <v>42.271287002218763</v>
      </c>
      <c r="BB191" s="23">
        <v>43.77911147780199</v>
      </c>
      <c r="BC191" s="23">
        <v>45.720463380020249</v>
      </c>
      <c r="BD191" s="23">
        <v>48.460844748995065</v>
      </c>
      <c r="BE191" s="23">
        <v>50</v>
      </c>
    </row>
    <row r="192" spans="14:57" x14ac:dyDescent="0.15"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23">
        <v>189</v>
      </c>
      <c r="AD192" s="23">
        <f>[1]节奏总纲!AD192</f>
        <v>75.691225232427584</v>
      </c>
      <c r="AE192" s="23">
        <f>[1]节奏总纲!AE192</f>
        <v>77.764459252906548</v>
      </c>
      <c r="AF192" s="23">
        <f>[1]节奏总纲!AF192</f>
        <v>80.702220797417738</v>
      </c>
      <c r="AG192" s="23">
        <f>[1]节奏总纲!AG192</f>
        <v>85.247899711378935</v>
      </c>
      <c r="AH192" s="23">
        <f>[1]节奏总纲!AH192</f>
        <v>94.713666726815632</v>
      </c>
      <c r="AZ192" s="23">
        <v>189</v>
      </c>
      <c r="BA192" s="23">
        <v>42.305999757145827</v>
      </c>
      <c r="BB192" s="23">
        <v>43.816558186236641</v>
      </c>
      <c r="BC192" s="23">
        <v>45.757658185390426</v>
      </c>
      <c r="BD192" s="23">
        <v>48.496737748814297</v>
      </c>
      <c r="BE192" s="23">
        <v>50</v>
      </c>
    </row>
    <row r="193" spans="14:57" x14ac:dyDescent="0.15"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23">
        <v>190</v>
      </c>
      <c r="AD193" s="23">
        <f>[1]节奏总纲!AD193</f>
        <v>75.768193397718846</v>
      </c>
      <c r="AE193" s="23">
        <f>[1]节奏总纲!AE193</f>
        <v>77.841867616642901</v>
      </c>
      <c r="AF193" s="23">
        <f>[1]节奏总纲!AF193</f>
        <v>80.783271212632158</v>
      </c>
      <c r="AG193" s="23">
        <f>[1]节奏总纲!AG193</f>
        <v>85.320255473180779</v>
      </c>
      <c r="AH193" s="23">
        <f>[1]节奏总纲!AH193</f>
        <v>94.791051752162048</v>
      </c>
      <c r="AZ193" s="23">
        <v>190</v>
      </c>
      <c r="BA193" s="23">
        <v>42.340712512072891</v>
      </c>
      <c r="BB193" s="23">
        <v>43.854004894671284</v>
      </c>
      <c r="BC193" s="23">
        <v>45.794852990760596</v>
      </c>
      <c r="BD193" s="23">
        <v>48.532630748633537</v>
      </c>
      <c r="BE193" s="23">
        <v>50</v>
      </c>
    </row>
    <row r="194" spans="14:57" x14ac:dyDescent="0.15"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23">
        <v>191</v>
      </c>
      <c r="AD194" s="23">
        <f>[1]节奏总纲!AD194</f>
        <v>75.845161563010109</v>
      </c>
      <c r="AE194" s="23">
        <f>[1]节奏总纲!AE194</f>
        <v>77.91927598037924</v>
      </c>
      <c r="AF194" s="23">
        <f>[1]节奏总纲!AF194</f>
        <v>80.864321627846579</v>
      </c>
      <c r="AG194" s="23">
        <f>[1]节奏总纲!AG194</f>
        <v>85.392611234982624</v>
      </c>
      <c r="AH194" s="23">
        <f>[1]节奏总纲!AH194</f>
        <v>94.868436777508478</v>
      </c>
      <c r="AZ194" s="23">
        <v>191</v>
      </c>
      <c r="BA194" s="23">
        <v>42.375425266999954</v>
      </c>
      <c r="BB194" s="23">
        <v>43.891451603105935</v>
      </c>
      <c r="BC194" s="23">
        <v>45.832047796130773</v>
      </c>
      <c r="BD194" s="23">
        <v>48.568523748452769</v>
      </c>
      <c r="BE194" s="23">
        <v>50</v>
      </c>
    </row>
    <row r="195" spans="14:57" x14ac:dyDescent="0.15"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23">
        <v>192</v>
      </c>
      <c r="AD195" s="23">
        <f>[1]节奏总纲!AD195</f>
        <v>75.922129728301385</v>
      </c>
      <c r="AE195" s="23">
        <f>[1]节奏总纲!AE195</f>
        <v>77.996684344115593</v>
      </c>
      <c r="AF195" s="23">
        <f>[1]节奏总纲!AF195</f>
        <v>80.945372043060999</v>
      </c>
      <c r="AG195" s="23">
        <f>[1]节奏总纲!AG195</f>
        <v>85.464966996784469</v>
      </c>
      <c r="AH195" s="23">
        <f>[1]节奏总纲!AH195</f>
        <v>94.945821802854894</v>
      </c>
      <c r="AZ195" s="23">
        <v>192</v>
      </c>
      <c r="BA195" s="23">
        <v>42.410138021927018</v>
      </c>
      <c r="BB195" s="23">
        <v>43.928898311540578</v>
      </c>
      <c r="BC195" s="23">
        <v>45.869242601500943</v>
      </c>
      <c r="BD195" s="23">
        <v>48.604416748272008</v>
      </c>
      <c r="BE195" s="23">
        <v>50</v>
      </c>
    </row>
    <row r="196" spans="14:57" x14ac:dyDescent="0.15"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23">
        <v>193</v>
      </c>
      <c r="AD196" s="23">
        <f>[1]节奏总纲!AD196</f>
        <v>75.999097893592648</v>
      </c>
      <c r="AE196" s="23">
        <f>[1]节奏总纲!AE196</f>
        <v>78.068193736526268</v>
      </c>
      <c r="AF196" s="23">
        <f>[1]节奏总纲!AF196</f>
        <v>81.02378934476593</v>
      </c>
      <c r="AG196" s="23">
        <f>[1]节奏总纲!AG196</f>
        <v>85.537322758586328</v>
      </c>
      <c r="AH196" s="23">
        <f>[1]节奏总纲!AH196</f>
        <v>95.021652736340755</v>
      </c>
      <c r="AZ196" s="23">
        <v>193</v>
      </c>
      <c r="BA196" s="23">
        <v>42.444850776854082</v>
      </c>
      <c r="BB196" s="23">
        <v>43.966345019975229</v>
      </c>
      <c r="BC196" s="23">
        <v>45.906437406871113</v>
      </c>
      <c r="BD196" s="23">
        <v>48.640309748091241</v>
      </c>
      <c r="BE196" s="23">
        <v>50</v>
      </c>
    </row>
    <row r="197" spans="14:57" x14ac:dyDescent="0.15"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23">
        <v>194</v>
      </c>
      <c r="AD197" s="23">
        <f>[1]节奏总纲!AD197</f>
        <v>76.070972142474872</v>
      </c>
      <c r="AE197" s="23">
        <f>[1]节奏总纲!AE197</f>
        <v>78.139439149396253</v>
      </c>
      <c r="AF197" s="23">
        <f>[1]节奏总纲!AF197</f>
        <v>81.096762731680187</v>
      </c>
      <c r="AG197" s="23">
        <f>[1]节奏总纲!AG197</f>
        <v>85.609678520388172</v>
      </c>
      <c r="AH197" s="23">
        <f>[1]节奏总纲!AH197</f>
        <v>95.093855518039874</v>
      </c>
      <c r="AZ197" s="23">
        <v>194</v>
      </c>
      <c r="BA197" s="23">
        <v>42.479563531781146</v>
      </c>
      <c r="BB197" s="23">
        <v>44.003272544984547</v>
      </c>
      <c r="BC197" s="23">
        <v>45.94363221224129</v>
      </c>
      <c r="BD197" s="23">
        <v>48.67620274791048</v>
      </c>
      <c r="BE197" s="23">
        <v>50</v>
      </c>
    </row>
    <row r="198" spans="14:57" x14ac:dyDescent="0.15"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23">
        <v>195</v>
      </c>
      <c r="AD198" s="23">
        <f>[1]节奏总纲!AD198</f>
        <v>76.142785979989682</v>
      </c>
      <c r="AE198" s="23">
        <f>[1]节奏总纲!AE198</f>
        <v>78.210684562266223</v>
      </c>
      <c r="AF198" s="23">
        <f>[1]节奏总纲!AF198</f>
        <v>81.169736118594443</v>
      </c>
      <c r="AG198" s="23">
        <f>[1]节奏总纲!AG198</f>
        <v>85.682034282190017</v>
      </c>
      <c r="AH198" s="23">
        <f>[1]节奏总纲!AH198</f>
        <v>95.166058299739007</v>
      </c>
      <c r="AZ198" s="23">
        <v>195</v>
      </c>
      <c r="BA198" s="23">
        <v>42.51427628670821</v>
      </c>
      <c r="BB198" s="23">
        <v>44.035591852864428</v>
      </c>
      <c r="BC198" s="23">
        <v>45.98082701761146</v>
      </c>
      <c r="BD198" s="23">
        <v>48.712095747729713</v>
      </c>
      <c r="BE198" s="23">
        <v>50</v>
      </c>
    </row>
    <row r="199" spans="14:57" x14ac:dyDescent="0.15"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23">
        <v>196</v>
      </c>
      <c r="AD199" s="23">
        <f>[1]节奏总纲!AD199</f>
        <v>76.214599817504492</v>
      </c>
      <c r="AE199" s="23">
        <f>[1]节奏总纲!AE199</f>
        <v>78.281929975136208</v>
      </c>
      <c r="AF199" s="23">
        <f>[1]节奏总纲!AF199</f>
        <v>81.242709505508685</v>
      </c>
      <c r="AG199" s="23">
        <f>[1]节奏总纲!AG199</f>
        <v>85.754390043991862</v>
      </c>
      <c r="AH199" s="23">
        <f>[1]节奏总纲!AH199</f>
        <v>95.238261081438125</v>
      </c>
      <c r="AZ199" s="23">
        <v>196</v>
      </c>
      <c r="BA199" s="23">
        <v>42.548989041635274</v>
      </c>
      <c r="BB199" s="23">
        <v>44.067911160744309</v>
      </c>
      <c r="BC199" s="23">
        <v>46.01555652579863</v>
      </c>
      <c r="BD199" s="23">
        <v>48.747988747548945</v>
      </c>
      <c r="BE199" s="23">
        <v>50</v>
      </c>
    </row>
    <row r="200" spans="14:57" x14ac:dyDescent="0.15"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23">
        <v>197</v>
      </c>
      <c r="AD200" s="23">
        <f>[1]节奏总纲!AD200</f>
        <v>76.286413655019302</v>
      </c>
      <c r="AE200" s="23">
        <f>[1]节奏总纲!AE200</f>
        <v>78.353175388006179</v>
      </c>
      <c r="AF200" s="23">
        <f>[1]节奏总纲!AF200</f>
        <v>81.315682892422942</v>
      </c>
      <c r="AG200" s="23">
        <f>[1]节奏总纲!AG200</f>
        <v>85.82674580579372</v>
      </c>
      <c r="AH200" s="23">
        <f>[1]节奏总纲!AH200</f>
        <v>95.310463863137244</v>
      </c>
      <c r="AZ200" s="23">
        <v>197</v>
      </c>
      <c r="BA200" s="23">
        <v>42.583701796562345</v>
      </c>
      <c r="BB200" s="23">
        <v>44.100230468624183</v>
      </c>
      <c r="BC200" s="23">
        <v>46.047663263829847</v>
      </c>
      <c r="BD200" s="23">
        <v>48.783881747368184</v>
      </c>
      <c r="BE200" s="23">
        <v>50</v>
      </c>
    </row>
    <row r="201" spans="14:57" x14ac:dyDescent="0.15"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23">
        <v>198</v>
      </c>
      <c r="AD201" s="23">
        <f>[1]节奏总纲!AD201</f>
        <v>76.358227492534112</v>
      </c>
      <c r="AE201" s="23">
        <f>[1]节奏总纲!AE201</f>
        <v>78.424420800876163</v>
      </c>
      <c r="AF201" s="23">
        <f>[1]节奏总纲!AF201</f>
        <v>81.388656279337198</v>
      </c>
      <c r="AG201" s="23">
        <f>[1]节奏总纲!AG201</f>
        <v>85.899101567595565</v>
      </c>
      <c r="AH201" s="23">
        <f>[1]节奏总纲!AH201</f>
        <v>95.382666644836377</v>
      </c>
      <c r="AZ201" s="23">
        <v>198</v>
      </c>
      <c r="BA201" s="23">
        <v>42.618414551489408</v>
      </c>
      <c r="BB201" s="23">
        <v>44.132549776504064</v>
      </c>
      <c r="BC201" s="23">
        <v>46.079770001861057</v>
      </c>
      <c r="BD201" s="23">
        <v>48.819774747187417</v>
      </c>
      <c r="BE201" s="23">
        <v>50</v>
      </c>
    </row>
    <row r="202" spans="14:57" x14ac:dyDescent="0.15"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23">
        <v>199</v>
      </c>
      <c r="AD202" s="23">
        <f>[1]节奏总纲!AD202</f>
        <v>76.430041330048923</v>
      </c>
      <c r="AE202" s="23">
        <f>[1]节奏总纲!AE202</f>
        <v>78.495666213746148</v>
      </c>
      <c r="AF202" s="23">
        <f>[1]节奏总纲!AF202</f>
        <v>81.461629666251454</v>
      </c>
      <c r="AG202" s="23">
        <f>[1]节奏总纲!AG202</f>
        <v>85.97145732939741</v>
      </c>
      <c r="AH202" s="23">
        <f>[1]节奏总纲!AH202</f>
        <v>95.454869426535495</v>
      </c>
      <c r="AZ202" s="23">
        <v>199</v>
      </c>
      <c r="BA202" s="23">
        <v>42.653127306416472</v>
      </c>
      <c r="BB202" s="23">
        <v>44.164869084383938</v>
      </c>
      <c r="BC202" s="23">
        <v>46.111876739892267</v>
      </c>
      <c r="BD202" s="23">
        <v>48.855667747006656</v>
      </c>
      <c r="BE202" s="23">
        <v>50</v>
      </c>
    </row>
    <row r="203" spans="14:57" x14ac:dyDescent="0.15"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23">
        <v>200</v>
      </c>
      <c r="AD203" s="23">
        <f>[1]节奏总纲!AD203</f>
        <v>76.501855167563733</v>
      </c>
      <c r="AE203" s="23">
        <f>[1]节奏总纲!AE203</f>
        <v>78.566911626616118</v>
      </c>
      <c r="AF203" s="23">
        <f>[1]节奏总纲!AF203</f>
        <v>81.534603053165696</v>
      </c>
      <c r="AG203" s="23">
        <f>[1]节奏总纲!AG203</f>
        <v>86.045919706798657</v>
      </c>
      <c r="AH203" s="23">
        <f>[1]节奏总纲!AH203</f>
        <v>95.527072208234628</v>
      </c>
      <c r="AZ203" s="23">
        <v>200</v>
      </c>
      <c r="BA203" s="23">
        <v>42.687840061343536</v>
      </c>
      <c r="BB203" s="23">
        <v>44.197188392263818</v>
      </c>
      <c r="BC203" s="23">
        <v>46.143983477923484</v>
      </c>
      <c r="BD203" s="23">
        <v>48.891560746825888</v>
      </c>
      <c r="BE203" s="23">
        <v>50</v>
      </c>
    </row>
    <row r="204" spans="14:57" x14ac:dyDescent="0.15"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23">
        <v>201</v>
      </c>
      <c r="AD204" s="23">
        <f>[1]节奏总纲!AD204</f>
        <v>76.573669005078543</v>
      </c>
      <c r="AE204" s="23">
        <f>[1]节奏总纲!AE204</f>
        <v>78.638157039486103</v>
      </c>
      <c r="AF204" s="23">
        <f>[1]节奏总纲!AF204</f>
        <v>81.607576440079953</v>
      </c>
      <c r="AG204" s="23">
        <f>[1]节奏总纲!AG204</f>
        <v>86.121754469336281</v>
      </c>
      <c r="AH204" s="23">
        <f>[1]节奏总纲!AH204</f>
        <v>95.599274989933747</v>
      </c>
      <c r="AZ204" s="23">
        <v>201</v>
      </c>
      <c r="BA204" s="23">
        <v>42.7225528162706</v>
      </c>
      <c r="BB204" s="23">
        <v>44.229507700143699</v>
      </c>
      <c r="BC204" s="23">
        <v>46.176090215954694</v>
      </c>
      <c r="BD204" s="23">
        <v>48.927453746645128</v>
      </c>
      <c r="BE204" s="23">
        <v>50</v>
      </c>
    </row>
    <row r="205" spans="14:57" x14ac:dyDescent="0.15"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23">
        <v>202</v>
      </c>
      <c r="AD205" s="23">
        <f>[1]节奏总纲!AD205</f>
        <v>76.645482842593353</v>
      </c>
      <c r="AE205" s="23">
        <f>[1]节奏总纲!AE205</f>
        <v>78.709402452356088</v>
      </c>
      <c r="AF205" s="23">
        <f>[1]节奏总纲!AF205</f>
        <v>81.680549826994209</v>
      </c>
      <c r="AG205" s="23">
        <f>[1]节奏总纲!AG205</f>
        <v>86.197589231873891</v>
      </c>
      <c r="AH205" s="23">
        <f>[1]节奏总纲!AH205</f>
        <v>95.671477771632865</v>
      </c>
      <c r="AZ205" s="23">
        <v>202</v>
      </c>
      <c r="BA205" s="23">
        <v>42.757265571197664</v>
      </c>
      <c r="BB205" s="23">
        <v>44.261827008023573</v>
      </c>
      <c r="BC205" s="23">
        <v>46.208196953985905</v>
      </c>
      <c r="BD205" s="23">
        <v>48.96334674646436</v>
      </c>
      <c r="BE205" s="23">
        <v>50</v>
      </c>
    </row>
    <row r="206" spans="14:57" x14ac:dyDescent="0.15">
      <c r="AC206" s="23">
        <v>203</v>
      </c>
      <c r="AD206" s="23">
        <f>[1]节奏总纲!AD206</f>
        <v>76.717296680108163</v>
      </c>
      <c r="AE206" s="23">
        <f>[1]节奏总纲!AE206</f>
        <v>78.780647865226058</v>
      </c>
      <c r="AF206" s="23">
        <f>[1]节奏总纲!AF206</f>
        <v>81.753523213908451</v>
      </c>
      <c r="AG206" s="23">
        <f>[1]节奏总纲!AG206</f>
        <v>86.273423994411502</v>
      </c>
      <c r="AH206" s="23">
        <f>[1]节奏总纲!AH206</f>
        <v>95.743680553331998</v>
      </c>
      <c r="AZ206" s="23">
        <v>203</v>
      </c>
      <c r="BA206" s="23">
        <v>42.791978326124728</v>
      </c>
      <c r="BB206" s="23">
        <v>44.294146315903454</v>
      </c>
      <c r="BC206" s="23">
        <v>46.240303692017122</v>
      </c>
      <c r="BD206" s="23">
        <v>48.9992397462836</v>
      </c>
      <c r="BE206" s="23">
        <v>50</v>
      </c>
    </row>
    <row r="207" spans="14:57" x14ac:dyDescent="0.15">
      <c r="AC207" s="23">
        <v>204</v>
      </c>
      <c r="AD207" s="23">
        <f>[1]节奏总纲!AD207</f>
        <v>76.789110517622973</v>
      </c>
      <c r="AE207" s="23">
        <f>[1]节奏总纲!AE207</f>
        <v>78.851893278096043</v>
      </c>
      <c r="AF207" s="23">
        <f>[1]节奏总纲!AF207</f>
        <v>81.826496600822708</v>
      </c>
      <c r="AG207" s="23">
        <f>[1]节奏总纲!AG207</f>
        <v>86.349258756949112</v>
      </c>
      <c r="AH207" s="23">
        <f>[1]节奏总纲!AH207</f>
        <v>95.815883335031117</v>
      </c>
      <c r="AZ207" s="23">
        <v>204</v>
      </c>
      <c r="BA207" s="23">
        <v>42.826691081051791</v>
      </c>
      <c r="BB207" s="23">
        <v>44.326465623783335</v>
      </c>
      <c r="BC207" s="23">
        <v>46.272410430048332</v>
      </c>
      <c r="BD207" s="23">
        <v>49.030333272797542</v>
      </c>
      <c r="BE207" s="23">
        <v>50</v>
      </c>
    </row>
    <row r="208" spans="14:57" x14ac:dyDescent="0.15">
      <c r="AC208" s="23">
        <v>205</v>
      </c>
      <c r="AD208" s="23">
        <f>[1]节奏总纲!AD208</f>
        <v>76.860924355137783</v>
      </c>
      <c r="AE208" s="23">
        <f>[1]节奏总纲!AE208</f>
        <v>78.923138690966013</v>
      </c>
      <c r="AF208" s="23">
        <f>[1]节奏总纲!AF208</f>
        <v>81.899469987736964</v>
      </c>
      <c r="AG208" s="23">
        <f>[1]节奏总纲!AG208</f>
        <v>86.425093519486722</v>
      </c>
      <c r="AH208" s="23">
        <f>[1]节奏总纲!AH208</f>
        <v>95.888086116730236</v>
      </c>
      <c r="AZ208" s="23">
        <v>205</v>
      </c>
      <c r="BA208" s="23">
        <v>42.861403835978855</v>
      </c>
      <c r="BB208" s="23">
        <v>44.358784931663209</v>
      </c>
      <c r="BC208" s="23">
        <v>46.304517168079542</v>
      </c>
      <c r="BD208" s="23">
        <v>49.061322941292346</v>
      </c>
      <c r="BE208" s="23">
        <v>50</v>
      </c>
    </row>
    <row r="209" spans="29:57" x14ac:dyDescent="0.15">
      <c r="AC209" s="23">
        <v>206</v>
      </c>
      <c r="AD209" s="23">
        <f>[1]节奏总纲!AD209</f>
        <v>76.932738192652593</v>
      </c>
      <c r="AE209" s="23">
        <f>[1]节奏总纲!AE209</f>
        <v>78.994384103835998</v>
      </c>
      <c r="AF209" s="23">
        <f>[1]节奏总纲!AF209</f>
        <v>81.972443374651206</v>
      </c>
      <c r="AG209" s="23">
        <f>[1]节奏总纲!AG209</f>
        <v>86.500928282024347</v>
      </c>
      <c r="AH209" s="23">
        <f>[1]节奏总纲!AH209</f>
        <v>95.960288898429368</v>
      </c>
      <c r="AZ209" s="23">
        <v>206</v>
      </c>
      <c r="BA209" s="23">
        <v>42.896116590905919</v>
      </c>
      <c r="BB209" s="23">
        <v>44.39110423954309</v>
      </c>
      <c r="BC209" s="23">
        <v>46.336623906110759</v>
      </c>
      <c r="BD209" s="23">
        <v>49.09231260978715</v>
      </c>
      <c r="BE209" s="23">
        <v>50</v>
      </c>
    </row>
    <row r="210" spans="29:57" x14ac:dyDescent="0.15">
      <c r="AC210" s="23">
        <v>207</v>
      </c>
      <c r="AD210" s="23">
        <f>[1]节奏总纲!AD210</f>
        <v>77.004247194324648</v>
      </c>
      <c r="AE210" s="23">
        <f>[1]节奏总纲!AE210</f>
        <v>79.061386416569832</v>
      </c>
      <c r="AF210" s="23">
        <f>[1]节奏总纲!AF210</f>
        <v>82.041007317281839</v>
      </c>
      <c r="AG210" s="23">
        <f>[1]节奏总纲!AG210</f>
        <v>86.576763044561957</v>
      </c>
      <c r="AH210" s="23">
        <f>[1]节奏总纲!AH210</f>
        <v>96.027967953922968</v>
      </c>
      <c r="AZ210" s="23">
        <v>207</v>
      </c>
      <c r="BA210" s="23">
        <v>42.930829345832983</v>
      </c>
      <c r="BB210" s="23">
        <v>44.423423547422971</v>
      </c>
      <c r="BC210" s="23">
        <v>46.368730644141969</v>
      </c>
      <c r="BD210" s="23">
        <v>49.123302278281955</v>
      </c>
      <c r="BE210" s="23">
        <v>50</v>
      </c>
    </row>
    <row r="211" spans="29:57" x14ac:dyDescent="0.15">
      <c r="AC211" s="23">
        <v>208</v>
      </c>
      <c r="AD211" s="23">
        <f>[1]节奏总纲!AD211</f>
        <v>77.07125187397483</v>
      </c>
      <c r="AE211" s="23">
        <f>[1]节奏总纲!AE211</f>
        <v>79.128025648620252</v>
      </c>
      <c r="AF211" s="23">
        <f>[1]节奏总纲!AF211</f>
        <v>82.106895829081836</v>
      </c>
      <c r="AG211" s="23">
        <f>[1]节奏总纲!AG211</f>
        <v>86.652597807099568</v>
      </c>
      <c r="AH211" s="23">
        <f>[1]节奏总纲!AH211</f>
        <v>96.09011814325406</v>
      </c>
      <c r="AZ211" s="23">
        <v>208</v>
      </c>
      <c r="BA211" s="23">
        <v>42.965542100760054</v>
      </c>
      <c r="BB211" s="23">
        <v>44.455742855302844</v>
      </c>
      <c r="BC211" s="23">
        <v>46.400837382173179</v>
      </c>
      <c r="BD211" s="23">
        <v>49.154291946776759</v>
      </c>
      <c r="BE211" s="23">
        <v>50</v>
      </c>
    </row>
    <row r="212" spans="29:57" x14ac:dyDescent="0.15">
      <c r="AC212" s="23">
        <v>209</v>
      </c>
      <c r="AD212" s="23">
        <f>[1]节奏总纲!AD212</f>
        <v>77.138256553625013</v>
      </c>
      <c r="AE212" s="23">
        <f>[1]节奏总纲!AE212</f>
        <v>79.194664880670672</v>
      </c>
      <c r="AF212" s="23">
        <f>[1]节奏总纲!AF212</f>
        <v>82.172784340881819</v>
      </c>
      <c r="AG212" s="23">
        <f>[1]节奏总纲!AG212</f>
        <v>86.728432569637178</v>
      </c>
      <c r="AH212" s="23">
        <f>[1]节奏总纲!AH212</f>
        <v>96.152268332585166</v>
      </c>
      <c r="AZ212" s="23">
        <v>209</v>
      </c>
      <c r="BA212" s="23">
        <v>43.000219942361319</v>
      </c>
      <c r="BB212" s="23">
        <v>44.488062163182725</v>
      </c>
      <c r="BC212" s="23">
        <v>46.432944120204397</v>
      </c>
      <c r="BD212" s="23">
        <v>49.18528161527157</v>
      </c>
      <c r="BE212" s="23">
        <v>50</v>
      </c>
    </row>
    <row r="213" spans="29:57" x14ac:dyDescent="0.15">
      <c r="AC213" s="23">
        <v>210</v>
      </c>
      <c r="AD213" s="23">
        <f>[1]节奏总纲!AD213</f>
        <v>77.205261233275195</v>
      </c>
      <c r="AE213" s="23">
        <f>[1]节奏总纲!AE213</f>
        <v>79.261304112721092</v>
      </c>
      <c r="AF213" s="23">
        <f>[1]节奏总纲!AF213</f>
        <v>82.238672852681816</v>
      </c>
      <c r="AG213" s="23">
        <f>[1]节奏总纲!AG213</f>
        <v>86.804267332174788</v>
      </c>
      <c r="AH213" s="23">
        <f>[1]节奏总纲!AH213</f>
        <v>96.214418521916258</v>
      </c>
      <c r="AZ213" s="23">
        <v>210</v>
      </c>
      <c r="BA213" s="23">
        <v>43.030177309109042</v>
      </c>
      <c r="BB213" s="23">
        <v>44.520381471062606</v>
      </c>
      <c r="BC213" s="23">
        <v>46.465050858235607</v>
      </c>
      <c r="BD213" s="23">
        <v>49.216271283766375</v>
      </c>
      <c r="BE213" s="23">
        <v>50</v>
      </c>
    </row>
    <row r="214" spans="29:57" x14ac:dyDescent="0.15">
      <c r="AC214" s="23">
        <v>211</v>
      </c>
      <c r="AD214" s="23">
        <f>[1]节奏总纲!AD214</f>
        <v>77.272265912925377</v>
      </c>
      <c r="AE214" s="23">
        <f>[1]节奏总纲!AE214</f>
        <v>79.327943344771512</v>
      </c>
      <c r="AF214" s="23">
        <f>[1]节奏总纲!AF214</f>
        <v>82.304561364481813</v>
      </c>
      <c r="AG214" s="23">
        <f>[1]节奏总纲!AG214</f>
        <v>86.880102094712413</v>
      </c>
      <c r="AH214" s="23">
        <f>[1]节奏总纲!AH214</f>
        <v>96.276568711247364</v>
      </c>
      <c r="AZ214" s="23">
        <v>211</v>
      </c>
      <c r="BA214" s="23">
        <v>43.060134675856759</v>
      </c>
      <c r="BB214" s="23">
        <v>44.55270077894248</v>
      </c>
      <c r="BC214" s="23">
        <v>46.497157596266817</v>
      </c>
      <c r="BD214" s="23">
        <v>49.247260952261179</v>
      </c>
      <c r="BE214" s="23">
        <v>50</v>
      </c>
    </row>
    <row r="215" spans="29:57" x14ac:dyDescent="0.15">
      <c r="AC215" s="23">
        <v>212</v>
      </c>
      <c r="AD215" s="23">
        <f>[1]节奏总纲!AD215</f>
        <v>77.339270592575559</v>
      </c>
      <c r="AE215" s="23">
        <f>[1]节奏总纲!AE215</f>
        <v>79.394582576821932</v>
      </c>
      <c r="AF215" s="23">
        <f>[1]节奏总纲!AF215</f>
        <v>82.370449876281796</v>
      </c>
      <c r="AG215" s="23">
        <f>[1]节奏总纲!AG215</f>
        <v>86.955936857250023</v>
      </c>
      <c r="AH215" s="23">
        <f>[1]节奏总纲!AH215</f>
        <v>96.338718900578456</v>
      </c>
      <c r="AZ215" s="23">
        <v>212</v>
      </c>
      <c r="BA215" s="23">
        <v>43.090092042604475</v>
      </c>
      <c r="BB215" s="23">
        <v>44.585020086822361</v>
      </c>
      <c r="BC215" s="23">
        <v>46.529264334298034</v>
      </c>
      <c r="BD215" s="23">
        <v>49.278250620755983</v>
      </c>
      <c r="BE215" s="23">
        <v>50</v>
      </c>
    </row>
    <row r="216" spans="29:57" x14ac:dyDescent="0.15">
      <c r="AC216" s="23">
        <v>213</v>
      </c>
      <c r="AD216" s="23">
        <f>[1]节奏总纲!AD216</f>
        <v>77.406275272225741</v>
      </c>
      <c r="AE216" s="23">
        <f>[1]节奏总纲!AE216</f>
        <v>79.461221808872352</v>
      </c>
      <c r="AF216" s="23">
        <f>[1]节奏总纲!AF216</f>
        <v>82.436338388081793</v>
      </c>
      <c r="AG216" s="23">
        <f>[1]节奏总纲!AG216</f>
        <v>87.031203567981635</v>
      </c>
      <c r="AH216" s="23">
        <f>[1]节奏总纲!AH216</f>
        <v>96.400869089909563</v>
      </c>
      <c r="AZ216" s="23">
        <v>213</v>
      </c>
      <c r="BA216" s="23">
        <v>43.120049409352191</v>
      </c>
      <c r="BB216" s="23">
        <v>44.617339394702242</v>
      </c>
      <c r="BC216" s="23">
        <v>46.561371072329244</v>
      </c>
      <c r="BD216" s="23">
        <v>49.309240289250788</v>
      </c>
      <c r="BE216" s="23">
        <v>50</v>
      </c>
    </row>
    <row r="217" spans="29:57" x14ac:dyDescent="0.15">
      <c r="AC217" s="23">
        <v>214</v>
      </c>
      <c r="AD217" s="23">
        <f>[1]节奏总纲!AD217</f>
        <v>77.473279951875909</v>
      </c>
      <c r="AE217" s="23">
        <f>[1]节奏总纲!AE217</f>
        <v>79.527861040922772</v>
      </c>
      <c r="AF217" s="23">
        <f>[1]节奏总纲!AF217</f>
        <v>82.502226899881776</v>
      </c>
      <c r="AG217" s="23">
        <f>[1]节奏总纲!AG217</f>
        <v>87.10568246405397</v>
      </c>
      <c r="AH217" s="23">
        <f>[1]节奏总纲!AH217</f>
        <v>96.463019279240655</v>
      </c>
      <c r="AZ217" s="23">
        <v>214</v>
      </c>
      <c r="BA217" s="23">
        <v>43.150006776099914</v>
      </c>
      <c r="BB217" s="23">
        <v>44.649658702582116</v>
      </c>
      <c r="BC217" s="23">
        <v>46.593477810360454</v>
      </c>
      <c r="BD217" s="23">
        <v>49.340229957745592</v>
      </c>
      <c r="BE217" s="23">
        <v>50</v>
      </c>
    </row>
    <row r="218" spans="29:57" x14ac:dyDescent="0.15">
      <c r="AC218" s="23">
        <v>215</v>
      </c>
      <c r="AD218" s="23">
        <f>[1]节奏总纲!AD218</f>
        <v>77.540284631526092</v>
      </c>
      <c r="AE218" s="23">
        <f>[1]节奏总纲!AE218</f>
        <v>79.594500272973193</v>
      </c>
      <c r="AF218" s="23">
        <f>[1]节奏总纲!AF218</f>
        <v>82.568115411681774</v>
      </c>
      <c r="AG218" s="23">
        <f>[1]节奏总纲!AG218</f>
        <v>87.180161360126306</v>
      </c>
      <c r="AH218" s="23">
        <f>[1]节奏总纲!AH218</f>
        <v>96.525169468571761</v>
      </c>
      <c r="AZ218" s="23">
        <v>215</v>
      </c>
      <c r="BA218" s="23">
        <v>43.179964142847631</v>
      </c>
      <c r="BB218" s="23">
        <v>44.681978010461997</v>
      </c>
      <c r="BC218" s="23">
        <v>46.625584548391664</v>
      </c>
      <c r="BD218" s="23">
        <v>49.371219626240396</v>
      </c>
      <c r="BE218" s="23">
        <v>50</v>
      </c>
    </row>
    <row r="219" spans="29:57" x14ac:dyDescent="0.15">
      <c r="AC219" s="23">
        <v>216</v>
      </c>
      <c r="AD219" s="23">
        <f>[1]节奏总纲!AD219</f>
        <v>77.607289311176274</v>
      </c>
      <c r="AE219" s="23">
        <f>[1]节奏总纲!AE219</f>
        <v>79.661139505023613</v>
      </c>
      <c r="AF219" s="23">
        <f>[1]节奏总纲!AF219</f>
        <v>82.634003923481771</v>
      </c>
      <c r="AG219" s="23">
        <f>[1]节奏总纲!AG219</f>
        <v>87.254640256198641</v>
      </c>
      <c r="AH219" s="23">
        <f>[1]节奏总纲!AH219</f>
        <v>96.587319657902853</v>
      </c>
      <c r="AZ219" s="23">
        <v>216</v>
      </c>
      <c r="BA219" s="23">
        <v>43.209921509595347</v>
      </c>
      <c r="BB219" s="23">
        <v>44.71429731834187</v>
      </c>
      <c r="BC219" s="23">
        <v>46.657691286422882</v>
      </c>
      <c r="BD219" s="23">
        <v>49.402209294735208</v>
      </c>
      <c r="BE219" s="23">
        <v>50</v>
      </c>
    </row>
    <row r="220" spans="29:57" x14ac:dyDescent="0.15">
      <c r="AC220" s="23">
        <v>217</v>
      </c>
      <c r="AD220" s="23">
        <f>[1]节奏总纲!AD220</f>
        <v>77.674293990826456</v>
      </c>
      <c r="AE220" s="23">
        <f>[1]节奏总纲!AE220</f>
        <v>79.727778737074033</v>
      </c>
      <c r="AF220" s="23">
        <f>[1]节奏总纲!AF220</f>
        <v>82.699892435281754</v>
      </c>
      <c r="AG220" s="23">
        <f>[1]节奏总纲!AG220</f>
        <v>87.329119152270991</v>
      </c>
      <c r="AH220" s="23">
        <f>[1]节奏总纲!AH220</f>
        <v>96.649469847233959</v>
      </c>
      <c r="AZ220" s="23">
        <v>217</v>
      </c>
      <c r="BA220" s="23">
        <v>43.239878876343063</v>
      </c>
      <c r="BB220" s="23">
        <v>44.746616626221751</v>
      </c>
      <c r="BC220" s="23">
        <v>46.689798024454092</v>
      </c>
      <c r="BD220" s="23">
        <v>49.433198963230012</v>
      </c>
      <c r="BE220" s="23">
        <v>50</v>
      </c>
    </row>
    <row r="221" spans="29:57" x14ac:dyDescent="0.15">
      <c r="AC221" s="23">
        <v>218</v>
      </c>
      <c r="AD221" s="23">
        <f>[1]节奏总纲!AD221</f>
        <v>77.741298670476638</v>
      </c>
      <c r="AE221" s="23">
        <f>[1]节奏总纲!AE221</f>
        <v>79.794417969124453</v>
      </c>
      <c r="AF221" s="23">
        <f>[1]节奏总纲!AF221</f>
        <v>82.765780947081751</v>
      </c>
      <c r="AG221" s="23">
        <f>[1]节奏总纲!AG221</f>
        <v>87.403598048343326</v>
      </c>
      <c r="AH221" s="23">
        <f>[1]节奏总纲!AH221</f>
        <v>96.711620036565051</v>
      </c>
      <c r="AZ221" s="23">
        <v>218</v>
      </c>
      <c r="BA221" s="23">
        <v>43.269836243090786</v>
      </c>
      <c r="BB221" s="23">
        <v>44.778935934101632</v>
      </c>
      <c r="BC221" s="23">
        <v>46.721904762485302</v>
      </c>
      <c r="BD221" s="23">
        <v>49.464188631724817</v>
      </c>
      <c r="BE221" s="23">
        <v>50</v>
      </c>
    </row>
    <row r="222" spans="29:57" x14ac:dyDescent="0.15">
      <c r="AC222" s="23">
        <v>219</v>
      </c>
      <c r="AD222" s="23">
        <f>[1]节奏总纲!AD222</f>
        <v>77.80830335012682</v>
      </c>
      <c r="AE222" s="23">
        <f>[1]节奏总纲!AE222</f>
        <v>79.861057201174873</v>
      </c>
      <c r="AF222" s="23">
        <f>[1]节奏总纲!AF222</f>
        <v>82.831669458881734</v>
      </c>
      <c r="AG222" s="23">
        <f>[1]节奏总纲!AG222</f>
        <v>87.478076944415662</v>
      </c>
      <c r="AH222" s="23">
        <f>[1]节奏总纲!AH222</f>
        <v>96.773770225896158</v>
      </c>
      <c r="AZ222" s="23">
        <v>219</v>
      </c>
      <c r="BA222" s="23">
        <v>43.299793609838503</v>
      </c>
      <c r="BB222" s="23">
        <v>44.811255241981506</v>
      </c>
      <c r="BC222" s="23">
        <v>46.754011500516519</v>
      </c>
      <c r="BD222" s="23">
        <v>49.495178300219621</v>
      </c>
      <c r="BE222" s="23">
        <v>50</v>
      </c>
    </row>
    <row r="223" spans="29:57" x14ac:dyDescent="0.15">
      <c r="AC223" s="23">
        <v>220</v>
      </c>
      <c r="AD223" s="23">
        <f>[1]节奏总纲!AD223</f>
        <v>77.875308029777003</v>
      </c>
      <c r="AE223" s="23">
        <f>[1]节奏总纲!AE223</f>
        <v>79.927696433225293</v>
      </c>
      <c r="AF223" s="23">
        <f>[1]节奏总纲!AF223</f>
        <v>82.897557970681731</v>
      </c>
      <c r="AG223" s="23">
        <f>[1]节奏总纲!AG223</f>
        <v>87.552555840488012</v>
      </c>
      <c r="AH223" s="23">
        <f>[1]节奏总纲!AH223</f>
        <v>96.83592041522725</v>
      </c>
      <c r="AZ223" s="23">
        <v>220</v>
      </c>
      <c r="BA223" s="23">
        <v>43.329750976586219</v>
      </c>
      <c r="BB223" s="23">
        <v>44.843574549861387</v>
      </c>
      <c r="BC223" s="23">
        <v>46.786118238547729</v>
      </c>
      <c r="BD223" s="23">
        <v>49.526167968714425</v>
      </c>
      <c r="BE223" s="23">
        <v>50</v>
      </c>
    </row>
    <row r="224" spans="29:57" x14ac:dyDescent="0.15">
      <c r="AC224" s="23">
        <v>221</v>
      </c>
      <c r="AD224" s="23">
        <f>[1]节奏总纲!AD224</f>
        <v>77.942312709427185</v>
      </c>
      <c r="AE224" s="23">
        <f>[1]节奏总纲!AE224</f>
        <v>79.994335665275713</v>
      </c>
      <c r="AF224" s="23">
        <f>[1]节奏总纲!AF224</f>
        <v>82.963446482481729</v>
      </c>
      <c r="AG224" s="23">
        <f>[1]节奏总纲!AG224</f>
        <v>87.627034736560347</v>
      </c>
      <c r="AH224" s="23">
        <f>[1]节奏总纲!AH224</f>
        <v>96.898070604558356</v>
      </c>
      <c r="AZ224" s="23">
        <v>221</v>
      </c>
      <c r="BA224" s="23">
        <v>43.359708343333942</v>
      </c>
      <c r="BB224" s="23">
        <v>44.875893857741268</v>
      </c>
      <c r="BC224" s="23">
        <v>46.818224976578939</v>
      </c>
      <c r="BD224" s="23">
        <v>49.55715763720923</v>
      </c>
      <c r="BE224" s="23">
        <v>50</v>
      </c>
    </row>
    <row r="225" spans="29:57" x14ac:dyDescent="0.15">
      <c r="AC225" s="23">
        <v>222</v>
      </c>
      <c r="AD225" s="23">
        <f>[1]节奏总纲!AD225</f>
        <v>78.008693431404168</v>
      </c>
      <c r="AE225" s="23">
        <f>[1]节奏总纲!AE225</f>
        <v>80.05990507131493</v>
      </c>
      <c r="AF225" s="23">
        <f>[1]节奏总纲!AF225</f>
        <v>83.028328094754301</v>
      </c>
      <c r="AG225" s="23">
        <f>[1]节奏总纲!AG225</f>
        <v>87.701513632632683</v>
      </c>
      <c r="AH225" s="23">
        <f>[1]节奏总纲!AH225</f>
        <v>96.960220793889448</v>
      </c>
      <c r="AZ225" s="23">
        <v>222</v>
      </c>
      <c r="BA225" s="23">
        <v>43.389665710081658</v>
      </c>
      <c r="BB225" s="23">
        <v>44.908213165621142</v>
      </c>
      <c r="BC225" s="23">
        <v>46.850331714610157</v>
      </c>
      <c r="BD225" s="23">
        <v>49.588147305704041</v>
      </c>
      <c r="BE225" s="23">
        <v>50</v>
      </c>
    </row>
    <row r="226" spans="29:57" x14ac:dyDescent="0.15">
      <c r="AC226" s="23">
        <v>223</v>
      </c>
      <c r="AD226" s="23">
        <f>[1]节奏总纲!AD226</f>
        <v>78.071211008105138</v>
      </c>
      <c r="AE226" s="23">
        <f>[1]节奏总纲!AE226</f>
        <v>80.125375094609936</v>
      </c>
      <c r="AF226" s="23">
        <f>[1]节奏总纲!AF226</f>
        <v>83.091955037632331</v>
      </c>
      <c r="AG226" s="23">
        <f>[1]节奏总纲!AG226</f>
        <v>87.775992528705018</v>
      </c>
      <c r="AH226" s="23">
        <f>[1]节奏总纲!AH226</f>
        <v>97.020244939111976</v>
      </c>
      <c r="AZ226" s="23">
        <v>223</v>
      </c>
      <c r="BA226" s="23">
        <v>43.419623076829374</v>
      </c>
      <c r="BB226" s="23">
        <v>44.940532473501023</v>
      </c>
      <c r="BC226" s="23">
        <v>46.882438452641367</v>
      </c>
      <c r="BD226" s="23">
        <v>49.619136974198845</v>
      </c>
      <c r="BE226" s="23">
        <v>50</v>
      </c>
    </row>
    <row r="227" spans="29:57" x14ac:dyDescent="0.15">
      <c r="AC227" s="23">
        <v>224</v>
      </c>
      <c r="AD227" s="23">
        <f>[1]节奏总纲!AD227</f>
        <v>78.133728584806107</v>
      </c>
      <c r="AE227" s="23">
        <f>[1]节奏总纲!AE227</f>
        <v>80.190845117904942</v>
      </c>
      <c r="AF227" s="23">
        <f>[1]节奏总纲!AF227</f>
        <v>83.155581980510348</v>
      </c>
      <c r="AG227" s="23">
        <f>[1]节奏总纲!AG227</f>
        <v>87.850471424777368</v>
      </c>
      <c r="AH227" s="23">
        <f>[1]节奏总纲!AH227</f>
        <v>97.076488635975949</v>
      </c>
      <c r="AZ227" s="23">
        <v>224</v>
      </c>
      <c r="BA227" s="23">
        <v>43.449580443577091</v>
      </c>
      <c r="BB227" s="23">
        <v>44.972851781380903</v>
      </c>
      <c r="BC227" s="23">
        <v>46.914545190672577</v>
      </c>
      <c r="BD227" s="23">
        <v>49.65012664269365</v>
      </c>
      <c r="BE227" s="23">
        <v>50</v>
      </c>
    </row>
    <row r="228" spans="29:57" x14ac:dyDescent="0.15">
      <c r="AC228" s="23">
        <v>225</v>
      </c>
      <c r="AD228" s="23">
        <f>[1]节奏总纲!AD228</f>
        <v>78.196246161507091</v>
      </c>
      <c r="AE228" s="23">
        <f>[1]节奏总纲!AE228</f>
        <v>80.256315141199948</v>
      </c>
      <c r="AF228" s="23">
        <f>[1]节奏总纲!AF228</f>
        <v>83.219208923388379</v>
      </c>
      <c r="AG228" s="23">
        <f>[1]节奏总纲!AG228</f>
        <v>87.924950320849703</v>
      </c>
      <c r="AH228" s="23">
        <f>[1]节奏总纲!AH228</f>
        <v>97.132732332839936</v>
      </c>
      <c r="AZ228" s="23">
        <v>225</v>
      </c>
      <c r="BA228" s="23">
        <v>43.479537810324814</v>
      </c>
      <c r="BB228" s="23">
        <v>45.004463376644416</v>
      </c>
      <c r="BC228" s="23">
        <v>46.946651928703794</v>
      </c>
      <c r="BD228" s="23">
        <v>49.681116311188454</v>
      </c>
      <c r="BE228" s="23">
        <v>50</v>
      </c>
    </row>
    <row r="229" spans="29:57" x14ac:dyDescent="0.15">
      <c r="AC229" s="23">
        <v>226</v>
      </c>
      <c r="AD229" s="23">
        <f>[1]节奏总纲!AD229</f>
        <v>78.25876373820806</v>
      </c>
      <c r="AE229" s="23">
        <f>[1]节奏总纲!AE229</f>
        <v>80.321785164494941</v>
      </c>
      <c r="AF229" s="23">
        <f>[1]节奏总纲!AF229</f>
        <v>83.282835866266396</v>
      </c>
      <c r="AG229" s="23">
        <f>[1]节奏总纲!AG229</f>
        <v>87.999429216922039</v>
      </c>
      <c r="AH229" s="23">
        <f>[1]节奏总纲!AH229</f>
        <v>97.188976029703909</v>
      </c>
      <c r="AZ229" s="23">
        <v>226</v>
      </c>
      <c r="BA229" s="23">
        <v>43.50949517707253</v>
      </c>
      <c r="BB229" s="23">
        <v>45.032359480672049</v>
      </c>
      <c r="BC229" s="23">
        <v>46.978758666735004</v>
      </c>
      <c r="BD229" s="23">
        <v>49.712105979683258</v>
      </c>
      <c r="BE229" s="23">
        <v>50</v>
      </c>
    </row>
    <row r="230" spans="29:57" x14ac:dyDescent="0.15">
      <c r="AC230" s="23">
        <v>227</v>
      </c>
      <c r="AD230" s="23">
        <f>[1]节奏总纲!AD230</f>
        <v>78.321281314909029</v>
      </c>
      <c r="AE230" s="23">
        <f>[1]节奏总纲!AE230</f>
        <v>80.387255187789947</v>
      </c>
      <c r="AF230" s="23">
        <f>[1]节奏总纲!AF230</f>
        <v>83.346462809144427</v>
      </c>
      <c r="AG230" s="23">
        <f>[1]节奏总纲!AG230</f>
        <v>88.069378113045531</v>
      </c>
      <c r="AH230" s="23">
        <f>[1]节奏总纲!AH230</f>
        <v>97.245219726567882</v>
      </c>
      <c r="AZ230" s="23">
        <v>227</v>
      </c>
      <c r="BA230" s="23">
        <v>43.539452543820246</v>
      </c>
      <c r="BB230" s="23">
        <v>45.060255584699682</v>
      </c>
      <c r="BC230" s="23">
        <v>47.009379755645142</v>
      </c>
      <c r="BD230" s="23">
        <v>49.743095648178063</v>
      </c>
      <c r="BE230" s="23">
        <v>50</v>
      </c>
    </row>
    <row r="231" spans="29:57" x14ac:dyDescent="0.15">
      <c r="AC231" s="23">
        <v>228</v>
      </c>
      <c r="AD231" s="23">
        <f>[1]节奏总纲!AD231</f>
        <v>78.383798891610013</v>
      </c>
      <c r="AE231" s="23">
        <f>[1]节奏总纲!AE231</f>
        <v>80.452725211084953</v>
      </c>
      <c r="AF231" s="23">
        <f>[1]节奏总纲!AF231</f>
        <v>83.410089752022458</v>
      </c>
      <c r="AG231" s="23">
        <f>[1]节奏总纲!AG231</f>
        <v>88.139292024548126</v>
      </c>
      <c r="AH231" s="23">
        <f>[1]节奏总纲!AH231</f>
        <v>97.301463423431869</v>
      </c>
      <c r="AZ231" s="23">
        <v>228</v>
      </c>
      <c r="BA231" s="23">
        <v>43.569409910567963</v>
      </c>
      <c r="BB231" s="23">
        <v>45.088151688727308</v>
      </c>
      <c r="BC231" s="23">
        <v>47.037096473409001</v>
      </c>
      <c r="BD231" s="23">
        <v>49.774085316672867</v>
      </c>
      <c r="BE231" s="23">
        <v>50</v>
      </c>
    </row>
    <row r="232" spans="29:57" x14ac:dyDescent="0.15">
      <c r="AC232" s="23">
        <v>229</v>
      </c>
      <c r="AD232" s="23">
        <f>[1]节奏总纲!AD232</f>
        <v>78.446316468310982</v>
      </c>
      <c r="AE232" s="23">
        <f>[1]节奏总纲!AE232</f>
        <v>80.518195234379959</v>
      </c>
      <c r="AF232" s="23">
        <f>[1]节奏总纲!AF232</f>
        <v>83.473716694900475</v>
      </c>
      <c r="AG232" s="23">
        <f>[1]节奏总纲!AG232</f>
        <v>88.209205936050708</v>
      </c>
      <c r="AH232" s="23">
        <f>[1]节奏总纲!AH232</f>
        <v>97.357707120295842</v>
      </c>
      <c r="AZ232" s="23">
        <v>229</v>
      </c>
      <c r="BA232" s="23">
        <v>43.599367277315686</v>
      </c>
      <c r="BB232" s="23">
        <v>45.116047792754941</v>
      </c>
      <c r="BC232" s="23">
        <v>47.06481319117286</v>
      </c>
      <c r="BD232" s="23">
        <v>49.805074985167678</v>
      </c>
      <c r="BE232" s="23">
        <v>50</v>
      </c>
    </row>
    <row r="233" spans="29:57" x14ac:dyDescent="0.15">
      <c r="AC233" s="23">
        <v>230</v>
      </c>
      <c r="AD233" s="23">
        <f>[1]节奏总纲!AD233</f>
        <v>78.508834045011952</v>
      </c>
      <c r="AE233" s="23">
        <f>[1]节奏总纲!AE233</f>
        <v>80.583665257674966</v>
      </c>
      <c r="AF233" s="23">
        <f>[1]节奏总纲!AF233</f>
        <v>83.537343637778505</v>
      </c>
      <c r="AG233" s="23">
        <f>[1]节奏总纲!AG233</f>
        <v>88.279119847553304</v>
      </c>
      <c r="AH233" s="23">
        <f>[1]节奏总纲!AH233</f>
        <v>97.413950817159815</v>
      </c>
      <c r="AZ233" s="23">
        <v>230</v>
      </c>
      <c r="BA233" s="23">
        <v>43.629324644063402</v>
      </c>
      <c r="BB233" s="23">
        <v>45.143943896782567</v>
      </c>
      <c r="BC233" s="23">
        <v>47.092529908936719</v>
      </c>
      <c r="BD233" s="23">
        <v>49.836064653662483</v>
      </c>
      <c r="BE233" s="23">
        <v>50</v>
      </c>
    </row>
    <row r="234" spans="29:57" x14ac:dyDescent="0.15">
      <c r="AC234" s="23">
        <v>231</v>
      </c>
      <c r="AD234" s="23">
        <f>[1]节奏总纲!AD234</f>
        <v>78.571351621712921</v>
      </c>
      <c r="AE234" s="23">
        <f>[1]节奏总纲!AE234</f>
        <v>80.649135280969972</v>
      </c>
      <c r="AF234" s="23">
        <f>[1]节奏总纲!AF234</f>
        <v>83.600970580656536</v>
      </c>
      <c r="AG234" s="23">
        <f>[1]节奏总纲!AG234</f>
        <v>88.349033759055899</v>
      </c>
      <c r="AH234" s="23">
        <f>[1]节奏总纲!AH234</f>
        <v>97.470194514023802</v>
      </c>
      <c r="AZ234" s="23">
        <v>231</v>
      </c>
      <c r="BA234" s="23">
        <v>43.659282010811118</v>
      </c>
      <c r="BB234" s="23">
        <v>45.171840000810199</v>
      </c>
      <c r="BC234" s="23">
        <v>47.120246626700578</v>
      </c>
      <c r="BD234" s="23">
        <v>49.867054322157287</v>
      </c>
      <c r="BE234" s="23">
        <v>50</v>
      </c>
    </row>
    <row r="235" spans="29:57" x14ac:dyDescent="0.15">
      <c r="AC235" s="23">
        <v>232</v>
      </c>
      <c r="AD235" s="23">
        <f>[1]节奏总纲!AD235</f>
        <v>78.633869198413905</v>
      </c>
      <c r="AE235" s="23">
        <f>[1]节奏总纲!AE235</f>
        <v>80.714605304264978</v>
      </c>
      <c r="AF235" s="23">
        <f>[1]节奏总纲!AF235</f>
        <v>83.664597523534553</v>
      </c>
      <c r="AG235" s="23">
        <f>[1]节奏总纲!AG235</f>
        <v>88.418947670558495</v>
      </c>
      <c r="AH235" s="23">
        <f>[1]节奏总纲!AH235</f>
        <v>97.526438210887775</v>
      </c>
      <c r="AZ235" s="23">
        <v>232</v>
      </c>
      <c r="BA235" s="23">
        <v>43.689239377558835</v>
      </c>
      <c r="BB235" s="23">
        <v>45.199736104837825</v>
      </c>
      <c r="BC235" s="23">
        <v>47.147963344464429</v>
      </c>
      <c r="BD235" s="23">
        <v>49.898043990652091</v>
      </c>
      <c r="BE235" s="23">
        <v>50</v>
      </c>
    </row>
    <row r="236" spans="29:57" x14ac:dyDescent="0.15">
      <c r="AC236" s="23">
        <v>233</v>
      </c>
      <c r="AD236" s="23">
        <f>[1]节奏总纲!AD236</f>
        <v>78.696386775114874</v>
      </c>
      <c r="AE236" s="23">
        <f>[1]节奏总纲!AE236</f>
        <v>80.78007532755997</v>
      </c>
      <c r="AF236" s="23">
        <f>[1]节奏总纲!AF236</f>
        <v>83.728224466412584</v>
      </c>
      <c r="AG236" s="23">
        <f>[1]节奏总纲!AG236</f>
        <v>88.488861582061077</v>
      </c>
      <c r="AH236" s="23">
        <f>[1]节奏总纲!AH236</f>
        <v>97.582681907751748</v>
      </c>
      <c r="AZ236" s="23">
        <v>233</v>
      </c>
      <c r="BA236" s="23">
        <v>43.719196744306558</v>
      </c>
      <c r="BB236" s="23">
        <v>45.227632208865458</v>
      </c>
      <c r="BC236" s="23">
        <v>47.175680062228288</v>
      </c>
      <c r="BD236" s="23">
        <v>49.929033659146896</v>
      </c>
      <c r="BE236" s="23">
        <v>50</v>
      </c>
    </row>
    <row r="237" spans="29:57" x14ac:dyDescent="0.15">
      <c r="AC237" s="23">
        <v>234</v>
      </c>
      <c r="AD237" s="23">
        <f>[1]节奏总纲!AD237</f>
        <v>78.758904351815843</v>
      </c>
      <c r="AE237" s="23">
        <f>[1]节奏总纲!AE237</f>
        <v>80.845545350854977</v>
      </c>
      <c r="AF237" s="23">
        <f>[1]节奏总纲!AF237</f>
        <v>83.791851409290615</v>
      </c>
      <c r="AG237" s="23">
        <f>[1]节奏总纲!AG237</f>
        <v>88.558775493563672</v>
      </c>
      <c r="AH237" s="23">
        <f>[1]节奏总纲!AH237</f>
        <v>97.638925604615736</v>
      </c>
      <c r="AZ237" s="23">
        <v>234</v>
      </c>
      <c r="BA237" s="23">
        <v>43.749154111054274</v>
      </c>
      <c r="BB237" s="23">
        <v>45.255528312893091</v>
      </c>
      <c r="BC237" s="23">
        <v>47.203396779992147</v>
      </c>
      <c r="BD237" s="23">
        <v>49.9600233276417</v>
      </c>
      <c r="BE237" s="23">
        <v>50</v>
      </c>
    </row>
    <row r="238" spans="29:57" x14ac:dyDescent="0.15">
      <c r="AC238" s="23">
        <v>235</v>
      </c>
      <c r="AD238" s="23">
        <f>[1]节奏总纲!AD238</f>
        <v>78.821421928516827</v>
      </c>
      <c r="AE238" s="23">
        <f>[1]节奏总纲!AE238</f>
        <v>80.911015374149983</v>
      </c>
      <c r="AF238" s="23">
        <f>[1]节奏总纲!AF238</f>
        <v>83.855478352168632</v>
      </c>
      <c r="AG238" s="23">
        <f>[1]节奏总纲!AG238</f>
        <v>88.628689405066268</v>
      </c>
      <c r="AH238" s="23">
        <f>[1]节奏总纲!AH238</f>
        <v>97.695169301479709</v>
      </c>
      <c r="AZ238" s="23">
        <v>235</v>
      </c>
      <c r="BA238" s="23">
        <v>43.77911147780199</v>
      </c>
      <c r="BB238" s="23">
        <v>45.283424416920717</v>
      </c>
      <c r="BC238" s="23">
        <v>47.231113497756006</v>
      </c>
      <c r="BD238" s="23">
        <v>49.991012996136504</v>
      </c>
      <c r="BE238" s="23">
        <v>50</v>
      </c>
    </row>
    <row r="239" spans="29:57" x14ac:dyDescent="0.15">
      <c r="AC239" s="23">
        <v>236</v>
      </c>
      <c r="AD239" s="23">
        <f>[1]节奏总纲!AD239</f>
        <v>78.883939505217796</v>
      </c>
      <c r="AE239" s="23">
        <f>[1]节奏总纲!AE239</f>
        <v>80.976485397444989</v>
      </c>
      <c r="AF239" s="23">
        <f>[1]节奏总纲!AF239</f>
        <v>83.919105295046663</v>
      </c>
      <c r="AG239" s="23">
        <f>[1]节奏总纲!AG239</f>
        <v>88.698603316568864</v>
      </c>
      <c r="AH239" s="23">
        <f>[1]节奏总纲!AH239</f>
        <v>97.751412998343696</v>
      </c>
      <c r="AZ239" s="23">
        <v>236</v>
      </c>
      <c r="BA239" s="23">
        <v>43.809068844549707</v>
      </c>
      <c r="BB239" s="23">
        <v>45.31132052094835</v>
      </c>
      <c r="BC239" s="23">
        <v>47.258830215519865</v>
      </c>
      <c r="BD239" s="23">
        <v>50</v>
      </c>
      <c r="BE239" s="23">
        <v>50</v>
      </c>
    </row>
    <row r="240" spans="29:57" x14ac:dyDescent="0.15">
      <c r="AC240" s="23">
        <v>237</v>
      </c>
      <c r="AD240" s="23">
        <f>[1]节奏总纲!AD240</f>
        <v>78.946457081918766</v>
      </c>
      <c r="AE240" s="23">
        <f>[1]节奏总纲!AE240</f>
        <v>81.038163244467697</v>
      </c>
      <c r="AF240" s="23">
        <f>[1]节奏总纲!AF240</f>
        <v>83.982732237924694</v>
      </c>
      <c r="AG240" s="23">
        <f>[1]节奏总纲!AG240</f>
        <v>88.768517228071445</v>
      </c>
      <c r="AH240" s="23">
        <f>[1]节奏总纲!AH240</f>
        <v>97.807656695207669</v>
      </c>
      <c r="AZ240" s="23">
        <v>237</v>
      </c>
      <c r="BA240" s="23">
        <v>43.83902621129743</v>
      </c>
      <c r="BB240" s="23">
        <v>45.339216624975975</v>
      </c>
      <c r="BC240" s="23">
        <v>47.286546933283724</v>
      </c>
      <c r="BD240" s="23">
        <v>50</v>
      </c>
      <c r="BE240" s="23">
        <v>50</v>
      </c>
    </row>
    <row r="241" spans="29:57" x14ac:dyDescent="0.15">
      <c r="AC241" s="23">
        <v>238</v>
      </c>
      <c r="AD241" s="23">
        <f>[1]节奏总纲!AD241</f>
        <v>79.008373652580005</v>
      </c>
      <c r="AE241" s="23">
        <f>[1]节奏总纲!AE241</f>
        <v>81.097715704203424</v>
      </c>
      <c r="AF241" s="23">
        <f>[1]节奏总纲!AF241</f>
        <v>84.043767921022209</v>
      </c>
      <c r="AG241" s="23">
        <f>[1]节奏总纲!AG241</f>
        <v>88.838431139574041</v>
      </c>
      <c r="AH241" s="23">
        <f>[1]节奏总纲!AH241</f>
        <v>97.863900392071642</v>
      </c>
      <c r="AZ241" s="23">
        <v>238</v>
      </c>
      <c r="BA241" s="23">
        <v>43.868983578045146</v>
      </c>
      <c r="BB241" s="23">
        <v>45.367112729003608</v>
      </c>
      <c r="BC241" s="23">
        <v>47.314263651047582</v>
      </c>
      <c r="BD241" s="23">
        <v>50</v>
      </c>
      <c r="BE241" s="23">
        <v>50</v>
      </c>
    </row>
    <row r="242" spans="29:57" x14ac:dyDescent="0.15">
      <c r="AC242" s="23">
        <v>239</v>
      </c>
      <c r="AD242" s="23">
        <f>[1]节奏总纲!AD242</f>
        <v>79.066704614192943</v>
      </c>
      <c r="AE242" s="23">
        <f>[1]节奏总纲!AE242</f>
        <v>81.157268163939136</v>
      </c>
      <c r="AF242" s="23">
        <f>[1]节奏总纲!AF242</f>
        <v>84.103838417578672</v>
      </c>
      <c r="AG242" s="23">
        <f>[1]节奏总纲!AG242</f>
        <v>88.908345051076637</v>
      </c>
      <c r="AH242" s="23">
        <f>[1]节奏总纲!AH242</f>
        <v>97.920144088935629</v>
      </c>
      <c r="AZ242" s="23">
        <v>239</v>
      </c>
      <c r="BA242" s="23">
        <v>43.898940944792862</v>
      </c>
      <c r="BB242" s="23">
        <v>45.395008833031234</v>
      </c>
      <c r="BC242" s="23">
        <v>47.341980368811441</v>
      </c>
      <c r="BD242" s="23">
        <v>50</v>
      </c>
      <c r="BE242" s="23">
        <v>50</v>
      </c>
    </row>
    <row r="243" spans="29:57" x14ac:dyDescent="0.15">
      <c r="AC243" s="23">
        <v>240</v>
      </c>
      <c r="AD243" s="23">
        <f>[1]节奏总纲!AD243</f>
        <v>79.125035575805882</v>
      </c>
      <c r="AE243" s="23">
        <f>[1]节奏总纲!AE243</f>
        <v>81.216820623674849</v>
      </c>
      <c r="AF243" s="23">
        <f>[1]节奏总纲!AF243</f>
        <v>84.163908914135135</v>
      </c>
      <c r="AG243" s="23">
        <f>[1]节奏总纲!AG243</f>
        <v>88.978258962579233</v>
      </c>
      <c r="AH243" s="23">
        <f>[1]节奏总纲!AH243</f>
        <v>97.976387785799602</v>
      </c>
      <c r="AZ243" s="23">
        <v>240</v>
      </c>
      <c r="BA243" s="23">
        <v>43.928898311540586</v>
      </c>
      <c r="BB243" s="23">
        <v>45.422904937058867</v>
      </c>
      <c r="BC243" s="23">
        <v>47.3696970865753</v>
      </c>
      <c r="BD243" s="23">
        <v>50</v>
      </c>
      <c r="BE243" s="23">
        <v>50</v>
      </c>
    </row>
    <row r="244" spans="29:57" x14ac:dyDescent="0.15">
      <c r="AC244" s="23">
        <v>241</v>
      </c>
      <c r="AD244" s="23">
        <f>[1]节奏总纲!AD244</f>
        <v>79.18336653741882</v>
      </c>
      <c r="AE244" s="23">
        <f>[1]节奏总纲!AE244</f>
        <v>81.276373083410562</v>
      </c>
      <c r="AF244" s="23">
        <f>[1]节奏总纲!AF244</f>
        <v>84.223979410691598</v>
      </c>
      <c r="AG244" s="23">
        <f>[1]节奏总纲!AG244</f>
        <v>89.047272179270863</v>
      </c>
      <c r="AH244" s="23">
        <f>[1]节奏总纲!AH244</f>
        <v>98.03453879727887</v>
      </c>
      <c r="AZ244" s="23">
        <v>241</v>
      </c>
      <c r="BA244" s="23">
        <v>43.958855678288302</v>
      </c>
      <c r="BB244" s="23">
        <v>45.450801041086493</v>
      </c>
      <c r="BC244" s="23">
        <v>47.397413804339159</v>
      </c>
      <c r="BD244" s="23">
        <v>50</v>
      </c>
      <c r="BE244" s="23">
        <v>50</v>
      </c>
    </row>
    <row r="245" spans="29:57" x14ac:dyDescent="0.15">
      <c r="AC245" s="23">
        <v>242</v>
      </c>
      <c r="AD245" s="23">
        <f>[1]节奏总纲!AD245</f>
        <v>79.241697499031773</v>
      </c>
      <c r="AE245" s="23">
        <f>[1]节奏总纲!AE245</f>
        <v>81.335925543146274</v>
      </c>
      <c r="AF245" s="23">
        <f>[1]节奏总纲!AF245</f>
        <v>84.284049907248061</v>
      </c>
      <c r="AG245" s="23">
        <f>[1]节奏总纲!AG245</f>
        <v>89.11587890081428</v>
      </c>
      <c r="AH245" s="23">
        <f>[1]节奏总纲!AH245</f>
        <v>98.09406994590077</v>
      </c>
      <c r="AZ245" s="23">
        <v>242</v>
      </c>
      <c r="BA245" s="23">
        <v>43.988813045036018</v>
      </c>
      <c r="BB245" s="23">
        <v>45.478697145114126</v>
      </c>
      <c r="BC245" s="23">
        <v>47.425130522103018</v>
      </c>
      <c r="BD245" s="23">
        <v>50</v>
      </c>
      <c r="BE245" s="23">
        <v>50</v>
      </c>
    </row>
    <row r="246" spans="29:57" x14ac:dyDescent="0.15">
      <c r="AC246" s="23">
        <v>243</v>
      </c>
      <c r="AD246" s="23">
        <f>[1]节奏总纲!AD246</f>
        <v>79.300028460644711</v>
      </c>
      <c r="AE246" s="23">
        <f>[1]节奏总纲!AE246</f>
        <v>81.395478002882001</v>
      </c>
      <c r="AF246" s="23">
        <f>[1]节奏总纲!AF246</f>
        <v>84.344120403804524</v>
      </c>
      <c r="AG246" s="23">
        <f>[1]节奏总纲!AG246</f>
        <v>89.184485622357698</v>
      </c>
      <c r="AH246" s="23">
        <f>[1]节奏总纲!AH246</f>
        <v>98.153601094522671</v>
      </c>
      <c r="AZ246" s="23">
        <v>243</v>
      </c>
      <c r="BA246" s="23">
        <v>44.016200268136501</v>
      </c>
      <c r="BB246" s="23">
        <v>45.506593249141758</v>
      </c>
      <c r="BC246" s="23">
        <v>47.452847239866877</v>
      </c>
      <c r="BD246" s="23">
        <v>50</v>
      </c>
      <c r="BE246" s="23">
        <v>50</v>
      </c>
    </row>
    <row r="247" spans="29:57" x14ac:dyDescent="0.15">
      <c r="AC247" s="23">
        <v>244</v>
      </c>
      <c r="AD247" s="23">
        <f>[1]节奏总纲!AD247</f>
        <v>79.358359422257649</v>
      </c>
      <c r="AE247" s="23">
        <f>[1]节奏总纲!AE247</f>
        <v>81.455030462617714</v>
      </c>
      <c r="AF247" s="23">
        <f>[1]节奏总纲!AF247</f>
        <v>84.404190900360987</v>
      </c>
      <c r="AG247" s="23">
        <f>[1]节奏总纲!AG247</f>
        <v>89.253092343901116</v>
      </c>
      <c r="AH247" s="23">
        <f>[1]节奏总纲!AH247</f>
        <v>98.213132243144585</v>
      </c>
      <c r="AZ247" s="23">
        <v>244</v>
      </c>
      <c r="BA247" s="23">
        <v>44.042055714440401</v>
      </c>
      <c r="BB247" s="23">
        <v>45.534489353169384</v>
      </c>
      <c r="BC247" s="23">
        <v>47.480563957630736</v>
      </c>
      <c r="BD247" s="23">
        <v>50</v>
      </c>
      <c r="BE247" s="23">
        <v>50</v>
      </c>
    </row>
    <row r="248" spans="29:57" x14ac:dyDescent="0.15">
      <c r="AC248" s="23">
        <v>245</v>
      </c>
      <c r="AD248" s="23">
        <f>[1]节奏总纲!AD248</f>
        <v>79.416690383870588</v>
      </c>
      <c r="AE248" s="23">
        <f>[1]节奏总纲!AE248</f>
        <v>81.514582922353426</v>
      </c>
      <c r="AF248" s="23">
        <f>[1]节奏总纲!AF248</f>
        <v>84.46426139691745</v>
      </c>
      <c r="AG248" s="23">
        <f>[1]节奏总纲!AG248</f>
        <v>89.321699065444534</v>
      </c>
      <c r="AH248" s="23">
        <f>[1]节奏总纲!AH248</f>
        <v>98.272663391766486</v>
      </c>
      <c r="AZ248" s="23">
        <v>245</v>
      </c>
      <c r="BA248" s="23">
        <v>44.067911160744309</v>
      </c>
      <c r="BB248" s="23">
        <v>45.562385457197017</v>
      </c>
      <c r="BC248" s="23">
        <v>47.508280675394595</v>
      </c>
      <c r="BD248" s="23">
        <v>50</v>
      </c>
      <c r="BE248" s="23">
        <v>50</v>
      </c>
    </row>
    <row r="249" spans="29:57" x14ac:dyDescent="0.15">
      <c r="AC249" s="23">
        <v>246</v>
      </c>
      <c r="AD249" s="23">
        <f>[1]节奏总纲!AD249</f>
        <v>79.475021345483526</v>
      </c>
      <c r="AE249" s="23">
        <f>[1]节奏总纲!AE249</f>
        <v>81.574135382089139</v>
      </c>
      <c r="AF249" s="23">
        <f>[1]节奏总纲!AF249</f>
        <v>84.524331893473914</v>
      </c>
      <c r="AG249" s="23">
        <f>[1]节奏总纲!AG249</f>
        <v>89.390305786987952</v>
      </c>
      <c r="AH249" s="23">
        <f>[1]节奏总纲!AH249</f>
        <v>98.3321945403884</v>
      </c>
      <c r="AZ249" s="23">
        <v>246</v>
      </c>
      <c r="BA249" s="23">
        <v>44.093766607048209</v>
      </c>
      <c r="BB249" s="23">
        <v>45.590281561224643</v>
      </c>
      <c r="BC249" s="23">
        <v>47.535997393158453</v>
      </c>
      <c r="BD249" s="23">
        <v>50</v>
      </c>
      <c r="BE249" s="23">
        <v>50</v>
      </c>
    </row>
    <row r="250" spans="29:57" x14ac:dyDescent="0.15">
      <c r="AC250" s="23">
        <v>247</v>
      </c>
      <c r="AD250" s="23">
        <f>[1]节奏总纲!AD250</f>
        <v>79.533352307096465</v>
      </c>
      <c r="AE250" s="23">
        <f>[1]节奏总纲!AE250</f>
        <v>81.633687841824852</v>
      </c>
      <c r="AF250" s="23">
        <f>[1]节奏总纲!AF250</f>
        <v>84.584402390030377</v>
      </c>
      <c r="AG250" s="23">
        <f>[1]节奏总纲!AG250</f>
        <v>89.45891250853137</v>
      </c>
      <c r="AH250" s="23">
        <f>[1]节奏总纲!AH250</f>
        <v>98.3917256890103</v>
      </c>
      <c r="AZ250" s="23">
        <v>247</v>
      </c>
      <c r="BA250" s="23">
        <v>44.11962205335211</v>
      </c>
      <c r="BB250" s="23">
        <v>45.618177665252276</v>
      </c>
      <c r="BC250" s="23">
        <v>47.563714110922312</v>
      </c>
      <c r="BD250" s="23">
        <v>50</v>
      </c>
      <c r="BE250" s="23">
        <v>50</v>
      </c>
    </row>
    <row r="251" spans="29:57" x14ac:dyDescent="0.15">
      <c r="AC251" s="23">
        <v>248</v>
      </c>
      <c r="AD251" s="23">
        <f>[1]节奏总纲!AD251</f>
        <v>79.591683268709417</v>
      </c>
      <c r="AE251" s="23">
        <f>[1]节奏总纲!AE251</f>
        <v>81.693240301560579</v>
      </c>
      <c r="AF251" s="23">
        <f>[1]节奏总纲!AF251</f>
        <v>84.64447288658684</v>
      </c>
      <c r="AG251" s="23">
        <f>[1]节奏总纲!AG251</f>
        <v>89.527519230074788</v>
      </c>
      <c r="AH251" s="23">
        <f>[1]节奏总纲!AH251</f>
        <v>98.451256837632201</v>
      </c>
      <c r="AZ251" s="23">
        <v>248</v>
      </c>
      <c r="BA251" s="23">
        <v>44.145477499656018</v>
      </c>
      <c r="BB251" s="23">
        <v>45.646073769279901</v>
      </c>
      <c r="BC251" s="23">
        <v>47.591430828686171</v>
      </c>
      <c r="BD251" s="23">
        <v>50</v>
      </c>
      <c r="BE251" s="23">
        <v>50</v>
      </c>
    </row>
    <row r="252" spans="29:57" x14ac:dyDescent="0.15">
      <c r="AC252" s="23">
        <v>249</v>
      </c>
      <c r="AD252" s="23">
        <f>[1]节奏总纲!AD252</f>
        <v>79.650014230322356</v>
      </c>
      <c r="AE252" s="23">
        <f>[1]节奏总纲!AE252</f>
        <v>81.752792761296291</v>
      </c>
      <c r="AF252" s="23">
        <f>[1]节奏总纲!AF252</f>
        <v>84.704543383143317</v>
      </c>
      <c r="AG252" s="23">
        <f>[1]节奏总纲!AG252</f>
        <v>89.596125951618205</v>
      </c>
      <c r="AH252" s="23">
        <f>[1]节奏总纲!AH252</f>
        <v>98.510787986254115</v>
      </c>
      <c r="AZ252" s="23">
        <v>249</v>
      </c>
      <c r="BA252" s="23">
        <v>44.171332945959918</v>
      </c>
      <c r="BB252" s="23">
        <v>45.673969873307534</v>
      </c>
      <c r="BC252" s="23">
        <v>47.61914754645003</v>
      </c>
      <c r="BD252" s="23">
        <v>50</v>
      </c>
      <c r="BE252" s="23">
        <v>50</v>
      </c>
    </row>
    <row r="253" spans="29:57" x14ac:dyDescent="0.15">
      <c r="AC253" s="23">
        <v>250</v>
      </c>
      <c r="AD253" s="23">
        <f>[1]节奏总纲!AD253</f>
        <v>79.708345191935294</v>
      </c>
      <c r="AE253" s="23">
        <f>[1]节奏总纲!AE253</f>
        <v>81.812345221032004</v>
      </c>
      <c r="AF253" s="23">
        <f>[1]节奏总纲!AF253</f>
        <v>84.76461387969978</v>
      </c>
      <c r="AG253" s="23">
        <f>[1]节奏总纲!AG253</f>
        <v>89.664732673161623</v>
      </c>
      <c r="AH253" s="23">
        <f>[1]节奏总纲!AH253</f>
        <v>98.570319134876016</v>
      </c>
      <c r="AZ253" s="23">
        <v>250</v>
      </c>
      <c r="BA253" s="23">
        <v>44.197188392263818</v>
      </c>
      <c r="BB253" s="23">
        <v>45.701865977335167</v>
      </c>
      <c r="BC253" s="23">
        <v>47.646864264213889</v>
      </c>
      <c r="BD253" s="23">
        <v>50</v>
      </c>
      <c r="BE253" s="23">
        <v>50</v>
      </c>
    </row>
    <row r="254" spans="29:57" x14ac:dyDescent="0.15">
      <c r="AC254" s="23">
        <v>251</v>
      </c>
      <c r="AD254" s="23">
        <f>[1]节奏总纲!AD254</f>
        <v>79.766676153548232</v>
      </c>
      <c r="AE254" s="23">
        <f>[1]节奏总纲!AE254</f>
        <v>81.871897680767717</v>
      </c>
      <c r="AF254" s="23">
        <f>[1]节奏总纲!AF254</f>
        <v>84.824684376256243</v>
      </c>
      <c r="AG254" s="23">
        <f>[1]节奏总纲!AG254</f>
        <v>89.733339394705041</v>
      </c>
      <c r="AH254" s="23">
        <f>[1]节奏总纲!AH254</f>
        <v>98.629850283497916</v>
      </c>
      <c r="AZ254" s="23">
        <v>251</v>
      </c>
      <c r="BA254" s="23">
        <v>44.223043838567726</v>
      </c>
      <c r="BB254" s="23">
        <v>45.729762081362793</v>
      </c>
      <c r="BC254" s="23">
        <v>47.674580981977748</v>
      </c>
      <c r="BD254" s="23">
        <v>50</v>
      </c>
      <c r="BE254" s="23">
        <v>50</v>
      </c>
    </row>
    <row r="255" spans="29:57" x14ac:dyDescent="0.15">
      <c r="AC255" s="23">
        <v>252</v>
      </c>
      <c r="AD255" s="23">
        <f>[1]节奏总纲!AD255</f>
        <v>79.825007115161171</v>
      </c>
      <c r="AE255" s="23">
        <f>[1]节奏总纲!AE255</f>
        <v>81.931450140503429</v>
      </c>
      <c r="AF255" s="23">
        <f>[1]节奏总纲!AF255</f>
        <v>84.884754872812707</v>
      </c>
      <c r="AG255" s="23">
        <f>[1]节奏总纲!AG255</f>
        <v>89.801946116248459</v>
      </c>
      <c r="AH255" s="23">
        <f>[1]节奏总纲!AH255</f>
        <v>98.689381432119831</v>
      </c>
      <c r="AZ255" s="23">
        <v>252</v>
      </c>
      <c r="BA255" s="23">
        <v>44.248899284871626</v>
      </c>
      <c r="BB255" s="23">
        <v>45.757658185390426</v>
      </c>
      <c r="BC255" s="23">
        <v>47.7022976997416</v>
      </c>
      <c r="BD255" s="23">
        <v>50</v>
      </c>
      <c r="BE255" s="23">
        <v>50</v>
      </c>
    </row>
    <row r="256" spans="29:57" x14ac:dyDescent="0.15">
      <c r="AC256" s="23">
        <v>253</v>
      </c>
      <c r="AD256" s="23">
        <f>[1]节奏总纲!AD256</f>
        <v>79.883338076774123</v>
      </c>
      <c r="AE256" s="23">
        <f>[1]节奏总纲!AE256</f>
        <v>81.991002600239142</v>
      </c>
      <c r="AF256" s="23">
        <f>[1]节奏总纲!AF256</f>
        <v>84.94482536936917</v>
      </c>
      <c r="AG256" s="23">
        <f>[1]节奏总纲!AG256</f>
        <v>89.870552837791877</v>
      </c>
      <c r="AH256" s="23">
        <f>[1]节奏总纲!AH256</f>
        <v>98.748912580741731</v>
      </c>
      <c r="AZ256" s="23">
        <v>253</v>
      </c>
      <c r="BA256" s="23">
        <v>44.274754731175527</v>
      </c>
      <c r="BB256" s="23">
        <v>45.785554289418052</v>
      </c>
      <c r="BC256" s="23">
        <v>47.730014417505458</v>
      </c>
      <c r="BD256" s="23">
        <v>50</v>
      </c>
      <c r="BE256" s="23">
        <v>50</v>
      </c>
    </row>
    <row r="257" spans="29:57" x14ac:dyDescent="0.15">
      <c r="AC257" s="23">
        <v>254</v>
      </c>
      <c r="AD257" s="23">
        <f>[1]节奏总纲!AD257</f>
        <v>79.941669038387062</v>
      </c>
      <c r="AE257" s="23">
        <f>[1]节奏总纲!AE257</f>
        <v>82.046165327855846</v>
      </c>
      <c r="AF257" s="23">
        <f>[1]节奏总纲!AF257</f>
        <v>85.004450307848032</v>
      </c>
      <c r="AG257" s="23">
        <f>[1]节奏总纲!AG257</f>
        <v>89.939159559335295</v>
      </c>
      <c r="AH257" s="23">
        <f>[1]节奏总纲!AH257</f>
        <v>98.808443729363646</v>
      </c>
      <c r="AZ257" s="23">
        <v>254</v>
      </c>
      <c r="BA257" s="23">
        <v>44.300610177479435</v>
      </c>
      <c r="BB257" s="23">
        <v>45.813450393445684</v>
      </c>
      <c r="BC257" s="23">
        <v>47.757731135269317</v>
      </c>
      <c r="BD257" s="23">
        <v>50</v>
      </c>
      <c r="BE257" s="23">
        <v>50</v>
      </c>
    </row>
    <row r="258" spans="29:57" x14ac:dyDescent="0.15">
      <c r="AC258" s="23">
        <v>255</v>
      </c>
      <c r="AD258" s="23">
        <f>[1]节奏总纲!AD258</f>
        <v>80</v>
      </c>
      <c r="AE258" s="23">
        <f>[1]节奏总纲!AE258</f>
        <v>82.100546804797787</v>
      </c>
      <c r="AF258" s="23">
        <f>[1]节奏总纲!AF258</f>
        <v>85.059053968634842</v>
      </c>
      <c r="AG258" s="23">
        <f>[1]节奏总纲!AG258</f>
        <v>90.006385600230558</v>
      </c>
      <c r="AH258" s="23">
        <f>[1]节奏总纲!AH258</f>
        <v>98.867974877985546</v>
      </c>
      <c r="AZ258" s="23">
        <v>255</v>
      </c>
      <c r="BA258" s="23">
        <v>44.326465623783335</v>
      </c>
      <c r="BB258" s="23">
        <v>45.84134649747331</v>
      </c>
      <c r="BC258" s="23">
        <v>47.785447853033176</v>
      </c>
      <c r="BD258" s="23">
        <v>50</v>
      </c>
      <c r="BE258" s="23">
        <v>50</v>
      </c>
    </row>
    <row r="259" spans="29:57" x14ac:dyDescent="0.15">
      <c r="AC259" s="23">
        <v>256</v>
      </c>
      <c r="AD259" s="23">
        <f>[1]节奏总纲!AD259</f>
        <v>80.054424711612938</v>
      </c>
      <c r="AE259" s="23">
        <f>[1]节奏总纲!AE259</f>
        <v>82.154928281739714</v>
      </c>
      <c r="AF259" s="23">
        <f>[1]节奏总纲!AF259</f>
        <v>85.113657629421638</v>
      </c>
      <c r="AG259" s="23">
        <f>[1]节奏总纲!AG259</f>
        <v>90.062795496260307</v>
      </c>
      <c r="AH259" s="23">
        <f>[1]节奏总纲!AH259</f>
        <v>98.927506026607446</v>
      </c>
      <c r="AZ259" s="23">
        <v>256</v>
      </c>
      <c r="BA259" s="23">
        <v>44.352321070087235</v>
      </c>
      <c r="BB259" s="23">
        <v>45.869242601500943</v>
      </c>
      <c r="BC259" s="23">
        <v>47.813164570797035</v>
      </c>
      <c r="BD259" s="23">
        <v>50</v>
      </c>
      <c r="BE259" s="23">
        <v>50</v>
      </c>
    </row>
    <row r="260" spans="29:57" x14ac:dyDescent="0.15">
      <c r="AC260" s="23">
        <v>257</v>
      </c>
      <c r="AD260" s="23">
        <f>[1]节奏总纲!AD260</f>
        <v>80.108849423225877</v>
      </c>
      <c r="AE260" s="23">
        <f>[1]节奏总纲!AE260</f>
        <v>82.209309758681655</v>
      </c>
      <c r="AF260" s="23">
        <f>[1]节奏总纲!AF260</f>
        <v>85.168261290208434</v>
      </c>
      <c r="AG260" s="23">
        <f>[1]节奏总纲!AG260</f>
        <v>90.119205392290041</v>
      </c>
      <c r="AH260" s="23">
        <f>[1]节奏总纲!AH260</f>
        <v>98.987037175229361</v>
      </c>
      <c r="AZ260" s="23">
        <v>257</v>
      </c>
      <c r="BA260" s="23">
        <v>44.378176516391136</v>
      </c>
      <c r="BB260" s="23">
        <v>45.897138705528576</v>
      </c>
      <c r="BC260" s="23">
        <v>47.840881288560894</v>
      </c>
      <c r="BD260" s="23">
        <v>50</v>
      </c>
      <c r="BE260" s="23">
        <v>50</v>
      </c>
    </row>
    <row r="261" spans="29:57" x14ac:dyDescent="0.15">
      <c r="AC261" s="23">
        <v>258</v>
      </c>
      <c r="AD261" s="23">
        <f>[1]节奏总纲!AD261</f>
        <v>80.163274134838829</v>
      </c>
      <c r="AE261" s="23">
        <f>[1]节奏总纲!AE261</f>
        <v>82.263691235623583</v>
      </c>
      <c r="AF261" s="23">
        <f>[1]节奏总纲!AF261</f>
        <v>85.222864950995231</v>
      </c>
      <c r="AG261" s="23">
        <f>[1]节奏总纲!AG261</f>
        <v>90.175615288319776</v>
      </c>
      <c r="AH261" s="23">
        <f>[1]节奏总纲!AH261</f>
        <v>99.046160733338311</v>
      </c>
      <c r="AZ261" s="23">
        <v>258</v>
      </c>
      <c r="BA261" s="23">
        <v>44.404031962695043</v>
      </c>
      <c r="BB261" s="23">
        <v>45.925034809556202</v>
      </c>
      <c r="BC261" s="23">
        <v>47.868598006324753</v>
      </c>
      <c r="BD261" s="23">
        <v>50</v>
      </c>
      <c r="BE261" s="23">
        <v>50</v>
      </c>
    </row>
    <row r="262" spans="29:57" x14ac:dyDescent="0.15">
      <c r="AC262" s="23">
        <v>259</v>
      </c>
      <c r="AD262" s="23">
        <f>[1]节奏总纲!AD262</f>
        <v>80.217698846451768</v>
      </c>
      <c r="AE262" s="23">
        <f>[1]节奏总纲!AE262</f>
        <v>82.318072712565524</v>
      </c>
      <c r="AF262" s="23">
        <f>[1]节奏总纲!AF262</f>
        <v>85.277468611782027</v>
      </c>
      <c r="AG262" s="23">
        <f>[1]节奏总纲!AG262</f>
        <v>90.23202518434951</v>
      </c>
      <c r="AH262" s="23">
        <f>[1]节奏总纲!AH262</f>
        <v>99.105170833973162</v>
      </c>
      <c r="AZ262" s="23">
        <v>259</v>
      </c>
      <c r="BA262" s="23">
        <v>44.429887408998944</v>
      </c>
      <c r="BB262" s="23">
        <v>45.952930913583835</v>
      </c>
      <c r="BC262" s="23">
        <v>47.896314724088612</v>
      </c>
      <c r="BD262" s="23">
        <v>50</v>
      </c>
      <c r="BE262" s="23">
        <v>50</v>
      </c>
    </row>
    <row r="263" spans="29:57" x14ac:dyDescent="0.15">
      <c r="AC263" s="23">
        <v>260</v>
      </c>
      <c r="AD263" s="23">
        <f>[1]节奏总纲!AD263</f>
        <v>80.272123558064706</v>
      </c>
      <c r="AE263" s="23">
        <f>[1]节奏总纲!AE263</f>
        <v>82.372454189507465</v>
      </c>
      <c r="AF263" s="23">
        <f>[1]节奏总纲!AF263</f>
        <v>85.332072272568837</v>
      </c>
      <c r="AG263" s="23">
        <f>[1]节奏总纲!AG263</f>
        <v>90.288435080379244</v>
      </c>
      <c r="AH263" s="23">
        <f>[1]节奏总纲!AH263</f>
        <v>99.164180934608012</v>
      </c>
      <c r="AZ263" s="23">
        <v>260</v>
      </c>
      <c r="BA263" s="23">
        <v>44.455742855302844</v>
      </c>
      <c r="BB263" s="23">
        <v>45.98082701761146</v>
      </c>
      <c r="BC263" s="23">
        <v>47.92403144185247</v>
      </c>
      <c r="BD263" s="23">
        <v>50</v>
      </c>
      <c r="BE263" s="23">
        <v>50</v>
      </c>
    </row>
    <row r="264" spans="29:57" x14ac:dyDescent="0.15">
      <c r="AC264" s="23">
        <v>261</v>
      </c>
      <c r="AD264" s="23">
        <f>[1]节奏总纲!AD264</f>
        <v>80.326548269677644</v>
      </c>
      <c r="AE264" s="23">
        <f>[1]节奏总纲!AE264</f>
        <v>82.426835666449392</v>
      </c>
      <c r="AF264" s="23">
        <f>[1]节奏总纲!AF264</f>
        <v>85.386675933355633</v>
      </c>
      <c r="AG264" s="23">
        <f>[1]节奏总纲!AG264</f>
        <v>90.344844976408993</v>
      </c>
      <c r="AH264" s="23">
        <f>[1]节奏总纲!AH264</f>
        <v>99.223191035242863</v>
      </c>
      <c r="AZ264" s="23">
        <v>261</v>
      </c>
      <c r="BA264" s="23">
        <v>44.481598301606752</v>
      </c>
      <c r="BB264" s="23">
        <v>46.007529841290832</v>
      </c>
      <c r="BC264" s="23">
        <v>47.951748159616329</v>
      </c>
      <c r="BD264" s="23">
        <v>50</v>
      </c>
      <c r="BE264" s="23">
        <v>50</v>
      </c>
    </row>
    <row r="265" spans="29:57" x14ac:dyDescent="0.15">
      <c r="AC265" s="23">
        <v>262</v>
      </c>
      <c r="AD265" s="23">
        <f>[1]节奏总纲!AD265</f>
        <v>80.380972981290597</v>
      </c>
      <c r="AE265" s="23">
        <f>[1]节奏总纲!AE265</f>
        <v>82.481217143391333</v>
      </c>
      <c r="AF265" s="23">
        <f>[1]节奏总纲!AF265</f>
        <v>85.441279594142429</v>
      </c>
      <c r="AG265" s="23">
        <f>[1]节奏总纲!AG265</f>
        <v>90.401254872438727</v>
      </c>
      <c r="AH265" s="23">
        <f>[1]节奏总纲!AH265</f>
        <v>99.282201135877699</v>
      </c>
      <c r="AZ265" s="23">
        <v>262</v>
      </c>
      <c r="BA265" s="23">
        <v>44.507453747910652</v>
      </c>
      <c r="BB265" s="23">
        <v>46.031609894814238</v>
      </c>
      <c r="BC265" s="23">
        <v>47.979464877380188</v>
      </c>
      <c r="BD265" s="23">
        <v>50</v>
      </c>
      <c r="BE265" s="23">
        <v>50</v>
      </c>
    </row>
    <row r="266" spans="29:57" x14ac:dyDescent="0.15">
      <c r="AC266" s="23">
        <v>263</v>
      </c>
      <c r="AD266" s="23">
        <f>[1]节奏总纲!AD266</f>
        <v>80.435397692903535</v>
      </c>
      <c r="AE266" s="23">
        <f>[1]节奏总纲!AE266</f>
        <v>82.535598620333275</v>
      </c>
      <c r="AF266" s="23">
        <f>[1]节奏总纲!AF266</f>
        <v>85.495883254929225</v>
      </c>
      <c r="AG266" s="23">
        <f>[1]节奏总纲!AG266</f>
        <v>90.457664768468462</v>
      </c>
      <c r="AH266" s="23">
        <f>[1]节奏总纲!AH266</f>
        <v>99.341211236512549</v>
      </c>
      <c r="AZ266" s="23">
        <v>263</v>
      </c>
      <c r="BA266" s="23">
        <v>44.533309194214553</v>
      </c>
      <c r="BB266" s="23">
        <v>46.055689948337651</v>
      </c>
      <c r="BC266" s="23">
        <v>48.006200084618079</v>
      </c>
      <c r="BD266" s="23">
        <v>50</v>
      </c>
      <c r="BE266" s="23">
        <v>50</v>
      </c>
    </row>
    <row r="267" spans="29:57" x14ac:dyDescent="0.15">
      <c r="AC267" s="23">
        <v>264</v>
      </c>
      <c r="AD267" s="23">
        <f>[1]节奏总纲!AD267</f>
        <v>80.489822404516474</v>
      </c>
      <c r="AE267" s="23">
        <f>[1]节奏总纲!AE267</f>
        <v>82.589980097275202</v>
      </c>
      <c r="AF267" s="23">
        <f>[1]节奏总纲!AF267</f>
        <v>85.550486915716021</v>
      </c>
      <c r="AG267" s="23">
        <f>[1]节奏总纲!AG267</f>
        <v>90.514074664498196</v>
      </c>
      <c r="AH267" s="23">
        <f>[1]节奏总纲!AH267</f>
        <v>99.4002213371474</v>
      </c>
      <c r="AZ267" s="23">
        <v>264</v>
      </c>
      <c r="BA267" s="23">
        <v>44.55916464051846</v>
      </c>
      <c r="BB267" s="23">
        <v>46.079770001861057</v>
      </c>
      <c r="BC267" s="23">
        <v>48.030128751164241</v>
      </c>
      <c r="BD267" s="23">
        <v>50</v>
      </c>
      <c r="BE267" s="23">
        <v>50</v>
      </c>
    </row>
    <row r="268" spans="29:57" x14ac:dyDescent="0.15">
      <c r="AC268" s="23">
        <v>265</v>
      </c>
      <c r="AD268" s="23">
        <f>[1]节奏总纲!AD268</f>
        <v>80.544247116129412</v>
      </c>
      <c r="AE268" s="23">
        <f>[1]节奏总纲!AE268</f>
        <v>82.644361574217143</v>
      </c>
      <c r="AF268" s="23">
        <f>[1]节奏总纲!AF268</f>
        <v>85.605090576502832</v>
      </c>
      <c r="AG268" s="23">
        <f>[1]节奏总纲!AG268</f>
        <v>90.57048456052793</v>
      </c>
      <c r="AH268" s="23">
        <f>[1]节奏总纲!AH268</f>
        <v>99.45923143778225</v>
      </c>
      <c r="AZ268" s="23">
        <v>265</v>
      </c>
      <c r="BA268" s="23">
        <v>44.585020086822361</v>
      </c>
      <c r="BB268" s="23">
        <v>46.10385005538447</v>
      </c>
      <c r="BC268" s="23">
        <v>48.054057417710396</v>
      </c>
      <c r="BD268" s="23">
        <v>50</v>
      </c>
      <c r="BE268" s="23">
        <v>50</v>
      </c>
    </row>
    <row r="269" spans="29:57" x14ac:dyDescent="0.15">
      <c r="AC269" s="23">
        <v>266</v>
      </c>
      <c r="AD269" s="23">
        <f>[1]节奏总纲!AD269</f>
        <v>80.598671827742351</v>
      </c>
      <c r="AE269" s="23">
        <f>[1]节奏总纲!AE269</f>
        <v>82.698743051159084</v>
      </c>
      <c r="AF269" s="23">
        <f>[1]节奏总纲!AF269</f>
        <v>85.659694237289628</v>
      </c>
      <c r="AG269" s="23">
        <f>[1]节奏总纲!AG269</f>
        <v>90.626894456557665</v>
      </c>
      <c r="AH269" s="23">
        <f>[1]节奏总纲!AH269</f>
        <v>99.518241538417101</v>
      </c>
      <c r="AZ269" s="23">
        <v>266</v>
      </c>
      <c r="BA269" s="23">
        <v>44.610875533126261</v>
      </c>
      <c r="BB269" s="23">
        <v>46.127930108907876</v>
      </c>
      <c r="BC269" s="23">
        <v>48.077986084256551</v>
      </c>
      <c r="BD269" s="23">
        <v>50</v>
      </c>
      <c r="BE269" s="23">
        <v>50</v>
      </c>
    </row>
    <row r="270" spans="29:57" x14ac:dyDescent="0.15">
      <c r="AC270" s="23">
        <v>267</v>
      </c>
      <c r="AD270" s="23">
        <f>[1]节奏总纲!AD270</f>
        <v>80.653096539355303</v>
      </c>
      <c r="AE270" s="23">
        <f>[1]节奏总纲!AE270</f>
        <v>82.753124528101011</v>
      </c>
      <c r="AF270" s="23">
        <f>[1]节奏总纲!AF270</f>
        <v>85.714297898076424</v>
      </c>
      <c r="AG270" s="23">
        <f>[1]节奏总纲!AG270</f>
        <v>90.683304352587413</v>
      </c>
      <c r="AH270" s="23">
        <f>[1]节奏总纲!AH270</f>
        <v>99.577251639051951</v>
      </c>
      <c r="AZ270" s="23">
        <v>267</v>
      </c>
      <c r="BA270" s="23">
        <v>44.636730979430169</v>
      </c>
      <c r="BB270" s="23">
        <v>46.152010162431289</v>
      </c>
      <c r="BC270" s="23">
        <v>48.101914750802706</v>
      </c>
      <c r="BD270" s="23">
        <v>50</v>
      </c>
      <c r="BE270" s="23">
        <v>50</v>
      </c>
    </row>
    <row r="271" spans="29:57" x14ac:dyDescent="0.15">
      <c r="AC271" s="23">
        <v>268</v>
      </c>
      <c r="AD271" s="23">
        <f>[1]节奏总纲!AD271</f>
        <v>80.707521250968242</v>
      </c>
      <c r="AE271" s="23">
        <f>[1]节奏总纲!AE271</f>
        <v>82.807506005042953</v>
      </c>
      <c r="AF271" s="23">
        <f>[1]节奏总纲!AF271</f>
        <v>85.76890155886322</v>
      </c>
      <c r="AG271" s="23">
        <f>[1]节奏总纲!AG271</f>
        <v>90.739714248617148</v>
      </c>
      <c r="AH271" s="23">
        <f>[1]节奏总纲!AH271</f>
        <v>99.636261739686788</v>
      </c>
      <c r="AZ271" s="23">
        <v>268</v>
      </c>
      <c r="BA271" s="23">
        <v>44.662586425734069</v>
      </c>
      <c r="BB271" s="23">
        <v>46.176090215954694</v>
      </c>
      <c r="BC271" s="23">
        <v>48.125843417348868</v>
      </c>
      <c r="BD271" s="23">
        <v>50</v>
      </c>
      <c r="BE271" s="23">
        <v>50</v>
      </c>
    </row>
    <row r="272" spans="29:57" x14ac:dyDescent="0.15">
      <c r="AC272" s="23">
        <v>269</v>
      </c>
      <c r="AD272" s="23">
        <f>[1]节奏总纲!AD272</f>
        <v>80.76194596258118</v>
      </c>
      <c r="AE272" s="23">
        <f>[1]节奏总纲!AE272</f>
        <v>82.861887481984894</v>
      </c>
      <c r="AF272" s="23">
        <f>[1]节奏总纲!AF272</f>
        <v>85.823505219650016</v>
      </c>
      <c r="AG272" s="23">
        <f>[1]节奏总纲!AG272</f>
        <v>90.796124144646882</v>
      </c>
      <c r="AH272" s="23">
        <f>[1]节奏总纲!AH272</f>
        <v>99.695271840321638</v>
      </c>
      <c r="AZ272" s="23">
        <v>269</v>
      </c>
      <c r="BA272" s="23">
        <v>44.68844187203797</v>
      </c>
      <c r="BB272" s="23">
        <v>46.200170269478107</v>
      </c>
      <c r="BC272" s="23">
        <v>48.149772083895023</v>
      </c>
      <c r="BD272" s="23">
        <v>50</v>
      </c>
      <c r="BE272" s="23">
        <v>50</v>
      </c>
    </row>
    <row r="273" spans="29:57" x14ac:dyDescent="0.15">
      <c r="AC273" s="23">
        <v>270</v>
      </c>
      <c r="AD273" s="23">
        <f>[1]节奏总纲!AD273</f>
        <v>80.816370674194118</v>
      </c>
      <c r="AE273" s="23">
        <f>[1]节奏总纲!AE273</f>
        <v>82.916268958926821</v>
      </c>
      <c r="AF273" s="23">
        <f>[1]节奏总纲!AF273</f>
        <v>85.878108880436827</v>
      </c>
      <c r="AG273" s="23">
        <f>[1]节奏总纲!AG273</f>
        <v>90.852534040676616</v>
      </c>
      <c r="AH273" s="23">
        <f>[1]节奏总纲!AH273</f>
        <v>99.754281940956488</v>
      </c>
      <c r="AZ273" s="23">
        <v>270</v>
      </c>
      <c r="BA273" s="23">
        <v>44.714297318341877</v>
      </c>
      <c r="BB273" s="23">
        <v>46.224250323001513</v>
      </c>
      <c r="BC273" s="23">
        <v>48.173700750441178</v>
      </c>
      <c r="BD273" s="23">
        <v>50</v>
      </c>
      <c r="BE273" s="23">
        <v>50</v>
      </c>
    </row>
    <row r="274" spans="29:57" x14ac:dyDescent="0.15">
      <c r="AC274" s="23">
        <v>271</v>
      </c>
      <c r="AD274" s="23">
        <f>[1]节奏总纲!AD274</f>
        <v>80.870795385807057</v>
      </c>
      <c r="AE274" s="23">
        <f>[1]节奏总纲!AE274</f>
        <v>82.970650435868762</v>
      </c>
      <c r="AF274" s="23">
        <f>[1]节奏总纲!AF274</f>
        <v>85.932712541223623</v>
      </c>
      <c r="AG274" s="23">
        <f>[1]节奏总纲!AG274</f>
        <v>90.908943936706351</v>
      </c>
      <c r="AH274" s="23">
        <f>[1]节奏总纲!AH274</f>
        <v>99.813292041591339</v>
      </c>
      <c r="AZ274" s="23">
        <v>271</v>
      </c>
      <c r="BA274" s="23">
        <v>44.740152764645778</v>
      </c>
      <c r="BB274" s="23">
        <v>46.248330376524919</v>
      </c>
      <c r="BC274" s="23">
        <v>48.19762941698734</v>
      </c>
      <c r="BD274" s="23">
        <v>50</v>
      </c>
      <c r="BE274" s="23">
        <v>50</v>
      </c>
    </row>
    <row r="275" spans="29:57" x14ac:dyDescent="0.15">
      <c r="AC275" s="23">
        <v>272</v>
      </c>
      <c r="AD275" s="23">
        <f>[1]节奏总纲!AD275</f>
        <v>80.925220097420009</v>
      </c>
      <c r="AE275" s="23">
        <f>[1]节奏总纲!AE275</f>
        <v>83.023342162088809</v>
      </c>
      <c r="AF275" s="23">
        <f>[1]节奏总纲!AF275</f>
        <v>85.987316202010419</v>
      </c>
      <c r="AG275" s="23">
        <f>[1]节奏总纲!AG275</f>
        <v>90.965353832736099</v>
      </c>
      <c r="AH275" s="23">
        <f>[1]节奏总纲!AH275</f>
        <v>99.872302142226189</v>
      </c>
      <c r="AZ275" s="23">
        <v>272</v>
      </c>
      <c r="BA275" s="23">
        <v>44.766008210949678</v>
      </c>
      <c r="BB275" s="23">
        <v>46.272410430048332</v>
      </c>
      <c r="BC275" s="23">
        <v>48.221558083533495</v>
      </c>
      <c r="BD275" s="23">
        <v>50</v>
      </c>
      <c r="BE275" s="23">
        <v>50</v>
      </c>
    </row>
    <row r="276" spans="29:57" x14ac:dyDescent="0.15">
      <c r="AC276" s="23">
        <v>273</v>
      </c>
      <c r="AD276" s="23">
        <f>[1]节奏总纲!AD276</f>
        <v>80.979644809032948</v>
      </c>
      <c r="AE276" s="23">
        <f>[1]节奏总纲!AE276</f>
        <v>83.07405267945947</v>
      </c>
      <c r="AF276" s="23">
        <f>[1]节奏总纲!AF276</f>
        <v>86.038061368689995</v>
      </c>
      <c r="AG276" s="23">
        <f>[1]节奏总纲!AG276</f>
        <v>91.020352770869948</v>
      </c>
      <c r="AH276" s="23">
        <f>[1]节奏总纲!AH276</f>
        <v>99.93131224286104</v>
      </c>
      <c r="AZ276" s="23">
        <v>273</v>
      </c>
      <c r="BA276" s="23">
        <v>44.791863657253586</v>
      </c>
      <c r="BB276" s="23">
        <v>46.296490483571738</v>
      </c>
      <c r="BC276" s="23">
        <v>48.24548675007965</v>
      </c>
      <c r="BD276" s="23">
        <v>50</v>
      </c>
      <c r="BE276" s="23">
        <v>50</v>
      </c>
    </row>
    <row r="277" spans="29:57" x14ac:dyDescent="0.15">
      <c r="AC277" s="23">
        <v>274</v>
      </c>
      <c r="AD277" s="23">
        <f>[1]节奏总纲!AD277</f>
        <v>81.031787986768464</v>
      </c>
      <c r="AE277" s="23">
        <f>[1]节奏总纲!AE277</f>
        <v>83.124763196830131</v>
      </c>
      <c r="AF277" s="23">
        <f>[1]节奏总纲!AF277</f>
        <v>86.087639061133402</v>
      </c>
      <c r="AG277" s="23">
        <f>[1]节奏总纲!AG277</f>
        <v>91.073105573528181</v>
      </c>
      <c r="AH277" s="23">
        <f>[1]节奏总纲!AH277</f>
        <v>99.990322343495876</v>
      </c>
      <c r="AZ277" s="23">
        <v>274</v>
      </c>
      <c r="BA277" s="23">
        <v>44.817719103557486</v>
      </c>
      <c r="BB277" s="23">
        <v>46.320570537095151</v>
      </c>
      <c r="BC277" s="23">
        <v>48.269415416625804</v>
      </c>
      <c r="BD277" s="23">
        <v>50</v>
      </c>
      <c r="BE277" s="23">
        <v>50</v>
      </c>
    </row>
    <row r="278" spans="29:57" x14ac:dyDescent="0.15">
      <c r="AC278" s="23">
        <v>275</v>
      </c>
      <c r="AD278" s="23">
        <f>[1]节奏总纲!AD278</f>
        <v>81.082568038258216</v>
      </c>
      <c r="AE278" s="23">
        <f>[1]节奏总纲!AE278</f>
        <v>83.175473714200777</v>
      </c>
      <c r="AF278" s="23">
        <f>[1]节奏总纲!AF278</f>
        <v>86.137216753576809</v>
      </c>
      <c r="AG278" s="23">
        <f>[1]节奏总纲!AG278</f>
        <v>91.125858376186414</v>
      </c>
      <c r="AH278" s="23">
        <f>[1]节奏总纲!AH278</f>
        <v>100.04494517613057</v>
      </c>
      <c r="AZ278" s="23">
        <v>275</v>
      </c>
      <c r="BA278" s="23">
        <v>44.843574549861387</v>
      </c>
      <c r="BB278" s="23">
        <v>46.344650590618556</v>
      </c>
      <c r="BC278" s="23">
        <v>48.293344083171966</v>
      </c>
      <c r="BD278" s="23">
        <v>50</v>
      </c>
      <c r="BE278" s="23">
        <v>50</v>
      </c>
    </row>
    <row r="279" spans="29:57" x14ac:dyDescent="0.15">
      <c r="AC279" s="23">
        <v>276</v>
      </c>
      <c r="AD279" s="23">
        <f>[1]节奏总纲!AD279</f>
        <v>81.133348089747955</v>
      </c>
      <c r="AE279" s="23">
        <f>[1]节奏总纲!AE279</f>
        <v>83.226184231571438</v>
      </c>
      <c r="AF279" s="23">
        <f>[1]节奏总纲!AF279</f>
        <v>86.186794446020215</v>
      </c>
      <c r="AG279" s="23">
        <f>[1]节奏总纲!AG279</f>
        <v>91.178611178844633</v>
      </c>
      <c r="AH279" s="23">
        <f>[1]节奏总纲!AH279</f>
        <v>100.09870734853557</v>
      </c>
      <c r="AZ279" s="23">
        <v>276</v>
      </c>
      <c r="BA279" s="23">
        <v>44.869429996165294</v>
      </c>
      <c r="BB279" s="23">
        <v>46.368730644141969</v>
      </c>
      <c r="BC279" s="23">
        <v>48.317272749718121</v>
      </c>
      <c r="BD279" s="23">
        <v>50</v>
      </c>
      <c r="BE279" s="23">
        <v>50</v>
      </c>
    </row>
    <row r="280" spans="29:57" x14ac:dyDescent="0.15">
      <c r="AC280" s="23">
        <v>277</v>
      </c>
      <c r="AD280" s="23">
        <f>[1]节奏总纲!AD280</f>
        <v>81.184128141237707</v>
      </c>
      <c r="AE280" s="23">
        <f>[1]节奏总纲!AE280</f>
        <v>83.276894748942098</v>
      </c>
      <c r="AF280" s="23">
        <f>[1]节奏总纲!AF280</f>
        <v>86.236372138463622</v>
      </c>
      <c r="AG280" s="23">
        <f>[1]节奏总纲!AG280</f>
        <v>91.231363981502867</v>
      </c>
      <c r="AH280" s="23">
        <f>[1]节奏总纲!AH280</f>
        <v>100.15246952094056</v>
      </c>
      <c r="AZ280" s="23">
        <v>277</v>
      </c>
      <c r="BA280" s="23">
        <v>44.895285442469195</v>
      </c>
      <c r="BB280" s="23">
        <v>46.392810697665375</v>
      </c>
      <c r="BC280" s="23">
        <v>48.341201416264276</v>
      </c>
      <c r="BD280" s="23">
        <v>50</v>
      </c>
      <c r="BE280" s="23">
        <v>50</v>
      </c>
    </row>
    <row r="281" spans="29:57" x14ac:dyDescent="0.15">
      <c r="AC281" s="23">
        <v>278</v>
      </c>
      <c r="AD281" s="23">
        <f>[1]节奏总纲!AD281</f>
        <v>81.23490819272746</v>
      </c>
      <c r="AE281" s="23">
        <f>[1]节奏总纲!AE281</f>
        <v>83.327605266312744</v>
      </c>
      <c r="AF281" s="23">
        <f>[1]节奏总纲!AF281</f>
        <v>86.285949830907029</v>
      </c>
      <c r="AG281" s="23">
        <f>[1]节奏总纲!AG281</f>
        <v>91.2841167841611</v>
      </c>
      <c r="AH281" s="23">
        <f>[1]节奏总纲!AH281</f>
        <v>100.20623169334554</v>
      </c>
      <c r="AZ281" s="23">
        <v>278</v>
      </c>
      <c r="BA281" s="23">
        <v>44.921140888773095</v>
      </c>
      <c r="BB281" s="23">
        <v>46.416890751188788</v>
      </c>
      <c r="BC281" s="23">
        <v>48.365130082810438</v>
      </c>
      <c r="BD281" s="23">
        <v>50</v>
      </c>
      <c r="BE281" s="23">
        <v>50</v>
      </c>
    </row>
    <row r="282" spans="29:57" x14ac:dyDescent="0.15">
      <c r="AC282" s="23">
        <v>279</v>
      </c>
      <c r="AD282" s="23">
        <f>[1]节奏总纲!AD282</f>
        <v>81.285688244217212</v>
      </c>
      <c r="AE282" s="23">
        <f>[1]节奏总纲!AE282</f>
        <v>83.378315783683405</v>
      </c>
      <c r="AF282" s="23">
        <f>[1]节奏总纲!AF282</f>
        <v>86.335527523350422</v>
      </c>
      <c r="AG282" s="23">
        <f>[1]节奏总纲!AG282</f>
        <v>91.336869586819319</v>
      </c>
      <c r="AH282" s="23">
        <f>[1]节奏总纲!AH282</f>
        <v>100.25999386575054</v>
      </c>
      <c r="AZ282" s="23">
        <v>279</v>
      </c>
      <c r="BA282" s="23">
        <v>44.946996335076996</v>
      </c>
      <c r="BB282" s="23">
        <v>46.440970804712194</v>
      </c>
      <c r="BC282" s="23">
        <v>48.389058749356593</v>
      </c>
      <c r="BD282" s="23">
        <v>50</v>
      </c>
      <c r="BE282" s="23">
        <v>50</v>
      </c>
    </row>
    <row r="283" spans="29:57" x14ac:dyDescent="0.15">
      <c r="AC283" s="23">
        <v>280</v>
      </c>
      <c r="AD283" s="23">
        <f>[1]节奏总纲!AD283</f>
        <v>81.336468295706965</v>
      </c>
      <c r="AE283" s="23">
        <f>[1]节奏总纲!AE283</f>
        <v>83.429026301054066</v>
      </c>
      <c r="AF283" s="23">
        <f>[1]节奏总纲!AF283</f>
        <v>86.385105215793828</v>
      </c>
      <c r="AG283" s="23">
        <f>[1]节奏总纲!AG283</f>
        <v>91.389622389477552</v>
      </c>
      <c r="AH283" s="23">
        <f>[1]节奏总纲!AH283</f>
        <v>100.31375603815553</v>
      </c>
      <c r="AZ283" s="23">
        <v>280</v>
      </c>
      <c r="BA283" s="23">
        <v>44.972851781380903</v>
      </c>
      <c r="BB283" s="23">
        <v>46.465050858235607</v>
      </c>
      <c r="BC283" s="23">
        <v>48.412987415902748</v>
      </c>
      <c r="BD283" s="23">
        <v>50</v>
      </c>
      <c r="BE283" s="23">
        <v>50</v>
      </c>
    </row>
    <row r="284" spans="29:57" x14ac:dyDescent="0.15">
      <c r="AC284" s="23">
        <v>281</v>
      </c>
      <c r="AD284" s="23">
        <f>[1]节奏总纲!AD284</f>
        <v>81.387248347196717</v>
      </c>
      <c r="AE284" s="23">
        <f>[1]节奏总纲!AE284</f>
        <v>83.479736818424712</v>
      </c>
      <c r="AF284" s="23">
        <f>[1]节奏总纲!AF284</f>
        <v>86.434682908237235</v>
      </c>
      <c r="AG284" s="23">
        <f>[1]节奏总纲!AG284</f>
        <v>91.442375192135771</v>
      </c>
      <c r="AH284" s="23">
        <f>[1]节奏总纲!AH284</f>
        <v>100.36751821056053</v>
      </c>
      <c r="AZ284" s="23">
        <v>281</v>
      </c>
      <c r="BA284" s="23">
        <v>44.998707227684804</v>
      </c>
      <c r="BB284" s="23">
        <v>46.489130911759013</v>
      </c>
      <c r="BC284" s="23">
        <v>48.43691608244891</v>
      </c>
      <c r="BD284" s="23">
        <v>50</v>
      </c>
      <c r="BE284" s="23">
        <v>50</v>
      </c>
    </row>
    <row r="285" spans="29:57" x14ac:dyDescent="0.15">
      <c r="AC285" s="23">
        <v>282</v>
      </c>
      <c r="AD285" s="23">
        <f>[1]节奏总纲!AD285</f>
        <v>81.43802839868647</v>
      </c>
      <c r="AE285" s="23">
        <f>[1]节奏总纲!AE285</f>
        <v>83.530447335795373</v>
      </c>
      <c r="AF285" s="23">
        <f>[1]节奏总纲!AF285</f>
        <v>86.484260600680642</v>
      </c>
      <c r="AG285" s="23">
        <f>[1]节奏总纲!AG285</f>
        <v>91.495127994794004</v>
      </c>
      <c r="AH285" s="23">
        <f>[1]节奏总纲!AH285</f>
        <v>100.42128038296552</v>
      </c>
      <c r="AZ285" s="23">
        <v>282</v>
      </c>
      <c r="BA285" s="23">
        <v>45.021201039060998</v>
      </c>
      <c r="BB285" s="23">
        <v>46.513210965282425</v>
      </c>
      <c r="BC285" s="23">
        <v>48.460844748995065</v>
      </c>
      <c r="BD285" s="23">
        <v>50</v>
      </c>
      <c r="BE285" s="23">
        <v>50</v>
      </c>
    </row>
    <row r="286" spans="29:57" x14ac:dyDescent="0.15">
      <c r="AC286" s="23">
        <v>283</v>
      </c>
      <c r="AD286" s="23">
        <f>[1]节奏总纲!AD286</f>
        <v>81.488808450176222</v>
      </c>
      <c r="AE286" s="23">
        <f>[1]节奏总纲!AE286</f>
        <v>83.581157853166033</v>
      </c>
      <c r="AF286" s="23">
        <f>[1]节奏总纲!AF286</f>
        <v>86.533838293124049</v>
      </c>
      <c r="AG286" s="23">
        <f>[1]节奏总纲!AG286</f>
        <v>91.547880797452237</v>
      </c>
      <c r="AH286" s="23">
        <f>[1]节奏总纲!AH286</f>
        <v>100.47504255537051</v>
      </c>
      <c r="AZ286" s="23">
        <v>283</v>
      </c>
      <c r="BA286" s="23">
        <v>45.043517922283101</v>
      </c>
      <c r="BB286" s="23">
        <v>46.537291018805831</v>
      </c>
      <c r="BC286" s="23">
        <v>48.48477341554122</v>
      </c>
      <c r="BD286" s="23">
        <v>50</v>
      </c>
      <c r="BE286" s="23">
        <v>50</v>
      </c>
    </row>
    <row r="287" spans="29:57" x14ac:dyDescent="0.15">
      <c r="AC287" s="23">
        <v>284</v>
      </c>
      <c r="AD287" s="23">
        <f>[1]节奏总纲!AD287</f>
        <v>81.539588501665975</v>
      </c>
      <c r="AE287" s="23">
        <f>[1]节奏总纲!AE287</f>
        <v>83.631868370536679</v>
      </c>
      <c r="AF287" s="23">
        <f>[1]节奏总纲!AF287</f>
        <v>86.583415985567456</v>
      </c>
      <c r="AG287" s="23">
        <f>[1]节奏总纲!AG287</f>
        <v>91.600633600110456</v>
      </c>
      <c r="AH287" s="23">
        <f>[1]节奏总纲!AH287</f>
        <v>100.52880472777551</v>
      </c>
      <c r="AZ287" s="23">
        <v>284</v>
      </c>
      <c r="BA287" s="23">
        <v>45.065834805505204</v>
      </c>
      <c r="BB287" s="23">
        <v>46.561371072329244</v>
      </c>
      <c r="BC287" s="23">
        <v>48.508702082087382</v>
      </c>
      <c r="BD287" s="23">
        <v>50</v>
      </c>
      <c r="BE287" s="23">
        <v>50</v>
      </c>
    </row>
    <row r="288" spans="29:57" x14ac:dyDescent="0.15">
      <c r="AC288" s="23">
        <v>285</v>
      </c>
      <c r="AD288" s="23">
        <f>[1]节奏总纲!AD288</f>
        <v>81.590368553155727</v>
      </c>
      <c r="AE288" s="23">
        <f>[1]节奏总纲!AE288</f>
        <v>83.68257888790734</v>
      </c>
      <c r="AF288" s="23">
        <f>[1]节奏总纲!AF288</f>
        <v>86.632993678010848</v>
      </c>
      <c r="AG288" s="23">
        <f>[1]节奏总纲!AG288</f>
        <v>91.653386402768689</v>
      </c>
      <c r="AH288" s="23">
        <f>[1]节奏总纲!AH288</f>
        <v>100.5825669001805</v>
      </c>
      <c r="AZ288" s="23">
        <v>285</v>
      </c>
      <c r="BA288" s="23">
        <v>45.088151688727308</v>
      </c>
      <c r="BB288" s="23">
        <v>46.58545112585265</v>
      </c>
      <c r="BC288" s="23">
        <v>48.532630748633537</v>
      </c>
      <c r="BD288" s="23">
        <v>50</v>
      </c>
      <c r="BE288" s="23">
        <v>50</v>
      </c>
    </row>
    <row r="289" spans="29:57" x14ac:dyDescent="0.15">
      <c r="AC289" s="23">
        <v>286</v>
      </c>
      <c r="AD289" s="23">
        <f>[1]节奏总纲!AD289</f>
        <v>81.64114860464548</v>
      </c>
      <c r="AE289" s="23">
        <f>[1]节奏总纲!AE289</f>
        <v>83.733289405278001</v>
      </c>
      <c r="AF289" s="23">
        <f>[1]节奏总纲!AF289</f>
        <v>86.682571370454255</v>
      </c>
      <c r="AG289" s="23">
        <f>[1]节奏总纲!AG289</f>
        <v>91.706139205426922</v>
      </c>
      <c r="AH289" s="23">
        <f>[1]节奏总纲!AH289</f>
        <v>100.6363290725855</v>
      </c>
      <c r="AZ289" s="23">
        <v>286</v>
      </c>
      <c r="BA289" s="23">
        <v>45.110468571949411</v>
      </c>
      <c r="BB289" s="23">
        <v>46.609531179376063</v>
      </c>
      <c r="BC289" s="23">
        <v>48.556559415179692</v>
      </c>
      <c r="BD289" s="23">
        <v>50</v>
      </c>
      <c r="BE289" s="23">
        <v>50</v>
      </c>
    </row>
    <row r="290" spans="29:57" x14ac:dyDescent="0.15">
      <c r="AC290" s="23">
        <v>287</v>
      </c>
      <c r="AD290" s="23">
        <f>[1]节奏总纲!AD290</f>
        <v>81.691928656135218</v>
      </c>
      <c r="AE290" s="23">
        <f>[1]节奏总纲!AE290</f>
        <v>83.783999922648647</v>
      </c>
      <c r="AF290" s="23">
        <f>[1]节奏总纲!AF290</f>
        <v>86.732149062897662</v>
      </c>
      <c r="AG290" s="23">
        <f>[1]节奏总纲!AG290</f>
        <v>91.758892008085141</v>
      </c>
      <c r="AH290" s="23">
        <f>[1]节奏总纲!AH290</f>
        <v>100.69009124499048</v>
      </c>
      <c r="AZ290" s="23">
        <v>287</v>
      </c>
      <c r="BA290" s="23">
        <v>45.132785455171515</v>
      </c>
      <c r="BB290" s="23">
        <v>46.633611232899469</v>
      </c>
      <c r="BC290" s="23">
        <v>48.580488081725846</v>
      </c>
      <c r="BD290" s="23">
        <v>50</v>
      </c>
      <c r="BE290" s="23">
        <v>50</v>
      </c>
    </row>
    <row r="291" spans="29:57" x14ac:dyDescent="0.15">
      <c r="AC291" s="23">
        <v>288</v>
      </c>
      <c r="AD291" s="23">
        <f>[1]节奏总纲!AD291</f>
        <v>81.742708707624971</v>
      </c>
      <c r="AE291" s="23">
        <f>[1]节奏总纲!AE291</f>
        <v>83.834710440019307</v>
      </c>
      <c r="AF291" s="23">
        <f>[1]节奏总纲!AF291</f>
        <v>86.781726755341069</v>
      </c>
      <c r="AG291" s="23">
        <f>[1]节奏总纲!AG291</f>
        <v>91.811644810743374</v>
      </c>
      <c r="AH291" s="23">
        <f>[1]节奏总纲!AH291</f>
        <v>100.74385341739547</v>
      </c>
      <c r="AZ291" s="23">
        <v>288</v>
      </c>
      <c r="BA291" s="23">
        <v>45.155102338393618</v>
      </c>
      <c r="BB291" s="23">
        <v>46.657691286422882</v>
      </c>
      <c r="BC291" s="23">
        <v>48.604416748272008</v>
      </c>
      <c r="BD291" s="23">
        <v>50</v>
      </c>
      <c r="BE291" s="23">
        <v>50</v>
      </c>
    </row>
    <row r="292" spans="29:57" x14ac:dyDescent="0.15">
      <c r="AC292" s="23">
        <v>289</v>
      </c>
      <c r="AD292" s="23">
        <f>[1]节奏总纲!AD292</f>
        <v>81.793488759114723</v>
      </c>
      <c r="AE292" s="23">
        <f>[1]节奏总纲!AE292</f>
        <v>83.885420957389968</v>
      </c>
      <c r="AF292" s="23">
        <f>[1]节奏总纲!AF292</f>
        <v>86.831304447784476</v>
      </c>
      <c r="AG292" s="23">
        <f>[1]节奏总纲!AG292</f>
        <v>91.864397613401607</v>
      </c>
      <c r="AH292" s="23">
        <f>[1]节奏总纲!AH292</f>
        <v>100.79761558980047</v>
      </c>
      <c r="AZ292" s="23">
        <v>289</v>
      </c>
      <c r="BA292" s="23">
        <v>45.177419221615722</v>
      </c>
      <c r="BB292" s="23">
        <v>46.681771339946287</v>
      </c>
      <c r="BC292" s="23">
        <v>48.628345414818163</v>
      </c>
      <c r="BD292" s="23">
        <v>50</v>
      </c>
      <c r="BE292" s="23">
        <v>50</v>
      </c>
    </row>
    <row r="293" spans="29:57" x14ac:dyDescent="0.15">
      <c r="AC293" s="23">
        <v>290</v>
      </c>
      <c r="AD293" s="23">
        <f>[1]节奏总纲!AD293</f>
        <v>81.844268810604476</v>
      </c>
      <c r="AE293" s="23">
        <f>[1]节奏总纲!AE293</f>
        <v>83.936131474760614</v>
      </c>
      <c r="AF293" s="23">
        <f>[1]节奏总纲!AF293</f>
        <v>86.880882140227882</v>
      </c>
      <c r="AG293" s="23">
        <f>[1]节奏总纲!AG293</f>
        <v>91.917150416059826</v>
      </c>
      <c r="AH293" s="23">
        <f>[1]节奏总纲!AH293</f>
        <v>100.85137776220546</v>
      </c>
      <c r="AZ293" s="23">
        <v>290</v>
      </c>
      <c r="BA293" s="23">
        <v>45.199736104837825</v>
      </c>
      <c r="BB293" s="23">
        <v>46.7058513934697</v>
      </c>
      <c r="BC293" s="23">
        <v>48.652274081364318</v>
      </c>
      <c r="BD293" s="23">
        <v>50</v>
      </c>
      <c r="BE293" s="23">
        <v>50</v>
      </c>
    </row>
    <row r="294" spans="29:57" x14ac:dyDescent="0.15">
      <c r="AC294" s="23">
        <v>291</v>
      </c>
      <c r="AD294" s="23">
        <f>[1]节奏总纲!AD294</f>
        <v>81.895048862094228</v>
      </c>
      <c r="AE294" s="23">
        <f>[1]节奏总纲!AE294</f>
        <v>83.986841992131275</v>
      </c>
      <c r="AF294" s="23">
        <f>[1]节奏总纲!AF294</f>
        <v>86.930459832671289</v>
      </c>
      <c r="AG294" s="23">
        <f>[1]节奏总纲!AG294</f>
        <v>91.969903218718059</v>
      </c>
      <c r="AH294" s="23">
        <f>[1]节奏总纲!AH294</f>
        <v>100.90513993461046</v>
      </c>
      <c r="AZ294" s="23">
        <v>291</v>
      </c>
      <c r="BA294" s="23">
        <v>45.222052988059936</v>
      </c>
      <c r="BB294" s="23">
        <v>46.729931446993106</v>
      </c>
      <c r="BC294" s="23">
        <v>48.67620274791048</v>
      </c>
      <c r="BD294" s="23">
        <v>50</v>
      </c>
      <c r="BE294" s="23">
        <v>50</v>
      </c>
    </row>
    <row r="295" spans="29:57" x14ac:dyDescent="0.15">
      <c r="AC295" s="23">
        <v>292</v>
      </c>
      <c r="AD295" s="23">
        <f>[1]节奏总纲!AD295</f>
        <v>81.945828913583981</v>
      </c>
      <c r="AE295" s="23">
        <f>[1]节奏总纲!AE295</f>
        <v>84.036191564035917</v>
      </c>
      <c r="AF295" s="23">
        <f>[1]节奏总纲!AF295</f>
        <v>86.980037525114682</v>
      </c>
      <c r="AG295" s="23">
        <f>[1]节奏总纲!AG295</f>
        <v>92.020673823381642</v>
      </c>
      <c r="AH295" s="23">
        <f>[1]节奏总纲!AH295</f>
        <v>100.95890210701545</v>
      </c>
      <c r="AZ295" s="23">
        <v>292</v>
      </c>
      <c r="BA295" s="23">
        <v>45.244369871282039</v>
      </c>
      <c r="BB295" s="23">
        <v>46.754011500516519</v>
      </c>
      <c r="BC295" s="23">
        <v>48.700131414456635</v>
      </c>
      <c r="BD295" s="23">
        <v>50</v>
      </c>
      <c r="BE295" s="23">
        <v>50</v>
      </c>
    </row>
    <row r="296" spans="29:57" x14ac:dyDescent="0.15">
      <c r="AC296" s="23">
        <v>293</v>
      </c>
      <c r="AD296" s="23">
        <f>[1]节奏总纲!AD296</f>
        <v>81.996608965073733</v>
      </c>
      <c r="AE296" s="23">
        <f>[1]节奏总纲!AE296</f>
        <v>84.085064274836242</v>
      </c>
      <c r="AF296" s="23">
        <f>[1]节奏总纲!AF296</f>
        <v>87.029133791498197</v>
      </c>
      <c r="AG296" s="23">
        <f>[1]节奏总纲!AG296</f>
        <v>92.068811230516317</v>
      </c>
      <c r="AH296" s="23">
        <f>[1]节奏总纲!AH296</f>
        <v>101.01186310799378</v>
      </c>
      <c r="AZ296" s="23">
        <v>293</v>
      </c>
      <c r="BA296" s="23">
        <v>45.266686754504143</v>
      </c>
      <c r="BB296" s="23">
        <v>46.778091554039925</v>
      </c>
      <c r="BC296" s="23">
        <v>48.72406008100279</v>
      </c>
      <c r="BD296" s="23">
        <v>50</v>
      </c>
      <c r="BE296" s="23">
        <v>50</v>
      </c>
    </row>
    <row r="297" spans="29:57" x14ac:dyDescent="0.15">
      <c r="AC297" s="23">
        <v>294</v>
      </c>
      <c r="AD297" s="23">
        <f>[1]节奏总纲!AD297</f>
        <v>82.044215515890215</v>
      </c>
      <c r="AE297" s="23">
        <f>[1]节奏总纲!AE297</f>
        <v>84.133936985636566</v>
      </c>
      <c r="AF297" s="23">
        <f>[1]节奏总纲!AF297</f>
        <v>87.077905547159801</v>
      </c>
      <c r="AG297" s="23">
        <f>[1]节奏总纲!AG297</f>
        <v>92.116948637651006</v>
      </c>
      <c r="AH297" s="23">
        <f>[1]节奏总纲!AH297</f>
        <v>101.06222416179293</v>
      </c>
      <c r="AZ297" s="23">
        <v>294</v>
      </c>
      <c r="BA297" s="23">
        <v>45.289003637726246</v>
      </c>
      <c r="BB297" s="23">
        <v>46.802171607563338</v>
      </c>
      <c r="BC297" s="23">
        <v>48.747988747548945</v>
      </c>
      <c r="BD297" s="23">
        <v>50</v>
      </c>
      <c r="BE297" s="23">
        <v>50</v>
      </c>
    </row>
    <row r="298" spans="29:57" x14ac:dyDescent="0.15">
      <c r="AC298" s="23">
        <v>295</v>
      </c>
      <c r="AD298" s="23">
        <f>[1]节奏总纲!AD298</f>
        <v>82.091594979242089</v>
      </c>
      <c r="AE298" s="23">
        <f>[1]节奏总纲!AE298</f>
        <v>84.182809696436891</v>
      </c>
      <c r="AF298" s="23">
        <f>[1]节奏总纲!AF298</f>
        <v>87.126677302821392</v>
      </c>
      <c r="AG298" s="23">
        <f>[1]节奏总纲!AG298</f>
        <v>92.165086044785696</v>
      </c>
      <c r="AH298" s="23">
        <f>[1]节奏总纲!AH298</f>
        <v>101.11258521559208</v>
      </c>
      <c r="AZ298" s="23">
        <v>295</v>
      </c>
      <c r="BA298" s="23">
        <v>45.31132052094835</v>
      </c>
      <c r="BB298" s="23">
        <v>46.826251661086744</v>
      </c>
      <c r="BC298" s="23">
        <v>48.771917414095107</v>
      </c>
      <c r="BD298" s="23">
        <v>50</v>
      </c>
      <c r="BE298" s="23">
        <v>50</v>
      </c>
    </row>
    <row r="299" spans="29:57" x14ac:dyDescent="0.15">
      <c r="AC299" s="23">
        <v>296</v>
      </c>
      <c r="AD299" s="23">
        <f>[1]节奏总纲!AD299</f>
        <v>82.138974442593963</v>
      </c>
      <c r="AE299" s="23">
        <f>[1]节奏总纲!AE299</f>
        <v>84.23168240723723</v>
      </c>
      <c r="AF299" s="23">
        <f>[1]节奏总纲!AF299</f>
        <v>87.175449058482982</v>
      </c>
      <c r="AG299" s="23">
        <f>[1]节奏总纲!AG299</f>
        <v>92.213223451920371</v>
      </c>
      <c r="AH299" s="23">
        <f>[1]节奏总纲!AH299</f>
        <v>101.16294626939123</v>
      </c>
      <c r="AZ299" s="23">
        <v>296</v>
      </c>
      <c r="BA299" s="23">
        <v>45.333637404170453</v>
      </c>
      <c r="BB299" s="23">
        <v>46.850331714610157</v>
      </c>
      <c r="BC299" s="23">
        <v>48.795846080641262</v>
      </c>
      <c r="BD299" s="23">
        <v>50</v>
      </c>
      <c r="BE299" s="23">
        <v>50</v>
      </c>
    </row>
    <row r="300" spans="29:57" x14ac:dyDescent="0.15">
      <c r="AC300" s="23">
        <v>297</v>
      </c>
      <c r="AD300" s="23">
        <f>[1]节奏总纲!AD300</f>
        <v>82.186353905945836</v>
      </c>
      <c r="AE300" s="23">
        <f>[1]节奏总纲!AE300</f>
        <v>84.280555118037555</v>
      </c>
      <c r="AF300" s="23">
        <f>[1]节奏总纲!AF300</f>
        <v>87.224220814144587</v>
      </c>
      <c r="AG300" s="23">
        <f>[1]节奏总纲!AG300</f>
        <v>92.26136085905506</v>
      </c>
      <c r="AH300" s="23">
        <f>[1]节奏总纲!AH300</f>
        <v>101.21330732319038</v>
      </c>
      <c r="AZ300" s="23">
        <v>297</v>
      </c>
      <c r="BA300" s="23">
        <v>45.355954287392557</v>
      </c>
      <c r="BB300" s="23">
        <v>46.874411768133562</v>
      </c>
      <c r="BC300" s="23">
        <v>48.819774747187417</v>
      </c>
      <c r="BD300" s="23">
        <v>50</v>
      </c>
      <c r="BE300" s="23">
        <v>50</v>
      </c>
    </row>
    <row r="301" spans="29:57" x14ac:dyDescent="0.15">
      <c r="AC301" s="23">
        <v>298</v>
      </c>
      <c r="AD301" s="23">
        <f>[1]节奏总纲!AD301</f>
        <v>82.23373336929771</v>
      </c>
      <c r="AE301" s="23">
        <f>[1]节奏总纲!AE301</f>
        <v>84.329427828837879</v>
      </c>
      <c r="AF301" s="23">
        <f>[1]节奏总纲!AF301</f>
        <v>87.272992569806178</v>
      </c>
      <c r="AG301" s="23">
        <f>[1]节奏总纲!AG301</f>
        <v>92.309498266189749</v>
      </c>
      <c r="AH301" s="23">
        <f>[1]节奏总纲!AH301</f>
        <v>101.26366837698953</v>
      </c>
      <c r="AZ301" s="23">
        <v>298</v>
      </c>
      <c r="BA301" s="23">
        <v>45.37827117061466</v>
      </c>
      <c r="BB301" s="23">
        <v>46.898491821656968</v>
      </c>
      <c r="BC301" s="23">
        <v>48.843703413733579</v>
      </c>
      <c r="BD301" s="23">
        <v>50</v>
      </c>
      <c r="BE301" s="23">
        <v>50</v>
      </c>
    </row>
    <row r="302" spans="29:57" x14ac:dyDescent="0.15">
      <c r="AC302" s="23">
        <v>299</v>
      </c>
      <c r="AD302" s="23">
        <f>[1]节奏总纲!AD302</f>
        <v>82.281112832649583</v>
      </c>
      <c r="AE302" s="23">
        <f>[1]节奏总纲!AE302</f>
        <v>84.378300539638204</v>
      </c>
      <c r="AF302" s="23">
        <f>[1]节奏总纲!AF302</f>
        <v>87.321764325467768</v>
      </c>
      <c r="AG302" s="23">
        <f>[1]节奏总纲!AG302</f>
        <v>92.357635673324438</v>
      </c>
      <c r="AH302" s="23">
        <f>[1]节奏总纲!AH302</f>
        <v>101.31402943078868</v>
      </c>
      <c r="AZ302" s="23">
        <v>299</v>
      </c>
      <c r="BA302" s="23">
        <v>45.400588053836763</v>
      </c>
      <c r="BB302" s="23">
        <v>46.922571875180381</v>
      </c>
      <c r="BC302" s="23">
        <v>48.867632080279733</v>
      </c>
      <c r="BD302" s="23">
        <v>50</v>
      </c>
      <c r="BE302" s="23">
        <v>50</v>
      </c>
    </row>
    <row r="303" spans="29:57" x14ac:dyDescent="0.15">
      <c r="AC303" s="23">
        <v>300</v>
      </c>
      <c r="AD303" s="23">
        <f>[1]节奏总纲!AD303</f>
        <v>82.328492296001457</v>
      </c>
      <c r="AE303" s="23">
        <f>[1]节奏总纲!AE303</f>
        <v>84.427173250438543</v>
      </c>
      <c r="AF303" s="23">
        <f>[1]节奏总纲!AF303</f>
        <v>87.370536081129359</v>
      </c>
      <c r="AG303" s="23">
        <f>[1]节奏总纲!AG303</f>
        <v>92.405773080459113</v>
      </c>
      <c r="AH303" s="23">
        <f>[1]节奏总纲!AH303</f>
        <v>101.36439048458783</v>
      </c>
      <c r="AZ303" s="23">
        <v>300</v>
      </c>
      <c r="BA303" s="23">
        <v>45.422904937058867</v>
      </c>
      <c r="BB303" s="23">
        <v>46.946651928703787</v>
      </c>
      <c r="BC303" s="23">
        <v>48.891560746825888</v>
      </c>
      <c r="BD303" s="23">
        <v>50</v>
      </c>
      <c r="BE303" s="23">
        <v>50</v>
      </c>
    </row>
    <row r="304" spans="29:57" x14ac:dyDescent="0.15">
      <c r="AC304" s="23">
        <v>301</v>
      </c>
      <c r="AD304" s="23">
        <f>[1]节奏总纲!AD304</f>
        <v>82.375871759353331</v>
      </c>
      <c r="AE304" s="23">
        <f>[1]节奏总纲!AE304</f>
        <v>84.476045961238867</v>
      </c>
      <c r="AF304" s="23">
        <f>[1]节奏总纲!AF304</f>
        <v>87.419307836790964</v>
      </c>
      <c r="AG304" s="23">
        <f>[1]节奏总纲!AG304</f>
        <v>92.453910487593802</v>
      </c>
      <c r="AH304" s="23">
        <f>[1]节奏总纲!AH304</f>
        <v>101.41475153838698</v>
      </c>
      <c r="AZ304" s="23">
        <v>301</v>
      </c>
      <c r="BA304" s="23">
        <v>45.44522182028097</v>
      </c>
      <c r="BB304" s="23">
        <v>46.9707319822272</v>
      </c>
      <c r="BC304" s="23">
        <v>48.91548941337205</v>
      </c>
      <c r="BD304" s="23">
        <v>50</v>
      </c>
      <c r="BE304" s="23">
        <v>50</v>
      </c>
    </row>
    <row r="305" spans="29:57" x14ac:dyDescent="0.15">
      <c r="AC305" s="23">
        <v>302</v>
      </c>
      <c r="AD305" s="23">
        <f>[1]节奏总纲!AD305</f>
        <v>82.423251222705204</v>
      </c>
      <c r="AE305" s="23">
        <f>[1]节奏总纲!AE305</f>
        <v>84.524918672039192</v>
      </c>
      <c r="AF305" s="23">
        <f>[1]节奏总纲!AF305</f>
        <v>87.468079592452554</v>
      </c>
      <c r="AG305" s="23">
        <f>[1]节奏总纲!AG305</f>
        <v>92.502047894728491</v>
      </c>
      <c r="AH305" s="23">
        <f>[1]节奏总纲!AH305</f>
        <v>101.46511259218613</v>
      </c>
      <c r="AZ305" s="23">
        <v>302</v>
      </c>
      <c r="BA305" s="23">
        <v>45.467538703503074</v>
      </c>
      <c r="BB305" s="23">
        <v>46.994812035750606</v>
      </c>
      <c r="BC305" s="23">
        <v>48.939418079918205</v>
      </c>
      <c r="BD305" s="23">
        <v>50</v>
      </c>
      <c r="BE305" s="23">
        <v>50</v>
      </c>
    </row>
    <row r="306" spans="29:57" x14ac:dyDescent="0.15">
      <c r="AC306" s="23">
        <v>303</v>
      </c>
      <c r="AD306" s="23">
        <f>[1]节奏总纲!AD306</f>
        <v>82.470630686057078</v>
      </c>
      <c r="AE306" s="23">
        <f>[1]节奏总纲!AE306</f>
        <v>84.573791382839516</v>
      </c>
      <c r="AF306" s="23">
        <f>[1]节奏总纲!AF306</f>
        <v>87.516851348114145</v>
      </c>
      <c r="AG306" s="23">
        <f>[1]节奏总纲!AG306</f>
        <v>92.550185301863166</v>
      </c>
      <c r="AH306" s="23">
        <f>[1]节奏总纲!AH306</f>
        <v>101.51547364598528</v>
      </c>
      <c r="AZ306" s="23">
        <v>303</v>
      </c>
      <c r="BA306" s="23">
        <v>45.489855586725177</v>
      </c>
      <c r="BB306" s="23">
        <v>47.016308935086101</v>
      </c>
      <c r="BC306" s="23">
        <v>48.96334674646436</v>
      </c>
      <c r="BD306" s="23">
        <v>50</v>
      </c>
      <c r="BE306" s="23">
        <v>50</v>
      </c>
    </row>
    <row r="307" spans="29:57" x14ac:dyDescent="0.15">
      <c r="AC307" s="23">
        <v>304</v>
      </c>
      <c r="AD307" s="23">
        <f>[1]节奏总纲!AD307</f>
        <v>82.518010149408951</v>
      </c>
      <c r="AE307" s="23">
        <f>[1]节奏总纲!AE307</f>
        <v>84.622664093639855</v>
      </c>
      <c r="AF307" s="23">
        <f>[1]节奏总纲!AF307</f>
        <v>87.565623103775735</v>
      </c>
      <c r="AG307" s="23">
        <f>[1]节奏总纲!AG307</f>
        <v>92.598322708997856</v>
      </c>
      <c r="AH307" s="23">
        <f>[1]节奏总纲!AH307</f>
        <v>101.56583469978445</v>
      </c>
      <c r="AZ307" s="23">
        <v>304</v>
      </c>
      <c r="BA307" s="23">
        <v>45.512172469947281</v>
      </c>
      <c r="BB307" s="23">
        <v>47.037096473408994</v>
      </c>
      <c r="BC307" s="23">
        <v>48.987275413010522</v>
      </c>
      <c r="BD307" s="23">
        <v>50</v>
      </c>
      <c r="BE307" s="23">
        <v>50</v>
      </c>
    </row>
    <row r="308" spans="29:57" x14ac:dyDescent="0.15">
      <c r="AC308" s="23">
        <v>305</v>
      </c>
      <c r="AD308" s="23">
        <f>[1]节奏总纲!AD308</f>
        <v>82.565389612760825</v>
      </c>
      <c r="AE308" s="23">
        <f>[1]节奏总纲!AE308</f>
        <v>84.67153680444018</v>
      </c>
      <c r="AF308" s="23">
        <f>[1]节奏总纲!AF308</f>
        <v>87.61439485943734</v>
      </c>
      <c r="AG308" s="23">
        <f>[1]节奏总纲!AG308</f>
        <v>92.646460116132545</v>
      </c>
      <c r="AH308" s="23">
        <f>[1]节奏总纲!AH308</f>
        <v>101.6161957535836</v>
      </c>
      <c r="AZ308" s="23">
        <v>305</v>
      </c>
      <c r="BA308" s="23">
        <v>45.534489353169384</v>
      </c>
      <c r="BB308" s="23">
        <v>47.057884011731893</v>
      </c>
      <c r="BC308" s="23">
        <v>49.009673493801003</v>
      </c>
      <c r="BD308" s="23">
        <v>50</v>
      </c>
      <c r="BE308" s="23">
        <v>50</v>
      </c>
    </row>
    <row r="309" spans="29:57" x14ac:dyDescent="0.15">
      <c r="AC309" s="23">
        <v>306</v>
      </c>
      <c r="AD309" s="23">
        <f>[1]节奏总纲!AD309</f>
        <v>82.612769076112698</v>
      </c>
      <c r="AE309" s="23">
        <f>[1]节奏总纲!AE309</f>
        <v>84.720409515240505</v>
      </c>
      <c r="AF309" s="23">
        <f>[1]节奏总纲!AF309</f>
        <v>87.66316661509893</v>
      </c>
      <c r="AG309" s="23">
        <f>[1]节奏总纲!AG309</f>
        <v>92.69459752326722</v>
      </c>
      <c r="AH309" s="23">
        <f>[1]节奏总纲!AH309</f>
        <v>101.66655680738275</v>
      </c>
      <c r="AZ309" s="23">
        <v>306</v>
      </c>
      <c r="BA309" s="23">
        <v>45.556806236391488</v>
      </c>
      <c r="BB309" s="23">
        <v>47.078671550054786</v>
      </c>
      <c r="BC309" s="23">
        <v>49.030333272797542</v>
      </c>
      <c r="BD309" s="23">
        <v>50</v>
      </c>
      <c r="BE309" s="23">
        <v>50</v>
      </c>
    </row>
    <row r="310" spans="29:57" x14ac:dyDescent="0.15">
      <c r="AC310" s="23">
        <v>307</v>
      </c>
      <c r="AD310" s="23">
        <f>[1]节奏总纲!AD310</f>
        <v>82.660148539464572</v>
      </c>
      <c r="AE310" s="23">
        <f>[1]节奏总纲!AE310</f>
        <v>84.769282226040829</v>
      </c>
      <c r="AF310" s="23">
        <f>[1]节奏总纲!AF310</f>
        <v>87.711938370760521</v>
      </c>
      <c r="AG310" s="23">
        <f>[1]节奏总纲!AG310</f>
        <v>92.742734930401909</v>
      </c>
      <c r="AH310" s="23">
        <f>[1]节奏总纲!AH310</f>
        <v>101.7169178611819</v>
      </c>
      <c r="AZ310" s="23">
        <v>307</v>
      </c>
      <c r="BA310" s="23">
        <v>45.579123119613591</v>
      </c>
      <c r="BB310" s="23">
        <v>47.099459088377678</v>
      </c>
      <c r="BC310" s="23">
        <v>49.05099305179408</v>
      </c>
      <c r="BD310" s="23">
        <v>50</v>
      </c>
      <c r="BE310" s="23">
        <v>50</v>
      </c>
    </row>
    <row r="311" spans="29:57" x14ac:dyDescent="0.15">
      <c r="AC311" s="23">
        <v>308</v>
      </c>
      <c r="AD311" s="23">
        <f>[1]节奏总纲!AD311</f>
        <v>82.707528002816446</v>
      </c>
      <c r="AE311" s="23">
        <f>[1]节奏总纲!AE311</f>
        <v>84.818154936841154</v>
      </c>
      <c r="AF311" s="23">
        <f>[1]节奏总纲!AF311</f>
        <v>87.760710126422126</v>
      </c>
      <c r="AG311" s="23">
        <f>[1]节奏总纲!AG311</f>
        <v>92.790872337536598</v>
      </c>
      <c r="AH311" s="23">
        <f>[1]节奏总纲!AH311</f>
        <v>101.76727891498105</v>
      </c>
      <c r="AZ311" s="23">
        <v>308</v>
      </c>
      <c r="BA311" s="23">
        <v>45.601440002835695</v>
      </c>
      <c r="BB311" s="23">
        <v>47.12024662670057</v>
      </c>
      <c r="BC311" s="23">
        <v>49.071652830790612</v>
      </c>
      <c r="BD311" s="23">
        <v>50</v>
      </c>
      <c r="BE311" s="23">
        <v>50</v>
      </c>
    </row>
    <row r="312" spans="29:57" x14ac:dyDescent="0.15">
      <c r="AC312" s="23">
        <v>309</v>
      </c>
      <c r="AD312" s="23">
        <f>[1]节奏总纲!AD312</f>
        <v>82.754907466168319</v>
      </c>
      <c r="AE312" s="23">
        <f>[1]节奏总纲!AE312</f>
        <v>84.867027647641493</v>
      </c>
      <c r="AF312" s="23">
        <f>[1]节奏总纲!AF312</f>
        <v>87.809481882083716</v>
      </c>
      <c r="AG312" s="23">
        <f>[1]节奏总纲!AG312</f>
        <v>92.839009744671287</v>
      </c>
      <c r="AH312" s="23">
        <f>[1]节奏总纲!AH312</f>
        <v>101.8176399687802</v>
      </c>
      <c r="AZ312" s="23">
        <v>309</v>
      </c>
      <c r="BA312" s="23">
        <v>45.623756886057798</v>
      </c>
      <c r="BB312" s="23">
        <v>47.14103416502347</v>
      </c>
      <c r="BC312" s="23">
        <v>49.09231260978715</v>
      </c>
      <c r="BD312" s="23">
        <v>50</v>
      </c>
      <c r="BE312" s="23">
        <v>50</v>
      </c>
    </row>
    <row r="313" spans="29:57" x14ac:dyDescent="0.15">
      <c r="AC313" s="23">
        <v>310</v>
      </c>
      <c r="AD313" s="23">
        <f>[1]节奏总纲!AD313</f>
        <v>82.802286929520193</v>
      </c>
      <c r="AE313" s="23">
        <f>[1]节奏总纲!AE313</f>
        <v>84.915900358441817</v>
      </c>
      <c r="AF313" s="23">
        <f>[1]节奏总纲!AF313</f>
        <v>87.858253637745307</v>
      </c>
      <c r="AG313" s="23">
        <f>[1]节奏总纲!AG313</f>
        <v>92.887147151805962</v>
      </c>
      <c r="AH313" s="23">
        <f>[1]节奏总纲!AH313</f>
        <v>101.86800102257935</v>
      </c>
      <c r="AZ313" s="23">
        <v>310</v>
      </c>
      <c r="BA313" s="23">
        <v>45.646073769279901</v>
      </c>
      <c r="BB313" s="23">
        <v>47.161821703346362</v>
      </c>
      <c r="BC313" s="23">
        <v>49.112972388783689</v>
      </c>
      <c r="BD313" s="23">
        <v>50</v>
      </c>
      <c r="BE313" s="23">
        <v>50</v>
      </c>
    </row>
    <row r="314" spans="29:57" x14ac:dyDescent="0.15">
      <c r="AC314" s="23">
        <v>311</v>
      </c>
      <c r="AD314" s="23">
        <f>[1]节奏总纲!AD314</f>
        <v>82.849666392872066</v>
      </c>
      <c r="AE314" s="23">
        <f>[1]节奏总纲!AE314</f>
        <v>84.964773069242142</v>
      </c>
      <c r="AF314" s="23">
        <f>[1]节奏总纲!AF314</f>
        <v>87.907025393406897</v>
      </c>
      <c r="AG314" s="23">
        <f>[1]节奏总纲!AG314</f>
        <v>92.935284558940651</v>
      </c>
      <c r="AH314" s="23">
        <f>[1]节奏总纲!AH314</f>
        <v>101.9183620763785</v>
      </c>
      <c r="AZ314" s="23">
        <v>311</v>
      </c>
      <c r="BA314" s="23">
        <v>45.668390652502012</v>
      </c>
      <c r="BB314" s="23">
        <v>47.182609241669255</v>
      </c>
      <c r="BC314" s="23">
        <v>49.133632167780227</v>
      </c>
      <c r="BD314" s="23">
        <v>50</v>
      </c>
      <c r="BE314" s="23">
        <v>50</v>
      </c>
    </row>
    <row r="315" spans="29:57" x14ac:dyDescent="0.15">
      <c r="AC315" s="23">
        <v>312</v>
      </c>
      <c r="AD315" s="23">
        <f>[1]节奏总纲!AD315</f>
        <v>82.89704585622394</v>
      </c>
      <c r="AE315" s="23">
        <f>[1]节奏总纲!AE315</f>
        <v>85.012531647506819</v>
      </c>
      <c r="AF315" s="23">
        <f>[1]节奏总纲!AF315</f>
        <v>87.955797149068502</v>
      </c>
      <c r="AG315" s="23">
        <f>[1]节奏总纲!AG315</f>
        <v>92.98342196607534</v>
      </c>
      <c r="AH315" s="23">
        <f>[1]节奏总纲!AH315</f>
        <v>101.96872313017765</v>
      </c>
      <c r="AZ315" s="23">
        <v>312</v>
      </c>
      <c r="BA315" s="23">
        <v>45.690707535724115</v>
      </c>
      <c r="BB315" s="23">
        <v>47.203396779992147</v>
      </c>
      <c r="BC315" s="23">
        <v>49.154291946776759</v>
      </c>
      <c r="BD315" s="23">
        <v>50</v>
      </c>
      <c r="BE315" s="23">
        <v>50</v>
      </c>
    </row>
    <row r="316" spans="29:57" x14ac:dyDescent="0.15">
      <c r="AC316" s="23">
        <v>313</v>
      </c>
      <c r="AD316" s="23">
        <f>[1]节奏总纲!AD316</f>
        <v>82.944425319575814</v>
      </c>
      <c r="AE316" s="23">
        <f>[1]节奏总纲!AE316</f>
        <v>85.057414064088832</v>
      </c>
      <c r="AF316" s="23">
        <f>[1]节奏总纲!AF316</f>
        <v>88.004756197276762</v>
      </c>
      <c r="AG316" s="23">
        <f>[1]节奏总纲!AG316</f>
        <v>93.031775955978986</v>
      </c>
      <c r="AH316" s="23">
        <f>[1]节奏总纲!AH316</f>
        <v>102.01687435940708</v>
      </c>
      <c r="AZ316" s="23">
        <v>313</v>
      </c>
      <c r="BA316" s="23">
        <v>45.713024418946219</v>
      </c>
      <c r="BB316" s="23">
        <v>47.224184318315039</v>
      </c>
      <c r="BC316" s="23">
        <v>49.174951725773298</v>
      </c>
      <c r="BD316" s="23">
        <v>50</v>
      </c>
      <c r="BE316" s="23">
        <v>50</v>
      </c>
    </row>
    <row r="317" spans="29:57" x14ac:dyDescent="0.15">
      <c r="AC317" s="23">
        <v>314</v>
      </c>
      <c r="AD317" s="23">
        <f>[1]节奏总纲!AD317</f>
        <v>82.991804782927687</v>
      </c>
      <c r="AE317" s="23">
        <f>[1]节奏总纲!AE317</f>
        <v>85.10229648067083</v>
      </c>
      <c r="AF317" s="23">
        <f>[1]节奏总纲!AF317</f>
        <v>88.05552724748766</v>
      </c>
      <c r="AG317" s="23">
        <f>[1]节奏总纲!AG317</f>
        <v>93.080243716091815</v>
      </c>
      <c r="AH317" s="23">
        <f>[1]节奏总纲!AH317</f>
        <v>102.0614039302265</v>
      </c>
      <c r="AZ317" s="23">
        <v>314</v>
      </c>
      <c r="BA317" s="23">
        <v>45.735341302168322</v>
      </c>
      <c r="BB317" s="23">
        <v>47.244971856637939</v>
      </c>
      <c r="BC317" s="23">
        <v>49.195611504769836</v>
      </c>
      <c r="BD317" s="23">
        <v>50</v>
      </c>
      <c r="BE317" s="23">
        <v>50</v>
      </c>
    </row>
    <row r="318" spans="29:57" x14ac:dyDescent="0.15">
      <c r="AC318" s="23">
        <v>315</v>
      </c>
      <c r="AD318" s="23">
        <f>[1]节奏总纲!AD318</f>
        <v>83.03656019452734</v>
      </c>
      <c r="AE318" s="23">
        <f>[1]节奏总纲!AE318</f>
        <v>85.147178897252829</v>
      </c>
      <c r="AF318" s="23">
        <f>[1]节奏总纲!AF318</f>
        <v>88.106298297698572</v>
      </c>
      <c r="AG318" s="23">
        <f>[1]节奏总纲!AG318</f>
        <v>93.128711476204643</v>
      </c>
      <c r="AH318" s="23">
        <f>[1]节奏总纲!AH318</f>
        <v>102.10593350104594</v>
      </c>
      <c r="AZ318" s="23">
        <v>315</v>
      </c>
      <c r="BA318" s="23">
        <v>45.757658185390426</v>
      </c>
      <c r="BB318" s="23">
        <v>47.265759394960831</v>
      </c>
      <c r="BC318" s="23">
        <v>49.216271283766375</v>
      </c>
      <c r="BD318" s="23">
        <v>50</v>
      </c>
      <c r="BE318" s="23">
        <v>50</v>
      </c>
    </row>
    <row r="319" spans="29:57" x14ac:dyDescent="0.15">
      <c r="AC319" s="23">
        <v>316</v>
      </c>
      <c r="AD319" s="23">
        <f>[1]节奏总纲!AD319</f>
        <v>83.080766796955942</v>
      </c>
      <c r="AE319" s="23">
        <f>[1]节奏总纲!AE319</f>
        <v>85.192061313834827</v>
      </c>
      <c r="AF319" s="23">
        <f>[1]节奏总纲!AF319</f>
        <v>88.15706934790947</v>
      </c>
      <c r="AG319" s="23">
        <f>[1]节奏总纲!AG319</f>
        <v>93.177179236317471</v>
      </c>
      <c r="AH319" s="23">
        <f>[1]节奏总纲!AH319</f>
        <v>102.15046307186537</v>
      </c>
      <c r="AZ319" s="23">
        <v>316</v>
      </c>
      <c r="BA319" s="23">
        <v>45.779975068612529</v>
      </c>
      <c r="BB319" s="23">
        <v>47.286546933283724</v>
      </c>
      <c r="BC319" s="23">
        <v>49.236931062762913</v>
      </c>
      <c r="BD319" s="23">
        <v>50</v>
      </c>
      <c r="BE319" s="23">
        <v>50</v>
      </c>
    </row>
    <row r="320" spans="29:57" x14ac:dyDescent="0.15">
      <c r="AC320" s="23">
        <v>317</v>
      </c>
      <c r="AD320" s="23">
        <f>[1]节奏总纲!AD320</f>
        <v>83.124973399384558</v>
      </c>
      <c r="AE320" s="23">
        <f>[1]节奏总纲!AE320</f>
        <v>85.236943730416826</v>
      </c>
      <c r="AF320" s="23">
        <f>[1]节奏总纲!AF320</f>
        <v>88.207840398120382</v>
      </c>
      <c r="AG320" s="23">
        <f>[1]节奏总纲!AG320</f>
        <v>93.225646996430299</v>
      </c>
      <c r="AH320" s="23">
        <f>[1]节奏总纲!AH320</f>
        <v>102.19499264268481</v>
      </c>
      <c r="AZ320" s="23">
        <v>317</v>
      </c>
      <c r="BA320" s="23">
        <v>45.802291951834633</v>
      </c>
      <c r="BB320" s="23">
        <v>47.307334471606616</v>
      </c>
      <c r="BC320" s="23">
        <v>49.257590841759445</v>
      </c>
      <c r="BD320" s="23">
        <v>50</v>
      </c>
      <c r="BE320" s="23">
        <v>50</v>
      </c>
    </row>
    <row r="321" spans="29:57" x14ac:dyDescent="0.15">
      <c r="AC321" s="23">
        <v>318</v>
      </c>
      <c r="AD321" s="23">
        <f>[1]节奏总纲!AD321</f>
        <v>83.16918000181316</v>
      </c>
      <c r="AE321" s="23">
        <f>[1]节奏总纲!AE321</f>
        <v>85.281826146998839</v>
      </c>
      <c r="AF321" s="23">
        <f>[1]节奏总纲!AF321</f>
        <v>88.258611448331294</v>
      </c>
      <c r="AG321" s="23">
        <f>[1]节奏总纲!AG321</f>
        <v>93.274114756543128</v>
      </c>
      <c r="AH321" s="23">
        <f>[1]节奏总纲!AH321</f>
        <v>102.23952221350423</v>
      </c>
      <c r="AZ321" s="23">
        <v>318</v>
      </c>
      <c r="BA321" s="23">
        <v>45.824608835056736</v>
      </c>
      <c r="BB321" s="23">
        <v>47.328122009929508</v>
      </c>
      <c r="BC321" s="23">
        <v>49.278250620755983</v>
      </c>
      <c r="BD321" s="23">
        <v>50</v>
      </c>
      <c r="BE321" s="23">
        <v>50</v>
      </c>
    </row>
    <row r="322" spans="29:57" x14ac:dyDescent="0.15">
      <c r="AC322" s="23">
        <v>319</v>
      </c>
      <c r="AD322" s="23">
        <f>[1]节奏总纲!AD322</f>
        <v>83.213386604241776</v>
      </c>
      <c r="AE322" s="23">
        <f>[1]节奏总纲!AE322</f>
        <v>85.326708563580837</v>
      </c>
      <c r="AF322" s="23">
        <f>[1]节奏总纲!AF322</f>
        <v>88.309382498542192</v>
      </c>
      <c r="AG322" s="23">
        <f>[1]节奏总纲!AG322</f>
        <v>93.322582516655956</v>
      </c>
      <c r="AH322" s="23">
        <f>[1]节奏总纲!AH322</f>
        <v>102.28405178432367</v>
      </c>
      <c r="AZ322" s="23">
        <v>319</v>
      </c>
      <c r="BA322" s="23">
        <v>45.84692571827884</v>
      </c>
      <c r="BB322" s="23">
        <v>47.348909548252408</v>
      </c>
      <c r="BC322" s="23">
        <v>49.298910399752522</v>
      </c>
      <c r="BD322" s="23">
        <v>50</v>
      </c>
      <c r="BE322" s="23">
        <v>50</v>
      </c>
    </row>
    <row r="323" spans="29:57" x14ac:dyDescent="0.15">
      <c r="AC323" s="23">
        <v>320</v>
      </c>
      <c r="AD323" s="23">
        <f>[1]节奏总纲!AD323</f>
        <v>83.257593206670379</v>
      </c>
      <c r="AE323" s="23">
        <f>[1]节奏总纲!AE323</f>
        <v>85.371590980162836</v>
      </c>
      <c r="AF323" s="23">
        <f>[1]节奏总纲!AF323</f>
        <v>88.360153548753104</v>
      </c>
      <c r="AG323" s="23">
        <f>[1]节奏总纲!AG323</f>
        <v>93.37105027676877</v>
      </c>
      <c r="AH323" s="23">
        <f>[1]节奏总纲!AH323</f>
        <v>102.3285813551431</v>
      </c>
      <c r="AZ323" s="23">
        <v>320</v>
      </c>
      <c r="BA323" s="23">
        <v>45.869242601500943</v>
      </c>
      <c r="BB323" s="23">
        <v>47.3696970865753</v>
      </c>
      <c r="BC323" s="23">
        <v>49.319570178749061</v>
      </c>
      <c r="BD323" s="23">
        <v>50</v>
      </c>
      <c r="BE323" s="23">
        <v>50</v>
      </c>
    </row>
    <row r="324" spans="29:57" x14ac:dyDescent="0.15">
      <c r="AC324" s="23">
        <v>321</v>
      </c>
      <c r="AD324" s="23">
        <f>[1]节奏总纲!AD324</f>
        <v>83.301799809098995</v>
      </c>
      <c r="AE324" s="23">
        <f>[1]节奏总纲!AE324</f>
        <v>85.416473396744834</v>
      </c>
      <c r="AF324" s="23">
        <f>[1]节奏总纲!AF324</f>
        <v>88.410924598964016</v>
      </c>
      <c r="AG324" s="23">
        <f>[1]节奏总纲!AG324</f>
        <v>93.419518036881598</v>
      </c>
      <c r="AH324" s="23">
        <f>[1]节奏总纲!AH324</f>
        <v>102.37311092596252</v>
      </c>
      <c r="AZ324" s="23">
        <v>321</v>
      </c>
      <c r="BA324" s="23">
        <v>45.891559484723047</v>
      </c>
      <c r="BB324" s="23">
        <v>47.390484624898193</v>
      </c>
      <c r="BC324" s="23">
        <v>49.340229957745592</v>
      </c>
      <c r="BD324" s="23">
        <v>50</v>
      </c>
      <c r="BE324" s="23">
        <v>50</v>
      </c>
    </row>
    <row r="325" spans="29:57" x14ac:dyDescent="0.15">
      <c r="AC325" s="23">
        <v>322</v>
      </c>
      <c r="AD325" s="23">
        <f>[1]节奏总纲!AD325</f>
        <v>83.346006411527597</v>
      </c>
      <c r="AE325" s="23">
        <f>[1]节奏总纲!AE325</f>
        <v>85.461355813326847</v>
      </c>
      <c r="AF325" s="23">
        <f>[1]节奏总纲!AF325</f>
        <v>88.461695649174914</v>
      </c>
      <c r="AG325" s="23">
        <f>[1]节奏总纲!AG325</f>
        <v>93.467985796994427</v>
      </c>
      <c r="AH325" s="23">
        <f>[1]节奏总纲!AH325</f>
        <v>102.41764049678196</v>
      </c>
      <c r="AZ325" s="23">
        <v>322</v>
      </c>
      <c r="BA325" s="23">
        <v>45.91387636794515</v>
      </c>
      <c r="BB325" s="23">
        <v>47.411272163221085</v>
      </c>
      <c r="BC325" s="23">
        <v>49.360889736742131</v>
      </c>
      <c r="BD325" s="23">
        <v>50</v>
      </c>
      <c r="BE325" s="23">
        <v>50</v>
      </c>
    </row>
    <row r="326" spans="29:57" x14ac:dyDescent="0.15">
      <c r="AC326" s="23">
        <v>323</v>
      </c>
      <c r="AD326" s="23">
        <f>[1]节奏总纲!AD326</f>
        <v>83.390213013956213</v>
      </c>
      <c r="AE326" s="23">
        <f>[1]节奏总纲!AE326</f>
        <v>85.506238229908845</v>
      </c>
      <c r="AF326" s="23">
        <f>[1]节奏总纲!AF326</f>
        <v>88.512466699385826</v>
      </c>
      <c r="AG326" s="23">
        <f>[1]节奏总纲!AG326</f>
        <v>93.516453557107255</v>
      </c>
      <c r="AH326" s="23">
        <f>[1]节奏总纲!AH326</f>
        <v>102.46217006760139</v>
      </c>
      <c r="AZ326" s="23">
        <v>323</v>
      </c>
      <c r="BA326" s="23">
        <v>45.936193251167253</v>
      </c>
      <c r="BB326" s="23">
        <v>47.432059701543984</v>
      </c>
      <c r="BC326" s="23">
        <v>49.381549515738669</v>
      </c>
      <c r="BD326" s="23">
        <v>50</v>
      </c>
      <c r="BE326" s="23">
        <v>50</v>
      </c>
    </row>
    <row r="327" spans="29:57" x14ac:dyDescent="0.15">
      <c r="AC327" s="23">
        <v>324</v>
      </c>
      <c r="AD327" s="23">
        <f>[1]节奏总纲!AD327</f>
        <v>83.434419616384815</v>
      </c>
      <c r="AE327" s="23">
        <f>[1]节奏总纲!AE327</f>
        <v>85.551120646490844</v>
      </c>
      <c r="AF327" s="23">
        <f>[1]节奏总纲!AF327</f>
        <v>88.563237749596723</v>
      </c>
      <c r="AG327" s="23">
        <f>[1]节奏总纲!AG327</f>
        <v>93.564921317220083</v>
      </c>
      <c r="AH327" s="23">
        <f>[1]节奏总纲!AH327</f>
        <v>102.50669963842083</v>
      </c>
      <c r="AZ327" s="23">
        <v>324</v>
      </c>
      <c r="BA327" s="23">
        <v>45.958510134389357</v>
      </c>
      <c r="BB327" s="23">
        <v>47.452847239866877</v>
      </c>
      <c r="BC327" s="23">
        <v>49.402209294735208</v>
      </c>
      <c r="BD327" s="23">
        <v>50</v>
      </c>
      <c r="BE327" s="23">
        <v>50</v>
      </c>
    </row>
    <row r="328" spans="29:57" x14ac:dyDescent="0.15">
      <c r="AC328" s="23">
        <v>325</v>
      </c>
      <c r="AD328" s="23">
        <f>[1]节奏总纲!AD328</f>
        <v>83.478626218813432</v>
      </c>
      <c r="AE328" s="23">
        <f>[1]节奏总纲!AE328</f>
        <v>85.596003063072843</v>
      </c>
      <c r="AF328" s="23">
        <f>[1]节奏总纲!AF328</f>
        <v>88.614008799807635</v>
      </c>
      <c r="AG328" s="23">
        <f>[1]节奏总纲!AG328</f>
        <v>93.613389077332911</v>
      </c>
      <c r="AH328" s="23">
        <f>[1]节奏总纲!AH328</f>
        <v>102.55122920924025</v>
      </c>
      <c r="AZ328" s="23">
        <v>325</v>
      </c>
      <c r="BA328" s="23">
        <v>45.98082701761146</v>
      </c>
      <c r="BB328" s="23">
        <v>47.473634778189769</v>
      </c>
      <c r="BC328" s="23">
        <v>49.422869073731739</v>
      </c>
      <c r="BD328" s="23">
        <v>50</v>
      </c>
      <c r="BE328" s="23">
        <v>50</v>
      </c>
    </row>
    <row r="329" spans="29:57" x14ac:dyDescent="0.15">
      <c r="AC329" s="23">
        <v>326</v>
      </c>
      <c r="AD329" s="23">
        <f>[1]节奏总纲!AD329</f>
        <v>83.522832821242034</v>
      </c>
      <c r="AE329" s="23">
        <f>[1]节奏总纲!AE329</f>
        <v>85.640885479654855</v>
      </c>
      <c r="AF329" s="23">
        <f>[1]节奏总纲!AF329</f>
        <v>88.664779850018547</v>
      </c>
      <c r="AG329" s="23">
        <f>[1]节奏总纲!AG329</f>
        <v>93.66185683744574</v>
      </c>
      <c r="AH329" s="23">
        <f>[1]节奏总纲!AH329</f>
        <v>102.59575878005968</v>
      </c>
      <c r="AZ329" s="23">
        <v>326</v>
      </c>
      <c r="BA329" s="23">
        <v>46.002713830586146</v>
      </c>
      <c r="BB329" s="23">
        <v>47.494422316512662</v>
      </c>
      <c r="BC329" s="23">
        <v>49.443528852728278</v>
      </c>
      <c r="BD329" s="23">
        <v>50</v>
      </c>
      <c r="BE329" s="23">
        <v>50</v>
      </c>
    </row>
    <row r="330" spans="29:57" x14ac:dyDescent="0.15">
      <c r="AC330" s="23">
        <v>327</v>
      </c>
      <c r="AD330" s="23">
        <f>[1]节奏总纲!AD330</f>
        <v>83.56703942367065</v>
      </c>
      <c r="AE330" s="23">
        <f>[1]节奏总纲!AE330</f>
        <v>85.685767896236854</v>
      </c>
      <c r="AF330" s="23">
        <f>[1]节奏总纲!AF330</f>
        <v>88.715550900229445</v>
      </c>
      <c r="AG330" s="23">
        <f>[1]节奏总纲!AG330</f>
        <v>93.710324597558554</v>
      </c>
      <c r="AH330" s="23">
        <f>[1]节奏总纲!AH330</f>
        <v>102.64028835087912</v>
      </c>
      <c r="AZ330" s="23">
        <v>327</v>
      </c>
      <c r="BA330" s="23">
        <v>46.021977873404879</v>
      </c>
      <c r="BB330" s="23">
        <v>47.515209854835554</v>
      </c>
      <c r="BC330" s="23">
        <v>49.464188631724817</v>
      </c>
      <c r="BD330" s="23">
        <v>50</v>
      </c>
      <c r="BE330" s="23">
        <v>50</v>
      </c>
    </row>
    <row r="331" spans="29:57" x14ac:dyDescent="0.15">
      <c r="AC331" s="23">
        <v>328</v>
      </c>
      <c r="AD331" s="23">
        <f>[1]节奏总纲!AD331</f>
        <v>83.611246026099252</v>
      </c>
      <c r="AE331" s="23">
        <f>[1]节奏总纲!AE331</f>
        <v>85.730650312818852</v>
      </c>
      <c r="AF331" s="23">
        <f>[1]节奏总纲!AF331</f>
        <v>88.766321950440357</v>
      </c>
      <c r="AG331" s="23">
        <f>[1]节奏总纲!AG331</f>
        <v>93.758792357671382</v>
      </c>
      <c r="AH331" s="23">
        <f>[1]节奏总纲!AH331</f>
        <v>102.68481792169854</v>
      </c>
      <c r="AZ331" s="23">
        <v>328</v>
      </c>
      <c r="BA331" s="23">
        <v>46.041241916223605</v>
      </c>
      <c r="BB331" s="23">
        <v>47.535997393158453</v>
      </c>
      <c r="BC331" s="23">
        <v>49.484848410721355</v>
      </c>
      <c r="BD331" s="23">
        <v>50</v>
      </c>
      <c r="BE331" s="23">
        <v>50</v>
      </c>
    </row>
    <row r="332" spans="29:57" x14ac:dyDescent="0.15">
      <c r="AC332" s="23">
        <v>329</v>
      </c>
      <c r="AD332" s="23">
        <f>[1]节奏总纲!AD332</f>
        <v>83.655452628527868</v>
      </c>
      <c r="AE332" s="23">
        <f>[1]节奏总纲!AE332</f>
        <v>85.775532729400851</v>
      </c>
      <c r="AF332" s="23">
        <f>[1]节奏总纲!AF332</f>
        <v>88.817093000651269</v>
      </c>
      <c r="AG332" s="23">
        <f>[1]节奏总纲!AG332</f>
        <v>93.80726011778421</v>
      </c>
      <c r="AH332" s="23">
        <f>[1]节奏总纲!AH332</f>
        <v>102.72934749251797</v>
      </c>
      <c r="AZ332" s="23">
        <v>329</v>
      </c>
      <c r="BA332" s="23">
        <v>46.060505959042331</v>
      </c>
      <c r="BB332" s="23">
        <v>47.556784931481346</v>
      </c>
      <c r="BC332" s="23">
        <v>49.505508189717887</v>
      </c>
      <c r="BD332" s="23">
        <v>50</v>
      </c>
      <c r="BE332" s="23">
        <v>50</v>
      </c>
    </row>
    <row r="333" spans="29:57" x14ac:dyDescent="0.15">
      <c r="AC333" s="23">
        <v>330</v>
      </c>
      <c r="AD333" s="23">
        <f>[1]节奏总纲!AD333</f>
        <v>83.69965923095647</v>
      </c>
      <c r="AE333" s="23">
        <f>[1]节奏总纲!AE333</f>
        <v>85.820415145982849</v>
      </c>
      <c r="AF333" s="23">
        <f>[1]节奏总纲!AF333</f>
        <v>88.867864050862167</v>
      </c>
      <c r="AG333" s="23">
        <f>[1]节奏总纲!AG333</f>
        <v>93.855727877897039</v>
      </c>
      <c r="AH333" s="23">
        <f>[1]节奏总纲!AH333</f>
        <v>102.77387706333741</v>
      </c>
      <c r="AZ333" s="23">
        <v>330</v>
      </c>
      <c r="BA333" s="23">
        <v>46.079770001861057</v>
      </c>
      <c r="BB333" s="23">
        <v>47.577572469804238</v>
      </c>
      <c r="BC333" s="23">
        <v>49.526167968714425</v>
      </c>
      <c r="BD333" s="23">
        <v>50</v>
      </c>
      <c r="BE333" s="23">
        <v>50</v>
      </c>
    </row>
    <row r="334" spans="29:57" x14ac:dyDescent="0.15">
      <c r="AC334" s="23">
        <v>331</v>
      </c>
      <c r="AD334" s="23">
        <f>[1]节奏总纲!AD334</f>
        <v>83.743865833385087</v>
      </c>
      <c r="AE334" s="23">
        <f>[1]节奏总纲!AE334</f>
        <v>85.865297562564862</v>
      </c>
      <c r="AF334" s="23">
        <f>[1]节奏总纲!AF334</f>
        <v>88.918635101073079</v>
      </c>
      <c r="AG334" s="23">
        <f>[1]节奏总纲!AG334</f>
        <v>93.904195638009867</v>
      </c>
      <c r="AH334" s="23">
        <f>[1]节奏总纲!AH334</f>
        <v>102.81840663415684</v>
      </c>
      <c r="AZ334" s="23">
        <v>331</v>
      </c>
      <c r="BA334" s="23">
        <v>46.099034044679783</v>
      </c>
      <c r="BB334" s="23">
        <v>47.598360008127131</v>
      </c>
      <c r="BC334" s="23">
        <v>49.546827747710964</v>
      </c>
      <c r="BD334" s="23">
        <v>50</v>
      </c>
      <c r="BE334" s="23">
        <v>50</v>
      </c>
    </row>
    <row r="335" spans="29:57" x14ac:dyDescent="0.15">
      <c r="AC335" s="23">
        <v>332</v>
      </c>
      <c r="AD335" s="23">
        <f>[1]节奏总纲!AD335</f>
        <v>83.788072435813689</v>
      </c>
      <c r="AE335" s="23">
        <f>[1]节奏总纲!AE335</f>
        <v>85.910179979146861</v>
      </c>
      <c r="AF335" s="23">
        <f>[1]节奏总纲!AF335</f>
        <v>88.969406151283977</v>
      </c>
      <c r="AG335" s="23">
        <f>[1]节奏总纲!AG335</f>
        <v>93.952663398122695</v>
      </c>
      <c r="AH335" s="23">
        <f>[1]节奏总纲!AH335</f>
        <v>102.86293620497626</v>
      </c>
      <c r="AZ335" s="23">
        <v>332</v>
      </c>
      <c r="BA335" s="23">
        <v>46.118298087498509</v>
      </c>
      <c r="BB335" s="23">
        <v>47.619147546450023</v>
      </c>
      <c r="BC335" s="23">
        <v>49.567487526707502</v>
      </c>
      <c r="BD335" s="23">
        <v>50</v>
      </c>
      <c r="BE335" s="23">
        <v>50</v>
      </c>
    </row>
    <row r="336" spans="29:57" x14ac:dyDescent="0.15">
      <c r="AC336" s="23">
        <v>333</v>
      </c>
      <c r="AD336" s="23">
        <f>[1]节奏总纲!AD336</f>
        <v>83.832279038242305</v>
      </c>
      <c r="AE336" s="23">
        <f>[1]节奏总纲!AE336</f>
        <v>85.955062395728859</v>
      </c>
      <c r="AF336" s="23">
        <f>[1]节奏总纲!AF336</f>
        <v>89.018779040163423</v>
      </c>
      <c r="AG336" s="23">
        <f>[1]节奏总纲!AG336</f>
        <v>94.001027891564647</v>
      </c>
      <c r="AH336" s="23">
        <f>[1]节奏总纲!AH336</f>
        <v>102.9074657757957</v>
      </c>
      <c r="AZ336" s="23">
        <v>333</v>
      </c>
      <c r="BA336" s="23">
        <v>46.137562130317242</v>
      </c>
      <c r="BB336" s="23">
        <v>47.639935084772922</v>
      </c>
      <c r="BC336" s="23">
        <v>49.588147305704041</v>
      </c>
      <c r="BD336" s="23">
        <v>50</v>
      </c>
      <c r="BE336" s="23">
        <v>50</v>
      </c>
    </row>
    <row r="337" spans="29:57" x14ac:dyDescent="0.15">
      <c r="AC337" s="23">
        <v>334</v>
      </c>
      <c r="AD337" s="23">
        <f>[1]节奏总纲!AD337</f>
        <v>83.876485640670907</v>
      </c>
      <c r="AE337" s="23">
        <f>[1]节奏总纲!AE337</f>
        <v>85.999944812310858</v>
      </c>
      <c r="AF337" s="23">
        <f>[1]节奏总纲!AF337</f>
        <v>89.066031955355442</v>
      </c>
      <c r="AG337" s="23">
        <f>[1]节奏总纲!AG337</f>
        <v>94.045070891220206</v>
      </c>
      <c r="AH337" s="23">
        <f>[1]节奏总纲!AH337</f>
        <v>102.95199534661513</v>
      </c>
      <c r="AZ337" s="23">
        <v>334</v>
      </c>
      <c r="BA337" s="23">
        <v>46.156826173135968</v>
      </c>
      <c r="BB337" s="23">
        <v>47.660722623095815</v>
      </c>
      <c r="BC337" s="23">
        <v>49.608807084700572</v>
      </c>
      <c r="BD337" s="23">
        <v>50</v>
      </c>
      <c r="BE337" s="23">
        <v>50</v>
      </c>
    </row>
    <row r="338" spans="29:57" x14ac:dyDescent="0.15">
      <c r="AC338" s="23">
        <v>335</v>
      </c>
      <c r="AD338" s="23">
        <f>[1]节奏总纲!AD338</f>
        <v>83.920692243099523</v>
      </c>
      <c r="AE338" s="23">
        <f>[1]节奏总纲!AE338</f>
        <v>86.041129946887025</v>
      </c>
      <c r="AF338" s="23">
        <f>[1]节奏总纲!AF338</f>
        <v>89.113284870547446</v>
      </c>
      <c r="AG338" s="23">
        <f>[1]节奏总纲!AG338</f>
        <v>94.089113890875765</v>
      </c>
      <c r="AH338" s="23">
        <f>[1]节奏总纲!AH338</f>
        <v>102.99652491743456</v>
      </c>
      <c r="AZ338" s="23">
        <v>335</v>
      </c>
      <c r="BA338" s="23">
        <v>46.176090215954694</v>
      </c>
      <c r="BB338" s="23">
        <v>47.681510161418707</v>
      </c>
      <c r="BC338" s="23">
        <v>49.629466863697111</v>
      </c>
      <c r="BD338" s="23">
        <v>50</v>
      </c>
      <c r="BE338" s="23">
        <v>50</v>
      </c>
    </row>
    <row r="339" spans="29:57" x14ac:dyDescent="0.15">
      <c r="AC339" s="23">
        <v>336</v>
      </c>
      <c r="AD339" s="23">
        <f>[1]节奏总纲!AD339</f>
        <v>83.964898845528126</v>
      </c>
      <c r="AE339" s="23">
        <f>[1]节奏总纲!AE339</f>
        <v>86.082310529666103</v>
      </c>
      <c r="AF339" s="23">
        <f>[1]节奏总纲!AF339</f>
        <v>89.16053778573945</v>
      </c>
      <c r="AG339" s="23">
        <f>[1]节奏总纲!AG339</f>
        <v>94.133156890531339</v>
      </c>
      <c r="AH339" s="23">
        <f>[1]节奏总纲!AH339</f>
        <v>103.03627054084417</v>
      </c>
      <c r="AZ339" s="23">
        <v>336</v>
      </c>
      <c r="BA339" s="23">
        <v>46.19535425877342</v>
      </c>
      <c r="BB339" s="23">
        <v>47.7022976997416</v>
      </c>
      <c r="BC339" s="23">
        <v>49.65012664269365</v>
      </c>
      <c r="BD339" s="23">
        <v>50</v>
      </c>
      <c r="BE339" s="23">
        <v>50</v>
      </c>
    </row>
    <row r="340" spans="29:57" x14ac:dyDescent="0.15">
      <c r="AC340" s="23">
        <v>337</v>
      </c>
      <c r="AD340" s="23">
        <f>[1]节奏总纲!AD340</f>
        <v>84.008495683346354</v>
      </c>
      <c r="AE340" s="23">
        <f>[1]节奏总纲!AE340</f>
        <v>86.12349111244518</v>
      </c>
      <c r="AF340" s="23">
        <f>[1]节奏总纲!AF340</f>
        <v>89.207790700931454</v>
      </c>
      <c r="AG340" s="23">
        <f>[1]节奏总纲!AG340</f>
        <v>94.177199890186898</v>
      </c>
      <c r="AH340" s="23">
        <f>[1]节奏总纲!AH340</f>
        <v>103.07561122406466</v>
      </c>
      <c r="AZ340" s="23">
        <v>337</v>
      </c>
      <c r="BA340" s="23">
        <v>46.214618301592147</v>
      </c>
      <c r="BB340" s="23">
        <v>47.723085238064499</v>
      </c>
      <c r="BC340" s="23">
        <v>49.670786421690188</v>
      </c>
      <c r="BD340" s="23">
        <v>50</v>
      </c>
      <c r="BE340" s="23">
        <v>50</v>
      </c>
    </row>
    <row r="341" spans="29:57" x14ac:dyDescent="0.15">
      <c r="AC341" s="23">
        <v>338</v>
      </c>
      <c r="AD341" s="23">
        <f>[1]节奏总纲!AD341</f>
        <v>84.049741901856009</v>
      </c>
      <c r="AE341" s="23">
        <f>[1]节奏总纲!AE341</f>
        <v>86.164671695224243</v>
      </c>
      <c r="AF341" s="23">
        <f>[1]节奏总纲!AF341</f>
        <v>89.255043616123459</v>
      </c>
      <c r="AG341" s="23">
        <f>[1]节奏总纲!AG341</f>
        <v>94.221242889842458</v>
      </c>
      <c r="AH341" s="23">
        <f>[1]节奏总纲!AH341</f>
        <v>103.11495190728516</v>
      </c>
      <c r="AZ341" s="23">
        <v>338</v>
      </c>
      <c r="BA341" s="23">
        <v>46.23388234441088</v>
      </c>
      <c r="BB341" s="23">
        <v>47.743872776387391</v>
      </c>
      <c r="BC341" s="23">
        <v>49.69144620068672</v>
      </c>
      <c r="BD341" s="23">
        <v>50</v>
      </c>
      <c r="BE341" s="23">
        <v>50</v>
      </c>
    </row>
    <row r="342" spans="29:57" x14ac:dyDescent="0.15">
      <c r="AC342" s="23">
        <v>339</v>
      </c>
      <c r="AD342" s="23">
        <f>[1]节奏总纲!AD342</f>
        <v>84.090988120365651</v>
      </c>
      <c r="AE342" s="23">
        <f>[1]节奏总纲!AE342</f>
        <v>86.20585227800332</v>
      </c>
      <c r="AF342" s="23">
        <f>[1]节奏总纲!AF342</f>
        <v>89.302296531315463</v>
      </c>
      <c r="AG342" s="23">
        <f>[1]节奏总纲!AG342</f>
        <v>94.265285889498017</v>
      </c>
      <c r="AH342" s="23">
        <f>[1]节奏总纲!AH342</f>
        <v>103.15429259050565</v>
      </c>
      <c r="AZ342" s="23">
        <v>339</v>
      </c>
      <c r="BA342" s="23">
        <v>46.253146387229606</v>
      </c>
      <c r="BB342" s="23">
        <v>47.764660314710284</v>
      </c>
      <c r="BC342" s="23">
        <v>49.712105979683258</v>
      </c>
      <c r="BD342" s="23">
        <v>50</v>
      </c>
      <c r="BE342" s="23">
        <v>50</v>
      </c>
    </row>
    <row r="343" spans="29:57" x14ac:dyDescent="0.15">
      <c r="AC343" s="23">
        <v>340</v>
      </c>
      <c r="AD343" s="23">
        <f>[1]节奏总纲!AD343</f>
        <v>84.132234338875293</v>
      </c>
      <c r="AE343" s="23">
        <f>[1]节奏总纲!AE343</f>
        <v>86.247032860782397</v>
      </c>
      <c r="AF343" s="23">
        <f>[1]节奏总纲!AF343</f>
        <v>89.349549446507467</v>
      </c>
      <c r="AG343" s="23">
        <f>[1]节奏总纲!AG343</f>
        <v>94.309328889153576</v>
      </c>
      <c r="AH343" s="23">
        <f>[1]节奏总纲!AH343</f>
        <v>103.19363327372614</v>
      </c>
      <c r="AZ343" s="23">
        <v>340</v>
      </c>
      <c r="BA343" s="23">
        <v>46.272410430048332</v>
      </c>
      <c r="BB343" s="23">
        <v>47.785447853033176</v>
      </c>
      <c r="BC343" s="23">
        <v>49.732765758679797</v>
      </c>
      <c r="BD343" s="23">
        <v>50</v>
      </c>
      <c r="BE343" s="23">
        <v>50</v>
      </c>
    </row>
    <row r="344" spans="29:57" x14ac:dyDescent="0.15">
      <c r="AC344" s="23">
        <v>341</v>
      </c>
      <c r="AD344" s="23">
        <f>[1]节奏总纲!AD344</f>
        <v>84.173480557384934</v>
      </c>
      <c r="AE344" s="23">
        <f>[1]节奏总纲!AE344</f>
        <v>86.288213443561474</v>
      </c>
      <c r="AF344" s="23">
        <f>[1]节奏总纲!AF344</f>
        <v>89.396802361699486</v>
      </c>
      <c r="AG344" s="23">
        <f>[1]节奏总纲!AG344</f>
        <v>94.35337188880915</v>
      </c>
      <c r="AH344" s="23">
        <f>[1]节奏总纲!AH344</f>
        <v>103.23297395694664</v>
      </c>
      <c r="AZ344" s="23">
        <v>341</v>
      </c>
      <c r="BA344" s="23">
        <v>46.291674472867058</v>
      </c>
      <c r="BB344" s="23">
        <v>47.806235391356068</v>
      </c>
      <c r="BC344" s="23">
        <v>49.753425537676335</v>
      </c>
      <c r="BD344" s="23">
        <v>50</v>
      </c>
      <c r="BE344" s="23">
        <v>50</v>
      </c>
    </row>
    <row r="345" spans="29:57" x14ac:dyDescent="0.15">
      <c r="AC345" s="23">
        <v>342</v>
      </c>
      <c r="AD345" s="23">
        <f>[1]节奏总纲!AD345</f>
        <v>84.214726775894576</v>
      </c>
      <c r="AE345" s="23">
        <f>[1]节奏总纲!AE345</f>
        <v>86.329394026340537</v>
      </c>
      <c r="AF345" s="23">
        <f>[1]节奏总纲!AF345</f>
        <v>89.44405527689149</v>
      </c>
      <c r="AG345" s="23">
        <f>[1]节奏总纲!AG345</f>
        <v>94.397414888464709</v>
      </c>
      <c r="AH345" s="23">
        <f>[1]节奏总纲!AH345</f>
        <v>103.27231464016712</v>
      </c>
      <c r="AZ345" s="23">
        <v>342</v>
      </c>
      <c r="BA345" s="23">
        <v>46.310938515685784</v>
      </c>
      <c r="BB345" s="23">
        <v>47.827022929678968</v>
      </c>
      <c r="BC345" s="23">
        <v>49.774085316672867</v>
      </c>
      <c r="BD345" s="23">
        <v>50</v>
      </c>
      <c r="BE345" s="23">
        <v>50</v>
      </c>
    </row>
    <row r="346" spans="29:57" x14ac:dyDescent="0.15">
      <c r="AC346" s="23">
        <v>343</v>
      </c>
      <c r="AD346" s="23">
        <f>[1]节奏总纲!AD346</f>
        <v>84.255972994404218</v>
      </c>
      <c r="AE346" s="23">
        <f>[1]节奏总纲!AE346</f>
        <v>86.370574609119615</v>
      </c>
      <c r="AF346" s="23">
        <f>[1]节奏总纲!AF346</f>
        <v>89.491308192083494</v>
      </c>
      <c r="AG346" s="23">
        <f>[1]节奏总纲!AG346</f>
        <v>94.441457888120269</v>
      </c>
      <c r="AH346" s="23">
        <f>[1]节奏总纲!AH346</f>
        <v>103.31165532338761</v>
      </c>
      <c r="AZ346" s="23">
        <v>343</v>
      </c>
      <c r="BA346" s="23">
        <v>46.330202558504517</v>
      </c>
      <c r="BB346" s="23">
        <v>47.84781046800186</v>
      </c>
      <c r="BC346" s="23">
        <v>49.794745095669406</v>
      </c>
      <c r="BD346" s="23">
        <v>50</v>
      </c>
      <c r="BE346" s="23">
        <v>50</v>
      </c>
    </row>
    <row r="347" spans="29:57" x14ac:dyDescent="0.15">
      <c r="AC347" s="23">
        <v>344</v>
      </c>
      <c r="AD347" s="23">
        <f>[1]节奏总纲!AD347</f>
        <v>84.297219212913859</v>
      </c>
      <c r="AE347" s="23">
        <f>[1]节奏总纲!AE347</f>
        <v>86.411755191898692</v>
      </c>
      <c r="AF347" s="23">
        <f>[1]节奏总纲!AF347</f>
        <v>89.538561107275498</v>
      </c>
      <c r="AG347" s="23">
        <f>[1]节奏总纲!AG347</f>
        <v>94.485500887775828</v>
      </c>
      <c r="AH347" s="23">
        <f>[1]节奏总纲!AH347</f>
        <v>103.35099600660811</v>
      </c>
      <c r="AZ347" s="23">
        <v>344</v>
      </c>
      <c r="BA347" s="23">
        <v>46.349466601323243</v>
      </c>
      <c r="BB347" s="23">
        <v>47.868598006324753</v>
      </c>
      <c r="BC347" s="23">
        <v>49.815404874665944</v>
      </c>
      <c r="BD347" s="23">
        <v>50</v>
      </c>
      <c r="BE347" s="23">
        <v>50</v>
      </c>
    </row>
    <row r="348" spans="29:57" x14ac:dyDescent="0.15">
      <c r="AC348" s="23">
        <v>345</v>
      </c>
      <c r="AD348" s="23">
        <f>[1]节奏总纲!AD348</f>
        <v>84.338465431423501</v>
      </c>
      <c r="AE348" s="23">
        <f>[1]节奏总纲!AE348</f>
        <v>86.452935774677769</v>
      </c>
      <c r="AF348" s="23">
        <f>[1]节奏总纲!AF348</f>
        <v>89.585814022467503</v>
      </c>
      <c r="AG348" s="23">
        <f>[1]节奏总纲!AG348</f>
        <v>94.529543887431387</v>
      </c>
      <c r="AH348" s="23">
        <f>[1]节奏总纲!AH348</f>
        <v>103.3903366898286</v>
      </c>
      <c r="AZ348" s="23">
        <v>345</v>
      </c>
      <c r="BA348" s="23">
        <v>46.368730644141969</v>
      </c>
      <c r="BB348" s="23">
        <v>47.889385544647645</v>
      </c>
      <c r="BC348" s="23">
        <v>49.836064653662483</v>
      </c>
      <c r="BD348" s="23">
        <v>50</v>
      </c>
      <c r="BE348" s="23">
        <v>50</v>
      </c>
    </row>
    <row r="349" spans="29:57" x14ac:dyDescent="0.15">
      <c r="AC349" s="23">
        <v>346</v>
      </c>
      <c r="AD349" s="23">
        <f>[1]节奏总纲!AD349</f>
        <v>84.379711649933142</v>
      </c>
      <c r="AE349" s="23">
        <f>[1]节奏总纲!AE349</f>
        <v>86.494116357456846</v>
      </c>
      <c r="AF349" s="23">
        <f>[1]节奏总纲!AF349</f>
        <v>89.633066937659507</v>
      </c>
      <c r="AG349" s="23">
        <f>[1]节奏总纲!AG349</f>
        <v>94.573586887086947</v>
      </c>
      <c r="AH349" s="23">
        <f>[1]节奏总纲!AH349</f>
        <v>103.42967737304909</v>
      </c>
      <c r="AZ349" s="23">
        <v>346</v>
      </c>
      <c r="BA349" s="23">
        <v>46.387994686960695</v>
      </c>
      <c r="BB349" s="23">
        <v>47.910173082970537</v>
      </c>
      <c r="BC349" s="23">
        <v>49.856724432659014</v>
      </c>
      <c r="BD349" s="23">
        <v>50</v>
      </c>
      <c r="BE349" s="23">
        <v>50</v>
      </c>
    </row>
    <row r="350" spans="29:57" x14ac:dyDescent="0.15">
      <c r="AC350" s="23">
        <v>347</v>
      </c>
      <c r="AD350" s="23">
        <f>[1]节奏总纲!AD350</f>
        <v>84.420957868442784</v>
      </c>
      <c r="AE350" s="23">
        <f>[1]节奏总纲!AE350</f>
        <v>86.535296940235909</v>
      </c>
      <c r="AF350" s="23">
        <f>[1]节奏总纲!AF350</f>
        <v>89.680319852851511</v>
      </c>
      <c r="AG350" s="23">
        <f>[1]节奏总纲!AG350</f>
        <v>94.61762988674252</v>
      </c>
      <c r="AH350" s="23">
        <f>[1]节奏总纲!AH350</f>
        <v>103.46901805626959</v>
      </c>
      <c r="AZ350" s="23">
        <v>347</v>
      </c>
      <c r="BA350" s="23">
        <v>46.407258729779421</v>
      </c>
      <c r="BB350" s="23">
        <v>47.930960621293437</v>
      </c>
      <c r="BC350" s="23">
        <v>49.877384211655553</v>
      </c>
      <c r="BD350" s="23">
        <v>50</v>
      </c>
      <c r="BE350" s="23">
        <v>50</v>
      </c>
    </row>
    <row r="351" spans="29:57" x14ac:dyDescent="0.15">
      <c r="AC351" s="23">
        <v>348</v>
      </c>
      <c r="AD351" s="23">
        <f>[1]节奏总纲!AD351</f>
        <v>84.462204086952426</v>
      </c>
      <c r="AE351" s="23">
        <f>[1]节奏总纲!AE351</f>
        <v>86.576477523014987</v>
      </c>
      <c r="AF351" s="23">
        <f>[1]节奏总纲!AF351</f>
        <v>89.72757276804353</v>
      </c>
      <c r="AG351" s="23">
        <f>[1]节奏总纲!AG351</f>
        <v>94.66167288639808</v>
      </c>
      <c r="AH351" s="23">
        <f>[1]节奏总纲!AH351</f>
        <v>103.50835873949008</v>
      </c>
      <c r="AZ351" s="23">
        <v>348</v>
      </c>
      <c r="BA351" s="23">
        <v>46.426522772598148</v>
      </c>
      <c r="BB351" s="23">
        <v>47.951748159616329</v>
      </c>
      <c r="BC351" s="23">
        <v>49.898043990652091</v>
      </c>
      <c r="BD351" s="23">
        <v>50</v>
      </c>
      <c r="BE351" s="23">
        <v>50</v>
      </c>
    </row>
    <row r="352" spans="29:57" x14ac:dyDescent="0.15">
      <c r="AC352" s="23">
        <v>349</v>
      </c>
      <c r="AD352" s="23">
        <f>[1]节奏总纲!AD352</f>
        <v>84.503450305462081</v>
      </c>
      <c r="AE352" s="23">
        <f>[1]节奏总纲!AE352</f>
        <v>86.617658105794064</v>
      </c>
      <c r="AF352" s="23">
        <f>[1]节奏总纲!AF352</f>
        <v>89.774825683235534</v>
      </c>
      <c r="AG352" s="23">
        <f>[1]节奏总纲!AG352</f>
        <v>94.705715886053639</v>
      </c>
      <c r="AH352" s="23">
        <f>[1]节奏总纲!AH352</f>
        <v>103.54769942271056</v>
      </c>
      <c r="AZ352" s="23">
        <v>349</v>
      </c>
      <c r="BA352" s="23">
        <v>46.445786815416881</v>
      </c>
      <c r="BB352" s="23">
        <v>47.972535697939222</v>
      </c>
      <c r="BC352" s="23">
        <v>49.91870376964863</v>
      </c>
      <c r="BD352" s="23">
        <v>50</v>
      </c>
      <c r="BE352" s="23">
        <v>50</v>
      </c>
    </row>
    <row r="353" spans="29:57" x14ac:dyDescent="0.15">
      <c r="AC353" s="23">
        <v>350</v>
      </c>
      <c r="AD353" s="23">
        <f>[1]节奏总纲!AD353</f>
        <v>84.544696523971723</v>
      </c>
      <c r="AE353" s="23">
        <f>[1]节奏总纲!AE353</f>
        <v>86.658838688573141</v>
      </c>
      <c r="AF353" s="23">
        <f>[1]节奏总纲!AF353</f>
        <v>89.822078598427538</v>
      </c>
      <c r="AG353" s="23">
        <f>[1]节奏总纲!AG353</f>
        <v>94.749758885709198</v>
      </c>
      <c r="AH353" s="23">
        <f>[1]节奏总纲!AH353</f>
        <v>103.58704010593105</v>
      </c>
      <c r="AZ353" s="23">
        <v>350</v>
      </c>
      <c r="BA353" s="23">
        <v>46.465050858235607</v>
      </c>
      <c r="BB353" s="23">
        <v>47.993323236262114</v>
      </c>
      <c r="BC353" s="23">
        <v>49.939363548645169</v>
      </c>
      <c r="BD353" s="23">
        <v>50</v>
      </c>
      <c r="BE353" s="23">
        <v>50</v>
      </c>
    </row>
    <row r="354" spans="29:57" x14ac:dyDescent="0.15">
      <c r="AC354" s="23">
        <v>351</v>
      </c>
      <c r="AD354" s="23">
        <f>[1]节奏总纲!AD354</f>
        <v>84.585942742481365</v>
      </c>
      <c r="AE354" s="23">
        <f>[1]节奏总纲!AE354</f>
        <v>86.700019271352204</v>
      </c>
      <c r="AF354" s="23">
        <f>[1]节奏总纲!AF354</f>
        <v>89.869331513619542</v>
      </c>
      <c r="AG354" s="23">
        <f>[1]节奏总纲!AG354</f>
        <v>94.793801885364758</v>
      </c>
      <c r="AH354" s="23">
        <f>[1]节奏总纲!AH354</f>
        <v>103.62638078915155</v>
      </c>
      <c r="AZ354" s="23">
        <v>351</v>
      </c>
      <c r="BA354" s="23">
        <v>46.484314901054333</v>
      </c>
      <c r="BB354" s="23">
        <v>48.012182251254622</v>
      </c>
      <c r="BC354" s="23">
        <v>49.9600233276417</v>
      </c>
      <c r="BD354" s="23">
        <v>50</v>
      </c>
      <c r="BE354" s="23">
        <v>50</v>
      </c>
    </row>
    <row r="355" spans="29:57" x14ac:dyDescent="0.15">
      <c r="AC355" s="23">
        <v>352</v>
      </c>
      <c r="AD355" s="23">
        <f>[1]节奏总纲!AD355</f>
        <v>84.627188960991006</v>
      </c>
      <c r="AE355" s="23">
        <f>[1]节奏总纲!AE355</f>
        <v>86.741199854131281</v>
      </c>
      <c r="AF355" s="23">
        <f>[1]节奏总纲!AF355</f>
        <v>89.916584428811547</v>
      </c>
      <c r="AG355" s="23">
        <f>[1]节奏总纲!AG355</f>
        <v>94.837844885020331</v>
      </c>
      <c r="AH355" s="23">
        <f>[1]节奏总纲!AH355</f>
        <v>103.66572147237204</v>
      </c>
      <c r="AZ355" s="23">
        <v>352</v>
      </c>
      <c r="BA355" s="23">
        <v>46.503578943873059</v>
      </c>
      <c r="BB355" s="23">
        <v>48.030128751164234</v>
      </c>
      <c r="BC355" s="23">
        <v>49.980683106638239</v>
      </c>
      <c r="BD355" s="23">
        <v>50</v>
      </c>
      <c r="BE355" s="23">
        <v>50</v>
      </c>
    </row>
    <row r="356" spans="29:57" x14ac:dyDescent="0.15">
      <c r="AC356" s="23">
        <v>353</v>
      </c>
      <c r="AD356" s="23">
        <f>[1]节奏总纲!AD356</f>
        <v>84.668435179500648</v>
      </c>
      <c r="AE356" s="23">
        <f>[1]节奏总纲!AE356</f>
        <v>86.782380436910358</v>
      </c>
      <c r="AF356" s="23">
        <f>[1]节奏总纲!AF356</f>
        <v>89.963837344003551</v>
      </c>
      <c r="AG356" s="23">
        <f>[1]节奏总纲!AG356</f>
        <v>94.881887884675891</v>
      </c>
      <c r="AH356" s="23">
        <f>[1]节奏总纲!AH356</f>
        <v>103.70506215559253</v>
      </c>
      <c r="AZ356" s="23">
        <v>353</v>
      </c>
      <c r="BA356" s="23">
        <v>46.522842986691785</v>
      </c>
      <c r="BB356" s="23">
        <v>48.048075251073854</v>
      </c>
      <c r="BC356" s="23">
        <v>50</v>
      </c>
      <c r="BD356" s="23">
        <v>50</v>
      </c>
      <c r="BE356" s="23">
        <v>50</v>
      </c>
    </row>
    <row r="357" spans="29:57" x14ac:dyDescent="0.15">
      <c r="AC357" s="23">
        <v>354</v>
      </c>
      <c r="AD357" s="23">
        <f>[1]节奏总纲!AD357</f>
        <v>84.709681398010289</v>
      </c>
      <c r="AE357" s="23">
        <f>[1]节奏总纲!AE357</f>
        <v>86.823561019689436</v>
      </c>
      <c r="AF357" s="23">
        <f>[1]节奏总纲!AF357</f>
        <v>90.009512113271555</v>
      </c>
      <c r="AG357" s="23">
        <f>[1]节奏总纲!AG357</f>
        <v>94.92593088433145</v>
      </c>
      <c r="AH357" s="23">
        <f>[1]节奏总纲!AH357</f>
        <v>103.74440283881303</v>
      </c>
      <c r="AZ357" s="23">
        <v>354</v>
      </c>
      <c r="BA357" s="23">
        <v>46.542107029510518</v>
      </c>
      <c r="BB357" s="23">
        <v>48.066021750983474</v>
      </c>
      <c r="BC357" s="23">
        <v>50</v>
      </c>
      <c r="BD357" s="23">
        <v>50</v>
      </c>
      <c r="BE357" s="23">
        <v>50</v>
      </c>
    </row>
    <row r="358" spans="29:57" x14ac:dyDescent="0.15">
      <c r="AC358" s="23">
        <v>355</v>
      </c>
      <c r="AD358" s="23">
        <f>[1]节奏总纲!AD358</f>
        <v>84.750927616519931</v>
      </c>
      <c r="AE358" s="23">
        <f>[1]节奏总纲!AE358</f>
        <v>86.864741602468499</v>
      </c>
      <c r="AF358" s="23">
        <f>[1]节奏总纲!AF358</f>
        <v>90.050040929937737</v>
      </c>
      <c r="AG358" s="23">
        <f>[1]节奏总纲!AG358</f>
        <v>94.969973883987009</v>
      </c>
      <c r="AH358" s="23">
        <f>[1]节奏总纲!AH358</f>
        <v>103.78374352203352</v>
      </c>
      <c r="AZ358" s="23">
        <v>355</v>
      </c>
      <c r="BA358" s="23">
        <v>46.561371072329244</v>
      </c>
      <c r="BB358" s="23">
        <v>48.083968250893093</v>
      </c>
      <c r="BC358" s="23">
        <v>50</v>
      </c>
      <c r="BD358" s="23">
        <v>50</v>
      </c>
      <c r="BE358" s="23">
        <v>50</v>
      </c>
    </row>
    <row r="359" spans="29:57" x14ac:dyDescent="0.15">
      <c r="AC359" s="23">
        <v>356</v>
      </c>
      <c r="AD359" s="23">
        <f>[1]节奏总纲!AD359</f>
        <v>84.792173835029573</v>
      </c>
      <c r="AE359" s="23">
        <f>[1]节奏总纲!AE359</f>
        <v>86.905922185247576</v>
      </c>
      <c r="AF359" s="23">
        <f>[1]节奏总纲!AF359</f>
        <v>90.090569746603933</v>
      </c>
      <c r="AG359" s="23">
        <f>[1]节奏总纲!AG359</f>
        <v>95.012878924987305</v>
      </c>
      <c r="AH359" s="23">
        <f>[1]节奏总纲!AH359</f>
        <v>103.82308420525401</v>
      </c>
      <c r="AZ359" s="23">
        <v>356</v>
      </c>
      <c r="BA359" s="23">
        <v>46.58063511514797</v>
      </c>
      <c r="BB359" s="23">
        <v>48.101914750802706</v>
      </c>
      <c r="BC359" s="23">
        <v>50</v>
      </c>
      <c r="BD359" s="23">
        <v>50</v>
      </c>
      <c r="BE359" s="23">
        <v>50</v>
      </c>
    </row>
    <row r="360" spans="29:57" x14ac:dyDescent="0.15">
      <c r="AC360" s="23">
        <v>357</v>
      </c>
      <c r="AD360" s="23">
        <f>[1]节奏总纲!AD360</f>
        <v>84.833420053539214</v>
      </c>
      <c r="AE360" s="23">
        <f>[1]节奏总纲!AE360</f>
        <v>86.947102768026653</v>
      </c>
      <c r="AF360" s="23">
        <f>[1]节奏总纲!AF360</f>
        <v>90.131098563270129</v>
      </c>
      <c r="AG360" s="23">
        <f>[1]节奏总纲!AG360</f>
        <v>95.053346300136027</v>
      </c>
      <c r="AH360" s="23">
        <f>[1]节奏总纲!AH360</f>
        <v>103.86242488847451</v>
      </c>
      <c r="AZ360" s="23">
        <v>357</v>
      </c>
      <c r="BA360" s="23">
        <v>46.599899157966696</v>
      </c>
      <c r="BB360" s="23">
        <v>48.119861250712326</v>
      </c>
      <c r="BC360" s="23">
        <v>50</v>
      </c>
      <c r="BD360" s="23">
        <v>50</v>
      </c>
      <c r="BE360" s="23">
        <v>50</v>
      </c>
    </row>
    <row r="361" spans="29:57" x14ac:dyDescent="0.15">
      <c r="AC361" s="23">
        <v>358</v>
      </c>
      <c r="AD361" s="23">
        <f>[1]节奏总纲!AD361</f>
        <v>84.874666272048856</v>
      </c>
      <c r="AE361" s="23">
        <f>[1]节奏总纲!AE361</f>
        <v>86.98828335080573</v>
      </c>
      <c r="AF361" s="23">
        <f>[1]节奏总纲!AF361</f>
        <v>90.171627379936311</v>
      </c>
      <c r="AG361" s="23">
        <f>[1]节奏总纲!AG361</f>
        <v>95.09381367528475</v>
      </c>
      <c r="AH361" s="23">
        <f>[1]节奏总纲!AH361</f>
        <v>103.90176557169499</v>
      </c>
      <c r="AZ361" s="23">
        <v>358</v>
      </c>
      <c r="BA361" s="23">
        <v>46.619163200785422</v>
      </c>
      <c r="BB361" s="23">
        <v>48.137807750621946</v>
      </c>
      <c r="BC361" s="23">
        <v>50</v>
      </c>
      <c r="BD361" s="23">
        <v>50</v>
      </c>
      <c r="BE361" s="23">
        <v>50</v>
      </c>
    </row>
    <row r="362" spans="29:57" x14ac:dyDescent="0.15">
      <c r="AC362" s="23">
        <v>359</v>
      </c>
      <c r="AD362" s="23">
        <f>[1]节奏总纲!AD362</f>
        <v>84.915912490558497</v>
      </c>
      <c r="AE362" s="23">
        <f>[1]节奏总纲!AE362</f>
        <v>87.027010646912942</v>
      </c>
      <c r="AF362" s="23">
        <f>[1]节奏总纲!AF362</f>
        <v>90.212156196602507</v>
      </c>
      <c r="AG362" s="23">
        <f>[1]节奏总纲!AG362</f>
        <v>95.134281050433472</v>
      </c>
      <c r="AH362" s="23">
        <f>[1]节奏总纲!AH362</f>
        <v>103.94110625491548</v>
      </c>
      <c r="AZ362" s="23">
        <v>359</v>
      </c>
      <c r="BA362" s="23">
        <v>46.638427243604156</v>
      </c>
      <c r="BB362" s="23">
        <v>48.155754250531558</v>
      </c>
      <c r="BC362" s="23">
        <v>50</v>
      </c>
      <c r="BD362" s="23">
        <v>50</v>
      </c>
      <c r="BE362" s="23">
        <v>50</v>
      </c>
    </row>
    <row r="363" spans="29:57" x14ac:dyDescent="0.15">
      <c r="AC363" s="23">
        <v>360</v>
      </c>
      <c r="AD363" s="23">
        <f>[1]节奏总纲!AD363</f>
        <v>84.957158709068153</v>
      </c>
      <c r="AE363" s="23">
        <f>[1]节奏总纲!AE363</f>
        <v>87.064762367263285</v>
      </c>
      <c r="AF363" s="23">
        <f>[1]节奏总纲!AF363</f>
        <v>90.252685013268689</v>
      </c>
      <c r="AG363" s="23">
        <f>[1]节奏总纲!AG363</f>
        <v>95.174748425582194</v>
      </c>
      <c r="AH363" s="23">
        <f>[1]节奏总纲!AH363</f>
        <v>103.98044693813598</v>
      </c>
      <c r="AZ363" s="23">
        <v>360</v>
      </c>
      <c r="BA363" s="23">
        <v>46.657691286422882</v>
      </c>
      <c r="BB363" s="23">
        <v>48.173700750441178</v>
      </c>
      <c r="BC363" s="23">
        <v>50</v>
      </c>
      <c r="BD363" s="23">
        <v>50</v>
      </c>
      <c r="BE363" s="23">
        <v>50</v>
      </c>
    </row>
  </sheetData>
  <mergeCells count="13">
    <mergeCell ref="AD2:AH2"/>
    <mergeCell ref="AM2:AQ2"/>
    <mergeCell ref="AT2:AX2"/>
    <mergeCell ref="BA2:BE2"/>
    <mergeCell ref="B6:D6"/>
    <mergeCell ref="K1:K2"/>
    <mergeCell ref="P2:T2"/>
    <mergeCell ref="W2:AA2"/>
    <mergeCell ref="B22:D22"/>
    <mergeCell ref="F1:F2"/>
    <mergeCell ref="G1:G2"/>
    <mergeCell ref="I1:I2"/>
    <mergeCell ref="J1:J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H503"/>
  <sheetViews>
    <sheetView topLeftCell="O1" workbookViewId="0">
      <selection activeCell="V4" sqref="V4"/>
    </sheetView>
  </sheetViews>
  <sheetFormatPr defaultRowHeight="11.25" x14ac:dyDescent="0.15"/>
  <cols>
    <col min="1" max="1" width="9" style="17"/>
    <col min="2" max="2" width="9" style="25"/>
    <col min="3" max="8" width="9" style="17"/>
    <col min="9" max="9" width="9" style="25"/>
    <col min="10" max="15" width="9" style="17"/>
    <col min="16" max="26" width="9" style="31"/>
    <col min="27" max="27" width="9" style="17"/>
    <col min="28" max="34" width="9" style="54"/>
    <col min="35" max="16384" width="9" style="17"/>
  </cols>
  <sheetData>
    <row r="1" spans="2:34" x14ac:dyDescent="0.15">
      <c r="AC1" s="65"/>
    </row>
    <row r="2" spans="2:34" x14ac:dyDescent="0.15">
      <c r="B2" s="138" t="s">
        <v>166</v>
      </c>
      <c r="C2" s="138"/>
      <c r="D2" s="138"/>
      <c r="E2" s="138"/>
      <c r="F2" s="138"/>
      <c r="G2" s="138"/>
      <c r="I2" s="138" t="s">
        <v>160</v>
      </c>
      <c r="J2" s="138"/>
      <c r="K2" s="138"/>
      <c r="L2" s="138"/>
      <c r="M2" s="138"/>
      <c r="N2" s="138"/>
      <c r="Q2" s="139" t="s">
        <v>203</v>
      </c>
      <c r="R2" s="139"/>
      <c r="S2" s="139"/>
      <c r="T2" s="139"/>
      <c r="U2" s="139"/>
      <c r="V2" s="139" t="s">
        <v>204</v>
      </c>
      <c r="W2" s="139"/>
      <c r="X2" s="139"/>
      <c r="Y2" s="139"/>
      <c r="Z2" s="139"/>
      <c r="AC2" s="65"/>
      <c r="AD2" s="140" t="s">
        <v>278</v>
      </c>
      <c r="AE2" s="140"/>
      <c r="AF2" s="140"/>
      <c r="AG2" s="140"/>
      <c r="AH2" s="140"/>
    </row>
    <row r="3" spans="2:34" x14ac:dyDescent="0.15">
      <c r="B3" s="25" t="s">
        <v>161</v>
      </c>
      <c r="C3" s="25" t="s">
        <v>74</v>
      </c>
      <c r="D3" s="25" t="s">
        <v>75</v>
      </c>
      <c r="E3" s="25" t="s">
        <v>76</v>
      </c>
      <c r="F3" s="25" t="s">
        <v>77</v>
      </c>
      <c r="G3" s="25" t="s">
        <v>78</v>
      </c>
      <c r="I3" s="25" t="s">
        <v>158</v>
      </c>
      <c r="J3" s="25" t="s">
        <v>74</v>
      </c>
      <c r="K3" s="25" t="s">
        <v>75</v>
      </c>
      <c r="L3" s="25" t="s">
        <v>76</v>
      </c>
      <c r="M3" s="25" t="s">
        <v>77</v>
      </c>
      <c r="N3" s="25" t="s">
        <v>78</v>
      </c>
      <c r="P3" s="31" t="s">
        <v>161</v>
      </c>
      <c r="Q3" s="31" t="s">
        <v>74</v>
      </c>
      <c r="R3" s="31" t="s">
        <v>75</v>
      </c>
      <c r="S3" s="31" t="s">
        <v>76</v>
      </c>
      <c r="T3" s="31" t="s">
        <v>77</v>
      </c>
      <c r="U3" s="31" t="s">
        <v>78</v>
      </c>
      <c r="V3" s="31" t="s">
        <v>74</v>
      </c>
      <c r="W3" s="31" t="s">
        <v>75</v>
      </c>
      <c r="X3" s="31" t="s">
        <v>76</v>
      </c>
      <c r="Y3" s="31" t="s">
        <v>77</v>
      </c>
      <c r="Z3" s="31" t="s">
        <v>78</v>
      </c>
      <c r="AC3" s="54" t="s">
        <v>161</v>
      </c>
      <c r="AD3" s="65" t="s">
        <v>74</v>
      </c>
      <c r="AE3" s="65" t="s">
        <v>75</v>
      </c>
      <c r="AF3" s="65" t="s">
        <v>76</v>
      </c>
      <c r="AG3" s="65" t="s">
        <v>77</v>
      </c>
      <c r="AH3" s="65" t="s">
        <v>78</v>
      </c>
    </row>
    <row r="4" spans="2:34" x14ac:dyDescent="0.15">
      <c r="B4" s="25">
        <v>1</v>
      </c>
      <c r="C4" s="26">
        <f>'[1]资源-钻石'!L4</f>
        <v>1040.7505676419205</v>
      </c>
      <c r="D4" s="26">
        <f>'[1]资源-钻石'!M4</f>
        <v>1168.8740045841296</v>
      </c>
      <c r="E4" s="26">
        <f>'[1]资源-钻石'!N4</f>
        <v>1452.1504800891889</v>
      </c>
      <c r="F4" s="26">
        <f>'[1]资源-钻石'!O4</f>
        <v>2510.6910360190523</v>
      </c>
      <c r="G4" s="26">
        <f>'[1]资源-钻石'!P4</f>
        <v>3045.3869648677355</v>
      </c>
      <c r="I4" s="25">
        <v>1</v>
      </c>
      <c r="J4" s="26">
        <f>'[1]资源-钻石'!T4</f>
        <v>14500.492673258612</v>
      </c>
      <c r="K4" s="26">
        <f>'[1]资源-钻石'!U4</f>
        <v>19412.226412510587</v>
      </c>
      <c r="L4" s="26">
        <f>'[1]资源-钻石'!V4</f>
        <v>30741.600637060008</v>
      </c>
      <c r="M4" s="26">
        <f>'[1]资源-钻石'!W4</f>
        <v>76073.582135770732</v>
      </c>
      <c r="N4" s="26">
        <f>'[1]资源-钻石'!X4</f>
        <v>177079.46610010002</v>
      </c>
      <c r="P4" s="31">
        <v>1</v>
      </c>
      <c r="Q4" s="31">
        <f>'[1]功能-行军令'!N4</f>
        <v>3.301579276669484</v>
      </c>
      <c r="R4" s="31">
        <f>'[1]功能-行军令'!O4</f>
        <v>4.0057487176130557</v>
      </c>
      <c r="S4" s="31">
        <f>'[1]功能-行军令'!P4</f>
        <v>4.2565036636761029</v>
      </c>
      <c r="T4" s="31">
        <f>'[1]功能-行军令'!Q4</f>
        <v>3.3562706551221395</v>
      </c>
      <c r="U4" s="31">
        <f>'[1]功能-行军令'!R4</f>
        <v>1.7550190606299467</v>
      </c>
      <c r="V4" s="31">
        <f>'[1]功能-行军令'!S4</f>
        <v>3.301579276669484</v>
      </c>
      <c r="W4" s="31">
        <f>'[1]功能-行军令'!T4</f>
        <v>4.0057487176130557</v>
      </c>
      <c r="X4" s="31">
        <f>'[1]功能-行军令'!U4</f>
        <v>4.2565036636761029</v>
      </c>
      <c r="Y4" s="31">
        <f>'[1]功能-行军令'!V4</f>
        <v>3.3562706551221395</v>
      </c>
      <c r="Z4" s="31">
        <f>'[1]功能-行军令'!W4</f>
        <v>1.7550190606299467</v>
      </c>
      <c r="AC4" s="54">
        <v>1</v>
      </c>
      <c r="AD4" s="54">
        <f>'[1]功能-实力'!BE5</f>
        <v>22716</v>
      </c>
      <c r="AE4" s="54">
        <f>'[1]功能-实力'!BF5</f>
        <v>22782</v>
      </c>
      <c r="AF4" s="54">
        <f>'[1]功能-实力'!BG5</f>
        <v>22866</v>
      </c>
      <c r="AG4" s="54">
        <f>'[1]功能-实力'!BH5</f>
        <v>22956</v>
      </c>
      <c r="AH4" s="54">
        <f>'[1]功能-实力'!BI5</f>
        <v>23034</v>
      </c>
    </row>
    <row r="5" spans="2:34" x14ac:dyDescent="0.15">
      <c r="B5" s="25">
        <v>2</v>
      </c>
      <c r="C5" s="26">
        <f>'[1]资源-钻石'!L5</f>
        <v>2156.1994071601148</v>
      </c>
      <c r="D5" s="26">
        <f>'[1]资源-钻石'!M5</f>
        <v>2444.899211152846</v>
      </c>
      <c r="E5" s="26">
        <f>'[1]资源-钻石'!N5</f>
        <v>3068.5404062347334</v>
      </c>
      <c r="F5" s="26">
        <f>'[1]资源-钻石'!O5</f>
        <v>5380.3158710793796</v>
      </c>
      <c r="G5" s="26">
        <f>'[1]资源-钻石'!P5</f>
        <v>6628.2744865356071</v>
      </c>
      <c r="I5" s="25">
        <v>2</v>
      </c>
      <c r="J5" s="26">
        <f>'[1]资源-钻石'!T5</f>
        <v>23008.802492352803</v>
      </c>
      <c r="K5" s="26">
        <f>'[1]资源-钻石'!U5</f>
        <v>30829.682741588083</v>
      </c>
      <c r="L5" s="26">
        <f>'[1]资源-钻石'!V5</f>
        <v>48540.651015746895</v>
      </c>
      <c r="M5" s="26">
        <f>'[1]资源-钻石'!W5</f>
        <v>119174.7161173216</v>
      </c>
      <c r="N5" s="26">
        <f>'[1]资源-钻石'!X5</f>
        <v>275187.18772905378</v>
      </c>
      <c r="P5" s="31">
        <v>2</v>
      </c>
      <c r="Q5" s="31">
        <f>'[1]功能-行军令'!N5</f>
        <v>6.840124329863615</v>
      </c>
      <c r="R5" s="31">
        <f>'[1]功能-行军令'!O5</f>
        <v>8.3787062090179365</v>
      </c>
      <c r="S5" s="31">
        <f>'[1]功能-行军令'!P5</f>
        <v>8.9944214875541597</v>
      </c>
      <c r="T5" s="31">
        <f>'[1]功能-行军令'!Q5</f>
        <v>7.192360993180591</v>
      </c>
      <c r="U5" s="31">
        <f>'[1]功能-行军令'!R5</f>
        <v>3.819793082834837</v>
      </c>
      <c r="V5" s="31">
        <f>'[1]功能-行军令'!S5</f>
        <v>3.5385450531941309</v>
      </c>
      <c r="W5" s="31">
        <f>'[1]功能-行军令'!T5</f>
        <v>4.3729574914048808</v>
      </c>
      <c r="X5" s="31">
        <f>'[1]功能-行军令'!U5</f>
        <v>4.7379178238780568</v>
      </c>
      <c r="Y5" s="31">
        <f>'[1]功能-行军令'!V5</f>
        <v>3.8360903380584515</v>
      </c>
      <c r="Z5" s="31">
        <f>'[1]功能-行军令'!W5</f>
        <v>2.0647740222048903</v>
      </c>
      <c r="AC5" s="54">
        <v>2</v>
      </c>
      <c r="AD5" s="54">
        <f>'[1]功能-实力'!BE6</f>
        <v>27285</v>
      </c>
      <c r="AE5" s="54">
        <f>'[1]功能-实力'!BF6</f>
        <v>27456</v>
      </c>
      <c r="AF5" s="54">
        <f>'[1]功能-实力'!BG6</f>
        <v>27720</v>
      </c>
      <c r="AG5" s="54">
        <f>'[1]功能-实力'!BH6</f>
        <v>28095</v>
      </c>
      <c r="AH5" s="54">
        <f>'[1]功能-实力'!BI6</f>
        <v>28323</v>
      </c>
    </row>
    <row r="6" spans="2:34" x14ac:dyDescent="0.15">
      <c r="B6" s="25">
        <v>3</v>
      </c>
      <c r="C6" s="26">
        <f>'[1]资源-钻石'!L6</f>
        <v>3351.7078721726193</v>
      </c>
      <c r="D6" s="26">
        <f>'[1]资源-钻石'!M6</f>
        <v>3828.4955693840348</v>
      </c>
      <c r="E6" s="26">
        <f>'[1]资源-钻石'!N6</f>
        <v>4848.1164808658286</v>
      </c>
      <c r="F6" s="26">
        <f>'[1]资源-钻石'!O6</f>
        <v>8568.2529476480995</v>
      </c>
      <c r="G6" s="26">
        <f>'[1]资源-钻石'!P6</f>
        <v>10613.17626549062</v>
      </c>
      <c r="I6" s="25">
        <v>3</v>
      </c>
      <c r="J6" s="26">
        <f>'[1]资源-钻石'!T6</f>
        <v>31517.112311446996</v>
      </c>
      <c r="K6" s="26">
        <f>'[1]资源-钻石'!U6</f>
        <v>42108.823542591694</v>
      </c>
      <c r="L6" s="26">
        <f>'[1]资源-钻石'!V6</f>
        <v>66035.705896850879</v>
      </c>
      <c r="M6" s="26">
        <f>'[1]资源-钻石'!W6</f>
        <v>161299.27648653596</v>
      </c>
      <c r="N6" s="26">
        <f>'[1]资源-钻石'!X6</f>
        <v>371644.20413518953</v>
      </c>
      <c r="P6" s="31">
        <v>3</v>
      </c>
      <c r="Q6" s="31">
        <f>'[1]功能-行军令'!N6</f>
        <v>10.632643013866151</v>
      </c>
      <c r="R6" s="31">
        <f>'[1]功能-行军令'!O6</f>
        <v>13.120311648049476</v>
      </c>
      <c r="S6" s="31">
        <f>'[1]功能-行军令'!P6</f>
        <v>14.210666074680118</v>
      </c>
      <c r="T6" s="31">
        <f>'[1]功能-行军令'!Q6</f>
        <v>11.453968457804642</v>
      </c>
      <c r="U6" s="31">
        <f>'[1]功能-行军令'!R6</f>
        <v>6.1162429781958272</v>
      </c>
      <c r="V6" s="31">
        <f>'[1]功能-行军令'!S6</f>
        <v>3.7925186840025358</v>
      </c>
      <c r="W6" s="31">
        <f>'[1]功能-行军令'!T6</f>
        <v>4.7416054390315399</v>
      </c>
      <c r="X6" s="31">
        <f>'[1]功能-行军令'!U6</f>
        <v>5.2162445871259582</v>
      </c>
      <c r="Y6" s="31">
        <f>'[1]功能-行军令'!V6</f>
        <v>4.2616074646240509</v>
      </c>
      <c r="Z6" s="31">
        <f>'[1]功能-行军令'!W6</f>
        <v>2.2964498953609902</v>
      </c>
      <c r="AC6" s="54">
        <v>3</v>
      </c>
      <c r="AD6" s="54">
        <f>'[1]功能-实力'!BE7</f>
        <v>31872</v>
      </c>
      <c r="AE6" s="54">
        <f>'[1]功能-实力'!BF7</f>
        <v>32181</v>
      </c>
      <c r="AF6" s="54">
        <f>'[1]功能-实力'!BG7</f>
        <v>32691</v>
      </c>
      <c r="AG6" s="54">
        <f>'[1]功能-实力'!BH7</f>
        <v>33441</v>
      </c>
      <c r="AH6" s="54">
        <f>'[1]功能-实力'!BI7</f>
        <v>33894</v>
      </c>
    </row>
    <row r="7" spans="2:34" x14ac:dyDescent="0.15">
      <c r="B7" s="25">
        <v>4</v>
      </c>
      <c r="C7" s="26">
        <f>'[1]资源-钻石'!L7</f>
        <v>4633.0221192105182</v>
      </c>
      <c r="D7" s="26">
        <f>'[1]资源-钻石'!M7</f>
        <v>5317.0657517987875</v>
      </c>
      <c r="E7" s="26">
        <f>'[1]资源-钻石'!N7</f>
        <v>6772.9072985486819</v>
      </c>
      <c r="F7" s="26">
        <f>'[1]资源-钻石'!O7</f>
        <v>12025.958599592173</v>
      </c>
      <c r="G7" s="26">
        <f>'[1]资源-钻石'!P7</f>
        <v>15024.510625438968</v>
      </c>
      <c r="I7" s="25">
        <v>4</v>
      </c>
      <c r="J7" s="26">
        <f>'[1]资源-钻石'!T7</f>
        <v>40025.422130541185</v>
      </c>
      <c r="K7" s="26">
        <f>'[1]资源-钻石'!U7</f>
        <v>53387.964343595304</v>
      </c>
      <c r="L7" s="26">
        <f>'[1]资源-钻石'!V7</f>
        <v>83530.760777954842</v>
      </c>
      <c r="M7" s="26">
        <f>'[1]资源-钻石'!W7</f>
        <v>203423.83685575033</v>
      </c>
      <c r="N7" s="26">
        <f>'[1]资源-钻石'!X7</f>
        <v>468101.2205413254</v>
      </c>
      <c r="P7" s="31">
        <v>4</v>
      </c>
      <c r="Q7" s="31">
        <f>'[1]功能-行军令'!N7</f>
        <v>14.697363895553133</v>
      </c>
      <c r="R7" s="31">
        <f>'[1]功能-行军令'!O7</f>
        <v>18.221663954542464</v>
      </c>
      <c r="S7" s="31">
        <f>'[1]功能-行军令'!P7</f>
        <v>19.852560134291625</v>
      </c>
      <c r="T7" s="31">
        <f>'[1]功能-行军令'!Q7</f>
        <v>16.076200284493559</v>
      </c>
      <c r="U7" s="31">
        <f>'[1]功能-行军令'!R7</f>
        <v>8.6584407264078909</v>
      </c>
      <c r="V7" s="31">
        <f>'[1]功能-行军令'!S7</f>
        <v>4.0647208816869824</v>
      </c>
      <c r="W7" s="31">
        <f>'[1]功能-行军令'!T7</f>
        <v>5.1013523064929878</v>
      </c>
      <c r="X7" s="31">
        <f>'[1]功能-行军令'!U7</f>
        <v>5.6418940596115075</v>
      </c>
      <c r="Y7" s="31">
        <f>'[1]功能-行军令'!V7</f>
        <v>4.6222318266889175</v>
      </c>
      <c r="Z7" s="31">
        <f>'[1]功能-行军令'!W7</f>
        <v>2.5421977482120637</v>
      </c>
      <c r="AC7" s="54">
        <v>4</v>
      </c>
      <c r="AD7" s="54">
        <f>'[1]功能-实力'!BE8</f>
        <v>42987</v>
      </c>
      <c r="AE7" s="54">
        <f>'[1]功能-实力'!BF8</f>
        <v>43547</v>
      </c>
      <c r="AF7" s="54">
        <f>'[1]功能-实力'!BG8</f>
        <v>44499</v>
      </c>
      <c r="AG7" s="54">
        <f>'[1]功能-实力'!BH8</f>
        <v>45895.5</v>
      </c>
      <c r="AH7" s="54">
        <f>'[1]功能-实力'!BI8</f>
        <v>46739</v>
      </c>
    </row>
    <row r="8" spans="2:34" x14ac:dyDescent="0.15">
      <c r="B8" s="25">
        <v>5</v>
      </c>
      <c r="C8" s="26">
        <f>'[1]资源-钻石'!L8</f>
        <v>6006.3007263554155</v>
      </c>
      <c r="D8" s="26">
        <f>'[1]资源-钻石'!M8</f>
        <v>6889.8631597028125</v>
      </c>
      <c r="E8" s="26">
        <f>'[1]资源-钻石'!N8</f>
        <v>8790.7589653255855</v>
      </c>
      <c r="F8" s="26">
        <f>'[1]资源-钻石'!O8</f>
        <v>15638.457551974403</v>
      </c>
      <c r="G8" s="26">
        <f>'[1]资源-钻石'!P8</f>
        <v>19574.182679732825</v>
      </c>
      <c r="I8" s="25">
        <v>5</v>
      </c>
      <c r="J8" s="26">
        <f>'[1]资源-钻石'!T8</f>
        <v>48533.731949635374</v>
      </c>
      <c r="K8" s="26">
        <f>'[1]资源-钻石'!U8</f>
        <v>64667.105144598921</v>
      </c>
      <c r="L8" s="26">
        <f>'[1]资源-钻石'!V8</f>
        <v>101025.81565905882</v>
      </c>
      <c r="M8" s="26">
        <f>'[1]资源-钻石'!W8</f>
        <v>245548.39722496469</v>
      </c>
      <c r="N8" s="26">
        <f>'[1]资源-钻石'!X8</f>
        <v>564558.23694746115</v>
      </c>
      <c r="P8" s="31">
        <v>5</v>
      </c>
      <c r="Q8" s="31">
        <f>'[1]功能-行军令'!N8</f>
        <v>19.053823869162375</v>
      </c>
      <c r="R8" s="31">
        <f>'[1]功能-行军令'!O8</f>
        <v>23.611664224090969</v>
      </c>
      <c r="S8" s="31">
        <f>'[1]功能-行军令'!P8</f>
        <v>25.76723160268055</v>
      </c>
      <c r="T8" s="31">
        <f>'[1]功能-行军令'!Q8</f>
        <v>20.905358492970112</v>
      </c>
      <c r="U8" s="31">
        <f>'[1]功能-行军令'!R8</f>
        <v>11.280360786818976</v>
      </c>
      <c r="V8" s="31">
        <f>'[1]功能-行军令'!S8</f>
        <v>4.3564599736092422</v>
      </c>
      <c r="W8" s="31">
        <f>'[1]功能-行军令'!T8</f>
        <v>5.390000269548505</v>
      </c>
      <c r="X8" s="31">
        <f>'[1]功能-行军令'!U8</f>
        <v>5.9146714683889243</v>
      </c>
      <c r="Y8" s="31">
        <f>'[1]功能-行军令'!V8</f>
        <v>4.829158208476553</v>
      </c>
      <c r="Z8" s="31">
        <f>'[1]功能-行军令'!W8</f>
        <v>2.6219200604110853</v>
      </c>
      <c r="AC8" s="54">
        <v>5</v>
      </c>
      <c r="AD8" s="54">
        <f>'[1]功能-实力'!BE9</f>
        <v>56308</v>
      </c>
      <c r="AE8" s="54">
        <f>'[1]功能-实力'!BF9</f>
        <v>57216</v>
      </c>
      <c r="AF8" s="54">
        <f>'[1]功能-实力'!BG9</f>
        <v>58780</v>
      </c>
      <c r="AG8" s="54">
        <f>'[1]功能-实力'!BH9</f>
        <v>61088</v>
      </c>
      <c r="AH8" s="54">
        <f>'[1]功能-实力'!BI9</f>
        <v>62496</v>
      </c>
    </row>
    <row r="9" spans="2:34" x14ac:dyDescent="0.15">
      <c r="B9" s="25">
        <v>6</v>
      </c>
      <c r="C9" s="26">
        <f>'[1]资源-钻石'!L9</f>
        <v>7478.1442941621135</v>
      </c>
      <c r="D9" s="26">
        <f>'[1]资源-钻石'!M9</f>
        <v>8590.3226852894259</v>
      </c>
      <c r="E9" s="26">
        <f>'[1]资源-钻石'!N9</f>
        <v>10970.550992669941</v>
      </c>
      <c r="F9" s="26">
        <f>'[1]资源-钻石'!O9</f>
        <v>19601.789405883552</v>
      </c>
      <c r="G9" s="26">
        <f>'[1]资源-钻石'!P9</f>
        <v>24730.313789860025</v>
      </c>
      <c r="I9" s="25">
        <v>6</v>
      </c>
      <c r="J9" s="26">
        <f>'[1]资源-钻石'!T9</f>
        <v>57042.041768729563</v>
      </c>
      <c r="K9" s="26">
        <f>'[1]资源-钻石'!U9</f>
        <v>75946.245945602524</v>
      </c>
      <c r="L9" s="26">
        <f>'[1]资源-钻石'!V9</f>
        <v>118520.8705401628</v>
      </c>
      <c r="M9" s="26">
        <f>'[1]资源-钻石'!W9</f>
        <v>287672.95759417908</v>
      </c>
      <c r="N9" s="26">
        <f>'[1]资源-钻石'!X9</f>
        <v>661015.25335359701</v>
      </c>
      <c r="P9" s="31">
        <v>6</v>
      </c>
      <c r="Q9" s="31">
        <f>'[1]功能-行军令'!N9</f>
        <v>23.722962059478306</v>
      </c>
      <c r="R9" s="31">
        <f>'[1]功能-行军令'!O9</f>
        <v>29.439164482679558</v>
      </c>
      <c r="S9" s="31">
        <f>'[1]功能-行军令'!P9</f>
        <v>32.156578214936147</v>
      </c>
      <c r="T9" s="31">
        <f>'[1]功能-行军令'!Q9</f>
        <v>26.203507172736675</v>
      </c>
      <c r="U9" s="31">
        <f>'[1]功能-行军令'!R9</f>
        <v>14.251775743858198</v>
      </c>
      <c r="V9" s="31">
        <f>'[1]功能-行军令'!S9</f>
        <v>4.6691381903159304</v>
      </c>
      <c r="W9" s="31">
        <f>'[1]功能-行军令'!T9</f>
        <v>5.8275002585885893</v>
      </c>
      <c r="X9" s="31">
        <f>'[1]功能-行军令'!U9</f>
        <v>6.3893466122555971</v>
      </c>
      <c r="Y9" s="31">
        <f>'[1]功能-行军令'!V9</f>
        <v>5.2981486797665625</v>
      </c>
      <c r="Z9" s="31">
        <f>'[1]功能-行军令'!W9</f>
        <v>2.9714149570392223</v>
      </c>
      <c r="AC9" s="54">
        <v>6</v>
      </c>
      <c r="AD9" s="54">
        <f>'[1]功能-实力'!BE10</f>
        <v>64056</v>
      </c>
      <c r="AE9" s="54">
        <f>'[1]功能-实力'!BF10</f>
        <v>65280</v>
      </c>
      <c r="AF9" s="54">
        <f>'[1]功能-实力'!BG10</f>
        <v>67408</v>
      </c>
      <c r="AG9" s="54">
        <f>'[1]功能-实力'!BH10</f>
        <v>70540</v>
      </c>
      <c r="AH9" s="54">
        <f>'[1]功能-实力'!BI10</f>
        <v>72464</v>
      </c>
    </row>
    <row r="10" spans="2:34" x14ac:dyDescent="0.15">
      <c r="B10" s="25">
        <v>7</v>
      </c>
      <c r="C10" s="26">
        <f>'[1]资源-钻石'!L10</f>
        <v>9055.6271711420741</v>
      </c>
      <c r="D10" s="26">
        <f>'[1]资源-钻石'!M10</f>
        <v>10442.705928570711</v>
      </c>
      <c r="E10" s="26">
        <f>'[1]资源-钻石'!N10</f>
        <v>13371.988832229574</v>
      </c>
      <c r="F10" s="26">
        <f>'[1]资源-钻石'!O10</f>
        <v>23847.375729174331</v>
      </c>
      <c r="G10" s="26">
        <f>'[1]资源-钻石'!P10</f>
        <v>29846.612713897426</v>
      </c>
      <c r="I10" s="25">
        <v>7</v>
      </c>
      <c r="J10" s="26">
        <f>'[1]资源-钻石'!T10</f>
        <v>65550.351587823752</v>
      </c>
      <c r="K10" s="26">
        <f>'[1]资源-钻石'!U10</f>
        <v>86869.517343433501</v>
      </c>
      <c r="L10" s="26">
        <f>'[1]资源-钻石'!V10</f>
        <v>135674.99688632617</v>
      </c>
      <c r="M10" s="26">
        <f>'[1]资源-钻石'!W10</f>
        <v>329321.45649094146</v>
      </c>
      <c r="N10" s="26">
        <f>'[1]资源-钻石'!X10</f>
        <v>757083.44889073097</v>
      </c>
      <c r="P10" s="31">
        <v>7</v>
      </c>
      <c r="Q10" s="31">
        <f>'[1]功能-行军令'!N10</f>
        <v>28.727220464773662</v>
      </c>
      <c r="R10" s="31">
        <f>'[1]功能-行军令'!O10</f>
        <v>35.787309596867416</v>
      </c>
      <c r="S10" s="31">
        <f>'[1]功能-行军令'!P10</f>
        <v>39.195606953575002</v>
      </c>
      <c r="T10" s="31">
        <f>'[1]功能-行军令'!Q10</f>
        <v>31.878971252634962</v>
      </c>
      <c r="U10" s="31">
        <f>'[1]功能-行军令'!R10</f>
        <v>17.200235901845417</v>
      </c>
      <c r="V10" s="31">
        <f>'[1]功能-行军令'!S10</f>
        <v>5.0042584052953565</v>
      </c>
      <c r="W10" s="31">
        <f>'[1]功能-行军令'!T10</f>
        <v>6.348145114187858</v>
      </c>
      <c r="X10" s="31">
        <f>'[1]功能-行军令'!U10</f>
        <v>7.039028738638855</v>
      </c>
      <c r="Y10" s="31">
        <f>'[1]功能-行军令'!V10</f>
        <v>5.6754640798982869</v>
      </c>
      <c r="Z10" s="31">
        <f>'[1]功能-行军令'!W10</f>
        <v>2.9484601579872187</v>
      </c>
      <c r="AC10" s="54">
        <v>7</v>
      </c>
      <c r="AD10" s="54">
        <f>'[1]功能-实力'!BE11</f>
        <v>72404</v>
      </c>
      <c r="AE10" s="54">
        <f>'[1]功能-实力'!BF11</f>
        <v>73984</v>
      </c>
      <c r="AF10" s="54">
        <f>'[1]功能-实力'!BG11</f>
        <v>76764</v>
      </c>
      <c r="AG10" s="54">
        <f>'[1]功能-实力'!BH11</f>
        <v>80764</v>
      </c>
      <c r="AH10" s="54">
        <f>'[1]功能-实力'!BI11</f>
        <v>83052</v>
      </c>
    </row>
    <row r="11" spans="2:34" x14ac:dyDescent="0.15">
      <c r="B11" s="25">
        <v>8</v>
      </c>
      <c r="C11" s="26">
        <f>'[1]资源-钻石'!L11</f>
        <v>10746.3314562946</v>
      </c>
      <c r="D11" s="26">
        <f>'[1]资源-钻石'!M11</f>
        <v>12334.424966262683</v>
      </c>
      <c r="E11" s="26">
        <f>'[1]资源-钻石'!N11</f>
        <v>15693.706509525371</v>
      </c>
      <c r="F11" s="26">
        <f>'[1]资源-钻石'!O11</f>
        <v>27888.595910658478</v>
      </c>
      <c r="G11" s="26">
        <f>'[1]资源-钻石'!P11</f>
        <v>34995.174095652852</v>
      </c>
      <c r="I11" s="25">
        <v>8</v>
      </c>
      <c r="J11" s="26">
        <f>'[1]资源-钻石'!T11</f>
        <v>71206.119886945293</v>
      </c>
      <c r="K11" s="26">
        <f>'[1]资源-钻石'!U11</f>
        <v>95246.731875639816</v>
      </c>
      <c r="L11" s="26">
        <f>'[1]资源-钻石'!V11</f>
        <v>149609.40506320383</v>
      </c>
      <c r="M11" s="26">
        <f>'[1]资源-钻石'!W11</f>
        <v>366200.34556952422</v>
      </c>
      <c r="N11" s="26">
        <f>'[1]资源-钻石'!X11</f>
        <v>844502.88012647664</v>
      </c>
      <c r="P11" s="31">
        <v>8</v>
      </c>
      <c r="Q11" s="31">
        <f>'[1]功能-行军令'!N11</f>
        <v>34.090651823243419</v>
      </c>
      <c r="R11" s="31">
        <f>'[1]功能-行军令'!O11</f>
        <v>42.270259067554726</v>
      </c>
      <c r="S11" s="31">
        <f>'[1]功能-行军令'!P11</f>
        <v>46.0009621388201</v>
      </c>
      <c r="T11" s="31">
        <f>'[1]功能-行军令'!Q11</f>
        <v>37.281240393448371</v>
      </c>
      <c r="U11" s="31">
        <f>'[1]功能-行军令'!R11</f>
        <v>20.167288517504215</v>
      </c>
      <c r="V11" s="31">
        <f>'[1]功能-行军令'!S11</f>
        <v>5.3634313584697573</v>
      </c>
      <c r="W11" s="31">
        <f>'[1]功能-行军令'!T11</f>
        <v>6.4829494706873092</v>
      </c>
      <c r="X11" s="31">
        <f>'[1]功能-行军令'!U11</f>
        <v>6.805355185245098</v>
      </c>
      <c r="Y11" s="31">
        <f>'[1]功能-行军令'!V11</f>
        <v>5.4022691408134094</v>
      </c>
      <c r="Z11" s="31">
        <f>'[1]功能-行军令'!W11</f>
        <v>2.9670526156587975</v>
      </c>
      <c r="AC11" s="54">
        <v>8</v>
      </c>
      <c r="AD11" s="54">
        <f>'[1]功能-实力'!BE12</f>
        <v>81368</v>
      </c>
      <c r="AE11" s="54">
        <f>'[1]功能-实力'!BF12</f>
        <v>83220</v>
      </c>
      <c r="AF11" s="54">
        <f>'[1]功能-实力'!BG12</f>
        <v>86512</v>
      </c>
      <c r="AG11" s="54">
        <f>'[1]功能-实力'!BH12</f>
        <v>91388</v>
      </c>
      <c r="AH11" s="54">
        <f>'[1]功能-实力'!BI12</f>
        <v>94296</v>
      </c>
    </row>
    <row r="12" spans="2:34" x14ac:dyDescent="0.15">
      <c r="B12" s="25">
        <v>9</v>
      </c>
      <c r="C12" s="26">
        <f>'[1]资源-钻石'!L12</f>
        <v>12558.383442117469</v>
      </c>
      <c r="D12" s="26">
        <f>'[1]资源-钻石'!M12</f>
        <v>14409.182485910489</v>
      </c>
      <c r="E12" s="26">
        <f>'[1]资源-钻石'!N12</f>
        <v>18404.517527104093</v>
      </c>
      <c r="F12" s="26">
        <f>'[1]资源-钻石'!O12</f>
        <v>32951.530224899267</v>
      </c>
      <c r="G12" s="26">
        <f>'[1]资源-钻石'!P12</f>
        <v>41453.330146188877</v>
      </c>
      <c r="I12" s="25">
        <v>9</v>
      </c>
      <c r="J12" s="26">
        <f>'[1]资源-钻石'!T12</f>
        <v>76861.888186066819</v>
      </c>
      <c r="K12" s="26">
        <f>'[1]资源-钻石'!U12</f>
        <v>103268.07700467353</v>
      </c>
      <c r="L12" s="26">
        <f>'[1]资源-钻石'!V12</f>
        <v>163202.88470514087</v>
      </c>
      <c r="M12" s="26">
        <f>'[1]资源-钻石'!W12</f>
        <v>402603.17317565496</v>
      </c>
      <c r="N12" s="26">
        <f>'[1]资源-钻石'!X12</f>
        <v>931533.49049322051</v>
      </c>
      <c r="P12" s="31">
        <v>9</v>
      </c>
      <c r="Q12" s="31">
        <f>'[1]功能-行军令'!N12</f>
        <v>39.839035221386283</v>
      </c>
      <c r="R12" s="31">
        <f>'[1]功能-行军令'!O12</f>
        <v>49.380484156908295</v>
      </c>
      <c r="S12" s="31">
        <f>'[1]功能-行军令'!P12</f>
        <v>53.946817052663931</v>
      </c>
      <c r="T12" s="31">
        <f>'[1]功能-行军令'!Q12</f>
        <v>44.049328391500353</v>
      </c>
      <c r="U12" s="31">
        <f>'[1]功能-行军令'!R12</f>
        <v>23.889044437512744</v>
      </c>
      <c r="V12" s="31">
        <f>'[1]功能-行军令'!S12</f>
        <v>5.7483833981428631</v>
      </c>
      <c r="W12" s="31">
        <f>'[1]功能-行军令'!T12</f>
        <v>7.1102250893535697</v>
      </c>
      <c r="X12" s="31">
        <f>'[1]功能-行军令'!U12</f>
        <v>7.9458549138438315</v>
      </c>
      <c r="Y12" s="31">
        <f>'[1]功能-行军令'!V12</f>
        <v>6.7680879980519819</v>
      </c>
      <c r="Z12" s="31">
        <f>'[1]功能-行军令'!W12</f>
        <v>3.7217559200085297</v>
      </c>
      <c r="AC12" s="54">
        <v>9</v>
      </c>
      <c r="AD12" s="54">
        <f>'[1]功能-实力'!BE13</f>
        <v>99589.6</v>
      </c>
      <c r="AE12" s="54">
        <f>'[1]功能-实力'!BF13</f>
        <v>102044.80000000002</v>
      </c>
      <c r="AF12" s="54">
        <f>'[1]功能-实力'!BG13</f>
        <v>106510.80000000002</v>
      </c>
      <c r="AG12" s="54">
        <f>'[1]功能-实力'!BH13</f>
        <v>113097.60000000001</v>
      </c>
      <c r="AH12" s="54">
        <f>'[1]功能-实力'!BI13</f>
        <v>117066.40000000001</v>
      </c>
    </row>
    <row r="13" spans="2:34" x14ac:dyDescent="0.15">
      <c r="B13" s="25">
        <v>10</v>
      </c>
      <c r="C13" s="26">
        <f>'[1]资源-钻石'!L13</f>
        <v>14500.492673258612</v>
      </c>
      <c r="D13" s="26">
        <f>'[1]资源-钻石'!M13</f>
        <v>16711.803250811608</v>
      </c>
      <c r="E13" s="26">
        <f>'[1]资源-钻石'!N13</f>
        <v>21405.938534836299</v>
      </c>
      <c r="F13" s="26">
        <f>'[1]资源-钻石'!O13</f>
        <v>38509.667842903989</v>
      </c>
      <c r="G13" s="26">
        <f>'[1]资源-钻石'!P13</f>
        <v>48829.082805421189</v>
      </c>
      <c r="I13" s="25">
        <v>10</v>
      </c>
      <c r="J13" s="26">
        <f>'[1]资源-钻石'!T13</f>
        <v>82517.65648518836</v>
      </c>
      <c r="K13" s="26">
        <f>'[1]资源-钻石'!U13</f>
        <v>111289.42213370719</v>
      </c>
      <c r="L13" s="26">
        <f>'[1]资源-钻石'!V13</f>
        <v>176796.36434707794</v>
      </c>
      <c r="M13" s="26">
        <f>'[1]资源-钻石'!W13</f>
        <v>439006.00078178575</v>
      </c>
      <c r="N13" s="26">
        <f>'[1]资源-钻石'!X13</f>
        <v>1018564.1008599643</v>
      </c>
      <c r="P13" s="31">
        <v>10</v>
      </c>
      <c r="Q13" s="31">
        <f>'[1]功能-行军令'!N13</f>
        <v>46</v>
      </c>
      <c r="R13" s="31">
        <f>'[1]功能-行军令'!O13</f>
        <v>57.271599999999999</v>
      </c>
      <c r="S13" s="31">
        <f>'[1]功能-行军令'!P13</f>
        <v>62.744500000000002</v>
      </c>
      <c r="T13" s="31">
        <f>'[1]功能-行军令'!Q13</f>
        <v>51.479400000000005</v>
      </c>
      <c r="U13" s="31">
        <f>'[1]功能-行军令'!R13</f>
        <v>28.139600000000002</v>
      </c>
      <c r="V13" s="31">
        <f>'[1]功能-行军令'!S13</f>
        <v>6.1609647786137174</v>
      </c>
      <c r="W13" s="31">
        <f>'[1]功能-行军令'!T13</f>
        <v>7.8911158430917041</v>
      </c>
      <c r="X13" s="31">
        <f>'[1]功能-行军令'!U13</f>
        <v>8.7976829473360709</v>
      </c>
      <c r="Y13" s="31">
        <f>'[1]功能-行军令'!V13</f>
        <v>7.4300716084996523</v>
      </c>
      <c r="Z13" s="31">
        <f>'[1]功能-行军令'!W13</f>
        <v>4.2505555624872571</v>
      </c>
      <c r="AC13" s="54">
        <v>10</v>
      </c>
      <c r="AD13" s="54">
        <f>'[1]功能-实力'!BE14</f>
        <v>120614.39999999999</v>
      </c>
      <c r="AE13" s="54">
        <f>'[1]功能-实力'!BF14</f>
        <v>123556.79999999999</v>
      </c>
      <c r="AF13" s="54">
        <f>'[1]功能-实力'!BG14</f>
        <v>129422.39999999999</v>
      </c>
      <c r="AG13" s="54">
        <f>'[1]功能-实力'!BH14</f>
        <v>138100.79999999999</v>
      </c>
      <c r="AH13" s="54">
        <f>'[1]功能-实力'!BI14</f>
        <v>143376</v>
      </c>
    </row>
    <row r="14" spans="2:34" x14ac:dyDescent="0.15">
      <c r="B14" s="25">
        <v>11</v>
      </c>
      <c r="C14" s="26">
        <f>'[1]资源-钻石'!L14</f>
        <v>15721.834385354476</v>
      </c>
      <c r="D14" s="26">
        <f>'[1]资源-钻石'!M14</f>
        <v>19166.623625182809</v>
      </c>
      <c r="E14" s="26">
        <f>'[1]资源-钻石'!N14</f>
        <v>24666.856298587954</v>
      </c>
      <c r="F14" s="26">
        <f>'[1]资源-钻石'!O14</f>
        <v>44363.620981443324</v>
      </c>
      <c r="G14" s="26">
        <f>'[1]资源-钻石'!P14</f>
        <v>56778.524650290565</v>
      </c>
      <c r="I14" s="25">
        <v>11</v>
      </c>
      <c r="J14" s="26">
        <f>'[1]资源-钻石'!T14</f>
        <v>88173.4247843099</v>
      </c>
      <c r="K14" s="26">
        <f>'[1]资源-钻石'!U14</f>
        <v>119310.76726274089</v>
      </c>
      <c r="L14" s="26">
        <f>'[1]资源-钻石'!V14</f>
        <v>190389.843989015</v>
      </c>
      <c r="M14" s="26">
        <f>'[1]资源-钻石'!W14</f>
        <v>475408.8283879165</v>
      </c>
      <c r="N14" s="26">
        <f>'[1]资源-钻石'!X14</f>
        <v>1105594.711226708</v>
      </c>
      <c r="P14" s="31">
        <v>11</v>
      </c>
      <c r="Q14" s="31">
        <f>'[1]功能-行军令'!N14</f>
        <v>52.603158553338972</v>
      </c>
      <c r="R14" s="31">
        <f>'[1]功能-行军令'!O14</f>
        <v>65.684306183936783</v>
      </c>
      <c r="S14" s="31">
        <f>'[1]功能-行军令'!P14</f>
        <v>72.302812722179397</v>
      </c>
      <c r="T14" s="31">
        <f>'[1]功能-行军令'!Q14</f>
        <v>59.304915307726851</v>
      </c>
      <c r="U14" s="31">
        <f>'[1]功能-行军令'!R14</f>
        <v>32.720765585871938</v>
      </c>
      <c r="V14" s="31">
        <f>'[1]功能-行军令'!S14</f>
        <v>6.6031585533389716</v>
      </c>
      <c r="W14" s="31">
        <f>'[1]功能-行军令'!T14</f>
        <v>8.412706183936784</v>
      </c>
      <c r="X14" s="31">
        <f>'[1]功能-行军令'!U14</f>
        <v>9.5583127221793944</v>
      </c>
      <c r="Y14" s="31">
        <f>'[1]功能-行军令'!V14</f>
        <v>7.825515307726846</v>
      </c>
      <c r="Z14" s="31">
        <f>'[1]功能-行军令'!W14</f>
        <v>4.5811655858719362</v>
      </c>
      <c r="AC14" s="54">
        <v>11</v>
      </c>
      <c r="AD14" s="54">
        <f>'[1]功能-实力'!BE15</f>
        <v>139985</v>
      </c>
      <c r="AE14" s="54">
        <f>'[1]功能-实力'!BF15</f>
        <v>143455</v>
      </c>
      <c r="AF14" s="54">
        <f>'[1]功能-实力'!BG15</f>
        <v>150320</v>
      </c>
      <c r="AG14" s="54">
        <f>'[1]功能-实力'!BH15</f>
        <v>160955</v>
      </c>
      <c r="AH14" s="54">
        <f>'[1]功能-实力'!BI15</f>
        <v>167275</v>
      </c>
    </row>
    <row r="15" spans="2:34" x14ac:dyDescent="0.15">
      <c r="B15" s="25">
        <v>12</v>
      </c>
      <c r="C15" s="26">
        <f>'[1]资源-钻石'!L15</f>
        <v>17030.836021067465</v>
      </c>
      <c r="D15" s="26">
        <f>'[1]资源-钻石'!M15</f>
        <v>20821.108034613077</v>
      </c>
      <c r="E15" s="26">
        <f>'[1]资源-钻石'!N15</f>
        <v>28122.416781710446</v>
      </c>
      <c r="F15" s="26">
        <f>'[1]资源-钻石'!O15</f>
        <v>51021.941319212594</v>
      </c>
      <c r="G15" s="26">
        <f>'[1]资源-钻石'!P15</f>
        <v>65344.893235540309</v>
      </c>
      <c r="I15" s="25">
        <v>12</v>
      </c>
      <c r="J15" s="26">
        <f>'[1]资源-钻石'!T15</f>
        <v>93829.193083431441</v>
      </c>
      <c r="K15" s="26">
        <f>'[1]资源-钻石'!U15</f>
        <v>127332.11239177457</v>
      </c>
      <c r="L15" s="26">
        <f>'[1]资源-钻石'!V15</f>
        <v>203983.32363095207</v>
      </c>
      <c r="M15" s="26">
        <f>'[1]资源-钻石'!W15</f>
        <v>511811.65599404729</v>
      </c>
      <c r="N15" s="26">
        <f>'[1]资源-钻石'!X15</f>
        <v>1192625.321593452</v>
      </c>
      <c r="P15" s="31">
        <v>12</v>
      </c>
      <c r="Q15" s="31">
        <f>'[1]功能-行军令'!N15</f>
        <v>59.680248659727226</v>
      </c>
      <c r="R15" s="31">
        <f>'[1]功能-行军令'!O15</f>
        <v>74.54737703889127</v>
      </c>
      <c r="S15" s="31">
        <f>'[1]功能-行军令'!P15</f>
        <v>82.431656845525254</v>
      </c>
      <c r="T15" s="31">
        <f>'[1]功能-行军令'!Q15</f>
        <v>68.205701920440248</v>
      </c>
      <c r="U15" s="31">
        <f>'[1]功能-行军令'!R15</f>
        <v>37.657458466261879</v>
      </c>
      <c r="V15" s="31">
        <f>'[1]功能-行军令'!S15</f>
        <v>7.0770901063882548</v>
      </c>
      <c r="W15" s="31">
        <f>'[1]功能-行军令'!T15</f>
        <v>8.8630708549544863</v>
      </c>
      <c r="X15" s="31">
        <f>'[1]功能-行军令'!U15</f>
        <v>10.128844123345857</v>
      </c>
      <c r="Y15" s="31">
        <f>'[1]功能-行军令'!V15</f>
        <v>8.9007866127133966</v>
      </c>
      <c r="Z15" s="31">
        <f>'[1]功能-行军令'!W15</f>
        <v>4.9366928803899413</v>
      </c>
      <c r="AC15" s="54">
        <v>12</v>
      </c>
      <c r="AD15" s="54">
        <f>'[1]功能-实力'!BE16</f>
        <v>151920</v>
      </c>
      <c r="AE15" s="54">
        <f>'[1]功能-实力'!BF16</f>
        <v>156180</v>
      </c>
      <c r="AF15" s="54">
        <f>'[1]功能-实力'!BG16</f>
        <v>163250</v>
      </c>
      <c r="AG15" s="54">
        <f>'[1]功能-实力'!BH16</f>
        <v>175085</v>
      </c>
      <c r="AH15" s="54">
        <f>'[1]功能-实力'!BI16</f>
        <v>182560</v>
      </c>
    </row>
    <row r="16" spans="2:34" x14ac:dyDescent="0.15">
      <c r="B16" s="25">
        <v>13</v>
      </c>
      <c r="C16" s="26">
        <f>'[1]资源-钻石'!L16</f>
        <v>18433.789236641249</v>
      </c>
      <c r="D16" s="26">
        <f>'[1]资源-钻石'!M16</f>
        <v>22515.068189678881</v>
      </c>
      <c r="E16" s="26">
        <f>'[1]资源-钻石'!N16</f>
        <v>31560.848839113434</v>
      </c>
      <c r="F16" s="26">
        <f>'[1]资源-钻石'!O16</f>
        <v>58216.372939398607</v>
      </c>
      <c r="G16" s="26">
        <f>'[1]资源-钻石'!P16</f>
        <v>74825.974439864003</v>
      </c>
      <c r="I16" s="25">
        <v>13</v>
      </c>
      <c r="J16" s="26">
        <f>'[1]资源-钻石'!T16</f>
        <v>99484.961382552967</v>
      </c>
      <c r="K16" s="26">
        <f>'[1]资源-钻石'!U16</f>
        <v>135353.45752080827</v>
      </c>
      <c r="L16" s="26">
        <f>'[1]资源-钻石'!V16</f>
        <v>217576.80327288911</v>
      </c>
      <c r="M16" s="26">
        <f>'[1]资源-钻石'!W16</f>
        <v>548214.48360017803</v>
      </c>
      <c r="N16" s="26">
        <f>'[1]资源-钻石'!X16</f>
        <v>1279655.931960196</v>
      </c>
      <c r="P16" s="31">
        <v>13</v>
      </c>
      <c r="Q16" s="31">
        <f>'[1]功能-行军令'!N16</f>
        <v>67.265286027732301</v>
      </c>
      <c r="R16" s="31">
        <f>'[1]功能-行军令'!O16</f>
        <v>84.609786258865753</v>
      </c>
      <c r="S16" s="31">
        <f>'[1]功能-行军令'!P16</f>
        <v>93.680071393057432</v>
      </c>
      <c r="T16" s="31">
        <f>'[1]功能-行军令'!Q16</f>
        <v>77.82315758531557</v>
      </c>
      <c r="U16" s="31">
        <f>'[1]功能-行军令'!R16</f>
        <v>43.121288981373802</v>
      </c>
      <c r="V16" s="31">
        <f>'[1]功能-行军令'!S16</f>
        <v>7.5850373680050751</v>
      </c>
      <c r="W16" s="31">
        <f>'[1]功能-行军令'!T16</f>
        <v>10.062409219974484</v>
      </c>
      <c r="X16" s="31">
        <f>'[1]功能-行军令'!U16</f>
        <v>11.248414547532178</v>
      </c>
      <c r="Y16" s="31">
        <f>'[1]功能-行军令'!V16</f>
        <v>9.6174556648753224</v>
      </c>
      <c r="Z16" s="31">
        <f>'[1]功能-行军令'!W16</f>
        <v>5.4638305151119226</v>
      </c>
      <c r="AC16" s="54">
        <v>13</v>
      </c>
      <c r="AD16" s="54">
        <f>'[1]功能-实力'!BE17</f>
        <v>164485</v>
      </c>
      <c r="AE16" s="54">
        <f>'[1]功能-实力'!BF17</f>
        <v>169135</v>
      </c>
      <c r="AF16" s="54">
        <f>'[1]功能-实力'!BG17</f>
        <v>177340</v>
      </c>
      <c r="AG16" s="54">
        <f>'[1]功能-实力'!BH17</f>
        <v>189685</v>
      </c>
      <c r="AH16" s="54">
        <f>'[1]功能-实力'!BI17</f>
        <v>198475</v>
      </c>
    </row>
    <row r="17" spans="2:34" x14ac:dyDescent="0.15">
      <c r="B17" s="25">
        <v>14</v>
      </c>
      <c r="C17" s="26">
        <f>'[1]资源-钻石'!L17</f>
        <v>19937.437262273183</v>
      </c>
      <c r="D17" s="26">
        <f>'[1]资源-钻石'!M17</f>
        <v>24216.171459753881</v>
      </c>
      <c r="E17" s="26">
        <f>'[1]资源-钻石'!N17</f>
        <v>33748.980033493193</v>
      </c>
      <c r="F17" s="26">
        <f>'[1]资源-钻石'!O17</f>
        <v>65189.05223590164</v>
      </c>
      <c r="G17" s="26">
        <f>'[1]资源-钻石'!P17</f>
        <v>83664.114844119293</v>
      </c>
      <c r="I17" s="25">
        <v>14</v>
      </c>
      <c r="J17" s="26">
        <f>'[1]资源-钻石'!T17</f>
        <v>105139.84955427336</v>
      </c>
      <c r="K17" s="26">
        <f>'[1]资源-钻石'!U17</f>
        <v>143360.19093045552</v>
      </c>
      <c r="L17" s="26">
        <f>'[1]资源-钻石'!V17</f>
        <v>230953.09582111749</v>
      </c>
      <c r="M17" s="26">
        <f>'[1]资源-钻石'!W17</f>
        <v>583922.06117402692</v>
      </c>
      <c r="N17" s="26">
        <f>'[1]资源-钻石'!X17</f>
        <v>1365350.6747495967</v>
      </c>
      <c r="P17" s="31">
        <v>14</v>
      </c>
      <c r="Q17" s="31">
        <f>'[1]功能-行军令'!N17</f>
        <v>75.394727791106263</v>
      </c>
      <c r="R17" s="31">
        <f>'[1]功能-行军令'!O17</f>
        <v>94.714626787577259</v>
      </c>
      <c r="S17" s="31">
        <f>'[1]功能-行军令'!P17</f>
        <v>105.06156976741366</v>
      </c>
      <c r="T17" s="31">
        <f>'[1]功能-行军令'!Q17</f>
        <v>87.144176609439413</v>
      </c>
      <c r="U17" s="31">
        <f>'[1]功能-行军令'!R17</f>
        <v>48.214600619248152</v>
      </c>
      <c r="V17" s="31">
        <f>'[1]功能-行军令'!S17</f>
        <v>8.1294417633739613</v>
      </c>
      <c r="W17" s="31">
        <f>'[1]功能-行军令'!T17</f>
        <v>10.104840528711506</v>
      </c>
      <c r="X17" s="31">
        <f>'[1]功能-行军令'!U17</f>
        <v>11.381498374356227</v>
      </c>
      <c r="Y17" s="31">
        <f>'[1]功能-行军令'!V17</f>
        <v>9.3210190241238422</v>
      </c>
      <c r="Z17" s="31">
        <f>'[1]功能-行军令'!W17</f>
        <v>5.0933116378743506</v>
      </c>
      <c r="AC17" s="54">
        <v>14</v>
      </c>
      <c r="AD17" s="54">
        <f>'[1]功能-实力'!BE18</f>
        <v>177570</v>
      </c>
      <c r="AE17" s="54">
        <f>'[1]功能-实力'!BF18</f>
        <v>182620</v>
      </c>
      <c r="AF17" s="54">
        <f>'[1]功能-实力'!BG18</f>
        <v>191205</v>
      </c>
      <c r="AG17" s="54">
        <f>'[1]功能-实力'!BH18</f>
        <v>204665</v>
      </c>
      <c r="AH17" s="54">
        <f>'[1]功能-实力'!BI18</f>
        <v>214420</v>
      </c>
    </row>
    <row r="18" spans="2:34" x14ac:dyDescent="0.15">
      <c r="B18" s="25">
        <v>15</v>
      </c>
      <c r="C18" s="26">
        <f>'[1]资源-钻石'!L18</f>
        <v>21549.007313140588</v>
      </c>
      <c r="D18" s="26">
        <f>'[1]资源-钻石'!M18</f>
        <v>26085.623676693893</v>
      </c>
      <c r="E18" s="26">
        <f>'[1]资源-钻石'!N18</f>
        <v>36169.562152556653</v>
      </c>
      <c r="F18" s="26">
        <f>'[1]资源-钻石'!O18</f>
        <v>73117.028667858307</v>
      </c>
      <c r="G18" s="26">
        <f>'[1]资源-钻石'!P18</f>
        <v>94215.025386095949</v>
      </c>
      <c r="I18" s="25">
        <v>15</v>
      </c>
      <c r="J18" s="26">
        <f>'[1]资源-钻石'!T18</f>
        <v>110783.30358020157</v>
      </c>
      <c r="K18" s="26">
        <f>'[1]资源-钻石'!U18</f>
        <v>151156.63393822176</v>
      </c>
      <c r="L18" s="26">
        <f>'[1]资源-钻石'!V18</f>
        <v>243904.04733204393</v>
      </c>
      <c r="M18" s="26">
        <f>'[1]资源-钻石'!W18</f>
        <v>617393.20206524828</v>
      </c>
      <c r="N18" s="26">
        <f>'[1]资源-钻石'!X18</f>
        <v>1443854.0847717733</v>
      </c>
      <c r="P18" s="31">
        <v>15</v>
      </c>
      <c r="Q18" s="31">
        <f>'[1]功能-行军令'!N18</f>
        <v>84.107647738324729</v>
      </c>
      <c r="R18" s="31">
        <f>'[1]功能-行军令'!O18</f>
        <v>105.81948847383583</v>
      </c>
      <c r="S18" s="31">
        <f>'[1]功能-行军令'!P18</f>
        <v>117.65215461163081</v>
      </c>
      <c r="T18" s="31">
        <f>'[1]功能-行军令'!Q18</f>
        <v>97.742228807557069</v>
      </c>
      <c r="U18" s="31">
        <f>'[1]功能-行军令'!R18</f>
        <v>54.294960626625631</v>
      </c>
      <c r="V18" s="31">
        <f>'[1]功能-行军令'!S18</f>
        <v>8.7129199472184666</v>
      </c>
      <c r="W18" s="31">
        <f>'[1]功能-行军令'!T18</f>
        <v>11.104861686258573</v>
      </c>
      <c r="X18" s="31">
        <f>'[1]功能-行军令'!U18</f>
        <v>12.590584844217148</v>
      </c>
      <c r="Y18" s="31">
        <f>'[1]功能-行军令'!V18</f>
        <v>10.598052198117657</v>
      </c>
      <c r="Z18" s="31">
        <f>'[1]功能-行军令'!W18</f>
        <v>6.0803600073774788</v>
      </c>
      <c r="AC18" s="54">
        <v>15</v>
      </c>
      <c r="AD18" s="54">
        <f>'[1]功能-实力'!BE19</f>
        <v>191195</v>
      </c>
      <c r="AE18" s="54">
        <f>'[1]功能-实力'!BF19</f>
        <v>196600</v>
      </c>
      <c r="AF18" s="54">
        <f>'[1]功能-实力'!BG19</f>
        <v>205820</v>
      </c>
      <c r="AG18" s="54">
        <f>'[1]功能-实力'!BH19</f>
        <v>220145</v>
      </c>
      <c r="AH18" s="54">
        <f>'[1]功能-实力'!BI19</f>
        <v>232255</v>
      </c>
    </row>
    <row r="19" spans="2:34" x14ac:dyDescent="0.15">
      <c r="B19" s="25">
        <v>16</v>
      </c>
      <c r="C19" s="26">
        <f>'[1]资源-钻石'!L19</f>
        <v>23276.245326678534</v>
      </c>
      <c r="D19" s="26">
        <f>'[1]资源-钻石'!M19</f>
        <v>28107.029703733599</v>
      </c>
      <c r="E19" s="26">
        <f>'[1]资源-钻石'!N19</f>
        <v>38741.317458698752</v>
      </c>
      <c r="F19" s="26">
        <f>'[1]资源-钻石'!O19</f>
        <v>79654.721470479883</v>
      </c>
      <c r="G19" s="26">
        <f>'[1]资源-钻石'!P19</f>
        <v>106273.04530791788</v>
      </c>
      <c r="I19" s="25">
        <v>16</v>
      </c>
      <c r="J19" s="26">
        <f>'[1]资源-钻石'!T19</f>
        <v>116425.87747872864</v>
      </c>
      <c r="K19" s="26">
        <f>'[1]资源-钻石'!U19</f>
        <v>158938.46522660152</v>
      </c>
      <c r="L19" s="26">
        <f>'[1]资源-钻石'!V19</f>
        <v>256637.81174926169</v>
      </c>
      <c r="M19" s="26">
        <f>'[1]资源-钻石'!W19</f>
        <v>650169.09292418777</v>
      </c>
      <c r="N19" s="26">
        <f>'[1]资源-钻石'!X19</f>
        <v>1521021.6272166066</v>
      </c>
      <c r="P19" s="31">
        <v>16</v>
      </c>
      <c r="Q19" s="31">
        <f>'[1]功能-行军令'!N19</f>
        <v>93.445924118956611</v>
      </c>
      <c r="R19" s="31">
        <f>'[1]功能-行军令'!O19</f>
        <v>117.82698143815891</v>
      </c>
      <c r="S19" s="31">
        <f>'[1]功能-行军令'!P19</f>
        <v>131.02906222634775</v>
      </c>
      <c r="T19" s="31">
        <f>'[1]功能-行军令'!Q19</f>
        <v>109.36850015888693</v>
      </c>
      <c r="U19" s="31">
        <f>'[1]功能-行军令'!R19</f>
        <v>61.243849237624261</v>
      </c>
      <c r="V19" s="31">
        <f>'[1]功能-行军令'!S19</f>
        <v>9.338276380631882</v>
      </c>
      <c r="W19" s="31">
        <f>'[1]功能-行军令'!T19</f>
        <v>12.007492964323077</v>
      </c>
      <c r="X19" s="31">
        <f>'[1]功能-行军令'!U19</f>
        <v>13.376907614716941</v>
      </c>
      <c r="Y19" s="31">
        <f>'[1]功能-行军令'!V19</f>
        <v>11.626271351329862</v>
      </c>
      <c r="Z19" s="31">
        <f>'[1]功能-行军令'!W19</f>
        <v>6.9488886109986296</v>
      </c>
      <c r="AC19" s="54">
        <v>16</v>
      </c>
      <c r="AD19" s="54">
        <f>'[1]功能-实力'!BE20</f>
        <v>217697.5</v>
      </c>
      <c r="AE19" s="54">
        <f>'[1]功能-实力'!BF20</f>
        <v>223829.6</v>
      </c>
      <c r="AF19" s="54">
        <f>'[1]功能-实力'!BG20</f>
        <v>234106.3</v>
      </c>
      <c r="AG19" s="54">
        <f>'[1]功能-实力'!BH20</f>
        <v>252184.59999999998</v>
      </c>
      <c r="AH19" s="54">
        <f>'[1]功能-实力'!BI20</f>
        <v>265392.2</v>
      </c>
    </row>
    <row r="20" spans="2:34" x14ac:dyDescent="0.15">
      <c r="B20" s="25">
        <v>17</v>
      </c>
      <c r="C20" s="26">
        <f>'[1]资源-钻石'!L20</f>
        <v>25127.453193072412</v>
      </c>
      <c r="D20" s="26">
        <f>'[1]资源-钻石'!M20</f>
        <v>30190.935780326425</v>
      </c>
      <c r="E20" s="26">
        <f>'[1]资源-钻石'!N20</f>
        <v>41376.418673236723</v>
      </c>
      <c r="F20" s="26">
        <f>'[1]资源-钻石'!O20</f>
        <v>84388.587140133284</v>
      </c>
      <c r="G20" s="26">
        <f>'[1]资源-钻石'!P20</f>
        <v>116730.88821527046</v>
      </c>
      <c r="I20" s="25">
        <v>17</v>
      </c>
      <c r="J20" s="26">
        <f>'[1]资源-钻石'!T20</f>
        <v>122068.4513772557</v>
      </c>
      <c r="K20" s="26">
        <f>'[1]资源-钻石'!U20</f>
        <v>166720.29651498128</v>
      </c>
      <c r="L20" s="26">
        <f>'[1]资源-钻石'!V20</f>
        <v>269371.57616647944</v>
      </c>
      <c r="M20" s="26">
        <f>'[1]资源-钻石'!W20</f>
        <v>682944.98378312727</v>
      </c>
      <c r="N20" s="26">
        <f>'[1]资源-钻石'!X20</f>
        <v>1598189.1696614402</v>
      </c>
      <c r="P20" s="31">
        <v>17</v>
      </c>
      <c r="Q20" s="31">
        <f>'[1]功能-行军令'!N20</f>
        <v>103.45444092954733</v>
      </c>
      <c r="R20" s="31">
        <f>'[1]功能-行军令'!O20</f>
        <v>130.20573524530138</v>
      </c>
      <c r="S20" s="31">
        <f>'[1]功能-行军令'!P20</f>
        <v>144.73546167193922</v>
      </c>
      <c r="T20" s="31">
        <f>'[1]功能-行军令'!Q20</f>
        <v>120.9434141686873</v>
      </c>
      <c r="U20" s="31">
        <f>'[1]功能-行军令'!R20</f>
        <v>67.270575511562512</v>
      </c>
      <c r="V20" s="31">
        <f>'[1]功能-行军令'!S20</f>
        <v>10.00851681059072</v>
      </c>
      <c r="W20" s="31">
        <f>'[1]功能-行军令'!T20</f>
        <v>12.378753807142473</v>
      </c>
      <c r="X20" s="31">
        <f>'[1]功能-行军令'!U20</f>
        <v>13.706399445591472</v>
      </c>
      <c r="Y20" s="31">
        <f>'[1]功能-行军令'!V20</f>
        <v>11.574914009800366</v>
      </c>
      <c r="Z20" s="31">
        <f>'[1]功能-行军令'!W20</f>
        <v>6.0267262739382517</v>
      </c>
      <c r="AC20" s="54">
        <v>17</v>
      </c>
      <c r="AD20" s="54">
        <f>'[1]功能-实力'!BE21</f>
        <v>246467.19999999998</v>
      </c>
      <c r="AE20" s="54">
        <f>'[1]功能-实力'!BF21</f>
        <v>253316</v>
      </c>
      <c r="AF20" s="54">
        <f>'[1]功能-实力'!BG21</f>
        <v>265837.59999999998</v>
      </c>
      <c r="AG20" s="54">
        <f>'[1]功能-实力'!BH21</f>
        <v>285605.59999999998</v>
      </c>
      <c r="AH20" s="54">
        <f>'[1]功能-实力'!BI21</f>
        <v>300815.19999999995</v>
      </c>
    </row>
    <row r="21" spans="2:34" x14ac:dyDescent="0.15">
      <c r="B21" s="25">
        <v>18</v>
      </c>
      <c r="C21" s="26">
        <f>'[1]资源-钻石'!L21</f>
        <v>27111.528657911796</v>
      </c>
      <c r="D21" s="26">
        <f>'[1]资源-钻石'!M21</f>
        <v>32539.294969613729</v>
      </c>
      <c r="E21" s="26">
        <f>'[1]资源-钻石'!N21</f>
        <v>44500.440066360228</v>
      </c>
      <c r="F21" s="26">
        <f>'[1]资源-钻石'!O21</f>
        <v>89966.86302702775</v>
      </c>
      <c r="G21" s="26">
        <f>'[1]资源-钻石'!P21</f>
        <v>129677.26804937195</v>
      </c>
      <c r="I21" s="25">
        <v>18</v>
      </c>
      <c r="J21" s="26">
        <f>'[1]资源-钻石'!T21</f>
        <v>127711.02527578275</v>
      </c>
      <c r="K21" s="26">
        <f>'[1]资源-钻石'!U21</f>
        <v>174502.12780336101</v>
      </c>
      <c r="L21" s="26">
        <f>'[1]资源-钻石'!V21</f>
        <v>282105.34058369714</v>
      </c>
      <c r="M21" s="26">
        <f>'[1]资源-钻石'!W21</f>
        <v>715720.87464206689</v>
      </c>
      <c r="N21" s="26">
        <f>'[1]资源-钻石'!X21</f>
        <v>1675356.7121062737</v>
      </c>
      <c r="P21" s="31">
        <v>18</v>
      </c>
      <c r="Q21" s="31">
        <f>'[1]功能-行军令'!N21</f>
        <v>114.18130364648684</v>
      </c>
      <c r="R21" s="31">
        <f>'[1]功能-行军令'!O21</f>
        <v>144.15538517504154</v>
      </c>
      <c r="S21" s="31">
        <f>'[1]功能-行军令'!P21</f>
        <v>160.98496467185777</v>
      </c>
      <c r="T21" s="31">
        <f>'[1]功能-行军令'!Q21</f>
        <v>134.58302040586085</v>
      </c>
      <c r="U21" s="31">
        <f>'[1]功能-行军令'!R21</f>
        <v>74.731415016400319</v>
      </c>
      <c r="V21" s="31">
        <f>'[1]功能-行军令'!S21</f>
        <v>10.726862716939507</v>
      </c>
      <c r="W21" s="31">
        <f>'[1]功能-行军令'!T21</f>
        <v>13.949649929740161</v>
      </c>
      <c r="X21" s="31">
        <f>'[1]功能-行军令'!U21</f>
        <v>16.249502999918548</v>
      </c>
      <c r="Y21" s="31">
        <f>'[1]功能-行军令'!V21</f>
        <v>13.639606237173552</v>
      </c>
      <c r="Z21" s="31">
        <f>'[1]功能-行军令'!W21</f>
        <v>7.4608395048378071</v>
      </c>
      <c r="AC21" s="54">
        <v>18</v>
      </c>
      <c r="AD21" s="54">
        <f>'[1]功能-实力'!BE22</f>
        <v>277783.80000000005</v>
      </c>
      <c r="AE21" s="54">
        <f>'[1]功能-实力'!BF22</f>
        <v>286563</v>
      </c>
      <c r="AF21" s="54">
        <f>'[1]功能-实力'!BG22</f>
        <v>299902.90000000002</v>
      </c>
      <c r="AG21" s="54">
        <f>'[1]功能-实力'!BH22</f>
        <v>322157.70000000007</v>
      </c>
      <c r="AH21" s="54">
        <f>'[1]功能-实力'!BI22</f>
        <v>339627.6</v>
      </c>
    </row>
    <row r="22" spans="2:34" x14ac:dyDescent="0.15">
      <c r="B22" s="25">
        <v>19</v>
      </c>
      <c r="C22" s="26">
        <f>'[1]资源-钻石'!L22</f>
        <v>29238.008088796014</v>
      </c>
      <c r="D22" s="26">
        <f>'[1]资源-钻石'!M22</f>
        <v>35041.348193902602</v>
      </c>
      <c r="E22" s="26">
        <f>'[1]资源-钻石'!N22</f>
        <v>47683.663398185265</v>
      </c>
      <c r="F22" s="26">
        <f>'[1]资源-钻石'!O22</f>
        <v>95566.441529918055</v>
      </c>
      <c r="G22" s="26">
        <f>'[1]资源-钻石'!P22</f>
        <v>143466.77494669936</v>
      </c>
      <c r="I22" s="25">
        <v>19</v>
      </c>
      <c r="J22" s="26">
        <f>'[1]资源-钻石'!T22</f>
        <v>133353.59917430981</v>
      </c>
      <c r="K22" s="26">
        <f>'[1]资源-钻石'!U22</f>
        <v>182283.95909174081</v>
      </c>
      <c r="L22" s="26">
        <f>'[1]资源-钻石'!V22</f>
        <v>294839.10500091495</v>
      </c>
      <c r="M22" s="26">
        <f>'[1]资源-钻石'!W22</f>
        <v>748496.76550100639</v>
      </c>
      <c r="N22" s="26">
        <f>'[1]资源-钻石'!X22</f>
        <v>1752524.2545511071</v>
      </c>
      <c r="P22" s="31">
        <v>19</v>
      </c>
      <c r="Q22" s="31">
        <f>'[1]功能-行军令'!N22</f>
        <v>125.67807044277257</v>
      </c>
      <c r="R22" s="31">
        <f>'[1]功能-行军令'!O22</f>
        <v>159.01800361247061</v>
      </c>
      <c r="S22" s="31">
        <f>'[1]功能-行军令'!P22</f>
        <v>177.54240476934203</v>
      </c>
      <c r="T22" s="31">
        <f>'[1]功能-行军令'!Q22</f>
        <v>148.27471429518647</v>
      </c>
      <c r="U22" s="31">
        <f>'[1]功能-行军令'!R22</f>
        <v>82.678138280367776</v>
      </c>
      <c r="V22" s="31">
        <f>'[1]功能-行军令'!S22</f>
        <v>11.496766796285726</v>
      </c>
      <c r="W22" s="31">
        <f>'[1]功能-行军令'!T22</f>
        <v>14.862618437429063</v>
      </c>
      <c r="X22" s="31">
        <f>'[1]功能-行军令'!U22</f>
        <v>16.55744009748426</v>
      </c>
      <c r="Y22" s="31">
        <f>'[1]功能-行军令'!V22</f>
        <v>13.69169388932562</v>
      </c>
      <c r="Z22" s="31">
        <f>'[1]功能-行军令'!W22</f>
        <v>7.9467232639674563</v>
      </c>
      <c r="AC22" s="54">
        <v>19</v>
      </c>
      <c r="AD22" s="54">
        <f>'[1]功能-实力'!BE23</f>
        <v>302736</v>
      </c>
      <c r="AE22" s="54">
        <f>'[1]功能-实力'!BF23</f>
        <v>311370</v>
      </c>
      <c r="AF22" s="54">
        <f>'[1]功能-实力'!BG23</f>
        <v>325812</v>
      </c>
      <c r="AG22" s="54">
        <f>'[1]功能-实力'!BH23</f>
        <v>349788</v>
      </c>
      <c r="AH22" s="54">
        <f>'[1]功能-实力'!BI23</f>
        <v>369186</v>
      </c>
    </row>
    <row r="23" spans="2:34" x14ac:dyDescent="0.15">
      <c r="B23" s="25">
        <v>20</v>
      </c>
      <c r="C23" s="26">
        <f>'[1]资源-钻石'!L23</f>
        <v>31517.112311446996</v>
      </c>
      <c r="D23" s="26">
        <f>'[1]资源-钻石'!M23</f>
        <v>37638.900043153961</v>
      </c>
      <c r="E23" s="26">
        <f>'[1]资源-钻石'!N23</f>
        <v>50940.972545434364</v>
      </c>
      <c r="F23" s="26">
        <f>'[1]资源-钻石'!O23</f>
        <v>101486.61321828848</v>
      </c>
      <c r="G23" s="26">
        <f>'[1]资源-钻石'!P23</f>
        <v>157264.67774703552</v>
      </c>
      <c r="I23" s="25">
        <v>20</v>
      </c>
      <c r="J23" s="26">
        <f>'[1]资源-钻石'!T23</f>
        <v>138996.17307283689</v>
      </c>
      <c r="K23" s="26">
        <f>'[1]资源-钻石'!U23</f>
        <v>190065.79038012057</v>
      </c>
      <c r="L23" s="26">
        <f>'[1]资源-钻石'!V23</f>
        <v>307572.86941813264</v>
      </c>
      <c r="M23" s="26">
        <f>'[1]资源-钻石'!W23</f>
        <v>781272.65635994589</v>
      </c>
      <c r="N23" s="26">
        <f>'[1]资源-钻石'!X23</f>
        <v>1829691.7969959404</v>
      </c>
      <c r="P23" s="31">
        <v>20</v>
      </c>
      <c r="Q23" s="31">
        <f>'[1]功能-行军令'!N23</f>
        <v>138</v>
      </c>
      <c r="R23" s="31">
        <f>'[1]功能-行军令'!O23</f>
        <v>174.4479</v>
      </c>
      <c r="S23" s="31">
        <f>'[1]功能-行军令'!P23</f>
        <v>194.48519999999999</v>
      </c>
      <c r="T23" s="31">
        <f>'[1]功能-行军令'!Q23</f>
        <v>162.75029999999998</v>
      </c>
      <c r="U23" s="31">
        <f>'[1]功能-行军令'!R23</f>
        <v>90.6297</v>
      </c>
      <c r="V23" s="31">
        <f>'[1]功能-行军令'!S23</f>
        <v>12.321929557227435</v>
      </c>
      <c r="W23" s="31">
        <f>'[1]功能-行军令'!T23</f>
        <v>15.429896387529396</v>
      </c>
      <c r="X23" s="31">
        <f>'[1]功能-行军令'!U23</f>
        <v>16.942795230657964</v>
      </c>
      <c r="Y23" s="31">
        <f>'[1]功能-行军令'!V23</f>
        <v>14.475585704813511</v>
      </c>
      <c r="Z23" s="31">
        <f>'[1]功能-行军令'!W23</f>
        <v>7.9515617196322239</v>
      </c>
      <c r="AC23" s="54">
        <v>20</v>
      </c>
      <c r="AD23" s="54">
        <f>'[1]功能-实力'!BE24</f>
        <v>323166</v>
      </c>
      <c r="AE23" s="54">
        <f>'[1]功能-实力'!BF24</f>
        <v>331224</v>
      </c>
      <c r="AF23" s="54">
        <f>'[1]功能-实力'!BG24</f>
        <v>346698</v>
      </c>
      <c r="AG23" s="54">
        <f>'[1]功能-实力'!BH24</f>
        <v>371250</v>
      </c>
      <c r="AH23" s="54">
        <f>'[1]功能-实力'!BI24</f>
        <v>391776</v>
      </c>
    </row>
    <row r="24" spans="2:34" x14ac:dyDescent="0.15">
      <c r="B24" s="25">
        <v>21</v>
      </c>
      <c r="C24" s="26">
        <f>'[1]资源-钻石'!L24</f>
        <v>33959.79573563872</v>
      </c>
      <c r="D24" s="26">
        <f>'[1]资源-钻石'!M24</f>
        <v>40438.1868079657</v>
      </c>
      <c r="E24" s="26">
        <f>'[1]资源-钻石'!N24</f>
        <v>54605.422002455409</v>
      </c>
      <c r="F24" s="26">
        <f>'[1]资源-钻石'!O24</f>
        <v>108077.91399198056</v>
      </c>
      <c r="G24" s="26">
        <f>'[1]资源-钻石'!P24</f>
        <v>173665.84157052677</v>
      </c>
      <c r="I24" s="25">
        <v>21</v>
      </c>
      <c r="J24" s="26">
        <f>'[1]资源-钻石'!T24</f>
        <v>144638.74697136396</v>
      </c>
      <c r="K24" s="26">
        <f>'[1]资源-钻石'!U24</f>
        <v>197847.62166850036</v>
      </c>
      <c r="L24" s="26">
        <f>'[1]资源-钻石'!V24</f>
        <v>320306.6338353504</v>
      </c>
      <c r="M24" s="26">
        <f>'[1]资源-钻石'!W24</f>
        <v>814048.54721888539</v>
      </c>
      <c r="N24" s="26">
        <f>'[1]资源-钻石'!X24</f>
        <v>1906859.3394407742</v>
      </c>
      <c r="P24" s="31">
        <v>21</v>
      </c>
      <c r="Q24" s="31">
        <f>'[1]功能-行军令'!N24</f>
        <v>151.20631710667794</v>
      </c>
      <c r="R24" s="31">
        <f>'[1]功能-行军令'!O24</f>
        <v>191.07613583385876</v>
      </c>
      <c r="S24" s="31">
        <f>'[1]功能-行军令'!P24</f>
        <v>213.54572326529612</v>
      </c>
      <c r="T24" s="31">
        <f>'[1]功能-行军令'!Q24</f>
        <v>178.86688314626454</v>
      </c>
      <c r="U24" s="31">
        <f>'[1]功能-行军令'!R24</f>
        <v>100.08148903660003</v>
      </c>
      <c r="V24" s="31">
        <f>'[1]功能-行军令'!S24</f>
        <v>13.206317106677943</v>
      </c>
      <c r="W24" s="31">
        <f>'[1]功能-行军令'!T24</f>
        <v>16.628235833858753</v>
      </c>
      <c r="X24" s="31">
        <f>'[1]功能-行军令'!U24</f>
        <v>19.060523265296126</v>
      </c>
      <c r="Y24" s="31">
        <f>'[1]功能-行军令'!V24</f>
        <v>16.11658314626456</v>
      </c>
      <c r="Z24" s="31">
        <f>'[1]功能-行军令'!W24</f>
        <v>9.451789036600033</v>
      </c>
      <c r="AC24" s="54">
        <v>21</v>
      </c>
      <c r="AD24" s="54">
        <f>'[1]功能-实力'!BE25</f>
        <v>343230</v>
      </c>
      <c r="AE24" s="54">
        <f>'[1]功能-实力'!BF25</f>
        <v>352146</v>
      </c>
      <c r="AF24" s="54">
        <f>'[1]功能-实力'!BG25</f>
        <v>368964</v>
      </c>
      <c r="AG24" s="54">
        <f>'[1]功能-实力'!BH25</f>
        <v>395346</v>
      </c>
      <c r="AH24" s="54">
        <f>'[1]功能-实力'!BI25</f>
        <v>417660</v>
      </c>
    </row>
    <row r="25" spans="2:34" x14ac:dyDescent="0.15">
      <c r="B25" s="25">
        <v>22</v>
      </c>
      <c r="C25" s="26">
        <f>'[1]资源-钻石'!L25</f>
        <v>36577.799007064699</v>
      </c>
      <c r="D25" s="26">
        <f>'[1]资源-钻石'!M25</f>
        <v>43510.087163633507</v>
      </c>
      <c r="E25" s="26">
        <f>'[1]资源-钻石'!N25</f>
        <v>58599.442034939173</v>
      </c>
      <c r="F25" s="26">
        <f>'[1]资源-钻石'!O25</f>
        <v>115289.01473422429</v>
      </c>
      <c r="G25" s="26">
        <f>'[1]资源-钻石'!P25</f>
        <v>185359.86305402278</v>
      </c>
      <c r="I25" s="25">
        <v>22</v>
      </c>
      <c r="J25" s="26">
        <f>'[1]资源-钻石'!T25</f>
        <v>150281.320869891</v>
      </c>
      <c r="K25" s="26">
        <f>'[1]资源-钻石'!U25</f>
        <v>205629.45295688012</v>
      </c>
      <c r="L25" s="26">
        <f>'[1]资源-钻石'!V25</f>
        <v>333040.39825256815</v>
      </c>
      <c r="M25" s="26">
        <f>'[1]资源-钻石'!W25</f>
        <v>846824.43807782489</v>
      </c>
      <c r="N25" s="26">
        <f>'[1]资源-钻石'!X25</f>
        <v>1984026.8818856075</v>
      </c>
      <c r="P25" s="31">
        <v>22</v>
      </c>
      <c r="Q25" s="31">
        <f>'[1]功能-行军令'!N25</f>
        <v>165.36049731945442</v>
      </c>
      <c r="R25" s="31">
        <f>'[1]功能-行军令'!O25</f>
        <v>209.32374240788337</v>
      </c>
      <c r="S25" s="31">
        <f>'[1]功能-行军令'!P25</f>
        <v>234.3204979331129</v>
      </c>
      <c r="T25" s="31">
        <f>'[1]功能-行军令'!Q25</f>
        <v>196.49895740273368</v>
      </c>
      <c r="U25" s="31">
        <f>'[1]功能-行军令'!R25</f>
        <v>110.07940462753481</v>
      </c>
      <c r="V25" s="31">
        <f>'[1]功能-行军令'!S25</f>
        <v>14.154180212776481</v>
      </c>
      <c r="W25" s="31">
        <f>'[1]功能-行军令'!T25</f>
        <v>18.247606574024616</v>
      </c>
      <c r="X25" s="31">
        <f>'[1]功能-行军令'!U25</f>
        <v>20.774774667816786</v>
      </c>
      <c r="Y25" s="31">
        <f>'[1]功能-行军令'!V25</f>
        <v>17.632074256469139</v>
      </c>
      <c r="Z25" s="31">
        <f>'[1]功能-行军令'!W25</f>
        <v>9.997915590934781</v>
      </c>
      <c r="AC25" s="54">
        <v>22</v>
      </c>
      <c r="AD25" s="54">
        <f>'[1]功能-实力'!BE26</f>
        <v>363972</v>
      </c>
      <c r="AE25" s="54">
        <f>'[1]功能-实力'!BF26</f>
        <v>373704</v>
      </c>
      <c r="AF25" s="54">
        <f>'[1]功能-实力'!BG26</f>
        <v>391722</v>
      </c>
      <c r="AG25" s="54">
        <f>'[1]功能-实力'!BH26</f>
        <v>419910</v>
      </c>
      <c r="AH25" s="54">
        <f>'[1]功能-实力'!BI26</f>
        <v>445944</v>
      </c>
    </row>
    <row r="26" spans="2:34" x14ac:dyDescent="0.15">
      <c r="B26" s="25">
        <v>23</v>
      </c>
      <c r="C26" s="26">
        <f>'[1]资源-钻石'!L26</f>
        <v>39383.705438212259</v>
      </c>
      <c r="D26" s="26">
        <f>'[1]资源-钻石'!M26</f>
        <v>46711.877382420927</v>
      </c>
      <c r="E26" s="26">
        <f>'[1]资源-钻石'!N26</f>
        <v>62649.80884686955</v>
      </c>
      <c r="F26" s="26">
        <f>'[1]资源-钻石'!O26</f>
        <v>122529.25065829902</v>
      </c>
      <c r="G26" s="26">
        <f>'[1]资源-钻石'!P26</f>
        <v>194249.14743192439</v>
      </c>
      <c r="I26" s="25">
        <v>23</v>
      </c>
      <c r="J26" s="26">
        <f>'[1]资源-钻石'!T26</f>
        <v>155923.89476841805</v>
      </c>
      <c r="K26" s="26">
        <f>'[1]资源-钻石'!U26</f>
        <v>213411.28424525986</v>
      </c>
      <c r="L26" s="26">
        <f>'[1]资源-钻石'!V26</f>
        <v>345774.1626697859</v>
      </c>
      <c r="M26" s="26">
        <f>'[1]资源-钻石'!W26</f>
        <v>879600.32893676439</v>
      </c>
      <c r="N26" s="26">
        <f>'[1]资源-钻石'!X26</f>
        <v>2061194.424330441</v>
      </c>
      <c r="P26" s="31">
        <v>23</v>
      </c>
      <c r="Q26" s="31">
        <f>'[1]功能-行军令'!N26</f>
        <v>180.53057205546457</v>
      </c>
      <c r="R26" s="31">
        <f>'[1]功能-行军令'!O26</f>
        <v>228.34291669105832</v>
      </c>
      <c r="S26" s="31">
        <f>'[1]功能-行军令'!P26</f>
        <v>255.38835867379359</v>
      </c>
      <c r="T26" s="31">
        <f>'[1]功能-行军令'!Q26</f>
        <v>214.20227094816607</v>
      </c>
      <c r="U26" s="31">
        <f>'[1]功能-行军令'!R26</f>
        <v>119.57167719657959</v>
      </c>
      <c r="V26" s="31">
        <f>'[1]功能-行军令'!S26</f>
        <v>15.17007473601015</v>
      </c>
      <c r="W26" s="31">
        <f>'[1]功能-行军令'!T26</f>
        <v>19.019174283174948</v>
      </c>
      <c r="X26" s="31">
        <f>'[1]功能-行军令'!U26</f>
        <v>21.067860740680686</v>
      </c>
      <c r="Y26" s="31">
        <f>'[1]功能-行军令'!V26</f>
        <v>17.703313545432394</v>
      </c>
      <c r="Z26" s="31">
        <f>'[1]功能-行军令'!W26</f>
        <v>9.492272569044772</v>
      </c>
      <c r="AC26" s="54">
        <v>23</v>
      </c>
      <c r="AD26" s="54">
        <f>'[1]功能-实力'!BE27</f>
        <v>385188</v>
      </c>
      <c r="AE26" s="54">
        <f>'[1]功能-实力'!BF27</f>
        <v>395904</v>
      </c>
      <c r="AF26" s="54">
        <f>'[1]功能-实力'!BG27</f>
        <v>414666</v>
      </c>
      <c r="AG26" s="54">
        <f>'[1]功能-实力'!BH27</f>
        <v>445122</v>
      </c>
      <c r="AH26" s="54">
        <f>'[1]功能-实力'!BI27</f>
        <v>474324</v>
      </c>
    </row>
    <row r="27" spans="2:34" x14ac:dyDescent="0.15">
      <c r="B27" s="25">
        <v>24</v>
      </c>
      <c r="C27" s="26">
        <f>'[1]资源-钻石'!L27</f>
        <v>42391.001489476141</v>
      </c>
      <c r="D27" s="26">
        <f>'[1]资源-钻石'!M27</f>
        <v>50246.269378068988</v>
      </c>
      <c r="E27" s="26">
        <f>'[1]资源-钻石'!N27</f>
        <v>67258.881530299695</v>
      </c>
      <c r="F27" s="26">
        <f>'[1]资源-钻石'!O27</f>
        <v>130725.338874165</v>
      </c>
      <c r="G27" s="26">
        <f>'[1]资源-钻石'!P27</f>
        <v>204705.2730762118</v>
      </c>
      <c r="I27" s="25">
        <v>24</v>
      </c>
      <c r="J27" s="26">
        <f>'[1]资源-钻石'!T27</f>
        <v>161566.46866694512</v>
      </c>
      <c r="K27" s="26">
        <f>'[1]资源-钻石'!U27</f>
        <v>221193.11553363965</v>
      </c>
      <c r="L27" s="26">
        <f>'[1]资源-钻石'!V27</f>
        <v>358507.92708700366</v>
      </c>
      <c r="M27" s="26">
        <f>'[1]资源-钻石'!W27</f>
        <v>912376.21979570389</v>
      </c>
      <c r="N27" s="26">
        <f>'[1]资源-钻石'!X27</f>
        <v>2138361.9667752744</v>
      </c>
      <c r="P27" s="31">
        <v>24</v>
      </c>
      <c r="Q27" s="31">
        <f>'[1]功能-行军令'!N27</f>
        <v>196.78945558221253</v>
      </c>
      <c r="R27" s="31">
        <f>'[1]功能-行军令'!O27</f>
        <v>249.3378016637993</v>
      </c>
      <c r="S27" s="31">
        <f>'[1]功能-行军令'!P27</f>
        <v>279.36231114450891</v>
      </c>
      <c r="T27" s="31">
        <f>'[1]功能-行军令'!Q27</f>
        <v>234.24276701115065</v>
      </c>
      <c r="U27" s="31">
        <f>'[1]功能-行军令'!R27</f>
        <v>130.73707481604291</v>
      </c>
      <c r="V27" s="31">
        <f>'[1]功能-行军令'!S27</f>
        <v>16.258883526747951</v>
      </c>
      <c r="W27" s="31">
        <f>'[1]功能-行军令'!T27</f>
        <v>20.994884972740977</v>
      </c>
      <c r="X27" s="31">
        <f>'[1]功能-行军令'!U27</f>
        <v>23.973952470715318</v>
      </c>
      <c r="Y27" s="31">
        <f>'[1]功能-行军令'!V27</f>
        <v>20.040496062984573</v>
      </c>
      <c r="Z27" s="31">
        <f>'[1]功能-行军令'!W27</f>
        <v>11.16539761946332</v>
      </c>
      <c r="AC27" s="54">
        <v>24</v>
      </c>
      <c r="AD27" s="54">
        <f>'[1]功能-实力'!BE28</f>
        <v>406806</v>
      </c>
      <c r="AE27" s="54">
        <f>'[1]功能-实力'!BF28</f>
        <v>418422</v>
      </c>
      <c r="AF27" s="54">
        <f>'[1]功能-实力'!BG28</f>
        <v>438606</v>
      </c>
      <c r="AG27" s="54">
        <f>'[1]功能-实力'!BH28</f>
        <v>472200</v>
      </c>
      <c r="AH27" s="54">
        <f>'[1]功能-实力'!BI28</f>
        <v>504228</v>
      </c>
    </row>
    <row r="28" spans="2:34" x14ac:dyDescent="0.15">
      <c r="B28" s="25">
        <v>25</v>
      </c>
      <c r="C28" s="26">
        <f>'[1]资源-钻石'!L28</f>
        <v>45614.141591210951</v>
      </c>
      <c r="D28" s="26">
        <f>'[1]资源-钻石'!M28</f>
        <v>53999.940178148339</v>
      </c>
      <c r="E28" s="26">
        <f>'[1]资源-钻石'!N28</f>
        <v>72063.67467741968</v>
      </c>
      <c r="F28" s="26">
        <f>'[1]资源-钻石'!O28</f>
        <v>139326.17196300064</v>
      </c>
      <c r="G28" s="26">
        <f>'[1]资源-钻石'!P28</f>
        <v>215411.96437978369</v>
      </c>
      <c r="I28" s="25">
        <v>25</v>
      </c>
      <c r="J28" s="26">
        <f>'[1]资源-钻石'!T28</f>
        <v>167209.04256547219</v>
      </c>
      <c r="K28" s="26">
        <f>'[1]资源-钻石'!U28</f>
        <v>228974.94682201944</v>
      </c>
      <c r="L28" s="26">
        <f>'[1]资源-钻石'!V28</f>
        <v>371241.69150422141</v>
      </c>
      <c r="M28" s="26">
        <f>'[1]资源-钻石'!W28</f>
        <v>945152.1106546435</v>
      </c>
      <c r="N28" s="26">
        <f>'[1]资源-钻石'!X28</f>
        <v>2215529.5092201079</v>
      </c>
      <c r="P28" s="31">
        <v>25</v>
      </c>
      <c r="Q28" s="31">
        <f>'[1]功能-行军令'!N28</f>
        <v>214.21529547664952</v>
      </c>
      <c r="R28" s="31">
        <f>'[1]功能-行军令'!O28</f>
        <v>271.6352397437405</v>
      </c>
      <c r="S28" s="31">
        <f>'[1]功能-行军令'!P28</f>
        <v>304.3542977006739</v>
      </c>
      <c r="T28" s="31">
        <f>'[1]功能-行军令'!Q28</f>
        <v>255.27291665272404</v>
      </c>
      <c r="U28" s="31">
        <f>'[1]功能-行军令'!R28</f>
        <v>142.17003475360278</v>
      </c>
      <c r="V28" s="31">
        <f>'[1]功能-行军令'!S28</f>
        <v>17.42583989443699</v>
      </c>
      <c r="W28" s="31">
        <f>'[1]功能-行军令'!T28</f>
        <v>22.297438079941202</v>
      </c>
      <c r="X28" s="31">
        <f>'[1]功能-行军令'!U28</f>
        <v>24.991986556164989</v>
      </c>
      <c r="Y28" s="31">
        <f>'[1]功能-行军令'!V28</f>
        <v>21.030149641573388</v>
      </c>
      <c r="Z28" s="31">
        <f>'[1]功能-行军令'!W28</f>
        <v>11.432959937559872</v>
      </c>
      <c r="AC28" s="54">
        <v>25</v>
      </c>
      <c r="AD28" s="54">
        <f>'[1]功能-实力'!BE29</f>
        <v>428772</v>
      </c>
      <c r="AE28" s="54">
        <f>'[1]功能-实力'!BF29</f>
        <v>441450</v>
      </c>
      <c r="AF28" s="54">
        <f>'[1]功能-实力'!BG29</f>
        <v>463800</v>
      </c>
      <c r="AG28" s="54">
        <f>'[1]功能-实力'!BH29</f>
        <v>500382</v>
      </c>
      <c r="AH28" s="54">
        <f>'[1]功能-实力'!BI29</f>
        <v>534648</v>
      </c>
    </row>
    <row r="29" spans="2:34" x14ac:dyDescent="0.15">
      <c r="B29" s="25">
        <v>26</v>
      </c>
      <c r="C29" s="26">
        <f>'[1]资源-钻石'!L29</f>
        <v>49068.617618286837</v>
      </c>
      <c r="D29" s="26">
        <f>'[1]资源-钻石'!M29</f>
        <v>57998.244844818961</v>
      </c>
      <c r="E29" s="26">
        <f>'[1]资源-钻石'!N29</f>
        <v>77182.909746113888</v>
      </c>
      <c r="F29" s="26">
        <f>'[1]资源-钻石'!O29</f>
        <v>148300.46730647486</v>
      </c>
      <c r="G29" s="26">
        <f>'[1]资源-钻石'!P29</f>
        <v>226922.1211594303</v>
      </c>
      <c r="I29" s="25">
        <v>26</v>
      </c>
      <c r="J29" s="26">
        <f>'[1]资源-钻石'!T29</f>
        <v>172851.61646399923</v>
      </c>
      <c r="K29" s="26">
        <f>'[1]资源-钻石'!U29</f>
        <v>236756.7781103992</v>
      </c>
      <c r="L29" s="26">
        <f>'[1]资源-钻石'!V29</f>
        <v>383975.4559214391</v>
      </c>
      <c r="M29" s="26">
        <f>'[1]资源-钻石'!W29</f>
        <v>977928.001513583</v>
      </c>
      <c r="N29" s="26">
        <f>'[1]资源-钻石'!X29</f>
        <v>2292697.0516649415</v>
      </c>
      <c r="P29" s="31">
        <v>26</v>
      </c>
      <c r="Q29" s="31">
        <f>'[1]功能-行军令'!N29</f>
        <v>232.89184823791322</v>
      </c>
      <c r="R29" s="31">
        <f>'[1]功能-行军令'!O29</f>
        <v>295.38584427942419</v>
      </c>
      <c r="S29" s="31">
        <f>'[1]功能-行军令'!P29</f>
        <v>330.98184442270946</v>
      </c>
      <c r="T29" s="31">
        <f>'[1]功能-行军令'!Q29</f>
        <v>277.21622982385412</v>
      </c>
      <c r="U29" s="31">
        <f>'[1]功能-行军令'!R29</f>
        <v>154.46096176415654</v>
      </c>
      <c r="V29" s="31">
        <f>'[1]功能-行军令'!S29</f>
        <v>18.676552761263707</v>
      </c>
      <c r="W29" s="31">
        <f>'[1]功能-行军令'!T29</f>
        <v>23.750604535683692</v>
      </c>
      <c r="X29" s="31">
        <f>'[1]功能-行军令'!U29</f>
        <v>26.627546722035561</v>
      </c>
      <c r="Y29" s="31">
        <f>'[1]功能-行军令'!V29</f>
        <v>21.943313171130086</v>
      </c>
      <c r="Z29" s="31">
        <f>'[1]功能-行军令'!W29</f>
        <v>12.290927010553759</v>
      </c>
      <c r="AC29" s="54">
        <v>26</v>
      </c>
      <c r="AD29" s="54">
        <f>'[1]功能-实力'!BE30</f>
        <v>451344</v>
      </c>
      <c r="AE29" s="54">
        <f>'[1]功能-实力'!BF30</f>
        <v>465720</v>
      </c>
      <c r="AF29" s="54">
        <f>'[1]功能-实力'!BG30</f>
        <v>490176</v>
      </c>
      <c r="AG29" s="54">
        <f>'[1]功能-实力'!BH30</f>
        <v>529026</v>
      </c>
      <c r="AH29" s="54">
        <f>'[1]功能-实力'!BI30</f>
        <v>566364</v>
      </c>
    </row>
    <row r="30" spans="2:34" x14ac:dyDescent="0.15">
      <c r="B30" s="25">
        <v>27</v>
      </c>
      <c r="C30" s="26">
        <f>'[1]资源-钻石'!L30</f>
        <v>52771.033351074599</v>
      </c>
      <c r="D30" s="26">
        <f>'[1]资源-钻石'!M30</f>
        <v>62278.463927230718</v>
      </c>
      <c r="E30" s="26">
        <f>'[1]资源-钻石'!N30</f>
        <v>82642.487338009567</v>
      </c>
      <c r="F30" s="26">
        <f>'[1]资源-钻石'!O30</f>
        <v>157952.38679845</v>
      </c>
      <c r="G30" s="26">
        <f>'[1]资源-钻石'!P30</f>
        <v>239407.7191821106</v>
      </c>
      <c r="I30" s="25">
        <v>27</v>
      </c>
      <c r="J30" s="26">
        <f>'[1]资源-钻石'!T30</f>
        <v>178494.19036252631</v>
      </c>
      <c r="K30" s="26">
        <f>'[1]资源-钻石'!U30</f>
        <v>244538.60939877894</v>
      </c>
      <c r="L30" s="26">
        <f>'[1]资源-钻石'!V30</f>
        <v>396709.22033865686</v>
      </c>
      <c r="M30" s="26">
        <f>'[1]资源-钻石'!W30</f>
        <v>1010703.8923725225</v>
      </c>
      <c r="N30" s="26">
        <f>'[1]资源-钻石'!X30</f>
        <v>2369864.594109775</v>
      </c>
      <c r="P30" s="31">
        <v>27</v>
      </c>
      <c r="Q30" s="31">
        <f>'[1]功能-行军令'!N30</f>
        <v>252.90888185909469</v>
      </c>
      <c r="R30" s="31">
        <f>'[1]功能-行军令'!O30</f>
        <v>320.81106802484203</v>
      </c>
      <c r="S30" s="31">
        <f>'[1]功能-行军令'!P30</f>
        <v>359.37967250835402</v>
      </c>
      <c r="T30" s="31">
        <f>'[1]功能-行军令'!Q30</f>
        <v>300.81642170621222</v>
      </c>
      <c r="U30" s="31">
        <f>'[1]功能-行军令'!R30</f>
        <v>167.79349727325055</v>
      </c>
      <c r="V30" s="31">
        <f>'[1]功能-行军令'!S30</f>
        <v>20.017033621181469</v>
      </c>
      <c r="W30" s="31">
        <f>'[1]功能-行军令'!T30</f>
        <v>25.425223745417838</v>
      </c>
      <c r="X30" s="31">
        <f>'[1]功能-行军令'!U30</f>
        <v>28.397828085644562</v>
      </c>
      <c r="Y30" s="31">
        <f>'[1]功能-行军令'!V30</f>
        <v>23.600191882358104</v>
      </c>
      <c r="Z30" s="31">
        <f>'[1]功能-行军令'!W30</f>
        <v>13.332535509094015</v>
      </c>
      <c r="AC30" s="54">
        <v>27</v>
      </c>
      <c r="AD30" s="54">
        <f>'[1]功能-实力'!BE31</f>
        <v>475068</v>
      </c>
      <c r="AE30" s="54">
        <f>'[1]功能-实力'!BF31</f>
        <v>491214</v>
      </c>
      <c r="AF30" s="54">
        <f>'[1]功能-实力'!BG31</f>
        <v>517230</v>
      </c>
      <c r="AG30" s="54">
        <f>'[1]功能-实力'!BH31</f>
        <v>558810</v>
      </c>
      <c r="AH30" s="54">
        <f>'[1]功能-实力'!BI31</f>
        <v>598926</v>
      </c>
    </row>
    <row r="31" spans="2:34" x14ac:dyDescent="0.15">
      <c r="B31" s="25">
        <v>28</v>
      </c>
      <c r="C31" s="26">
        <f>'[1]资源-钻石'!L31</f>
        <v>56739.184280753354</v>
      </c>
      <c r="D31" s="26">
        <f>'[1]资源-钻石'!M31</f>
        <v>66826.132135553838</v>
      </c>
      <c r="E31" s="26">
        <f>'[1]资源-钻石'!N31</f>
        <v>88346.889588049613</v>
      </c>
      <c r="F31" s="26">
        <f>'[1]资源-钻石'!O31</f>
        <v>168262.86529960536</v>
      </c>
      <c r="G31" s="26">
        <f>'[1]资源-钻石'!P31</f>
        <v>253369.95138923987</v>
      </c>
      <c r="I31" s="25">
        <v>28</v>
      </c>
      <c r="J31" s="26">
        <f>'[1]资源-钻石'!T31</f>
        <v>184136.76426105338</v>
      </c>
      <c r="K31" s="26">
        <f>'[1]资源-钻石'!U31</f>
        <v>252320.4406871587</v>
      </c>
      <c r="L31" s="26">
        <f>'[1]资源-钻石'!V31</f>
        <v>409442.98475587461</v>
      </c>
      <c r="M31" s="26">
        <f>'[1]资源-钻石'!W31</f>
        <v>1043479.783231462</v>
      </c>
      <c r="N31" s="26">
        <f>'[1]资源-钻石'!X31</f>
        <v>2447032.1365546086</v>
      </c>
      <c r="P31" s="31">
        <v>28</v>
      </c>
      <c r="Q31" s="31">
        <f>'[1]功能-行军令'!N31</f>
        <v>274.36260729297362</v>
      </c>
      <c r="R31" s="31">
        <f>'[1]功能-行军令'!O31</f>
        <v>347.82498471701922</v>
      </c>
      <c r="S31" s="31">
        <f>'[1]功能-行军令'!P31</f>
        <v>389.05094866504174</v>
      </c>
      <c r="T31" s="31">
        <f>'[1]功能-行军令'!Q31</f>
        <v>326.02687556759241</v>
      </c>
      <c r="U31" s="31">
        <f>'[1]功能-行军令'!R31</f>
        <v>182.70283171999623</v>
      </c>
      <c r="V31" s="31">
        <f>'[1]功能-行军令'!S31</f>
        <v>21.45372543387893</v>
      </c>
      <c r="W31" s="31">
        <f>'[1]功能-行军令'!T31</f>
        <v>27.01391669217719</v>
      </c>
      <c r="X31" s="31">
        <f>'[1]功能-行军令'!U31</f>
        <v>29.671276156687725</v>
      </c>
      <c r="Y31" s="31">
        <f>'[1]功能-行军令'!V31</f>
        <v>25.210453861380188</v>
      </c>
      <c r="Z31" s="31">
        <f>'[1]功能-行军令'!W31</f>
        <v>14.909334446745675</v>
      </c>
      <c r="AC31" s="54">
        <v>28</v>
      </c>
      <c r="AD31" s="54">
        <f>'[1]功能-实力'!BE32</f>
        <v>499974</v>
      </c>
      <c r="AE31" s="54">
        <f>'[1]功能-实力'!BF32</f>
        <v>518766</v>
      </c>
      <c r="AF31" s="54">
        <f>'[1]功能-实力'!BG32</f>
        <v>547608</v>
      </c>
      <c r="AG31" s="54">
        <f>'[1]功能-实力'!BH32</f>
        <v>600048</v>
      </c>
      <c r="AH31" s="54">
        <f>'[1]功能-实力'!BI32</f>
        <v>647586</v>
      </c>
    </row>
    <row r="32" spans="2:34" x14ac:dyDescent="0.15">
      <c r="B32" s="25">
        <v>29</v>
      </c>
      <c r="C32" s="26">
        <f>'[1]资源-钻石'!L32</f>
        <v>60992.143142521782</v>
      </c>
      <c r="D32" s="26">
        <f>'[1]资源-钻石'!M32</f>
        <v>71799.054354030872</v>
      </c>
      <c r="E32" s="26">
        <f>'[1]资源-钻石'!N32</f>
        <v>94920.704555639648</v>
      </c>
      <c r="F32" s="26">
        <f>'[1]资源-钻石'!O32</f>
        <v>180390.53975616911</v>
      </c>
      <c r="G32" s="26">
        <f>'[1]资源-钻石'!P32</f>
        <v>269080.82912318932</v>
      </c>
      <c r="I32" s="25">
        <v>29</v>
      </c>
      <c r="J32" s="26">
        <f>'[1]资源-钻石'!T32</f>
        <v>189793.71596246681</v>
      </c>
      <c r="K32" s="26">
        <f>'[1]资源-钻石'!U32</f>
        <v>260114.60385074897</v>
      </c>
      <c r="L32" s="26">
        <f>'[1]资源-钻石'!V32</f>
        <v>422176.74917309236</v>
      </c>
      <c r="M32" s="26">
        <f>'[1]资源-钻石'!W32</f>
        <v>1076507.3894561224</v>
      </c>
      <c r="N32" s="26">
        <f>'[1]资源-钻石'!X32</f>
        <v>2524199.6789994421</v>
      </c>
      <c r="P32" s="31">
        <v>29</v>
      </c>
      <c r="Q32" s="31">
        <f>'[1]功能-行军令'!N32</f>
        <v>297.35614088554507</v>
      </c>
      <c r="R32" s="31">
        <f>'[1]功能-行军令'!O32</f>
        <v>377.36498200194677</v>
      </c>
      <c r="S32" s="31">
        <f>'[1]功能-行军令'!P32</f>
        <v>423.24444883501349</v>
      </c>
      <c r="T32" s="31">
        <f>'[1]功能-行军令'!Q32</f>
        <v>355.68060864106502</v>
      </c>
      <c r="U32" s="31">
        <f>'[1]功能-行军令'!R32</f>
        <v>199.4794278338882</v>
      </c>
      <c r="V32" s="31">
        <f>'[1]功能-行军令'!S32</f>
        <v>22.993533592571453</v>
      </c>
      <c r="W32" s="31">
        <f>'[1]功能-行军令'!T32</f>
        <v>29.539997284927551</v>
      </c>
      <c r="X32" s="31">
        <f>'[1]功能-行军令'!U32</f>
        <v>34.193500169971742</v>
      </c>
      <c r="Y32" s="31">
        <f>'[1]功能-行军令'!V32</f>
        <v>29.653733073472608</v>
      </c>
      <c r="Z32" s="31">
        <f>'[1]功能-行军令'!W32</f>
        <v>16.776596113891969</v>
      </c>
      <c r="AC32" s="54">
        <v>29</v>
      </c>
      <c r="AD32" s="54">
        <f>'[1]功能-实力'!BE33</f>
        <v>529392</v>
      </c>
      <c r="AE32" s="54">
        <f>'[1]功能-实力'!BF33</f>
        <v>552186</v>
      </c>
      <c r="AF32" s="54">
        <f>'[1]功能-实力'!BG33</f>
        <v>588240</v>
      </c>
      <c r="AG32" s="54">
        <f>'[1]功能-实力'!BH33</f>
        <v>649074</v>
      </c>
      <c r="AH32" s="54">
        <f>'[1]功能-实力'!BI33</f>
        <v>701280</v>
      </c>
    </row>
    <row r="33" spans="2:34" x14ac:dyDescent="0.15">
      <c r="B33" s="25">
        <v>30</v>
      </c>
      <c r="C33" s="26">
        <f>'[1]资源-钻石'!L33</f>
        <v>65550.351587823752</v>
      </c>
      <c r="D33" s="26">
        <f>'[1]资源-钻石'!M33</f>
        <v>77103.485791785497</v>
      </c>
      <c r="E33" s="26">
        <f>'[1]资源-钻石'!N33</f>
        <v>101762.3574695533</v>
      </c>
      <c r="F33" s="26">
        <f>'[1]资源-钻石'!O33</f>
        <v>192593.6123848253</v>
      </c>
      <c r="G33" s="26">
        <f>'[1]资源-钻石'!P33</f>
        <v>284900.4092811516</v>
      </c>
      <c r="I33" s="25">
        <v>30</v>
      </c>
      <c r="J33" s="26">
        <f>'[1]资源-钻石'!T33</f>
        <v>195536.87313588604</v>
      </c>
      <c r="K33" s="26">
        <f>'[1]资源-钻石'!U33</f>
        <v>268068.22918104846</v>
      </c>
      <c r="L33" s="26">
        <f>'[1]资源-钻石'!V33</f>
        <v>435140.23029475659</v>
      </c>
      <c r="M33" s="26">
        <f>'[1]资源-钻石'!W33</f>
        <v>1109871.8077128781</v>
      </c>
      <c r="N33" s="26">
        <f>'[1]资源-钻石'!X33</f>
        <v>2602257.6111647063</v>
      </c>
      <c r="P33" s="31">
        <v>30</v>
      </c>
      <c r="Q33" s="31">
        <f>'[1]功能-行军令'!N33</f>
        <v>322</v>
      </c>
      <c r="R33" s="31">
        <f>'[1]功能-行军令'!O33</f>
        <v>408.87419999999997</v>
      </c>
      <c r="S33" s="31">
        <f>'[1]功能-行军令'!P33</f>
        <v>458.83110000000005</v>
      </c>
      <c r="T33" s="31">
        <f>'[1]功能-行军令'!Q33</f>
        <v>385.51869999999997</v>
      </c>
      <c r="U33" s="31">
        <f>'[1]功能-行军令'!R33</f>
        <v>216.37209999999999</v>
      </c>
      <c r="V33" s="31">
        <f>'[1]功能-行军令'!S33</f>
        <v>24.643859114454926</v>
      </c>
      <c r="W33" s="31">
        <f>'[1]功能-行军令'!T33</f>
        <v>31.509217998053202</v>
      </c>
      <c r="X33" s="31">
        <f>'[1]功能-行军令'!U33</f>
        <v>35.586651164986563</v>
      </c>
      <c r="Y33" s="31">
        <f>'[1]功能-行军令'!V33</f>
        <v>29.838091358934946</v>
      </c>
      <c r="Z33" s="31">
        <f>'[1]功能-行军令'!W33</f>
        <v>16.892672166111794</v>
      </c>
      <c r="AC33" s="54">
        <v>30</v>
      </c>
      <c r="AD33" s="54">
        <f>'[1]功能-实力'!BE34</f>
        <v>559860</v>
      </c>
      <c r="AE33" s="54">
        <f>'[1]功能-实力'!BF34</f>
        <v>586884</v>
      </c>
      <c r="AF33" s="54">
        <f>'[1]功能-实力'!BG34</f>
        <v>630522</v>
      </c>
      <c r="AG33" s="54">
        <f>'[1]功能-实力'!BH34</f>
        <v>700284</v>
      </c>
      <c r="AH33" s="54">
        <f>'[1]功能-实力'!BI34</f>
        <v>757866</v>
      </c>
    </row>
    <row r="34" spans="2:34" x14ac:dyDescent="0.15">
      <c r="B34" s="25">
        <v>31</v>
      </c>
      <c r="C34" s="26">
        <f>'[1]资源-钻石'!L34</f>
        <v>68797.824180871379</v>
      </c>
      <c r="D34" s="26">
        <f>'[1]资源-钻石'!M34</f>
        <v>82843.535781782732</v>
      </c>
      <c r="E34" s="26">
        <f>'[1]资源-钻石'!N34</f>
        <v>109130.60256926506</v>
      </c>
      <c r="F34" s="26">
        <f>'[1]资源-钻石'!O34</f>
        <v>205622.33533921608</v>
      </c>
      <c r="G34" s="26">
        <f>'[1]资源-钻石'!P34</f>
        <v>302032.6859356155</v>
      </c>
      <c r="I34" s="25">
        <v>31</v>
      </c>
      <c r="J34" s="26">
        <f>'[1]资源-钻石'!T34</f>
        <v>201280.03030930526</v>
      </c>
      <c r="K34" s="26">
        <f>'[1]资源-钻石'!U34</f>
        <v>276021.85451134795</v>
      </c>
      <c r="L34" s="26">
        <f>'[1]资源-钻石'!V34</f>
        <v>448388.67040331248</v>
      </c>
      <c r="M34" s="26">
        <f>'[1]资源-钻石'!W34</f>
        <v>1143778.7203416852</v>
      </c>
      <c r="N34" s="26">
        <f>'[1]资源-钻石'!X34</f>
        <v>2683855.5696962257</v>
      </c>
      <c r="P34" s="31">
        <v>31</v>
      </c>
      <c r="Q34" s="31">
        <f>'[1]功能-行军令'!N34</f>
        <v>348.41263421335577</v>
      </c>
      <c r="R34" s="31">
        <f>'[1]功能-行军令'!O34</f>
        <v>442.97106572009051</v>
      </c>
      <c r="S34" s="31">
        <f>'[1]功能-行军令'!P34</f>
        <v>497.15680452796772</v>
      </c>
      <c r="T34" s="31">
        <f>'[1]功能-行军令'!Q34</f>
        <v>417.37561322449938</v>
      </c>
      <c r="U34" s="31">
        <f>'[1]功能-行军令'!R34</f>
        <v>234.66651300547557</v>
      </c>
      <c r="V34" s="31">
        <f>'[1]功能-行军令'!S34</f>
        <v>26.412634213355773</v>
      </c>
      <c r="W34" s="31">
        <f>'[1]功能-行军令'!T34</f>
        <v>34.096865720090534</v>
      </c>
      <c r="X34" s="31">
        <f>'[1]功能-行军令'!U34</f>
        <v>38.325704527967673</v>
      </c>
      <c r="Y34" s="31">
        <f>'[1]功能-行军令'!V34</f>
        <v>31.856913224499408</v>
      </c>
      <c r="Z34" s="31">
        <f>'[1]功能-行军令'!W34</f>
        <v>18.294413005475576</v>
      </c>
      <c r="AC34" s="54">
        <v>31</v>
      </c>
      <c r="AD34" s="54">
        <f>'[1]功能-实力'!BE35</f>
        <v>595878</v>
      </c>
      <c r="AE34" s="54">
        <f>'[1]功能-实力'!BF35</f>
        <v>627366</v>
      </c>
      <c r="AF34" s="54">
        <f>'[1]功能-实力'!BG35</f>
        <v>679596</v>
      </c>
      <c r="AG34" s="54">
        <f>'[1]功能-实力'!BH35</f>
        <v>759366</v>
      </c>
      <c r="AH34" s="54">
        <f>'[1]功能-实力'!BI35</f>
        <v>822438</v>
      </c>
    </row>
    <row r="35" spans="2:34" x14ac:dyDescent="0.15">
      <c r="B35" s="25">
        <v>32</v>
      </c>
      <c r="C35" s="26">
        <f>'[1]资源-钻石'!L35</f>
        <v>72278.379126413754</v>
      </c>
      <c r="D35" s="26">
        <f>'[1]资源-钻石'!M35</f>
        <v>88444.359983294184</v>
      </c>
      <c r="E35" s="26">
        <f>'[1]资源-钻石'!N35</f>
        <v>116882.10925664703</v>
      </c>
      <c r="F35" s="26">
        <f>'[1]资源-钻石'!O35</f>
        <v>219663.85545464739</v>
      </c>
      <c r="G35" s="26">
        <f>'[1]资源-钻石'!P35</f>
        <v>320046.03168388497</v>
      </c>
      <c r="I35" s="25">
        <v>32</v>
      </c>
      <c r="J35" s="26">
        <f>'[1]资源-钻石'!T35</f>
        <v>207138.148560503</v>
      </c>
      <c r="K35" s="26">
        <f>'[1]资源-钻石'!U35</f>
        <v>284131.96341655334</v>
      </c>
      <c r="L35" s="26">
        <f>'[1]资源-钻石'!V35</f>
        <v>461687.15975820873</v>
      </c>
      <c r="M35" s="26">
        <f>'[1]资源-钻石'!W35</f>
        <v>1178525.8757340296</v>
      </c>
      <c r="N35" s="26">
        <f>'[1]资源-钻石'!X35</f>
        <v>2765520.9633074328</v>
      </c>
      <c r="P35" s="31">
        <v>32</v>
      </c>
      <c r="Q35" s="31">
        <f>'[1]功能-行军令'!N35</f>
        <v>376.72099463890885</v>
      </c>
      <c r="R35" s="31">
        <f>'[1]功能-行军令'!O35</f>
        <v>479.18173455253606</v>
      </c>
      <c r="S35" s="31">
        <f>'[1]功能-行军令'!P35</f>
        <v>537.4760326381712</v>
      </c>
      <c r="T35" s="31">
        <f>'[1]功能-行军令'!Q35</f>
        <v>451.70894653915161</v>
      </c>
      <c r="U35" s="31">
        <f>'[1]功能-行军令'!R35</f>
        <v>253.90176079978457</v>
      </c>
      <c r="V35" s="31">
        <f>'[1]功能-行军令'!S35</f>
        <v>28.308360425553076</v>
      </c>
      <c r="W35" s="31">
        <f>'[1]功能-行军令'!T35</f>
        <v>36.210668832445549</v>
      </c>
      <c r="X35" s="31">
        <f>'[1]功能-行军令'!U35</f>
        <v>40.319228110203483</v>
      </c>
      <c r="Y35" s="31">
        <f>'[1]功能-行军令'!V35</f>
        <v>34.333333314652236</v>
      </c>
      <c r="Z35" s="31">
        <f>'[1]功能-行军令'!W35</f>
        <v>19.235247794309004</v>
      </c>
      <c r="AC35" s="54">
        <v>32</v>
      </c>
      <c r="AD35" s="54">
        <f>'[1]功能-实力'!BE36</f>
        <v>633090</v>
      </c>
      <c r="AE35" s="54">
        <f>'[1]功能-实力'!BF36</f>
        <v>669780</v>
      </c>
      <c r="AF35" s="54">
        <f>'[1]功能-实力'!BG36</f>
        <v>730980</v>
      </c>
      <c r="AG35" s="54">
        <f>'[1]功能-实力'!BH36</f>
        <v>821634</v>
      </c>
      <c r="AH35" s="54">
        <f>'[1]功能-实力'!BI36</f>
        <v>890862</v>
      </c>
    </row>
    <row r="36" spans="2:34" x14ac:dyDescent="0.15">
      <c r="B36" s="25">
        <v>33</v>
      </c>
      <c r="C36" s="26">
        <f>'[1]资源-钻石'!L36</f>
        <v>76008.745551945525</v>
      </c>
      <c r="D36" s="26">
        <f>'[1]资源-钻石'!M36</f>
        <v>92936.896106459026</v>
      </c>
      <c r="E36" s="26">
        <f>'[1]资源-钻石'!N36</f>
        <v>124987.42753707051</v>
      </c>
      <c r="F36" s="26">
        <f>'[1]资源-钻石'!O36</f>
        <v>234430.37439511344</v>
      </c>
      <c r="G36" s="26">
        <f>'[1]资源-钻石'!P36</f>
        <v>339110.29730488471</v>
      </c>
      <c r="I36" s="25">
        <v>33</v>
      </c>
      <c r="J36" s="26">
        <f>'[1]资源-钻石'!T36</f>
        <v>212996.26681170077</v>
      </c>
      <c r="K36" s="26">
        <f>'[1]资源-钻石'!U36</f>
        <v>292255.89349287085</v>
      </c>
      <c r="L36" s="26">
        <f>'[1]资源-钻石'!V36</f>
        <v>475075.482842158</v>
      </c>
      <c r="M36" s="26">
        <f>'[1]资源-钻石'!W36</f>
        <v>1213273.0311263737</v>
      </c>
      <c r="N36" s="26">
        <f>'[1]资源-钻石'!X36</f>
        <v>2847597.8342390112</v>
      </c>
      <c r="P36" s="31">
        <v>33</v>
      </c>
      <c r="Q36" s="31">
        <f>'[1]功能-行军令'!N36</f>
        <v>407.06114411092915</v>
      </c>
      <c r="R36" s="31">
        <f>'[1]功能-行军令'!O36</f>
        <v>516.70660293933065</v>
      </c>
      <c r="S36" s="31">
        <f>'[1]功能-行军令'!P36</f>
        <v>579.63560107228818</v>
      </c>
      <c r="T36" s="31">
        <f>'[1]功能-行军令'!Q36</f>
        <v>487.81499577829209</v>
      </c>
      <c r="U36" s="31">
        <f>'[1]功能-行军令'!R36</f>
        <v>274.25921567579985</v>
      </c>
      <c r="V36" s="31">
        <f>'[1]功能-行军令'!S36</f>
        <v>30.3401494720203</v>
      </c>
      <c r="W36" s="31">
        <f>'[1]功能-行军令'!T36</f>
        <v>37.524868386794594</v>
      </c>
      <c r="X36" s="31">
        <f>'[1]功能-行军令'!U36</f>
        <v>42.159568434116977</v>
      </c>
      <c r="Y36" s="31">
        <f>'[1]功能-行军令'!V36</f>
        <v>36.106049239140475</v>
      </c>
      <c r="Z36" s="31">
        <f>'[1]功能-行军令'!W36</f>
        <v>20.357454876015282</v>
      </c>
      <c r="AC36" s="54">
        <v>33</v>
      </c>
      <c r="AD36" s="54">
        <f>'[1]功能-实力'!BE37</f>
        <v>672036</v>
      </c>
      <c r="AE36" s="54">
        <f>'[1]功能-实力'!BF37</f>
        <v>713676</v>
      </c>
      <c r="AF36" s="54">
        <f>'[1]功能-实力'!BG37</f>
        <v>784956</v>
      </c>
      <c r="AG36" s="54">
        <f>'[1]功能-实力'!BH37</f>
        <v>887184</v>
      </c>
      <c r="AH36" s="54">
        <f>'[1]功能-实力'!BI37</f>
        <v>962292</v>
      </c>
    </row>
    <row r="37" spans="2:34" x14ac:dyDescent="0.15">
      <c r="B37" s="25">
        <v>34</v>
      </c>
      <c r="C37" s="26">
        <f>'[1]资源-钻石'!L37</f>
        <v>80006.853292366839</v>
      </c>
      <c r="D37" s="26">
        <f>'[1]资源-钻石'!M37</f>
        <v>97901.60438364408</v>
      </c>
      <c r="E37" s="26">
        <f>'[1]资源-钻石'!N37</f>
        <v>134123.53505564129</v>
      </c>
      <c r="F37" s="26">
        <f>'[1]资源-钻石'!O37</f>
        <v>250971.4779821448</v>
      </c>
      <c r="G37" s="26">
        <f>'[1]资源-钻石'!P37</f>
        <v>360180.58489857439</v>
      </c>
      <c r="I37" s="25">
        <v>34</v>
      </c>
      <c r="J37" s="26">
        <f>'[1]资源-钻石'!T37</f>
        <v>218854.38506289851</v>
      </c>
      <c r="K37" s="26">
        <f>'[1]资源-钻石'!U37</f>
        <v>300379.82356918836</v>
      </c>
      <c r="L37" s="26">
        <f>'[1]资源-钻石'!V37</f>
        <v>488463.80592610728</v>
      </c>
      <c r="M37" s="26">
        <f>'[1]资源-钻石'!W37</f>
        <v>1248020.186518718</v>
      </c>
      <c r="N37" s="26">
        <f>'[1]资源-钻石'!X37</f>
        <v>2929674.7051705895</v>
      </c>
      <c r="P37" s="31">
        <v>34</v>
      </c>
      <c r="Q37" s="31">
        <f>'[1]功能-行军令'!N37</f>
        <v>439.57891116442499</v>
      </c>
      <c r="R37" s="31">
        <f>'[1]功能-行军令'!O37</f>
        <v>558.17539018392961</v>
      </c>
      <c r="S37" s="31">
        <f>'[1]功能-行军令'!P37</f>
        <v>627.15678862157131</v>
      </c>
      <c r="T37" s="31">
        <f>'[1]功能-行军令'!Q37</f>
        <v>528.26013406653317</v>
      </c>
      <c r="U37" s="31">
        <f>'[1]功能-行军令'!R37</f>
        <v>296.75876732077467</v>
      </c>
      <c r="V37" s="31">
        <f>'[1]功能-行军令'!S37</f>
        <v>32.517767053495845</v>
      </c>
      <c r="W37" s="31">
        <f>'[1]功能-行军令'!T37</f>
        <v>41.468787244598957</v>
      </c>
      <c r="X37" s="31">
        <f>'[1]功能-行军令'!U37</f>
        <v>47.521187549283127</v>
      </c>
      <c r="Y37" s="31">
        <f>'[1]功能-行军令'!V37</f>
        <v>40.445138288241083</v>
      </c>
      <c r="Z37" s="31">
        <f>'[1]功能-行军令'!W37</f>
        <v>22.499551644974815</v>
      </c>
      <c r="AC37" s="54">
        <v>34</v>
      </c>
      <c r="AD37" s="54">
        <f>'[1]功能-实力'!BE38</f>
        <v>712320</v>
      </c>
      <c r="AE37" s="54">
        <f>'[1]功能-实力'!BF38</f>
        <v>759864</v>
      </c>
      <c r="AF37" s="54">
        <f>'[1]功能-实力'!BG38</f>
        <v>841512</v>
      </c>
      <c r="AG37" s="54">
        <f>'[1]功能-实力'!BH38</f>
        <v>951702</v>
      </c>
      <c r="AH37" s="54">
        <f>'[1]功能-实力'!BI38</f>
        <v>1028574</v>
      </c>
    </row>
    <row r="38" spans="2:34" x14ac:dyDescent="0.15">
      <c r="B38" s="25">
        <v>35</v>
      </c>
      <c r="C38" s="26">
        <f>'[1]资源-钻石'!L38</f>
        <v>84291.91906891136</v>
      </c>
      <c r="D38" s="26">
        <f>'[1]资源-钻石'!M38</f>
        <v>103307.37269583133</v>
      </c>
      <c r="E38" s="26">
        <f>'[1]资源-钻石'!N38</f>
        <v>142197.53993989827</v>
      </c>
      <c r="F38" s="26">
        <f>'[1]资源-钻石'!O38</f>
        <v>268317.74175708409</v>
      </c>
      <c r="G38" s="26">
        <f>'[1]资源-钻石'!P38</f>
        <v>382313.74716501613</v>
      </c>
      <c r="I38" s="25">
        <v>35</v>
      </c>
      <c r="J38" s="26">
        <f>'[1]资源-钻石'!T38</f>
        <v>224712.50331409628</v>
      </c>
      <c r="K38" s="26">
        <f>'[1]资源-钻石'!U38</f>
        <v>308503.75364550593</v>
      </c>
      <c r="L38" s="26">
        <f>'[1]资源-钻石'!V38</f>
        <v>501852.12901005655</v>
      </c>
      <c r="M38" s="26">
        <f>'[1]资源-钻石'!W38</f>
        <v>1282767.3419110621</v>
      </c>
      <c r="N38" s="26">
        <f>'[1]资源-钻石'!X38</f>
        <v>3011751.5761021683</v>
      </c>
      <c r="P38" s="31">
        <v>35</v>
      </c>
      <c r="Q38" s="31">
        <f>'[1]功能-行军令'!N38</f>
        <v>474.43059095329892</v>
      </c>
      <c r="R38" s="31">
        <f>'[1]功能-行军令'!O38</f>
        <v>603.32822566106074</v>
      </c>
      <c r="S38" s="31">
        <f>'[1]功能-行军令'!P38</f>
        <v>678.38211377902269</v>
      </c>
      <c r="T38" s="31">
        <f>'[1]功能-行军令'!Q38</f>
        <v>570.67399318242508</v>
      </c>
      <c r="U38" s="31">
        <f>'[1]功能-行军令'!R38</f>
        <v>320.39329177926174</v>
      </c>
      <c r="V38" s="31">
        <f>'[1]功能-行军令'!S38</f>
        <v>34.851679788873923</v>
      </c>
      <c r="W38" s="31">
        <f>'[1]功能-行军令'!T38</f>
        <v>45.152835477131134</v>
      </c>
      <c r="X38" s="31">
        <f>'[1]功能-行军令'!U38</f>
        <v>51.22532515745138</v>
      </c>
      <c r="Y38" s="31">
        <f>'[1]功能-行军令'!V38</f>
        <v>42.41385911589191</v>
      </c>
      <c r="Z38" s="31">
        <f>'[1]功能-行军令'!W38</f>
        <v>23.634524458487078</v>
      </c>
      <c r="AC38" s="54">
        <v>35</v>
      </c>
      <c r="AD38" s="54">
        <f>'[1]功能-实力'!BE39</f>
        <v>758100</v>
      </c>
      <c r="AE38" s="54">
        <f>'[1]功能-实力'!BF39</f>
        <v>809214</v>
      </c>
      <c r="AF38" s="54">
        <f>'[1]功能-实力'!BG39</f>
        <v>892998</v>
      </c>
      <c r="AG38" s="54">
        <f>'[1]功能-实力'!BH39</f>
        <v>1009224</v>
      </c>
      <c r="AH38" s="54">
        <f>'[1]功能-实力'!BI39</f>
        <v>1090614</v>
      </c>
    </row>
    <row r="39" spans="2:34" x14ac:dyDescent="0.15">
      <c r="B39" s="25">
        <v>36</v>
      </c>
      <c r="C39" s="26">
        <f>'[1]资源-钻石'!L39</f>
        <v>88884.538853434249</v>
      </c>
      <c r="D39" s="26">
        <f>'[1]资源-钻石'!M39</f>
        <v>109092.49906752024</v>
      </c>
      <c r="E39" s="26">
        <f>'[1]资源-钻石'!N39</f>
        <v>150160.85040522084</v>
      </c>
      <c r="F39" s="26">
        <f>'[1]资源-钻石'!O39</f>
        <v>286412.08848482859</v>
      </c>
      <c r="G39" s="26">
        <f>'[1]资源-钻石'!P39</f>
        <v>404326.96002654784</v>
      </c>
      <c r="I39" s="25">
        <v>36</v>
      </c>
      <c r="J39" s="26">
        <f>'[1]资源-钻石'!T39</f>
        <v>230570.62156529402</v>
      </c>
      <c r="K39" s="26">
        <f>'[1]资源-钻石'!U39</f>
        <v>316627.68372182344</v>
      </c>
      <c r="L39" s="26">
        <f>'[1]资源-钻石'!V39</f>
        <v>515240.45209400583</v>
      </c>
      <c r="M39" s="26">
        <f>'[1]资源-钻石'!W39</f>
        <v>1317514.4973034065</v>
      </c>
      <c r="N39" s="26">
        <f>'[1]资源-钻石'!X39</f>
        <v>3093828.4470337466</v>
      </c>
      <c r="P39" s="31">
        <v>36</v>
      </c>
      <c r="Q39" s="31">
        <f>'[1]功能-行军令'!N39</f>
        <v>511.78369647582645</v>
      </c>
      <c r="R39" s="31">
        <f>'[1]功能-行军令'!O39</f>
        <v>651.64973042965698</v>
      </c>
      <c r="S39" s="31">
        <f>'[1]功能-行军令'!P39</f>
        <v>731.69158798522301</v>
      </c>
      <c r="T39" s="31">
        <f>'[1]功能-行军令'!Q39</f>
        <v>614.91701190173114</v>
      </c>
      <c r="U39" s="31">
        <f>'[1]功能-行军令'!R39</f>
        <v>343.89973028645079</v>
      </c>
      <c r="V39" s="31">
        <f>'[1]功能-行军令'!S39</f>
        <v>37.353105522527528</v>
      </c>
      <c r="W39" s="31">
        <f>'[1]功能-行军令'!T39</f>
        <v>48.321504768596242</v>
      </c>
      <c r="X39" s="31">
        <f>'[1]功能-行军令'!U39</f>
        <v>53.309474206200321</v>
      </c>
      <c r="Y39" s="31">
        <f>'[1]功能-行军令'!V39</f>
        <v>44.243018719306065</v>
      </c>
      <c r="Z39" s="31">
        <f>'[1]功能-行军令'!W39</f>
        <v>23.506438507189046</v>
      </c>
      <c r="AC39" s="54">
        <v>36</v>
      </c>
      <c r="AD39" s="54">
        <f>'[1]功能-实力'!BE40</f>
        <v>811008</v>
      </c>
      <c r="AE39" s="54">
        <f>'[1]功能-实力'!BF40</f>
        <v>861540</v>
      </c>
      <c r="AF39" s="54">
        <f>'[1]功能-实力'!BG40</f>
        <v>943680</v>
      </c>
      <c r="AG39" s="54">
        <f>'[1]功能-实力'!BH40</f>
        <v>1068864</v>
      </c>
      <c r="AH39" s="54">
        <f>'[1]功能-实力'!BI40</f>
        <v>1154436</v>
      </c>
    </row>
    <row r="40" spans="2:34" x14ac:dyDescent="0.15">
      <c r="B40" s="25">
        <v>37</v>
      </c>
      <c r="C40" s="26">
        <f>'[1]资源-钻石'!L40</f>
        <v>93806.786862005029</v>
      </c>
      <c r="D40" s="26">
        <f>'[1]资源-钻石'!M40</f>
        <v>115166.44229818638</v>
      </c>
      <c r="E40" s="26">
        <f>'[1]资源-钻石'!N40</f>
        <v>158678.12783205221</v>
      </c>
      <c r="F40" s="26">
        <f>'[1]资源-钻石'!O40</f>
        <v>305225.45769900427</v>
      </c>
      <c r="G40" s="26">
        <f>'[1]资源-钻石'!P40</f>
        <v>429519.4852636861</v>
      </c>
      <c r="I40" s="25">
        <v>37</v>
      </c>
      <c r="J40" s="26">
        <f>'[1]资源-钻石'!T40</f>
        <v>236428.73981649178</v>
      </c>
      <c r="K40" s="26">
        <f>'[1]资源-钻石'!U40</f>
        <v>324751.61379814096</v>
      </c>
      <c r="L40" s="26">
        <f>'[1]资源-钻石'!V40</f>
        <v>528628.77517795516</v>
      </c>
      <c r="M40" s="26">
        <f>'[1]资源-钻石'!W40</f>
        <v>1352261.6526957508</v>
      </c>
      <c r="N40" s="26">
        <f>'[1]资源-钻石'!X40</f>
        <v>3175905.3179653254</v>
      </c>
      <c r="P40" s="31">
        <v>37</v>
      </c>
      <c r="Q40" s="31">
        <f>'[1]功能-行军令'!N40</f>
        <v>551.81776371818933</v>
      </c>
      <c r="R40" s="31">
        <f>'[1]功能-行军令'!O40</f>
        <v>702.3836397563656</v>
      </c>
      <c r="S40" s="31">
        <f>'[1]功能-行军令'!P40</f>
        <v>788.70953087090561</v>
      </c>
      <c r="T40" s="31">
        <f>'[1]功能-行军令'!Q40</f>
        <v>660.91813362444623</v>
      </c>
      <c r="U40" s="31">
        <f>'[1]功能-行军令'!R40</f>
        <v>370.80114395344231</v>
      </c>
      <c r="V40" s="31">
        <f>'[1]功能-行军令'!S40</f>
        <v>40.03406724236288</v>
      </c>
      <c r="W40" s="31">
        <f>'[1]功能-行军令'!T40</f>
        <v>50.733909326708613</v>
      </c>
      <c r="X40" s="31">
        <f>'[1]功能-行军令'!U40</f>
        <v>57.017942885682601</v>
      </c>
      <c r="Y40" s="31">
        <f>'[1]功能-行军令'!V40</f>
        <v>46.001121722715084</v>
      </c>
      <c r="Z40" s="31">
        <f>'[1]功能-行军令'!W40</f>
        <v>26.901413666991516</v>
      </c>
      <c r="AC40" s="54">
        <v>37</v>
      </c>
      <c r="AD40" s="54">
        <f>'[1]功能-实力'!BE41</f>
        <v>866298</v>
      </c>
      <c r="AE40" s="54">
        <f>'[1]功能-实力'!BF41</f>
        <v>915618</v>
      </c>
      <c r="AF40" s="54">
        <f>'[1]功能-实力'!BG41</f>
        <v>996366</v>
      </c>
      <c r="AG40" s="54">
        <f>'[1]功能-实力'!BH41</f>
        <v>1129854</v>
      </c>
      <c r="AH40" s="54">
        <f>'[1]功能-实力'!BI41</f>
        <v>1221270</v>
      </c>
    </row>
    <row r="41" spans="2:34" x14ac:dyDescent="0.15">
      <c r="B41" s="25">
        <v>38</v>
      </c>
      <c r="C41" s="26">
        <f>'[1]资源-钻石'!L41</f>
        <v>99082.321653613297</v>
      </c>
      <c r="D41" s="26">
        <f>'[1]资源-钻石'!M41</f>
        <v>121653.17483936876</v>
      </c>
      <c r="E41" s="26">
        <f>'[1]资源-钻石'!N41</f>
        <v>167540.36744797989</v>
      </c>
      <c r="F41" s="26">
        <f>'[1]资源-钻石'!O41</f>
        <v>325426.11447680963</v>
      </c>
      <c r="G41" s="26">
        <f>'[1]资源-钻石'!P41</f>
        <v>455647.21322698938</v>
      </c>
      <c r="I41" s="25">
        <v>38</v>
      </c>
      <c r="J41" s="26">
        <f>'[1]资源-钻石'!T41</f>
        <v>242286.85806768955</v>
      </c>
      <c r="K41" s="26">
        <f>'[1]资源-钻石'!U41</f>
        <v>332875.54387445853</v>
      </c>
      <c r="L41" s="26">
        <f>'[1]资源-钻石'!V41</f>
        <v>542017.09826190444</v>
      </c>
      <c r="M41" s="26">
        <f>'[1]资源-钻石'!W41</f>
        <v>1387008.8080880949</v>
      </c>
      <c r="N41" s="26">
        <f>'[1]资源-钻石'!X41</f>
        <v>3257982.1888969038</v>
      </c>
      <c r="P41" s="31">
        <v>38</v>
      </c>
      <c r="Q41" s="31">
        <f>'[1]功能-行军令'!N41</f>
        <v>594.72521458594724</v>
      </c>
      <c r="R41" s="31">
        <f>'[1]功能-行军令'!O41</f>
        <v>756.5654600455988</v>
      </c>
      <c r="S41" s="31">
        <f>'[1]功能-行军令'!P41</f>
        <v>848.03678381072007</v>
      </c>
      <c r="T41" s="31">
        <f>'[1]功能-行军令'!Q41</f>
        <v>710.3113529216273</v>
      </c>
      <c r="U41" s="31">
        <f>'[1]功能-行军令'!R41</f>
        <v>398.70119809661651</v>
      </c>
      <c r="V41" s="31">
        <f>'[1]功能-行军令'!S41</f>
        <v>42.907450867757916</v>
      </c>
      <c r="W41" s="31">
        <f>'[1]功能-行军令'!T41</f>
        <v>54.181820289233201</v>
      </c>
      <c r="X41" s="31">
        <f>'[1]功能-行军令'!U41</f>
        <v>59.327252939814457</v>
      </c>
      <c r="Y41" s="31">
        <f>'[1]功能-行军令'!V41</f>
        <v>49.393219297181076</v>
      </c>
      <c r="Z41" s="31">
        <f>'[1]功能-行军令'!W41</f>
        <v>27.900054143174202</v>
      </c>
      <c r="AC41" s="54">
        <v>38</v>
      </c>
      <c r="AD41" s="54">
        <f>'[1]功能-实力'!BE42</f>
        <v>923814</v>
      </c>
      <c r="AE41" s="54">
        <f>'[1]功能-实力'!BF42</f>
        <v>971862</v>
      </c>
      <c r="AF41" s="54">
        <f>'[1]功能-实力'!BG42</f>
        <v>1050444</v>
      </c>
      <c r="AG41" s="54">
        <f>'[1]功能-实力'!BH42</f>
        <v>1193412</v>
      </c>
      <c r="AH41" s="54">
        <f>'[1]功能-实力'!BI42</f>
        <v>1290654</v>
      </c>
    </row>
    <row r="42" spans="2:34" x14ac:dyDescent="0.15">
      <c r="B42" s="25">
        <v>39</v>
      </c>
      <c r="C42" s="26">
        <f>'[1]资源-钻石'!L42</f>
        <v>104736.49984394599</v>
      </c>
      <c r="D42" s="26">
        <f>'[1]资源-钻石'!M42</f>
        <v>128511.80480743726</v>
      </c>
      <c r="E42" s="26">
        <f>'[1]资源-钻石'!N42</f>
        <v>177013.91966173344</v>
      </c>
      <c r="F42" s="26">
        <f>'[1]资源-钻石'!O42</f>
        <v>345076.7600676291</v>
      </c>
      <c r="G42" s="26">
        <f>'[1]资源-钻石'!P42</f>
        <v>484518.32459672529</v>
      </c>
      <c r="I42" s="25">
        <v>39</v>
      </c>
      <c r="J42" s="26">
        <f>'[1]资源-钻石'!T42</f>
        <v>248144.97631888729</v>
      </c>
      <c r="K42" s="26">
        <f>'[1]资源-钻石'!U42</f>
        <v>340999.47395077604</v>
      </c>
      <c r="L42" s="26">
        <f>'[1]资源-钻石'!V42</f>
        <v>555405.42134585371</v>
      </c>
      <c r="M42" s="26">
        <f>'[1]资源-钻石'!W42</f>
        <v>1421755.963480439</v>
      </c>
      <c r="N42" s="26">
        <f>'[1]资源-钻石'!X42</f>
        <v>3340059.0598284826</v>
      </c>
      <c r="P42" s="31">
        <v>39</v>
      </c>
      <c r="Q42" s="31">
        <f>'[1]功能-行军令'!N42</f>
        <v>640.71228177109015</v>
      </c>
      <c r="R42" s="31">
        <f>'[1]功能-行军令'!O42</f>
        <v>813.85363309743559</v>
      </c>
      <c r="S42" s="31">
        <f>'[1]功能-行军令'!P42</f>
        <v>911.45639925575597</v>
      </c>
      <c r="T42" s="31">
        <f>'[1]功能-行军令'!Q42</f>
        <v>764.23185972705107</v>
      </c>
      <c r="U42" s="31">
        <f>'[1]功能-行军令'!R42</f>
        <v>429.53072799376594</v>
      </c>
      <c r="V42" s="31">
        <f>'[1]功能-行军令'!S42</f>
        <v>45.987067185142905</v>
      </c>
      <c r="W42" s="31">
        <f>'[1]功能-行军令'!T42</f>
        <v>57.288173051836793</v>
      </c>
      <c r="X42" s="31">
        <f>'[1]功能-行军令'!U42</f>
        <v>63.419615445035902</v>
      </c>
      <c r="Y42" s="31">
        <f>'[1]功能-行军令'!V42</f>
        <v>53.92050680542377</v>
      </c>
      <c r="Z42" s="31">
        <f>'[1]功能-行军令'!W42</f>
        <v>30.829529897149428</v>
      </c>
      <c r="AC42" s="54">
        <v>39</v>
      </c>
      <c r="AD42" s="54">
        <f>'[1]功能-实力'!BE43</f>
        <v>983850</v>
      </c>
      <c r="AE42" s="54">
        <f>'[1]功能-实力'!BF43</f>
        <v>1030080</v>
      </c>
      <c r="AF42" s="54">
        <f>'[1]功能-实力'!BG43</f>
        <v>1106580</v>
      </c>
      <c r="AG42" s="54">
        <f>'[1]功能-实力'!BH43</f>
        <v>1259682</v>
      </c>
      <c r="AH42" s="54">
        <f>'[1]功能-实力'!BI43</f>
        <v>1363074</v>
      </c>
    </row>
    <row r="43" spans="2:34" x14ac:dyDescent="0.15">
      <c r="B43" s="25">
        <v>40</v>
      </c>
      <c r="C43" s="26">
        <f>'[1]资源-钻石'!L43</f>
        <v>110783.30358020157</v>
      </c>
      <c r="D43" s="26">
        <f>'[1]资源-钻石'!M43</f>
        <v>135826.71688342126</v>
      </c>
      <c r="E43" s="26">
        <f>'[1]资源-钻石'!N43</f>
        <v>187426.46542707272</v>
      </c>
      <c r="F43" s="26">
        <f>'[1]资源-钻石'!O43</f>
        <v>366236.74839713034</v>
      </c>
      <c r="G43" s="26">
        <f>'[1]资源-钻石'!P43</f>
        <v>516329.72874439321</v>
      </c>
      <c r="I43" s="25">
        <v>40</v>
      </c>
      <c r="J43" s="26">
        <f>'[1]资源-钻石'!T43</f>
        <v>254003.09457008506</v>
      </c>
      <c r="K43" s="26">
        <f>'[1]资源-钻石'!U43</f>
        <v>349123.40402709355</v>
      </c>
      <c r="L43" s="26">
        <f>'[1]资源-钻石'!V43</f>
        <v>568793.74442980299</v>
      </c>
      <c r="M43" s="26">
        <f>'[1]资源-钻石'!W43</f>
        <v>1456503.1188727834</v>
      </c>
      <c r="N43" s="26">
        <f>'[1]资源-钻石'!X43</f>
        <v>3422135.9307600614</v>
      </c>
      <c r="P43" s="31">
        <v>40</v>
      </c>
      <c r="Q43" s="31">
        <f>'[1]功能-行军令'!N43</f>
        <v>690</v>
      </c>
      <c r="R43" s="31">
        <f>'[1]功能-行军令'!O43</f>
        <v>874.95300000000009</v>
      </c>
      <c r="S43" s="31">
        <f>'[1]功能-行军令'!P43</f>
        <v>981.16200000000003</v>
      </c>
      <c r="T43" s="31">
        <f>'[1]功能-行军令'!Q43</f>
        <v>824.10299999999995</v>
      </c>
      <c r="U43" s="31">
        <f>'[1]功能-行军令'!R43</f>
        <v>463.5</v>
      </c>
      <c r="V43" s="31">
        <f>'[1]功能-行军令'!S43</f>
        <v>49.287718228909853</v>
      </c>
      <c r="W43" s="31">
        <f>'[1]功能-行军令'!T43</f>
        <v>61.099366902564498</v>
      </c>
      <c r="X43" s="31">
        <f>'[1]功能-行军令'!U43</f>
        <v>69.705600744244066</v>
      </c>
      <c r="Y43" s="31">
        <f>'[1]功能-行军令'!V43</f>
        <v>59.871140272948878</v>
      </c>
      <c r="Z43" s="31">
        <f>'[1]功能-行军令'!W43</f>
        <v>33.969272006234064</v>
      </c>
      <c r="AC43" s="54">
        <v>40</v>
      </c>
      <c r="AD43" s="54">
        <f>'[1]功能-实力'!BE44</f>
        <v>1046634</v>
      </c>
      <c r="AE43" s="54">
        <f>'[1]功能-实力'!BF44</f>
        <v>1086948</v>
      </c>
      <c r="AF43" s="54">
        <f>'[1]功能-实力'!BG44</f>
        <v>1164432</v>
      </c>
      <c r="AG43" s="54">
        <f>'[1]功能-实力'!BH44</f>
        <v>1329798</v>
      </c>
      <c r="AH43" s="54">
        <f>'[1]功能-实力'!BI44</f>
        <v>1438998</v>
      </c>
    </row>
    <row r="44" spans="2:34" x14ac:dyDescent="0.15">
      <c r="B44" s="25">
        <v>41</v>
      </c>
      <c r="C44" s="26">
        <f>'[1]资源-钻石'!L44</f>
        <v>117263.09664122869</v>
      </c>
      <c r="D44" s="26">
        <f>'[1]资源-钻石'!M44</f>
        <v>143882.45021087857</v>
      </c>
      <c r="E44" s="26">
        <f>'[1]资源-钻石'!N44</f>
        <v>198844.79496989842</v>
      </c>
      <c r="F44" s="26">
        <f>'[1]资源-钻石'!O44</f>
        <v>389122.90812211769</v>
      </c>
      <c r="G44" s="26">
        <f>'[1]资源-钻石'!P44</f>
        <v>551118.01231160364</v>
      </c>
      <c r="I44" s="25">
        <v>41</v>
      </c>
      <c r="J44" s="26">
        <f>'[1]资源-钻石'!T44</f>
        <v>259861.2128212828</v>
      </c>
      <c r="K44" s="26">
        <f>'[1]资源-钻石'!U44</f>
        <v>357247.33410341106</v>
      </c>
      <c r="L44" s="26">
        <f>'[1]资源-钻石'!V44</f>
        <v>582182.06751375226</v>
      </c>
      <c r="M44" s="26">
        <f>'[1]资源-钻石'!W44</f>
        <v>1491250.2742651275</v>
      </c>
      <c r="N44" s="26">
        <f>'[1]资源-钻石'!X44</f>
        <v>3504212.8016916402</v>
      </c>
      <c r="P44" s="31">
        <v>41</v>
      </c>
      <c r="Q44" s="31">
        <f>'[1]功能-行军令'!N44</f>
        <v>742.82526842671143</v>
      </c>
      <c r="R44" s="31">
        <f>'[1]功能-行军令'!O44</f>
        <v>942.37074325168692</v>
      </c>
      <c r="S44" s="31">
        <f>'[1]功能-行军令'!P44</f>
        <v>1057.6007055976104</v>
      </c>
      <c r="T44" s="31">
        <f>'[1]功能-行军令'!Q44</f>
        <v>888.85825684924259</v>
      </c>
      <c r="U44" s="31">
        <f>'[1]功能-行军令'!R44</f>
        <v>500.64808254420291</v>
      </c>
      <c r="V44" s="31">
        <f>'[1]功能-行军令'!S44</f>
        <v>52.825268426711432</v>
      </c>
      <c r="W44" s="31">
        <f>'[1]功能-行军令'!T44</f>
        <v>67.417743251686829</v>
      </c>
      <c r="X44" s="31">
        <f>'[1]功能-行军令'!U44</f>
        <v>76.438705597610351</v>
      </c>
      <c r="Y44" s="31">
        <f>'[1]功能-行军令'!V44</f>
        <v>64.755256849242642</v>
      </c>
      <c r="Z44" s="31">
        <f>'[1]功能-行军令'!W44</f>
        <v>37.148082544202907</v>
      </c>
      <c r="AC44" s="54">
        <v>41</v>
      </c>
      <c r="AD44" s="54">
        <f>'[1]功能-实力'!BE45</f>
        <v>1090488</v>
      </c>
      <c r="AE44" s="54">
        <f>'[1]功能-实力'!BF45</f>
        <v>1131912</v>
      </c>
      <c r="AF44" s="54">
        <f>'[1]功能-实力'!BG45</f>
        <v>1215582</v>
      </c>
      <c r="AG44" s="54">
        <f>'[1]功能-实力'!BH45</f>
        <v>1394028</v>
      </c>
      <c r="AH44" s="54">
        <f>'[1]功能-实力'!BI45</f>
        <v>1510296</v>
      </c>
    </row>
    <row r="45" spans="2:34" x14ac:dyDescent="0.15">
      <c r="B45" s="25">
        <v>42</v>
      </c>
      <c r="C45" s="26">
        <f>'[1]资源-钻石'!L45</f>
        <v>124207.96688676445</v>
      </c>
      <c r="D45" s="26">
        <f>'[1]资源-钻石'!M45</f>
        <v>152576.3989162487</v>
      </c>
      <c r="E45" s="26">
        <f>'[1]资源-钻石'!N45</f>
        <v>211429.33421566049</v>
      </c>
      <c r="F45" s="26">
        <f>'[1]资源-钻石'!O45</f>
        <v>414331.75513269997</v>
      </c>
      <c r="G45" s="26">
        <f>'[1]资源-钻石'!P45</f>
        <v>588528.81363000686</v>
      </c>
      <c r="I45" s="25">
        <v>42</v>
      </c>
      <c r="J45" s="26">
        <f>'[1]资源-钻石'!T45</f>
        <v>265719.33107248053</v>
      </c>
      <c r="K45" s="26">
        <f>'[1]资源-钻石'!U45</f>
        <v>365371.26417972858</v>
      </c>
      <c r="L45" s="26">
        <f>'[1]资源-钻石'!V45</f>
        <v>595570.39059770154</v>
      </c>
      <c r="M45" s="26">
        <f>'[1]资源-钻石'!W45</f>
        <v>1525997.4296574718</v>
      </c>
      <c r="N45" s="26">
        <f>'[1]资源-钻石'!X45</f>
        <v>3586289.672623219</v>
      </c>
      <c r="P45" s="31">
        <v>42</v>
      </c>
      <c r="Q45" s="31">
        <f>'[1]功能-行军令'!N45</f>
        <v>799.4419892778177</v>
      </c>
      <c r="R45" s="31">
        <f>'[1]功能-行军令'!O45</f>
        <v>1017.2238904960392</v>
      </c>
      <c r="S45" s="31">
        <f>'[1]功能-行军令'!P45</f>
        <v>1141.846469120243</v>
      </c>
      <c r="T45" s="31">
        <f>'[1]功能-行军令'!Q45</f>
        <v>960.18544247843488</v>
      </c>
      <c r="U45" s="31">
        <f>'[1]功能-行军令'!R45</f>
        <v>540.59657648860423</v>
      </c>
      <c r="V45" s="31">
        <f>'[1]功能-行军令'!S45</f>
        <v>56.616720851106265</v>
      </c>
      <c r="W45" s="31">
        <f>'[1]功能-行军令'!T45</f>
        <v>74.853147244352272</v>
      </c>
      <c r="X45" s="31">
        <f>'[1]功能-行军令'!U45</f>
        <v>84.245763522632615</v>
      </c>
      <c r="Y45" s="31">
        <f>'[1]功能-行军令'!V45</f>
        <v>71.327185629192286</v>
      </c>
      <c r="Z45" s="31">
        <f>'[1]功能-行军令'!W45</f>
        <v>39.948493944401321</v>
      </c>
      <c r="AC45" s="54">
        <v>42</v>
      </c>
      <c r="AD45" s="54">
        <f>'[1]功能-实力'!BE46</f>
        <v>1136142</v>
      </c>
      <c r="AE45" s="54">
        <f>'[1]功能-实力'!BF46</f>
        <v>1178640</v>
      </c>
      <c r="AF45" s="54">
        <f>'[1]功能-实力'!BG46</f>
        <v>1268316</v>
      </c>
      <c r="AG45" s="54">
        <f>'[1]功能-实力'!BH46</f>
        <v>1461564</v>
      </c>
      <c r="AH45" s="54">
        <f>'[1]功能-实力'!BI46</f>
        <v>1583292</v>
      </c>
    </row>
    <row r="46" spans="2:34" x14ac:dyDescent="0.15">
      <c r="B46" s="25">
        <v>43</v>
      </c>
      <c r="C46" s="26">
        <f>'[1]资源-钻石'!L46</f>
        <v>131651.29451668757</v>
      </c>
      <c r="D46" s="26">
        <f>'[1]资源-钻石'!M46</f>
        <v>161573.2673448463</v>
      </c>
      <c r="E46" s="26">
        <f>'[1]资源-钻石'!N46</f>
        <v>224503.08104707277</v>
      </c>
      <c r="F46" s="26">
        <f>'[1]资源-钻石'!O46</f>
        <v>439749.51607803465</v>
      </c>
      <c r="G46" s="26">
        <f>'[1]资源-钻石'!P46</f>
        <v>626233.86420712422</v>
      </c>
      <c r="I46" s="25">
        <v>43</v>
      </c>
      <c r="J46" s="26">
        <f>'[1]资源-钻石'!T46</f>
        <v>271577.44932367833</v>
      </c>
      <c r="K46" s="26">
        <f>'[1]资源-钻石'!U46</f>
        <v>373495.19425604615</v>
      </c>
      <c r="L46" s="26">
        <f>'[1]资源-钻石'!V46</f>
        <v>608958.71368165081</v>
      </c>
      <c r="M46" s="26">
        <f>'[1]资源-钻石'!W46</f>
        <v>1560744.5850498159</v>
      </c>
      <c r="N46" s="26">
        <f>'[1]资源-钻石'!X46</f>
        <v>3668366.5435547973</v>
      </c>
      <c r="P46" s="31">
        <v>43</v>
      </c>
      <c r="Q46" s="31">
        <f>'[1]功能-行军令'!N46</f>
        <v>860.12228822185841</v>
      </c>
      <c r="R46" s="31">
        <f>'[1]功能-行军令'!O46</f>
        <v>1094.6851155442046</v>
      </c>
      <c r="S46" s="31">
        <f>'[1]功能-行军令'!P46</f>
        <v>1229.3671770623182</v>
      </c>
      <c r="T46" s="31">
        <f>'[1]功能-行军令'!Q46</f>
        <v>1032.1037397518191</v>
      </c>
      <c r="U46" s="31">
        <f>'[1]功能-行军令'!R46</f>
        <v>580.8592795468345</v>
      </c>
      <c r="V46" s="31">
        <f>'[1]功能-行军令'!S46</f>
        <v>60.680298944040715</v>
      </c>
      <c r="W46" s="31">
        <f>'[1]功能-行军令'!T46</f>
        <v>77.461225048165375</v>
      </c>
      <c r="X46" s="31">
        <f>'[1]功能-行军令'!U46</f>
        <v>87.520707942075205</v>
      </c>
      <c r="Y46" s="31">
        <f>'[1]功能-行军令'!V46</f>
        <v>71.918297273384269</v>
      </c>
      <c r="Z46" s="31">
        <f>'[1]功能-行军令'!W46</f>
        <v>40.262703058230272</v>
      </c>
      <c r="AC46" s="54">
        <v>43</v>
      </c>
      <c r="AD46" s="54">
        <f>'[1]功能-实力'!BE47</f>
        <v>1183530</v>
      </c>
      <c r="AE46" s="54">
        <f>'[1]功能-实力'!BF47</f>
        <v>1226796</v>
      </c>
      <c r="AF46" s="54">
        <f>'[1]功能-实力'!BG47</f>
        <v>1322250</v>
      </c>
      <c r="AG46" s="54">
        <f>'[1]功能-实力'!BH47</f>
        <v>1531302</v>
      </c>
      <c r="AH46" s="54">
        <f>'[1]功能-实力'!BI47</f>
        <v>1660272</v>
      </c>
    </row>
    <row r="47" spans="2:34" x14ac:dyDescent="0.15">
      <c r="B47" s="25">
        <v>44</v>
      </c>
      <c r="C47" s="26">
        <f>'[1]资源-钻石'!L47</f>
        <v>139628.85554340231</v>
      </c>
      <c r="D47" s="26">
        <f>'[1]资源-钻石'!M47</f>
        <v>171186.88245862865</v>
      </c>
      <c r="E47" s="26">
        <f>'[1]资源-钻石'!N47</f>
        <v>237804.00606246115</v>
      </c>
      <c r="F47" s="26">
        <f>'[1]资源-钻石'!O47</f>
        <v>466964.55790853547</v>
      </c>
      <c r="G47" s="26">
        <f>'[1]资源-钻石'!P47</f>
        <v>666199.82746544015</v>
      </c>
      <c r="I47" s="25">
        <v>44</v>
      </c>
      <c r="J47" s="26">
        <f>'[1]资源-钻石'!T47</f>
        <v>277435.56757487607</v>
      </c>
      <c r="K47" s="26">
        <f>'[1]资源-钻石'!U47</f>
        <v>381619.12433236366</v>
      </c>
      <c r="L47" s="26">
        <f>'[1]资源-钻石'!V47</f>
        <v>622347.03676560009</v>
      </c>
      <c r="M47" s="26">
        <f>'[1]资源-钻石'!W47</f>
        <v>1595491.7404421601</v>
      </c>
      <c r="N47" s="26">
        <f>'[1]资源-钻石'!X47</f>
        <v>3750443.4144863756</v>
      </c>
      <c r="P47" s="31">
        <v>44</v>
      </c>
      <c r="Q47" s="31">
        <f>'[1]功能-行军令'!N47</f>
        <v>925.1578223288501</v>
      </c>
      <c r="R47" s="31">
        <f>'[1]功能-行军令'!O47</f>
        <v>1177.4564053285565</v>
      </c>
      <c r="S47" s="31">
        <f>'[1]功能-行军令'!P47</f>
        <v>1321.4069400576111</v>
      </c>
      <c r="T47" s="31">
        <f>'[1]功能-行军令'!Q47</f>
        <v>1109.1073543850268</v>
      </c>
      <c r="U47" s="31">
        <f>'[1]功能-行军令'!R47</f>
        <v>623.53626012307257</v>
      </c>
      <c r="V47" s="31">
        <f>'[1]功能-行军令'!S47</f>
        <v>65.03553410699169</v>
      </c>
      <c r="W47" s="31">
        <f>'[1]功能-行军令'!T47</f>
        <v>82.771289784351893</v>
      </c>
      <c r="X47" s="31">
        <f>'[1]功能-行军令'!U47</f>
        <v>92.039762995292904</v>
      </c>
      <c r="Y47" s="31">
        <f>'[1]功能-行军令'!V47</f>
        <v>77.00361463320769</v>
      </c>
      <c r="Z47" s="31">
        <f>'[1]功能-行军令'!W47</f>
        <v>42.676980576238066</v>
      </c>
      <c r="AC47" s="54">
        <v>44</v>
      </c>
      <c r="AD47" s="54">
        <f>'[1]功能-实力'!BE48</f>
        <v>1232760</v>
      </c>
      <c r="AE47" s="54">
        <f>'[1]功能-实力'!BF48</f>
        <v>1276836</v>
      </c>
      <c r="AF47" s="54">
        <f>'[1]功能-实力'!BG48</f>
        <v>1380036</v>
      </c>
      <c r="AG47" s="54">
        <f>'[1]功能-实力'!BH48</f>
        <v>1605816</v>
      </c>
      <c r="AH47" s="54">
        <f>'[1]功能-实力'!BI48</f>
        <v>1737768</v>
      </c>
    </row>
    <row r="48" spans="2:34" x14ac:dyDescent="0.15">
      <c r="B48" s="25">
        <v>45</v>
      </c>
      <c r="C48" s="26">
        <f>'[1]资源-钻石'!L48</f>
        <v>148178.99374759896</v>
      </c>
      <c r="D48" s="26">
        <f>'[1]资源-钻石'!M48</f>
        <v>181507.33010764659</v>
      </c>
      <c r="E48" s="26">
        <f>'[1]资源-钻石'!N48</f>
        <v>251597.550486939</v>
      </c>
      <c r="F48" s="26">
        <f>'[1]资源-钻石'!O48</f>
        <v>496261.49054423021</v>
      </c>
      <c r="G48" s="26">
        <f>'[1]资源-钻石'!P48</f>
        <v>709151.04783352569</v>
      </c>
      <c r="I48" s="25">
        <v>45</v>
      </c>
      <c r="J48" s="26">
        <f>'[1]资源-钻石'!T48</f>
        <v>283293.68582607381</v>
      </c>
      <c r="K48" s="26">
        <f>'[1]资源-钻石'!U48</f>
        <v>389743.05440868123</v>
      </c>
      <c r="L48" s="26">
        <f>'[1]资源-钻石'!V48</f>
        <v>635735.35984954936</v>
      </c>
      <c r="M48" s="26">
        <f>'[1]资源-钻石'!W48</f>
        <v>1630238.8958345044</v>
      </c>
      <c r="N48" s="26">
        <f>'[1]资源-钻石'!X48</f>
        <v>3832520.2854179544</v>
      </c>
      <c r="P48" s="31">
        <v>45</v>
      </c>
      <c r="Q48" s="31">
        <f>'[1]功能-行军令'!N48</f>
        <v>994.86118190659784</v>
      </c>
      <c r="R48" s="31">
        <f>'[1]功能-行军令'!O48</f>
        <v>1266.3133808732127</v>
      </c>
      <c r="S48" s="31">
        <f>'[1]功能-行军令'!P48</f>
        <v>1419.9805041271859</v>
      </c>
      <c r="T48" s="31">
        <f>'[1]功能-行军令'!Q48</f>
        <v>1192.0015760681895</v>
      </c>
      <c r="U48" s="31">
        <f>'[1]功能-行军令'!R48</f>
        <v>669.40099721265346</v>
      </c>
      <c r="V48" s="31">
        <f>'[1]功能-行军令'!S48</f>
        <v>69.703359577747733</v>
      </c>
      <c r="W48" s="31">
        <f>'[1]功能-行军令'!T48</f>
        <v>88.856975544656279</v>
      </c>
      <c r="X48" s="31">
        <f>'[1]功能-行军令'!U48</f>
        <v>98.573564069574786</v>
      </c>
      <c r="Y48" s="31">
        <f>'[1]功能-行军令'!V48</f>
        <v>82.894221683162641</v>
      </c>
      <c r="Z48" s="31">
        <f>'[1]功能-行军令'!W48</f>
        <v>45.864737089580899</v>
      </c>
      <c r="AC48" s="54">
        <v>45</v>
      </c>
      <c r="AD48" s="54">
        <f>'[1]功能-实力'!BE49</f>
        <v>1282692</v>
      </c>
      <c r="AE48" s="54">
        <f>'[1]功能-实力'!BF49</f>
        <v>1329936</v>
      </c>
      <c r="AF48" s="54">
        <f>'[1]功能-实力'!BG49</f>
        <v>1440462</v>
      </c>
      <c r="AG48" s="54">
        <f>'[1]功能-实力'!BH49</f>
        <v>1681974</v>
      </c>
      <c r="AH48" s="54">
        <f>'[1]功能-实力'!BI49</f>
        <v>1817490</v>
      </c>
    </row>
    <row r="49" spans="2:34" x14ac:dyDescent="0.15">
      <c r="B49" s="25">
        <v>46</v>
      </c>
      <c r="C49" s="26">
        <f>'[1]资源-钻石'!L49</f>
        <v>157342.80497587458</v>
      </c>
      <c r="D49" s="26">
        <f>'[1]资源-钻石'!M49</f>
        <v>192479.36218989373</v>
      </c>
      <c r="E49" s="26">
        <f>'[1]资源-钻石'!N49</f>
        <v>266281.48465594475</v>
      </c>
      <c r="F49" s="26">
        <f>'[1]资源-钻石'!O49</f>
        <v>527304.07803752436</v>
      </c>
      <c r="G49" s="26">
        <f>'[1]资源-钻石'!P49</f>
        <v>753084.74881263345</v>
      </c>
      <c r="I49" s="25">
        <v>46</v>
      </c>
      <c r="J49" s="26">
        <f>'[1]资源-钻石'!T49</f>
        <v>289151.80407727155</v>
      </c>
      <c r="K49" s="26">
        <f>'[1]资源-钻石'!U49</f>
        <v>397866.98448499874</v>
      </c>
      <c r="L49" s="26">
        <f>'[1]资源-钻石'!V49</f>
        <v>649123.68293349864</v>
      </c>
      <c r="M49" s="26">
        <f>'[1]资源-钻石'!W49</f>
        <v>1664986.0512268485</v>
      </c>
      <c r="N49" s="26">
        <f>'[1]资源-钻石'!X49</f>
        <v>3914597.1563495328</v>
      </c>
      <c r="P49" s="31">
        <v>46</v>
      </c>
      <c r="Q49" s="31">
        <f>'[1]功能-行军令'!N49</f>
        <v>1069.5673929516524</v>
      </c>
      <c r="R49" s="31">
        <f>'[1]功能-行军令'!O49</f>
        <v>1360.7803671478041</v>
      </c>
      <c r="S49" s="31">
        <f>'[1]功能-行军令'!P49</f>
        <v>1524.9171093287671</v>
      </c>
      <c r="T49" s="31">
        <f>'[1]功能-行军令'!Q49</f>
        <v>1279.8350418199216</v>
      </c>
      <c r="U49" s="31">
        <f>'[1]功能-行军令'!R49</f>
        <v>716.31485967129208</v>
      </c>
      <c r="V49" s="31">
        <f>'[1]功能-行军令'!S49</f>
        <v>74.706211045054602</v>
      </c>
      <c r="W49" s="31">
        <f>'[1]功能-行军令'!T49</f>
        <v>94.466986274591363</v>
      </c>
      <c r="X49" s="31">
        <f>'[1]功能-行军令'!U49</f>
        <v>104.93660520158119</v>
      </c>
      <c r="Y49" s="31">
        <f>'[1]功能-行军令'!V49</f>
        <v>87.833465751732092</v>
      </c>
      <c r="Z49" s="31">
        <f>'[1]功能-行军令'!W49</f>
        <v>46.913862458638619</v>
      </c>
      <c r="AC49" s="54">
        <v>46</v>
      </c>
      <c r="AD49" s="54">
        <f>'[1]功能-实力'!BE50</f>
        <v>1334892</v>
      </c>
      <c r="AE49" s="54">
        <f>'[1]功能-实力'!BF50</f>
        <v>1384836</v>
      </c>
      <c r="AF49" s="54">
        <f>'[1]功能-实力'!BG50</f>
        <v>1503756</v>
      </c>
      <c r="AG49" s="54">
        <f>'[1]功能-实力'!BH50</f>
        <v>1757250</v>
      </c>
      <c r="AH49" s="54">
        <f>'[1]功能-实力'!BI50</f>
        <v>1899090</v>
      </c>
    </row>
    <row r="50" spans="2:34" x14ac:dyDescent="0.15">
      <c r="B50" s="25">
        <v>47</v>
      </c>
      <c r="C50" s="26">
        <f>'[1]资源-钻石'!L50</f>
        <v>167164.33466603264</v>
      </c>
      <c r="D50" s="26">
        <f>'[1]资源-钻石'!M50</f>
        <v>204252.70194819843</v>
      </c>
      <c r="E50" s="26">
        <f>'[1]资源-钻石'!N50</f>
        <v>282064.52147954027</v>
      </c>
      <c r="F50" s="26">
        <f>'[1]资源-钻石'!O50</f>
        <v>560437.5381362146</v>
      </c>
      <c r="G50" s="26">
        <f>'[1]资源-钻石'!P50</f>
        <v>795995.53710534936</v>
      </c>
      <c r="I50" s="25">
        <v>47</v>
      </c>
      <c r="J50" s="26">
        <f>'[1]资源-钻石'!T50</f>
        <v>295009.92232846929</v>
      </c>
      <c r="K50" s="26">
        <f>'[1]资源-钻石'!U50</f>
        <v>405990.91456131631</v>
      </c>
      <c r="L50" s="26">
        <f>'[1]资源-钻石'!V50</f>
        <v>662512.00601744803</v>
      </c>
      <c r="M50" s="26">
        <f>'[1]资源-钻石'!W50</f>
        <v>1699733.2066191928</v>
      </c>
      <c r="N50" s="26">
        <f>'[1]资源-钻石'!X50</f>
        <v>3996674.0272811116</v>
      </c>
      <c r="P50" s="31">
        <v>47</v>
      </c>
      <c r="Q50" s="31">
        <f>'[1]功能-行军令'!N50</f>
        <v>1149.6355274363787</v>
      </c>
      <c r="R50" s="31">
        <f>'[1]功能-行军令'!O50</f>
        <v>1462.1464511162799</v>
      </c>
      <c r="S50" s="31">
        <f>'[1]功能-行军令'!P50</f>
        <v>1637.7082921941562</v>
      </c>
      <c r="T50" s="31">
        <f>'[1]功能-行军令'!Q50</f>
        <v>1373.584528180985</v>
      </c>
      <c r="U50" s="31">
        <f>'[1]功能-行军令'!R50</f>
        <v>766.59196494058733</v>
      </c>
      <c r="V50" s="31">
        <f>'[1]功能-行军令'!S50</f>
        <v>80.068134484726215</v>
      </c>
      <c r="W50" s="31">
        <f>'[1]功能-行军令'!T50</f>
        <v>101.36608396847578</v>
      </c>
      <c r="X50" s="31">
        <f>'[1]功能-行军令'!U50</f>
        <v>112.79118286538915</v>
      </c>
      <c r="Y50" s="31">
        <f>'[1]功能-行军令'!V50</f>
        <v>93.749486361063418</v>
      </c>
      <c r="Z50" s="31">
        <f>'[1]功能-行军令'!W50</f>
        <v>50.277105269295248</v>
      </c>
      <c r="AC50" s="54">
        <v>47</v>
      </c>
      <c r="AD50" s="54">
        <f>'[1]功能-实力'!BE51</f>
        <v>1388952</v>
      </c>
      <c r="AE50" s="54">
        <f>'[1]功能-实力'!BF51</f>
        <v>1441716</v>
      </c>
      <c r="AF50" s="54">
        <f>'[1]功能-实力'!BG51</f>
        <v>1566450</v>
      </c>
      <c r="AG50" s="54">
        <f>'[1]功能-实力'!BH51</f>
        <v>1835154</v>
      </c>
      <c r="AH50" s="54">
        <f>'[1]功能-实力'!BI51</f>
        <v>1983288</v>
      </c>
    </row>
    <row r="51" spans="2:34" x14ac:dyDescent="0.15">
      <c r="B51" s="25">
        <v>48</v>
      </c>
      <c r="C51" s="26">
        <f>'[1]资源-钻石'!L51</f>
        <v>177690.78954945627</v>
      </c>
      <c r="D51" s="26">
        <f>'[1]资源-钻石'!M51</f>
        <v>216720.23129288678</v>
      </c>
      <c r="E51" s="26">
        <f>'[1]资源-钻石'!N51</f>
        <v>299033.95963525749</v>
      </c>
      <c r="F51" s="26">
        <f>'[1]资源-钻石'!O51</f>
        <v>593448.85552649596</v>
      </c>
      <c r="G51" s="26">
        <f>'[1]资源-钻石'!P51</f>
        <v>841073.69851562195</v>
      </c>
      <c r="I51" s="25">
        <v>48</v>
      </c>
      <c r="J51" s="26">
        <f>'[1]资源-钻石'!T51</f>
        <v>300868.04057966708</v>
      </c>
      <c r="K51" s="26">
        <f>'[1]资源-钻石'!U51</f>
        <v>414114.84463763383</v>
      </c>
      <c r="L51" s="26">
        <f>'[1]资源-钻石'!V51</f>
        <v>675900.32910139731</v>
      </c>
      <c r="M51" s="26">
        <f>'[1]资源-钻石'!W51</f>
        <v>1734480.362011537</v>
      </c>
      <c r="N51" s="26">
        <f>'[1]资源-钻石'!X51</f>
        <v>4078750.8982126904</v>
      </c>
      <c r="P51" s="31">
        <v>48</v>
      </c>
      <c r="Q51" s="31">
        <f>'[1]功能-行军令'!N51</f>
        <v>1235.4504291718947</v>
      </c>
      <c r="R51" s="31">
        <f>'[1]功能-行军令'!O51</f>
        <v>1569.4893676019494</v>
      </c>
      <c r="S51" s="31">
        <f>'[1]功能-行军令'!P51</f>
        <v>1758.9779200570902</v>
      </c>
      <c r="T51" s="31">
        <f>'[1]功能-行军令'!Q51</f>
        <v>1469.7536030643444</v>
      </c>
      <c r="U51" s="31">
        <f>'[1]功能-行军令'!R51</f>
        <v>819.941592223361</v>
      </c>
      <c r="V51" s="31">
        <f>'[1]功能-行军令'!S51</f>
        <v>85.814901735516059</v>
      </c>
      <c r="W51" s="31">
        <f>'[1]功能-行军令'!T51</f>
        <v>107.34291648566955</v>
      </c>
      <c r="X51" s="31">
        <f>'[1]功能-行军令'!U51</f>
        <v>121.26962786293393</v>
      </c>
      <c r="Y51" s="31">
        <f>'[1]功能-行军令'!V51</f>
        <v>96.169074883359372</v>
      </c>
      <c r="Z51" s="31">
        <f>'[1]功能-行军令'!W51</f>
        <v>53.349627282773668</v>
      </c>
      <c r="AC51" s="54">
        <v>48</v>
      </c>
      <c r="AD51" s="54">
        <f>'[1]功能-实力'!BE52</f>
        <v>1445370</v>
      </c>
      <c r="AE51" s="54">
        <f>'[1]功能-实力'!BF52</f>
        <v>1499370</v>
      </c>
      <c r="AF51" s="54">
        <f>'[1]功能-实力'!BG52</f>
        <v>1630602</v>
      </c>
      <c r="AG51" s="54">
        <f>'[1]功能-实力'!BH52</f>
        <v>1914702</v>
      </c>
      <c r="AH51" s="54">
        <f>'[1]功能-实力'!BI52</f>
        <v>2070186</v>
      </c>
    </row>
    <row r="52" spans="2:34" x14ac:dyDescent="0.15">
      <c r="B52" s="25">
        <v>49</v>
      </c>
      <c r="C52" s="26">
        <f>'[1]资源-钻石'!L52</f>
        <v>188972.76454809532</v>
      </c>
      <c r="D52" s="26">
        <f>'[1]资源-钻石'!M52</f>
        <v>230268.58523730549</v>
      </c>
      <c r="E52" s="26">
        <f>'[1]资源-钻石'!N52</f>
        <v>316733.10676442739</v>
      </c>
      <c r="F52" s="26">
        <f>'[1]资源-钻石'!O52</f>
        <v>626185.93086060474</v>
      </c>
      <c r="G52" s="26">
        <f>'[1]资源-钻石'!P52</f>
        <v>892148.64998248243</v>
      </c>
      <c r="I52" s="25">
        <v>49</v>
      </c>
      <c r="J52" s="26">
        <f>'[1]资源-钻石'!T52</f>
        <v>306726.15883086482</v>
      </c>
      <c r="K52" s="26">
        <f>'[1]资源-钻石'!U52</f>
        <v>422238.77471395134</v>
      </c>
      <c r="L52" s="26">
        <f>'[1]资源-钻石'!V52</f>
        <v>689288.65218534658</v>
      </c>
      <c r="M52" s="26">
        <f>'[1]资源-钻石'!W52</f>
        <v>1769227.5174038813</v>
      </c>
      <c r="N52" s="26">
        <f>'[1]资源-钻石'!X52</f>
        <v>4160827.7691442687</v>
      </c>
      <c r="P52" s="31">
        <v>49</v>
      </c>
      <c r="Q52" s="31">
        <f>'[1]功能-行军令'!N52</f>
        <v>1327.4245635421805</v>
      </c>
      <c r="R52" s="31">
        <f>'[1]功能-行军令'!O52</f>
        <v>1686.1379661948713</v>
      </c>
      <c r="S52" s="31">
        <f>'[1]功能-行军令'!P52</f>
        <v>1885.4623072330214</v>
      </c>
      <c r="T52" s="31">
        <f>'[1]功能-行军令'!Q52</f>
        <v>1572.6316231897233</v>
      </c>
      <c r="U52" s="31">
        <f>'[1]功能-行军令'!R52</f>
        <v>880.3883704191951</v>
      </c>
      <c r="V52" s="31">
        <f>'[1]功能-行军令'!S52</f>
        <v>91.97413437028581</v>
      </c>
      <c r="W52" s="31">
        <f>'[1]功能-行军令'!T52</f>
        <v>116.64859859292187</v>
      </c>
      <c r="X52" s="31">
        <f>'[1]功能-行军令'!U52</f>
        <v>126.48438717593126</v>
      </c>
      <c r="Y52" s="31">
        <f>'[1]功能-行军令'!V52</f>
        <v>102.87802012537895</v>
      </c>
      <c r="Z52" s="31">
        <f>'[1]功能-行军令'!W52</f>
        <v>60.446778195834099</v>
      </c>
      <c r="AC52" s="54">
        <v>49</v>
      </c>
      <c r="AD52" s="54">
        <f>'[1]功能-实力'!BE53</f>
        <v>1503456</v>
      </c>
      <c r="AE52" s="54">
        <f>'[1]功能-实力'!BF53</f>
        <v>1557144</v>
      </c>
      <c r="AF52" s="54">
        <f>'[1]功能-实力'!BG53</f>
        <v>1696236</v>
      </c>
      <c r="AG52" s="54">
        <f>'[1]功能-实力'!BH53</f>
        <v>1995822</v>
      </c>
      <c r="AH52" s="54">
        <f>'[1]功能-实力'!BI53</f>
        <v>2158782</v>
      </c>
    </row>
    <row r="53" spans="2:34" x14ac:dyDescent="0.15">
      <c r="B53" s="25">
        <v>50</v>
      </c>
      <c r="C53" s="26">
        <f>'[1]资源-钻石'!L53</f>
        <v>201280.03030930526</v>
      </c>
      <c r="D53" s="26">
        <f>'[1]资源-钻石'!M53</f>
        <v>244811.75167700107</v>
      </c>
      <c r="E53" s="26">
        <f>'[1]资源-钻石'!N53</f>
        <v>335654.64008742297</v>
      </c>
      <c r="F53" s="26">
        <f>'[1]资源-钻石'!O53</f>
        <v>662840.25233025372</v>
      </c>
      <c r="G53" s="26">
        <f>'[1]资源-钻石'!P53</f>
        <v>947930.05748631503</v>
      </c>
      <c r="I53" s="25">
        <v>50</v>
      </c>
      <c r="J53" s="26">
        <f>'[1]资源-钻石'!T53</f>
        <v>312584.27708206256</v>
      </c>
      <c r="K53" s="26">
        <f>'[1]资源-钻石'!U53</f>
        <v>430362.70479026885</v>
      </c>
      <c r="L53" s="26">
        <f>'[1]资源-钻石'!V53</f>
        <v>702676.97526929586</v>
      </c>
      <c r="M53" s="26">
        <f>'[1]资源-钻石'!W53</f>
        <v>1803974.6727962254</v>
      </c>
      <c r="N53" s="26">
        <f>'[1]资源-钻石'!X53</f>
        <v>4242904.6400758475</v>
      </c>
      <c r="P53" s="31">
        <v>50</v>
      </c>
      <c r="Q53" s="31">
        <f>'[1]功能-行军令'!N53</f>
        <v>1426</v>
      </c>
      <c r="R53" s="31">
        <f>'[1]功能-行军令'!O53</f>
        <v>1811.3516999999999</v>
      </c>
      <c r="S53" s="31">
        <f>'[1]功能-行军令'!P53</f>
        <v>2020.6823000000002</v>
      </c>
      <c r="T53" s="31">
        <f>'[1]功能-行军令'!Q53</f>
        <v>1687.8197999999998</v>
      </c>
      <c r="U53" s="31">
        <f>'[1]功能-行军令'!R53</f>
        <v>946.40519999999992</v>
      </c>
      <c r="V53" s="31">
        <f>'[1]功能-行军令'!S53</f>
        <v>98.575436457819478</v>
      </c>
      <c r="W53" s="31">
        <f>'[1]功能-行军令'!T53</f>
        <v>125.21373380512864</v>
      </c>
      <c r="X53" s="31">
        <f>'[1]功能-行军令'!U53</f>
        <v>135.21999276697875</v>
      </c>
      <c r="Y53" s="31">
        <f>'[1]功能-行军令'!V53</f>
        <v>115.18817681027645</v>
      </c>
      <c r="Z53" s="31">
        <f>'[1]功能-行军令'!W53</f>
        <v>66.016829580804824</v>
      </c>
      <c r="AC53" s="54">
        <v>50</v>
      </c>
      <c r="AD53" s="54">
        <f>'[1]功能-实力'!BE54</f>
        <v>1563354</v>
      </c>
      <c r="AE53" s="54">
        <f>'[1]功能-实力'!BF54</f>
        <v>1622544</v>
      </c>
      <c r="AF53" s="54">
        <f>'[1]功能-实力'!BG54</f>
        <v>1765974</v>
      </c>
      <c r="AG53" s="54">
        <f>'[1]功能-实力'!BH54</f>
        <v>2075772</v>
      </c>
      <c r="AH53" s="54">
        <f>'[1]功能-实力'!BI54</f>
        <v>2250258</v>
      </c>
    </row>
    <row r="54" spans="2:34" x14ac:dyDescent="0.15">
      <c r="B54" s="25">
        <v>51</v>
      </c>
      <c r="C54" s="26">
        <f>'[1]资源-钻石'!L54</f>
        <v>214734.66809604171</v>
      </c>
      <c r="D54" s="26">
        <f>'[1]资源-钻石'!M54</f>
        <v>259543.6695276018</v>
      </c>
      <c r="E54" s="26">
        <f>'[1]资源-钻石'!N54</f>
        <v>355755.76708835369</v>
      </c>
      <c r="F54" s="26">
        <f>'[1]资源-钻石'!O54</f>
        <v>702195.69918933755</v>
      </c>
      <c r="G54" s="26">
        <f>'[1]资源-钻石'!P54</f>
        <v>1005148.2636834041</v>
      </c>
      <c r="I54" s="25">
        <v>51</v>
      </c>
      <c r="J54" s="26">
        <f>'[1]资源-钻石'!T54</f>
        <v>318442.3953332603</v>
      </c>
      <c r="K54" s="26">
        <f>'[1]资源-钻石'!U54</f>
        <v>438486.63486658636</v>
      </c>
      <c r="L54" s="26">
        <f>'[1]资源-钻石'!V54</f>
        <v>716065.29835324513</v>
      </c>
      <c r="M54" s="26">
        <f>'[1]资源-钻石'!W54</f>
        <v>1838721.8281885698</v>
      </c>
      <c r="N54" s="26">
        <f>'[1]资源-钻石'!X54</f>
        <v>4324981.5110074263</v>
      </c>
      <c r="P54" s="31">
        <v>51</v>
      </c>
      <c r="Q54" s="31">
        <f>'[1]功能-行军令'!N54</f>
        <v>1531.6505368534229</v>
      </c>
      <c r="R54" s="31">
        <f>'[1]功能-行军令'!O54</f>
        <v>1938.1905454352827</v>
      </c>
      <c r="S54" s="31">
        <f>'[1]功能-行军令'!P54</f>
        <v>2164.3320878515306</v>
      </c>
      <c r="T54" s="31">
        <f>'[1]功能-行军令'!Q54</f>
        <v>1811.4964086368636</v>
      </c>
      <c r="U54" s="31">
        <f>'[1]功能-行军令'!R54</f>
        <v>1014.1224688260519</v>
      </c>
      <c r="V54" s="31">
        <f>'[1]功能-行军令'!S54</f>
        <v>105.65053685342286</v>
      </c>
      <c r="W54" s="31">
        <f>'[1]功能-行军令'!T54</f>
        <v>126.83884543528279</v>
      </c>
      <c r="X54" s="31">
        <f>'[1]功能-行军令'!U54</f>
        <v>143.64978785153039</v>
      </c>
      <c r="Y54" s="31">
        <f>'[1]功能-行军令'!V54</f>
        <v>123.67660863686388</v>
      </c>
      <c r="Z54" s="31">
        <f>'[1]功能-行军令'!W54</f>
        <v>67.717268826051964</v>
      </c>
      <c r="AC54" s="54">
        <v>51</v>
      </c>
      <c r="AD54" s="54">
        <f>'[1]功能-实力'!BE55</f>
        <v>1632234</v>
      </c>
      <c r="AE54" s="54">
        <f>'[1]功能-实力'!BF55</f>
        <v>1694694</v>
      </c>
      <c r="AF54" s="54">
        <f>'[1]功能-实力'!BG55</f>
        <v>1842558</v>
      </c>
      <c r="AG54" s="54">
        <f>'[1]功能-实力'!BH55</f>
        <v>2162754</v>
      </c>
      <c r="AH54" s="54">
        <f>'[1]功能-实力'!BI55</f>
        <v>2347758</v>
      </c>
    </row>
    <row r="55" spans="2:34" x14ac:dyDescent="0.15">
      <c r="B55" s="25">
        <v>52</v>
      </c>
      <c r="C55" s="26">
        <f>'[1]资源-钻石'!L55</f>
        <v>229154.9918239041</v>
      </c>
      <c r="D55" s="26">
        <f>'[1]资源-钻石'!M55</f>
        <v>276667.33515250735</v>
      </c>
      <c r="E55" s="26">
        <f>'[1]资源-钻石'!N55</f>
        <v>378965.38871163229</v>
      </c>
      <c r="F55" s="26">
        <f>'[1]资源-钻石'!O55</f>
        <v>746217.8280600151</v>
      </c>
      <c r="G55" s="26">
        <f>'[1]资源-钻石'!P55</f>
        <v>1068186.1246197717</v>
      </c>
      <c r="I55" s="25">
        <v>52</v>
      </c>
      <c r="J55" s="26">
        <f>'[1]资源-钻石'!T55</f>
        <v>324300.51358445809</v>
      </c>
      <c r="K55" s="26">
        <f>'[1]资源-钻石'!U55</f>
        <v>446610.56494290393</v>
      </c>
      <c r="L55" s="26">
        <f>'[1]资源-钻石'!V55</f>
        <v>729453.62143719441</v>
      </c>
      <c r="M55" s="26">
        <f>'[1]资源-钻石'!W55</f>
        <v>1873468.9835809139</v>
      </c>
      <c r="N55" s="26">
        <f>'[1]资源-钻石'!X55</f>
        <v>4407058.3819390051</v>
      </c>
      <c r="P55" s="31">
        <v>52</v>
      </c>
      <c r="Q55" s="31">
        <f>'[1]功能-行军令'!N55</f>
        <v>1644.8839785556356</v>
      </c>
      <c r="R55" s="31">
        <f>'[1]功能-行军令'!O55</f>
        <v>2082.4374201903788</v>
      </c>
      <c r="S55" s="31">
        <f>'[1]功能-行军令'!P55</f>
        <v>2330.1962815429533</v>
      </c>
      <c r="T55" s="31">
        <f>'[1]功能-行军令'!Q55</f>
        <v>1949.8383165103787</v>
      </c>
      <c r="U55" s="31">
        <f>'[1]功能-行军令'!R55</f>
        <v>1088.7272503975591</v>
      </c>
      <c r="V55" s="31">
        <f>'[1]功能-行军令'!S55</f>
        <v>113.23344170221276</v>
      </c>
      <c r="W55" s="31">
        <f>'[1]功能-行军令'!T55</f>
        <v>144.24687475509609</v>
      </c>
      <c r="X55" s="31">
        <f>'[1]功能-行军令'!U55</f>
        <v>165.86419369142277</v>
      </c>
      <c r="Y55" s="31">
        <f>'[1]功能-行军令'!V55</f>
        <v>138.34190787351508</v>
      </c>
      <c r="Z55" s="31">
        <f>'[1]功能-行军令'!W55</f>
        <v>74.60478157150726</v>
      </c>
      <c r="AC55" s="54">
        <v>52</v>
      </c>
      <c r="AD55" s="54">
        <f>'[1]功能-实力'!BE56</f>
        <v>1703070</v>
      </c>
      <c r="AE55" s="54">
        <f>'[1]功能-实力'!BF56</f>
        <v>1770468</v>
      </c>
      <c r="AF55" s="54">
        <f>'[1]功能-实力'!BG56</f>
        <v>1921698</v>
      </c>
      <c r="AG55" s="54">
        <f>'[1]功能-实力'!BH56</f>
        <v>2253114</v>
      </c>
      <c r="AH55" s="54">
        <f>'[1]功能-实力'!BI56</f>
        <v>2448912</v>
      </c>
    </row>
    <row r="56" spans="2:34" x14ac:dyDescent="0.15">
      <c r="B56" s="25">
        <v>53</v>
      </c>
      <c r="C56" s="26">
        <f>'[1]资源-钻石'!L56</f>
        <v>244610.31211660925</v>
      </c>
      <c r="D56" s="26">
        <f>'[1]资源-钻石'!M56</f>
        <v>295733.73528731294</v>
      </c>
      <c r="E56" s="26">
        <f>'[1]资源-钻石'!N56</f>
        <v>404098.53504227934</v>
      </c>
      <c r="F56" s="26">
        <f>'[1]资源-钻石'!O56</f>
        <v>791744.28975319408</v>
      </c>
      <c r="G56" s="26">
        <f>'[1]资源-钻石'!P56</f>
        <v>1135056.5091228192</v>
      </c>
      <c r="I56" s="25">
        <v>53</v>
      </c>
      <c r="J56" s="26">
        <f>'[1]资源-钻石'!T56</f>
        <v>330158.63183565583</v>
      </c>
      <c r="K56" s="26">
        <f>'[1]资源-钻石'!U56</f>
        <v>454734.49501922145</v>
      </c>
      <c r="L56" s="26">
        <f>'[1]资源-钻石'!V56</f>
        <v>742841.94452114357</v>
      </c>
      <c r="M56" s="26">
        <f>'[1]资源-钻石'!W56</f>
        <v>1908216.1389732582</v>
      </c>
      <c r="N56" s="26">
        <f>'[1]资源-钻石'!X56</f>
        <v>4489135.2528705839</v>
      </c>
      <c r="P56" s="31">
        <v>53</v>
      </c>
      <c r="Q56" s="31">
        <f>'[1]功能-行军令'!N56</f>
        <v>1766.2445764437161</v>
      </c>
      <c r="R56" s="31">
        <f>'[1]功能-行军令'!O56</f>
        <v>2239.6825954973315</v>
      </c>
      <c r="S56" s="31">
        <f>'[1]功能-行军令'!P56</f>
        <v>2509.806665491662</v>
      </c>
      <c r="T56" s="31">
        <f>'[1]功能-行军令'!Q56</f>
        <v>2092.9076711948587</v>
      </c>
      <c r="U56" s="31">
        <f>'[1]功能-行军令'!R56</f>
        <v>1167.8677915794442</v>
      </c>
      <c r="V56" s="31">
        <f>'[1]功能-行军令'!S56</f>
        <v>121.36059788808052</v>
      </c>
      <c r="W56" s="31">
        <f>'[1]功能-行军令'!T56</f>
        <v>157.24517530695266</v>
      </c>
      <c r="X56" s="31">
        <f>'[1]功能-行军令'!U56</f>
        <v>179.61038394870866</v>
      </c>
      <c r="Y56" s="31">
        <f>'[1]功能-行军令'!V56</f>
        <v>143.06935468448</v>
      </c>
      <c r="Z56" s="31">
        <f>'[1]功能-行军令'!W56</f>
        <v>79.140541181885055</v>
      </c>
      <c r="AC56" s="54">
        <v>53</v>
      </c>
      <c r="AD56" s="54">
        <f>'[1]功能-实力'!BE57</f>
        <v>1776624</v>
      </c>
      <c r="AE56" s="54">
        <f>'[1]功能-实力'!BF57</f>
        <v>1848336</v>
      </c>
      <c r="AF56" s="54">
        <f>'[1]功能-实力'!BG57</f>
        <v>2004030</v>
      </c>
      <c r="AG56" s="54">
        <f>'[1]功能-实力'!BH57</f>
        <v>2347248</v>
      </c>
      <c r="AH56" s="54">
        <f>'[1]功能-实力'!BI57</f>
        <v>2551320</v>
      </c>
    </row>
    <row r="57" spans="2:34" x14ac:dyDescent="0.15">
      <c r="B57" s="25">
        <v>54</v>
      </c>
      <c r="C57" s="26">
        <f>'[1]资源-钻石'!L57</f>
        <v>261174.91426132942</v>
      </c>
      <c r="D57" s="26">
        <f>'[1]资源-钻石'!M57</f>
        <v>316201.57337109692</v>
      </c>
      <c r="E57" s="26">
        <f>'[1]资源-钻石'!N57</f>
        <v>429227.01532848983</v>
      </c>
      <c r="F57" s="26">
        <f>'[1]资源-钻石'!O57</f>
        <v>839033.05933626485</v>
      </c>
      <c r="G57" s="26">
        <f>'[1]资源-钻石'!P57</f>
        <v>1202345.3852610823</v>
      </c>
      <c r="I57" s="25">
        <v>54</v>
      </c>
      <c r="J57" s="26">
        <f>'[1]资源-钻石'!T57</f>
        <v>336016.75008685363</v>
      </c>
      <c r="K57" s="26">
        <f>'[1]资源-钻石'!U57</f>
        <v>462858.42509553896</v>
      </c>
      <c r="L57" s="26">
        <f>'[1]资源-钻石'!V57</f>
        <v>756230.26760509284</v>
      </c>
      <c r="M57" s="26">
        <f>'[1]资源-钻石'!W57</f>
        <v>1942963.2943656023</v>
      </c>
      <c r="N57" s="26">
        <f>'[1]资源-钻石'!X57</f>
        <v>4571212.1238021618</v>
      </c>
      <c r="P57" s="31">
        <v>54</v>
      </c>
      <c r="Q57" s="31">
        <f>'[1]功能-行军令'!N57</f>
        <v>1896.3156446577002</v>
      </c>
      <c r="R57" s="31">
        <f>'[1]功能-行军令'!O57</f>
        <v>2408.4857657278585</v>
      </c>
      <c r="S57" s="31">
        <f>'[1]功能-行军令'!P57</f>
        <v>2689.3837042307518</v>
      </c>
      <c r="T57" s="31">
        <f>'[1]功能-行军令'!Q57</f>
        <v>2241.5151732157478</v>
      </c>
      <c r="U57" s="31">
        <f>'[1]功能-行军令'!R57</f>
        <v>1247.5036141140115</v>
      </c>
      <c r="V57" s="31">
        <f>'[1]功能-行军令'!S57</f>
        <v>130.07106821398406</v>
      </c>
      <c r="W57" s="31">
        <f>'[1]功能-行军令'!T57</f>
        <v>168.80317023052703</v>
      </c>
      <c r="X57" s="31">
        <f>'[1]功能-行军令'!U57</f>
        <v>179.57703873908986</v>
      </c>
      <c r="Y57" s="31">
        <f>'[1]功能-行军令'!V57</f>
        <v>148.60750202088911</v>
      </c>
      <c r="Z57" s="31">
        <f>'[1]功能-行军令'!W57</f>
        <v>79.635822534567296</v>
      </c>
      <c r="AC57" s="54">
        <v>54</v>
      </c>
      <c r="AD57" s="54">
        <f>'[1]功能-实力'!BE58</f>
        <v>1853892</v>
      </c>
      <c r="AE57" s="54">
        <f>'[1]功能-实力'!BF58</f>
        <v>1930812</v>
      </c>
      <c r="AF57" s="54">
        <f>'[1]功能-实力'!BG58</f>
        <v>2091996</v>
      </c>
      <c r="AG57" s="54">
        <f>'[1]功能-实力'!BH58</f>
        <v>2450568</v>
      </c>
      <c r="AH57" s="54">
        <f>'[1]功能-实力'!BI58</f>
        <v>2654382</v>
      </c>
    </row>
    <row r="58" spans="2:34" x14ac:dyDescent="0.15">
      <c r="B58" s="25">
        <v>55</v>
      </c>
      <c r="C58" s="26">
        <f>'[1]资源-钻石'!L58</f>
        <v>278928.41525751224</v>
      </c>
      <c r="D58" s="26">
        <f>'[1]资源-钻石'!M58</f>
        <v>337203.0311204202</v>
      </c>
      <c r="E58" s="26">
        <f>'[1]资源-钻石'!N58</f>
        <v>456896.90220021619</v>
      </c>
      <c r="F58" s="26">
        <f>'[1]资源-钻石'!O58</f>
        <v>888858.47469256679</v>
      </c>
      <c r="G58" s="26">
        <f>'[1]资源-钻石'!P58</f>
        <v>1274829.1223885848</v>
      </c>
      <c r="I58" s="25">
        <v>55</v>
      </c>
      <c r="J58" s="26">
        <f>'[1]资源-钻石'!T58</f>
        <v>341874.86833805137</v>
      </c>
      <c r="K58" s="26">
        <f>'[1]资源-钻石'!U58</f>
        <v>470982.35517185653</v>
      </c>
      <c r="L58" s="26">
        <f>'[1]资源-钻石'!V58</f>
        <v>769618.59068904212</v>
      </c>
      <c r="M58" s="26">
        <f>'[1]资源-钻石'!W58</f>
        <v>1977710.4497579467</v>
      </c>
      <c r="N58" s="26">
        <f>'[1]资源-钻石'!X58</f>
        <v>4653288.9947337406</v>
      </c>
      <c r="P58" s="31">
        <v>55</v>
      </c>
      <c r="Q58" s="31">
        <f>'[1]功能-行军令'!N58</f>
        <v>2035.7223638131961</v>
      </c>
      <c r="R58" s="31">
        <f>'[1]功能-行军令'!O58</f>
        <v>2581.6898253376967</v>
      </c>
      <c r="S58" s="31">
        <f>'[1]功能-行军令'!P58</f>
        <v>2879.4407739457738</v>
      </c>
      <c r="T58" s="31">
        <f>'[1]功能-行军令'!Q58</f>
        <v>2398.0942210221438</v>
      </c>
      <c r="U58" s="31">
        <f>'[1]功能-行军令'!R58</f>
        <v>1333.2875112126535</v>
      </c>
      <c r="V58" s="31">
        <f>'[1]功能-行军令'!S58</f>
        <v>139.40671915549592</v>
      </c>
      <c r="W58" s="31">
        <f>'[1]功能-行军令'!T58</f>
        <v>173.20405960983817</v>
      </c>
      <c r="X58" s="31">
        <f>'[1]功能-行军令'!U58</f>
        <v>190.05706971502195</v>
      </c>
      <c r="Y58" s="31">
        <f>'[1]功能-行军令'!V58</f>
        <v>156.57904780639592</v>
      </c>
      <c r="Z58" s="31">
        <f>'[1]功能-行军令'!W58</f>
        <v>85.783897098642001</v>
      </c>
      <c r="AC58" s="54">
        <v>55</v>
      </c>
      <c r="AD58" s="54">
        <f>'[1]功能-实力'!BE59</f>
        <v>1936026</v>
      </c>
      <c r="AE58" s="54">
        <f>'[1]功能-实力'!BF59</f>
        <v>2015736</v>
      </c>
      <c r="AF58" s="54">
        <f>'[1]功能-实力'!BG59</f>
        <v>2184354</v>
      </c>
      <c r="AG58" s="54">
        <f>'[1]功能-实力'!BH59</f>
        <v>2556096</v>
      </c>
      <c r="AH58" s="54">
        <f>'[1]功能-实力'!BI59</f>
        <v>2761248</v>
      </c>
    </row>
    <row r="59" spans="2:34" x14ac:dyDescent="0.15">
      <c r="B59" s="25">
        <v>56</v>
      </c>
      <c r="C59" s="26">
        <f>'[1]资源-钻石'!L59</f>
        <v>297956.14649233245</v>
      </c>
      <c r="D59" s="26">
        <f>'[1]资源-钻石'!M59</f>
        <v>359483.81946434325</v>
      </c>
      <c r="E59" s="26">
        <f>'[1]资源-钻石'!N59</f>
        <v>486972.21758480044</v>
      </c>
      <c r="F59" s="26">
        <f>'[1]资源-钻石'!O59</f>
        <v>942219.866686319</v>
      </c>
      <c r="G59" s="26">
        <f>'[1]资源-钻石'!P59</f>
        <v>1352553.0798472858</v>
      </c>
      <c r="I59" s="25">
        <v>56</v>
      </c>
      <c r="J59" s="26">
        <f>'[1]资源-钻石'!T59</f>
        <v>347732.98658924911</v>
      </c>
      <c r="K59" s="26">
        <f>'[1]资源-钻石'!U59</f>
        <v>479106.28524817404</v>
      </c>
      <c r="L59" s="26">
        <f>'[1]资源-钻石'!V59</f>
        <v>783006.91377299151</v>
      </c>
      <c r="M59" s="26">
        <f>'[1]资源-钻石'!W59</f>
        <v>2012457.605150291</v>
      </c>
      <c r="N59" s="26">
        <f>'[1]资源-钻石'!X59</f>
        <v>4735365.8656653194</v>
      </c>
      <c r="P59" s="31">
        <v>56</v>
      </c>
      <c r="Q59" s="31">
        <f>'[1]功能-行军令'!N59</f>
        <v>2185.1347859033053</v>
      </c>
      <c r="R59" s="31">
        <f>'[1]功能-行军令'!O59</f>
        <v>2765.4448312300565</v>
      </c>
      <c r="S59" s="31">
        <f>'[1]功能-行军令'!P59</f>
        <v>3083.8617221732834</v>
      </c>
      <c r="T59" s="31">
        <f>'[1]功能-行军令'!Q59</f>
        <v>2565.7852656076611</v>
      </c>
      <c r="U59" s="31">
        <f>'[1]功能-行军令'!R59</f>
        <v>1425.2731652774821</v>
      </c>
      <c r="V59" s="31">
        <f>'[1]功能-行军令'!S59</f>
        <v>149.4124220901092</v>
      </c>
      <c r="W59" s="31">
        <f>'[1]功能-行军令'!T59</f>
        <v>183.7550058923598</v>
      </c>
      <c r="X59" s="31">
        <f>'[1]功能-行军令'!U59</f>
        <v>204.4209482275096</v>
      </c>
      <c r="Y59" s="31">
        <f>'[1]功能-行军令'!V59</f>
        <v>167.69104458551737</v>
      </c>
      <c r="Z59" s="31">
        <f>'[1]功能-行军令'!W59</f>
        <v>91.985654064828623</v>
      </c>
      <c r="AC59" s="54">
        <v>56</v>
      </c>
      <c r="AD59" s="54">
        <f>'[1]功能-实力'!BE60</f>
        <v>2020566</v>
      </c>
      <c r="AE59" s="54">
        <f>'[1]功能-实力'!BF60</f>
        <v>2103438</v>
      </c>
      <c r="AF59" s="54">
        <f>'[1]功能-实力'!BG60</f>
        <v>2279418</v>
      </c>
      <c r="AG59" s="54">
        <f>'[1]功能-实力'!BH60</f>
        <v>2665686</v>
      </c>
      <c r="AH59" s="54">
        <f>'[1]功能-实力'!BI60</f>
        <v>2871972</v>
      </c>
    </row>
    <row r="60" spans="2:34" x14ac:dyDescent="0.15">
      <c r="B60" s="25">
        <v>57</v>
      </c>
      <c r="C60" s="26">
        <f>'[1]资源-钻石'!L60</f>
        <v>318349.56388208596</v>
      </c>
      <c r="D60" s="26">
        <f>'[1]资源-钻石'!M60</f>
        <v>384140.20479548391</v>
      </c>
      <c r="E60" s="26">
        <f>'[1]资源-钻石'!N60</f>
        <v>519471.32878172712</v>
      </c>
      <c r="F60" s="26">
        <f>'[1]资源-钻石'!O60</f>
        <v>999714.53638854553</v>
      </c>
      <c r="G60" s="26">
        <f>'[1]资源-钻石'!P60</f>
        <v>1429654.8686850856</v>
      </c>
      <c r="I60" s="25">
        <v>57</v>
      </c>
      <c r="J60" s="26">
        <f>'[1]资源-钻石'!T60</f>
        <v>353591.1048404469</v>
      </c>
      <c r="K60" s="26">
        <f>'[1]资源-钻石'!U60</f>
        <v>487230.21532449155</v>
      </c>
      <c r="L60" s="26">
        <f>'[1]资源-钻石'!V60</f>
        <v>796395.23685694078</v>
      </c>
      <c r="M60" s="26">
        <f>'[1]资源-钻石'!W60</f>
        <v>2047204.7605426351</v>
      </c>
      <c r="N60" s="26">
        <f>'[1]资源-钻石'!X60</f>
        <v>4817442.7365968982</v>
      </c>
      <c r="P60" s="31">
        <v>57</v>
      </c>
      <c r="Q60" s="31">
        <f>'[1]功能-行军令'!N60</f>
        <v>2345.2710548727578</v>
      </c>
      <c r="R60" s="31">
        <f>'[1]功能-行军令'!O60</f>
        <v>2968.7919553027004</v>
      </c>
      <c r="S60" s="31">
        <f>'[1]功能-行军令'!P60</f>
        <v>3304.7571323285597</v>
      </c>
      <c r="T60" s="31">
        <f>'[1]功能-行军令'!Q60</f>
        <v>2746.4653577160998</v>
      </c>
      <c r="U60" s="31">
        <f>'[1]功能-行军令'!R60</f>
        <v>1526.0474817443567</v>
      </c>
      <c r="V60" s="31">
        <f>'[1]功能-行军令'!S60</f>
        <v>160.13626896945243</v>
      </c>
      <c r="W60" s="31">
        <f>'[1]功能-行军令'!T60</f>
        <v>203.34712407264396</v>
      </c>
      <c r="X60" s="31">
        <f>'[1]功能-行军令'!U60</f>
        <v>220.89541015527629</v>
      </c>
      <c r="Y60" s="31">
        <f>'[1]功能-行军令'!V60</f>
        <v>180.68009210843866</v>
      </c>
      <c r="Z60" s="31">
        <f>'[1]功能-行军令'!W60</f>
        <v>100.77431646687455</v>
      </c>
      <c r="AC60" s="54">
        <v>57</v>
      </c>
      <c r="AD60" s="54">
        <f>'[1]功能-实力'!BE61</f>
        <v>2107050</v>
      </c>
      <c r="AE60" s="54">
        <f>'[1]功能-实力'!BF61</f>
        <v>2194554</v>
      </c>
      <c r="AF60" s="54">
        <f>'[1]功能-实力'!BG61</f>
        <v>2377932</v>
      </c>
      <c r="AG60" s="54">
        <f>'[1]功能-实力'!BH61</f>
        <v>2779452</v>
      </c>
      <c r="AH60" s="54">
        <f>'[1]功能-实力'!BI61</f>
        <v>2986848</v>
      </c>
    </row>
    <row r="61" spans="2:34" x14ac:dyDescent="0.15">
      <c r="B61" s="25">
        <v>58</v>
      </c>
      <c r="C61" s="26">
        <f>'[1]资源-钻石'!L61</f>
        <v>340206.68745084968</v>
      </c>
      <c r="D61" s="26">
        <f>'[1]资源-钻石'!M61</f>
        <v>409727.88787455892</v>
      </c>
      <c r="E61" s="26">
        <f>'[1]资源-钻石'!N61</f>
        <v>554247.00846520183</v>
      </c>
      <c r="F61" s="26">
        <f>'[1]资源-钻石'!O61</f>
        <v>1062237.3031785339</v>
      </c>
      <c r="G61" s="26">
        <f>'[1]资源-钻石'!P61</f>
        <v>1509946.1871380683</v>
      </c>
      <c r="I61" s="25">
        <v>58</v>
      </c>
      <c r="J61" s="26">
        <f>'[1]资源-钻石'!T61</f>
        <v>359449.22309164464</v>
      </c>
      <c r="K61" s="26">
        <f>'[1]资源-钻石'!U61</f>
        <v>495354.14540080907</v>
      </c>
      <c r="L61" s="26">
        <f>'[1]资源-钻石'!V61</f>
        <v>809783.55994089006</v>
      </c>
      <c r="M61" s="26">
        <f>'[1]资源-钻石'!W61</f>
        <v>2081951.9159349794</v>
      </c>
      <c r="N61" s="26">
        <f>'[1]资源-钻石'!X61</f>
        <v>4899519.607528476</v>
      </c>
      <c r="P61" s="31">
        <v>58</v>
      </c>
      <c r="Q61" s="31">
        <f>'[1]功能-行军令'!N61</f>
        <v>2516.9008583437885</v>
      </c>
      <c r="R61" s="31">
        <f>'[1]功能-行军令'!O61</f>
        <v>3179.8197152899115</v>
      </c>
      <c r="S61" s="31">
        <f>'[1]功能-行军令'!P61</f>
        <v>3541.126305028768</v>
      </c>
      <c r="T61" s="31">
        <f>'[1]功能-行军令'!Q61</f>
        <v>2942.9465153781307</v>
      </c>
      <c r="U61" s="31">
        <f>'[1]功能-行军令'!R61</f>
        <v>1633.2169669792843</v>
      </c>
      <c r="V61" s="31">
        <f>'[1]功能-行军令'!S61</f>
        <v>171.62980347103075</v>
      </c>
      <c r="W61" s="31">
        <f>'[1]功能-行军令'!T61</f>
        <v>211.02775998721108</v>
      </c>
      <c r="X61" s="31">
        <f>'[1]功能-行军令'!U61</f>
        <v>236.36917270020831</v>
      </c>
      <c r="Y61" s="31">
        <f>'[1]功能-行军令'!V61</f>
        <v>196.48115766203091</v>
      </c>
      <c r="Z61" s="31">
        <f>'[1]功能-行军令'!W61</f>
        <v>107.16948523492761</v>
      </c>
      <c r="AC61" s="54">
        <v>58</v>
      </c>
      <c r="AD61" s="54">
        <f>'[1]功能-实力'!BE62</f>
        <v>2196798</v>
      </c>
      <c r="AE61" s="54">
        <f>'[1]功能-实力'!BF62</f>
        <v>2287494</v>
      </c>
      <c r="AF61" s="54">
        <f>'[1]功能-实力'!BG62</f>
        <v>2480454</v>
      </c>
      <c r="AG61" s="54">
        <f>'[1]功能-实力'!BH62</f>
        <v>2898096</v>
      </c>
      <c r="AH61" s="54">
        <f>'[1]功能-实力'!BI62</f>
        <v>3104082</v>
      </c>
    </row>
    <row r="62" spans="2:34" x14ac:dyDescent="0.15">
      <c r="B62" s="25">
        <v>59</v>
      </c>
      <c r="C62" s="26">
        <f>'[1]资源-钻石'!L62</f>
        <v>363632.57245922764</v>
      </c>
      <c r="D62" s="26">
        <f>'[1]资源-钻石'!M62</f>
        <v>438002.14887133066</v>
      </c>
      <c r="E62" s="26">
        <f>'[1]资源-钻石'!N62</f>
        <v>591930.36010943272</v>
      </c>
      <c r="F62" s="26">
        <f>'[1]资源-钻石'!O62</f>
        <v>1130146.2404147414</v>
      </c>
      <c r="G62" s="26">
        <f>'[1]资源-钻石'!P62</f>
        <v>1598467.4881653127</v>
      </c>
      <c r="I62" s="25">
        <v>59</v>
      </c>
      <c r="J62" s="26">
        <f>'[1]资源-钻石'!T62</f>
        <v>365307.34134284238</v>
      </c>
      <c r="K62" s="26">
        <f>'[1]资源-钻石'!U62</f>
        <v>503478.07547712664</v>
      </c>
      <c r="L62" s="26">
        <f>'[1]资源-钻石'!V62</f>
        <v>823171.88302483945</v>
      </c>
      <c r="M62" s="26">
        <f>'[1]资源-钻石'!W62</f>
        <v>2116699.0713273236</v>
      </c>
      <c r="N62" s="26">
        <f>'[1]资源-钻石'!X62</f>
        <v>4981596.4784600548</v>
      </c>
      <c r="P62" s="31">
        <v>59</v>
      </c>
      <c r="Q62" s="31">
        <f>'[1]功能-行军令'!N62</f>
        <v>2700.8491270843624</v>
      </c>
      <c r="R62" s="31">
        <f>'[1]功能-行军令'!O62</f>
        <v>3413.0043277850505</v>
      </c>
      <c r="S62" s="31">
        <f>'[1]功能-行军令'!P62</f>
        <v>3797.2588302242589</v>
      </c>
      <c r="T62" s="31">
        <f>'[1]功能-行军令'!Q62</f>
        <v>3152.5896292338052</v>
      </c>
      <c r="U62" s="31">
        <f>'[1]功能-行军令'!R62</f>
        <v>1751.3714878690009</v>
      </c>
      <c r="V62" s="31">
        <f>'[1]功能-行军令'!S62</f>
        <v>183.94826874057389</v>
      </c>
      <c r="W62" s="31">
        <f>'[1]功能-行军令'!T62</f>
        <v>233.18461249513894</v>
      </c>
      <c r="X62" s="31">
        <f>'[1]功能-行军令'!U62</f>
        <v>256.13252519549087</v>
      </c>
      <c r="Y62" s="31">
        <f>'[1]功能-行军令'!V62</f>
        <v>209.64311385567453</v>
      </c>
      <c r="Z62" s="31">
        <f>'[1]功能-行军令'!W62</f>
        <v>118.15452088971665</v>
      </c>
      <c r="AC62" s="54">
        <v>59</v>
      </c>
      <c r="AD62" s="54">
        <f>'[1]功能-实力'!BE63</f>
        <v>2288892</v>
      </c>
      <c r="AE62" s="54">
        <f>'[1]功能-实力'!BF63</f>
        <v>2383770</v>
      </c>
      <c r="AF62" s="54">
        <f>'[1]功能-实力'!BG63</f>
        <v>2587212</v>
      </c>
      <c r="AG62" s="54">
        <f>'[1]功能-实力'!BH63</f>
        <v>3023850</v>
      </c>
      <c r="AH62" s="54">
        <f>'[1]功能-实力'!BI63</f>
        <v>3227082</v>
      </c>
    </row>
    <row r="63" spans="2:34" x14ac:dyDescent="0.15">
      <c r="B63" s="25">
        <v>60</v>
      </c>
      <c r="C63" s="26">
        <f>'[1]资源-钻石'!L63</f>
        <v>388739.81434763339</v>
      </c>
      <c r="D63" s="26">
        <f>'[1]资源-钻石'!M63</f>
        <v>467647.48187552817</v>
      </c>
      <c r="E63" s="26">
        <f>'[1]资源-钻石'!N63</f>
        <v>631951.81974602526</v>
      </c>
      <c r="F63" s="26">
        <f>'[1]资源-钻石'!O63</f>
        <v>1206684.9704639853</v>
      </c>
      <c r="G63" s="26">
        <f>'[1]资源-钻石'!P63</f>
        <v>1696678.1040837814</v>
      </c>
      <c r="I63" s="25">
        <v>60</v>
      </c>
      <c r="J63" s="26">
        <f>'[1]资源-钻石'!T63</f>
        <v>371165.45959404018</v>
      </c>
      <c r="K63" s="26">
        <f>'[1]资源-钻石'!U63</f>
        <v>511602.00555344415</v>
      </c>
      <c r="L63" s="26">
        <f>'[1]资源-钻石'!V63</f>
        <v>836560.20610878873</v>
      </c>
      <c r="M63" s="26">
        <f>'[1]资源-钻石'!W63</f>
        <v>2151446.2267196677</v>
      </c>
      <c r="N63" s="26">
        <f>'[1]资源-钻石'!X63</f>
        <v>5063673.3493916336</v>
      </c>
      <c r="P63" s="31">
        <v>60</v>
      </c>
      <c r="Q63" s="31">
        <f>'[1]功能-行军令'!N63</f>
        <v>2898</v>
      </c>
      <c r="R63" s="31">
        <f>'[1]功能-行军令'!O63</f>
        <v>3657.4965000000002</v>
      </c>
      <c r="S63" s="31">
        <f>'[1]功能-行军令'!P63</f>
        <v>4069.2833999999998</v>
      </c>
      <c r="T63" s="31">
        <f>'[1]功能-行军令'!Q63</f>
        <v>3379.4712</v>
      </c>
      <c r="U63" s="31">
        <f>'[1]功能-行军令'!R63</f>
        <v>1882.4589000000003</v>
      </c>
      <c r="V63" s="31">
        <f>'[1]功能-行军令'!S63</f>
        <v>197.15087291563759</v>
      </c>
      <c r="W63" s="31">
        <f>'[1]功能-行军令'!T63</f>
        <v>244.49217221494973</v>
      </c>
      <c r="X63" s="31">
        <f>'[1]功能-行军令'!U63</f>
        <v>272.02456977574093</v>
      </c>
      <c r="Y63" s="31">
        <f>'[1]功能-行军令'!V63</f>
        <v>226.88157076619473</v>
      </c>
      <c r="Z63" s="31">
        <f>'[1]功能-行军令'!W63</f>
        <v>131.08741213099938</v>
      </c>
      <c r="AC63" s="54">
        <v>60</v>
      </c>
      <c r="AD63" s="54">
        <f>'[1]功能-实力'!BE64</f>
        <v>2394648</v>
      </c>
      <c r="AE63" s="54">
        <f>'[1]功能-实力'!BF64</f>
        <v>2498532</v>
      </c>
      <c r="AF63" s="54">
        <f>'[1]功能-实力'!BG64</f>
        <v>2711646</v>
      </c>
      <c r="AG63" s="54">
        <f>'[1]功能-实力'!BH64</f>
        <v>3161580</v>
      </c>
      <c r="AH63" s="54">
        <f>'[1]功能-实力'!BI64</f>
        <v>3354372</v>
      </c>
    </row>
    <row r="64" spans="2:34" x14ac:dyDescent="0.15">
      <c r="B64" s="25">
        <v>61</v>
      </c>
      <c r="C64" s="26">
        <f>'[1]资源-钻石'!L64</f>
        <v>415649.08992110635</v>
      </c>
      <c r="D64" s="26">
        <f>'[1]资源-钻石'!M64</f>
        <v>500202.55999316939</v>
      </c>
      <c r="E64" s="26">
        <f>'[1]资源-钻石'!N64</f>
        <v>675604.01120167784</v>
      </c>
      <c r="F64" s="26">
        <f>'[1]资源-钻石'!O64</f>
        <v>1290749.9113815003</v>
      </c>
      <c r="G64" s="26">
        <f>'[1]资源-钻石'!P64</f>
        <v>1798988.025227997</v>
      </c>
      <c r="I64" s="25">
        <v>61</v>
      </c>
      <c r="J64" s="26">
        <f>'[1]资源-钻石'!T64</f>
        <v>377023.57784523792</v>
      </c>
      <c r="K64" s="26">
        <f>'[1]资源-钻石'!U64</f>
        <v>519725.93562976166</v>
      </c>
      <c r="L64" s="26">
        <f>'[1]资源-钻石'!V64</f>
        <v>849948.529192738</v>
      </c>
      <c r="M64" s="26">
        <f>'[1]资源-钻石'!W64</f>
        <v>2186193.3821120118</v>
      </c>
      <c r="N64" s="26">
        <f>'[1]资源-钻石'!X64</f>
        <v>5145750.2203232115</v>
      </c>
      <c r="P64" s="31">
        <v>61</v>
      </c>
      <c r="Q64" s="31">
        <f>'[1]功能-行军令'!N64</f>
        <v>3109.3010737068457</v>
      </c>
      <c r="R64" s="31">
        <f>'[1]功能-行军令'!O64</f>
        <v>3925.9860381165895</v>
      </c>
      <c r="S64" s="31">
        <f>'[1]功能-行军令'!P64</f>
        <v>4365.9859367969093</v>
      </c>
      <c r="T64" s="31">
        <f>'[1]功能-行军令'!Q64</f>
        <v>3628.6625026184524</v>
      </c>
      <c r="U64" s="31">
        <f>'[1]功能-行军令'!R64</f>
        <v>2019.01789286138</v>
      </c>
      <c r="V64" s="31">
        <f>'[1]功能-行军令'!S64</f>
        <v>211.30107370684573</v>
      </c>
      <c r="W64" s="31">
        <f>'[1]功能-行军令'!T64</f>
        <v>268.4895381165893</v>
      </c>
      <c r="X64" s="31">
        <f>'[1]功能-行军令'!U64</f>
        <v>296.7025367969095</v>
      </c>
      <c r="Y64" s="31">
        <f>'[1]功能-行军令'!V64</f>
        <v>249.19130261845248</v>
      </c>
      <c r="Z64" s="31">
        <f>'[1]功能-行军令'!W64</f>
        <v>136.55899286137969</v>
      </c>
      <c r="AC64" s="54">
        <v>61</v>
      </c>
      <c r="AD64" s="54">
        <f>'[1]功能-实力'!BE65</f>
        <v>2514858</v>
      </c>
      <c r="AE64" s="54">
        <f>'[1]功能-实力'!BF65</f>
        <v>2624772</v>
      </c>
      <c r="AF64" s="54">
        <f>'[1]功能-实力'!BG65</f>
        <v>2847144</v>
      </c>
      <c r="AG64" s="54">
        <f>'[1]功能-实力'!BH65</f>
        <v>3311760</v>
      </c>
      <c r="AH64" s="54">
        <f>'[1]功能-实力'!BI65</f>
        <v>3492924</v>
      </c>
    </row>
    <row r="65" spans="2:34" x14ac:dyDescent="0.15">
      <c r="B65" s="25">
        <v>62</v>
      </c>
      <c r="C65" s="26">
        <f>'[1]资源-钻石'!L65</f>
        <v>444489.73737683095</v>
      </c>
      <c r="D65" s="26">
        <f>'[1]资源-钻石'!M65</f>
        <v>534698.0759040569</v>
      </c>
      <c r="E65" s="26">
        <f>'[1]资源-钻石'!N65</f>
        <v>722874.7100543445</v>
      </c>
      <c r="F65" s="26">
        <f>'[1]资源-钻石'!O65</f>
        <v>1381673.8331965399</v>
      </c>
      <c r="G65" s="26">
        <f>'[1]资源-钻石'!P65</f>
        <v>1916436.8478998421</v>
      </c>
      <c r="I65" s="25">
        <v>62</v>
      </c>
      <c r="J65" s="26">
        <f>'[1]资源-钻石'!T65</f>
        <v>382881.69609643565</v>
      </c>
      <c r="K65" s="26">
        <f>'[1]资源-钻石'!U65</f>
        <v>527849.86570607917</v>
      </c>
      <c r="L65" s="26">
        <f>'[1]资源-钻石'!V65</f>
        <v>863336.85227668728</v>
      </c>
      <c r="M65" s="26">
        <f>'[1]资源-钻石'!W65</f>
        <v>2220940.5375043559</v>
      </c>
      <c r="N65" s="26">
        <f>'[1]资源-钻石'!X65</f>
        <v>5227827.0912547903</v>
      </c>
      <c r="P65" s="31">
        <v>62</v>
      </c>
      <c r="Q65" s="31">
        <f>'[1]功能-行军令'!N65</f>
        <v>3335.7679571112699</v>
      </c>
      <c r="R65" s="31">
        <f>'[1]功能-行军令'!O65</f>
        <v>4210.4788321605647</v>
      </c>
      <c r="S65" s="31">
        <f>'[1]功能-行军令'!P65</f>
        <v>4687.2833516127894</v>
      </c>
      <c r="T65" s="31">
        <f>'[1]功能-行军令'!Q65</f>
        <v>3898.1856863497019</v>
      </c>
      <c r="U65" s="31">
        <f>'[1]功能-行军令'!R65</f>
        <v>2175.7836567037139</v>
      </c>
      <c r="V65" s="31">
        <f>'[1]功能-行军令'!S65</f>
        <v>226.46688340442415</v>
      </c>
      <c r="W65" s="31">
        <f>'[1]功能-行军令'!T65</f>
        <v>284.49279404397521</v>
      </c>
      <c r="X65" s="31">
        <f>'[1]功能-行军令'!U65</f>
        <v>321.29741481588007</v>
      </c>
      <c r="Y65" s="31">
        <f>'[1]功能-行军令'!V65</f>
        <v>269.52318373124945</v>
      </c>
      <c r="Z65" s="31">
        <f>'[1]功能-行军令'!W65</f>
        <v>156.76576384233385</v>
      </c>
      <c r="AC65" s="54">
        <v>62</v>
      </c>
      <c r="AD65" s="54">
        <f>'[1]功能-实力'!BE66</f>
        <v>2639466</v>
      </c>
      <c r="AE65" s="54">
        <f>'[1]功能-实力'!BF66</f>
        <v>2754786</v>
      </c>
      <c r="AF65" s="54">
        <f>'[1]功能-实力'!BG66</f>
        <v>2988294</v>
      </c>
      <c r="AG65" s="54">
        <f>'[1]功能-实力'!BH66</f>
        <v>3466962</v>
      </c>
      <c r="AH65" s="54">
        <f>'[1]功能-实力'!BI66</f>
        <v>3635388</v>
      </c>
    </row>
    <row r="66" spans="2:34" x14ac:dyDescent="0.15">
      <c r="B66" s="25">
        <v>63</v>
      </c>
      <c r="C66" s="26">
        <f>'[1]资源-钻石'!L66</f>
        <v>475400.37796224136</v>
      </c>
      <c r="D66" s="26">
        <f>'[1]资源-钻石'!M66</f>
        <v>572288.40647972282</v>
      </c>
      <c r="E66" s="26">
        <f>'[1]资源-钻石'!N66</f>
        <v>773365.68895350234</v>
      </c>
      <c r="F66" s="26">
        <f>'[1]资源-钻石'!O66</f>
        <v>1480064.6951362309</v>
      </c>
      <c r="G66" s="26">
        <f>'[1]资源-钻石'!P66</f>
        <v>2038049.4204183111</v>
      </c>
      <c r="I66" s="25">
        <v>63</v>
      </c>
      <c r="J66" s="26">
        <f>'[1]资源-钻石'!T66</f>
        <v>388739.81434763339</v>
      </c>
      <c r="K66" s="26">
        <f>'[1]资源-钻石'!U66</f>
        <v>535973.7957823968</v>
      </c>
      <c r="L66" s="26">
        <f>'[1]资源-钻石'!V66</f>
        <v>876725.17536063655</v>
      </c>
      <c r="M66" s="26">
        <f>'[1]资源-钻石'!W66</f>
        <v>2255687.6928967</v>
      </c>
      <c r="N66" s="26">
        <f>'[1]资源-钻石'!X66</f>
        <v>5309903.9621863691</v>
      </c>
      <c r="P66" s="31">
        <v>63</v>
      </c>
      <c r="Q66" s="31">
        <f>'[1]功能-行军令'!N66</f>
        <v>3578.4891528874323</v>
      </c>
      <c r="R66" s="31">
        <f>'[1]功能-行军令'!O66</f>
        <v>4520.4953050880667</v>
      </c>
      <c r="S66" s="31">
        <f>'[1]功能-行军令'!P66</f>
        <v>5030.4689059957536</v>
      </c>
      <c r="T66" s="31">
        <f>'[1]功能-行军令'!Q66</f>
        <v>4189.8429073612688</v>
      </c>
      <c r="U66" s="31">
        <f>'[1]功能-行军令'!R66</f>
        <v>2338.1070192541943</v>
      </c>
      <c r="V66" s="31">
        <f>'[1]功能-行军令'!S66</f>
        <v>242.7211957761624</v>
      </c>
      <c r="W66" s="31">
        <f>'[1]功能-行军令'!T66</f>
        <v>310.01647292750204</v>
      </c>
      <c r="X66" s="31">
        <f>'[1]功能-行军令'!U66</f>
        <v>343.18555438296426</v>
      </c>
      <c r="Y66" s="31">
        <f>'[1]功能-行军令'!V66</f>
        <v>291.65722101156689</v>
      </c>
      <c r="Z66" s="31">
        <f>'[1]功能-行军令'!W66</f>
        <v>162.3233625504804</v>
      </c>
      <c r="AC66" s="54">
        <v>63</v>
      </c>
      <c r="AD66" s="54">
        <f>'[1]功能-实力'!BE67</f>
        <v>2767536</v>
      </c>
      <c r="AE66" s="54">
        <f>'[1]功能-实力'!BF67</f>
        <v>2890626</v>
      </c>
      <c r="AF66" s="54">
        <f>'[1]功能-实力'!BG67</f>
        <v>3133638</v>
      </c>
      <c r="AG66" s="54">
        <f>'[1]功能-实力'!BH67</f>
        <v>3628050</v>
      </c>
      <c r="AH66" s="54">
        <f>'[1]功能-实力'!BI67</f>
        <v>3781260</v>
      </c>
    </row>
    <row r="67" spans="2:34" x14ac:dyDescent="0.15">
      <c r="B67" s="25">
        <v>64</v>
      </c>
      <c r="C67" s="26">
        <f>'[1]资源-钻石'!L67</f>
        <v>508529.5822516816</v>
      </c>
      <c r="D67" s="26">
        <f>'[1]资源-钻石'!M67</f>
        <v>612338.12154204759</v>
      </c>
      <c r="E67" s="26">
        <f>'[1]资源-钻石'!N67</f>
        <v>828062.20064433571</v>
      </c>
      <c r="F67" s="26">
        <f>'[1]资源-钻石'!O67</f>
        <v>1585716.4081741928</v>
      </c>
      <c r="G67" s="26">
        <f>'[1]资源-钻石'!P67</f>
        <v>2164747.8093606317</v>
      </c>
      <c r="I67" s="25">
        <v>64</v>
      </c>
      <c r="J67" s="26">
        <f>'[1]资源-钻石'!T67</f>
        <v>394597.93259883113</v>
      </c>
      <c r="K67" s="26">
        <f>'[1]资源-钻石'!U67</f>
        <v>544097.72585871432</v>
      </c>
      <c r="L67" s="26">
        <f>'[1]资源-钻石'!V67</f>
        <v>890113.49844458583</v>
      </c>
      <c r="M67" s="26">
        <f>'[1]资源-钻石'!W67</f>
        <v>2290434.8482890446</v>
      </c>
      <c r="N67" s="26">
        <f>'[1]资源-钻石'!X67</f>
        <v>5391980.8331179479</v>
      </c>
      <c r="P67" s="31">
        <v>64</v>
      </c>
      <c r="Q67" s="31">
        <f>'[1]功能-行军令'!N67</f>
        <v>3838.631289315399</v>
      </c>
      <c r="R67" s="31">
        <f>'[1]功能-行军令'!O67</f>
        <v>4850.7949118015804</v>
      </c>
      <c r="S67" s="31">
        <f>'[1]功能-行军令'!P67</f>
        <v>5402.2393310636253</v>
      </c>
      <c r="T67" s="31">
        <f>'[1]功能-行军令'!Q67</f>
        <v>4503.0232618402342</v>
      </c>
      <c r="U67" s="31">
        <f>'[1]功能-行军令'!R67</f>
        <v>2507.2187163176109</v>
      </c>
      <c r="V67" s="31">
        <f>'[1]功能-行军令'!S67</f>
        <v>260.14213642796676</v>
      </c>
      <c r="W67" s="31">
        <f>'[1]功能-行军令'!T67</f>
        <v>330.29960671351364</v>
      </c>
      <c r="X67" s="31">
        <f>'[1]功能-行军令'!U67</f>
        <v>371.77042506787166</v>
      </c>
      <c r="Y67" s="31">
        <f>'[1]功能-行军令'!V67</f>
        <v>313.18035447896546</v>
      </c>
      <c r="Z67" s="31">
        <f>'[1]功能-行军令'!W67</f>
        <v>169.11169706341661</v>
      </c>
      <c r="AC67" s="54">
        <v>64</v>
      </c>
      <c r="AD67" s="54">
        <f>'[1]功能-实力'!BE68</f>
        <v>2900808</v>
      </c>
      <c r="AE67" s="54">
        <f>'[1]功能-实力'!BF68</f>
        <v>3029976</v>
      </c>
      <c r="AF67" s="54">
        <f>'[1]功能-实力'!BG68</f>
        <v>3285312</v>
      </c>
      <c r="AG67" s="54">
        <f>'[1]功能-实力'!BH68</f>
        <v>3794016</v>
      </c>
      <c r="AH67" s="54">
        <f>'[1]功能-实力'!BI68</f>
        <v>3928446</v>
      </c>
    </row>
    <row r="68" spans="2:34" x14ac:dyDescent="0.15">
      <c r="B68" s="25">
        <v>65</v>
      </c>
      <c r="C68" s="26">
        <f>'[1]资源-钻石'!L68</f>
        <v>544036.58424404729</v>
      </c>
      <c r="D68" s="26">
        <f>'[1]资源-钻石'!M68</f>
        <v>654986.42227535218</v>
      </c>
      <c r="E68" s="26">
        <f>'[1]资源-钻石'!N68</f>
        <v>887469.18875435716</v>
      </c>
      <c r="F68" s="26">
        <f>'[1]资源-钻石'!O68</f>
        <v>1697298.0887252693</v>
      </c>
      <c r="G68" s="26">
        <f>'[1]资源-钻石'!P68</f>
        <v>2292203.7646968644</v>
      </c>
      <c r="I68" s="25">
        <v>65</v>
      </c>
      <c r="J68" s="26">
        <f>'[1]资源-钻石'!T68</f>
        <v>400456.05085002893</v>
      </c>
      <c r="K68" s="26">
        <f>'[1]资源-钻石'!U68</f>
        <v>552221.65593503183</v>
      </c>
      <c r="L68" s="26">
        <f>'[1]资源-钻石'!V68</f>
        <v>903501.8215285351</v>
      </c>
      <c r="M68" s="26">
        <f>'[1]资源-钻石'!W68</f>
        <v>2325182.0036813887</v>
      </c>
      <c r="N68" s="26">
        <f>'[1]资源-钻石'!X68</f>
        <v>5474057.7040495267</v>
      </c>
      <c r="P68" s="31">
        <v>65</v>
      </c>
      <c r="Q68" s="31">
        <f>'[1]功能-行军令'!N68</f>
        <v>4117.4447276263909</v>
      </c>
      <c r="R68" s="31">
        <f>'[1]功能-行军令'!O68</f>
        <v>5202.5256778579324</v>
      </c>
      <c r="S68" s="31">
        <f>'[1]功能-行军令'!P68</f>
        <v>5806.0267123595722</v>
      </c>
      <c r="T68" s="31">
        <f>'[1]功能-行军令'!Q68</f>
        <v>4833.7816495985917</v>
      </c>
      <c r="U68" s="31">
        <f>'[1]功能-行军令'!R68</f>
        <v>2677.3415812386629</v>
      </c>
      <c r="V68" s="31">
        <f>'[1]功能-行军令'!S68</f>
        <v>278.81343831099184</v>
      </c>
      <c r="W68" s="31">
        <f>'[1]功能-行军令'!T68</f>
        <v>351.73076605635197</v>
      </c>
      <c r="X68" s="31">
        <f>'[1]功能-行军令'!U68</f>
        <v>403.78738129594694</v>
      </c>
      <c r="Y68" s="31">
        <f>'[1]功能-行军令'!V68</f>
        <v>330.75838775835746</v>
      </c>
      <c r="Z68" s="31">
        <f>'[1]功能-行军令'!W68</f>
        <v>170.12286492105204</v>
      </c>
      <c r="AC68" s="54">
        <v>65</v>
      </c>
      <c r="AD68" s="54">
        <f>'[1]功能-实力'!BE69</f>
        <v>3038784</v>
      </c>
      <c r="AE68" s="54">
        <f>'[1]功能-实力'!BF69</f>
        <v>3173010</v>
      </c>
      <c r="AF68" s="54">
        <f>'[1]功能-实力'!BG69</f>
        <v>3441180</v>
      </c>
      <c r="AG68" s="54">
        <f>'[1]功能-实力'!BH69</f>
        <v>3953730</v>
      </c>
      <c r="AH68" s="54">
        <f>'[1]功能-实力'!BI69</f>
        <v>4069116</v>
      </c>
    </row>
    <row r="69" spans="2:34" x14ac:dyDescent="0.15">
      <c r="B69" s="25">
        <v>66</v>
      </c>
      <c r="C69" s="26">
        <f>'[1]资源-钻石'!L69</f>
        <v>572684.23968400666</v>
      </c>
      <c r="D69" s="26">
        <f>'[1]资源-钻石'!M69</f>
        <v>701314.35937065713</v>
      </c>
      <c r="E69" s="26">
        <f>'[1]资源-钻石'!N69</f>
        <v>950234.8437858586</v>
      </c>
      <c r="F69" s="26">
        <f>'[1]资源-钻石'!O69</f>
        <v>1809640.6128965993</v>
      </c>
      <c r="G69" s="26">
        <f>'[1]资源-钻石'!P69</f>
        <v>2435557.327658507</v>
      </c>
      <c r="I69" s="25">
        <v>66</v>
      </c>
      <c r="J69" s="26">
        <f>'[1]资源-钻石'!T69</f>
        <v>406314.16910122667</v>
      </c>
      <c r="K69" s="26">
        <f>'[1]资源-钻石'!U69</f>
        <v>560345.58601134946</v>
      </c>
      <c r="L69" s="26">
        <f>'[1]资源-钻石'!V69</f>
        <v>916890.14461248438</v>
      </c>
      <c r="M69" s="26">
        <f>'[1]资源-钻石'!W69</f>
        <v>2359929.1590737328</v>
      </c>
      <c r="N69" s="26">
        <f>'[1]资源-钻石'!X69</f>
        <v>5556134.5749811055</v>
      </c>
      <c r="P69" s="31">
        <v>66</v>
      </c>
      <c r="Q69" s="31">
        <f>'[1]功能-行军令'!N69</f>
        <v>4416.2695718066107</v>
      </c>
      <c r="R69" s="31">
        <f>'[1]功能-行军令'!O69</f>
        <v>5584.6032876140744</v>
      </c>
      <c r="S69" s="31">
        <f>'[1]功能-行军令'!P69</f>
        <v>6232.6428443465666</v>
      </c>
      <c r="T69" s="31">
        <f>'[1]功能-行军令'!Q69</f>
        <v>5166.7953843630921</v>
      </c>
      <c r="U69" s="31">
        <f>'[1]功能-行军令'!R69</f>
        <v>2868.6839062272406</v>
      </c>
      <c r="V69" s="31">
        <f>'[1]功能-行军令'!S69</f>
        <v>298.82484418021977</v>
      </c>
      <c r="W69" s="31">
        <f>'[1]功能-行军令'!T69</f>
        <v>382.07760975614201</v>
      </c>
      <c r="X69" s="31">
        <f>'[1]功能-行军令'!U69</f>
        <v>426.61613198699433</v>
      </c>
      <c r="Y69" s="31">
        <f>'[1]功能-行军令'!V69</f>
        <v>333.01373476450044</v>
      </c>
      <c r="Z69" s="31">
        <f>'[1]功能-行军令'!W69</f>
        <v>191.34232498857773</v>
      </c>
      <c r="AC69" s="54">
        <v>66</v>
      </c>
      <c r="AD69" s="54">
        <f>'[1]功能-实力'!BE70</f>
        <v>3167616</v>
      </c>
      <c r="AE69" s="54">
        <f>'[1]功能-实力'!BF70</f>
        <v>3317568</v>
      </c>
      <c r="AF69" s="54">
        <f>'[1]功能-实力'!BG70</f>
        <v>3599922</v>
      </c>
      <c r="AG69" s="54">
        <f>'[1]功能-实力'!BH70</f>
        <v>4105836</v>
      </c>
      <c r="AH69" s="54">
        <f>'[1]功能-实力'!BI70</f>
        <v>4217226</v>
      </c>
    </row>
    <row r="70" spans="2:34" x14ac:dyDescent="0.15">
      <c r="B70" s="25">
        <v>67</v>
      </c>
      <c r="C70" s="26">
        <f>'[1]资源-钻石'!L70</f>
        <v>602564.83453947073</v>
      </c>
      <c r="D70" s="26">
        <f>'[1]资源-钻石'!M70</f>
        <v>751007.41478110664</v>
      </c>
      <c r="E70" s="26">
        <f>'[1]资源-钻石'!N70</f>
        <v>1014529.052545341</v>
      </c>
      <c r="F70" s="26">
        <f>'[1]资源-钻石'!O70</f>
        <v>1929964.1801532884</v>
      </c>
      <c r="G70" s="26">
        <f>'[1]资源-钻石'!P70</f>
        <v>2585858.7036889624</v>
      </c>
      <c r="I70" s="25">
        <v>67</v>
      </c>
      <c r="J70" s="26">
        <f>'[1]资源-钻石'!T70</f>
        <v>412172.28735242446</v>
      </c>
      <c r="K70" s="26">
        <f>'[1]资源-钻石'!U70</f>
        <v>568469.51608766697</v>
      </c>
      <c r="L70" s="26">
        <f>'[1]资源-钻石'!V70</f>
        <v>930278.46769643365</v>
      </c>
      <c r="M70" s="26">
        <f>'[1]资源-钻石'!W70</f>
        <v>2394676.3144660769</v>
      </c>
      <c r="N70" s="26">
        <f>'[1]资源-钻石'!X70</f>
        <v>5638211.4459126843</v>
      </c>
      <c r="P70" s="31">
        <v>67</v>
      </c>
      <c r="Q70" s="31">
        <f>'[1]功能-行军令'!N70</f>
        <v>4736.5421097455128</v>
      </c>
      <c r="R70" s="31">
        <f>'[1]功能-行军令'!O70</f>
        <v>5994.4338352951672</v>
      </c>
      <c r="S70" s="31">
        <f>'[1]功能-行军令'!P70</f>
        <v>6669.648506700737</v>
      </c>
      <c r="T70" s="31">
        <f>'[1]功能-行军令'!Q70</f>
        <v>5523.467097126364</v>
      </c>
      <c r="U70" s="31">
        <f>'[1]功能-行军令'!R70</f>
        <v>3069.2998807764393</v>
      </c>
      <c r="V70" s="31">
        <f>'[1]功能-行军令'!S70</f>
        <v>320.27253793890213</v>
      </c>
      <c r="W70" s="31">
        <f>'[1]功能-行军令'!T70</f>
        <v>409.83054768109287</v>
      </c>
      <c r="X70" s="31">
        <f>'[1]功能-行军令'!U70</f>
        <v>437.00566235417045</v>
      </c>
      <c r="Y70" s="31">
        <f>'[1]功能-行军令'!V70</f>
        <v>356.6717127632719</v>
      </c>
      <c r="Z70" s="31">
        <f>'[1]功能-行军令'!W70</f>
        <v>200.61597454919865</v>
      </c>
      <c r="AC70" s="54">
        <v>67</v>
      </c>
      <c r="AD70" s="54">
        <f>'[1]功能-实力'!BE71</f>
        <v>3299526</v>
      </c>
      <c r="AE70" s="54">
        <f>'[1]功能-实力'!BF71</f>
        <v>3467436</v>
      </c>
      <c r="AF70" s="54">
        <f>'[1]功能-实力'!BG71</f>
        <v>3758724</v>
      </c>
      <c r="AG70" s="54">
        <f>'[1]功能-实力'!BH71</f>
        <v>4264056</v>
      </c>
      <c r="AH70" s="54">
        <f>'[1]功能-实力'!BI71</f>
        <v>4374492</v>
      </c>
    </row>
    <row r="71" spans="2:34" x14ac:dyDescent="0.15">
      <c r="B71" s="25">
        <v>68</v>
      </c>
      <c r="C71" s="26">
        <f>'[1]资源-钻石'!L71</f>
        <v>634590.06315035571</v>
      </c>
      <c r="D71" s="26">
        <f>'[1]资源-钻石'!M71</f>
        <v>792646.86298318685</v>
      </c>
      <c r="E71" s="26">
        <f>'[1]资源-钻石'!N71</f>
        <v>1080910.9262549621</v>
      </c>
      <c r="F71" s="26">
        <f>'[1]资源-钻石'!O71</f>
        <v>2061548.4712724863</v>
      </c>
      <c r="G71" s="26">
        <f>'[1]资源-钻石'!P71</f>
        <v>2753963.8177186493</v>
      </c>
      <c r="I71" s="25">
        <v>68</v>
      </c>
      <c r="J71" s="26">
        <f>'[1]资源-钻石'!T71</f>
        <v>418030.4056036222</v>
      </c>
      <c r="K71" s="26">
        <f>'[1]资源-钻石'!U71</f>
        <v>576593.44616398448</v>
      </c>
      <c r="L71" s="26">
        <f>'[1]资源-钻石'!V71</f>
        <v>943666.79078038293</v>
      </c>
      <c r="M71" s="26">
        <f>'[1]资源-钻石'!W71</f>
        <v>2429423.4698584215</v>
      </c>
      <c r="N71" s="26">
        <f>'[1]资源-钻石'!X71</f>
        <v>5720288.3168442622</v>
      </c>
      <c r="P71" s="31">
        <v>68</v>
      </c>
      <c r="Q71" s="31">
        <f>'[1]功能-行军令'!N71</f>
        <v>5079.8017166875779</v>
      </c>
      <c r="R71" s="31">
        <f>'[1]功能-行军令'!O71</f>
        <v>6420.7147672321553</v>
      </c>
      <c r="S71" s="31">
        <f>'[1]功能-行军令'!P71</f>
        <v>7120.8439603582265</v>
      </c>
      <c r="T71" s="31">
        <f>'[1]功能-行军令'!Q71</f>
        <v>5913.5186519153212</v>
      </c>
      <c r="U71" s="31">
        <f>'[1]功能-行军令'!R71</f>
        <v>3281.4966937441241</v>
      </c>
      <c r="V71" s="31">
        <f>'[1]功能-行军令'!S71</f>
        <v>343.25960694206515</v>
      </c>
      <c r="W71" s="31">
        <f>'[1]功能-行军令'!T71</f>
        <v>426.28093193698805</v>
      </c>
      <c r="X71" s="31">
        <f>'[1]功能-行军令'!U71</f>
        <v>451.19545365748945</v>
      </c>
      <c r="Y71" s="31">
        <f>'[1]功能-行军令'!V71</f>
        <v>390.05155478895722</v>
      </c>
      <c r="Z71" s="31">
        <f>'[1]功能-行军令'!W71</f>
        <v>212.19681296768476</v>
      </c>
      <c r="AC71" s="54">
        <v>68</v>
      </c>
      <c r="AD71" s="54">
        <f>'[1]功能-实力'!BE72</f>
        <v>3435786</v>
      </c>
      <c r="AE71" s="54">
        <f>'[1]功能-实力'!BF72</f>
        <v>3620568</v>
      </c>
      <c r="AF71" s="54">
        <f>'[1]功能-实力'!BG72</f>
        <v>3921732</v>
      </c>
      <c r="AG71" s="54">
        <f>'[1]功能-实力'!BH72</f>
        <v>4436562</v>
      </c>
      <c r="AH71" s="54">
        <f>'[1]功能-实力'!BI72</f>
        <v>4536336</v>
      </c>
    </row>
    <row r="72" spans="2:34" x14ac:dyDescent="0.15">
      <c r="B72" s="25">
        <v>69</v>
      </c>
      <c r="C72" s="26">
        <f>'[1]资源-钻石'!L72</f>
        <v>668913.8533071602</v>
      </c>
      <c r="D72" s="26">
        <f>'[1]资源-钻石'!M72</f>
        <v>835403.92907126981</v>
      </c>
      <c r="E72" s="26">
        <f>'[1]资源-钻石'!N72</f>
        <v>1156468.2031482621</v>
      </c>
      <c r="F72" s="26">
        <f>'[1]资源-钻石'!O72</f>
        <v>2204793.6951868013</v>
      </c>
      <c r="G72" s="26">
        <f>'[1]资源-钻石'!P72</f>
        <v>2934595.7808035673</v>
      </c>
      <c r="I72" s="25">
        <v>69</v>
      </c>
      <c r="J72" s="26">
        <f>'[1]资源-钻石'!T72</f>
        <v>423888.52385481994</v>
      </c>
      <c r="K72" s="26">
        <f>'[1]资源-钻石'!U72</f>
        <v>584717.37624030199</v>
      </c>
      <c r="L72" s="26">
        <f>'[1]资源-钻石'!V72</f>
        <v>957055.1138643322</v>
      </c>
      <c r="M72" s="26">
        <f>'[1]资源-钻石'!W72</f>
        <v>2464170.6252507656</v>
      </c>
      <c r="N72" s="26">
        <f>'[1]资源-钻石'!X72</f>
        <v>5802365.187775841</v>
      </c>
      <c r="P72" s="31">
        <v>69</v>
      </c>
      <c r="Q72" s="31">
        <f>'[1]功能-行军令'!N72</f>
        <v>5447.6982541687212</v>
      </c>
      <c r="R72" s="31">
        <f>'[1]功能-行军令'!O72</f>
        <v>6868.2684736992569</v>
      </c>
      <c r="S72" s="31">
        <f>'[1]功能-行军令'!P72</f>
        <v>7634.4043333920454</v>
      </c>
      <c r="T72" s="31">
        <f>'[1]功能-行军令'!Q72</f>
        <v>6338.1363766348895</v>
      </c>
      <c r="U72" s="31">
        <f>'[1]功能-行军令'!R72</f>
        <v>3508.175561817156</v>
      </c>
      <c r="V72" s="31">
        <f>'[1]功能-行军令'!S72</f>
        <v>367.89653748114324</v>
      </c>
      <c r="W72" s="31">
        <f>'[1]功能-行军令'!T72</f>
        <v>447.55370646710162</v>
      </c>
      <c r="X72" s="31">
        <f>'[1]功能-行军令'!U72</f>
        <v>513.56037303381891</v>
      </c>
      <c r="Y72" s="31">
        <f>'[1]功能-行军令'!V72</f>
        <v>424.61772471956829</v>
      </c>
      <c r="Z72" s="31">
        <f>'[1]功能-行军令'!W72</f>
        <v>226.67886807303194</v>
      </c>
      <c r="AC72" s="54">
        <v>69</v>
      </c>
      <c r="AD72" s="54">
        <f>'[1]功能-实力'!BE73</f>
        <v>3573756</v>
      </c>
      <c r="AE72" s="54">
        <f>'[1]功能-实力'!BF73</f>
        <v>3777222</v>
      </c>
      <c r="AF72" s="54">
        <f>'[1]功能-实力'!BG73</f>
        <v>4097454</v>
      </c>
      <c r="AG72" s="54">
        <f>'[1]功能-实力'!BH73</f>
        <v>4612680</v>
      </c>
      <c r="AH72" s="54">
        <f>'[1]功能-实力'!BI73</f>
        <v>4709742</v>
      </c>
    </row>
    <row r="73" spans="2:34" x14ac:dyDescent="0.15">
      <c r="B73" s="25">
        <v>70</v>
      </c>
      <c r="C73" s="26">
        <f>'[1]资源-钻石'!L73</f>
        <v>705701.18073088769</v>
      </c>
      <c r="D73" s="26">
        <f>'[1]资源-钻石'!M73</f>
        <v>883140.36988398712</v>
      </c>
      <c r="E73" s="26">
        <f>'[1]资源-钻石'!N73</f>
        <v>1239433.8960178369</v>
      </c>
      <c r="F73" s="26">
        <f>'[1]资源-钻石'!O73</f>
        <v>2357347.4454280818</v>
      </c>
      <c r="G73" s="26">
        <f>'[1]资源-钻石'!P73</f>
        <v>3134850.4671253497</v>
      </c>
      <c r="I73" s="25">
        <v>70</v>
      </c>
      <c r="J73" s="26">
        <f>'[1]资源-钻石'!T73</f>
        <v>429746.64210601768</v>
      </c>
      <c r="K73" s="26">
        <f>'[1]资源-钻石'!U73</f>
        <v>592841.30631661951</v>
      </c>
      <c r="L73" s="26">
        <f>'[1]资源-钻石'!V73</f>
        <v>970443.43694828148</v>
      </c>
      <c r="M73" s="26">
        <f>'[1]资源-钻石'!W73</f>
        <v>2498917.7806431102</v>
      </c>
      <c r="N73" s="26">
        <f>'[1]资源-钻石'!X73</f>
        <v>5884442.0587074198</v>
      </c>
      <c r="P73" s="31">
        <v>70</v>
      </c>
      <c r="Q73" s="31">
        <f>'[1]功能-行军令'!N73</f>
        <v>5842</v>
      </c>
      <c r="R73" s="31">
        <f>'[1]功能-行军令'!O73</f>
        <v>7367.9431000000004</v>
      </c>
      <c r="S73" s="31">
        <f>'[1]功能-行军令'!P73</f>
        <v>8199.691499999999</v>
      </c>
      <c r="T73" s="31">
        <f>'[1]功能-行军令'!Q73</f>
        <v>6790.3471000000009</v>
      </c>
      <c r="U73" s="31">
        <f>'[1]功能-行军令'!R73</f>
        <v>3759.4794000000002</v>
      </c>
      <c r="V73" s="31">
        <f>'[1]功能-行军令'!S73</f>
        <v>394.30174583127882</v>
      </c>
      <c r="W73" s="31">
        <f>'[1]功能-行军令'!T73</f>
        <v>499.67462630074351</v>
      </c>
      <c r="X73" s="31">
        <f>'[1]功能-行军令'!U73</f>
        <v>565.28716660795362</v>
      </c>
      <c r="Y73" s="31">
        <f>'[1]功能-行军令'!V73</f>
        <v>452.21072336511133</v>
      </c>
      <c r="Z73" s="31">
        <f>'[1]功能-行军令'!W73</f>
        <v>251.30383818284417</v>
      </c>
      <c r="AC73" s="54">
        <v>70</v>
      </c>
      <c r="AD73" s="54">
        <f>'[1]功能-实力'!BE74</f>
        <v>3715752</v>
      </c>
      <c r="AE73" s="54">
        <f>'[1]功能-实力'!BF74</f>
        <v>3939432</v>
      </c>
      <c r="AF73" s="54">
        <f>'[1]功能-实力'!BG74</f>
        <v>4278366</v>
      </c>
      <c r="AG73" s="54">
        <f>'[1]功能-实力'!BH74</f>
        <v>4787340</v>
      </c>
      <c r="AH73" s="54">
        <f>'[1]功能-实力'!BI74</f>
        <v>4898478</v>
      </c>
    </row>
    <row r="74" spans="2:34" x14ac:dyDescent="0.15">
      <c r="B74" s="25">
        <v>71</v>
      </c>
      <c r="C74" s="26">
        <f>'[1]资源-钻石'!L74</f>
        <v>745128.8620212723</v>
      </c>
      <c r="D74" s="26">
        <f>'[1]资源-钻石'!M74</f>
        <v>934756.65573182644</v>
      </c>
      <c r="E74" s="26">
        <f>'[1]资源-钻石'!N74</f>
        <v>1313877.3331005189</v>
      </c>
      <c r="F74" s="26">
        <f>'[1]资源-钻石'!O74</f>
        <v>2520216.4373749988</v>
      </c>
      <c r="G74" s="26">
        <f>'[1]资源-钻石'!P74</f>
        <v>3350443.9196985234</v>
      </c>
      <c r="I74" s="25">
        <v>71</v>
      </c>
      <c r="J74" s="26">
        <f>'[1]资源-钻石'!T74</f>
        <v>435604.76035721548</v>
      </c>
      <c r="K74" s="26">
        <f>'[1]资源-钻石'!U74</f>
        <v>600965.23639293702</v>
      </c>
      <c r="L74" s="26">
        <f>'[1]资源-钻石'!V74</f>
        <v>983831.76003223076</v>
      </c>
      <c r="M74" s="26">
        <f>'[1]资源-钻石'!W74</f>
        <v>2533664.9360354543</v>
      </c>
      <c r="N74" s="26">
        <f>'[1]资源-钻石'!X74</f>
        <v>5966518.9296389986</v>
      </c>
      <c r="P74" s="31">
        <v>71</v>
      </c>
      <c r="Q74" s="31">
        <f>'[1]功能-行军令'!N74</f>
        <v>6264.6021474136924</v>
      </c>
      <c r="R74" s="31">
        <f>'[1]功能-行军令'!O74</f>
        <v>7908.2294703902389</v>
      </c>
      <c r="S74" s="31">
        <f>'[1]功能-行军令'!P74</f>
        <v>8789.1278632188478</v>
      </c>
      <c r="T74" s="31">
        <f>'[1]功能-行军令'!Q74</f>
        <v>7273.1349996456938</v>
      </c>
      <c r="U74" s="31">
        <f>'[1]功能-行军令'!R74</f>
        <v>4030.0321801315486</v>
      </c>
      <c r="V74" s="31">
        <f>'[1]功能-行军令'!S74</f>
        <v>422.60214741369236</v>
      </c>
      <c r="W74" s="31">
        <f>'[1]功能-行军令'!T74</f>
        <v>540.28637039023852</v>
      </c>
      <c r="X74" s="31">
        <f>'[1]功能-行军令'!U74</f>
        <v>589.43636321884878</v>
      </c>
      <c r="Y74" s="31">
        <f>'[1]功能-行军令'!V74</f>
        <v>482.78789964569296</v>
      </c>
      <c r="Z74" s="31">
        <f>'[1]功能-行军令'!W74</f>
        <v>270.55278013154839</v>
      </c>
      <c r="AC74" s="54">
        <v>71</v>
      </c>
      <c r="AD74" s="54">
        <f>'[1]功能-实力'!BE75</f>
        <v>3874986</v>
      </c>
      <c r="AE74" s="54">
        <f>'[1]功能-实力'!BF75</f>
        <v>4119492</v>
      </c>
      <c r="AF74" s="54">
        <f>'[1]功能-实力'!BG75</f>
        <v>4473672</v>
      </c>
      <c r="AG74" s="54">
        <f>'[1]功能-实力'!BH75</f>
        <v>4977528</v>
      </c>
      <c r="AH74" s="54">
        <f>'[1]功能-实力'!BI75</f>
        <v>5102376</v>
      </c>
    </row>
    <row r="75" spans="2:34" x14ac:dyDescent="0.15">
      <c r="B75" s="25">
        <v>72</v>
      </c>
      <c r="C75" s="26">
        <f>'[1]资源-钻石'!L75</f>
        <v>787386.40451764525</v>
      </c>
      <c r="D75" s="26">
        <f>'[1]资源-钻石'!M75</f>
        <v>989474.09253612394</v>
      </c>
      <c r="E75" s="26">
        <f>'[1]资源-钻石'!N75</f>
        <v>1391279.9440066579</v>
      </c>
      <c r="F75" s="26">
        <f>'[1]资源-钻石'!O75</f>
        <v>2693046.0506494138</v>
      </c>
      <c r="G75" s="26">
        <f>'[1]资源-钻石'!P75</f>
        <v>3577834.0666146707</v>
      </c>
      <c r="I75" s="25">
        <v>72</v>
      </c>
      <c r="J75" s="26">
        <f>'[1]资源-钻石'!T75</f>
        <v>441462.87860841322</v>
      </c>
      <c r="K75" s="26">
        <f>'[1]资源-钻石'!U75</f>
        <v>609089.16646925453</v>
      </c>
      <c r="L75" s="26">
        <f>'[1]资源-钻石'!V75</f>
        <v>997220.08311618003</v>
      </c>
      <c r="M75" s="26">
        <f>'[1]资源-钻石'!W75</f>
        <v>2568412.0914277984</v>
      </c>
      <c r="N75" s="26">
        <f>'[1]资源-钻石'!X75</f>
        <v>6048595.8005705774</v>
      </c>
      <c r="P75" s="31">
        <v>72</v>
      </c>
      <c r="Q75" s="31">
        <f>'[1]功能-行军令'!N75</f>
        <v>6717.5359142225398</v>
      </c>
      <c r="R75" s="31">
        <f>'[1]功能-行军令'!O75</f>
        <v>8480.9767117396204</v>
      </c>
      <c r="S75" s="31">
        <f>'[1]功能-行军令'!P75</f>
        <v>9401.9946955963624</v>
      </c>
      <c r="T75" s="31">
        <f>'[1]功能-行军令'!Q75</f>
        <v>7785.4488845165961</v>
      </c>
      <c r="U75" s="31">
        <f>'[1]功能-行军令'!R75</f>
        <v>4315.3888813133908</v>
      </c>
      <c r="V75" s="31">
        <f>'[1]功能-行军令'!S75</f>
        <v>452.93376680884739</v>
      </c>
      <c r="W75" s="31">
        <f>'[1]功能-行军令'!T75</f>
        <v>572.74724134938151</v>
      </c>
      <c r="X75" s="31">
        <f>'[1]功能-行军令'!U75</f>
        <v>612.86683237751458</v>
      </c>
      <c r="Y75" s="31">
        <f>'[1]功能-行军令'!V75</f>
        <v>512.31388487090226</v>
      </c>
      <c r="Z75" s="31">
        <f>'[1]功能-行军令'!W75</f>
        <v>285.35670118184225</v>
      </c>
      <c r="AC75" s="54">
        <v>72</v>
      </c>
      <c r="AD75" s="54">
        <f>'[1]功能-实力'!BE76</f>
        <v>4044954</v>
      </c>
      <c r="AE75" s="54">
        <f>'[1]功能-实力'!BF76</f>
        <v>4296654</v>
      </c>
      <c r="AF75" s="54">
        <f>'[1]功能-实力'!BG76</f>
        <v>4674870</v>
      </c>
      <c r="AG75" s="54">
        <f>'[1]功能-实力'!BH76</f>
        <v>5176164</v>
      </c>
      <c r="AH75" s="54">
        <f>'[1]功能-实力'!BI76</f>
        <v>5321994</v>
      </c>
    </row>
    <row r="76" spans="2:34" x14ac:dyDescent="0.15">
      <c r="B76" s="25">
        <v>73</v>
      </c>
      <c r="C76" s="26">
        <f>'[1]资源-钻石'!L76</f>
        <v>832676.91715725767</v>
      </c>
      <c r="D76" s="26">
        <f>'[1]资源-钻石'!M76</f>
        <v>1046020.7887191698</v>
      </c>
      <c r="E76" s="26">
        <f>'[1]资源-钻石'!N76</f>
        <v>1474750.2749682036</v>
      </c>
      <c r="F76" s="26">
        <f>'[1]资源-钻石'!O76</f>
        <v>2879580.2585997824</v>
      </c>
      <c r="G76" s="26">
        <f>'[1]资源-钻石'!P76</f>
        <v>3822481.1821944024</v>
      </c>
      <c r="I76" s="25">
        <v>73</v>
      </c>
      <c r="J76" s="26">
        <f>'[1]资源-钻石'!T76</f>
        <v>447320.99685961095</v>
      </c>
      <c r="K76" s="26">
        <f>'[1]资源-钻石'!U76</f>
        <v>617213.09654557204</v>
      </c>
      <c r="L76" s="26">
        <f>'[1]资源-钻石'!V76</f>
        <v>1010608.4062001293</v>
      </c>
      <c r="M76" s="26">
        <f>'[1]资源-钻石'!W76</f>
        <v>2603159.246820143</v>
      </c>
      <c r="N76" s="26">
        <f>'[1]资源-钻石'!X76</f>
        <v>6130672.6715021562</v>
      </c>
      <c r="P76" s="31">
        <v>73</v>
      </c>
      <c r="Q76" s="31">
        <f>'[1]功能-行军令'!N76</f>
        <v>7202.9783057748664</v>
      </c>
      <c r="R76" s="31">
        <f>'[1]功能-行军令'!O76</f>
        <v>9072.871473954021</v>
      </c>
      <c r="S76" s="31">
        <f>'[1]功能-行军令'!P76</f>
        <v>10062.905183434286</v>
      </c>
      <c r="T76" s="31">
        <f>'[1]功能-行军令'!Q76</f>
        <v>8338.3869078438565</v>
      </c>
      <c r="U76" s="31">
        <f>'[1]功能-行军令'!R76</f>
        <v>4622.4017171915848</v>
      </c>
      <c r="V76" s="31">
        <f>'[1]功能-行军令'!S76</f>
        <v>485.44239155232663</v>
      </c>
      <c r="W76" s="31">
        <f>'[1]功能-行军令'!T76</f>
        <v>591.89476221440054</v>
      </c>
      <c r="X76" s="31">
        <f>'[1]功能-行军令'!U76</f>
        <v>660.91048783792394</v>
      </c>
      <c r="Y76" s="31">
        <f>'[1]功能-行军令'!V76</f>
        <v>552.93802332726045</v>
      </c>
      <c r="Z76" s="31">
        <f>'[1]功能-行军令'!W76</f>
        <v>307.01283587819398</v>
      </c>
      <c r="AC76" s="54">
        <v>73</v>
      </c>
      <c r="AD76" s="54">
        <f>'[1]功能-实力'!BE77</f>
        <v>4223772</v>
      </c>
      <c r="AE76" s="54">
        <f>'[1]功能-实力'!BF77</f>
        <v>4482462</v>
      </c>
      <c r="AF76" s="54">
        <f>'[1]功能-实力'!BG77</f>
        <v>4885290</v>
      </c>
      <c r="AG76" s="54">
        <f>'[1]功能-实力'!BH77</f>
        <v>5425836</v>
      </c>
      <c r="AH76" s="54">
        <f>'[1]功能-实力'!BI77</f>
        <v>5573484</v>
      </c>
    </row>
    <row r="77" spans="2:34" x14ac:dyDescent="0.15">
      <c r="B77" s="25">
        <v>74</v>
      </c>
      <c r="C77" s="26">
        <f>'[1]资源-钻石'!L77</f>
        <v>881218.08670905861</v>
      </c>
      <c r="D77" s="26">
        <f>'[1]资源-钻石'!M77</f>
        <v>1108414.7542992765</v>
      </c>
      <c r="E77" s="26">
        <f>'[1]资源-钻石'!N77</f>
        <v>1568093.7209975771</v>
      </c>
      <c r="F77" s="26">
        <f>'[1]资源-钻石'!O77</f>
        <v>3085099.3145704819</v>
      </c>
      <c r="G77" s="26">
        <f>'[1]资源-钻石'!P77</f>
        <v>4092675.4781192434</v>
      </c>
      <c r="I77" s="25">
        <v>74</v>
      </c>
      <c r="J77" s="26">
        <f>'[1]资源-钻石'!T77</f>
        <v>453179.11511080869</v>
      </c>
      <c r="K77" s="26">
        <f>'[1]资源-钻石'!U77</f>
        <v>625337.02662188956</v>
      </c>
      <c r="L77" s="26">
        <f>'[1]资源-钻石'!V77</f>
        <v>1023996.7292840786</v>
      </c>
      <c r="M77" s="26">
        <f>'[1]资源-钻石'!W77</f>
        <v>2637906.4022124871</v>
      </c>
      <c r="N77" s="26">
        <f>'[1]资源-钻石'!X77</f>
        <v>6212749.5424337341</v>
      </c>
      <c r="P77" s="31">
        <v>74</v>
      </c>
      <c r="Q77" s="31">
        <f>'[1]功能-行军令'!N77</f>
        <v>7723.2625786307999</v>
      </c>
      <c r="R77" s="31">
        <f>'[1]功能-行军令'!O77</f>
        <v>9725.9717240747977</v>
      </c>
      <c r="S77" s="31">
        <f>'[1]功能-行军令'!P77</f>
        <v>10801.990098290646</v>
      </c>
      <c r="T77" s="31">
        <f>'[1]功能-行军令'!Q77</f>
        <v>8947.6011737588742</v>
      </c>
      <c r="U77" s="31">
        <f>'[1]功能-行军令'!R77</f>
        <v>4961.4742496161989</v>
      </c>
      <c r="V77" s="31">
        <f>'[1]功能-行军令'!S77</f>
        <v>520.28427285593352</v>
      </c>
      <c r="W77" s="31">
        <f>'[1]功能-行军令'!T77</f>
        <v>653.10025012077676</v>
      </c>
      <c r="X77" s="31">
        <f>'[1]功能-行军令'!U77</f>
        <v>739.08491485635932</v>
      </c>
      <c r="Y77" s="31">
        <f>'[1]功能-行军令'!V77</f>
        <v>609.21426591501768</v>
      </c>
      <c r="Z77" s="31">
        <f>'[1]功能-行军令'!W77</f>
        <v>339.07253242461411</v>
      </c>
      <c r="AC77" s="54">
        <v>74</v>
      </c>
      <c r="AD77" s="54">
        <f>'[1]功能-实力'!BE78</f>
        <v>4408800</v>
      </c>
      <c r="AE77" s="54">
        <f>'[1]功能-实力'!BF78</f>
        <v>4675662</v>
      </c>
      <c r="AF77" s="54">
        <f>'[1]功能-实力'!BG78</f>
        <v>5100690</v>
      </c>
      <c r="AG77" s="54">
        <f>'[1]功能-实力'!BH78</f>
        <v>5685786</v>
      </c>
      <c r="AH77" s="54">
        <f>'[1]功能-实力'!BI78</f>
        <v>5834946</v>
      </c>
    </row>
    <row r="78" spans="2:34" x14ac:dyDescent="0.15">
      <c r="B78" s="25">
        <v>75</v>
      </c>
      <c r="C78" s="26">
        <f>'[1]资源-钻石'!L78</f>
        <v>933260.41895466845</v>
      </c>
      <c r="D78" s="26">
        <f>'[1]资源-钻石'!M78</f>
        <v>1176193.1615009299</v>
      </c>
      <c r="E78" s="26">
        <f>'[1]资源-钻石'!N78</f>
        <v>1667835.076064324</v>
      </c>
      <c r="F78" s="26">
        <f>'[1]资源-钻石'!O78</f>
        <v>3298837.6822609385</v>
      </c>
      <c r="G78" s="26">
        <f>'[1]资源-钻石'!P78</f>
        <v>4386995.437355997</v>
      </c>
      <c r="I78" s="25">
        <v>75</v>
      </c>
      <c r="J78" s="26">
        <f>'[1]资源-钻石'!T78</f>
        <v>459037.23336200643</v>
      </c>
      <c r="K78" s="26">
        <f>'[1]资源-钻石'!U78</f>
        <v>633460.95669820718</v>
      </c>
      <c r="L78" s="26">
        <f>'[1]资源-钻石'!V78</f>
        <v>1037385.0523680279</v>
      </c>
      <c r="M78" s="26">
        <f>'[1]资源-钻石'!W78</f>
        <v>2672653.5576048312</v>
      </c>
      <c r="N78" s="26">
        <f>'[1]资源-钻石'!X78</f>
        <v>6294826.4133653129</v>
      </c>
      <c r="P78" s="31">
        <v>75</v>
      </c>
      <c r="Q78" s="31">
        <f>'[1]功能-行军令'!N78</f>
        <v>8280.8894552527818</v>
      </c>
      <c r="R78" s="31">
        <f>'[1]功能-行军令'!O78</f>
        <v>10435.432876040768</v>
      </c>
      <c r="S78" s="31">
        <f>'[1]功能-行军令'!P78</f>
        <v>11591.73307493163</v>
      </c>
      <c r="T78" s="31">
        <f>'[1]功能-行军令'!Q78</f>
        <v>9601.0432537560609</v>
      </c>
      <c r="U78" s="31">
        <f>'[1]功能-行军令'!R78</f>
        <v>5330.8225868189775</v>
      </c>
      <c r="V78" s="31">
        <f>'[1]功能-行军令'!S78</f>
        <v>557.62687662198186</v>
      </c>
      <c r="W78" s="31">
        <f>'[1]功能-行军令'!T78</f>
        <v>709.4611519659702</v>
      </c>
      <c r="X78" s="31">
        <f>'[1]功能-行军令'!U78</f>
        <v>789.74297664098412</v>
      </c>
      <c r="Y78" s="31">
        <f>'[1]功能-行军令'!V78</f>
        <v>653.44207999718674</v>
      </c>
      <c r="Z78" s="31">
        <f>'[1]功能-行军令'!W78</f>
        <v>369.34833720277857</v>
      </c>
      <c r="AC78" s="54">
        <v>75</v>
      </c>
      <c r="AD78" s="54">
        <f>'[1]功能-实力'!BE79</f>
        <v>4600584</v>
      </c>
      <c r="AE78" s="54">
        <f>'[1]功能-实力'!BF79</f>
        <v>4874850</v>
      </c>
      <c r="AF78" s="54">
        <f>'[1]功能-实力'!BG79</f>
        <v>5315004</v>
      </c>
      <c r="AG78" s="54">
        <f>'[1]功能-实力'!BH79</f>
        <v>5949132</v>
      </c>
      <c r="AH78" s="54">
        <f>'[1]功能-实力'!BI79</f>
        <v>6107340</v>
      </c>
    </row>
    <row r="79" spans="2:34" x14ac:dyDescent="0.15">
      <c r="B79" s="25">
        <v>76</v>
      </c>
      <c r="C79" s="26">
        <f>'[1]资源-钻石'!L79</f>
        <v>1000573.2976905726</v>
      </c>
      <c r="D79" s="26">
        <f>'[1]资源-钻石'!M79</f>
        <v>1248021.6255552555</v>
      </c>
      <c r="E79" s="26">
        <f>'[1]资源-钻石'!N79</f>
        <v>1772828.8571023056</v>
      </c>
      <c r="F79" s="26">
        <f>'[1]资源-钻石'!O79</f>
        <v>3521723.4938117014</v>
      </c>
      <c r="G79" s="26">
        <f>'[1]资源-钻石'!P79</f>
        <v>4707835.6577081792</v>
      </c>
      <c r="I79" s="25">
        <v>76</v>
      </c>
      <c r="J79" s="26">
        <f>'[1]资源-钻石'!T79</f>
        <v>464895.35161320423</v>
      </c>
      <c r="K79" s="26">
        <f>'[1]资源-钻石'!U79</f>
        <v>641584.8867745247</v>
      </c>
      <c r="L79" s="26">
        <f>'[1]资源-钻石'!V79</f>
        <v>1050773.3754519771</v>
      </c>
      <c r="M79" s="26">
        <f>'[1]资源-钻石'!W79</f>
        <v>2707400.7129971753</v>
      </c>
      <c r="N79" s="26">
        <f>'[1]资源-钻石'!X79</f>
        <v>6376903.2842968917</v>
      </c>
      <c r="P79" s="31">
        <v>76</v>
      </c>
      <c r="Q79" s="31">
        <f>'[1]功能-行军令'!N79</f>
        <v>8878.5391436132213</v>
      </c>
      <c r="R79" s="31">
        <f>'[1]功能-行军令'!O79</f>
        <v>11187.287440877531</v>
      </c>
      <c r="S79" s="31">
        <f>'[1]功能-行军令'!P79</f>
        <v>12423.064282636185</v>
      </c>
      <c r="T79" s="31">
        <f>'[1]功能-行军令'!Q79</f>
        <v>10303.911398432119</v>
      </c>
      <c r="U79" s="31">
        <f>'[1]功能-行军令'!R79</f>
        <v>5733.4517601925972</v>
      </c>
      <c r="V79" s="31">
        <f>'[1]功能-行军令'!S79</f>
        <v>597.64968836043954</v>
      </c>
      <c r="W79" s="31">
        <f>'[1]功能-行军令'!T79</f>
        <v>751.85456483676353</v>
      </c>
      <c r="X79" s="31">
        <f>'[1]功能-行军令'!U79</f>
        <v>831.33120770455571</v>
      </c>
      <c r="Y79" s="31">
        <f>'[1]功能-行军令'!V79</f>
        <v>702.86814467605836</v>
      </c>
      <c r="Z79" s="31">
        <f>'[1]功能-行军令'!W79</f>
        <v>402.62917337361978</v>
      </c>
      <c r="AC79" s="54">
        <v>76</v>
      </c>
      <c r="AD79" s="54">
        <f>'[1]功能-实力'!BE80</f>
        <v>4805274</v>
      </c>
      <c r="AE79" s="54">
        <f>'[1]功能-实力'!BF80</f>
        <v>5084352</v>
      </c>
      <c r="AF79" s="54">
        <f>'[1]功能-实力'!BG80</f>
        <v>5544264</v>
      </c>
      <c r="AG79" s="54">
        <f>'[1]功能-实力'!BH80</f>
        <v>6216138</v>
      </c>
      <c r="AH79" s="54">
        <f>'[1]功能-实力'!BI80</f>
        <v>6393498</v>
      </c>
    </row>
    <row r="80" spans="2:34" x14ac:dyDescent="0.15">
      <c r="B80" s="25">
        <v>77</v>
      </c>
      <c r="C80" s="26">
        <f>'[1]资源-钻石'!L80</f>
        <v>1072717.4548066382</v>
      </c>
      <c r="D80" s="26">
        <f>'[1]资源-钻石'!M80</f>
        <v>1325791.250064702</v>
      </c>
      <c r="E80" s="26">
        <f>'[1]资源-钻石'!N80</f>
        <v>1887926.2860772572</v>
      </c>
      <c r="F80" s="26">
        <f>'[1]资源-钻石'!O80</f>
        <v>3762862.8761188919</v>
      </c>
      <c r="G80" s="26">
        <f>'[1]资源-钻石'!P80</f>
        <v>5025562.0783772785</v>
      </c>
      <c r="I80" s="25">
        <v>77</v>
      </c>
      <c r="J80" s="26">
        <f>'[1]资源-钻石'!T80</f>
        <v>470753.46986440197</v>
      </c>
      <c r="K80" s="26">
        <f>'[1]资源-钻石'!U80</f>
        <v>649708.81685084221</v>
      </c>
      <c r="L80" s="26">
        <f>'[1]资源-钻石'!V80</f>
        <v>1064161.6985359264</v>
      </c>
      <c r="M80" s="26">
        <f>'[1]资源-钻石'!W80</f>
        <v>2742147.8683895194</v>
      </c>
      <c r="N80" s="26">
        <f>'[1]资源-钻石'!X80</f>
        <v>6458980.1552284705</v>
      </c>
      <c r="P80" s="31">
        <v>77</v>
      </c>
      <c r="Q80" s="31">
        <f>'[1]功能-行军令'!N80</f>
        <v>9519.0842194910274</v>
      </c>
      <c r="R80" s="31">
        <f>'[1]功能-行军令'!O80</f>
        <v>12001.33028535274</v>
      </c>
      <c r="S80" s="31">
        <f>'[1]功能-行军令'!P80</f>
        <v>13334.39525564707</v>
      </c>
      <c r="T80" s="31">
        <f>'[1]功能-行军令'!Q80</f>
        <v>11064.341993234622</v>
      </c>
      <c r="U80" s="31">
        <f>'[1]功能-行军令'!R80</f>
        <v>6132.1733605347736</v>
      </c>
      <c r="V80" s="31">
        <f>'[1]功能-行军令'!S80</f>
        <v>640.54507587780608</v>
      </c>
      <c r="W80" s="31">
        <f>'[1]功能-行军令'!T80</f>
        <v>814.04284447520877</v>
      </c>
      <c r="X80" s="31">
        <f>'[1]功能-行军令'!U80</f>
        <v>911.33097301088492</v>
      </c>
      <c r="Y80" s="31">
        <f>'[1]功能-行军令'!V80</f>
        <v>760.43059480250304</v>
      </c>
      <c r="Z80" s="31">
        <f>'[1]功能-行军令'!W80</f>
        <v>398.72160034217632</v>
      </c>
      <c r="AC80" s="54">
        <v>77</v>
      </c>
      <c r="AD80" s="54">
        <f>'[1]功能-实力'!BE81</f>
        <v>5017410</v>
      </c>
      <c r="AE80" s="54">
        <f>'[1]功能-实力'!BF81</f>
        <v>5298684</v>
      </c>
      <c r="AF80" s="54">
        <f>'[1]功能-实力'!BG81</f>
        <v>5782140</v>
      </c>
      <c r="AG80" s="54">
        <f>'[1]功能-实力'!BH81</f>
        <v>6492774</v>
      </c>
      <c r="AH80" s="54">
        <f>'[1]功能-实力'!BI81</f>
        <v>6687636</v>
      </c>
    </row>
    <row r="81" spans="2:34" x14ac:dyDescent="0.15">
      <c r="B81" s="25">
        <v>78</v>
      </c>
      <c r="C81" s="26">
        <f>'[1]资源-钻石'!L81</f>
        <v>1150039.6478806864</v>
      </c>
      <c r="D81" s="26">
        <f>'[1]资源-钻石'!M81</f>
        <v>1420260.8568993947</v>
      </c>
      <c r="E81" s="26">
        <f>'[1]资源-钻石'!N81</f>
        <v>2010912.5688340887</v>
      </c>
      <c r="F81" s="26">
        <f>'[1]资源-钻石'!O81</f>
        <v>4015904.3338293736</v>
      </c>
      <c r="G81" s="26">
        <f>'[1]资源-钻石'!P81</f>
        <v>5363410.2758726636</v>
      </c>
      <c r="I81" s="25">
        <v>78</v>
      </c>
      <c r="J81" s="26">
        <f>'[1]资源-钻石'!T81</f>
        <v>476611.5881155997</v>
      </c>
      <c r="K81" s="26">
        <f>'[1]资源-钻石'!U81</f>
        <v>657832.74692715972</v>
      </c>
      <c r="L81" s="26">
        <f>'[1]资源-钻石'!V81</f>
        <v>1077550.0216198757</v>
      </c>
      <c r="M81" s="26">
        <f>'[1]资源-钻石'!W81</f>
        <v>2776895.0237818635</v>
      </c>
      <c r="N81" s="26">
        <f>'[1]资源-钻石'!X81</f>
        <v>6541057.0261600483</v>
      </c>
      <c r="P81" s="31">
        <v>78</v>
      </c>
      <c r="Q81" s="31">
        <f>'[1]功能-行军令'!N81</f>
        <v>10205.603433375156</v>
      </c>
      <c r="R81" s="31">
        <f>'[1]功能-行军令'!O81</f>
        <v>12866.869831288672</v>
      </c>
      <c r="S81" s="31">
        <f>'[1]功能-行军令'!P81</f>
        <v>14308.189455308708</v>
      </c>
      <c r="T81" s="31">
        <f>'[1]功能-行军令'!Q81</f>
        <v>11862.30566202825</v>
      </c>
      <c r="U81" s="31">
        <f>'[1]功能-行军令'!R81</f>
        <v>6556.1462038834607</v>
      </c>
      <c r="V81" s="31">
        <f>'[1]功能-行军令'!S81</f>
        <v>686.51921388412848</v>
      </c>
      <c r="W81" s="31">
        <f>'[1]功能-行军令'!T81</f>
        <v>865.53954593593153</v>
      </c>
      <c r="X81" s="31">
        <f>'[1]功能-行军令'!U81</f>
        <v>973.79419966163732</v>
      </c>
      <c r="Y81" s="31">
        <f>'[1]功能-行军令'!V81</f>
        <v>797.96366879362722</v>
      </c>
      <c r="Z81" s="31">
        <f>'[1]功能-行军令'!W81</f>
        <v>423.97284334868709</v>
      </c>
      <c r="AC81" s="54">
        <v>78</v>
      </c>
      <c r="AD81" s="54">
        <f>'[1]功能-实力'!BE82</f>
        <v>5235708</v>
      </c>
      <c r="AE81" s="54">
        <f>'[1]功能-实力'!BF82</f>
        <v>5531784</v>
      </c>
      <c r="AF81" s="54">
        <f>'[1]功能-实力'!BG82</f>
        <v>6027510</v>
      </c>
      <c r="AG81" s="54">
        <f>'[1]功能-实力'!BH82</f>
        <v>6788556</v>
      </c>
      <c r="AH81" s="54">
        <f>'[1]功能-实力'!BI82</f>
        <v>6984186</v>
      </c>
    </row>
    <row r="82" spans="2:34" x14ac:dyDescent="0.15">
      <c r="B82" s="25">
        <v>79</v>
      </c>
      <c r="C82" s="26">
        <f>'[1]资源-钻石'!L82</f>
        <v>1232911.5224825584</v>
      </c>
      <c r="D82" s="26">
        <f>'[1]资源-钻石'!M82</f>
        <v>1523833.0499319504</v>
      </c>
      <c r="E82" s="26">
        <f>'[1]资源-钻石'!N82</f>
        <v>2143110.1658462617</v>
      </c>
      <c r="F82" s="26">
        <f>'[1]资源-钻石'!O82</f>
        <v>4275454.0714378105</v>
      </c>
      <c r="G82" s="26">
        <f>'[1]资源-钻石'!P82</f>
        <v>5730308.7608242426</v>
      </c>
      <c r="I82" s="25">
        <v>79</v>
      </c>
      <c r="J82" s="26">
        <f>'[1]资源-钻石'!T82</f>
        <v>482469.7063667975</v>
      </c>
      <c r="K82" s="26">
        <f>'[1]资源-钻石'!U82</f>
        <v>665956.67700347723</v>
      </c>
      <c r="L82" s="26">
        <f>'[1]资源-钻石'!V82</f>
        <v>1090938.344703825</v>
      </c>
      <c r="M82" s="26">
        <f>'[1]资源-钻石'!W82</f>
        <v>2811642.1791742076</v>
      </c>
      <c r="N82" s="26">
        <f>'[1]资源-钻石'!X82</f>
        <v>6623133.8970916271</v>
      </c>
      <c r="P82" s="31">
        <v>79</v>
      </c>
      <c r="Q82" s="31">
        <f>'[1]功能-行军令'!N82</f>
        <v>10941.396508337442</v>
      </c>
      <c r="R82" s="31">
        <f>'[1]功能-行军令'!O82</f>
        <v>13807.281252895182</v>
      </c>
      <c r="S82" s="31">
        <f>'[1]功能-行军令'!P82</f>
        <v>15354.918003354933</v>
      </c>
      <c r="T82" s="31">
        <f>'[1]功能-行军令'!Q82</f>
        <v>12680.793125428094</v>
      </c>
      <c r="U82" s="31">
        <f>'[1]功能-行军令'!R82</f>
        <v>7016.5748669292998</v>
      </c>
      <c r="V82" s="31">
        <f>'[1]功能-行军令'!S82</f>
        <v>735.79307496228648</v>
      </c>
      <c r="W82" s="31">
        <f>'[1]功能-行军令'!T82</f>
        <v>940.41142160650998</v>
      </c>
      <c r="X82" s="31">
        <f>'[1]功能-行军令'!U82</f>
        <v>1046.7285480462251</v>
      </c>
      <c r="Y82" s="31">
        <f>'[1]功能-行军令'!V82</f>
        <v>818.48746339984427</v>
      </c>
      <c r="Z82" s="31">
        <f>'[1]功能-行军令'!W82</f>
        <v>460.42866304583913</v>
      </c>
      <c r="AC82" s="54">
        <v>79</v>
      </c>
      <c r="AD82" s="54">
        <f>'[1]功能-实力'!BE83</f>
        <v>5467602</v>
      </c>
      <c r="AE82" s="54">
        <f>'[1]功能-实力'!BF83</f>
        <v>5789610</v>
      </c>
      <c r="AF82" s="54">
        <f>'[1]功能-实力'!BG83</f>
        <v>6285144</v>
      </c>
      <c r="AG82" s="54">
        <f>'[1]功能-实力'!BH83</f>
        <v>7083942</v>
      </c>
      <c r="AH82" s="54">
        <f>'[1]功能-实力'!BI83</f>
        <v>7288374</v>
      </c>
    </row>
    <row r="83" spans="2:34" x14ac:dyDescent="0.15">
      <c r="B83" s="25">
        <v>80</v>
      </c>
      <c r="C83" s="26">
        <f>'[1]资源-钻石'!L83</f>
        <v>1321731.3984714807</v>
      </c>
      <c r="D83" s="26">
        <f>'[1]资源-钻石'!M83</f>
        <v>1634564.2727778347</v>
      </c>
      <c r="E83" s="26">
        <f>'[1]资源-钻石'!N83</f>
        <v>2276797.0571927545</v>
      </c>
      <c r="F83" s="26">
        <f>'[1]资源-钻石'!O83</f>
        <v>4551956.2692400478</v>
      </c>
      <c r="G83" s="26">
        <f>'[1]资源-钻石'!P83</f>
        <v>6112369.5292844139</v>
      </c>
      <c r="I83" s="25">
        <v>80</v>
      </c>
      <c r="J83" s="26">
        <f>'[1]资源-钻石'!T83</f>
        <v>488327.82461799524</v>
      </c>
      <c r="K83" s="26">
        <f>'[1]资源-钻石'!U83</f>
        <v>674080.60707979475</v>
      </c>
      <c r="L83" s="26">
        <f>'[1]资源-钻石'!V83</f>
        <v>1104326.6677877742</v>
      </c>
      <c r="M83" s="26">
        <f>'[1]资源-钻石'!W83</f>
        <v>2846389.3345665517</v>
      </c>
      <c r="N83" s="26">
        <f>'[1]资源-钻石'!X83</f>
        <v>6705210.7680232059</v>
      </c>
      <c r="P83" s="31">
        <v>80</v>
      </c>
      <c r="Q83" s="31">
        <f>'[1]功能-行军令'!N83</f>
        <v>11730</v>
      </c>
      <c r="R83" s="31">
        <f>'[1]功能-行军令'!O83</f>
        <v>14812.695</v>
      </c>
      <c r="S83" s="31">
        <f>'[1]功能-行军令'!P83</f>
        <v>16410.576000000001</v>
      </c>
      <c r="T83" s="31">
        <f>'[1]功能-行军令'!Q83</f>
        <v>13552.740000000002</v>
      </c>
      <c r="U83" s="31">
        <f>'[1]功能-行军令'!R83</f>
        <v>7496.0309999999999</v>
      </c>
      <c r="V83" s="31">
        <f>'[1]功能-行军令'!S83</f>
        <v>788.60349166255764</v>
      </c>
      <c r="W83" s="31">
        <f>'[1]功能-行军令'!T83</f>
        <v>1005.413747104818</v>
      </c>
      <c r="X83" s="31">
        <f>'[1]功能-行军令'!U83</f>
        <v>1055.6579966450681</v>
      </c>
      <c r="Y83" s="31">
        <f>'[1]功能-行军令'!V83</f>
        <v>871.94687457190776</v>
      </c>
      <c r="Z83" s="31">
        <f>'[1]功能-行军令'!W83</f>
        <v>479.45613307070016</v>
      </c>
      <c r="AC83" s="54">
        <v>80</v>
      </c>
      <c r="AD83" s="54">
        <f>'[1]功能-实力'!BE84</f>
        <v>5705784</v>
      </c>
      <c r="AE83" s="54">
        <f>'[1]功能-实力'!BF84</f>
        <v>6056700</v>
      </c>
      <c r="AF83" s="54">
        <f>'[1]功能-实力'!BG84</f>
        <v>6548964</v>
      </c>
      <c r="AG83" s="54">
        <f>'[1]功能-实力'!BH84</f>
        <v>7384314</v>
      </c>
      <c r="AH83" s="54">
        <f>'[1]功能-实力'!BI84</f>
        <v>7596420</v>
      </c>
    </row>
    <row r="84" spans="2:34" x14ac:dyDescent="0.15">
      <c r="B84" s="25">
        <v>81</v>
      </c>
      <c r="C84" s="26">
        <f>'[1]资源-钻石'!L84</f>
        <v>1416926.1845021718</v>
      </c>
      <c r="D84" s="26">
        <f>'[1]资源-钻石'!M84</f>
        <v>1747273.0100453326</v>
      </c>
      <c r="E84" s="26">
        <f>'[1]资源-钻石'!N84</f>
        <v>2431872.7343086279</v>
      </c>
      <c r="F84" s="26">
        <f>'[1]资源-钻石'!O84</f>
        <v>4851804.5206589149</v>
      </c>
      <c r="G84" s="26">
        <f>'[1]资源-钻石'!P84</f>
        <v>6529313.2233185135</v>
      </c>
      <c r="I84" s="25">
        <v>81</v>
      </c>
      <c r="J84" s="26">
        <f>'[1]资源-钻石'!T84</f>
        <v>494185.94286919298</v>
      </c>
      <c r="K84" s="26">
        <f>'[1]资源-钻石'!U84</f>
        <v>682204.53715611238</v>
      </c>
      <c r="L84" s="26">
        <f>'[1]资源-钻石'!V84</f>
        <v>1117714.9908717235</v>
      </c>
      <c r="M84" s="26">
        <f>'[1]资源-钻石'!W84</f>
        <v>2881136.4899588958</v>
      </c>
      <c r="N84" s="26">
        <f>'[1]资源-钻石'!X84</f>
        <v>6787287.6389547847</v>
      </c>
      <c r="P84" s="31">
        <v>81</v>
      </c>
      <c r="Q84" s="31">
        <f>'[1]功能-行军令'!N84</f>
        <v>12575.204294827385</v>
      </c>
      <c r="R84" s="31">
        <f>'[1]功能-行军令'!O84</f>
        <v>15836.064118078692</v>
      </c>
      <c r="S84" s="31">
        <f>'[1]功能-行军令'!P84</f>
        <v>17533.333974271412</v>
      </c>
      <c r="T84" s="31">
        <f>'[1]功能-行军令'!Q84</f>
        <v>14498.308417714825</v>
      </c>
      <c r="U84" s="31">
        <f>'[1]功能-行军令'!R84</f>
        <v>8019.2624536127059</v>
      </c>
      <c r="V84" s="31">
        <f>'[1]功能-行军令'!S84</f>
        <v>845.20429482738473</v>
      </c>
      <c r="W84" s="31">
        <f>'[1]功能-行军令'!T84</f>
        <v>1023.3691180786918</v>
      </c>
      <c r="X84" s="31">
        <f>'[1]功能-行军令'!U84</f>
        <v>1122.7579742714115</v>
      </c>
      <c r="Y84" s="31">
        <f>'[1]功能-行军令'!V84</f>
        <v>945.56841771482323</v>
      </c>
      <c r="Z84" s="31">
        <f>'[1]功能-行军令'!W84</f>
        <v>523.23145361270599</v>
      </c>
      <c r="AC84" s="54">
        <v>81</v>
      </c>
      <c r="AD84" s="54">
        <f>'[1]功能-实力'!BE85</f>
        <v>5937162</v>
      </c>
      <c r="AE84" s="54">
        <f>'[1]功能-实力'!BF85</f>
        <v>6314346</v>
      </c>
      <c r="AF84" s="54">
        <f>'[1]功能-实力'!BG85</f>
        <v>6789534</v>
      </c>
      <c r="AG84" s="54">
        <f>'[1]功能-实力'!BH85</f>
        <v>7649568</v>
      </c>
      <c r="AH84" s="54">
        <f>'[1]功能-实力'!BI85</f>
        <v>7876458</v>
      </c>
    </row>
    <row r="85" spans="2:34" x14ac:dyDescent="0.15">
      <c r="B85" s="25">
        <v>82</v>
      </c>
      <c r="C85" s="26">
        <f>'[1]资源-钻石'!L85</f>
        <v>1518953.4299416859</v>
      </c>
      <c r="D85" s="26">
        <f>'[1]资源-钻石'!M85</f>
        <v>1871181.3034592518</v>
      </c>
      <c r="E85" s="26">
        <f>'[1]资源-钻石'!N85</f>
        <v>2604112.8968033232</v>
      </c>
      <c r="F85" s="26">
        <f>'[1]资源-钻石'!O85</f>
        <v>5180121.5806578919</v>
      </c>
      <c r="G85" s="26">
        <f>'[1]资源-钻石'!P85</f>
        <v>6970398.2818679148</v>
      </c>
      <c r="I85" s="25">
        <v>82</v>
      </c>
      <c r="J85" s="26">
        <f>'[1]资源-钻石'!T85</f>
        <v>500044.06112039078</v>
      </c>
      <c r="K85" s="26">
        <f>'[1]资源-钻石'!U85</f>
        <v>690328.46723242989</v>
      </c>
      <c r="L85" s="26">
        <f>'[1]资源-钻石'!V85</f>
        <v>1131103.313955673</v>
      </c>
      <c r="M85" s="26">
        <f>'[1]资源-钻石'!W85</f>
        <v>2915883.6453512404</v>
      </c>
      <c r="N85" s="26">
        <f>'[1]资源-钻石'!X85</f>
        <v>6869364.5098863635</v>
      </c>
      <c r="P85" s="31">
        <v>82</v>
      </c>
      <c r="Q85" s="31">
        <f>'[1]功能-行军令'!N85</f>
        <v>13481.07182844507</v>
      </c>
      <c r="R85" s="31">
        <f>'[1]功能-行军令'!O85</f>
        <v>16961.1226009245</v>
      </c>
      <c r="S85" s="31">
        <f>'[1]功能-行军令'!P85</f>
        <v>18780.363937495276</v>
      </c>
      <c r="T85" s="31">
        <f>'[1]功能-行军令'!Q85</f>
        <v>15533.652934359494</v>
      </c>
      <c r="U85" s="31">
        <f>'[1]功能-行军令'!R85</f>
        <v>8572.7894157755472</v>
      </c>
      <c r="V85" s="31">
        <f>'[1]功能-行军令'!S85</f>
        <v>905.86753361768569</v>
      </c>
      <c r="W85" s="31">
        <f>'[1]功能-行军令'!T85</f>
        <v>1125.0584828458086</v>
      </c>
      <c r="X85" s="31">
        <f>'[1]功能-行军令'!U85</f>
        <v>1247.0299632238639</v>
      </c>
      <c r="Y85" s="31">
        <f>'[1]功能-行军令'!V85</f>
        <v>1035.3445166446691</v>
      </c>
      <c r="Z85" s="31">
        <f>'[1]功能-行军令'!W85</f>
        <v>553.5269621628413</v>
      </c>
      <c r="AC85" s="54">
        <v>82</v>
      </c>
      <c r="AD85" s="54">
        <f>'[1]功能-实力'!BE86</f>
        <v>6179844</v>
      </c>
      <c r="AE85" s="54">
        <f>'[1]功能-实力'!BF86</f>
        <v>6581316</v>
      </c>
      <c r="AF85" s="54">
        <f>'[1]功能-实力'!BG86</f>
        <v>7036230</v>
      </c>
      <c r="AG85" s="54">
        <f>'[1]功能-实力'!BH86</f>
        <v>7918020</v>
      </c>
      <c r="AH85" s="54">
        <f>'[1]功能-实力'!BI86</f>
        <v>8158194</v>
      </c>
    </row>
    <row r="86" spans="2:34" x14ac:dyDescent="0.15">
      <c r="B86" s="25">
        <v>83</v>
      </c>
      <c r="C86" s="26">
        <f>'[1]资源-钻石'!L86</f>
        <v>1628303.5240594384</v>
      </c>
      <c r="D86" s="26">
        <f>'[1]资源-钻石'!M86</f>
        <v>2006871.6905065232</v>
      </c>
      <c r="E86" s="26">
        <f>'[1]资源-钻石'!N86</f>
        <v>2794873.7392708655</v>
      </c>
      <c r="F86" s="26">
        <f>'[1]资源-钻石'!O86</f>
        <v>5531795.577021298</v>
      </c>
      <c r="G86" s="26">
        <f>'[1]资源-钻石'!P86</f>
        <v>7459801.3995076166</v>
      </c>
      <c r="I86" s="25">
        <v>83</v>
      </c>
      <c r="J86" s="26">
        <f>'[1]资源-钻石'!T86</f>
        <v>505902.17937158851</v>
      </c>
      <c r="K86" s="26">
        <f>'[1]资源-钻石'!U86</f>
        <v>698452.3973087474</v>
      </c>
      <c r="L86" s="26">
        <f>'[1]资源-钻石'!V86</f>
        <v>1144491.6370396223</v>
      </c>
      <c r="M86" s="26">
        <f>'[1]资源-钻石'!W86</f>
        <v>2950630.8007435845</v>
      </c>
      <c r="N86" s="26">
        <f>'[1]资源-钻石'!X86</f>
        <v>6951441.3808179423</v>
      </c>
      <c r="P86" s="31">
        <v>83</v>
      </c>
      <c r="Q86" s="31">
        <f>'[1]功能-行军令'!N86</f>
        <v>14451.956611549746</v>
      </c>
      <c r="R86" s="31">
        <f>'[1]功能-行军令'!O86</f>
        <v>18193.159753419211</v>
      </c>
      <c r="S86" s="31">
        <f>'[1]功能-行军令'!P86</f>
        <v>20161.484826615306</v>
      </c>
      <c r="T86" s="31">
        <f>'[1]功能-行军令'!Q86</f>
        <v>16642.653312781815</v>
      </c>
      <c r="U86" s="31">
        <f>'[1]功能-行军令'!R86</f>
        <v>9186.9517314772656</v>
      </c>
      <c r="V86" s="31">
        <f>'[1]功能-行军令'!S86</f>
        <v>970.88478310467508</v>
      </c>
      <c r="W86" s="31">
        <f>'[1]功能-行军令'!T86</f>
        <v>1232.0371524947113</v>
      </c>
      <c r="X86" s="31">
        <f>'[1]功能-行军令'!U86</f>
        <v>1381.1208891200295</v>
      </c>
      <c r="Y86" s="31">
        <f>'[1]功能-行军令'!V86</f>
        <v>1109.0003784223209</v>
      </c>
      <c r="Z86" s="31">
        <f>'[1]功能-行军令'!W86</f>
        <v>614.1623157017184</v>
      </c>
      <c r="AC86" s="54">
        <v>83</v>
      </c>
      <c r="AD86" s="54">
        <f>'[1]功能-实力'!BE87</f>
        <v>6437586</v>
      </c>
      <c r="AE86" s="54">
        <f>'[1]功能-实力'!BF87</f>
        <v>6834354</v>
      </c>
      <c r="AF86" s="54">
        <f>'[1]功能-实力'!BG87</f>
        <v>7288158</v>
      </c>
      <c r="AG86" s="54">
        <f>'[1]功能-实力'!BH87</f>
        <v>8167098</v>
      </c>
      <c r="AH86" s="54">
        <f>'[1]功能-实力'!BI87</f>
        <v>8405304</v>
      </c>
    </row>
    <row r="87" spans="2:34" x14ac:dyDescent="0.15">
      <c r="B87" s="25">
        <v>84</v>
      </c>
      <c r="C87" s="26">
        <f>'[1]资源-钻石'!L87</f>
        <v>1745502.0530606871</v>
      </c>
      <c r="D87" s="26">
        <f>'[1]资源-钻石'!M87</f>
        <v>2152384.7721522567</v>
      </c>
      <c r="E87" s="26">
        <f>'[1]资源-钻石'!N87</f>
        <v>2992415.0236917417</v>
      </c>
      <c r="F87" s="26">
        <f>'[1]资源-钻石'!O87</f>
        <v>5904087.8971901443</v>
      </c>
      <c r="G87" s="26">
        <f>'[1]资源-钻石'!P87</f>
        <v>7976716.3246479454</v>
      </c>
      <c r="I87" s="25">
        <v>84</v>
      </c>
      <c r="J87" s="26">
        <f>'[1]资源-钻石'!T87</f>
        <v>511760.29762278631</v>
      </c>
      <c r="K87" s="26">
        <f>'[1]资源-钻石'!U87</f>
        <v>706576.32738506491</v>
      </c>
      <c r="L87" s="26">
        <f>'[1]资源-钻石'!V87</f>
        <v>1157876.5335963978</v>
      </c>
      <c r="M87" s="26">
        <f>'[1]资源-钻石'!W87</f>
        <v>2985377.9561359286</v>
      </c>
      <c r="N87" s="26">
        <f>'[1]资源-钻石'!X87</f>
        <v>7033518.2517495202</v>
      </c>
      <c r="P87" s="31">
        <v>84</v>
      </c>
      <c r="Q87" s="31">
        <f>'[1]功能-行军令'!N87</f>
        <v>15492.5251572616</v>
      </c>
      <c r="R87" s="31">
        <f>'[1]功能-行军令'!O87</f>
        <v>19514.384688086713</v>
      </c>
      <c r="S87" s="31">
        <f>'[1]功能-行军令'!P87</f>
        <v>21591.696555857881</v>
      </c>
      <c r="T87" s="31">
        <f>'[1]功能-行军令'!Q87</f>
        <v>17816.673366070961</v>
      </c>
      <c r="U87" s="31">
        <f>'[1]功能-行军令'!R87</f>
        <v>9851.8988239177452</v>
      </c>
      <c r="V87" s="31">
        <f>'[1]功能-行军令'!S87</f>
        <v>1040.5685457118543</v>
      </c>
      <c r="W87" s="31">
        <f>'[1]功能-行军令'!T87</f>
        <v>1321.2249346675017</v>
      </c>
      <c r="X87" s="31">
        <f>'[1]功能-行军令'!U87</f>
        <v>1430.2117292425755</v>
      </c>
      <c r="Y87" s="31">
        <f>'[1]功能-行军令'!V87</f>
        <v>1174.0200532891467</v>
      </c>
      <c r="Z87" s="31">
        <f>'[1]功能-行军令'!W87</f>
        <v>664.94709244047954</v>
      </c>
      <c r="AC87" s="54">
        <v>84</v>
      </c>
      <c r="AD87" s="54">
        <f>'[1]功能-实力'!BE88</f>
        <v>6706944</v>
      </c>
      <c r="AE87" s="54">
        <f>'[1]功能-实力'!BF88</f>
        <v>7090674</v>
      </c>
      <c r="AF87" s="54">
        <f>'[1]功能-实力'!BG88</f>
        <v>7544208</v>
      </c>
      <c r="AG87" s="54">
        <f>'[1]功能-实力'!BH88</f>
        <v>8412738</v>
      </c>
      <c r="AH87" s="54">
        <f>'[1]功能-实力'!BI88</f>
        <v>8646612</v>
      </c>
    </row>
    <row r="88" spans="2:34" x14ac:dyDescent="0.15">
      <c r="B88" s="25">
        <v>85</v>
      </c>
      <c r="C88" s="26">
        <f>'[1]资源-钻石'!L88</f>
        <v>1862700.5820619359</v>
      </c>
      <c r="D88" s="26">
        <f>'[1]资源-钻石'!M88</f>
        <v>2303369.7192447372</v>
      </c>
      <c r="E88" s="26">
        <f>'[1]资源-钻石'!N88</f>
        <v>3201651.6496631061</v>
      </c>
      <c r="F88" s="26">
        <f>'[1]资源-钻石'!O88</f>
        <v>6322113.85781834</v>
      </c>
      <c r="G88" s="26">
        <f>'[1]资源-钻石'!P88</f>
        <v>8526063.6442074627</v>
      </c>
      <c r="I88" s="25">
        <v>85</v>
      </c>
      <c r="J88" s="26">
        <f>'[1]资源-钻石'!T88</f>
        <v>517618.41587398405</v>
      </c>
      <c r="K88" s="26">
        <f>'[1]资源-钻石'!U88</f>
        <v>714700.25746138243</v>
      </c>
      <c r="L88" s="26">
        <f>'[1]资源-钻石'!V88</f>
        <v>1171232.3613899685</v>
      </c>
      <c r="M88" s="26">
        <f>'[1]资源-钻石'!W88</f>
        <v>3020125.1115282727</v>
      </c>
      <c r="N88" s="26">
        <f>'[1]资源-钻石'!X88</f>
        <v>7115595.122681099</v>
      </c>
      <c r="P88" s="31">
        <v>85</v>
      </c>
      <c r="Q88" s="31">
        <f>'[1]功能-行军令'!N88</f>
        <v>16607.778910505567</v>
      </c>
      <c r="R88" s="31">
        <f>'[1]功能-行军令'!O88</f>
        <v>20885.292888242257</v>
      </c>
      <c r="S88" s="31">
        <f>'[1]功能-行军令'!P88</f>
        <v>23106.583317522378</v>
      </c>
      <c r="T88" s="31">
        <f>'[1]功能-行军令'!Q88</f>
        <v>19114.109371304035</v>
      </c>
      <c r="U88" s="31">
        <f>'[1]功能-行军令'!R88</f>
        <v>10561.103232393669</v>
      </c>
      <c r="V88" s="31">
        <f>'[1]功能-行军令'!S88</f>
        <v>1115.2537532439674</v>
      </c>
      <c r="W88" s="31">
        <f>'[1]功能-行军令'!T88</f>
        <v>1370.9082001555435</v>
      </c>
      <c r="X88" s="31">
        <f>'[1]功能-行军令'!U88</f>
        <v>1514.8867616644966</v>
      </c>
      <c r="Y88" s="31">
        <f>'[1]功能-行军令'!V88</f>
        <v>1297.436005233074</v>
      </c>
      <c r="Z88" s="31">
        <f>'[1]功能-行军令'!W88</f>
        <v>709.20440847592363</v>
      </c>
      <c r="AC88" s="54">
        <v>85</v>
      </c>
      <c r="AD88" s="54">
        <f>'[1]功能-实力'!BE89</f>
        <v>6966114</v>
      </c>
      <c r="AE88" s="54">
        <f>'[1]功能-实力'!BF89</f>
        <v>7338840</v>
      </c>
      <c r="AF88" s="54">
        <f>'[1]功能-实力'!BG89</f>
        <v>7820280</v>
      </c>
      <c r="AG88" s="54">
        <f>'[1]功能-实力'!BH89</f>
        <v>8631354</v>
      </c>
      <c r="AH88" s="54">
        <f>'[1]功能-实力'!BI89</f>
        <v>8871672</v>
      </c>
    </row>
    <row r="89" spans="2:34" x14ac:dyDescent="0.15">
      <c r="B89" s="25">
        <v>86</v>
      </c>
      <c r="C89" s="26">
        <f>'[1]资源-钻石'!L89</f>
        <v>1979899.1110631847</v>
      </c>
      <c r="D89" s="26">
        <f>'[1]资源-钻石'!M89</f>
        <v>2467778.0603368846</v>
      </c>
      <c r="E89" s="26">
        <f>'[1]资源-钻石'!N89</f>
        <v>3431836.7295421772</v>
      </c>
      <c r="F89" s="26">
        <f>'[1]资源-钻石'!O89</f>
        <v>6789883.693682665</v>
      </c>
      <c r="G89" s="26">
        <f>'[1]资源-钻石'!P89</f>
        <v>9037644.3603855558</v>
      </c>
      <c r="I89" s="25">
        <v>86</v>
      </c>
      <c r="J89" s="26">
        <f>'[1]资源-钻石'!T89</f>
        <v>523476.53412518179</v>
      </c>
      <c r="K89" s="26">
        <f>'[1]资源-钻石'!U89</f>
        <v>722824.18753769994</v>
      </c>
      <c r="L89" s="26">
        <f>'[1]资源-钻石'!V89</f>
        <v>1184588.1891835392</v>
      </c>
      <c r="M89" s="26">
        <f>'[1]资源-钻石'!W89</f>
        <v>3054872.2669206173</v>
      </c>
      <c r="N89" s="26">
        <f>'[1]资源-钻石'!X89</f>
        <v>7197671.9936126778</v>
      </c>
      <c r="P89" s="31">
        <v>86</v>
      </c>
      <c r="Q89" s="31">
        <f>'[1]功能-行军令'!N89</f>
        <v>17803.078287226446</v>
      </c>
      <c r="R89" s="31">
        <f>'[1]功能-行军令'!O89</f>
        <v>22378.082383602617</v>
      </c>
      <c r="S89" s="31">
        <f>'[1]功能-行军令'!P89</f>
        <v>24773.138246052011</v>
      </c>
      <c r="T89" s="31">
        <f>'[1]功能-行军令'!Q89</f>
        <v>20537.631112144427</v>
      </c>
      <c r="U89" s="31">
        <f>'[1]功能-行军令'!R89</f>
        <v>11221.551160847546</v>
      </c>
      <c r="V89" s="31">
        <f>'[1]功能-行军令'!S89</f>
        <v>1195.2993767208791</v>
      </c>
      <c r="W89" s="31">
        <f>'[1]功能-行军令'!T89</f>
        <v>1492.7894953603609</v>
      </c>
      <c r="X89" s="31">
        <f>'[1]功能-行军令'!U89</f>
        <v>1666.5549285296329</v>
      </c>
      <c r="Y89" s="31">
        <f>'[1]功能-行军令'!V89</f>
        <v>1423.5217408403914</v>
      </c>
      <c r="Z89" s="31">
        <f>'[1]功能-行军令'!W89</f>
        <v>660.44792845387747</v>
      </c>
      <c r="AC89" s="54">
        <v>86</v>
      </c>
      <c r="AD89" s="54">
        <f>'[1]功能-实力'!BE90</f>
        <v>7227372</v>
      </c>
      <c r="AE89" s="54">
        <f>'[1]功能-实力'!BF90</f>
        <v>7590774</v>
      </c>
      <c r="AF89" s="54">
        <f>'[1]功能-实力'!BG90</f>
        <v>8104566</v>
      </c>
      <c r="AG89" s="54">
        <f>'[1]功能-实力'!BH90</f>
        <v>8856552</v>
      </c>
      <c r="AH89" s="54">
        <f>'[1]功能-实力'!BI90</f>
        <v>9102588</v>
      </c>
    </row>
    <row r="90" spans="2:34" x14ac:dyDescent="0.15">
      <c r="B90" s="25">
        <v>87</v>
      </c>
      <c r="C90" s="26">
        <f>'[1]资源-钻石'!L90</f>
        <v>2097097.6400644334</v>
      </c>
      <c r="D90" s="26">
        <f>'[1]资源-钻石'!M90</f>
        <v>2646965.5112294764</v>
      </c>
      <c r="E90" s="26">
        <f>'[1]资源-钻石'!N90</f>
        <v>3685356.9601226356</v>
      </c>
      <c r="F90" s="26">
        <f>'[1]资源-钻石'!O90</f>
        <v>7236194.0886694212</v>
      </c>
      <c r="G90" s="26">
        <f>'[1]资源-钻石'!P90</f>
        <v>9580373.8001447059</v>
      </c>
      <c r="I90" s="25">
        <v>87</v>
      </c>
      <c r="J90" s="26">
        <f>'[1]资源-钻石'!T90</f>
        <v>529334.65237637958</v>
      </c>
      <c r="K90" s="26">
        <f>'[1]资源-钻石'!U90</f>
        <v>730948.11761401757</v>
      </c>
      <c r="L90" s="26">
        <f>'[1]资源-钻石'!V90</f>
        <v>1197944.0169771097</v>
      </c>
      <c r="M90" s="26">
        <f>'[1]资源-钻石'!W90</f>
        <v>3089482.0186194135</v>
      </c>
      <c r="N90" s="26">
        <f>'[1]资源-钻石'!X90</f>
        <v>7279748.8645442557</v>
      </c>
      <c r="P90" s="31">
        <v>87</v>
      </c>
      <c r="Q90" s="31">
        <f>'[1]功能-行军令'!N90</f>
        <v>19084.16843898204</v>
      </c>
      <c r="R90" s="31">
        <f>'[1]功能-行军令'!O90</f>
        <v>24005.062758296252</v>
      </c>
      <c r="S90" s="31">
        <f>'[1]功能-行军令'!P90</f>
        <v>26608.641181245723</v>
      </c>
      <c r="T90" s="31">
        <f>'[1]功能-行军令'!Q90</f>
        <v>21895.847272561801</v>
      </c>
      <c r="U90" s="31">
        <f>'[1]功能-行军令'!R90</f>
        <v>11922.21192241363</v>
      </c>
      <c r="V90" s="31">
        <f>'[1]功能-行军令'!S90</f>
        <v>1281.090151755594</v>
      </c>
      <c r="W90" s="31">
        <f>'[1]功能-行军令'!T90</f>
        <v>1626.9803746936341</v>
      </c>
      <c r="X90" s="31">
        <f>'[1]功能-行军令'!U90</f>
        <v>1835.5029351937119</v>
      </c>
      <c r="Y90" s="31">
        <f>'[1]功能-行军令'!V90</f>
        <v>1358.2161604173743</v>
      </c>
      <c r="Z90" s="31">
        <f>'[1]功能-行军令'!W90</f>
        <v>700.66076156608324</v>
      </c>
      <c r="AC90" s="54">
        <v>87</v>
      </c>
      <c r="AD90" s="54">
        <f>'[1]功能-实力'!BE91</f>
        <v>7467840</v>
      </c>
      <c r="AE90" s="54">
        <f>'[1]功能-实力'!BF91</f>
        <v>7851522</v>
      </c>
      <c r="AF90" s="54">
        <f>'[1]功能-实力'!BG91</f>
        <v>8385240</v>
      </c>
      <c r="AG90" s="54">
        <f>'[1]功能-实力'!BH91</f>
        <v>9068754</v>
      </c>
      <c r="AH90" s="54">
        <f>'[1]功能-实力'!BI91</f>
        <v>9491322</v>
      </c>
    </row>
    <row r="91" spans="2:34" x14ac:dyDescent="0.15">
      <c r="B91" s="25">
        <v>88</v>
      </c>
      <c r="C91" s="26">
        <f>'[1]资源-钻石'!L91</f>
        <v>2214296.1690656822</v>
      </c>
      <c r="D91" s="26">
        <f>'[1]资源-钻石'!M91</f>
        <v>2826152.9621220683</v>
      </c>
      <c r="E91" s="26">
        <f>'[1]资源-钻石'!N91</f>
        <v>3943066.5268462403</v>
      </c>
      <c r="F91" s="26">
        <f>'[1]资源-钻石'!O91</f>
        <v>7690629.4335356392</v>
      </c>
      <c r="G91" s="26">
        <f>'[1]资源-钻石'!P91</f>
        <v>10173829.645363733</v>
      </c>
      <c r="I91" s="25">
        <v>88</v>
      </c>
      <c r="J91" s="26">
        <f>'[1]资源-钻石'!T91</f>
        <v>535192.77062757732</v>
      </c>
      <c r="K91" s="26">
        <f>'[1]资源-钻石'!U91</f>
        <v>739072.04769033508</v>
      </c>
      <c r="L91" s="26">
        <f>'[1]资源-钻石'!V91</f>
        <v>1211299.8447706804</v>
      </c>
      <c r="M91" s="26">
        <f>'[1]资源-钻石'!W91</f>
        <v>3123172.9187711333</v>
      </c>
      <c r="N91" s="26">
        <f>'[1]资源-钻石'!X91</f>
        <v>7361825.7354758345</v>
      </c>
      <c r="P91" s="31">
        <v>88</v>
      </c>
      <c r="Q91" s="31">
        <f>'[1]功能-行军令'!N91</f>
        <v>20457.206866750312</v>
      </c>
      <c r="R91" s="31">
        <f>'[1]功能-行军令'!O91</f>
        <v>25779.816315968015</v>
      </c>
      <c r="S91" s="31">
        <f>'[1]功能-行军令'!P91</f>
        <v>28474.475182207443</v>
      </c>
      <c r="T91" s="31">
        <f>'[1]功能-行军令'!Q91</f>
        <v>23278.789359941271</v>
      </c>
      <c r="U91" s="31">
        <f>'[1]功能-行军令'!R91</f>
        <v>12688.360198157678</v>
      </c>
      <c r="V91" s="31">
        <f>'[1]功能-行军令'!S91</f>
        <v>1373.0384277682715</v>
      </c>
      <c r="W91" s="31">
        <f>'[1]功能-行军令'!T91</f>
        <v>1774.7535576717637</v>
      </c>
      <c r="X91" s="31">
        <f>'[1]功能-行军令'!U91</f>
        <v>1865.8340009617204</v>
      </c>
      <c r="Y91" s="31">
        <f>'[1]功能-行军令'!V91</f>
        <v>1382.9420873794697</v>
      </c>
      <c r="Z91" s="31">
        <f>'[1]功能-行军令'!W91</f>
        <v>766.14827574404808</v>
      </c>
      <c r="AC91" s="54">
        <v>88</v>
      </c>
      <c r="AD91" s="54">
        <f>'[1]功能-实力'!BE92</f>
        <v>7691508</v>
      </c>
      <c r="AE91" s="54">
        <f>'[1]功能-实力'!BF92</f>
        <v>8118834</v>
      </c>
      <c r="AF91" s="54">
        <f>'[1]功能-实力'!BG92</f>
        <v>8666634</v>
      </c>
      <c r="AG91" s="54">
        <f>'[1]功能-实力'!BH92</f>
        <v>9305334</v>
      </c>
      <c r="AH91" s="54">
        <f>'[1]功能-实力'!BI92</f>
        <v>9914196</v>
      </c>
    </row>
    <row r="92" spans="2:34" x14ac:dyDescent="0.15">
      <c r="B92" s="25">
        <v>89</v>
      </c>
      <c r="C92" s="26">
        <f>'[1]资源-钻石'!L92</f>
        <v>2331494.6980669312</v>
      </c>
      <c r="D92" s="26">
        <f>'[1]资源-钻石'!M92</f>
        <v>3005340.4130146601</v>
      </c>
      <c r="E92" s="26">
        <f>'[1]资源-钻石'!N92</f>
        <v>4190627.8431413854</v>
      </c>
      <c r="F92" s="26">
        <f>'[1]资源-钻石'!O92</f>
        <v>8174736.8464163207</v>
      </c>
      <c r="G92" s="26">
        <f>'[1]资源-钻石'!P92</f>
        <v>10766729.914831489</v>
      </c>
      <c r="I92" s="25">
        <v>89</v>
      </c>
      <c r="J92" s="26">
        <f>'[1]资源-钻石'!T92</f>
        <v>541050.88887877506</v>
      </c>
      <c r="K92" s="26">
        <f>'[1]资源-钻石'!U92</f>
        <v>747195.97776665259</v>
      </c>
      <c r="L92" s="26">
        <f>'[1]资源-钻石'!V92</f>
        <v>1224655.6725642511</v>
      </c>
      <c r="M92" s="26">
        <f>'[1]资源-钻石'!W92</f>
        <v>3156863.8189228526</v>
      </c>
      <c r="N92" s="26">
        <f>'[1]资源-钻石'!X92</f>
        <v>7443902.6064074133</v>
      </c>
      <c r="P92" s="31">
        <v>89</v>
      </c>
      <c r="Q92" s="31">
        <f>'[1]功能-行军令'!N92</f>
        <v>21928.793016674885</v>
      </c>
      <c r="R92" s="31">
        <f>'[1]功能-行军令'!O92</f>
        <v>27589.567920062011</v>
      </c>
      <c r="S92" s="31">
        <f>'[1]功能-行军令'!P92</f>
        <v>30266.835190952177</v>
      </c>
      <c r="T92" s="31">
        <f>'[1]功能-行军令'!Q92</f>
        <v>24752.029774993443</v>
      </c>
      <c r="U92" s="31">
        <f>'[1]功能-行军令'!R92</f>
        <v>13453.791228621709</v>
      </c>
      <c r="V92" s="31">
        <f>'[1]功能-行军令'!S92</f>
        <v>1471.586149924573</v>
      </c>
      <c r="W92" s="31">
        <f>'[1]功能-行军令'!T92</f>
        <v>1809.7516040939954</v>
      </c>
      <c r="X92" s="31">
        <f>'[1]功能-行军令'!U92</f>
        <v>1792.3600087447339</v>
      </c>
      <c r="Y92" s="31">
        <f>'[1]功能-行军令'!V92</f>
        <v>1473.2404150521725</v>
      </c>
      <c r="Z92" s="31">
        <f>'[1]功能-行军令'!W92</f>
        <v>765.43103046403121</v>
      </c>
      <c r="AC92" s="54">
        <v>89</v>
      </c>
      <c r="AD92" s="54">
        <f>'[1]功能-实力'!BE93</f>
        <v>7919202</v>
      </c>
      <c r="AE92" s="54">
        <f>'[1]功能-实力'!BF93</f>
        <v>8394858</v>
      </c>
      <c r="AF92" s="54">
        <f>'[1]功能-实力'!BG93</f>
        <v>8955954</v>
      </c>
      <c r="AG92" s="54">
        <f>'[1]功能-实力'!BH93</f>
        <v>9634200</v>
      </c>
      <c r="AH92" s="54">
        <f>'[1]功能-实力'!BI93</f>
        <v>10265076</v>
      </c>
    </row>
    <row r="93" spans="2:34" x14ac:dyDescent="0.15">
      <c r="B93" s="25">
        <v>90</v>
      </c>
      <c r="C93" s="26">
        <f>'[1]资源-钻石'!L93</f>
        <v>2448693.2270681802</v>
      </c>
      <c r="D93" s="26">
        <f>'[1]资源-钻石'!M93</f>
        <v>3184527.863907252</v>
      </c>
      <c r="E93" s="26">
        <f>'[1]资源-钻石'!N93</f>
        <v>4456620.9140202217</v>
      </c>
      <c r="F93" s="26">
        <f>'[1]资源-钻石'!O93</f>
        <v>8668068.1419581044</v>
      </c>
      <c r="G93" s="26">
        <f>'[1]资源-钻石'!P93</f>
        <v>11393960.879274003</v>
      </c>
      <c r="I93" s="25">
        <v>90</v>
      </c>
      <c r="J93" s="26">
        <f>'[1]资源-钻石'!T93</f>
        <v>546198.90670115827</v>
      </c>
      <c r="K93" s="26">
        <f>'[1]资源-钻石'!U93</f>
        <v>754481.54501312098</v>
      </c>
      <c r="L93" s="26">
        <f>'[1]资源-钻石'!V93</f>
        <v>1238011.5003578216</v>
      </c>
      <c r="M93" s="26">
        <f>'[1]资源-钻石'!W93</f>
        <v>3190554.719074572</v>
      </c>
      <c r="N93" s="26">
        <f>'[1]资源-钻石'!X93</f>
        <v>7524361.2569677141</v>
      </c>
      <c r="P93" s="31">
        <v>90</v>
      </c>
      <c r="Q93" s="31">
        <f>'[1]功能-行军令'!N93</f>
        <v>23506</v>
      </c>
      <c r="R93" s="31">
        <f>'[1]功能-行军令'!O93</f>
        <v>29354.803800000002</v>
      </c>
      <c r="S93" s="31">
        <f>'[1]功能-行军令'!P93</f>
        <v>32192.642300000003</v>
      </c>
      <c r="T93" s="31">
        <f>'[1]功能-行军令'!Q93</f>
        <v>26253.340400000001</v>
      </c>
      <c r="U93" s="31">
        <f>'[1]功能-行军令'!R93</f>
        <v>14263.543000000001</v>
      </c>
      <c r="V93" s="31">
        <f>'[1]功能-行军令'!S93</f>
        <v>1577.2069833251153</v>
      </c>
      <c r="W93" s="31">
        <f>'[1]功能-行军令'!T93</f>
        <v>1765.2358799379908</v>
      </c>
      <c r="X93" s="31">
        <f>'[1]功能-行军令'!U93</f>
        <v>1925.8071090478261</v>
      </c>
      <c r="Y93" s="31">
        <f>'[1]功能-行军令'!V93</f>
        <v>1501.3106250065575</v>
      </c>
      <c r="Z93" s="31">
        <f>'[1]功能-行军令'!W93</f>
        <v>809.75177137829269</v>
      </c>
      <c r="AC93" s="54">
        <v>90</v>
      </c>
      <c r="AD93" s="54">
        <f>'[1]功能-实力'!BE94</f>
        <v>8153232</v>
      </c>
      <c r="AE93" s="54">
        <f>'[1]功能-实力'!BF94</f>
        <v>8681382</v>
      </c>
      <c r="AF93" s="54">
        <f>'[1]功能-实力'!BG94</f>
        <v>9291600</v>
      </c>
      <c r="AG93" s="54">
        <f>'[1]功能-实力'!BH94</f>
        <v>9956760</v>
      </c>
      <c r="AH93" s="54">
        <f>'[1]功能-实力'!BI94</f>
        <v>10586526</v>
      </c>
    </row>
    <row r="94" spans="2:34" x14ac:dyDescent="0.15">
      <c r="B94" s="25">
        <v>91</v>
      </c>
      <c r="C94" s="26">
        <f>'[1]资源-钻石'!L94</f>
        <v>2565891.7560694292</v>
      </c>
      <c r="D94" s="26">
        <f>'[1]资源-钻石'!M94</f>
        <v>3363715.3147998438</v>
      </c>
      <c r="E94" s="26">
        <f>'[1]资源-钻石'!N94</f>
        <v>4722613.984899058</v>
      </c>
      <c r="F94" s="26">
        <f>'[1]资源-钻石'!O94</f>
        <v>9268066.4614736512</v>
      </c>
      <c r="G94" s="26">
        <f>'[1]资源-钻石'!P94</f>
        <v>12144800.004735613</v>
      </c>
      <c r="I94" s="25">
        <v>91</v>
      </c>
      <c r="J94" s="26">
        <f>'[1]资源-钻石'!T94</f>
        <v>550608.82165937836</v>
      </c>
      <c r="K94" s="26">
        <f>'[1]资源-钻石'!U94</f>
        <v>761026.15637272957</v>
      </c>
      <c r="L94" s="26">
        <f>'[1]资源-钻石'!V94</f>
        <v>1249702.8318720539</v>
      </c>
      <c r="M94" s="26">
        <f>'[1]资源-钻石'!W94</f>
        <v>3224245.6192262913</v>
      </c>
      <c r="N94" s="26">
        <f>'[1]资源-钻石'!X94</f>
        <v>7604431.1420679633</v>
      </c>
      <c r="P94" s="31">
        <v>91</v>
      </c>
      <c r="Q94" s="31">
        <f>'[1]功能-行军令'!N94</f>
        <v>25196.408589654777</v>
      </c>
      <c r="R94" s="31">
        <f>'[1]功能-行军令'!O94</f>
        <v>31451.143148030165</v>
      </c>
      <c r="S94" s="31">
        <f>'[1]功能-行军令'!P94</f>
        <v>34437.958287128611</v>
      </c>
      <c r="T94" s="31">
        <f>'[1]功能-行军令'!Q94</f>
        <v>28079.261155920252</v>
      </c>
      <c r="U94" s="31">
        <f>'[1]功能-行军令'!R94</f>
        <v>15232.872236484771</v>
      </c>
      <c r="V94" s="31">
        <f>'[1]功能-行军令'!S94</f>
        <v>1690.4085896547767</v>
      </c>
      <c r="W94" s="31">
        <f>'[1]功能-行军令'!T94</f>
        <v>2096.3393480301638</v>
      </c>
      <c r="X94" s="31">
        <f>'[1]功能-行军令'!U94</f>
        <v>2245.315987128608</v>
      </c>
      <c r="Y94" s="31">
        <f>'[1]功能-行军令'!V94</f>
        <v>1825.9207559202514</v>
      </c>
      <c r="Z94" s="31">
        <f>'[1]功能-行军令'!W94</f>
        <v>969.32923648476935</v>
      </c>
      <c r="AC94" s="54">
        <v>91</v>
      </c>
      <c r="AD94" s="54">
        <f>'[1]功能-实力'!BE95</f>
        <v>8359488</v>
      </c>
      <c r="AE94" s="54">
        <f>'[1]功能-实力'!BF95</f>
        <v>8933070</v>
      </c>
      <c r="AF94" s="54">
        <f>'[1]功能-实力'!BG95</f>
        <v>9583662</v>
      </c>
      <c r="AG94" s="54">
        <f>'[1]功能-实力'!BH95</f>
        <v>10233834</v>
      </c>
      <c r="AH94" s="54">
        <f>'[1]功能-实力'!BI95</f>
        <v>10878762</v>
      </c>
    </row>
    <row r="95" spans="2:34" x14ac:dyDescent="0.15">
      <c r="B95" s="25">
        <v>92</v>
      </c>
      <c r="C95" s="26">
        <f>'[1]资源-钻石'!L95</f>
        <v>2683090.2850706782</v>
      </c>
      <c r="D95" s="26">
        <f>'[1]资源-钻石'!M95</f>
        <v>3542902.7656924357</v>
      </c>
      <c r="E95" s="26">
        <f>'[1]资源-钻石'!N95</f>
        <v>4988607.0557778943</v>
      </c>
      <c r="F95" s="26">
        <f>'[1]资源-钻石'!O95</f>
        <v>9909659.7250802778</v>
      </c>
      <c r="G95" s="26">
        <f>'[1]资源-钻石'!P95</f>
        <v>12969803.18327716</v>
      </c>
      <c r="I95" s="25">
        <v>92</v>
      </c>
      <c r="J95" s="26">
        <f>'[1]资源-钻石'!T95</f>
        <v>555018.73661759845</v>
      </c>
      <c r="K95" s="26">
        <f>'[1]资源-钻石'!U95</f>
        <v>767570.76773233828</v>
      </c>
      <c r="L95" s="26">
        <f>'[1]资源-钻石'!V95</f>
        <v>1261195.7651168406</v>
      </c>
      <c r="M95" s="26">
        <f>'[1]资源-钻石'!W95</f>
        <v>3257936.5193780111</v>
      </c>
      <c r="N95" s="26">
        <f>'[1]资源-钻石'!X95</f>
        <v>7684501.0271682115</v>
      </c>
      <c r="P95" s="31">
        <v>92</v>
      </c>
      <c r="Q95" s="31">
        <f>'[1]功能-行军令'!N95</f>
        <v>27008.143656890144</v>
      </c>
      <c r="R95" s="31">
        <f>'[1]功能-行军令'!O95</f>
        <v>33653.614830379513</v>
      </c>
      <c r="S95" s="31">
        <f>'[1]功能-行军令'!P95</f>
        <v>36866.116091655043</v>
      </c>
      <c r="T95" s="31">
        <f>'[1]功能-行军令'!Q95</f>
        <v>30031.764052634771</v>
      </c>
      <c r="U95" s="31">
        <f>'[1]功能-行军令'!R95</f>
        <v>16297.946863038807</v>
      </c>
      <c r="V95" s="31">
        <f>'[1]功能-行军令'!S95</f>
        <v>1811.7350672353678</v>
      </c>
      <c r="W95" s="31">
        <f>'[1]功能-行军令'!T95</f>
        <v>2202.4716823493472</v>
      </c>
      <c r="X95" s="31">
        <f>'[1]功能-行军令'!U95</f>
        <v>2428.1578045264323</v>
      </c>
      <c r="Y95" s="31">
        <f>'[1]功能-行军令'!V95</f>
        <v>1952.502896714519</v>
      </c>
      <c r="Z95" s="31">
        <f>'[1]功能-行军令'!W95</f>
        <v>1065.0746265540365</v>
      </c>
      <c r="AC95" s="54">
        <v>92</v>
      </c>
      <c r="AD95" s="54">
        <f>'[1]功能-实力'!BE96</f>
        <v>8564850</v>
      </c>
      <c r="AE95" s="54">
        <f>'[1]功能-实力'!BF96</f>
        <v>9203340</v>
      </c>
      <c r="AF95" s="54">
        <f>'[1]功能-实力'!BG96</f>
        <v>9849156</v>
      </c>
      <c r="AG95" s="54">
        <f>'[1]功能-实力'!BH96</f>
        <v>10470240</v>
      </c>
      <c r="AH95" s="54">
        <f>'[1]功能-实力'!BI96</f>
        <v>11151042</v>
      </c>
    </row>
    <row r="96" spans="2:34" x14ac:dyDescent="0.15">
      <c r="B96" s="25">
        <v>93</v>
      </c>
      <c r="C96" s="26">
        <f>'[1]资源-钻石'!L96</f>
        <v>2800288.8140719272</v>
      </c>
      <c r="D96" s="26">
        <f>'[1]资源-钻石'!M96</f>
        <v>3722090.2165850275</v>
      </c>
      <c r="E96" s="26">
        <f>'[1]资源-钻石'!N96</f>
        <v>5254600.1266567307</v>
      </c>
      <c r="F96" s="26">
        <f>'[1]资源-钻石'!O96</f>
        <v>10612768.696595727</v>
      </c>
      <c r="G96" s="26">
        <f>'[1]资源-钻石'!P96</f>
        <v>13802121.518845527</v>
      </c>
      <c r="I96" s="25">
        <v>93</v>
      </c>
      <c r="J96" s="26">
        <f>'[1]资源-钻石'!T96</f>
        <v>559428.65157581854</v>
      </c>
      <c r="K96" s="26">
        <f>'[1]资源-钻石'!U96</f>
        <v>774115.37909194687</v>
      </c>
      <c r="L96" s="26">
        <f>'[1]资源-钻石'!V96</f>
        <v>1272688.6983616273</v>
      </c>
      <c r="M96" s="26">
        <f>'[1]资源-钻石'!W96</f>
        <v>3291627.4195297305</v>
      </c>
      <c r="N96" s="26">
        <f>'[1]资源-钻石'!X96</f>
        <v>7764570.9122684607</v>
      </c>
      <c r="P96" s="31">
        <v>93</v>
      </c>
      <c r="Q96" s="31">
        <f>'[1]功能-行军令'!N96</f>
        <v>28949.913223099466</v>
      </c>
      <c r="R96" s="31">
        <f>'[1]功能-行军令'!O96</f>
        <v>36056.298769648856</v>
      </c>
      <c r="S96" s="31">
        <f>'[1]功能-行军令'!P96</f>
        <v>39465.088117074862</v>
      </c>
      <c r="T96" s="31">
        <f>'[1]功能-行军令'!Q96</f>
        <v>32171.472153484767</v>
      </c>
      <c r="U96" s="31">
        <f>'[1]功能-行军令'!R96</f>
        <v>17372.465317618207</v>
      </c>
      <c r="V96" s="31">
        <f>'[1]功能-行军令'!S96</f>
        <v>1941.7695662093211</v>
      </c>
      <c r="W96" s="31">
        <f>'[1]功能-行军令'!T96</f>
        <v>2402.6839392693437</v>
      </c>
      <c r="X96" s="31">
        <f>'[1]功能-行军令'!U96</f>
        <v>2598.9720254198182</v>
      </c>
      <c r="Y96" s="31">
        <f>'[1]功能-行军令'!V96</f>
        <v>2139.7081008499954</v>
      </c>
      <c r="Z96" s="31">
        <f>'[1]功能-行军令'!W96</f>
        <v>1074.5184545794</v>
      </c>
      <c r="AC96" s="54">
        <v>93</v>
      </c>
      <c r="AD96" s="54">
        <f>'[1]功能-实力'!BE97</f>
        <v>8758308</v>
      </c>
      <c r="AE96" s="54">
        <f>'[1]功能-实力'!BF97</f>
        <v>9446160</v>
      </c>
      <c r="AF96" s="54">
        <f>'[1]功能-实力'!BG97</f>
        <v>10081470</v>
      </c>
      <c r="AG96" s="54">
        <f>'[1]功能-实力'!BH97</f>
        <v>10668714</v>
      </c>
      <c r="AH96" s="54">
        <f>'[1]功能-实力'!BI97</f>
        <v>11384694</v>
      </c>
    </row>
    <row r="97" spans="2:34" x14ac:dyDescent="0.15">
      <c r="B97" s="25">
        <v>94</v>
      </c>
      <c r="C97" s="26">
        <f>'[1]资源-钻石'!L97</f>
        <v>2917487.3430731762</v>
      </c>
      <c r="D97" s="26">
        <f>'[1]资源-钻石'!M97</f>
        <v>3901277.6674776194</v>
      </c>
      <c r="E97" s="26">
        <f>'[1]资源-钻石'!N97</f>
        <v>5520593.197535567</v>
      </c>
      <c r="F97" s="26">
        <f>'[1]资源-钻石'!O97</f>
        <v>11311085.324867805</v>
      </c>
      <c r="G97" s="26">
        <f>'[1]资源-钻石'!P97</f>
        <v>14688755.27632761</v>
      </c>
      <c r="I97" s="25">
        <v>94</v>
      </c>
      <c r="J97" s="26">
        <f>'[1]资源-钻石'!T97</f>
        <v>563838.56653403863</v>
      </c>
      <c r="K97" s="26">
        <f>'[1]资源-钻石'!U97</f>
        <v>780659.99045155558</v>
      </c>
      <c r="L97" s="26">
        <f>'[1]资源-钻石'!V97</f>
        <v>1284181.631606414</v>
      </c>
      <c r="M97" s="26">
        <f>'[1]资源-钻石'!W97</f>
        <v>3324509.7947670557</v>
      </c>
      <c r="N97" s="26">
        <f>'[1]资源-钻石'!X97</f>
        <v>7844640.7973687099</v>
      </c>
      <c r="P97" s="31">
        <v>94</v>
      </c>
      <c r="Q97" s="31">
        <f>'[1]功能-行军令'!N97</f>
        <v>31031.050314523203</v>
      </c>
      <c r="R97" s="31">
        <f>'[1]功能-行军令'!O97</f>
        <v>38630.217242524777</v>
      </c>
      <c r="S97" s="31">
        <f>'[1]功能-行军令'!P97</f>
        <v>42253.024907940329</v>
      </c>
      <c r="T97" s="31">
        <f>'[1]功能-行军令'!Q97</f>
        <v>34296.596148491546</v>
      </c>
      <c r="U97" s="31">
        <f>'[1]功能-行军令'!R97</f>
        <v>18517.104687141407</v>
      </c>
      <c r="V97" s="31">
        <f>'[1]功能-行军令'!S97</f>
        <v>2081.1370914237377</v>
      </c>
      <c r="W97" s="31">
        <f>'[1]功能-行军令'!T97</f>
        <v>2573.918472875921</v>
      </c>
      <c r="X97" s="31">
        <f>'[1]功能-行军令'!U97</f>
        <v>2787.9367908654676</v>
      </c>
      <c r="Y97" s="31">
        <f>'[1]功能-行军令'!V97</f>
        <v>2125.1239950067793</v>
      </c>
      <c r="Z97" s="31">
        <f>'[1]功能-行军令'!W97</f>
        <v>1144.6393695232</v>
      </c>
      <c r="AC97" s="54">
        <v>94</v>
      </c>
      <c r="AD97" s="54">
        <f>'[1]功能-实力'!BE98</f>
        <v>8959728</v>
      </c>
      <c r="AE97" s="54">
        <f>'[1]功能-实力'!BF98</f>
        <v>9654330</v>
      </c>
      <c r="AF97" s="54">
        <f>'[1]功能-实力'!BG98</f>
        <v>10303320</v>
      </c>
      <c r="AG97" s="54">
        <f>'[1]功能-实力'!BH98</f>
        <v>10869702</v>
      </c>
      <c r="AH97" s="54">
        <f>'[1]功能-实力'!BI98</f>
        <v>11622738</v>
      </c>
    </row>
    <row r="98" spans="2:34" x14ac:dyDescent="0.15">
      <c r="B98" s="25">
        <v>95</v>
      </c>
      <c r="C98" s="26">
        <f>'[1]资源-钻石'!L98</f>
        <v>3034685.8720744252</v>
      </c>
      <c r="D98" s="26">
        <f>'[1]资源-钻石'!M98</f>
        <v>4080465.1183702112</v>
      </c>
      <c r="E98" s="26">
        <f>'[1]资源-钻石'!N98</f>
        <v>5786586.2684144033</v>
      </c>
      <c r="F98" s="26">
        <f>'[1]资源-钻石'!O98</f>
        <v>12079558.023970503</v>
      </c>
      <c r="G98" s="26">
        <f>'[1]资源-钻石'!P98</f>
        <v>15736283.926352851</v>
      </c>
      <c r="I98" s="25">
        <v>95</v>
      </c>
      <c r="J98" s="26">
        <f>'[1]资源-钻石'!T98</f>
        <v>568248.48149225861</v>
      </c>
      <c r="K98" s="26">
        <f>'[1]资源-钻石'!U98</f>
        <v>787204.60181116418</v>
      </c>
      <c r="L98" s="26">
        <f>'[1]资源-钻石'!V98</f>
        <v>1295674.5648512007</v>
      </c>
      <c r="M98" s="26">
        <f>'[1]资源-钻石'!W98</f>
        <v>3357172.0213363213</v>
      </c>
      <c r="N98" s="26">
        <f>'[1]资源-钻石'!X98</f>
        <v>7924710.6824689582</v>
      </c>
      <c r="P98" s="31">
        <v>95</v>
      </c>
      <c r="Q98" s="31">
        <f>'[1]功能-行军令'!N98</f>
        <v>33261.557821011134</v>
      </c>
      <c r="R98" s="31">
        <f>'[1]功能-行军令'!O98</f>
        <v>41436.019501930976</v>
      </c>
      <c r="S98" s="31">
        <f>'[1]功能-行军令'!P98</f>
        <v>45158.56628397727</v>
      </c>
      <c r="T98" s="31">
        <f>'[1]功能-行军令'!Q98</f>
        <v>36635.219784608773</v>
      </c>
      <c r="U98" s="31">
        <f>'[1]功能-行军令'!R98</f>
        <v>19848.111552344461</v>
      </c>
      <c r="V98" s="31">
        <f>'[1]功能-行军令'!S98</f>
        <v>2230.5075064879311</v>
      </c>
      <c r="W98" s="31">
        <f>'[1]功能-行军令'!T98</f>
        <v>2805.8022594061986</v>
      </c>
      <c r="X98" s="31">
        <f>'[1]功能-行军令'!U98</f>
        <v>2905.5413760369411</v>
      </c>
      <c r="Y98" s="31">
        <f>'[1]功能-行军令'!V98</f>
        <v>2338.6236361172269</v>
      </c>
      <c r="Z98" s="31">
        <f>'[1]功能-行军令'!W98</f>
        <v>1331.0068652030532</v>
      </c>
      <c r="AC98" s="54">
        <v>95</v>
      </c>
      <c r="AD98" s="54">
        <f>'[1]功能-实力'!BE99</f>
        <v>9162096</v>
      </c>
      <c r="AE98" s="54">
        <f>'[1]功能-实力'!BF99</f>
        <v>9860820</v>
      </c>
      <c r="AF98" s="54">
        <f>'[1]功能-实力'!BG99</f>
        <v>10521264</v>
      </c>
      <c r="AG98" s="54">
        <f>'[1]功能-实力'!BH99</f>
        <v>11069868</v>
      </c>
      <c r="AH98" s="54">
        <f>'[1]功能-实力'!BI99</f>
        <v>11858652</v>
      </c>
    </row>
    <row r="99" spans="2:34" x14ac:dyDescent="0.15">
      <c r="B99" s="25">
        <v>96</v>
      </c>
      <c r="C99" s="26">
        <f>'[1]资源-钻石'!L99</f>
        <v>3151884.4010756742</v>
      </c>
      <c r="D99" s="26">
        <f>'[1]资源-钻石'!M99</f>
        <v>4259652.5692628026</v>
      </c>
      <c r="E99" s="26">
        <f>'[1]资源-钻石'!N99</f>
        <v>6052579.3392932396</v>
      </c>
      <c r="F99" s="26">
        <f>'[1]资源-钻石'!O99</f>
        <v>12848030.723073201</v>
      </c>
      <c r="G99" s="26">
        <f>'[1]资源-钻石'!P99</f>
        <v>16859307.516246781</v>
      </c>
      <c r="I99" s="25">
        <v>96</v>
      </c>
      <c r="J99" s="26">
        <f>'[1]资源-钻石'!T99</f>
        <v>572658.3964504787</v>
      </c>
      <c r="K99" s="26">
        <f>'[1]资源-钻石'!U99</f>
        <v>793724.99826907925</v>
      </c>
      <c r="L99" s="26">
        <f>'[1]资源-钻石'!V99</f>
        <v>1307167.4980959874</v>
      </c>
      <c r="M99" s="26">
        <f>'[1]资源-钻石'!W99</f>
        <v>3389834.2479055864</v>
      </c>
      <c r="N99" s="26">
        <f>'[1]资源-钻石'!X99</f>
        <v>8004680.1726961434</v>
      </c>
      <c r="P99" s="31">
        <v>96</v>
      </c>
      <c r="Q99" s="31">
        <f>'[1]功能-行军令'!N99</f>
        <v>35652.156574452893</v>
      </c>
      <c r="R99" s="31">
        <f>'[1]功能-行军令'!O99</f>
        <v>44289.511542119748</v>
      </c>
      <c r="S99" s="31">
        <f>'[1]功能-行军令'!P99</f>
        <v>48199.70056676698</v>
      </c>
      <c r="T99" s="31">
        <f>'[1]功能-行军令'!Q99</f>
        <v>39180.480000312447</v>
      </c>
      <c r="U99" s="31">
        <f>'[1]功能-行军令'!R99</f>
        <v>21274.649388922713</v>
      </c>
      <c r="V99" s="31">
        <f>'[1]功能-行军令'!S99</f>
        <v>2390.5987534417582</v>
      </c>
      <c r="W99" s="31">
        <f>'[1]功能-行军令'!T99</f>
        <v>2853.4920401887721</v>
      </c>
      <c r="X99" s="31">
        <f>'[1]功能-行军令'!U99</f>
        <v>3041.1342827897097</v>
      </c>
      <c r="Y99" s="31">
        <f>'[1]功能-行军令'!V99</f>
        <v>2545.2602157036745</v>
      </c>
      <c r="Z99" s="31">
        <f>'[1]功能-行军令'!W99</f>
        <v>1426.5378365782526</v>
      </c>
      <c r="AC99" s="54">
        <v>96</v>
      </c>
      <c r="AD99" s="54">
        <f>'[1]功能-实力'!BE100</f>
        <v>9369396</v>
      </c>
      <c r="AE99" s="54">
        <f>'[1]功能-实力'!BF100</f>
        <v>10068420</v>
      </c>
      <c r="AF99" s="54">
        <f>'[1]功能-实力'!BG100</f>
        <v>10731840</v>
      </c>
      <c r="AG99" s="54">
        <f>'[1]功能-实力'!BH100</f>
        <v>11273820</v>
      </c>
      <c r="AH99" s="54">
        <f>'[1]功能-实力'!BI100</f>
        <v>12099474</v>
      </c>
    </row>
    <row r="100" spans="2:34" x14ac:dyDescent="0.15">
      <c r="B100" s="25">
        <v>97</v>
      </c>
      <c r="C100" s="26">
        <f>'[1]资源-钻石'!L100</f>
        <v>3269082.9300769232</v>
      </c>
      <c r="D100" s="26">
        <f>'[1]资源-钻石'!M100</f>
        <v>4438840.0201553944</v>
      </c>
      <c r="E100" s="26">
        <f>'[1]资源-钻石'!N100</f>
        <v>6318572.410172076</v>
      </c>
      <c r="F100" s="26">
        <f>'[1]资源-钻石'!O100</f>
        <v>13616503.422175899</v>
      </c>
      <c r="G100" s="26">
        <f>'[1]资源-钻石'!P100</f>
        <v>18163976.544238042</v>
      </c>
      <c r="I100" s="25">
        <v>97</v>
      </c>
      <c r="J100" s="26">
        <f>'[1]资源-钻石'!T100</f>
        <v>576950.76970311883</v>
      </c>
      <c r="K100" s="26">
        <f>'[1]资源-钻石'!U100</f>
        <v>800125.84667343087</v>
      </c>
      <c r="L100" s="26">
        <f>'[1]资源-钻石'!V100</f>
        <v>1318660.4313407741</v>
      </c>
      <c r="M100" s="26">
        <f>'[1]资源-钻石'!W100</f>
        <v>3422496.474474852</v>
      </c>
      <c r="N100" s="26">
        <f>'[1]资源-钻石'!X100</f>
        <v>8084463.6219223347</v>
      </c>
      <c r="P100" s="31">
        <v>97</v>
      </c>
      <c r="Q100" s="31">
        <f>'[1]功能-行军令'!N100</f>
        <v>38214.336877964088</v>
      </c>
      <c r="R100" s="31">
        <f>'[1]功能-行军令'!O100</f>
        <v>47394.500566441093</v>
      </c>
      <c r="S100" s="31">
        <f>'[1]功能-行军令'!P100</f>
        <v>51746.781238259646</v>
      </c>
      <c r="T100" s="31">
        <f>'[1]功能-行军令'!Q100</f>
        <v>42141.690738628764</v>
      </c>
      <c r="U100" s="31">
        <f>'[1]功能-行军令'!R100</f>
        <v>22931.925112593926</v>
      </c>
      <c r="V100" s="31">
        <f>'[1]功能-行军令'!S100</f>
        <v>2562.1803035111952</v>
      </c>
      <c r="W100" s="31">
        <f>'[1]功能-行军令'!T100</f>
        <v>3104.9890243213449</v>
      </c>
      <c r="X100" s="31">
        <f>'[1]功能-行军令'!U100</f>
        <v>3547.0806714926657</v>
      </c>
      <c r="Y100" s="31">
        <f>'[1]功能-行军令'!V100</f>
        <v>2961.2107383163166</v>
      </c>
      <c r="Z100" s="31">
        <f>'[1]功能-行军令'!W100</f>
        <v>1657.2757236712132</v>
      </c>
      <c r="AC100" s="54">
        <v>97</v>
      </c>
      <c r="AD100" s="54">
        <f>'[1]功能-实力'!BE101</f>
        <v>9576984</v>
      </c>
      <c r="AE100" s="54">
        <f>'[1]功能-实力'!BF101</f>
        <v>10276134</v>
      </c>
      <c r="AF100" s="54">
        <f>'[1]功能-实力'!BG101</f>
        <v>10943748</v>
      </c>
      <c r="AG100" s="54">
        <f>'[1]功能-实力'!BH101</f>
        <v>11479290</v>
      </c>
      <c r="AH100" s="54">
        <f>'[1]功能-实力'!BI101</f>
        <v>12342438</v>
      </c>
    </row>
    <row r="101" spans="2:34" x14ac:dyDescent="0.15">
      <c r="B101" s="25">
        <v>98</v>
      </c>
      <c r="C101" s="26">
        <f>'[1]资源-钻石'!L101</f>
        <v>3386281.4590781722</v>
      </c>
      <c r="D101" s="26">
        <f>'[1]资源-钻石'!M101</f>
        <v>4618027.4710479863</v>
      </c>
      <c r="E101" s="26">
        <f>'[1]资源-钻石'!N101</f>
        <v>6584565.4810509123</v>
      </c>
      <c r="F101" s="26">
        <f>'[1]资源-钻石'!O101</f>
        <v>14384976.121278597</v>
      </c>
      <c r="G101" s="26">
        <f>'[1]资源-钻石'!P101</f>
        <v>19605656.796874665</v>
      </c>
      <c r="I101" s="25">
        <v>98</v>
      </c>
      <c r="J101" s="26">
        <f>'[1]资源-钻石'!T101</f>
        <v>581242.45007071109</v>
      </c>
      <c r="K101" s="26">
        <f>'[1]资源-钻石'!U101</f>
        <v>806526.69507778238</v>
      </c>
      <c r="L101" s="26">
        <f>'[1]资源-钻石'!V101</f>
        <v>1330153.3645855607</v>
      </c>
      <c r="M101" s="26">
        <f>'[1]资源-钻石'!W101</f>
        <v>3455158.7010441171</v>
      </c>
      <c r="N101" s="26">
        <f>'[1]资源-钻石'!X101</f>
        <v>8164247.0711485269</v>
      </c>
      <c r="P101" s="31">
        <v>98</v>
      </c>
      <c r="Q101" s="31">
        <f>'[1]功能-行军令'!N101</f>
        <v>40960.413733500631</v>
      </c>
      <c r="R101" s="31">
        <f>'[1]功能-行军令'!O101</f>
        <v>50895.718262071932</v>
      </c>
      <c r="S101" s="31">
        <f>'[1]功能-行军令'!P101</f>
        <v>55716.491825371908</v>
      </c>
      <c r="T101" s="31">
        <f>'[1]功能-行军令'!Q101</f>
        <v>45445.133815430541</v>
      </c>
      <c r="U101" s="31">
        <f>'[1]功能-行军令'!R101</f>
        <v>24763.241433231578</v>
      </c>
      <c r="V101" s="31">
        <f>'[1]功能-行军令'!S101</f>
        <v>2746.076855536543</v>
      </c>
      <c r="W101" s="31">
        <f>'[1]功能-行军令'!T101</f>
        <v>3501.2176956308394</v>
      </c>
      <c r="X101" s="31">
        <f>'[1]功能-行军令'!U101</f>
        <v>3969.7105871122621</v>
      </c>
      <c r="Y101" s="31">
        <f>'[1]功能-行军令'!V101</f>
        <v>3303.4430768017774</v>
      </c>
      <c r="Z101" s="31">
        <f>'[1]功能-行军令'!W101</f>
        <v>1831.3163206376521</v>
      </c>
      <c r="AC101" s="54">
        <v>98</v>
      </c>
      <c r="AD101" s="54">
        <f>'[1]功能-实力'!BE102</f>
        <v>9779358</v>
      </c>
      <c r="AE101" s="54">
        <f>'[1]功能-实力'!BF102</f>
        <v>10466124</v>
      </c>
      <c r="AF101" s="54">
        <f>'[1]功能-实力'!BG102</f>
        <v>11144430</v>
      </c>
      <c r="AG101" s="54">
        <f>'[1]功能-实力'!BH102</f>
        <v>11689350</v>
      </c>
      <c r="AH101" s="54">
        <f>'[1]功能-实力'!BI102</f>
        <v>12590376</v>
      </c>
    </row>
    <row r="102" spans="2:34" x14ac:dyDescent="0.15">
      <c r="B102" s="25">
        <v>99</v>
      </c>
      <c r="C102" s="26">
        <f>'[1]资源-钻石'!L102</f>
        <v>3503479.9880794212</v>
      </c>
      <c r="D102" s="26">
        <f>'[1]资源-钻石'!M102</f>
        <v>4797214.9219405781</v>
      </c>
      <c r="E102" s="26">
        <f>'[1]资源-钻石'!N102</f>
        <v>6850558.5519297486</v>
      </c>
      <c r="F102" s="26">
        <f>'[1]资源-钻石'!O102</f>
        <v>15153448.820381295</v>
      </c>
      <c r="G102" s="26">
        <f>'[1]资源-钻石'!P102</f>
        <v>20967724.033626091</v>
      </c>
      <c r="I102" s="25">
        <v>99</v>
      </c>
      <c r="J102" s="26">
        <f>'[1]资源-钻石'!T102</f>
        <v>585534.13043830346</v>
      </c>
      <c r="K102" s="26">
        <f>'[1]资源-钻石'!U102</f>
        <v>812927.54348213389</v>
      </c>
      <c r="L102" s="26">
        <f>'[1]资源-钻石'!V102</f>
        <v>1341646.2978303474</v>
      </c>
      <c r="M102" s="26">
        <f>'[1]资源-钻石'!W102</f>
        <v>3487820.9276133822</v>
      </c>
      <c r="N102" s="26">
        <f>'[1]资源-钻石'!X102</f>
        <v>8244030.5203747191</v>
      </c>
      <c r="P102" s="31">
        <v>99</v>
      </c>
      <c r="Q102" s="31">
        <f>'[1]功能-行军令'!N102</f>
        <v>43903.586033349777</v>
      </c>
      <c r="R102" s="31">
        <f>'[1]功能-行军令'!O102</f>
        <v>54655.097040025466</v>
      </c>
      <c r="S102" s="31">
        <f>'[1]功能-行军令'!P102</f>
        <v>59902.339111637426</v>
      </c>
      <c r="T102" s="31">
        <f>'[1]功能-行军令'!Q102</f>
        <v>48966.146715886673</v>
      </c>
      <c r="U102" s="31">
        <f>'[1]功能-行军令'!R102</f>
        <v>26493.42810666826</v>
      </c>
      <c r="V102" s="31">
        <f>'[1]功能-行军令'!S102</f>
        <v>2943.1722998491459</v>
      </c>
      <c r="W102" s="31">
        <f>'[1]功能-行军令'!T102</f>
        <v>3759.3787779535342</v>
      </c>
      <c r="X102" s="31">
        <f>'[1]功能-行军令'!U102</f>
        <v>4185.8472862655181</v>
      </c>
      <c r="Y102" s="31">
        <f>'[1]功能-行军令'!V102</f>
        <v>3521.0129004561313</v>
      </c>
      <c r="Z102" s="31">
        <f>'[1]功能-行军令'!W102</f>
        <v>1730.1866734366813</v>
      </c>
      <c r="AC102" s="54">
        <v>99</v>
      </c>
      <c r="AD102" s="54">
        <f>'[1]功能-实力'!BE103</f>
        <v>9984522</v>
      </c>
      <c r="AE102" s="54">
        <f>'[1]功能-实力'!BF103</f>
        <v>10660608</v>
      </c>
      <c r="AF102" s="54">
        <f>'[1]功能-实力'!BG103</f>
        <v>11346336</v>
      </c>
      <c r="AG102" s="54">
        <f>'[1]功能-实力'!BH103</f>
        <v>11900850</v>
      </c>
      <c r="AH102" s="54">
        <f>'[1]功能-实力'!BI103</f>
        <v>12841500</v>
      </c>
    </row>
    <row r="103" spans="2:34" x14ac:dyDescent="0.15">
      <c r="B103" s="25">
        <v>100</v>
      </c>
      <c r="C103" s="26">
        <f>'[1]资源-钻石'!L103</f>
        <v>3620678.5170806702</v>
      </c>
      <c r="D103" s="26">
        <f>'[1]资源-钻石'!M103</f>
        <v>4976402.37283317</v>
      </c>
      <c r="E103" s="26">
        <f>'[1]资源-钻石'!N103</f>
        <v>7116551.6228085849</v>
      </c>
      <c r="F103" s="26">
        <f>'[1]资源-钻石'!O103</f>
        <v>15921921.519483993</v>
      </c>
      <c r="G103" s="26">
        <f>'[1]资源-钻石'!P103</f>
        <v>22341818.065524645</v>
      </c>
      <c r="I103" s="25">
        <v>100</v>
      </c>
      <c r="J103" s="26">
        <f>'[1]资源-钻石'!T103</f>
        <v>589825.81080589572</v>
      </c>
      <c r="K103" s="26">
        <f>'[1]资源-钻石'!U103</f>
        <v>819328.39188648539</v>
      </c>
      <c r="L103" s="26">
        <f>'[1]资源-钻石'!V103</f>
        <v>1353139.2310751341</v>
      </c>
      <c r="M103" s="26">
        <f>'[1]资源-钻石'!W103</f>
        <v>3520483.1541826478</v>
      </c>
      <c r="N103" s="26">
        <f>'[1]资源-钻石'!X103</f>
        <v>8323813.9696009103</v>
      </c>
      <c r="P103" s="31">
        <v>100</v>
      </c>
      <c r="Q103" s="31">
        <f>'[1]功能-行军令'!N103</f>
        <v>47058</v>
      </c>
      <c r="R103" s="31">
        <f>'[1]功能-行军令'!O103</f>
        <v>58623.117299999991</v>
      </c>
      <c r="S103" s="31">
        <f>'[1]功能-行军令'!P103</f>
        <v>64308.644399999997</v>
      </c>
      <c r="T103" s="31">
        <f>'[1]功能-行军令'!Q103</f>
        <v>52347.319199999998</v>
      </c>
      <c r="U103" s="31">
        <f>'[1]功能-行军令'!R103</f>
        <v>28238.892000000003</v>
      </c>
      <c r="V103" s="31">
        <f>'[1]功能-行军令'!S103</f>
        <v>3154.4139666502233</v>
      </c>
      <c r="W103" s="31">
        <f>'[1]功能-行军令'!T103</f>
        <v>3968.0202599745244</v>
      </c>
      <c r="X103" s="31">
        <f>'[1]功能-行军令'!U103</f>
        <v>4406.3052883625714</v>
      </c>
      <c r="Y103" s="31">
        <f>'[1]功能-行军令'!V103</f>
        <v>3381.1724841133255</v>
      </c>
      <c r="Z103" s="31">
        <f>'[1]功能-行军令'!W103</f>
        <v>1745.4638933317437</v>
      </c>
      <c r="AC103" s="54">
        <v>100</v>
      </c>
      <c r="AD103" s="54">
        <f>'[1]功能-实力'!BE104</f>
        <v>10193400</v>
      </c>
      <c r="AE103" s="54">
        <f>'[1]功能-实力'!BF104</f>
        <v>10854390</v>
      </c>
      <c r="AF103" s="54">
        <f>'[1]功能-实力'!BG104</f>
        <v>11550258</v>
      </c>
      <c r="AG103" s="54">
        <f>'[1]功能-实力'!BH104</f>
        <v>12117714</v>
      </c>
      <c r="AH103" s="54">
        <f>'[1]功能-实力'!BI104</f>
        <v>13096482</v>
      </c>
    </row>
    <row r="104" spans="2:34" x14ac:dyDescent="0.15">
      <c r="B104" s="25">
        <v>101</v>
      </c>
      <c r="C104" s="26">
        <f>'[1]资源-钻石'!L104</f>
        <v>3737877.0460819192</v>
      </c>
      <c r="D104" s="26">
        <f>'[1]资源-钻石'!M104</f>
        <v>5155589.8237257618</v>
      </c>
      <c r="E104" s="26">
        <f>'[1]资源-钻石'!N104</f>
        <v>7382544.6936874213</v>
      </c>
      <c r="F104" s="26">
        <f>'[1]资源-钻石'!O104</f>
        <v>16690394.218586691</v>
      </c>
      <c r="G104" s="26">
        <f>'[1]资源-钻石'!P104</f>
        <v>23850042.593604684</v>
      </c>
      <c r="I104" s="25">
        <v>101</v>
      </c>
      <c r="J104" s="26">
        <f>'[1]资源-钻石'!T104</f>
        <v>594117.49117348797</v>
      </c>
      <c r="K104" s="26">
        <f>'[1]资源-钻石'!U104</f>
        <v>825729.2402908369</v>
      </c>
      <c r="L104" s="26">
        <f>'[1]资源-钻石'!V104</f>
        <v>1364632.1643199208</v>
      </c>
      <c r="M104" s="26">
        <f>'[1]资源-钻石'!W104</f>
        <v>3553145.3807519129</v>
      </c>
      <c r="N104" s="26">
        <f>'[1]资源-钻石'!X104</f>
        <v>8403597.4188271016</v>
      </c>
      <c r="P104" s="31">
        <v>101</v>
      </c>
      <c r="Q104" s="31">
        <f>'[1]功能-行军令'!N104</f>
        <v>50438.81717930951</v>
      </c>
      <c r="R104" s="31">
        <f>'[1]功能-行军令'!O104</f>
        <v>62952.358772688509</v>
      </c>
      <c r="S104" s="31">
        <f>'[1]功能-行军令'!P104</f>
        <v>68839.00733592418</v>
      </c>
      <c r="T104" s="31">
        <f>'[1]功能-行军令'!Q104</f>
        <v>55758.029049277953</v>
      </c>
      <c r="U104" s="31">
        <f>'[1]功能-行军令'!R104</f>
        <v>30154.737201047625</v>
      </c>
      <c r="V104" s="31">
        <f>'[1]功能-行军令'!S104</f>
        <v>3380.8171793095098</v>
      </c>
      <c r="W104" s="31">
        <f>'[1]功能-行军令'!T104</f>
        <v>4329.2414726885181</v>
      </c>
      <c r="X104" s="31">
        <f>'[1]功能-行军令'!U104</f>
        <v>4530.3629359241822</v>
      </c>
      <c r="Y104" s="31">
        <f>'[1]功能-行军令'!V104</f>
        <v>3410.7098492779551</v>
      </c>
      <c r="Z104" s="31">
        <f>'[1]功能-行军令'!W104</f>
        <v>1915.8452010476212</v>
      </c>
      <c r="AC104" s="54">
        <v>101</v>
      </c>
      <c r="AD104" s="54">
        <f>'[1]功能-实力'!BE105</f>
        <v>10408824</v>
      </c>
      <c r="AE104" s="54">
        <f>'[1]功能-实力'!BF105</f>
        <v>11050266</v>
      </c>
      <c r="AF104" s="54">
        <f>'[1]功能-实力'!BG105</f>
        <v>11756400</v>
      </c>
      <c r="AG104" s="54">
        <f>'[1]功能-实力'!BH105</f>
        <v>12353628</v>
      </c>
      <c r="AH104" s="54">
        <f>'[1]功能-实力'!BI105</f>
        <v>13351962</v>
      </c>
    </row>
    <row r="105" spans="2:34" x14ac:dyDescent="0.15">
      <c r="B105" s="25">
        <v>102</v>
      </c>
      <c r="C105" s="26">
        <f>'[1]资源-钻石'!L105</f>
        <v>3855075.5750831682</v>
      </c>
      <c r="D105" s="26">
        <f>'[1]资源-钻石'!M105</f>
        <v>5334777.2746183537</v>
      </c>
      <c r="E105" s="26">
        <f>'[1]资源-钻石'!N105</f>
        <v>7648537.7645662576</v>
      </c>
      <c r="F105" s="26">
        <f>'[1]资源-钻石'!O105</f>
        <v>17458866.91768939</v>
      </c>
      <c r="G105" s="26">
        <f>'[1]资源-钻石'!P105</f>
        <v>25460124.611098997</v>
      </c>
      <c r="I105" s="25">
        <v>102</v>
      </c>
      <c r="J105" s="26">
        <f>'[1]资源-钻石'!T105</f>
        <v>598409.17154108034</v>
      </c>
      <c r="K105" s="26">
        <f>'[1]资源-钻石'!U105</f>
        <v>832130.08869518852</v>
      </c>
      <c r="L105" s="26">
        <f>'[1]资源-钻石'!V105</f>
        <v>1376125.0975647075</v>
      </c>
      <c r="M105" s="26">
        <f>'[1]资源-钻石'!W105</f>
        <v>3585807.6073211785</v>
      </c>
      <c r="N105" s="26">
        <f>'[1]资源-钻石'!X105</f>
        <v>8483380.8680532947</v>
      </c>
      <c r="P105" s="31">
        <v>102</v>
      </c>
      <c r="Q105" s="31">
        <f>'[1]功能-行军令'!N105</f>
        <v>54062.287313780289</v>
      </c>
      <c r="R105" s="31">
        <f>'[1]功能-行军令'!O105</f>
        <v>67285.805264019393</v>
      </c>
      <c r="S105" s="31">
        <f>'[1]功能-行军令'!P105</f>
        <v>73367.224953261932</v>
      </c>
      <c r="T105" s="31">
        <f>'[1]功能-行军令'!Q105</f>
        <v>59436.783833039357</v>
      </c>
      <c r="U105" s="31">
        <f>'[1]功能-行军令'!R105</f>
        <v>32199.968430933746</v>
      </c>
      <c r="V105" s="31">
        <f>'[1]功能-行军令'!S105</f>
        <v>3623.4701344707792</v>
      </c>
      <c r="W105" s="31">
        <f>'[1]功能-行军令'!T105</f>
        <v>4333.4464913308839</v>
      </c>
      <c r="X105" s="31">
        <f>'[1]功能-行军令'!U105</f>
        <v>4528.217617337752</v>
      </c>
      <c r="Y105" s="31">
        <f>'[1]功能-行军令'!V105</f>
        <v>3678.7547837614038</v>
      </c>
      <c r="Z105" s="31">
        <f>'[1]功能-行军令'!W105</f>
        <v>2045.2312298861216</v>
      </c>
      <c r="AC105" s="54">
        <v>102</v>
      </c>
      <c r="AD105" s="54">
        <f>'[1]功能-实力'!BE106</f>
        <v>10630800</v>
      </c>
      <c r="AE105" s="54">
        <f>'[1]功能-实力'!BF106</f>
        <v>11248806</v>
      </c>
      <c r="AF105" s="54">
        <f>'[1]功能-实力'!BG106</f>
        <v>11965338</v>
      </c>
      <c r="AG105" s="54">
        <f>'[1]功能-实力'!BH106</f>
        <v>12595878</v>
      </c>
      <c r="AH105" s="54">
        <f>'[1]功能-实力'!BI106</f>
        <v>13607658</v>
      </c>
    </row>
    <row r="106" spans="2:34" x14ac:dyDescent="0.15">
      <c r="B106" s="25">
        <v>103</v>
      </c>
      <c r="C106" s="26">
        <f>'[1]资源-钻石'!L106</f>
        <v>3972274.1040844172</v>
      </c>
      <c r="D106" s="26">
        <f>'[1]资源-钻石'!M106</f>
        <v>5513964.7255109455</v>
      </c>
      <c r="E106" s="26">
        <f>'[1]资源-钻石'!N106</f>
        <v>7914530.8354450939</v>
      </c>
      <c r="F106" s="26">
        <f>'[1]资源-钻石'!O106</f>
        <v>18227339.61679209</v>
      </c>
      <c r="G106" s="26">
        <f>'[1]资源-钻石'!P106</f>
        <v>27281059.006197527</v>
      </c>
      <c r="I106" s="25">
        <v>103</v>
      </c>
      <c r="J106" s="26">
        <f>'[1]资源-钻石'!T106</f>
        <v>602700.8519086726</v>
      </c>
      <c r="K106" s="26">
        <f>'[1]资源-钻石'!U106</f>
        <v>838530.93709954002</v>
      </c>
      <c r="L106" s="26">
        <f>'[1]资源-钻石'!V106</f>
        <v>1387618.030809494</v>
      </c>
      <c r="M106" s="26">
        <f>'[1]资源-钻石'!W106</f>
        <v>3618469.8338904437</v>
      </c>
      <c r="N106" s="26">
        <f>'[1]资源-钻石'!X106</f>
        <v>8563164.317279486</v>
      </c>
      <c r="P106" s="31">
        <v>103</v>
      </c>
      <c r="Q106" s="31">
        <f>'[1]功能-行军令'!N106</f>
        <v>57945.826446198938</v>
      </c>
      <c r="R106" s="31">
        <f>'[1]功能-行军令'!O106</f>
        <v>71916.691171565428</v>
      </c>
      <c r="S106" s="31">
        <f>'[1]功能-行军令'!P106</f>
        <v>78305.092568070948</v>
      </c>
      <c r="T106" s="31">
        <f>'[1]功能-行军令'!Q106</f>
        <v>63654.498104652943</v>
      </c>
      <c r="U106" s="31">
        <f>'[1]功能-行军令'!R106</f>
        <v>34513.038108107794</v>
      </c>
      <c r="V106" s="31">
        <f>'[1]功能-行军令'!S106</f>
        <v>3883.5391324186494</v>
      </c>
      <c r="W106" s="31">
        <f>'[1]功能-行军令'!T106</f>
        <v>4630.885907546035</v>
      </c>
      <c r="X106" s="31">
        <f>'[1]功能-行军令'!U106</f>
        <v>4937.8676148090162</v>
      </c>
      <c r="Y106" s="31">
        <f>'[1]功能-行军令'!V106</f>
        <v>4217.7142716135859</v>
      </c>
      <c r="Z106" s="31">
        <f>'[1]功能-行军令'!W106</f>
        <v>2313.0696771740477</v>
      </c>
      <c r="AC106" s="54">
        <v>103</v>
      </c>
      <c r="AD106" s="54">
        <f>'[1]功能-实力'!BE107</f>
        <v>10857102</v>
      </c>
      <c r="AE106" s="54">
        <f>'[1]功能-实力'!BF107</f>
        <v>11449716</v>
      </c>
      <c r="AF106" s="54">
        <f>'[1]功能-实力'!BG107</f>
        <v>12176376</v>
      </c>
      <c r="AG106" s="54">
        <f>'[1]功能-实力'!BH107</f>
        <v>12838944</v>
      </c>
      <c r="AH106" s="54">
        <f>'[1]功能-实力'!BI107</f>
        <v>13868556</v>
      </c>
    </row>
    <row r="107" spans="2:34" x14ac:dyDescent="0.15">
      <c r="B107" s="25">
        <v>104</v>
      </c>
      <c r="C107" s="26">
        <f>'[1]资源-钻石'!L107</f>
        <v>4089472.6330856662</v>
      </c>
      <c r="D107" s="26">
        <f>'[1]资源-钻石'!M107</f>
        <v>5693152.1764035374</v>
      </c>
      <c r="E107" s="26">
        <f>'[1]资源-钻石'!N107</f>
        <v>8180523.9063239302</v>
      </c>
      <c r="F107" s="26">
        <f>'[1]资源-钻石'!O107</f>
        <v>18995812.31589479</v>
      </c>
      <c r="G107" s="26">
        <f>'[1]资源-钻石'!P107</f>
        <v>29101993.401296057</v>
      </c>
      <c r="I107" s="25">
        <v>104</v>
      </c>
      <c r="J107" s="26">
        <f>'[1]资源-钻石'!T107</f>
        <v>606992.53227626486</v>
      </c>
      <c r="K107" s="26">
        <f>'[1]资源-钻石'!U107</f>
        <v>844931.78550389153</v>
      </c>
      <c r="L107" s="26">
        <f>'[1]资源-钻石'!V107</f>
        <v>1399110.9640542807</v>
      </c>
      <c r="M107" s="26">
        <f>'[1]资源-钻石'!W107</f>
        <v>3651132.0604597093</v>
      </c>
      <c r="N107" s="26">
        <f>'[1]资源-钻石'!X107</f>
        <v>8642947.7665056773</v>
      </c>
      <c r="P107" s="31">
        <v>104</v>
      </c>
      <c r="Q107" s="31">
        <f>'[1]功能-行军令'!N107</f>
        <v>62108.100629046407</v>
      </c>
      <c r="R107" s="31">
        <f>'[1]功能-行军令'!O107</f>
        <v>77046.313988822629</v>
      </c>
      <c r="S107" s="31">
        <f>'[1]功能-行军令'!P107</f>
        <v>84187.80043789254</v>
      </c>
      <c r="T107" s="31">
        <f>'[1]功能-行军令'!Q107</f>
        <v>68449.33770327206</v>
      </c>
      <c r="U107" s="31">
        <f>'[1]功能-行军令'!R107</f>
        <v>37131.192943465336</v>
      </c>
      <c r="V107" s="31">
        <f>'[1]功能-行军令'!S107</f>
        <v>4162.2741828474682</v>
      </c>
      <c r="W107" s="31">
        <f>'[1]功能-行军令'!T107</f>
        <v>5129.6228172572009</v>
      </c>
      <c r="X107" s="31">
        <f>'[1]功能-行军令'!U107</f>
        <v>5882.7078698215919</v>
      </c>
      <c r="Y107" s="31">
        <f>'[1]功能-行军令'!V107</f>
        <v>4794.8395986191172</v>
      </c>
      <c r="Z107" s="31">
        <f>'[1]功能-行军令'!W107</f>
        <v>2618.1548353575417</v>
      </c>
      <c r="AC107" s="54">
        <v>104</v>
      </c>
      <c r="AD107" s="54">
        <f>'[1]功能-实力'!BE108</f>
        <v>11086374</v>
      </c>
      <c r="AE107" s="54">
        <f>'[1]功能-实力'!BF108</f>
        <v>11654022</v>
      </c>
      <c r="AF107" s="54">
        <f>'[1]功能-实力'!BG108</f>
        <v>12391266</v>
      </c>
      <c r="AG107" s="54">
        <f>'[1]功能-实力'!BH108</f>
        <v>13088196</v>
      </c>
      <c r="AH107" s="54">
        <f>'[1]功能-实力'!BI108</f>
        <v>14132118</v>
      </c>
    </row>
    <row r="108" spans="2:34" x14ac:dyDescent="0.15">
      <c r="B108" s="25">
        <v>105</v>
      </c>
      <c r="C108" s="26">
        <f>'[1]资源-钻石'!L108</f>
        <v>4206671.1620869152</v>
      </c>
      <c r="D108" s="26">
        <f>'[1]资源-钻石'!M108</f>
        <v>5872339.6272961292</v>
      </c>
      <c r="E108" s="26">
        <f>'[1]资源-钻石'!N108</f>
        <v>8446516.9772027656</v>
      </c>
      <c r="F108" s="26">
        <f>'[1]资源-钻石'!O108</f>
        <v>19764285.01499749</v>
      </c>
      <c r="G108" s="26">
        <f>'[1]资源-钻石'!P108</f>
        <v>30922927.796394587</v>
      </c>
      <c r="I108" s="25">
        <v>105</v>
      </c>
      <c r="J108" s="26">
        <f>'[1]资源-钻石'!T108</f>
        <v>611284.21264385723</v>
      </c>
      <c r="K108" s="26">
        <f>'[1]资源-钻石'!U108</f>
        <v>851332.63390824303</v>
      </c>
      <c r="L108" s="26">
        <f>'[1]资源-钻石'!V108</f>
        <v>1410603.8972990674</v>
      </c>
      <c r="M108" s="26">
        <f>'[1]资源-钻石'!W108</f>
        <v>3683794.2870289744</v>
      </c>
      <c r="N108" s="26">
        <f>'[1]资源-钻石'!X108</f>
        <v>8722731.2157318704</v>
      </c>
      <c r="P108" s="31">
        <v>105</v>
      </c>
      <c r="Q108" s="31">
        <f>'[1]功能-行军令'!N108</f>
        <v>66569.115642022269</v>
      </c>
      <c r="R108" s="31">
        <f>'[1]功能-行军令'!O108</f>
        <v>82735.42537568738</v>
      </c>
      <c r="S108" s="31">
        <f>'[1]功能-行军令'!P108</f>
        <v>90379.585867954564</v>
      </c>
      <c r="T108" s="31">
        <f>'[1]功能-行军令'!Q108</f>
        <v>73619.219134918792</v>
      </c>
      <c r="U108" s="31">
        <f>'[1]功能-行军令'!R108</f>
        <v>39798.201071114236</v>
      </c>
      <c r="V108" s="31">
        <f>'[1]功能-行军令'!S108</f>
        <v>4461.0150129758622</v>
      </c>
      <c r="W108" s="31">
        <f>'[1]功能-行军令'!T108</f>
        <v>5689.1113868647517</v>
      </c>
      <c r="X108" s="31">
        <f>'[1]功能-行军令'!U108</f>
        <v>6191.7854300620238</v>
      </c>
      <c r="Y108" s="31">
        <f>'[1]功能-行军令'!V108</f>
        <v>5169.8814316467324</v>
      </c>
      <c r="Z108" s="31">
        <f>'[1]功能-行军令'!W108</f>
        <v>2667.0081276489</v>
      </c>
      <c r="AC108" s="54">
        <v>105</v>
      </c>
      <c r="AD108" s="54">
        <f>'[1]功能-实力'!BE109</f>
        <v>11308650</v>
      </c>
      <c r="AE108" s="54">
        <f>'[1]功能-实力'!BF109</f>
        <v>11860452</v>
      </c>
      <c r="AF108" s="54">
        <f>'[1]功能-实力'!BG109</f>
        <v>12608052</v>
      </c>
      <c r="AG108" s="54">
        <f>'[1]功能-实力'!BH109</f>
        <v>13340022</v>
      </c>
      <c r="AH108" s="54">
        <f>'[1]功能-实力'!BI109</f>
        <v>14401104</v>
      </c>
    </row>
    <row r="109" spans="2:34" x14ac:dyDescent="0.15">
      <c r="B109" s="25">
        <v>106</v>
      </c>
      <c r="C109" s="26">
        <f>'[1]资源-钻石'!L109</f>
        <v>4323869.6910881642</v>
      </c>
      <c r="D109" s="26">
        <f>'[1]资源-钻石'!M109</f>
        <v>6051527.0781887211</v>
      </c>
      <c r="E109" s="26">
        <f>'[1]资源-钻石'!N109</f>
        <v>8712510.048081601</v>
      </c>
      <c r="F109" s="26">
        <f>'[1]资源-钻石'!O109</f>
        <v>20532757.71410019</v>
      </c>
      <c r="G109" s="26">
        <f>'[1]资源-钻石'!P109</f>
        <v>32743862.191493116</v>
      </c>
      <c r="I109" s="25">
        <v>106</v>
      </c>
      <c r="J109" s="26">
        <f>'[1]资源-钻石'!T109</f>
        <v>615575.89301144949</v>
      </c>
      <c r="K109" s="26">
        <f>'[1]资源-钻石'!U109</f>
        <v>857733.48231259454</v>
      </c>
      <c r="L109" s="26">
        <f>'[1]资源-钻石'!V109</f>
        <v>1422096.830543854</v>
      </c>
      <c r="M109" s="26">
        <f>'[1]资源-钻石'!W109</f>
        <v>3716456.51359824</v>
      </c>
      <c r="N109" s="26">
        <f>'[1]资源-钻石'!X109</f>
        <v>8802514.6649580617</v>
      </c>
      <c r="P109" s="31">
        <v>106</v>
      </c>
      <c r="Q109" s="31">
        <f>'[1]功能-行军令'!N109</f>
        <v>71350.313148905741</v>
      </c>
      <c r="R109" s="31">
        <f>'[1]功能-行军令'!O109</f>
        <v>88740.090666434582</v>
      </c>
      <c r="S109" s="31">
        <f>'[1]功能-行军令'!P109</f>
        <v>96885.039131134996</v>
      </c>
      <c r="T109" s="31">
        <f>'[1]功能-行军令'!Q109</f>
        <v>78794.942779111996</v>
      </c>
      <c r="U109" s="31">
        <f>'[1]功能-行军令'!R109</f>
        <v>42496.866948993898</v>
      </c>
      <c r="V109" s="31">
        <f>'[1]功能-行军令'!S109</f>
        <v>4781.1975068834727</v>
      </c>
      <c r="W109" s="31">
        <f>'[1]功能-行军令'!T109</f>
        <v>6004.6652907472017</v>
      </c>
      <c r="X109" s="31">
        <f>'[1]功能-行军令'!U109</f>
        <v>6505.4532631804323</v>
      </c>
      <c r="Y109" s="31">
        <f>'[1]功能-行军令'!V109</f>
        <v>5175.7236441932037</v>
      </c>
      <c r="Z109" s="31">
        <f>'[1]功能-行军令'!W109</f>
        <v>2698.6658778796627</v>
      </c>
      <c r="AC109" s="54">
        <v>106</v>
      </c>
      <c r="AD109" s="54">
        <f>'[1]功能-实力'!BE110</f>
        <v>11531598</v>
      </c>
      <c r="AE109" s="54">
        <f>'[1]功能-实力'!BF110</f>
        <v>12071046</v>
      </c>
      <c r="AF109" s="54">
        <f>'[1]功能-实力'!BG110</f>
        <v>12833958</v>
      </c>
      <c r="AG109" s="54">
        <f>'[1]功能-实力'!BH110</f>
        <v>13596888</v>
      </c>
      <c r="AH109" s="54">
        <f>'[1]功能-实力'!BI110</f>
        <v>14673246</v>
      </c>
    </row>
    <row r="110" spans="2:34" x14ac:dyDescent="0.15">
      <c r="B110" s="25">
        <v>107</v>
      </c>
      <c r="C110" s="26">
        <f>'[1]资源-钻石'!L110</f>
        <v>4441068.2200894132</v>
      </c>
      <c r="D110" s="26">
        <f>'[1]资源-钻石'!M110</f>
        <v>6230714.5290813129</v>
      </c>
      <c r="E110" s="26">
        <f>'[1]资源-钻石'!N110</f>
        <v>8978503.1189604364</v>
      </c>
      <c r="F110" s="26">
        <f>'[1]资源-钻石'!O110</f>
        <v>21301230.413202889</v>
      </c>
      <c r="G110" s="26">
        <f>'[1]资源-钻石'!P110</f>
        <v>34564796.586591646</v>
      </c>
      <c r="I110" s="25">
        <v>107</v>
      </c>
      <c r="J110" s="26">
        <f>'[1]资源-钻石'!T110</f>
        <v>619867.57337904186</v>
      </c>
      <c r="K110" s="26">
        <f>'[1]资源-钻石'!U110</f>
        <v>864134.33071694616</v>
      </c>
      <c r="L110" s="26">
        <f>'[1]资源-钻石'!V110</f>
        <v>1433589.7637886407</v>
      </c>
      <c r="M110" s="26">
        <f>'[1]资源-钻石'!W110</f>
        <v>3749118.7401675051</v>
      </c>
      <c r="N110" s="26">
        <f>'[1]资源-钻石'!X110</f>
        <v>8882298.1141842529</v>
      </c>
      <c r="P110" s="31">
        <v>107</v>
      </c>
      <c r="Q110" s="31">
        <f>'[1]功能-行军令'!N110</f>
        <v>76474.673755928176</v>
      </c>
      <c r="R110" s="31">
        <f>'[1]功能-行军令'!O110</f>
        <v>95068.825682519018</v>
      </c>
      <c r="S110" s="31">
        <f>'[1]功能-行军令'!P110</f>
        <v>104009.71254033166</v>
      </c>
      <c r="T110" s="31">
        <f>'[1]功能-行军令'!Q110</f>
        <v>84162.872207760563</v>
      </c>
      <c r="U110" s="31">
        <f>'[1]功能-行军令'!R110</f>
        <v>45309.249208898153</v>
      </c>
      <c r="V110" s="31">
        <f>'[1]功能-行军令'!S110</f>
        <v>5124.3606070224341</v>
      </c>
      <c r="W110" s="31">
        <f>'[1]功能-行军令'!T110</f>
        <v>6328.7350160844362</v>
      </c>
      <c r="X110" s="31">
        <f>'[1]功能-行军令'!U110</f>
        <v>7124.6734091966646</v>
      </c>
      <c r="Y110" s="31">
        <f>'[1]功能-行军令'!V110</f>
        <v>5367.9294286485674</v>
      </c>
      <c r="Z110" s="31">
        <f>'[1]功能-行军令'!W110</f>
        <v>2812.3822599042542</v>
      </c>
      <c r="AC110" s="54">
        <v>107</v>
      </c>
      <c r="AD110" s="54">
        <f>'[1]功能-实力'!BE111</f>
        <v>11759904</v>
      </c>
      <c r="AE110" s="54">
        <f>'[1]功能-实力'!BF111</f>
        <v>12282882</v>
      </c>
      <c r="AF110" s="54">
        <f>'[1]功能-实力'!BG111</f>
        <v>13081428</v>
      </c>
      <c r="AG110" s="54">
        <f>'[1]功能-实力'!BH111</f>
        <v>13856616</v>
      </c>
      <c r="AH110" s="54">
        <f>'[1]功能-实力'!BI111</f>
        <v>14949762</v>
      </c>
    </row>
    <row r="111" spans="2:34" x14ac:dyDescent="0.15">
      <c r="B111" s="25">
        <v>108</v>
      </c>
      <c r="C111" s="26">
        <f>'[1]资源-钻石'!L111</f>
        <v>4558266.7490906622</v>
      </c>
      <c r="D111" s="26">
        <f>'[1]资源-钻石'!M111</f>
        <v>6409901.9799739048</v>
      </c>
      <c r="E111" s="26">
        <f>'[1]资源-钻石'!N111</f>
        <v>9244496.1898392718</v>
      </c>
      <c r="F111" s="26">
        <f>'[1]资源-钻石'!O111</f>
        <v>22069703.112305589</v>
      </c>
      <c r="G111" s="26">
        <f>'[1]资源-钻石'!P111</f>
        <v>36385730.981690176</v>
      </c>
      <c r="I111" s="25">
        <v>108</v>
      </c>
      <c r="J111" s="26">
        <f>'[1]资源-钻石'!T111</f>
        <v>624159.25374663412</v>
      </c>
      <c r="K111" s="26">
        <f>'[1]资源-钻石'!U111</f>
        <v>870535.17912129767</v>
      </c>
      <c r="L111" s="26">
        <f>'[1]资源-钻石'!V111</f>
        <v>1445082.6970334274</v>
      </c>
      <c r="M111" s="26">
        <f>'[1]资源-钻石'!W111</f>
        <v>3781780.9667367707</v>
      </c>
      <c r="N111" s="26">
        <f>'[1]资源-钻石'!X111</f>
        <v>8962081.563410446</v>
      </c>
      <c r="P111" s="31">
        <v>108</v>
      </c>
      <c r="Q111" s="31">
        <f>'[1]功能-行军令'!N111</f>
        <v>81966.827467001276</v>
      </c>
      <c r="R111" s="31">
        <f>'[1]功能-行军令'!O111</f>
        <v>101967.98069023712</v>
      </c>
      <c r="S111" s="31">
        <f>'[1]功能-行军令'!P111</f>
        <v>110846.94818122237</v>
      </c>
      <c r="T111" s="31">
        <f>'[1]功能-行军令'!Q111</f>
        <v>89711.623530100711</v>
      </c>
      <c r="U111" s="31">
        <f>'[1]功能-行军令'!R111</f>
        <v>48453.086358319539</v>
      </c>
      <c r="V111" s="31">
        <f>'[1]功能-行军令'!S111</f>
        <v>5492.1537110731006</v>
      </c>
      <c r="W111" s="31">
        <f>'[1]功能-行军令'!T111</f>
        <v>6899.1550077181018</v>
      </c>
      <c r="X111" s="31">
        <f>'[1]功能-行军令'!U111</f>
        <v>6837.2356408907071</v>
      </c>
      <c r="Y111" s="31">
        <f>'[1]功能-行军令'!V111</f>
        <v>5548.7513223401475</v>
      </c>
      <c r="Z111" s="31">
        <f>'[1]功能-行军令'!W111</f>
        <v>3143.8371494213861</v>
      </c>
      <c r="AC111" s="54">
        <v>108</v>
      </c>
      <c r="AD111" s="54">
        <f>'[1]功能-实力'!BE112</f>
        <v>11976840</v>
      </c>
      <c r="AE111" s="54">
        <f>'[1]功能-实力'!BF112</f>
        <v>12499920</v>
      </c>
      <c r="AF111" s="54">
        <f>'[1]功能-实力'!BG112</f>
        <v>13335582</v>
      </c>
      <c r="AG111" s="54">
        <f>'[1]功能-实力'!BH112</f>
        <v>14121564</v>
      </c>
      <c r="AH111" s="54">
        <f>'[1]功能-实力'!BI112</f>
        <v>15220980</v>
      </c>
    </row>
    <row r="112" spans="2:34" x14ac:dyDescent="0.15">
      <c r="B112" s="27">
        <v>109</v>
      </c>
      <c r="C112" s="26">
        <f>'[1]资源-钻石'!L112</f>
        <v>4675465.2780919112</v>
      </c>
      <c r="D112" s="26">
        <f>'[1]资源-钻石'!M112</f>
        <v>6589089.4308664966</v>
      </c>
      <c r="E112" s="26">
        <f>'[1]资源-钻石'!N112</f>
        <v>9510489.2607181072</v>
      </c>
      <c r="F112" s="26">
        <f>'[1]资源-钻石'!O112</f>
        <v>22838175.811408289</v>
      </c>
      <c r="G112" s="26">
        <f>'[1]资源-钻石'!P112</f>
        <v>38206665.376788706</v>
      </c>
      <c r="I112" s="27">
        <v>109</v>
      </c>
      <c r="J112" s="26">
        <f>'[1]资源-钻石'!T112</f>
        <v>628450.93411422637</v>
      </c>
      <c r="K112" s="26">
        <f>'[1]资源-钻石'!U112</f>
        <v>876936.02752564917</v>
      </c>
      <c r="L112" s="26">
        <f>'[1]资源-钻石'!V112</f>
        <v>1456575.6302782141</v>
      </c>
      <c r="M112" s="26">
        <f>'[1]资源-钻石'!W112</f>
        <v>3814443.1933060358</v>
      </c>
      <c r="N112" s="26">
        <f>'[1]资源-钻石'!X112</f>
        <v>9041865.0126366373</v>
      </c>
      <c r="P112" s="31">
        <v>109</v>
      </c>
      <c r="Q112" s="31">
        <f>'[1]功能-行军令'!N112</f>
        <v>87853.172066699568</v>
      </c>
      <c r="R112" s="31">
        <f>'[1]功能-行军令'!O112</f>
        <v>108855.61876018409</v>
      </c>
      <c r="S112" s="31">
        <f>'[1]功能-行军令'!P112</f>
        <v>118303.27249017431</v>
      </c>
      <c r="T112" s="31">
        <f>'[1]功能-行军令'!Q112</f>
        <v>95819.73590673921</v>
      </c>
      <c r="U112" s="31">
        <f>'[1]功能-行军令'!R112</f>
        <v>51814.654973999408</v>
      </c>
      <c r="V112" s="31">
        <f>'[1]功能-行军令'!S112</f>
        <v>5886.3445996982919</v>
      </c>
      <c r="W112" s="31">
        <f>'[1]功能-行军令'!T112</f>
        <v>6887.6380699469737</v>
      </c>
      <c r="X112" s="31">
        <f>'[1]功能-行军令'!U112</f>
        <v>7456.3243089519383</v>
      </c>
      <c r="Y112" s="31">
        <f>'[1]功能-行军令'!V112</f>
        <v>6108.112376638499</v>
      </c>
      <c r="Z112" s="31">
        <f>'[1]功能-行军令'!W112</f>
        <v>3361.5686156798693</v>
      </c>
      <c r="AC112" s="54">
        <v>109</v>
      </c>
      <c r="AD112" s="54">
        <f>'[1]功能-实力'!BE113</f>
        <v>12187404</v>
      </c>
      <c r="AE112" s="54">
        <f>'[1]功能-实力'!BF113</f>
        <v>12717960</v>
      </c>
      <c r="AF112" s="54">
        <f>'[1]功能-实力'!BG113</f>
        <v>13591254</v>
      </c>
      <c r="AG112" s="54">
        <f>'[1]功能-实力'!BH113</f>
        <v>14381292</v>
      </c>
      <c r="AH112" s="54">
        <f>'[1]功能-实力'!BI113</f>
        <v>15499314</v>
      </c>
    </row>
    <row r="113" spans="2:34" x14ac:dyDescent="0.15">
      <c r="B113" s="27">
        <v>110</v>
      </c>
      <c r="C113" s="26">
        <f>'[1]资源-钻石'!L113</f>
        <v>4792663.8070931602</v>
      </c>
      <c r="D113" s="26">
        <f>'[1]资源-钻石'!M113</f>
        <v>6768276.8817590885</v>
      </c>
      <c r="E113" s="26">
        <f>'[1]资源-钻石'!N113</f>
        <v>9776482.3315969426</v>
      </c>
      <c r="F113" s="26">
        <f>'[1]资源-钻石'!O113</f>
        <v>23606648.510510989</v>
      </c>
      <c r="G113" s="26">
        <f>'[1]资源-钻石'!P113</f>
        <v>40027599.771887235</v>
      </c>
      <c r="I113" s="27">
        <v>110</v>
      </c>
      <c r="J113" s="26">
        <f>'[1]资源-钻石'!T113</f>
        <v>632742.61448181875</v>
      </c>
      <c r="K113" s="26">
        <f>'[1]资源-钻石'!U113</f>
        <v>883336.87593000068</v>
      </c>
      <c r="L113" s="26">
        <f>'[1]资源-钻石'!V113</f>
        <v>1468068.5635230008</v>
      </c>
      <c r="M113" s="26">
        <f>'[1]资源-钻石'!W113</f>
        <v>3847105.4198753014</v>
      </c>
      <c r="N113" s="26">
        <f>'[1]资源-钻石'!X113</f>
        <v>9121648.4618628286</v>
      </c>
      <c r="P113" s="31">
        <v>110</v>
      </c>
      <c r="Q113" s="31">
        <f>'[1]功能-行军令'!N113</f>
        <v>94162</v>
      </c>
      <c r="R113" s="31">
        <f>'[1]功能-行军令'!O113</f>
        <v>116617.79469999998</v>
      </c>
      <c r="S113" s="31">
        <f>'[1]功能-行军令'!P113</f>
        <v>127003.65859999998</v>
      </c>
      <c r="T113" s="31">
        <f>'[1]功能-行军令'!Q113</f>
        <v>102974.74440000001</v>
      </c>
      <c r="U113" s="31">
        <f>'[1]功能-行军令'!R113</f>
        <v>55746.360400000005</v>
      </c>
      <c r="V113" s="31">
        <f>'[1]功能-行军令'!S113</f>
        <v>6308.8279333004321</v>
      </c>
      <c r="W113" s="31">
        <f>'[1]功能-行军令'!T113</f>
        <v>7762.1759398158902</v>
      </c>
      <c r="X113" s="31">
        <f>'[1]功能-行军令'!U113</f>
        <v>8700.3861098256748</v>
      </c>
      <c r="Y113" s="31">
        <f>'[1]功能-行军令'!V113</f>
        <v>7155.0084932608006</v>
      </c>
      <c r="Z113" s="31">
        <f>'[1]功能-行军令'!W113</f>
        <v>3931.7054260005971</v>
      </c>
      <c r="AC113" s="54">
        <v>110</v>
      </c>
      <c r="AD113" s="54">
        <f>'[1]功能-实力'!BE114</f>
        <v>12398166</v>
      </c>
      <c r="AE113" s="54">
        <f>'[1]功能-实力'!BF114</f>
        <v>12941856</v>
      </c>
      <c r="AF113" s="54">
        <f>'[1]功能-实力'!BG114</f>
        <v>13844586</v>
      </c>
      <c r="AG113" s="54">
        <f>'[1]功能-实力'!BH114</f>
        <v>14645064</v>
      </c>
      <c r="AH113" s="54">
        <f>'[1]功能-实力'!BI114</f>
        <v>15778740</v>
      </c>
    </row>
    <row r="114" spans="2:34" x14ac:dyDescent="0.15">
      <c r="I114" s="25">
        <v>111</v>
      </c>
      <c r="J114" s="26">
        <f>'[1]资源-钻石'!T114</f>
        <v>637034.294849411</v>
      </c>
      <c r="K114" s="26">
        <f>'[1]资源-钻石'!U114</f>
        <v>889737.72433435218</v>
      </c>
      <c r="L114" s="26">
        <f>'[1]资源-钻石'!V114</f>
        <v>1479561.4967677875</v>
      </c>
      <c r="M114" s="26">
        <f>'[1]资源-钻石'!W114</f>
        <v>3879767.6464445665</v>
      </c>
      <c r="N114" s="26">
        <f>'[1]资源-钻石'!X114</f>
        <v>9201431.9110890217</v>
      </c>
      <c r="P114" s="31">
        <v>111</v>
      </c>
      <c r="Q114" s="31">
        <f>'[1]功能-行军令'!N114</f>
        <v>100923.63435861902</v>
      </c>
      <c r="R114" s="31">
        <f>'[1]功能-行军令'!O114</f>
        <v>125227.14250820011</v>
      </c>
      <c r="S114" s="31">
        <f>'[1]功能-行军令'!P114</f>
        <v>136542.87591185258</v>
      </c>
      <c r="T114" s="31">
        <f>'[1]功能-行军令'!Q114</f>
        <v>110888.96565471216</v>
      </c>
      <c r="U114" s="31">
        <f>'[1]功能-行军令'!R114</f>
        <v>60110.994220813998</v>
      </c>
      <c r="V114" s="31">
        <f>'[1]功能-行军令'!S114</f>
        <v>6761.6343586190196</v>
      </c>
      <c r="W114" s="31">
        <f>'[1]功能-行军令'!T114</f>
        <v>8609.3478082001238</v>
      </c>
      <c r="X114" s="31">
        <f>'[1]功能-行军令'!U114</f>
        <v>9539.217311852597</v>
      </c>
      <c r="Y114" s="31">
        <f>'[1]功能-行军令'!V114</f>
        <v>7914.2212547121453</v>
      </c>
      <c r="Z114" s="31">
        <f>'[1]功能-行军令'!W114</f>
        <v>4364.6338208139932</v>
      </c>
      <c r="AC114" s="54">
        <v>111</v>
      </c>
      <c r="AD114" s="54">
        <f>'[1]功能-实力'!BE115</f>
        <v>12614382</v>
      </c>
      <c r="AE114" s="54">
        <f>'[1]功能-实力'!BF115</f>
        <v>13188864</v>
      </c>
      <c r="AF114" s="54">
        <f>'[1]功能-实力'!BG115</f>
        <v>14098446</v>
      </c>
      <c r="AG114" s="54">
        <f>'[1]功能-实力'!BH115</f>
        <v>14912640</v>
      </c>
      <c r="AH114" s="54">
        <f>'[1]功能-实力'!BI115</f>
        <v>16065282</v>
      </c>
    </row>
    <row r="115" spans="2:34" x14ac:dyDescent="0.15">
      <c r="I115" s="25">
        <v>112</v>
      </c>
      <c r="J115" s="26">
        <f>'[1]资源-钻石'!T115</f>
        <v>641325.97521700338</v>
      </c>
      <c r="K115" s="26">
        <f>'[1]资源-钻石'!U115</f>
        <v>896138.57273870369</v>
      </c>
      <c r="L115" s="26">
        <f>'[1]资源-钻石'!V115</f>
        <v>1491054.4300125742</v>
      </c>
      <c r="M115" s="26">
        <f>'[1]资源-钻石'!W115</f>
        <v>3912429.8730138317</v>
      </c>
      <c r="N115" s="26">
        <f>'[1]资源-钻石'!X115</f>
        <v>9281215.360315213</v>
      </c>
      <c r="P115" s="31">
        <v>112</v>
      </c>
      <c r="Q115" s="31">
        <f>'[1]功能-行军令'!N115</f>
        <v>108170.57462756058</v>
      </c>
      <c r="R115" s="31">
        <f>'[1]功能-行军令'!O115</f>
        <v>134313.75644108024</v>
      </c>
      <c r="S115" s="31">
        <f>'[1]功能-行军令'!P115</f>
        <v>146454.49252248529</v>
      </c>
      <c r="T115" s="31">
        <f>'[1]功能-行军令'!Q115</f>
        <v>118996.80307381767</v>
      </c>
      <c r="U115" s="31">
        <f>'[1]功能-行军令'!R115</f>
        <v>64185.126836071002</v>
      </c>
      <c r="V115" s="31">
        <f>'[1]功能-行军令'!S115</f>
        <v>7246.9402689415583</v>
      </c>
      <c r="W115" s="31">
        <f>'[1]功能-行军令'!T115</f>
        <v>9086.6139328801364</v>
      </c>
      <c r="X115" s="31">
        <f>'[1]功能-行军令'!U115</f>
        <v>9911.6166106327146</v>
      </c>
      <c r="Y115" s="31">
        <f>'[1]功能-行军令'!V115</f>
        <v>8107.8374191055191</v>
      </c>
      <c r="Z115" s="31">
        <f>'[1]功能-行军令'!W115</f>
        <v>4074.1326152570036</v>
      </c>
      <c r="AC115" s="54">
        <v>112</v>
      </c>
      <c r="AD115" s="54">
        <f>'[1]功能-实力'!BE116</f>
        <v>12820884</v>
      </c>
      <c r="AE115" s="54">
        <f>'[1]功能-实力'!BF116</f>
        <v>13435158</v>
      </c>
      <c r="AF115" s="54">
        <f>'[1]功能-实力'!BG116</f>
        <v>14358552</v>
      </c>
      <c r="AG115" s="54">
        <f>'[1]功能-实力'!BH116</f>
        <v>15183612</v>
      </c>
      <c r="AH115" s="54">
        <f>'[1]功能-实力'!BI116</f>
        <v>16326672</v>
      </c>
    </row>
    <row r="116" spans="2:34" x14ac:dyDescent="0.15">
      <c r="I116" s="25">
        <v>113</v>
      </c>
      <c r="J116" s="26">
        <f>'[1]资源-钻石'!T116</f>
        <v>645617.65558459563</v>
      </c>
      <c r="K116" s="26">
        <f>'[1]资源-钻石'!U116</f>
        <v>902539.42114305531</v>
      </c>
      <c r="L116" s="26">
        <f>'[1]资源-钻石'!V116</f>
        <v>1502547.3632573609</v>
      </c>
      <c r="M116" s="26">
        <f>'[1]资源-钻石'!W116</f>
        <v>3945092.0995830973</v>
      </c>
      <c r="N116" s="26">
        <f>'[1]资源-钻石'!X116</f>
        <v>9360998.8095414061</v>
      </c>
      <c r="P116" s="31">
        <v>113</v>
      </c>
      <c r="Q116" s="31">
        <f>'[1]功能-行军令'!N116</f>
        <v>115937.65289239788</v>
      </c>
      <c r="R116" s="31">
        <f>'[1]功能-行军令'!O116</f>
        <v>144059.33875495239</v>
      </c>
      <c r="S116" s="31">
        <f>'[1]功能-行军令'!P116</f>
        <v>157222.79904900491</v>
      </c>
      <c r="T116" s="31">
        <f>'[1]功能-行军令'!Q116</f>
        <v>127281.6481511673</v>
      </c>
      <c r="U116" s="31">
        <f>'[1]功能-行军令'!R116</f>
        <v>68404.475398394017</v>
      </c>
      <c r="V116" s="31">
        <f>'[1]功能-行军令'!S116</f>
        <v>7767.0782648372988</v>
      </c>
      <c r="W116" s="31">
        <f>'[1]功能-行军令'!T116</f>
        <v>9745.5823138721462</v>
      </c>
      <c r="X116" s="31">
        <f>'[1]功能-行军令'!U116</f>
        <v>10768.30652651962</v>
      </c>
      <c r="Y116" s="31">
        <f>'[1]功能-行军令'!V116</f>
        <v>8284.8450773496297</v>
      </c>
      <c r="Z116" s="31">
        <f>'[1]功能-行军令'!W116</f>
        <v>4219.3485623230154</v>
      </c>
      <c r="AC116" s="54">
        <v>113</v>
      </c>
      <c r="AD116" s="54">
        <f>'[1]功能-实力'!BE117</f>
        <v>13032108</v>
      </c>
      <c r="AE116" s="54">
        <f>'[1]功能-实力'!BF117</f>
        <v>13682610</v>
      </c>
      <c r="AF116" s="54">
        <f>'[1]功能-实力'!BG117</f>
        <v>14620152</v>
      </c>
      <c r="AG116" s="54">
        <f>'[1]功能-实力'!BH117</f>
        <v>15459174</v>
      </c>
      <c r="AH116" s="54">
        <f>'[1]功能-实力'!BI117</f>
        <v>16592478</v>
      </c>
    </row>
    <row r="117" spans="2:34" x14ac:dyDescent="0.15">
      <c r="I117" s="25">
        <v>114</v>
      </c>
      <c r="J117" s="26">
        <f>'[1]资源-钻石'!T117</f>
        <v>649909.33595218789</v>
      </c>
      <c r="K117" s="26">
        <f>'[1]资源-钻石'!U117</f>
        <v>908940.26954740682</v>
      </c>
      <c r="L117" s="26">
        <f>'[1]资源-钻石'!V117</f>
        <v>1514040.2965021476</v>
      </c>
      <c r="M117" s="26">
        <f>'[1]资源-钻石'!W117</f>
        <v>3977754.3261523624</v>
      </c>
      <c r="N117" s="26">
        <f>'[1]资源-钻石'!X117</f>
        <v>9440782.2587675974</v>
      </c>
      <c r="P117" s="31">
        <v>114</v>
      </c>
      <c r="Q117" s="31">
        <f>'[1]功能-行军令'!N117</f>
        <v>124262.20125809284</v>
      </c>
      <c r="R117" s="31">
        <f>'[1]功能-行军令'!O117</f>
        <v>154511.67307261453</v>
      </c>
      <c r="S117" s="31">
        <f>'[1]功能-行军令'!P117</f>
        <v>168020.05489024971</v>
      </c>
      <c r="T117" s="31">
        <f>'[1]功能-行军令'!Q117</f>
        <v>135669.47133358577</v>
      </c>
      <c r="U117" s="31">
        <f>'[1]功能-行军令'!R117</f>
        <v>73009.986213972326</v>
      </c>
      <c r="V117" s="31">
        <f>'[1]功能-行军令'!S117</f>
        <v>8324.5483656949655</v>
      </c>
      <c r="W117" s="31">
        <f>'[1]功能-行军令'!T117</f>
        <v>10452.334317662142</v>
      </c>
      <c r="X117" s="31">
        <f>'[1]功能-行军令'!U117</f>
        <v>10797.255841244798</v>
      </c>
      <c r="Y117" s="31">
        <f>'[1]功能-行军令'!V117</f>
        <v>8387.8231824184622</v>
      </c>
      <c r="Z117" s="31">
        <f>'[1]功能-行军令'!W117</f>
        <v>4605.5108155783091</v>
      </c>
      <c r="AC117" s="54">
        <v>114</v>
      </c>
      <c r="AD117" s="54">
        <f>'[1]功能-实力'!BE118</f>
        <v>13264248</v>
      </c>
      <c r="AE117" s="54">
        <f>'[1]功能-实力'!BF118</f>
        <v>13935810</v>
      </c>
      <c r="AF117" s="54">
        <f>'[1]功能-实力'!BG118</f>
        <v>14887416</v>
      </c>
      <c r="AG117" s="54">
        <f>'[1]功能-实力'!BH118</f>
        <v>15737424</v>
      </c>
      <c r="AH117" s="54">
        <f>'[1]功能-实力'!BI118</f>
        <v>16859100</v>
      </c>
    </row>
    <row r="118" spans="2:34" x14ac:dyDescent="0.15">
      <c r="I118" s="27">
        <v>115</v>
      </c>
      <c r="J118" s="26">
        <f>'[1]资源-钻石'!T118</f>
        <v>654201.01631978026</v>
      </c>
      <c r="K118" s="26">
        <f>'[1]资源-钻石'!U118</f>
        <v>915341.11795175832</v>
      </c>
      <c r="L118" s="26">
        <f>'[1]资源-钻石'!V118</f>
        <v>1525533.2297469343</v>
      </c>
      <c r="M118" s="26">
        <f>'[1]资源-钻石'!W118</f>
        <v>4010416.5527216275</v>
      </c>
      <c r="N118" s="26">
        <f>'[1]资源-钻石'!X118</f>
        <v>9520565.7079937886</v>
      </c>
      <c r="P118" s="31">
        <v>115</v>
      </c>
      <c r="Q118" s="31">
        <f>'[1]功能-行军令'!N118</f>
        <v>133184.23128404454</v>
      </c>
      <c r="R118" s="31">
        <f>'[1]功能-行军令'!O118</f>
        <v>164946.06466685102</v>
      </c>
      <c r="S118" s="31">
        <f>'[1]功能-行军令'!P118</f>
        <v>179056.35490952036</v>
      </c>
      <c r="T118" s="31">
        <f>'[1]功能-行军令'!Q118</f>
        <v>144694.82323823689</v>
      </c>
      <c r="U118" s="31">
        <f>'[1]功能-行军令'!R118</f>
        <v>77924.067007731428</v>
      </c>
      <c r="V118" s="31">
        <f>'[1]功能-行军令'!S118</f>
        <v>8922.0300259516953</v>
      </c>
      <c r="W118" s="31">
        <f>'[1]功能-行军令'!T118</f>
        <v>10434.391594236484</v>
      </c>
      <c r="X118" s="31">
        <f>'[1]功能-行军令'!U118</f>
        <v>11036.300019270653</v>
      </c>
      <c r="Y118" s="31">
        <f>'[1]功能-行军令'!V118</f>
        <v>9025.351904651121</v>
      </c>
      <c r="Z118" s="31">
        <f>'[1]功能-行军令'!W118</f>
        <v>4914.0807937591017</v>
      </c>
      <c r="AC118" s="54">
        <v>115</v>
      </c>
      <c r="AD118" s="54">
        <f>'[1]功能-实力'!BE119</f>
        <v>13506588</v>
      </c>
      <c r="AE118" s="54">
        <f>'[1]功能-实力'!BF119</f>
        <v>14190888</v>
      </c>
      <c r="AF118" s="54">
        <f>'[1]功能-实力'!BG119</f>
        <v>15156912</v>
      </c>
      <c r="AG118" s="54">
        <f>'[1]功能-实力'!BH119</f>
        <v>16021194</v>
      </c>
      <c r="AH118" s="54">
        <f>'[1]功能-实力'!BI119</f>
        <v>17131146</v>
      </c>
    </row>
    <row r="119" spans="2:34" x14ac:dyDescent="0.15">
      <c r="I119" s="27">
        <v>116</v>
      </c>
      <c r="J119" s="26">
        <f>'[1]资源-钻石'!T119</f>
        <v>658492.69668737252</v>
      </c>
      <c r="K119" s="26">
        <f>'[1]资源-钻石'!U119</f>
        <v>921741.96635610983</v>
      </c>
      <c r="L119" s="26">
        <f>'[1]资源-钻石'!V119</f>
        <v>1537026.162991721</v>
      </c>
      <c r="M119" s="26">
        <f>'[1]资源-钻石'!W119</f>
        <v>4043078.7792908931</v>
      </c>
      <c r="N119" s="26">
        <f>'[1]资源-钻石'!X119</f>
        <v>9600349.1572199818</v>
      </c>
      <c r="P119" s="31">
        <v>116</v>
      </c>
      <c r="Q119" s="31">
        <f>'[1]功能-行军令'!N119</f>
        <v>142746.62629781148</v>
      </c>
      <c r="R119" s="31">
        <f>'[1]功能-行军令'!O119</f>
        <v>176497.82481091769</v>
      </c>
      <c r="S119" s="31">
        <f>'[1]功能-行军令'!P119</f>
        <v>191686.37616775767</v>
      </c>
      <c r="T119" s="31">
        <f>'[1]功能-行军令'!Q119</f>
        <v>155179.54712959801</v>
      </c>
      <c r="U119" s="31">
        <f>'[1]功能-行军令'!R119</f>
        <v>83582.804478660939</v>
      </c>
      <c r="V119" s="31">
        <f>'[1]功能-行军令'!S119</f>
        <v>9562.3950137669453</v>
      </c>
      <c r="W119" s="31">
        <f>'[1]功能-行军令'!T119</f>
        <v>11551.760144066677</v>
      </c>
      <c r="X119" s="31">
        <f>'[1]功能-行军令'!U119</f>
        <v>12630.021258237306</v>
      </c>
      <c r="Y119" s="31">
        <f>'[1]功能-行军令'!V119</f>
        <v>10484.723891361122</v>
      </c>
      <c r="Z119" s="31">
        <f>'[1]功能-行军令'!W119</f>
        <v>5658.7374709295109</v>
      </c>
      <c r="AC119" s="54">
        <v>116</v>
      </c>
      <c r="AD119" s="54">
        <f>'[1]功能-实力'!BE120</f>
        <v>13751256</v>
      </c>
      <c r="AE119" s="54">
        <f>'[1]功能-实力'!BF120</f>
        <v>14451162</v>
      </c>
      <c r="AF119" s="54">
        <f>'[1]功能-实力'!BG120</f>
        <v>15431484</v>
      </c>
      <c r="AG119" s="54">
        <f>'[1]功能-实力'!BH120</f>
        <v>16306974</v>
      </c>
      <c r="AH119" s="54">
        <f>'[1]功能-实力'!BI120</f>
        <v>17404788</v>
      </c>
    </row>
    <row r="120" spans="2:34" x14ac:dyDescent="0.15">
      <c r="I120" s="25">
        <v>117</v>
      </c>
      <c r="J120" s="26">
        <f>'[1]资源-钻石'!T120</f>
        <v>662784.37705496477</v>
      </c>
      <c r="K120" s="26">
        <f>'[1]资源-钻石'!U120</f>
        <v>928142.81476046133</v>
      </c>
      <c r="L120" s="26">
        <f>'[1]资源-钻石'!V120</f>
        <v>1548519.0962365076</v>
      </c>
      <c r="M120" s="26">
        <f>'[1]资源-钻石'!W120</f>
        <v>4075741.0058601587</v>
      </c>
      <c r="N120" s="26">
        <f>'[1]资源-钻石'!X120</f>
        <v>9680132.606446173</v>
      </c>
      <c r="P120" s="31">
        <v>117</v>
      </c>
      <c r="Q120" s="31">
        <f>'[1]功能-行军令'!N120</f>
        <v>152995.34751185621</v>
      </c>
      <c r="R120" s="31">
        <f>'[1]功能-行军令'!O120</f>
        <v>189303.47166649054</v>
      </c>
      <c r="S120" s="31">
        <f>'[1]功能-行军令'!P120</f>
        <v>205660.66990699721</v>
      </c>
      <c r="T120" s="31">
        <f>'[1]功能-行军令'!Q120</f>
        <v>166663.48622055128</v>
      </c>
      <c r="U120" s="31">
        <f>'[1]功能-行军令'!R120</f>
        <v>89857.826178110176</v>
      </c>
      <c r="V120" s="31">
        <f>'[1]功能-行军令'!S120</f>
        <v>10248.721214044723</v>
      </c>
      <c r="W120" s="31">
        <f>'[1]功能-行军令'!T120</f>
        <v>12805.64685557285</v>
      </c>
      <c r="X120" s="31">
        <f>'[1]功能-行军令'!U120</f>
        <v>13974.29373923954</v>
      </c>
      <c r="Y120" s="31">
        <f>'[1]功能-行军令'!V120</f>
        <v>11483.939090953267</v>
      </c>
      <c r="Z120" s="31">
        <f>'[1]功能-行军令'!W120</f>
        <v>6275.0216994492366</v>
      </c>
      <c r="AC120" s="54">
        <v>117</v>
      </c>
      <c r="AD120" s="54">
        <f>'[1]功能-实力'!BE121</f>
        <v>14000292</v>
      </c>
      <c r="AE120" s="54">
        <f>'[1]功能-实力'!BF121</f>
        <v>14714052</v>
      </c>
      <c r="AF120" s="54">
        <f>'[1]功能-实力'!BG121</f>
        <v>15709128</v>
      </c>
      <c r="AG120" s="54">
        <f>'[1]功能-实力'!BH121</f>
        <v>16599192</v>
      </c>
      <c r="AH120" s="54">
        <f>'[1]功能-实力'!BI121</f>
        <v>17683224</v>
      </c>
    </row>
    <row r="121" spans="2:34" x14ac:dyDescent="0.15">
      <c r="I121" s="25">
        <v>118</v>
      </c>
      <c r="J121" s="26">
        <f>'[1]资源-钻石'!T121</f>
        <v>667076.05742255715</v>
      </c>
      <c r="K121" s="26">
        <f>'[1]资源-钻石'!U121</f>
        <v>934543.66316481284</v>
      </c>
      <c r="L121" s="26">
        <f>'[1]资源-钻石'!V121</f>
        <v>1560012.0294812943</v>
      </c>
      <c r="M121" s="26">
        <f>'[1]资源-钻石'!W121</f>
        <v>4108403.2324294238</v>
      </c>
      <c r="N121" s="26">
        <f>'[1]资源-钻石'!X121</f>
        <v>9759916.0556723643</v>
      </c>
      <c r="P121" s="31">
        <v>118</v>
      </c>
      <c r="Q121" s="31">
        <f>'[1]功能-行军令'!N121</f>
        <v>163979.6549340027</v>
      </c>
      <c r="R121" s="31">
        <f>'[1]功能-行军令'!O121</f>
        <v>203037.82635172849</v>
      </c>
      <c r="S121" s="31">
        <f>'[1]功能-行军令'!P121</f>
        <v>220782.92035816269</v>
      </c>
      <c r="T121" s="31">
        <f>'[1]功能-行军令'!Q121</f>
        <v>179106.42162415374</v>
      </c>
      <c r="U121" s="31">
        <f>'[1]功能-行军令'!R121</f>
        <v>96419.324146172134</v>
      </c>
      <c r="V121" s="31">
        <f>'[1]功能-行军令'!S121</f>
        <v>10984.307422146492</v>
      </c>
      <c r="W121" s="31">
        <f>'[1]功能-行军令'!T121</f>
        <v>13734.354685237951</v>
      </c>
      <c r="X121" s="31">
        <f>'[1]功能-行军令'!U121</f>
        <v>15122.250451165484</v>
      </c>
      <c r="Y121" s="31">
        <f>'[1]功能-行军令'!V121</f>
        <v>12442.93540360246</v>
      </c>
      <c r="Z121" s="31">
        <f>'[1]功能-行军令'!W121</f>
        <v>6561.4979680619581</v>
      </c>
      <c r="AC121" s="54">
        <v>118</v>
      </c>
      <c r="AD121" s="54">
        <f>'[1]功能-实力'!BE122</f>
        <v>14252556</v>
      </c>
      <c r="AE121" s="54">
        <f>'[1]功能-实力'!BF122</f>
        <v>14981544</v>
      </c>
      <c r="AF121" s="54">
        <f>'[1]功能-实力'!BG122</f>
        <v>15991254</v>
      </c>
      <c r="AG121" s="54">
        <f>'[1]功能-实力'!BH122</f>
        <v>16892670</v>
      </c>
      <c r="AH121" s="54">
        <f>'[1]功能-实力'!BI122</f>
        <v>17964258</v>
      </c>
    </row>
    <row r="122" spans="2:34" x14ac:dyDescent="0.15">
      <c r="I122" s="25">
        <v>119</v>
      </c>
      <c r="J122" s="26">
        <f>'[1]资源-钻石'!T122</f>
        <v>671367.7377901494</v>
      </c>
      <c r="K122" s="26">
        <f>'[1]资源-钻石'!U122</f>
        <v>940944.51156916446</v>
      </c>
      <c r="L122" s="26">
        <f>'[1]资源-钻石'!V122</f>
        <v>1571504.962726081</v>
      </c>
      <c r="M122" s="26">
        <f>'[1]资源-钻石'!W122</f>
        <v>4141065.4589986894</v>
      </c>
      <c r="N122" s="26">
        <f>'[1]资源-钻石'!X122</f>
        <v>9839699.5048985574</v>
      </c>
      <c r="P122" s="31">
        <v>119</v>
      </c>
      <c r="Q122" s="31">
        <f>'[1]功能-行军令'!N122</f>
        <v>175752.34413339914</v>
      </c>
      <c r="R122" s="31">
        <f>'[1]功能-行军令'!O122</f>
        <v>217768.23442036819</v>
      </c>
      <c r="S122" s="31">
        <f>'[1]功能-行军令'!P122</f>
        <v>237016.17266548204</v>
      </c>
      <c r="T122" s="31">
        <f>'[1]功能-行军令'!Q122</f>
        <v>192083.1755362119</v>
      </c>
      <c r="U122" s="31">
        <f>'[1]功能-行军令'!R122</f>
        <v>102869.37530253184</v>
      </c>
      <c r="V122" s="31">
        <f>'[1]功能-行军令'!S122</f>
        <v>11772.689199396438</v>
      </c>
      <c r="W122" s="31">
        <f>'[1]功能-行军令'!T122</f>
        <v>14730.408068639692</v>
      </c>
      <c r="X122" s="31">
        <f>'[1]功能-行军令'!U122</f>
        <v>16233.252307319344</v>
      </c>
      <c r="Y122" s="31">
        <f>'[1]功能-行军令'!V122</f>
        <v>12976.753912058164</v>
      </c>
      <c r="Z122" s="31">
        <f>'[1]功能-行军令'!W122</f>
        <v>6450.0511563597101</v>
      </c>
      <c r="AC122" s="54">
        <v>119</v>
      </c>
      <c r="AD122" s="54">
        <f>'[1]功能-实力'!BE123</f>
        <v>14508660</v>
      </c>
      <c r="AE122" s="54">
        <f>'[1]功能-实力'!BF123</f>
        <v>15252444</v>
      </c>
      <c r="AF122" s="54">
        <f>'[1]功能-实力'!BG123</f>
        <v>16277238</v>
      </c>
      <c r="AG122" s="54">
        <f>'[1]功能-实力'!BH123</f>
        <v>17193588</v>
      </c>
      <c r="AH122" s="54">
        <f>'[1]功能-实力'!BI123</f>
        <v>18250098</v>
      </c>
    </row>
    <row r="123" spans="2:34" x14ac:dyDescent="0.15">
      <c r="I123" s="25">
        <v>120</v>
      </c>
      <c r="J123" s="26">
        <f>'[1]资源-钻石'!T123</f>
        <v>675659.41815774166</v>
      </c>
      <c r="K123" s="26">
        <f>'[1]资源-钻石'!U123</f>
        <v>947345.35997351597</v>
      </c>
      <c r="L123" s="26">
        <f>'[1]资源-钻石'!V123</f>
        <v>1582997.8959708677</v>
      </c>
      <c r="M123" s="26">
        <f>'[1]资源-钻石'!W123</f>
        <v>4173727.6855679546</v>
      </c>
      <c r="N123" s="26">
        <f>'[1]资源-钻石'!X123</f>
        <v>9919482.9541247487</v>
      </c>
      <c r="P123" s="31">
        <v>120</v>
      </c>
      <c r="Q123" s="31">
        <f>'[1]功能-行军令'!N123</f>
        <v>188370</v>
      </c>
      <c r="R123" s="31">
        <f>'[1]功能-行军令'!O123</f>
        <v>233566.92449999999</v>
      </c>
      <c r="S123" s="31">
        <f>'[1]功能-行军令'!P123</f>
        <v>254069.361</v>
      </c>
      <c r="T123" s="31">
        <f>'[1]功能-行军令'!Q123</f>
        <v>204734.43899999998</v>
      </c>
      <c r="U123" s="31">
        <f>'[1]功能-行军令'!R123</f>
        <v>109832.81400000001</v>
      </c>
      <c r="V123" s="31">
        <f>'[1]功能-行军令'!S123</f>
        <v>12617.655866600864</v>
      </c>
      <c r="W123" s="31">
        <f>'[1]功能-行军令'!T123</f>
        <v>15798.690079631808</v>
      </c>
      <c r="X123" s="31">
        <f>'[1]功能-行军令'!U123</f>
        <v>17053.188334517967</v>
      </c>
      <c r="Y123" s="31">
        <f>'[1]功能-行军令'!V123</f>
        <v>12651.263463788084</v>
      </c>
      <c r="Z123" s="31">
        <f>'[1]功能-行军令'!W123</f>
        <v>6963.4386974681693</v>
      </c>
      <c r="AC123" s="54">
        <v>120</v>
      </c>
      <c r="AD123" s="54">
        <f>'[1]功能-实力'!BE124</f>
        <v>14768790</v>
      </c>
      <c r="AE123" s="54">
        <f>'[1]功能-实力'!BF124</f>
        <v>15527316</v>
      </c>
      <c r="AF123" s="54">
        <f>'[1]功能-实力'!BG124</f>
        <v>16567074</v>
      </c>
      <c r="AG123" s="54">
        <f>'[1]功能-实力'!BH124</f>
        <v>17495208</v>
      </c>
      <c r="AH123" s="54">
        <f>'[1]功能-实力'!BI124</f>
        <v>18539160</v>
      </c>
    </row>
    <row r="124" spans="2:34" x14ac:dyDescent="0.15">
      <c r="I124" s="27">
        <v>121</v>
      </c>
      <c r="J124" s="26">
        <f>'[1]资源-钻石'!T124</f>
        <v>679951.09852533403</v>
      </c>
      <c r="K124" s="26">
        <f>'[1]资源-钻石'!U124</f>
        <v>953746.20837786747</v>
      </c>
      <c r="L124" s="26">
        <f>'[1]资源-钻石'!V124</f>
        <v>1594490.8292156544</v>
      </c>
      <c r="M124" s="26">
        <f>'[1]资源-钻石'!W124</f>
        <v>4206389.9121372197</v>
      </c>
      <c r="N124" s="26">
        <f>'[1]资源-钻石'!X124</f>
        <v>9999266.40335094</v>
      </c>
      <c r="P124" s="31">
        <v>121</v>
      </c>
      <c r="Q124" s="31">
        <f>'[1]功能-行军令'!N124</f>
        <v>201893.26871723824</v>
      </c>
      <c r="R124" s="31">
        <f>'[1]功能-行军令'!O124</f>
        <v>250011.4570271202</v>
      </c>
      <c r="S124" s="31">
        <f>'[1]功能-行军令'!P124</f>
        <v>270751.60140371387</v>
      </c>
      <c r="T124" s="31">
        <f>'[1]功能-行军令'!Q124</f>
        <v>218211.95050892443</v>
      </c>
      <c r="U124" s="31">
        <f>'[1]功能-行军令'!R124</f>
        <v>117401.3746574843</v>
      </c>
      <c r="V124" s="31">
        <f>'[1]功能-行军令'!S124</f>
        <v>13523.268717238243</v>
      </c>
      <c r="W124" s="31">
        <f>'[1]功能-行军令'!T124</f>
        <v>16444.532527120202</v>
      </c>
      <c r="X124" s="31">
        <f>'[1]功能-行军令'!U124</f>
        <v>16682.240403713862</v>
      </c>
      <c r="Y124" s="31">
        <f>'[1]功能-行军令'!V124</f>
        <v>13477.51150892445</v>
      </c>
      <c r="Z124" s="31">
        <f>'[1]功能-行军令'!W124</f>
        <v>7568.5606574842823</v>
      </c>
      <c r="AC124" s="54">
        <v>121</v>
      </c>
      <c r="AD124" s="54">
        <f>'[1]功能-实力'!BE125</f>
        <v>15032046</v>
      </c>
      <c r="AE124" s="54">
        <f>'[1]功能-实力'!BF125</f>
        <v>15806430</v>
      </c>
      <c r="AF124" s="54">
        <f>'[1]功能-实力'!BG125</f>
        <v>16861848</v>
      </c>
      <c r="AG124" s="54">
        <f>'[1]功能-实力'!BH125</f>
        <v>17804484</v>
      </c>
      <c r="AH124" s="54">
        <f>'[1]功能-实力'!BI125</f>
        <v>18831666</v>
      </c>
    </row>
    <row r="125" spans="2:34" x14ac:dyDescent="0.15">
      <c r="I125" s="27">
        <v>122</v>
      </c>
      <c r="J125" s="26">
        <f>'[1]资源-钻石'!T125</f>
        <v>684242.77889292629</v>
      </c>
      <c r="K125" s="26">
        <f>'[1]资源-钻石'!U125</f>
        <v>960147.05678221898</v>
      </c>
      <c r="L125" s="26">
        <f>'[1]资源-钻石'!V125</f>
        <v>1605983.7624604411</v>
      </c>
      <c r="M125" s="26">
        <f>'[1]资源-钻石'!W125</f>
        <v>4239052.1387064857</v>
      </c>
      <c r="N125" s="26">
        <f>'[1]资源-钻石'!X125</f>
        <v>10079049.852577131</v>
      </c>
      <c r="P125" s="31">
        <v>122</v>
      </c>
      <c r="Q125" s="31">
        <f>'[1]功能-行军令'!N125</f>
        <v>216387.14925512118</v>
      </c>
      <c r="R125" s="31">
        <f>'[1]功能-行军令'!O125</f>
        <v>267108.76744736783</v>
      </c>
      <c r="S125" s="31">
        <f>'[1]功能-行军令'!P125</f>
        <v>289375.47551256604</v>
      </c>
      <c r="T125" s="31">
        <f>'[1]功能-行军令'!Q125</f>
        <v>233538.18286782058</v>
      </c>
      <c r="U125" s="31">
        <f>'[1]功能-行军令'!R125</f>
        <v>125781.14579353988</v>
      </c>
      <c r="V125" s="31">
        <f>'[1]功能-行军令'!S125</f>
        <v>14493.880537882942</v>
      </c>
      <c r="W125" s="31">
        <f>'[1]功能-行军令'!T125</f>
        <v>17097.310420247639</v>
      </c>
      <c r="X125" s="31">
        <f>'[1]功能-行军令'!U125</f>
        <v>18623.874108852178</v>
      </c>
      <c r="Y125" s="31">
        <f>'[1]功能-行军令'!V125</f>
        <v>15326.232358896144</v>
      </c>
      <c r="Z125" s="31">
        <f>'[1]功能-行军令'!W125</f>
        <v>8379.7711360555841</v>
      </c>
      <c r="AC125" s="54">
        <v>122</v>
      </c>
      <c r="AD125" s="54">
        <f>'[1]功能-实力'!BE126</f>
        <v>15300042</v>
      </c>
      <c r="AE125" s="54">
        <f>'[1]功能-实力'!BF126</f>
        <v>16088886</v>
      </c>
      <c r="AF125" s="54">
        <f>'[1]功能-实力'!BG126</f>
        <v>17159760</v>
      </c>
      <c r="AG125" s="54">
        <f>'[1]功能-实力'!BH126</f>
        <v>18087660</v>
      </c>
      <c r="AH125" s="54">
        <f>'[1]功能-实力'!BI126</f>
        <v>19128258</v>
      </c>
    </row>
    <row r="126" spans="2:34" x14ac:dyDescent="0.15">
      <c r="I126" s="25">
        <v>123</v>
      </c>
      <c r="J126" s="26">
        <f>'[1]资源-钻石'!T126</f>
        <v>688534.45926051855</v>
      </c>
      <c r="K126" s="26">
        <f>'[1]资源-钻石'!U126</f>
        <v>966547.90518657048</v>
      </c>
      <c r="L126" s="26">
        <f>'[1]资源-钻石'!V126</f>
        <v>1617476.6957052278</v>
      </c>
      <c r="M126" s="26">
        <f>'[1]资源-钻石'!W126</f>
        <v>4271714.3652757509</v>
      </c>
      <c r="N126" s="26">
        <f>'[1]资源-钻石'!X126</f>
        <v>10158833.301803324</v>
      </c>
      <c r="P126" s="31">
        <v>123</v>
      </c>
      <c r="Q126" s="31">
        <f>'[1]功能-行军令'!N126</f>
        <v>231921.30578479578</v>
      </c>
      <c r="R126" s="31">
        <f>'[1]功能-行军令'!O126</f>
        <v>286149.04466804635</v>
      </c>
      <c r="S126" s="31">
        <f>'[1]功能-行军令'!P126</f>
        <v>310745.81167677912</v>
      </c>
      <c r="T126" s="31">
        <f>'[1]功能-行军令'!Q126</f>
        <v>251497.9848767911</v>
      </c>
      <c r="U126" s="31">
        <f>'[1]功能-行军令'!R126</f>
        <v>135278.18513401627</v>
      </c>
      <c r="V126" s="31">
        <f>'[1]功能-行军令'!S126</f>
        <v>15534.156529674598</v>
      </c>
      <c r="W126" s="31">
        <f>'[1]功能-行军令'!T126</f>
        <v>19040.277220678516</v>
      </c>
      <c r="X126" s="31">
        <f>'[1]功能-行军令'!U126</f>
        <v>21370.336164213077</v>
      </c>
      <c r="Y126" s="31">
        <f>'[1]功能-行军令'!V126</f>
        <v>17959.802008970524</v>
      </c>
      <c r="Z126" s="31">
        <f>'[1]功能-行军令'!W126</f>
        <v>9497.039340476389</v>
      </c>
      <c r="AC126" s="54">
        <v>123</v>
      </c>
      <c r="AD126" s="54">
        <f>'[1]功能-实力'!BE127</f>
        <v>15570402</v>
      </c>
      <c r="AE126" s="54">
        <f>'[1]功能-实力'!BF127</f>
        <v>16376424</v>
      </c>
      <c r="AF126" s="54">
        <f>'[1]功能-实力'!BG127</f>
        <v>17463276</v>
      </c>
      <c r="AG126" s="54">
        <f>'[1]功能-实力'!BH127</f>
        <v>18374232</v>
      </c>
      <c r="AH126" s="54">
        <f>'[1]功能-实力'!BI127</f>
        <v>19427586</v>
      </c>
    </row>
    <row r="127" spans="2:34" x14ac:dyDescent="0.15">
      <c r="I127" s="25">
        <v>124</v>
      </c>
      <c r="J127" s="26">
        <f>'[1]资源-钻石'!T127</f>
        <v>692826.1396281108</v>
      </c>
      <c r="K127" s="26">
        <f>'[1]资源-钻石'!U127</f>
        <v>972948.7535909221</v>
      </c>
      <c r="L127" s="26">
        <f>'[1]资源-钻石'!V127</f>
        <v>1628969.6289500145</v>
      </c>
      <c r="M127" s="26">
        <f>'[1]资源-钻石'!W127</f>
        <v>4304376.591845016</v>
      </c>
      <c r="N127" s="26">
        <f>'[1]资源-钻石'!X127</f>
        <v>10238616.751029516</v>
      </c>
      <c r="P127" s="31">
        <v>124</v>
      </c>
      <c r="Q127" s="31">
        <f>'[1]功能-行军令'!N127</f>
        <v>248570.40251618548</v>
      </c>
      <c r="R127" s="31">
        <f>'[1]功能-行军令'!O127</f>
        <v>307632.35126535187</v>
      </c>
      <c r="S127" s="31">
        <f>'[1]功能-行军令'!P127</f>
        <v>333987.83874779084</v>
      </c>
      <c r="T127" s="31">
        <f>'[1]功能-行军令'!Q127</f>
        <v>270276.00236025098</v>
      </c>
      <c r="U127" s="31">
        <f>'[1]功能-行军令'!R127</f>
        <v>145824.36700656047</v>
      </c>
      <c r="V127" s="31">
        <f>'[1]功能-行军令'!S127</f>
        <v>16649.096731389698</v>
      </c>
      <c r="W127" s="31">
        <f>'[1]功能-行军令'!T127</f>
        <v>21483.30659730552</v>
      </c>
      <c r="X127" s="31">
        <f>'[1]功能-行军令'!U127</f>
        <v>23242.027071011718</v>
      </c>
      <c r="Y127" s="31">
        <f>'[1]功能-行军令'!V127</f>
        <v>18778.017483459873</v>
      </c>
      <c r="Z127" s="31">
        <f>'[1]功能-行军令'!W127</f>
        <v>10546.181872544199</v>
      </c>
      <c r="AC127" s="54">
        <v>124</v>
      </c>
      <c r="AD127" s="54">
        <f>'[1]功能-实力'!BE128</f>
        <v>15846498</v>
      </c>
      <c r="AE127" s="54">
        <f>'[1]功能-实力'!BF128</f>
        <v>16666596</v>
      </c>
      <c r="AF127" s="54">
        <f>'[1]功能-实力'!BG128</f>
        <v>17769204</v>
      </c>
      <c r="AG127" s="54">
        <f>'[1]功能-实力'!BH128</f>
        <v>18661956</v>
      </c>
      <c r="AH127" s="54">
        <f>'[1]功能-实力'!BI128</f>
        <v>19731870</v>
      </c>
    </row>
    <row r="128" spans="2:34" x14ac:dyDescent="0.15">
      <c r="I128" s="25">
        <v>125</v>
      </c>
      <c r="J128" s="26">
        <f>'[1]资源-钻石'!T128</f>
        <v>697117.81999570318</v>
      </c>
      <c r="K128" s="26">
        <f>'[1]资源-钻石'!U128</f>
        <v>979349.60199527361</v>
      </c>
      <c r="L128" s="26">
        <f>'[1]资源-钻石'!V128</f>
        <v>1640462.5621948012</v>
      </c>
      <c r="M128" s="26">
        <f>'[1]资源-钻石'!W128</f>
        <v>4337038.8184142811</v>
      </c>
      <c r="N128" s="26">
        <f>'[1]资源-钻石'!X128</f>
        <v>10318400.200255709</v>
      </c>
      <c r="P128" s="31">
        <v>125</v>
      </c>
      <c r="Q128" s="31">
        <f>'[1]功能-行军令'!N128</f>
        <v>266414.46256808913</v>
      </c>
      <c r="R128" s="31">
        <f>'[1]功能-行军令'!O128</f>
        <v>329561.0609773529</v>
      </c>
      <c r="S128" s="31">
        <f>'[1]功能-行军令'!P128</f>
        <v>358543.47953351011</v>
      </c>
      <c r="T128" s="31">
        <f>'[1]功能-行军令'!Q128</f>
        <v>290453.73451985797</v>
      </c>
      <c r="U128" s="31">
        <f>'[1]功能-行军令'!R128</f>
        <v>155397.81853034094</v>
      </c>
      <c r="V128" s="31">
        <f>'[1]功能-行军令'!S128</f>
        <v>17844.060051903652</v>
      </c>
      <c r="W128" s="31">
        <f>'[1]功能-行军令'!T128</f>
        <v>21928.709712001029</v>
      </c>
      <c r="X128" s="31">
        <f>'[1]功能-行军令'!U128</f>
        <v>24555.640785719268</v>
      </c>
      <c r="Y128" s="31">
        <f>'[1]功能-行军令'!V128</f>
        <v>20177.732159606996</v>
      </c>
      <c r="Z128" s="31">
        <f>'[1]功能-行军令'!W128</f>
        <v>9573.4515237804735</v>
      </c>
      <c r="AC128" s="54">
        <v>125</v>
      </c>
      <c r="AD128" s="54">
        <f>'[1]功能-实力'!BE129</f>
        <v>16124454</v>
      </c>
      <c r="AE128" s="54">
        <f>'[1]功能-实力'!BF129</f>
        <v>16962738</v>
      </c>
      <c r="AF128" s="54">
        <f>'[1]功能-实力'!BG129</f>
        <v>18081678</v>
      </c>
      <c r="AG128" s="54">
        <f>'[1]功能-实力'!BH129</f>
        <v>18955164</v>
      </c>
      <c r="AH128" s="54">
        <f>'[1]功能-实力'!BI129</f>
        <v>20037564</v>
      </c>
    </row>
    <row r="129" spans="9:34" x14ac:dyDescent="0.15">
      <c r="I129" s="25">
        <v>126</v>
      </c>
      <c r="J129" s="26">
        <f>'[1]资源-钻石'!T129</f>
        <v>701409.50036329543</v>
      </c>
      <c r="K129" s="26">
        <f>'[1]资源-钻石'!U129</f>
        <v>985750.45039962512</v>
      </c>
      <c r="L129" s="26">
        <f>'[1]资源-钻石'!V129</f>
        <v>1651955.4954395879</v>
      </c>
      <c r="M129" s="26">
        <f>'[1]资源-钻石'!W129</f>
        <v>4369701.0449835472</v>
      </c>
      <c r="N129" s="26">
        <f>'[1]资源-钻石'!X129</f>
        <v>10398183.6494819</v>
      </c>
      <c r="P129" s="31">
        <v>126</v>
      </c>
      <c r="Q129" s="31">
        <f>'[1]功能-行军令'!N129</f>
        <v>285539.25259562297</v>
      </c>
      <c r="R129" s="31">
        <f>'[1]功能-行军令'!O129</f>
        <v>353884.31417939661</v>
      </c>
      <c r="S129" s="31">
        <f>'[1]功能-行军令'!P129</f>
        <v>384903.18807386589</v>
      </c>
      <c r="T129" s="31">
        <f>'[1]功能-行军令'!Q129</f>
        <v>309577.93323914061</v>
      </c>
      <c r="U129" s="31">
        <f>'[1]功能-行军令'!R129</f>
        <v>165594.14438029207</v>
      </c>
      <c r="V129" s="31">
        <f>'[1]功能-行军令'!S129</f>
        <v>19124.790027533832</v>
      </c>
      <c r="W129" s="31">
        <f>'[1]功能-行军令'!T129</f>
        <v>24323.253202043707</v>
      </c>
      <c r="X129" s="31">
        <f>'[1]功能-行军令'!U129</f>
        <v>26359.708540355787</v>
      </c>
      <c r="Y129" s="31">
        <f>'[1]功能-行军令'!V129</f>
        <v>19124.198719282635</v>
      </c>
      <c r="Z129" s="31">
        <f>'[1]功能-行军令'!W129</f>
        <v>10196.325849951128</v>
      </c>
      <c r="AC129" s="54">
        <v>126</v>
      </c>
      <c r="AD129" s="54">
        <f>'[1]功能-实力'!BE130</f>
        <v>16408674</v>
      </c>
      <c r="AE129" s="54">
        <f>'[1]功能-实力'!BF130</f>
        <v>17260818</v>
      </c>
      <c r="AF129" s="54">
        <f>'[1]功能-实力'!BG130</f>
        <v>18395796</v>
      </c>
      <c r="AG129" s="54">
        <f>'[1]功能-实力'!BH130</f>
        <v>19250250</v>
      </c>
      <c r="AH129" s="54">
        <f>'[1]功能-实力'!BI130</f>
        <v>20350086</v>
      </c>
    </row>
    <row r="130" spans="9:34" x14ac:dyDescent="0.15">
      <c r="I130" s="27">
        <v>127</v>
      </c>
      <c r="J130" s="26">
        <f>'[1]资源-钻石'!T130</f>
        <v>705701.18073088769</v>
      </c>
      <c r="K130" s="26">
        <f>'[1]资源-钻石'!U130</f>
        <v>992151.29880397662</v>
      </c>
      <c r="L130" s="26">
        <f>'[1]资源-钻石'!V130</f>
        <v>1663448.4286843746</v>
      </c>
      <c r="M130" s="26">
        <f>'[1]资源-钻石'!W130</f>
        <v>4402363.2715528123</v>
      </c>
      <c r="N130" s="26">
        <f>'[1]资源-钻石'!X130</f>
        <v>10477967.098708091</v>
      </c>
      <c r="P130" s="31">
        <v>127</v>
      </c>
      <c r="Q130" s="31">
        <f>'[1]功能-行军令'!N130</f>
        <v>306036.69502371247</v>
      </c>
      <c r="R130" s="31">
        <f>'[1]功能-行军令'!O130</f>
        <v>379109.60893225478</v>
      </c>
      <c r="S130" s="31">
        <f>'[1]功能-行军令'!P130</f>
        <v>410172.33347716153</v>
      </c>
      <c r="T130" s="31">
        <f>'[1]功能-行军令'!Q130</f>
        <v>329265.5454731753</v>
      </c>
      <c r="U130" s="31">
        <f>'[1]功能-行军令'!R130</f>
        <v>176453.44008187857</v>
      </c>
      <c r="V130" s="31">
        <f>'[1]功能-行军令'!S130</f>
        <v>20497.442428089504</v>
      </c>
      <c r="W130" s="31">
        <f>'[1]功能-行军令'!T130</f>
        <v>25225.294752858172</v>
      </c>
      <c r="X130" s="31">
        <f>'[1]功能-行军令'!U130</f>
        <v>25269.145403295639</v>
      </c>
      <c r="Y130" s="31">
        <f>'[1]功能-行军令'!V130</f>
        <v>19687.612234034692</v>
      </c>
      <c r="Z130" s="31">
        <f>'[1]功能-行军令'!W130</f>
        <v>10859.295701586496</v>
      </c>
      <c r="AC130" s="54">
        <v>127</v>
      </c>
      <c r="AD130" s="54">
        <f>'[1]功能-实力'!BE131</f>
        <v>16693938</v>
      </c>
      <c r="AE130" s="54">
        <f>'[1]功能-实力'!BF131</f>
        <v>17565786</v>
      </c>
      <c r="AF130" s="54">
        <f>'[1]功能-实力'!BG131</f>
        <v>18715014</v>
      </c>
      <c r="AG130" s="54">
        <f>'[1]功能-实力'!BH131</f>
        <v>19550016</v>
      </c>
      <c r="AH130" s="54">
        <f>'[1]功能-实力'!BI131</f>
        <v>20667552</v>
      </c>
    </row>
    <row r="131" spans="9:34" x14ac:dyDescent="0.15">
      <c r="I131" s="27">
        <v>128</v>
      </c>
      <c r="J131" s="26">
        <f>'[1]资源-钻石'!T131</f>
        <v>709992.86109847995</v>
      </c>
      <c r="K131" s="26">
        <f>'[1]资源-钻石'!U131</f>
        <v>998552.14720832813</v>
      </c>
      <c r="L131" s="26">
        <f>'[1]资源-钻石'!V131</f>
        <v>1674941.3619291612</v>
      </c>
      <c r="M131" s="26">
        <f>'[1]资源-钻石'!W131</f>
        <v>4435025.4981220774</v>
      </c>
      <c r="N131" s="26">
        <f>'[1]资源-钻石'!X131</f>
        <v>10557750.547934284</v>
      </c>
      <c r="P131" s="31">
        <v>128</v>
      </c>
      <c r="Q131" s="31">
        <f>'[1]功能-行军令'!N131</f>
        <v>328005.30986800481</v>
      </c>
      <c r="R131" s="31">
        <f>'[1]功能-行军令'!O131</f>
        <v>404221.62194596446</v>
      </c>
      <c r="S131" s="31">
        <f>'[1]功能-行军令'!P131</f>
        <v>436436.7347601527</v>
      </c>
      <c r="T131" s="31">
        <f>'[1]功能-行军令'!Q131</f>
        <v>351138.95392897807</v>
      </c>
      <c r="U131" s="31">
        <f>'[1]功能-行军令'!R131</f>
        <v>188385.57139255985</v>
      </c>
      <c r="V131" s="31">
        <f>'[1]功能-行军令'!S131</f>
        <v>21968.614844292344</v>
      </c>
      <c r="W131" s="31">
        <f>'[1]功能-行军令'!T131</f>
        <v>25112.013013709686</v>
      </c>
      <c r="X131" s="31">
        <f>'[1]功能-行军令'!U131</f>
        <v>26264.401282991166</v>
      </c>
      <c r="Y131" s="31">
        <f>'[1]功能-行军令'!V131</f>
        <v>21873.408455802768</v>
      </c>
      <c r="Z131" s="31">
        <f>'[1]功能-行军令'!W131</f>
        <v>11932.131310681289</v>
      </c>
      <c r="AC131" s="54">
        <v>128</v>
      </c>
      <c r="AD131" s="54">
        <f>'[1]功能-实力'!BE132</f>
        <v>16986690</v>
      </c>
      <c r="AE131" s="54">
        <f>'[1]功能-实力'!BF132</f>
        <v>17871924</v>
      </c>
      <c r="AF131" s="54">
        <f>'[1]功能-实力'!BG132</f>
        <v>19005594</v>
      </c>
      <c r="AG131" s="54">
        <f>'[1]功能-实力'!BH132</f>
        <v>19852746</v>
      </c>
      <c r="AH131" s="54">
        <f>'[1]功能-实力'!BI132</f>
        <v>20991954</v>
      </c>
    </row>
    <row r="132" spans="9:34" x14ac:dyDescent="0.15">
      <c r="I132" s="25">
        <v>129</v>
      </c>
      <c r="J132" s="26">
        <f>'[1]资源-钻石'!T132</f>
        <v>714284.54146607232</v>
      </c>
      <c r="K132" s="26">
        <f>'[1]资源-钻石'!U132</f>
        <v>1004952.9956126797</v>
      </c>
      <c r="L132" s="26">
        <f>'[1]资源-钻石'!V132</f>
        <v>1686434.2951739479</v>
      </c>
      <c r="M132" s="26">
        <f>'[1]资源-钻石'!W132</f>
        <v>4467687.7246913426</v>
      </c>
      <c r="N132" s="26">
        <f>'[1]资源-钻石'!X132</f>
        <v>10637533.997160476</v>
      </c>
      <c r="P132" s="31">
        <v>129</v>
      </c>
      <c r="Q132" s="31">
        <f>'[1]功能-行军令'!N132</f>
        <v>351550.68826679827</v>
      </c>
      <c r="R132" s="31">
        <f>'[1]功能-行军令'!O132</f>
        <v>433033.25964140217</v>
      </c>
      <c r="S132" s="31">
        <f>'[1]功能-行军令'!P132</f>
        <v>468530.70826882869</v>
      </c>
      <c r="T132" s="31">
        <f>'[1]功能-行军令'!Q132</f>
        <v>377604.41547050141</v>
      </c>
      <c r="U132" s="31">
        <f>'[1]功能-行军令'!R132</f>
        <v>202695.72020774256</v>
      </c>
      <c r="V132" s="31">
        <f>'[1]功能-行军令'!S132</f>
        <v>23545.378398793458</v>
      </c>
      <c r="W132" s="31">
        <f>'[1]功能-行军令'!T132</f>
        <v>28811.637695437705</v>
      </c>
      <c r="X132" s="31">
        <f>'[1]功能-行军令'!U132</f>
        <v>32093.97350867599</v>
      </c>
      <c r="Y132" s="31">
        <f>'[1]功能-行军令'!V132</f>
        <v>26465.461541523342</v>
      </c>
      <c r="Z132" s="31">
        <f>'[1]功能-行军令'!W132</f>
        <v>14310.148815182707</v>
      </c>
      <c r="AC132" s="54">
        <v>129</v>
      </c>
      <c r="AD132" s="54">
        <f>'[1]功能-实力'!BE133</f>
        <v>17279928</v>
      </c>
      <c r="AE132" s="54">
        <f>'[1]功能-实力'!BF133</f>
        <v>18186054</v>
      </c>
      <c r="AF132" s="54">
        <f>'[1]功能-实力'!BG133</f>
        <v>19303506</v>
      </c>
      <c r="AG132" s="54">
        <f>'[1]功能-实力'!BH133</f>
        <v>20159394</v>
      </c>
      <c r="AH132" s="54">
        <f>'[1]功能-实力'!BI133</f>
        <v>21317382</v>
      </c>
    </row>
    <row r="133" spans="9:34" x14ac:dyDescent="0.15">
      <c r="I133" s="25">
        <v>130</v>
      </c>
      <c r="J133" s="26">
        <f>'[1]资源-钻石'!T133</f>
        <v>718576.22183366457</v>
      </c>
      <c r="K133" s="26">
        <f>'[1]资源-钻石'!U133</f>
        <v>1011353.8440170313</v>
      </c>
      <c r="L133" s="26">
        <f>'[1]资源-钻石'!V133</f>
        <v>1697927.2284187346</v>
      </c>
      <c r="M133" s="26">
        <f>'[1]资源-钻石'!W133</f>
        <v>4500349.9512606086</v>
      </c>
      <c r="N133" s="26">
        <f>'[1]资源-钻石'!X133</f>
        <v>10717317.446386669</v>
      </c>
      <c r="P133" s="31">
        <v>130</v>
      </c>
      <c r="Q133" s="31">
        <f>'[1]功能-行军令'!N133</f>
        <v>376786</v>
      </c>
      <c r="R133" s="31">
        <f>'[1]功能-行军令'!O133</f>
        <v>464995.69809999998</v>
      </c>
      <c r="S133" s="31">
        <f>'[1]功能-行军令'!P133</f>
        <v>503728.47979999997</v>
      </c>
      <c r="T133" s="31">
        <f>'[1]功能-行军令'!Q133</f>
        <v>406987.85519999999</v>
      </c>
      <c r="U133" s="31">
        <f>'[1]功能-行军令'!R133</f>
        <v>218680.0416</v>
      </c>
      <c r="V133" s="31">
        <f>'[1]功能-行军令'!S133</f>
        <v>25235.311733201728</v>
      </c>
      <c r="W133" s="31">
        <f>'[1]功能-行军令'!T133</f>
        <v>31962.438458597811</v>
      </c>
      <c r="X133" s="31">
        <f>'[1]功能-行军令'!U133</f>
        <v>35197.771531171282</v>
      </c>
      <c r="Y133" s="31">
        <f>'[1]功能-行军令'!V133</f>
        <v>29383.439729498583</v>
      </c>
      <c r="Z133" s="31">
        <f>'[1]功能-行军令'!W133</f>
        <v>15984.321392257436</v>
      </c>
      <c r="AC133" s="54">
        <v>130</v>
      </c>
      <c r="AD133" s="54">
        <f>'[1]功能-实力'!BE134</f>
        <v>17580720</v>
      </c>
      <c r="AE133" s="54">
        <f>'[1]功能-实力'!BF134</f>
        <v>18500580</v>
      </c>
      <c r="AF133" s="54">
        <f>'[1]功能-实力'!BG134</f>
        <v>19601136</v>
      </c>
      <c r="AG133" s="54">
        <f>'[1]功能-实力'!BH134</f>
        <v>20470692</v>
      </c>
      <c r="AH133" s="54">
        <f>'[1]功能-实力'!BI134</f>
        <v>21651138</v>
      </c>
    </row>
    <row r="134" spans="9:34" x14ac:dyDescent="0.15">
      <c r="I134" s="25">
        <v>131</v>
      </c>
      <c r="J134" s="26">
        <f>'[1]资源-钻石'!T134</f>
        <v>722867.90220125695</v>
      </c>
      <c r="K134" s="26">
        <f>'[1]资源-钻石'!U134</f>
        <v>1017754.6924213828</v>
      </c>
      <c r="L134" s="26">
        <f>'[1]资源-钻石'!V134</f>
        <v>1709420.1616635211</v>
      </c>
      <c r="M134" s="26">
        <f>'[1]资源-钻石'!W134</f>
        <v>4533012.1778298737</v>
      </c>
      <c r="N134" s="26">
        <f>'[1]资源-钻石'!X134</f>
        <v>10797100.89561286</v>
      </c>
      <c r="P134" s="31">
        <v>131</v>
      </c>
      <c r="Q134" s="31">
        <f>'[1]功能-行军令'!N134</f>
        <v>403832.53743447649</v>
      </c>
      <c r="R134" s="31">
        <f>'[1]功能-行军令'!O134</f>
        <v>498727.03845383495</v>
      </c>
      <c r="S134" s="31">
        <f>'[1]功能-行军令'!P134</f>
        <v>540686.11699009745</v>
      </c>
      <c r="T134" s="31">
        <f>'[1]功能-行军令'!Q134</f>
        <v>437377.85284297384</v>
      </c>
      <c r="U134" s="31">
        <f>'[1]功能-行军令'!R134</f>
        <v>234377.38155240606</v>
      </c>
      <c r="V134" s="31">
        <f>'[1]功能-行军令'!S134</f>
        <v>27046.537434476486</v>
      </c>
      <c r="W134" s="31">
        <f>'[1]功能-行军令'!T134</f>
        <v>33731.340353834967</v>
      </c>
      <c r="X134" s="31">
        <f>'[1]功能-行军令'!U134</f>
        <v>36957.637190097477</v>
      </c>
      <c r="Y134" s="31">
        <f>'[1]功能-行军令'!V134</f>
        <v>30389.997642973845</v>
      </c>
      <c r="Z134" s="31">
        <f>'[1]功能-行军令'!W134</f>
        <v>15697.339952406066</v>
      </c>
      <c r="AC134" s="54">
        <v>131</v>
      </c>
      <c r="AD134" s="54">
        <f>'[1]功能-实力'!BE135</f>
        <v>17882712</v>
      </c>
      <c r="AE134" s="54">
        <f>'[1]功能-实力'!BF135</f>
        <v>18823152</v>
      </c>
      <c r="AF134" s="54">
        <f>'[1]功能-实力'!BG135</f>
        <v>19906644</v>
      </c>
      <c r="AG134" s="54">
        <f>'[1]功能-实力'!BH135</f>
        <v>20785830</v>
      </c>
      <c r="AH134" s="54">
        <f>'[1]功能-实力'!BI135</f>
        <v>21984792</v>
      </c>
    </row>
    <row r="135" spans="9:34" x14ac:dyDescent="0.15">
      <c r="I135" s="25">
        <v>132</v>
      </c>
      <c r="J135" s="26">
        <f>'[1]资源-钻石'!T135</f>
        <v>727159.5825688492</v>
      </c>
      <c r="K135" s="26">
        <f>'[1]资源-钻石'!U135</f>
        <v>1024155.5408257343</v>
      </c>
      <c r="L135" s="26">
        <f>'[1]资源-钻石'!V135</f>
        <v>1720913.0949083078</v>
      </c>
      <c r="M135" s="26">
        <f>'[1]资源-钻石'!W135</f>
        <v>4565674.4043991389</v>
      </c>
      <c r="N135" s="26">
        <f>'[1]资源-钻石'!X135</f>
        <v>10876884.344839051</v>
      </c>
      <c r="P135" s="31">
        <v>132</v>
      </c>
      <c r="Q135" s="31">
        <f>'[1]功能-行军令'!N135</f>
        <v>432820.29851024237</v>
      </c>
      <c r="R135" s="31">
        <f>'[1]功能-行军令'!O135</f>
        <v>534904.72956865281</v>
      </c>
      <c r="S135" s="31">
        <f>'[1]功能-行军令'!P135</f>
        <v>581295.53825941135</v>
      </c>
      <c r="T135" s="31">
        <f>'[1]功能-行军令'!Q135</f>
        <v>468095.15283882717</v>
      </c>
      <c r="U135" s="31">
        <f>'[1]功能-行军令'!R135</f>
        <v>250038.40462198222</v>
      </c>
      <c r="V135" s="31">
        <f>'[1]功能-行军令'!S135</f>
        <v>28987.761075765884</v>
      </c>
      <c r="W135" s="31">
        <f>'[1]功能-行军令'!T135</f>
        <v>36177.691114817862</v>
      </c>
      <c r="X135" s="31">
        <f>'[1]功能-行军令'!U135</f>
        <v>40609.421269313898</v>
      </c>
      <c r="Y135" s="31">
        <f>'[1]功能-行军令'!V135</f>
        <v>30717.299995853333</v>
      </c>
      <c r="Z135" s="31">
        <f>'[1]功能-行军令'!W135</f>
        <v>15661.023069576157</v>
      </c>
      <c r="AC135" s="54">
        <v>132</v>
      </c>
      <c r="AD135" s="54">
        <f>'[1]功能-实力'!BE136</f>
        <v>18191670</v>
      </c>
      <c r="AE135" s="54">
        <f>'[1]功能-实力'!BF136</f>
        <v>19118346</v>
      </c>
      <c r="AF135" s="54">
        <f>'[1]功能-实力'!BG136</f>
        <v>20213340</v>
      </c>
      <c r="AG135" s="54">
        <f>'[1]功能-实力'!BH136</f>
        <v>21106080</v>
      </c>
      <c r="AH135" s="54">
        <f>'[1]功能-实力'!BI136</f>
        <v>22327002</v>
      </c>
    </row>
    <row r="136" spans="9:34" x14ac:dyDescent="0.15">
      <c r="I136" s="27">
        <v>133</v>
      </c>
      <c r="J136" s="26">
        <f>'[1]资源-钻石'!T136</f>
        <v>731451.26293644146</v>
      </c>
      <c r="K136" s="26">
        <f>'[1]资源-钻石'!U136</f>
        <v>1030556.3892300858</v>
      </c>
      <c r="L136" s="26">
        <f>'[1]资源-钻石'!V136</f>
        <v>1732406.0281530945</v>
      </c>
      <c r="M136" s="26">
        <f>'[1]资源-钻石'!W136</f>
        <v>4598336.630968404</v>
      </c>
      <c r="N136" s="26">
        <f>'[1]资源-钻石'!X136</f>
        <v>10956667.794065244</v>
      </c>
      <c r="P136" s="31">
        <v>133</v>
      </c>
      <c r="Q136" s="31">
        <f>'[1]功能-行军令'!N136</f>
        <v>463888.61156959157</v>
      </c>
      <c r="R136" s="31">
        <f>'[1]功能-行军令'!O136</f>
        <v>573706.17273066507</v>
      </c>
      <c r="S136" s="31">
        <f>'[1]功能-行军令'!P136</f>
        <v>621277.94984712673</v>
      </c>
      <c r="T136" s="31">
        <f>'[1]功能-行军令'!Q136</f>
        <v>498891.02421952412</v>
      </c>
      <c r="U136" s="31">
        <f>'[1]功能-行军令'!R136</f>
        <v>266116.7612014201</v>
      </c>
      <c r="V136" s="31">
        <f>'[1]功能-行军令'!S136</f>
        <v>31068.313059349195</v>
      </c>
      <c r="W136" s="31">
        <f>'[1]功能-行军令'!T136</f>
        <v>38801.443162012263</v>
      </c>
      <c r="X136" s="31">
        <f>'[1]功能-行军令'!U136</f>
        <v>39982.411587715382</v>
      </c>
      <c r="Y136" s="31">
        <f>'[1]功能-行军令'!V136</f>
        <v>30795.871380696946</v>
      </c>
      <c r="Z136" s="31">
        <f>'[1]功能-行军令'!W136</f>
        <v>16078.356579437881</v>
      </c>
      <c r="AC136" s="54">
        <v>133</v>
      </c>
      <c r="AD136" s="54">
        <f>'[1]功能-实力'!BE137</f>
        <v>18503088</v>
      </c>
      <c r="AE136" s="54">
        <f>'[1]功能-实力'!BF137</f>
        <v>19417152</v>
      </c>
      <c r="AF136" s="54">
        <f>'[1]功能-实力'!BG137</f>
        <v>20526630</v>
      </c>
      <c r="AG136" s="54">
        <f>'[1]功能-实力'!BH137</f>
        <v>21428820</v>
      </c>
      <c r="AH136" s="54">
        <f>'[1]功能-实力'!BI137</f>
        <v>22580580</v>
      </c>
    </row>
    <row r="137" spans="9:34" x14ac:dyDescent="0.15">
      <c r="I137" s="27">
        <v>134</v>
      </c>
      <c r="J137" s="26">
        <f>'[1]资源-钻石'!T137</f>
        <v>735742.94330403383</v>
      </c>
      <c r="K137" s="26">
        <f>'[1]资源-钻石'!U137</f>
        <v>1036957.2376344373</v>
      </c>
      <c r="L137" s="26">
        <f>'[1]资源-钻石'!V137</f>
        <v>1743898.9613978812</v>
      </c>
      <c r="M137" s="26">
        <f>'[1]资源-钻石'!W137</f>
        <v>4630998.8575376691</v>
      </c>
      <c r="N137" s="26">
        <f>'[1]资源-钻石'!X137</f>
        <v>11036451.243291436</v>
      </c>
      <c r="P137" s="31">
        <v>134</v>
      </c>
      <c r="Q137" s="31">
        <f>'[1]功能-行军令'!N137</f>
        <v>497186.80503237102</v>
      </c>
      <c r="R137" s="31">
        <f>'[1]功能-行军令'!O137</f>
        <v>613149.14226088859</v>
      </c>
      <c r="S137" s="31">
        <f>'[1]功能-行军令'!P137</f>
        <v>661447.59784714179</v>
      </c>
      <c r="T137" s="31">
        <f>'[1]功能-行军令'!Q137</f>
        <v>531695.89266513963</v>
      </c>
      <c r="U137" s="31">
        <f>'[1]功能-行军令'!R137</f>
        <v>284550.81692883093</v>
      </c>
      <c r="V137" s="31">
        <f>'[1]功能-行军令'!S137</f>
        <v>33298.193462779454</v>
      </c>
      <c r="W137" s="31">
        <f>'[1]功能-行军令'!T137</f>
        <v>39442.96953022352</v>
      </c>
      <c r="X137" s="31">
        <f>'[1]功能-行军令'!U137</f>
        <v>40169.648000015062</v>
      </c>
      <c r="Y137" s="31">
        <f>'[1]功能-行军令'!V137</f>
        <v>32804.868445615517</v>
      </c>
      <c r="Z137" s="31">
        <f>'[1]功能-行军令'!W137</f>
        <v>18434.055727410829</v>
      </c>
      <c r="AC137" s="54">
        <v>134</v>
      </c>
      <c r="AD137" s="54">
        <f>'[1]功能-实力'!BE138</f>
        <v>18820848</v>
      </c>
      <c r="AE137" s="54">
        <f>'[1]功能-实力'!BF138</f>
        <v>19717182</v>
      </c>
      <c r="AF137" s="54">
        <f>'[1]功能-实力'!BG138</f>
        <v>20841570</v>
      </c>
      <c r="AG137" s="54">
        <f>'[1]功能-实力'!BH138</f>
        <v>21757566</v>
      </c>
      <c r="AH137" s="54">
        <f>'[1]功能-实力'!BI138</f>
        <v>22827336</v>
      </c>
    </row>
    <row r="138" spans="9:34" x14ac:dyDescent="0.15">
      <c r="I138" s="25">
        <v>135</v>
      </c>
      <c r="J138" s="26">
        <f>'[1]资源-钻石'!T138</f>
        <v>740034.62367162609</v>
      </c>
      <c r="K138" s="26">
        <f>'[1]资源-钻石'!U138</f>
        <v>1043358.0860387889</v>
      </c>
      <c r="L138" s="26">
        <f>'[1]资源-钻石'!V138</f>
        <v>1755391.8946426678</v>
      </c>
      <c r="M138" s="26">
        <f>'[1]资源-钻石'!W138</f>
        <v>4663661.0841069352</v>
      </c>
      <c r="N138" s="26">
        <f>'[1]资源-钻石'!X138</f>
        <v>11116234.692517627</v>
      </c>
      <c r="P138" s="31">
        <v>135</v>
      </c>
      <c r="Q138" s="31">
        <f>'[1]功能-行军令'!N138</f>
        <v>532874.92513617827</v>
      </c>
      <c r="R138" s="31">
        <f>'[1]功能-行军令'!O138</f>
        <v>655298.30549121415</v>
      </c>
      <c r="S138" s="31">
        <f>'[1]功能-行军令'!P138</f>
        <v>707977.62553592643</v>
      </c>
      <c r="T138" s="31">
        <f>'[1]功能-行军令'!Q138</f>
        <v>569861.07863563031</v>
      </c>
      <c r="U138" s="31">
        <f>'[1]功能-行军令'!R138</f>
        <v>305453.17447805975</v>
      </c>
      <c r="V138" s="31">
        <f>'[1]功能-行军令'!S138</f>
        <v>35688.120103807247</v>
      </c>
      <c r="W138" s="31">
        <f>'[1]功能-行军令'!T138</f>
        <v>42149.163230325561</v>
      </c>
      <c r="X138" s="31">
        <f>'[1]功能-行军令'!U138</f>
        <v>46530.027688784641</v>
      </c>
      <c r="Y138" s="31">
        <f>'[1]功能-行军令'!V138</f>
        <v>38165.185970490682</v>
      </c>
      <c r="Z138" s="31">
        <f>'[1]功能-行军令'!W138</f>
        <v>20902.357549228822</v>
      </c>
      <c r="AC138" s="54">
        <v>135</v>
      </c>
      <c r="AD138" s="54">
        <f>'[1]功能-实力'!BE139</f>
        <v>19119900</v>
      </c>
      <c r="AE138" s="54">
        <f>'[1]功能-实力'!BF139</f>
        <v>20023014</v>
      </c>
      <c r="AF138" s="54">
        <f>'[1]功能-实力'!BG139</f>
        <v>21162234</v>
      </c>
      <c r="AG138" s="54">
        <f>'[1]功能-实力'!BH139</f>
        <v>22087698</v>
      </c>
      <c r="AH138" s="54">
        <f>'[1]功能-实力'!BI139</f>
        <v>23075898</v>
      </c>
    </row>
    <row r="139" spans="9:34" x14ac:dyDescent="0.15">
      <c r="I139" s="25">
        <v>136</v>
      </c>
      <c r="J139" s="26">
        <f>'[1]资源-钻石'!T139</f>
        <v>744326.30403921835</v>
      </c>
      <c r="K139" s="26">
        <f>'[1]资源-钻石'!U139</f>
        <v>1049758.9344431404</v>
      </c>
      <c r="L139" s="26">
        <f>'[1]资源-钻石'!V139</f>
        <v>1766884.8278874545</v>
      </c>
      <c r="M139" s="26">
        <f>'[1]资源-钻石'!W139</f>
        <v>4696323.3106762003</v>
      </c>
      <c r="N139" s="26">
        <f>'[1]资源-钻石'!X139</f>
        <v>11196018.14174382</v>
      </c>
      <c r="P139" s="31">
        <v>136</v>
      </c>
      <c r="Q139" s="31">
        <f>'[1]功能-行军令'!N139</f>
        <v>571124.50519124593</v>
      </c>
      <c r="R139" s="31">
        <f>'[1]功能-行军令'!O139</f>
        <v>703666.36237098742</v>
      </c>
      <c r="S139" s="31">
        <f>'[1]功能-行军令'!P139</f>
        <v>761846.5673998174</v>
      </c>
      <c r="T139" s="31">
        <f>'[1]功能-行军令'!Q139</f>
        <v>612811.62777016184</v>
      </c>
      <c r="U139" s="31">
        <f>'[1]功能-行军令'!R139</f>
        <v>329040.96791582351</v>
      </c>
      <c r="V139" s="31">
        <f>'[1]功能-行军令'!S139</f>
        <v>38249.580055067665</v>
      </c>
      <c r="W139" s="31">
        <f>'[1]功能-行军令'!T139</f>
        <v>48368.05687977327</v>
      </c>
      <c r="X139" s="31">
        <f>'[1]功能-行军令'!U139</f>
        <v>53868.94186389097</v>
      </c>
      <c r="Y139" s="31">
        <f>'[1]功能-行军令'!V139</f>
        <v>42950.549134531524</v>
      </c>
      <c r="Z139" s="31">
        <f>'[1]功能-行军令'!W139</f>
        <v>23587.793437763758</v>
      </c>
      <c r="AC139" s="54">
        <v>136</v>
      </c>
      <c r="AD139" s="54">
        <f>'[1]功能-实力'!BE140</f>
        <v>19413300</v>
      </c>
      <c r="AE139" s="54">
        <f>'[1]功能-实力'!BF140</f>
        <v>20330928</v>
      </c>
      <c r="AF139" s="54">
        <f>'[1]功能-实力'!BG140</f>
        <v>21485358</v>
      </c>
      <c r="AG139" s="54">
        <f>'[1]功能-实力'!BH140</f>
        <v>22425600</v>
      </c>
      <c r="AH139" s="54">
        <f>'[1]功能-实力'!BI140</f>
        <v>23326272</v>
      </c>
    </row>
    <row r="140" spans="9:34" x14ac:dyDescent="0.15">
      <c r="I140" s="25">
        <v>137</v>
      </c>
      <c r="J140" s="26">
        <f>'[1]资源-钻石'!T140</f>
        <v>748617.98440681072</v>
      </c>
      <c r="K140" s="26">
        <f>'[1]资源-钻石'!U140</f>
        <v>1056159.7828474918</v>
      </c>
      <c r="L140" s="26">
        <f>'[1]资源-钻石'!V140</f>
        <v>1778377.7611322412</v>
      </c>
      <c r="M140" s="26">
        <f>'[1]资源-钻石'!W140</f>
        <v>4728985.5372454654</v>
      </c>
      <c r="N140" s="26">
        <f>'[1]资源-钻石'!X140</f>
        <v>11275801.590970011</v>
      </c>
      <c r="P140" s="31">
        <v>137</v>
      </c>
      <c r="Q140" s="31">
        <f>'[1]功能-行军令'!N140</f>
        <v>612119.39004742505</v>
      </c>
      <c r="R140" s="31">
        <f>'[1]功能-行军令'!O140</f>
        <v>754709.94057032035</v>
      </c>
      <c r="S140" s="31">
        <f>'[1]功能-行军令'!P140</f>
        <v>817863.36259697401</v>
      </c>
      <c r="T140" s="31">
        <f>'[1]功能-行军令'!Q140</f>
        <v>659951.19760232652</v>
      </c>
      <c r="U140" s="31">
        <f>'[1]功能-行军令'!R140</f>
        <v>353618.71024174505</v>
      </c>
      <c r="V140" s="31">
        <f>'[1]功能-行军令'!S140</f>
        <v>40994.884856179124</v>
      </c>
      <c r="W140" s="31">
        <f>'[1]功能-行军令'!T140</f>
        <v>51043.578199332929</v>
      </c>
      <c r="X140" s="31">
        <f>'[1]功能-行军令'!U140</f>
        <v>56016.795197156607</v>
      </c>
      <c r="Y140" s="31">
        <f>'[1]功能-行军令'!V140</f>
        <v>47139.569832164678</v>
      </c>
      <c r="Z140" s="31">
        <f>'[1]功能-行军令'!W140</f>
        <v>24577.742325921543</v>
      </c>
      <c r="AC140" s="54">
        <v>137</v>
      </c>
      <c r="AD140" s="54">
        <f>'[1]功能-实力'!BE141</f>
        <v>19709484</v>
      </c>
      <c r="AE140" s="54">
        <f>'[1]功能-实力'!BF141</f>
        <v>20643882</v>
      </c>
      <c r="AF140" s="54">
        <f>'[1]功能-实力'!BG141</f>
        <v>21813408</v>
      </c>
      <c r="AG140" s="54">
        <f>'[1]功能-实力'!BH141</f>
        <v>22768542</v>
      </c>
      <c r="AH140" s="54">
        <f>'[1]功能-实力'!BI141</f>
        <v>23578482</v>
      </c>
    </row>
    <row r="141" spans="9:34" x14ac:dyDescent="0.15">
      <c r="I141" s="25">
        <v>138</v>
      </c>
      <c r="J141" s="26">
        <f>'[1]资源-钻石'!T141</f>
        <v>752909.66477440298</v>
      </c>
      <c r="K141" s="26">
        <f>'[1]资源-钻石'!U141</f>
        <v>1062560.6312518434</v>
      </c>
      <c r="L141" s="26">
        <f>'[1]资源-钻石'!V141</f>
        <v>1789870.6943770279</v>
      </c>
      <c r="M141" s="26">
        <f>'[1]资源-钻石'!W141</f>
        <v>4761647.7638147306</v>
      </c>
      <c r="N141" s="26">
        <f>'[1]资源-钻石'!X141</f>
        <v>11355585.040196203</v>
      </c>
      <c r="P141" s="31">
        <v>138</v>
      </c>
      <c r="Q141" s="31">
        <f>'[1]功能-行军令'!N141</f>
        <v>656056.61973600974</v>
      </c>
      <c r="R141" s="31">
        <f>'[1]功能-行军令'!O141</f>
        <v>809455.49332067498</v>
      </c>
      <c r="S141" s="31">
        <f>'[1]功能-行军令'!P141</f>
        <v>877996.29556257313</v>
      </c>
      <c r="T141" s="31">
        <f>'[1]功能-行军令'!Q141</f>
        <v>707762.43863146473</v>
      </c>
      <c r="U141" s="31">
        <f>'[1]功能-行军令'!R141</f>
        <v>377532.06045721553</v>
      </c>
      <c r="V141" s="31">
        <f>'[1]功能-行军令'!S141</f>
        <v>43937.229688584688</v>
      </c>
      <c r="W141" s="31">
        <f>'[1]功能-行军令'!T141</f>
        <v>54745.552750354633</v>
      </c>
      <c r="X141" s="31">
        <f>'[1]功能-行军令'!U141</f>
        <v>60132.932965599117</v>
      </c>
      <c r="Y141" s="31">
        <f>'[1]功能-行军令'!V141</f>
        <v>47811.241029138211</v>
      </c>
      <c r="Z141" s="31">
        <f>'[1]功能-行军令'!W141</f>
        <v>23913.350215470477</v>
      </c>
      <c r="AC141" s="54">
        <v>138</v>
      </c>
      <c r="AD141" s="54">
        <f>'[1]功能-实力'!BE142</f>
        <v>20009604</v>
      </c>
      <c r="AE141" s="54">
        <f>'[1]功能-实力'!BF142</f>
        <v>20959854</v>
      </c>
      <c r="AF141" s="54">
        <f>'[1]功能-实力'!BG142</f>
        <v>22144890</v>
      </c>
      <c r="AG141" s="54">
        <f>'[1]功能-实力'!BH142</f>
        <v>23119806</v>
      </c>
      <c r="AH141" s="54">
        <f>'[1]功能-实力'!BI142</f>
        <v>23832492</v>
      </c>
    </row>
    <row r="142" spans="9:34" x14ac:dyDescent="0.15">
      <c r="I142" s="27">
        <v>139</v>
      </c>
      <c r="J142" s="26">
        <f>'[1]资源-钻石'!T142</f>
        <v>757201.34514199523</v>
      </c>
      <c r="K142" s="26">
        <f>'[1]资源-钻石'!U142</f>
        <v>1068961.4796561948</v>
      </c>
      <c r="L142" s="26">
        <f>'[1]资源-钻石'!V142</f>
        <v>1801363.6276218146</v>
      </c>
      <c r="M142" s="26">
        <f>'[1]资源-钻石'!W142</f>
        <v>4794309.9903839957</v>
      </c>
      <c r="N142" s="26">
        <f>'[1]资源-钻石'!X142</f>
        <v>11435368.489422396</v>
      </c>
      <c r="P142" s="31">
        <v>139</v>
      </c>
      <c r="Q142" s="31">
        <f>'[1]功能-行军令'!N142</f>
        <v>703147.37653359666</v>
      </c>
      <c r="R142" s="31">
        <f>'[1]功能-行军令'!O142</f>
        <v>868171.48006227182</v>
      </c>
      <c r="S142" s="31">
        <f>'[1]功能-行军令'!P142</f>
        <v>941156.64916520589</v>
      </c>
      <c r="T142" s="31">
        <f>'[1]功能-行军令'!Q142</f>
        <v>754313.5768264425</v>
      </c>
      <c r="U142" s="31">
        <f>'[1]功能-行军令'!R142</f>
        <v>401954.19779543055</v>
      </c>
      <c r="V142" s="31">
        <f>'[1]功能-行军令'!S142</f>
        <v>47090.756797586917</v>
      </c>
      <c r="W142" s="31">
        <f>'[1]功能-行军令'!T142</f>
        <v>58715.986741596833</v>
      </c>
      <c r="X142" s="31">
        <f>'[1]功能-行军令'!U142</f>
        <v>63160.353602632764</v>
      </c>
      <c r="Y142" s="31">
        <f>'[1]功能-行军令'!V142</f>
        <v>46551.138194977771</v>
      </c>
      <c r="Z142" s="31">
        <f>'[1]功能-行军令'!W142</f>
        <v>24422.13733821502</v>
      </c>
      <c r="AC142" s="54">
        <v>139</v>
      </c>
      <c r="AD142" s="54">
        <f>'[1]功能-实力'!BE143</f>
        <v>20313672</v>
      </c>
      <c r="AE142" s="54">
        <f>'[1]功能-实力'!BF143</f>
        <v>21280068</v>
      </c>
      <c r="AF142" s="54">
        <f>'[1]功能-实力'!BG143</f>
        <v>22480482</v>
      </c>
      <c r="AG142" s="54">
        <f>'[1]功能-实力'!BH143</f>
        <v>23470632</v>
      </c>
      <c r="AH142" s="54">
        <f>'[1]功能-实力'!BI143</f>
        <v>24088350</v>
      </c>
    </row>
    <row r="143" spans="9:34" x14ac:dyDescent="0.15">
      <c r="I143" s="27">
        <v>140</v>
      </c>
      <c r="J143" s="26">
        <f>'[1]资源-钻石'!T143</f>
        <v>761493.02550958761</v>
      </c>
      <c r="K143" s="26">
        <f>'[1]资源-钻石'!U143</f>
        <v>1075362.3280605464</v>
      </c>
      <c r="L143" s="26">
        <f>'[1]资源-钻石'!V143</f>
        <v>1812856.5608666013</v>
      </c>
      <c r="M143" s="26">
        <f>'[1]资源-钻石'!W143</f>
        <v>4826972.2169532618</v>
      </c>
      <c r="N143" s="26">
        <f>'[1]资源-钻石'!X143</f>
        <v>11515151.938648587</v>
      </c>
      <c r="P143" s="31">
        <v>140</v>
      </c>
      <c r="Q143" s="31">
        <f>'[1]功能-行军令'!N143</f>
        <v>753618</v>
      </c>
      <c r="R143" s="31">
        <f>'[1]功能-行军令'!O143</f>
        <v>930048.16530000011</v>
      </c>
      <c r="S143" s="31">
        <f>'[1]功能-行军令'!P143</f>
        <v>1002896.8131</v>
      </c>
      <c r="T143" s="31">
        <f>'[1]功能-行军令'!Q143</f>
        <v>803900.70360000001</v>
      </c>
      <c r="U143" s="31">
        <f>'[1]功能-行军令'!R143</f>
        <v>429455.77049999998</v>
      </c>
      <c r="V143" s="31">
        <f>'[1]功能-行军令'!S143</f>
        <v>50470.62346640334</v>
      </c>
      <c r="W143" s="31">
        <f>'[1]功能-行军令'!T143</f>
        <v>61876.685237728292</v>
      </c>
      <c r="X143" s="31">
        <f>'[1]功能-行军令'!U143</f>
        <v>61740.163934794138</v>
      </c>
      <c r="Y143" s="31">
        <f>'[1]功能-行军令'!V143</f>
        <v>49587.126773557509</v>
      </c>
      <c r="Z143" s="31">
        <f>'[1]功能-行军令'!W143</f>
        <v>27501.572704569437</v>
      </c>
      <c r="AC143" s="54">
        <v>140</v>
      </c>
      <c r="AD143" s="54">
        <f>'[1]功能-实力'!BE144</f>
        <v>20620536</v>
      </c>
      <c r="AE143" s="54">
        <f>'[1]功能-实力'!BF144</f>
        <v>21604260</v>
      </c>
      <c r="AF143" s="54">
        <f>'[1]功能-实力'!BG144</f>
        <v>22820490</v>
      </c>
      <c r="AG143" s="54">
        <f>'[1]功能-实力'!BH144</f>
        <v>23830152</v>
      </c>
      <c r="AH143" s="54">
        <f>'[1]功能-实力'!BI144</f>
        <v>24346062</v>
      </c>
    </row>
    <row r="144" spans="9:34" x14ac:dyDescent="0.15">
      <c r="I144" s="25">
        <v>141</v>
      </c>
      <c r="J144" s="26">
        <f>'[1]资源-钻石'!T144</f>
        <v>765784.70587717986</v>
      </c>
      <c r="K144" s="26">
        <f>'[1]资源-钻石'!U144</f>
        <v>1081763.176464898</v>
      </c>
      <c r="L144" s="26">
        <f>'[1]资源-钻石'!V144</f>
        <v>1824349.494111388</v>
      </c>
      <c r="M144" s="26">
        <f>'[1]资源-钻石'!W144</f>
        <v>4859634.4435225269</v>
      </c>
      <c r="N144" s="26">
        <f>'[1]资源-钻石'!X144</f>
        <v>11594935.387874778</v>
      </c>
      <c r="P144" s="31">
        <v>141</v>
      </c>
      <c r="Q144" s="31">
        <f>'[1]功能-行军令'!N144</f>
        <v>807711.07486895169</v>
      </c>
      <c r="R144" s="31">
        <f>'[1]功能-行军令'!O144</f>
        <v>992805.09124973603</v>
      </c>
      <c r="S144" s="31">
        <f>'[1]功能-行军令'!P144</f>
        <v>1070248.7802868993</v>
      </c>
      <c r="T144" s="31">
        <f>'[1]功能-行军令'!Q144</f>
        <v>860336.96318394598</v>
      </c>
      <c r="U144" s="31">
        <f>'[1]功能-行军令'!R144</f>
        <v>459919.46549858619</v>
      </c>
      <c r="V144" s="31">
        <f>'[1]功能-行军令'!S144</f>
        <v>54093.074868951691</v>
      </c>
      <c r="W144" s="31">
        <f>'[1]功能-行军令'!T144</f>
        <v>62756.925949735916</v>
      </c>
      <c r="X144" s="31">
        <f>'[1]功能-行军令'!U144</f>
        <v>67351.967186899274</v>
      </c>
      <c r="Y144" s="31">
        <f>'[1]功能-行军令'!V144</f>
        <v>56436.259583945968</v>
      </c>
      <c r="Z144" s="31">
        <f>'[1]功能-行军令'!W144</f>
        <v>30463.694998586201</v>
      </c>
      <c r="AC144" s="54">
        <v>141</v>
      </c>
      <c r="AD144" s="54">
        <f>'[1]功能-实力'!BE145</f>
        <v>20932314</v>
      </c>
      <c r="AE144" s="54">
        <f>'[1]功能-实力'!BF145</f>
        <v>21931866</v>
      </c>
      <c r="AF144" s="54">
        <f>'[1]功能-实力'!BG145</f>
        <v>23163762</v>
      </c>
      <c r="AG144" s="54">
        <f>'[1]功能-实力'!BH145</f>
        <v>24189852</v>
      </c>
      <c r="AH144" s="54">
        <f>'[1]功能-实力'!BI145</f>
        <v>24605646</v>
      </c>
    </row>
    <row r="145" spans="9:34" x14ac:dyDescent="0.15">
      <c r="I145" s="25">
        <v>142</v>
      </c>
      <c r="J145" s="26">
        <f>'[1]资源-钻石'!T145</f>
        <v>770076.38624477212</v>
      </c>
      <c r="K145" s="26">
        <f>'[1]资源-钻石'!U145</f>
        <v>1088164.0248692494</v>
      </c>
      <c r="L145" s="26">
        <f>'[1]资源-钻石'!V145</f>
        <v>1835842.4273561747</v>
      </c>
      <c r="M145" s="26">
        <f>'[1]资源-钻石'!W145</f>
        <v>4892296.670091792</v>
      </c>
      <c r="N145" s="26">
        <f>'[1]资源-钻石'!X145</f>
        <v>11674718.837100971</v>
      </c>
      <c r="P145" s="31">
        <v>142</v>
      </c>
      <c r="Q145" s="31">
        <f>'[1]功能-行军令'!N145</f>
        <v>865686.59702048497</v>
      </c>
      <c r="R145" s="31">
        <f>'[1]功能-行军令'!O145</f>
        <v>1064822.7432459691</v>
      </c>
      <c r="S145" s="31">
        <f>'[1]功能-行军令'!P145</f>
        <v>1150664.9789774744</v>
      </c>
      <c r="T145" s="31">
        <f>'[1]功能-行军令'!Q145</f>
        <v>924609.74343942269</v>
      </c>
      <c r="U145" s="31">
        <f>'[1]功能-行军令'!R145</f>
        <v>494869.74318676029</v>
      </c>
      <c r="V145" s="31">
        <f>'[1]功能-行军令'!S145</f>
        <v>57975.522151533281</v>
      </c>
      <c r="W145" s="31">
        <f>'[1]功能-行军令'!T145</f>
        <v>72017.651996233035</v>
      </c>
      <c r="X145" s="31">
        <f>'[1]功能-行军令'!U145</f>
        <v>80416.198690575082</v>
      </c>
      <c r="Y145" s="31">
        <f>'[1]功能-行军令'!V145</f>
        <v>64272.780255476711</v>
      </c>
      <c r="Z145" s="31">
        <f>'[1]功能-行军令'!W145</f>
        <v>34950.277688174101</v>
      </c>
      <c r="AC145" s="54">
        <v>142</v>
      </c>
      <c r="AD145" s="54">
        <f>'[1]功能-实力'!BE146</f>
        <v>21246366</v>
      </c>
      <c r="AE145" s="54">
        <f>'[1]功能-实力'!BF146</f>
        <v>22264452</v>
      </c>
      <c r="AF145" s="54">
        <f>'[1]功能-实力'!BG146</f>
        <v>23514366</v>
      </c>
      <c r="AG145" s="54">
        <f>'[1]功能-实力'!BH146</f>
        <v>24557622</v>
      </c>
      <c r="AH145" s="54">
        <f>'[1]功能-实力'!BI146</f>
        <v>24867114</v>
      </c>
    </row>
    <row r="146" spans="9:34" x14ac:dyDescent="0.15">
      <c r="I146" s="25">
        <v>143</v>
      </c>
      <c r="J146" s="26">
        <f>'[1]资源-钻石'!T146</f>
        <v>774368.06661236449</v>
      </c>
      <c r="K146" s="26">
        <f>'[1]资源-钻石'!U146</f>
        <v>1094564.8732736011</v>
      </c>
      <c r="L146" s="26">
        <f>'[1]资源-钻石'!V146</f>
        <v>1847335.3606009614</v>
      </c>
      <c r="M146" s="26">
        <f>'[1]资源-钻石'!W146</f>
        <v>4924958.8966610571</v>
      </c>
      <c r="N146" s="26">
        <f>'[1]资源-钻石'!X146</f>
        <v>11754502.286327163</v>
      </c>
      <c r="P146" s="31">
        <v>143</v>
      </c>
      <c r="Q146" s="31">
        <f>'[1]功能-行军令'!N146</f>
        <v>927823.22313918336</v>
      </c>
      <c r="R146" s="31">
        <f>'[1]功能-行军令'!O146</f>
        <v>1143415.0510776134</v>
      </c>
      <c r="S146" s="31">
        <f>'[1]功能-行军令'!P146</f>
        <v>1235275.6011894131</v>
      </c>
      <c r="T146" s="31">
        <f>'[1]功能-行军令'!Q146</f>
        <v>994299.74007009913</v>
      </c>
      <c r="U146" s="31">
        <f>'[1]功能-行军令'!R146</f>
        <v>532883.16616794898</v>
      </c>
      <c r="V146" s="31">
        <f>'[1]功能-行军令'!S146</f>
        <v>62136.62611869839</v>
      </c>
      <c r="W146" s="31">
        <f>'[1]功能-行军令'!T146</f>
        <v>78592.307831644313</v>
      </c>
      <c r="X146" s="31">
        <f>'[1]功能-行军令'!U146</f>
        <v>84610.622211938724</v>
      </c>
      <c r="Y146" s="31">
        <f>'[1]功能-行军令'!V146</f>
        <v>69689.99663067644</v>
      </c>
      <c r="Z146" s="31">
        <f>'[1]功能-行军令'!W146</f>
        <v>38013.422981188691</v>
      </c>
      <c r="AC146" s="54">
        <v>143</v>
      </c>
      <c r="AD146" s="54">
        <f>'[1]功能-实力'!BE147</f>
        <v>21566478</v>
      </c>
      <c r="AE146" s="54">
        <f>'[1]功能-实力'!BF147</f>
        <v>22599630</v>
      </c>
      <c r="AF146" s="54">
        <f>'[1]功能-实力'!BG147</f>
        <v>23870976</v>
      </c>
      <c r="AG146" s="54">
        <f>'[1]功能-实力'!BH147</f>
        <v>24839766</v>
      </c>
      <c r="AH146" s="54">
        <f>'[1]功能-实力'!BI147</f>
        <v>25130478</v>
      </c>
    </row>
    <row r="147" spans="9:34" x14ac:dyDescent="0.15">
      <c r="I147" s="25">
        <v>144</v>
      </c>
      <c r="J147" s="26">
        <f>'[1]资源-钻石'!T147</f>
        <v>778659.74697995675</v>
      </c>
      <c r="K147" s="26">
        <f>'[1]资源-钻石'!U147</f>
        <v>1100965.7216779524</v>
      </c>
      <c r="L147" s="26">
        <f>'[1]资源-钻石'!V147</f>
        <v>1858828.2938457481</v>
      </c>
      <c r="M147" s="26">
        <f>'[1]资源-钻石'!W147</f>
        <v>4957621.1232303232</v>
      </c>
      <c r="N147" s="26">
        <f>'[1]资源-钻石'!X147</f>
        <v>11834285.735553354</v>
      </c>
      <c r="P147" s="31">
        <v>144</v>
      </c>
      <c r="Q147" s="31">
        <f>'[1]功能-行军令'!N147</f>
        <v>994419.61006474204</v>
      </c>
      <c r="R147" s="31">
        <f>'[1]功能-行军令'!O147</f>
        <v>1224906.6196419001</v>
      </c>
      <c r="S147" s="31">
        <f>'[1]功能-行军令'!P147</f>
        <v>1326103.9474383148</v>
      </c>
      <c r="T147" s="31">
        <f>'[1]功能-行军令'!Q147</f>
        <v>1067894.2485579604</v>
      </c>
      <c r="U147" s="31">
        <f>'[1]功能-行军令'!R147</f>
        <v>570018.61474319827</v>
      </c>
      <c r="V147" s="31">
        <f>'[1]功能-行军令'!S147</f>
        <v>66596.386925558676</v>
      </c>
      <c r="W147" s="31">
        <f>'[1]功能-行军令'!T147</f>
        <v>81491.568564286688</v>
      </c>
      <c r="X147" s="31">
        <f>'[1]功能-行军令'!U147</f>
        <v>90828.346248901682</v>
      </c>
      <c r="Y147" s="31">
        <f>'[1]功能-行军令'!V147</f>
        <v>73594.508487861254</v>
      </c>
      <c r="Z147" s="31">
        <f>'[1]功能-行军令'!W147</f>
        <v>37135.448575249291</v>
      </c>
      <c r="AC147" s="54">
        <v>144</v>
      </c>
      <c r="AD147" s="54">
        <f>'[1]功能-实力'!BE148</f>
        <v>21888156</v>
      </c>
      <c r="AE147" s="54">
        <f>'[1]功能-实力'!BF148</f>
        <v>22940796</v>
      </c>
      <c r="AF147" s="54">
        <f>'[1]功能-实力'!BG148</f>
        <v>24234240</v>
      </c>
      <c r="AG147" s="54">
        <f>'[1]功能-实力'!BH148</f>
        <v>25102728</v>
      </c>
      <c r="AH147" s="54">
        <f>'[1]功能-实力'!BI148</f>
        <v>25395720</v>
      </c>
    </row>
    <row r="148" spans="9:34" x14ac:dyDescent="0.15">
      <c r="I148" s="27">
        <v>145</v>
      </c>
      <c r="J148" s="26">
        <f>'[1]资源-钻石'!T148</f>
        <v>782951.427347549</v>
      </c>
      <c r="K148" s="26">
        <f>'[1]资源-钻石'!U148</f>
        <v>1107366.5700823041</v>
      </c>
      <c r="L148" s="26">
        <f>'[1]资源-钻石'!V148</f>
        <v>1870321.2270905348</v>
      </c>
      <c r="M148" s="26">
        <f>'[1]资源-钻石'!W148</f>
        <v>4990283.3497995883</v>
      </c>
      <c r="N148" s="26">
        <f>'[1]资源-钻石'!X148</f>
        <v>11914069.184779547</v>
      </c>
      <c r="P148" s="31">
        <v>145</v>
      </c>
      <c r="Q148" s="31">
        <f>'[1]功能-行军令'!N148</f>
        <v>1065795.8502723568</v>
      </c>
      <c r="R148" s="31">
        <f>'[1]功能-行军令'!O148</f>
        <v>1315310.2435586185</v>
      </c>
      <c r="S148" s="31">
        <f>'[1]功能-行军令'!P148</f>
        <v>1424239.2133514546</v>
      </c>
      <c r="T148" s="31">
        <f>'[1]功能-行军令'!Q148</f>
        <v>1142873.7427745534</v>
      </c>
      <c r="U148" s="31">
        <f>'[1]功能-行军令'!R148</f>
        <v>608546.26103050984</v>
      </c>
      <c r="V148" s="31">
        <f>'[1]功能-行军令'!S148</f>
        <v>71376.240207614726</v>
      </c>
      <c r="W148" s="31">
        <f>'[1]功能-行军令'!T148</f>
        <v>90403.62391671841</v>
      </c>
      <c r="X148" s="31">
        <f>'[1]功能-行军令'!U148</f>
        <v>98135.265913139796</v>
      </c>
      <c r="Y148" s="31">
        <f>'[1]功能-行军令'!V148</f>
        <v>74979.494216592982</v>
      </c>
      <c r="Z148" s="31">
        <f>'[1]功能-行军令'!W148</f>
        <v>38527.646287311567</v>
      </c>
      <c r="AC148" s="54">
        <v>145</v>
      </c>
      <c r="AD148" s="54">
        <f>'[1]功能-实力'!BE149</f>
        <v>22216806</v>
      </c>
      <c r="AE148" s="54">
        <f>'[1]功能-实力'!BF149</f>
        <v>23283648</v>
      </c>
      <c r="AF148" s="54">
        <f>'[1]功能-实力'!BG149</f>
        <v>24599100</v>
      </c>
      <c r="AG148" s="54">
        <f>'[1]功能-实力'!BH149</f>
        <v>25367778</v>
      </c>
      <c r="AH148" s="54">
        <f>'[1]功能-实力'!BI149</f>
        <v>25662864</v>
      </c>
    </row>
    <row r="149" spans="9:34" x14ac:dyDescent="0.15">
      <c r="I149" s="27">
        <v>146</v>
      </c>
      <c r="J149" s="26">
        <f>'[1]资源-钻石'!T149</f>
        <v>787243.10771514126</v>
      </c>
      <c r="K149" s="26">
        <f>'[1]资源-钻石'!U149</f>
        <v>1113767.4184866555</v>
      </c>
      <c r="L149" s="26">
        <f>'[1]资源-钻石'!V149</f>
        <v>1881814.1603353214</v>
      </c>
      <c r="M149" s="26">
        <f>'[1]资源-钻石'!W149</f>
        <v>5022945.5763688534</v>
      </c>
      <c r="N149" s="26">
        <f>'[1]资源-钻石'!X149</f>
        <v>11993852.634005738</v>
      </c>
      <c r="P149" s="31">
        <v>146</v>
      </c>
      <c r="Q149" s="31">
        <f>'[1]功能-行军令'!N149</f>
        <v>1142295.0103824921</v>
      </c>
      <c r="R149" s="31">
        <f>'[1]功能-行军令'!O149</f>
        <v>1409053.1775570973</v>
      </c>
      <c r="S149" s="31">
        <f>'[1]功能-行军令'!P149</f>
        <v>1519234.9810585566</v>
      </c>
      <c r="T149" s="31">
        <f>'[1]功能-行军令'!Q149</f>
        <v>1216208.947304307</v>
      </c>
      <c r="U149" s="31">
        <f>'[1]功能-行军令'!R149</f>
        <v>647877.44763865613</v>
      </c>
      <c r="V149" s="31">
        <f>'[1]功能-行军令'!S149</f>
        <v>76499.16011013533</v>
      </c>
      <c r="W149" s="31">
        <f>'[1]功能-行军令'!T149</f>
        <v>93742.933998478809</v>
      </c>
      <c r="X149" s="31">
        <f>'[1]功能-行军令'!U149</f>
        <v>94995.767707102001</v>
      </c>
      <c r="Y149" s="31">
        <f>'[1]功能-行军令'!V149</f>
        <v>73335.204529753653</v>
      </c>
      <c r="Z149" s="31">
        <f>'[1]功能-行军令'!W149</f>
        <v>39331.186608146294</v>
      </c>
      <c r="AC149" s="54">
        <v>146</v>
      </c>
      <c r="AD149" s="54">
        <f>'[1]功能-实力'!BE150</f>
        <v>22546038</v>
      </c>
      <c r="AE149" s="54">
        <f>'[1]功能-实力'!BF150</f>
        <v>23634498</v>
      </c>
      <c r="AF149" s="54">
        <f>'[1]功能-实力'!BG150</f>
        <v>24972042</v>
      </c>
      <c r="AG149" s="54">
        <f>'[1]功能-实力'!BH150</f>
        <v>25634838</v>
      </c>
      <c r="AH149" s="54">
        <f>'[1]功能-实力'!BI150</f>
        <v>25931934</v>
      </c>
    </row>
    <row r="150" spans="9:34" x14ac:dyDescent="0.15">
      <c r="I150" s="25">
        <v>147</v>
      </c>
      <c r="J150" s="26">
        <f>'[1]资源-钻石'!T150</f>
        <v>791534.78808273363</v>
      </c>
      <c r="K150" s="26">
        <f>'[1]资源-钻石'!U150</f>
        <v>1120168.2668910071</v>
      </c>
      <c r="L150" s="26">
        <f>'[1]资源-钻石'!V150</f>
        <v>1893307.0935801081</v>
      </c>
      <c r="M150" s="26">
        <f>'[1]资源-钻石'!W150</f>
        <v>5055607.8029381186</v>
      </c>
      <c r="N150" s="26">
        <f>'[1]资源-钻石'!X150</f>
        <v>12073636.08323193</v>
      </c>
      <c r="P150" s="31">
        <v>147</v>
      </c>
      <c r="Q150" s="31">
        <f>'[1]功能-行军令'!N150</f>
        <v>1224284.7800948501</v>
      </c>
      <c r="R150" s="31">
        <f>'[1]功能-行军令'!O150</f>
        <v>1504127.0044493568</v>
      </c>
      <c r="S150" s="31">
        <f>'[1]功能-行军令'!P150</f>
        <v>1618834.503878287</v>
      </c>
      <c r="T150" s="31">
        <f>'[1]功能-行军令'!Q150</f>
        <v>1296102.3898906747</v>
      </c>
      <c r="U150" s="31">
        <f>'[1]功能-行军令'!R150</f>
        <v>690815.99461178097</v>
      </c>
      <c r="V150" s="31">
        <f>'[1]功能-行军令'!S150</f>
        <v>81989.769712358015</v>
      </c>
      <c r="W150" s="31">
        <f>'[1]功能-行军令'!T150</f>
        <v>95073.826892259531</v>
      </c>
      <c r="X150" s="31">
        <f>'[1]功能-行军令'!U150</f>
        <v>99599.522819730453</v>
      </c>
      <c r="Y150" s="31">
        <f>'[1]功能-行军令'!V150</f>
        <v>79893.442586367717</v>
      </c>
      <c r="Z150" s="31">
        <f>'[1]功能-行军令'!W150</f>
        <v>42938.546973124845</v>
      </c>
      <c r="AC150" s="54">
        <v>147</v>
      </c>
      <c r="AD150" s="54">
        <f>'[1]功能-实力'!BE151</f>
        <v>22883628</v>
      </c>
      <c r="AE150" s="54">
        <f>'[1]功能-实力'!BF151</f>
        <v>23990736</v>
      </c>
      <c r="AF150" s="54">
        <f>'[1]功能-实力'!BG151</f>
        <v>25344936</v>
      </c>
      <c r="AG150" s="54">
        <f>'[1]功能-实力'!BH151</f>
        <v>25903080</v>
      </c>
      <c r="AH150" s="54">
        <f>'[1]功能-实力'!BI151</f>
        <v>26202942</v>
      </c>
    </row>
    <row r="151" spans="9:34" x14ac:dyDescent="0.15">
      <c r="I151" s="25">
        <v>148</v>
      </c>
      <c r="J151" s="26">
        <f>'[1]资源-钻石'!T151</f>
        <v>795826.46845032589</v>
      </c>
      <c r="K151" s="26">
        <f>'[1]资源-钻石'!U151</f>
        <v>1126569.1152953585</v>
      </c>
      <c r="L151" s="26">
        <f>'[1]资源-钻石'!V151</f>
        <v>1904800.0268248948</v>
      </c>
      <c r="M151" s="26">
        <f>'[1]资源-钻石'!W151</f>
        <v>5088270.0295073837</v>
      </c>
      <c r="N151" s="26">
        <f>'[1]资源-钻石'!X151</f>
        <v>12153419.532458123</v>
      </c>
      <c r="P151" s="31">
        <v>148</v>
      </c>
      <c r="Q151" s="31">
        <f>'[1]功能-行军令'!N151</f>
        <v>1312159.2394720195</v>
      </c>
      <c r="R151" s="31">
        <f>'[1]功能-行军令'!O151</f>
        <v>1611322.9885113824</v>
      </c>
      <c r="S151" s="31">
        <f>'[1]功能-行军令'!P151</f>
        <v>1736066.5443838844</v>
      </c>
      <c r="T151" s="31">
        <f>'[1]功能-行军令'!Q151</f>
        <v>1392069.7371558656</v>
      </c>
      <c r="U151" s="31">
        <f>'[1]功能-行军令'!R151</f>
        <v>741869.16131670761</v>
      </c>
      <c r="V151" s="31">
        <f>'[1]功能-行军令'!S151</f>
        <v>87874.459377169376</v>
      </c>
      <c r="W151" s="31">
        <f>'[1]功能-行军令'!T151</f>
        <v>107195.98406202556</v>
      </c>
      <c r="X151" s="31">
        <f>'[1]功能-行军令'!U151</f>
        <v>117232.04050559737</v>
      </c>
      <c r="Y151" s="31">
        <f>'[1]功能-行军令'!V151</f>
        <v>95967.347265190911</v>
      </c>
      <c r="Z151" s="31">
        <f>'[1]功能-行军令'!W151</f>
        <v>51053.16670492664</v>
      </c>
      <c r="AC151" s="54">
        <v>148</v>
      </c>
      <c r="AD151" s="54">
        <f>'[1]功能-实力'!BE152</f>
        <v>23220954</v>
      </c>
      <c r="AE151" s="54">
        <f>'[1]功能-实力'!BF152</f>
        <v>24355428</v>
      </c>
      <c r="AF151" s="54">
        <f>'[1]功能-实力'!BG152</f>
        <v>25720632</v>
      </c>
      <c r="AG151" s="54">
        <f>'[1]功能-实力'!BH152</f>
        <v>26169936</v>
      </c>
      <c r="AH151" s="54">
        <f>'[1]功能-实力'!BI152</f>
        <v>26469762</v>
      </c>
    </row>
    <row r="152" spans="9:34" x14ac:dyDescent="0.15">
      <c r="I152" s="25">
        <v>149</v>
      </c>
      <c r="J152" s="26">
        <f>'[1]资源-钻石'!T152</f>
        <v>800118.14881791826</v>
      </c>
      <c r="K152" s="26">
        <f>'[1]资源-钻石'!U152</f>
        <v>1132969.9636997101</v>
      </c>
      <c r="L152" s="26">
        <f>'[1]资源-钻石'!V152</f>
        <v>1916292.9600696815</v>
      </c>
      <c r="M152" s="26">
        <f>'[1]资源-钻石'!W152</f>
        <v>5120932.2560766498</v>
      </c>
      <c r="N152" s="26">
        <f>'[1]资源-钻石'!X152</f>
        <v>12233202.981684314</v>
      </c>
      <c r="P152" s="31">
        <v>149</v>
      </c>
      <c r="Q152" s="31">
        <f>'[1]功能-行军令'!N152</f>
        <v>1406340.7530671936</v>
      </c>
      <c r="R152" s="31">
        <f>'[1]功能-行军令'!O152</f>
        <v>1728206.2925066741</v>
      </c>
      <c r="S152" s="31">
        <f>'[1]功能-行军令'!P152</f>
        <v>1862900.1067629377</v>
      </c>
      <c r="T152" s="31">
        <f>'[1]功能-行军令'!Q152</f>
        <v>1496080.5794254139</v>
      </c>
      <c r="U152" s="31">
        <f>'[1]功能-行军令'!R152</f>
        <v>797636.73072712554</v>
      </c>
      <c r="V152" s="31">
        <f>'[1]功能-行军令'!S152</f>
        <v>94181.513595174067</v>
      </c>
      <c r="W152" s="31">
        <f>'[1]功能-行军令'!T152</f>
        <v>116883.3039952917</v>
      </c>
      <c r="X152" s="31">
        <f>'[1]功能-行军令'!U152</f>
        <v>126833.56237905333</v>
      </c>
      <c r="Y152" s="31">
        <f>'[1]功能-行军令'!V152</f>
        <v>104010.84226954821</v>
      </c>
      <c r="Z152" s="31">
        <f>'[1]功能-行军令'!W152</f>
        <v>55767.569410417927</v>
      </c>
      <c r="AC152" s="54">
        <v>149</v>
      </c>
      <c r="AD152" s="54">
        <f>'[1]功能-实力'!BE153</f>
        <v>23566872</v>
      </c>
      <c r="AE152" s="54">
        <f>'[1]功能-实力'!BF153</f>
        <v>24720084</v>
      </c>
      <c r="AF152" s="54">
        <f>'[1]功能-实力'!BG153</f>
        <v>25987422</v>
      </c>
      <c r="AG152" s="54">
        <f>'[1]功能-实力'!BH153</f>
        <v>26438700</v>
      </c>
      <c r="AH152" s="54">
        <f>'[1]功能-实力'!BI153</f>
        <v>26737710</v>
      </c>
    </row>
    <row r="153" spans="9:34" x14ac:dyDescent="0.15">
      <c r="I153" s="25">
        <v>150</v>
      </c>
      <c r="J153" s="26">
        <f>'[1]资源-钻石'!T153</f>
        <v>804409.82918551052</v>
      </c>
      <c r="K153" s="26">
        <f>'[1]资源-钻石'!U153</f>
        <v>1139370.8121040617</v>
      </c>
      <c r="L153" s="26">
        <f>'[1]资源-钻石'!V153</f>
        <v>1927785.8933144682</v>
      </c>
      <c r="M153" s="26">
        <f>'[1]资源-钻石'!W153</f>
        <v>5153594.4826459149</v>
      </c>
      <c r="N153" s="26">
        <f>'[1]资源-钻石'!X153</f>
        <v>12312986.430910505</v>
      </c>
      <c r="P153" s="31">
        <v>150</v>
      </c>
      <c r="Q153" s="31">
        <f>'[1]功能-行军令'!N153</f>
        <v>1507282</v>
      </c>
      <c r="R153" s="31">
        <f>'[1]功能-行军令'!O153</f>
        <v>1853566.9327</v>
      </c>
      <c r="S153" s="31">
        <f>'[1]功能-行军令'!P153</f>
        <v>1999891.2479000001</v>
      </c>
      <c r="T153" s="31">
        <f>'[1]功能-行军令'!Q153</f>
        <v>1604475.4754000001</v>
      </c>
      <c r="U153" s="31">
        <f>'[1]功能-行军令'!R153</f>
        <v>860625.25500000012</v>
      </c>
      <c r="V153" s="31">
        <f>'[1]功能-行军令'!S153</f>
        <v>100941.24693280645</v>
      </c>
      <c r="W153" s="31">
        <f>'[1]功能-行军令'!T153</f>
        <v>125360.64019332593</v>
      </c>
      <c r="X153" s="31">
        <f>'[1]功能-行军令'!U153</f>
        <v>136991.14113706234</v>
      </c>
      <c r="Y153" s="31">
        <f>'[1]功能-行军令'!V153</f>
        <v>108394.89597458625</v>
      </c>
      <c r="Z153" s="31">
        <f>'[1]功能-行军令'!W153</f>
        <v>62988.52427287458</v>
      </c>
      <c r="AC153" s="54">
        <v>150</v>
      </c>
      <c r="AD153" s="54">
        <f>'[1]功能-实力'!BE154</f>
        <v>23895090</v>
      </c>
      <c r="AE153" s="54">
        <f>'[1]功能-实力'!BF154</f>
        <v>25074306</v>
      </c>
      <c r="AF153" s="54">
        <f>'[1]功能-实力'!BG154</f>
        <v>26256120</v>
      </c>
      <c r="AG153" s="54">
        <f>'[1]功能-实力'!BH154</f>
        <v>26709390</v>
      </c>
      <c r="AH153" s="54">
        <f>'[1]功能-实力'!BI154</f>
        <v>27123450</v>
      </c>
    </row>
    <row r="154" spans="9:34" x14ac:dyDescent="0.15">
      <c r="I154" s="27">
        <v>151</v>
      </c>
      <c r="J154" s="26">
        <f>'[1]资源-钻石'!T154</f>
        <v>808701.50955310278</v>
      </c>
      <c r="K154" s="26">
        <f>'[1]资源-钻石'!U154</f>
        <v>1145771.6605084131</v>
      </c>
      <c r="L154" s="26">
        <f>'[1]资源-钻石'!V154</f>
        <v>1939278.8265592547</v>
      </c>
      <c r="M154" s="26">
        <f>'[1]资源-钻石'!W154</f>
        <v>5186256.70921518</v>
      </c>
      <c r="N154" s="26">
        <f>'[1]资源-钻石'!X154</f>
        <v>12392769.880136698</v>
      </c>
      <c r="P154" s="31">
        <v>151</v>
      </c>
      <c r="Q154" s="31">
        <f>'[1]功能-行军令'!N154</f>
        <v>1615468.1497379036</v>
      </c>
      <c r="R154" s="31">
        <f>'[1]功能-行军令'!O154</f>
        <v>1988019.6882784385</v>
      </c>
      <c r="S154" s="31">
        <f>'[1]功能-行军令'!P154</f>
        <v>2146950.1472271094</v>
      </c>
      <c r="T154" s="31">
        <f>'[1]功能-行军令'!Q154</f>
        <v>1733021.5527295927</v>
      </c>
      <c r="U154" s="31">
        <f>'[1]功能-行军令'!R154</f>
        <v>948803.07510117313</v>
      </c>
      <c r="V154" s="31">
        <f>'[1]功能-行军令'!S154</f>
        <v>108186.14973790362</v>
      </c>
      <c r="W154" s="31">
        <f>'[1]功能-行军令'!T154</f>
        <v>134452.75557843852</v>
      </c>
      <c r="X154" s="31">
        <f>'[1]功能-行军令'!U154</f>
        <v>147058.89932710933</v>
      </c>
      <c r="Y154" s="31">
        <f>'[1]功能-行军令'!V154</f>
        <v>128546.07732959255</v>
      </c>
      <c r="Z154" s="31">
        <f>'[1]功能-行军令'!W154</f>
        <v>88177.820101173013</v>
      </c>
      <c r="AC154" s="54">
        <v>151</v>
      </c>
      <c r="AD154" s="54">
        <f>'[1]功能-实力'!BE155</f>
        <v>24206568</v>
      </c>
      <c r="AE154" s="54">
        <f>'[1]功能-实力'!BF155</f>
        <v>25395222</v>
      </c>
      <c r="AF154" s="54">
        <f>'[1]功能-实力'!BG155</f>
        <v>26476218</v>
      </c>
      <c r="AG154" s="54">
        <f>'[1]功能-实力'!BH155</f>
        <v>27109626</v>
      </c>
      <c r="AH154" s="54">
        <f>'[1]功能-实力'!BI155</f>
        <v>27950370</v>
      </c>
    </row>
    <row r="155" spans="9:34" x14ac:dyDescent="0.15">
      <c r="I155" s="27">
        <v>152</v>
      </c>
      <c r="J155" s="26">
        <f>'[1]资源-钻石'!T155</f>
        <v>812993.18992069515</v>
      </c>
      <c r="K155" s="26">
        <f>'[1]资源-钻石'!U155</f>
        <v>1152172.5089127647</v>
      </c>
      <c r="L155" s="26">
        <f>'[1]资源-钻石'!V155</f>
        <v>1950771.7598040414</v>
      </c>
      <c r="M155" s="26">
        <f>'[1]资源-钻石'!W155</f>
        <v>5218918.9357844451</v>
      </c>
      <c r="N155" s="26">
        <f>'[1]资源-钻石'!X155</f>
        <v>12472553.32936289</v>
      </c>
      <c r="P155" s="31">
        <v>152</v>
      </c>
      <c r="Q155" s="31">
        <f>'[1]功能-行军令'!N155</f>
        <v>1731419.1940409699</v>
      </c>
      <c r="R155" s="31">
        <f>'[1]功能-行军令'!O155</f>
        <v>2129702.067991938</v>
      </c>
      <c r="S155" s="31">
        <f>'[1]功能-行军令'!P155</f>
        <v>2318517.0950568751</v>
      </c>
      <c r="T155" s="31">
        <f>'[1]功能-行军令'!Q155</f>
        <v>1903544.8456572602</v>
      </c>
      <c r="U155" s="31">
        <f>'[1]功能-行军令'!R155</f>
        <v>1667055.5674798817</v>
      </c>
      <c r="V155" s="31">
        <f>'[1]功能-行军令'!S155</f>
        <v>115951.04430306633</v>
      </c>
      <c r="W155" s="31">
        <f>'[1]功能-行军令'!T155</f>
        <v>141682.37971349945</v>
      </c>
      <c r="X155" s="31">
        <f>'[1]功能-行军令'!U155</f>
        <v>171566.94782976573</v>
      </c>
      <c r="Y155" s="31">
        <f>'[1]功能-行军令'!V155</f>
        <v>170523.2929276675</v>
      </c>
      <c r="Z155" s="31">
        <f>'[1]功能-行军令'!W155</f>
        <v>718252.49237870856</v>
      </c>
      <c r="AC155" s="54">
        <v>152</v>
      </c>
      <c r="AD155" s="54">
        <f>'[1]功能-实力'!BE156</f>
        <v>24518220</v>
      </c>
      <c r="AE155" s="54">
        <f>'[1]功能-实力'!BF156</f>
        <v>25724298</v>
      </c>
      <c r="AF155" s="54">
        <f>'[1]功能-实力'!BG156</f>
        <v>26916966</v>
      </c>
      <c r="AG155" s="54">
        <f>'[1]功能-实力'!BH156</f>
        <v>27877296</v>
      </c>
      <c r="AH155" s="54">
        <f>'[1]功能-实力'!BI156</f>
        <v>28767180</v>
      </c>
    </row>
    <row r="156" spans="9:34" x14ac:dyDescent="0.15">
      <c r="I156" s="25">
        <v>153</v>
      </c>
      <c r="J156" s="26">
        <f>'[1]资源-钻石'!T156</f>
        <v>817284.87028828741</v>
      </c>
      <c r="K156" s="26">
        <f>'[1]资源-钻石'!U156</f>
        <v>1158573.3573171163</v>
      </c>
      <c r="L156" s="26">
        <f>'[1]资源-钻石'!V156</f>
        <v>1962264.693048828</v>
      </c>
      <c r="M156" s="26">
        <f>'[1]资源-钻石'!W156</f>
        <v>5251581.1623537112</v>
      </c>
      <c r="N156" s="26">
        <f>'[1]资源-钻石'!X156</f>
        <v>12552336.778589081</v>
      </c>
      <c r="P156" s="31">
        <v>153</v>
      </c>
      <c r="Q156" s="31">
        <f>'[1]功能-行军令'!N156</f>
        <v>1855692.4462783667</v>
      </c>
      <c r="R156" s="31">
        <f>'[1]功能-行军令'!O156</f>
        <v>2309590.7845240417</v>
      </c>
      <c r="S156" s="31">
        <f>'[1]功能-行军令'!P156</f>
        <v>2540362.2766748108</v>
      </c>
      <c r="T156" s="31">
        <f>'[1]功能-行军令'!Q156</f>
        <v>2700839.3321377533</v>
      </c>
      <c r="U156" s="31">
        <f>'[1]功能-行军令'!R156</f>
        <v>2721615.0193080436</v>
      </c>
      <c r="V156" s="31">
        <f>'[1]功能-行军令'!S156</f>
        <v>124273.25223739678</v>
      </c>
      <c r="W156" s="31">
        <f>'[1]功能-行军令'!T156</f>
        <v>179888.71653210372</v>
      </c>
      <c r="X156" s="31">
        <f>'[1]功能-行军令'!U156</f>
        <v>221845.18161793565</v>
      </c>
      <c r="Y156" s="31">
        <f>'[1]功能-行军令'!V156</f>
        <v>797294.4864804931</v>
      </c>
      <c r="Z156" s="31">
        <f>'[1]功能-行军令'!W156</f>
        <v>1054559.451828162</v>
      </c>
      <c r="AC156" s="54">
        <v>153</v>
      </c>
      <c r="AD156" s="54">
        <f>'[1]功能-实力'!BE157</f>
        <v>24836634</v>
      </c>
      <c r="AE156" s="54">
        <f>'[1]功能-实力'!BF157</f>
        <v>26041812</v>
      </c>
      <c r="AF156" s="54">
        <f>'[1]功能-实力'!BG157</f>
        <v>27649392</v>
      </c>
      <c r="AG156" s="54">
        <f>'[1]功能-实力'!BH157</f>
        <v>28657626</v>
      </c>
      <c r="AH156" s="54">
        <f>'[1]功能-实力'!BI157</f>
        <v>29597196</v>
      </c>
    </row>
    <row r="157" spans="9:34" x14ac:dyDescent="0.15">
      <c r="I157" s="25">
        <v>154</v>
      </c>
      <c r="J157" s="26">
        <f>'[1]资源-钻石'!T157</f>
        <v>821576.55065587978</v>
      </c>
      <c r="K157" s="26">
        <f>'[1]资源-钻石'!U157</f>
        <v>1164974.2057214677</v>
      </c>
      <c r="L157" s="26">
        <f>'[1]资源-钻石'!V157</f>
        <v>1973757.6262936147</v>
      </c>
      <c r="M157" s="26">
        <f>'[1]资源-钻石'!W157</f>
        <v>5284243.3889229763</v>
      </c>
      <c r="N157" s="26">
        <f>'[1]资源-钻石'!X157</f>
        <v>12632120.227815274</v>
      </c>
      <c r="P157" s="31">
        <v>154</v>
      </c>
      <c r="Q157" s="31">
        <f>'[1]功能-行军令'!N157</f>
        <v>1988885.2201294843</v>
      </c>
      <c r="R157" s="31">
        <f>'[1]功能-行军令'!O157</f>
        <v>2488398.0668285266</v>
      </c>
      <c r="S157" s="31">
        <f>'[1]功能-行军令'!P157</f>
        <v>3206645.0511065912</v>
      </c>
      <c r="T157" s="31">
        <f>'[1]功能-行军令'!Q157</f>
        <v>3642859.4638432511</v>
      </c>
      <c r="U157" s="31">
        <f>'[1]功能-行军令'!R157</f>
        <v>3651766.2106986139</v>
      </c>
      <c r="V157" s="31">
        <f>'[1]功能-行军令'!S157</f>
        <v>133192.77385111758</v>
      </c>
      <c r="W157" s="31">
        <f>'[1]功能-行军令'!T157</f>
        <v>178807.28230448486</v>
      </c>
      <c r="X157" s="31">
        <f>'[1]功能-行军令'!U157</f>
        <v>666282.77443178045</v>
      </c>
      <c r="Y157" s="31">
        <f>'[1]功能-行军令'!V157</f>
        <v>942020.13170549786</v>
      </c>
      <c r="Z157" s="31">
        <f>'[1]功能-行军令'!W157</f>
        <v>930151.19139057025</v>
      </c>
      <c r="AC157" s="54">
        <v>154</v>
      </c>
      <c r="AD157" s="54">
        <f>'[1]功能-实力'!BE158</f>
        <v>25481010</v>
      </c>
      <c r="AE157" s="54">
        <f>'[1]功能-实力'!BF158</f>
        <v>26631078</v>
      </c>
      <c r="AF157" s="54">
        <f>'[1]功能-实力'!BG158</f>
        <v>28394574</v>
      </c>
      <c r="AG157" s="54">
        <f>'[1]功能-实力'!BH158</f>
        <v>29450022</v>
      </c>
      <c r="AH157" s="54">
        <f>'[1]功能-实力'!BI158</f>
        <v>29675592</v>
      </c>
    </row>
    <row r="158" spans="9:34" x14ac:dyDescent="0.15">
      <c r="I158" s="25">
        <v>155</v>
      </c>
      <c r="J158" s="26">
        <f>'[1]资源-钻石'!T158</f>
        <v>825868.23102347204</v>
      </c>
      <c r="K158" s="26">
        <f>'[1]资源-钻石'!U158</f>
        <v>1171375.0541258194</v>
      </c>
      <c r="L158" s="26">
        <f>'[1]资源-钻石'!V158</f>
        <v>1985250.5595384014</v>
      </c>
      <c r="M158" s="26">
        <f>'[1]资源-钻石'!W158</f>
        <v>5316905.6154922415</v>
      </c>
      <c r="N158" s="26">
        <f>'[1]资源-钻石'!X158</f>
        <v>12711903.677041465</v>
      </c>
      <c r="P158" s="31">
        <v>155</v>
      </c>
      <c r="Q158" s="31">
        <f>'[1]功能-行军令'!N158</f>
        <v>2131637.700544714</v>
      </c>
      <c r="R158" s="31">
        <f>'[1]功能-行军令'!O158</f>
        <v>2958852.148206098</v>
      </c>
      <c r="S158" s="31">
        <f>'[1]功能-行军令'!P158</f>
        <v>4048258.0330344825</v>
      </c>
      <c r="T158" s="31">
        <f>'[1]功能-行军令'!Q158</f>
        <v>4582094.2571708979</v>
      </c>
      <c r="U158" s="31">
        <f>'[1]功能-行军令'!R158</f>
        <v>4596413.3017245568</v>
      </c>
      <c r="V158" s="31">
        <f>'[1]功能-行军令'!S158</f>
        <v>142752.48041522969</v>
      </c>
      <c r="W158" s="31">
        <f>'[1]功能-行军令'!T158</f>
        <v>470454.08137757145</v>
      </c>
      <c r="X158" s="31">
        <f>'[1]功能-行军令'!U158</f>
        <v>841612.98192789126</v>
      </c>
      <c r="Y158" s="31">
        <f>'[1]功能-行军令'!V158</f>
        <v>939234.7933276468</v>
      </c>
      <c r="Z158" s="31">
        <f>'[1]功能-行军令'!W158</f>
        <v>944647.09102594294</v>
      </c>
      <c r="AC158" s="54">
        <v>155</v>
      </c>
      <c r="AD158" s="54">
        <f>'[1]功能-实力'!BE159</f>
        <v>26195820</v>
      </c>
      <c r="AE158" s="54">
        <f>'[1]功能-实力'!BF159</f>
        <v>27267018</v>
      </c>
      <c r="AF158" s="54">
        <f>'[1]功能-实力'!BG159</f>
        <v>29150874</v>
      </c>
      <c r="AG158" s="54">
        <f>'[1]功能-实力'!BH159</f>
        <v>29545386</v>
      </c>
      <c r="AH158" s="54">
        <f>'[1]功能-实力'!BI159</f>
        <v>29720982</v>
      </c>
    </row>
    <row r="159" spans="9:34" x14ac:dyDescent="0.15">
      <c r="I159" s="25">
        <v>156</v>
      </c>
      <c r="J159" s="26">
        <f>'[1]资源-钻石'!T159</f>
        <v>830159.91139106429</v>
      </c>
      <c r="K159" s="26">
        <f>'[1]资源-钻石'!U159</f>
        <v>1177775.902530171</v>
      </c>
      <c r="L159" s="26">
        <f>'[1]资源-钻石'!V159</f>
        <v>1996743.4927831881</v>
      </c>
      <c r="M159" s="26">
        <f>'[1]资源-钻石'!W159</f>
        <v>5349567.8420615066</v>
      </c>
      <c r="N159" s="26">
        <f>'[1]资源-钻石'!X159</f>
        <v>12791687.126267657</v>
      </c>
      <c r="P159" s="31">
        <v>156</v>
      </c>
      <c r="Q159" s="31">
        <f>'[1]功能-行军令'!N159</f>
        <v>2284636.0207649847</v>
      </c>
      <c r="R159" s="31">
        <f>'[1]功能-行军令'!O159</f>
        <v>3327622.0302446513</v>
      </c>
      <c r="S159" s="31">
        <f>'[1]功能-行军令'!P159</f>
        <v>4564802.1014893418</v>
      </c>
      <c r="T159" s="31">
        <f>'[1]功能-行军令'!Q159</f>
        <v>5166754.0269604633</v>
      </c>
      <c r="U159" s="31">
        <f>'[1]功能-行军令'!R159</f>
        <v>5182100.82109995</v>
      </c>
      <c r="V159" s="31">
        <f>'[1]功能-行军令'!S159</f>
        <v>152998.32022027066</v>
      </c>
      <c r="W159" s="31">
        <f>'[1]功能-行军令'!T159</f>
        <v>368769.88203855325</v>
      </c>
      <c r="X159" s="31">
        <f>'[1]功能-行军令'!U159</f>
        <v>516544.06845485931</v>
      </c>
      <c r="Y159" s="31">
        <f>'[1]功能-行军令'!V159</f>
        <v>584659.76978956535</v>
      </c>
      <c r="Z159" s="31">
        <f>'[1]功能-行军令'!W159</f>
        <v>585687.51937539317</v>
      </c>
      <c r="AC159" s="54">
        <v>156</v>
      </c>
      <c r="AD159" s="54">
        <f>'[1]功能-实力'!BE160</f>
        <v>26847210</v>
      </c>
      <c r="AE159" s="54">
        <f>'[1]功能-实力'!BF160</f>
        <v>27912594</v>
      </c>
      <c r="AF159" s="54">
        <f>'[1]功能-实力'!BG160</f>
        <v>29252262</v>
      </c>
      <c r="AG159" s="54">
        <f>'[1]功能-实力'!BH160</f>
        <v>29589672</v>
      </c>
      <c r="AH159" s="54">
        <f>'[1]功能-实力'!BI160</f>
        <v>29766378</v>
      </c>
    </row>
    <row r="160" spans="9:34" x14ac:dyDescent="0.15">
      <c r="I160" s="27">
        <v>157</v>
      </c>
      <c r="J160" s="26">
        <f>'[1]资源-钻石'!T160</f>
        <v>834451.59175865666</v>
      </c>
      <c r="K160" s="26">
        <f>'[1]资源-钻石'!U160</f>
        <v>1184176.7509345224</v>
      </c>
      <c r="L160" s="26">
        <f>'[1]资源-钻石'!V160</f>
        <v>2008236.4260279748</v>
      </c>
      <c r="M160" s="26">
        <f>'[1]资源-钻石'!W160</f>
        <v>5382230.0686307726</v>
      </c>
      <c r="N160" s="26">
        <f>'[1]资源-钻石'!X160</f>
        <v>12871470.57549385</v>
      </c>
      <c r="P160" s="31">
        <v>157</v>
      </c>
      <c r="Q160" s="31">
        <f>'[1]功能-行军令'!N160</f>
        <v>2448615.5601897002</v>
      </c>
      <c r="R160" s="31">
        <f>'[1]功能-行军令'!O160</f>
        <v>3566461.794189346</v>
      </c>
      <c r="S160" s="31">
        <f>'[1]功能-行军令'!P160</f>
        <v>4892440.3508051168</v>
      </c>
      <c r="T160" s="31">
        <f>'[1]功能-行军令'!Q160</f>
        <v>5537597.3201420549</v>
      </c>
      <c r="U160" s="31">
        <f>'[1]功能-行军令'!R160</f>
        <v>5537597.3201420549</v>
      </c>
      <c r="V160" s="31">
        <f>'[1]功能-行军令'!S160</f>
        <v>163979.53942471556</v>
      </c>
      <c r="W160" s="31">
        <f>'[1]功能-行军令'!T160</f>
        <v>238839.76394469477</v>
      </c>
      <c r="X160" s="31">
        <f>'[1]功能-行军令'!U160</f>
        <v>327638.249315775</v>
      </c>
      <c r="Y160" s="31">
        <f>'[1]功能-行军令'!V160</f>
        <v>370843.29318159167</v>
      </c>
      <c r="Z160" s="31">
        <f>'[1]功能-行军令'!W160</f>
        <v>355496.49904210493</v>
      </c>
      <c r="AC160" s="54">
        <v>157</v>
      </c>
      <c r="AD160" s="54">
        <f>'[1]功能-实力'!BE161</f>
        <v>27463740</v>
      </c>
      <c r="AE160" s="54">
        <f>'[1]功能-实力'!BF161</f>
        <v>28405926</v>
      </c>
      <c r="AF160" s="54">
        <f>'[1]功能-实力'!BG161</f>
        <v>29295558</v>
      </c>
      <c r="AG160" s="54">
        <f>'[1]功能-实力'!BH161</f>
        <v>29633970</v>
      </c>
      <c r="AH160" s="54">
        <f>'[1]功能-实力'!BI161</f>
        <v>29811804</v>
      </c>
    </row>
    <row r="161" spans="9:34" x14ac:dyDescent="0.15">
      <c r="I161" s="27">
        <v>158</v>
      </c>
      <c r="J161" s="26">
        <f>'[1]资源-钻石'!T161</f>
        <v>838743.27212624892</v>
      </c>
      <c r="K161" s="26">
        <f>'[1]资源-钻石'!U161</f>
        <v>1190577.599338874</v>
      </c>
      <c r="L161" s="26">
        <f>'[1]资源-钻石'!V161</f>
        <v>2019729.3592727615</v>
      </c>
      <c r="M161" s="26">
        <f>'[1]资源-钻石'!W161</f>
        <v>5414892.2952000378</v>
      </c>
      <c r="N161" s="26">
        <f>'[1]资源-钻石'!X161</f>
        <v>12951254.024720041</v>
      </c>
      <c r="P161" s="31">
        <v>158</v>
      </c>
      <c r="Q161" s="31">
        <f>'[1]功能-行军令'!N161</f>
        <v>2624364.4789440394</v>
      </c>
      <c r="R161" s="31">
        <f>'[1]功能-行军令'!O161</f>
        <v>3822443.9149837093</v>
      </c>
      <c r="S161" s="31">
        <f>'[1]功能-行军令'!P161</f>
        <v>5243594.3317336226</v>
      </c>
      <c r="T161" s="31">
        <f>'[1]功能-行军令'!Q161</f>
        <v>5935057.3205336612</v>
      </c>
      <c r="U161" s="31">
        <f>'[1]功能-行军令'!R161</f>
        <v>5935057.3205336612</v>
      </c>
      <c r="V161" s="31">
        <f>'[1]功能-行军令'!S161</f>
        <v>175748.91875433922</v>
      </c>
      <c r="W161" s="31">
        <f>'[1]功能-行军令'!T161</f>
        <v>255982.12079436332</v>
      </c>
      <c r="X161" s="31">
        <f>'[1]功能-行军令'!U161</f>
        <v>351153.98092850577</v>
      </c>
      <c r="Y161" s="31">
        <f>'[1]功能-行军令'!V161</f>
        <v>397460.00039160624</v>
      </c>
      <c r="Z161" s="31">
        <f>'[1]功能-行军令'!W161</f>
        <v>397460.00039160624</v>
      </c>
      <c r="AC161" s="54">
        <v>158</v>
      </c>
      <c r="AD161" s="54">
        <f>'[1]功能-实力'!BE162</f>
        <v>27706242</v>
      </c>
      <c r="AE161" s="54">
        <f>'[1]功能-实力'!BF162</f>
        <v>28599216</v>
      </c>
      <c r="AF161" s="54">
        <f>'[1]功能-实力'!BG162</f>
        <v>29338866</v>
      </c>
      <c r="AG161" s="54">
        <f>'[1]功能-实力'!BH162</f>
        <v>29678286</v>
      </c>
      <c r="AH161" s="54">
        <f>'[1]功能-实力'!BI162</f>
        <v>29857236</v>
      </c>
    </row>
    <row r="162" spans="9:34" x14ac:dyDescent="0.15">
      <c r="I162" s="25">
        <v>159</v>
      </c>
      <c r="J162" s="26">
        <f>'[1]资源-钻石'!T162</f>
        <v>843034.95249384118</v>
      </c>
      <c r="K162" s="26">
        <f>'[1]资源-钻石'!U162</f>
        <v>1196978.4477432254</v>
      </c>
      <c r="L162" s="26">
        <f>'[1]资源-钻石'!V162</f>
        <v>2031222.2925175482</v>
      </c>
      <c r="M162" s="26">
        <f>'[1]资源-钻石'!W162</f>
        <v>5447554.5217693029</v>
      </c>
      <c r="N162" s="26">
        <f>'[1]资源-钻石'!X162</f>
        <v>13031037.473946234</v>
      </c>
      <c r="P162" s="31">
        <v>159</v>
      </c>
      <c r="Q162" s="31">
        <f>'[1]功能-行军令'!N162</f>
        <v>2812727.5061343871</v>
      </c>
      <c r="R162" s="31">
        <f>'[1]功能-行军令'!O162</f>
        <v>4096798.758934868</v>
      </c>
      <c r="S162" s="31">
        <f>'[1]功能-行军令'!P162</f>
        <v>5619951.8497567717</v>
      </c>
      <c r="T162" s="31">
        <f>'[1]功能-行军令'!Q162</f>
        <v>6361044.4013730492</v>
      </c>
      <c r="U162" s="31">
        <f>'[1]功能-行军令'!R162</f>
        <v>6361044.4013730492</v>
      </c>
      <c r="V162" s="31">
        <f>'[1]功能-行军令'!S162</f>
        <v>188363.02719034767</v>
      </c>
      <c r="W162" s="31">
        <f>'[1]功能-行军令'!T162</f>
        <v>274354.84395115869</v>
      </c>
      <c r="X162" s="31">
        <f>'[1]功能-行军令'!U162</f>
        <v>376357.51802314911</v>
      </c>
      <c r="Y162" s="31">
        <f>'[1]功能-行军令'!V162</f>
        <v>425987.08083938807</v>
      </c>
      <c r="Z162" s="31">
        <f>'[1]功能-行军令'!W162</f>
        <v>425987.08083938807</v>
      </c>
      <c r="AC162" s="54">
        <v>159</v>
      </c>
      <c r="AD162" s="54">
        <f>'[1]功能-实力'!BE163</f>
        <v>27742230</v>
      </c>
      <c r="AE162" s="54">
        <f>'[1]功能-实力'!BF163</f>
        <v>28640964</v>
      </c>
      <c r="AF162" s="54">
        <f>'[1]功能-实力'!BG163</f>
        <v>29382198</v>
      </c>
      <c r="AG162" s="54">
        <f>'[1]功能-实力'!BH163</f>
        <v>29722614</v>
      </c>
      <c r="AH162" s="54">
        <f>'[1]功能-实力'!BI163</f>
        <v>29902698</v>
      </c>
    </row>
    <row r="163" spans="9:34" x14ac:dyDescent="0.15">
      <c r="I163" s="25">
        <v>160</v>
      </c>
      <c r="J163" s="26">
        <f>'[1]资源-钻石'!T163</f>
        <v>847326.63286143355</v>
      </c>
      <c r="K163" s="26">
        <f>'[1]资源-钻石'!U163</f>
        <v>1203379.296147577</v>
      </c>
      <c r="L163" s="26">
        <f>'[1]资源-钻石'!V163</f>
        <v>2042715.2257623349</v>
      </c>
      <c r="M163" s="26">
        <f>'[1]资源-钻石'!W163</f>
        <v>5480216.748338568</v>
      </c>
      <c r="N163" s="26">
        <f>'[1]资源-钻石'!X163</f>
        <v>13110820.923172425</v>
      </c>
      <c r="P163" s="31">
        <v>160</v>
      </c>
      <c r="Q163" s="31">
        <f>'[1]功能-行军令'!N163</f>
        <v>3014610</v>
      </c>
      <c r="R163" s="31">
        <f>'[1]功能-行军令'!O163</f>
        <v>4390845</v>
      </c>
      <c r="S163" s="31">
        <f>'[1]功能-行军令'!P163</f>
        <v>6023321.8500000006</v>
      </c>
      <c r="T163" s="31">
        <f>'[1]功能-行军令'!Q163</f>
        <v>6817606.0500000007</v>
      </c>
      <c r="U163" s="31">
        <f>'[1]功能-行军令'!R163</f>
        <v>6817606.0500000007</v>
      </c>
      <c r="V163" s="31">
        <f>'[1]功能-行军令'!S163</f>
        <v>201882.49386561289</v>
      </c>
      <c r="W163" s="31">
        <f>'[1]功能-行军令'!T163</f>
        <v>294046.24106513197</v>
      </c>
      <c r="X163" s="31">
        <f>'[1]功能-行军令'!U163</f>
        <v>403370.00024322886</v>
      </c>
      <c r="Y163" s="31">
        <f>'[1]功能-行军令'!V163</f>
        <v>456561.6486269515</v>
      </c>
      <c r="Z163" s="31">
        <f>'[1]功能-行军令'!W163</f>
        <v>456561.6486269515</v>
      </c>
      <c r="AC163" s="54">
        <v>160</v>
      </c>
      <c r="AD163" s="54">
        <f>'[1]功能-实力'!BE164</f>
        <v>27778248</v>
      </c>
      <c r="AE163" s="54">
        <f>'[1]功能-实力'!BF164</f>
        <v>28682724</v>
      </c>
      <c r="AF163" s="54">
        <f>'[1]功能-实力'!BG164</f>
        <v>29425542</v>
      </c>
      <c r="AG163" s="54">
        <f>'[1]功能-实力'!BH164</f>
        <v>29766960</v>
      </c>
      <c r="AH163" s="54">
        <f>'[1]功能-实力'!BI164</f>
        <v>29948160</v>
      </c>
    </row>
    <row r="164" spans="9:34" x14ac:dyDescent="0.15">
      <c r="I164" s="25">
        <v>161</v>
      </c>
      <c r="J164" s="26">
        <f>'[1]资源-钻石'!T164</f>
        <v>851618.31322902581</v>
      </c>
      <c r="K164" s="26">
        <f>'[1]资源-钻石'!U164</f>
        <v>1209780.1445519286</v>
      </c>
      <c r="L164" s="26">
        <f>'[1]资源-钻石'!V164</f>
        <v>2054208.1590071216</v>
      </c>
      <c r="M164" s="26">
        <f>'[1]资源-钻石'!W164</f>
        <v>5512878.9749078341</v>
      </c>
      <c r="N164" s="26">
        <f>'[1]资源-钻石'!X164</f>
        <v>13190604.372398617</v>
      </c>
    </row>
    <row r="165" spans="9:34" x14ac:dyDescent="0.15">
      <c r="I165" s="25">
        <v>162</v>
      </c>
      <c r="J165" s="26">
        <f>'[1]资源-钻石'!T165</f>
        <v>855909.99359661806</v>
      </c>
      <c r="K165" s="26">
        <f>'[1]资源-钻石'!U165</f>
        <v>1216180.99295628</v>
      </c>
      <c r="L165" s="26">
        <f>'[1]资源-钻石'!V165</f>
        <v>2065701.092251908</v>
      </c>
      <c r="M165" s="26">
        <f>'[1]资源-钻石'!W165</f>
        <v>5545541.2014770992</v>
      </c>
      <c r="N165" s="26">
        <f>'[1]资源-钻石'!X165</f>
        <v>13270387.821624808</v>
      </c>
    </row>
    <row r="166" spans="9:34" x14ac:dyDescent="0.15">
      <c r="I166" s="27">
        <v>163</v>
      </c>
      <c r="J166" s="26">
        <f>'[1]资源-钻石'!T166</f>
        <v>860201.67396421044</v>
      </c>
      <c r="K166" s="26">
        <f>'[1]资源-钻石'!U166</f>
        <v>1222581.8413606316</v>
      </c>
      <c r="L166" s="26">
        <f>'[1]资源-钻石'!V166</f>
        <v>2077194.0254966947</v>
      </c>
      <c r="M166" s="26">
        <f>'[1]资源-钻石'!W166</f>
        <v>5578203.4280463643</v>
      </c>
      <c r="N166" s="26">
        <f>'[1]资源-钻石'!X166</f>
        <v>13350171.270851001</v>
      </c>
    </row>
    <row r="167" spans="9:34" x14ac:dyDescent="0.15">
      <c r="I167" s="27">
        <v>164</v>
      </c>
      <c r="J167" s="26">
        <f>'[1]资源-钻石'!T167</f>
        <v>864493.35433180269</v>
      </c>
      <c r="K167" s="26">
        <f>'[1]资源-钻石'!U167</f>
        <v>1228982.689764983</v>
      </c>
      <c r="L167" s="26">
        <f>'[1]资源-钻石'!V167</f>
        <v>2088686.9587414814</v>
      </c>
      <c r="M167" s="26">
        <f>'[1]资源-钻石'!W167</f>
        <v>5610865.6546156295</v>
      </c>
      <c r="N167" s="26">
        <f>'[1]资源-钻石'!X167</f>
        <v>13429954.720077192</v>
      </c>
    </row>
    <row r="168" spans="9:34" x14ac:dyDescent="0.15">
      <c r="I168" s="25">
        <v>165</v>
      </c>
      <c r="J168" s="26">
        <f>'[1]资源-钻石'!T168</f>
        <v>868785.03469939495</v>
      </c>
      <c r="K168" s="26">
        <f>'[1]资源-钻石'!U168</f>
        <v>1235383.5381693346</v>
      </c>
      <c r="L168" s="26">
        <f>'[1]资源-钻石'!V168</f>
        <v>2100179.8919862681</v>
      </c>
      <c r="M168" s="26">
        <f>'[1]资源-钻石'!W168</f>
        <v>5643527.8811848946</v>
      </c>
      <c r="N168" s="26">
        <f>'[1]资源-钻石'!X168</f>
        <v>13509738.169303384</v>
      </c>
    </row>
    <row r="169" spans="9:34" x14ac:dyDescent="0.15">
      <c r="I169" s="25">
        <v>166</v>
      </c>
      <c r="J169" s="26">
        <f>'[1]资源-钻石'!T169</f>
        <v>873076.71506698732</v>
      </c>
      <c r="K169" s="26">
        <f>'[1]资源-钻石'!U169</f>
        <v>1241784.3865736863</v>
      </c>
      <c r="L169" s="26">
        <f>'[1]资源-钻石'!V169</f>
        <v>2111672.8252310548</v>
      </c>
      <c r="M169" s="26">
        <f>'[1]资源-钻石'!W169</f>
        <v>5676190.1077541607</v>
      </c>
      <c r="N169" s="26">
        <f>'[1]资源-钻石'!X169</f>
        <v>13589521.618529575</v>
      </c>
    </row>
    <row r="170" spans="9:34" x14ac:dyDescent="0.15">
      <c r="I170" s="25">
        <v>167</v>
      </c>
      <c r="J170" s="26">
        <f>'[1]资源-钻石'!T170</f>
        <v>877368.39543457958</v>
      </c>
      <c r="K170" s="26">
        <f>'[1]资源-钻石'!U170</f>
        <v>1248185.2349780377</v>
      </c>
      <c r="L170" s="26">
        <f>'[1]资源-钻石'!V170</f>
        <v>2123165.7584758415</v>
      </c>
      <c r="M170" s="26">
        <f>'[1]资源-钻石'!W170</f>
        <v>5708852.3343234258</v>
      </c>
      <c r="N170" s="26">
        <f>'[1]资源-钻石'!X170</f>
        <v>13669305.067755768</v>
      </c>
    </row>
    <row r="171" spans="9:34" x14ac:dyDescent="0.15">
      <c r="I171" s="25">
        <v>168</v>
      </c>
      <c r="J171" s="26">
        <f>'[1]资源-钻石'!T171</f>
        <v>881660.2218844234</v>
      </c>
      <c r="K171" s="26">
        <f>'[1]资源-钻石'!U171</f>
        <v>1254586.0833823893</v>
      </c>
      <c r="L171" s="26">
        <f>'[1]资源-钻石'!V171</f>
        <v>2134658.6917206282</v>
      </c>
      <c r="M171" s="26">
        <f>'[1]资源-钻石'!W171</f>
        <v>5741514.5608926909</v>
      </c>
      <c r="N171" s="26">
        <f>'[1]资源-钻石'!X171</f>
        <v>13749088.516981959</v>
      </c>
    </row>
    <row r="172" spans="9:34" x14ac:dyDescent="0.15">
      <c r="I172" s="27">
        <v>169</v>
      </c>
      <c r="J172" s="26">
        <f>'[1]资源-钻石'!T172</f>
        <v>885953.32069953112</v>
      </c>
      <c r="K172" s="26">
        <f>'[1]资源-钻石'!U172</f>
        <v>1260986.9317867407</v>
      </c>
      <c r="L172" s="26">
        <f>'[1]资源-钻石'!V172</f>
        <v>2146159.8725496894</v>
      </c>
      <c r="M172" s="26">
        <f>'[1]资源-钻石'!W172</f>
        <v>5774176.787461956</v>
      </c>
      <c r="N172" s="26">
        <f>'[1]资源-钻石'!X172</f>
        <v>13828871.966208151</v>
      </c>
    </row>
    <row r="173" spans="9:34" x14ac:dyDescent="0.15">
      <c r="I173" s="27">
        <v>170</v>
      </c>
      <c r="J173" s="26">
        <f>'[1]资源-钻石'!T173</f>
        <v>890246.41951463884</v>
      </c>
      <c r="K173" s="26">
        <f>'[1]资源-钻石'!U173</f>
        <v>1267387.7801910923</v>
      </c>
      <c r="L173" s="26">
        <f>'[1]资源-钻石'!V173</f>
        <v>2157683.9714066996</v>
      </c>
      <c r="M173" s="26">
        <f>'[1]资源-钻石'!W173</f>
        <v>5806839.0140312212</v>
      </c>
      <c r="N173" s="26">
        <f>'[1]资源-钻石'!X173</f>
        <v>13908655.415434344</v>
      </c>
    </row>
    <row r="174" spans="9:34" x14ac:dyDescent="0.15">
      <c r="I174" s="25">
        <v>171</v>
      </c>
      <c r="J174" s="26">
        <f>'[1]资源-钻石'!T174</f>
        <v>894539.51832974656</v>
      </c>
      <c r="K174" s="26">
        <f>'[1]资源-钻石'!U174</f>
        <v>1273788.6285954437</v>
      </c>
      <c r="L174" s="26">
        <f>'[1]资源-钻石'!V174</f>
        <v>2169208.0702637094</v>
      </c>
      <c r="M174" s="26">
        <f>'[1]资源-钻石'!W174</f>
        <v>5839501.2406004872</v>
      </c>
      <c r="N174" s="26">
        <f>'[1]资源-钻石'!X174</f>
        <v>13988438.864660535</v>
      </c>
    </row>
    <row r="175" spans="9:34" x14ac:dyDescent="0.15">
      <c r="I175" s="25">
        <v>172</v>
      </c>
      <c r="J175" s="26">
        <f>'[1]资源-钻石'!T175</f>
        <v>898832.61714485427</v>
      </c>
      <c r="K175" s="26">
        <f>'[1]资源-钻石'!U175</f>
        <v>1280189.4769997953</v>
      </c>
      <c r="L175" s="26">
        <f>'[1]资源-钻石'!V175</f>
        <v>2180732.1691207192</v>
      </c>
      <c r="M175" s="26">
        <f>'[1]资源-钻石'!W175</f>
        <v>5872163.4671697523</v>
      </c>
      <c r="N175" s="26">
        <f>'[1]资源-钻石'!X175</f>
        <v>14068222.313886726</v>
      </c>
    </row>
    <row r="176" spans="9:34" x14ac:dyDescent="0.15">
      <c r="I176" s="25">
        <v>173</v>
      </c>
      <c r="J176" s="26">
        <f>'[1]资源-钻石'!T176</f>
        <v>903125.71595996199</v>
      </c>
      <c r="K176" s="26">
        <f>'[1]资源-钻石'!U176</f>
        <v>1286590.3254041469</v>
      </c>
      <c r="L176" s="26">
        <f>'[1]资源-钻石'!V176</f>
        <v>2192256.2679777294</v>
      </c>
      <c r="M176" s="26">
        <f>'[1]资源-钻石'!W176</f>
        <v>5904837.5244390359</v>
      </c>
      <c r="N176" s="26">
        <f>'[1]资源-钻石'!X176</f>
        <v>14148005.763112919</v>
      </c>
    </row>
    <row r="177" spans="9:14" x14ac:dyDescent="0.15">
      <c r="I177" s="25">
        <v>174</v>
      </c>
      <c r="J177" s="26">
        <f>'[1]资源-钻石'!T177</f>
        <v>907418.81477506971</v>
      </c>
      <c r="K177" s="26">
        <f>'[1]资源-钻石'!U177</f>
        <v>1292991.1738084983</v>
      </c>
      <c r="L177" s="26">
        <f>'[1]资源-钻石'!V177</f>
        <v>2203780.3668347392</v>
      </c>
      <c r="M177" s="26">
        <f>'[1]资源-钻石'!W177</f>
        <v>5938023.495670788</v>
      </c>
      <c r="N177" s="26">
        <f>'[1]资源-钻石'!X177</f>
        <v>14227789.212339111</v>
      </c>
    </row>
    <row r="178" spans="9:14" x14ac:dyDescent="0.15">
      <c r="I178" s="27">
        <v>175</v>
      </c>
      <c r="J178" s="26">
        <f>'[1]资源-钻石'!T178</f>
        <v>911711.91359017743</v>
      </c>
      <c r="K178" s="26">
        <f>'[1]资源-钻石'!U178</f>
        <v>1299392.0222128499</v>
      </c>
      <c r="L178" s="26">
        <f>'[1]资源-钻石'!V178</f>
        <v>2215304.465691749</v>
      </c>
      <c r="M178" s="26">
        <f>'[1]资源-钻石'!W178</f>
        <v>5971209.4669025401</v>
      </c>
      <c r="N178" s="26">
        <f>'[1]资源-钻石'!X178</f>
        <v>14307572.661565304</v>
      </c>
    </row>
    <row r="179" spans="9:14" x14ac:dyDescent="0.15">
      <c r="I179" s="27">
        <v>176</v>
      </c>
      <c r="J179" s="26">
        <f>'[1]资源-钻石'!T179</f>
        <v>916005.01240528515</v>
      </c>
      <c r="K179" s="26">
        <f>'[1]资源-钻石'!U179</f>
        <v>1305792.8706172013</v>
      </c>
      <c r="L179" s="26">
        <f>'[1]资源-钻石'!V179</f>
        <v>2226828.5645487593</v>
      </c>
      <c r="M179" s="26">
        <f>'[1]资源-钻石'!W179</f>
        <v>6004395.4381342921</v>
      </c>
      <c r="N179" s="26">
        <f>'[1]资源-钻石'!X179</f>
        <v>14387356.110791495</v>
      </c>
    </row>
    <row r="180" spans="9:14" x14ac:dyDescent="0.15">
      <c r="I180" s="25">
        <v>177</v>
      </c>
      <c r="J180" s="26">
        <f>'[1]资源-钻石'!T180</f>
        <v>920298.11122039286</v>
      </c>
      <c r="K180" s="26">
        <f>'[1]资源-钻石'!U180</f>
        <v>1312193.7190215529</v>
      </c>
      <c r="L180" s="26">
        <f>'[1]资源-钻石'!V180</f>
        <v>2238352.663405769</v>
      </c>
      <c r="M180" s="26">
        <f>'[1]资源-钻石'!W180</f>
        <v>6037581.4093660442</v>
      </c>
      <c r="N180" s="26">
        <f>'[1]资源-钻石'!X180</f>
        <v>14467139.560017686</v>
      </c>
    </row>
    <row r="181" spans="9:14" x14ac:dyDescent="0.15">
      <c r="I181" s="25">
        <v>178</v>
      </c>
      <c r="J181" s="26">
        <f>'[1]资源-钻石'!T181</f>
        <v>924591.2100355007</v>
      </c>
      <c r="K181" s="26">
        <f>'[1]资源-钻石'!U181</f>
        <v>1318594.5674259046</v>
      </c>
      <c r="L181" s="26">
        <f>'[1]资源-钻石'!V181</f>
        <v>2249876.7622627793</v>
      </c>
      <c r="M181" s="26">
        <f>'[1]资源-钻石'!W181</f>
        <v>6070767.3805977963</v>
      </c>
      <c r="N181" s="26">
        <f>'[1]资源-钻石'!X181</f>
        <v>14546923.009243879</v>
      </c>
    </row>
    <row r="182" spans="9:14" x14ac:dyDescent="0.15">
      <c r="I182" s="25">
        <v>179</v>
      </c>
      <c r="J182" s="26">
        <f>'[1]资源-钻石'!T182</f>
        <v>928884.30885060842</v>
      </c>
      <c r="K182" s="26">
        <f>'[1]资源-钻石'!U182</f>
        <v>1324995.415830256</v>
      </c>
      <c r="L182" s="26">
        <f>'[1]资源-钻石'!V182</f>
        <v>2261400.8611197891</v>
      </c>
      <c r="M182" s="26">
        <f>'[1]资源-钻石'!W182</f>
        <v>6103953.3518295484</v>
      </c>
      <c r="N182" s="26">
        <f>'[1]资源-钻石'!X182</f>
        <v>14626706.458470071</v>
      </c>
    </row>
    <row r="183" spans="9:14" x14ac:dyDescent="0.15">
      <c r="I183" s="25">
        <v>180</v>
      </c>
      <c r="J183" s="26">
        <f>'[1]资源-钻石'!T183</f>
        <v>933177.40766571613</v>
      </c>
      <c r="K183" s="26">
        <f>'[1]资源-钻石'!U183</f>
        <v>1332194.7759369218</v>
      </c>
      <c r="L183" s="26">
        <f>'[1]资源-钻石'!V183</f>
        <v>2272924.9599767989</v>
      </c>
      <c r="M183" s="26">
        <f>'[1]资源-钻石'!W183</f>
        <v>6137139.3230613004</v>
      </c>
      <c r="N183" s="26">
        <f>'[1]资源-钻石'!X183</f>
        <v>14706774.339036958</v>
      </c>
    </row>
    <row r="184" spans="9:14" x14ac:dyDescent="0.15">
      <c r="I184" s="27">
        <v>181</v>
      </c>
      <c r="J184" s="26">
        <f>'[1]资源-钻石'!T184</f>
        <v>938341.18899005547</v>
      </c>
      <c r="K184" s="26">
        <f>'[1]资源-钻石'!U184</f>
        <v>1339507.5136248113</v>
      </c>
      <c r="L184" s="26">
        <f>'[1]资源-钻石'!V184</f>
        <v>2285142.8386779674</v>
      </c>
      <c r="M184" s="26">
        <f>'[1]资源-钻石'!W184</f>
        <v>6170325.2942930525</v>
      </c>
      <c r="N184" s="26">
        <f>'[1]资源-钻石'!X184</f>
        <v>14787837.370170264</v>
      </c>
    </row>
    <row r="185" spans="9:14" x14ac:dyDescent="0.15">
      <c r="I185" s="27">
        <v>182</v>
      </c>
      <c r="J185" s="26">
        <f>'[1]资源-钻石'!T185</f>
        <v>943522.13776683144</v>
      </c>
      <c r="K185" s="26">
        <f>'[1]资源-钻石'!U185</f>
        <v>1346820.2513127008</v>
      </c>
      <c r="L185" s="26">
        <f>'[1]资源-钻石'!V185</f>
        <v>2297711.7866978664</v>
      </c>
      <c r="M185" s="26">
        <f>'[1]资源-钻石'!W185</f>
        <v>6203511.2655248046</v>
      </c>
      <c r="N185" s="26">
        <f>'[1]资源-钻石'!X185</f>
        <v>14868900.401303571</v>
      </c>
    </row>
    <row r="186" spans="9:14" x14ac:dyDescent="0.15">
      <c r="I186" s="25">
        <v>183</v>
      </c>
      <c r="J186" s="26">
        <f>'[1]资源-钻石'!T186</f>
        <v>948703.08654360741</v>
      </c>
      <c r="K186" s="26">
        <f>'[1]资源-钻石'!U186</f>
        <v>1354132.9890005903</v>
      </c>
      <c r="L186" s="26">
        <f>'[1]资源-钻石'!V186</f>
        <v>2310280.7347177654</v>
      </c>
      <c r="M186" s="26">
        <f>'[1]资源-钻石'!W186</f>
        <v>6236697.2367565567</v>
      </c>
      <c r="N186" s="26">
        <f>'[1]资源-钻石'!X186</f>
        <v>14949963.432436878</v>
      </c>
    </row>
    <row r="187" spans="9:14" x14ac:dyDescent="0.15">
      <c r="I187" s="25">
        <v>184</v>
      </c>
      <c r="J187" s="26">
        <f>'[1]资源-钻石'!T187</f>
        <v>953884.0353203835</v>
      </c>
      <c r="K187" s="26">
        <f>'[1]资源-钻石'!U187</f>
        <v>1361445.7266884798</v>
      </c>
      <c r="L187" s="26">
        <f>'[1]资源-钻石'!V187</f>
        <v>2322849.6827376643</v>
      </c>
      <c r="M187" s="26">
        <f>'[1]资源-钻石'!W187</f>
        <v>6269883.2079883087</v>
      </c>
      <c r="N187" s="26">
        <f>'[1]资源-钻石'!X187</f>
        <v>15031026.463570185</v>
      </c>
    </row>
    <row r="188" spans="9:14" x14ac:dyDescent="0.15">
      <c r="I188" s="25">
        <v>185</v>
      </c>
      <c r="J188" s="26">
        <f>'[1]资源-钻石'!T188</f>
        <v>959064.98409715947</v>
      </c>
      <c r="K188" s="26">
        <f>'[1]资源-钻石'!U188</f>
        <v>1368758.464376369</v>
      </c>
      <c r="L188" s="26">
        <f>'[1]资源-钻石'!V188</f>
        <v>2335418.6307575633</v>
      </c>
      <c r="M188" s="26">
        <f>'[1]资源-钻石'!W188</f>
        <v>6303069.1792200617</v>
      </c>
      <c r="N188" s="26">
        <f>'[1]资源-钻石'!X188</f>
        <v>15112089.49470349</v>
      </c>
    </row>
    <row r="189" spans="9:14" x14ac:dyDescent="0.15">
      <c r="I189" s="25">
        <v>186</v>
      </c>
      <c r="J189" s="26">
        <f>'[1]资源-钻石'!T189</f>
        <v>964245.93287393544</v>
      </c>
      <c r="K189" s="26">
        <f>'[1]资源-钻石'!U189</f>
        <v>1376071.2020642585</v>
      </c>
      <c r="L189" s="26">
        <f>'[1]资源-钻石'!V189</f>
        <v>2347987.5787774622</v>
      </c>
      <c r="M189" s="26">
        <f>'[1]资源-钻石'!W189</f>
        <v>6336536.3366552088</v>
      </c>
      <c r="N189" s="26">
        <f>'[1]资源-钻石'!X189</f>
        <v>15193152.525836797</v>
      </c>
    </row>
    <row r="190" spans="9:14" x14ac:dyDescent="0.15">
      <c r="I190" s="27">
        <v>187</v>
      </c>
      <c r="J190" s="26">
        <f>'[1]资源-钻石'!T190</f>
        <v>969426.88165071153</v>
      </c>
      <c r="K190" s="26">
        <f>'[1]资源-钻石'!U190</f>
        <v>1383383.939752148</v>
      </c>
      <c r="L190" s="26">
        <f>'[1]资源-钻石'!V190</f>
        <v>2360556.5267973612</v>
      </c>
      <c r="M190" s="26">
        <f>'[1]资源-钻石'!W190</f>
        <v>6370382.1794770975</v>
      </c>
      <c r="N190" s="26">
        <f>'[1]资源-钻石'!X190</f>
        <v>15274215.556970105</v>
      </c>
    </row>
    <row r="191" spans="9:14" x14ac:dyDescent="0.15">
      <c r="I191" s="27">
        <v>188</v>
      </c>
      <c r="J191" s="26">
        <f>'[1]资源-钻石'!T191</f>
        <v>974607.8304274875</v>
      </c>
      <c r="K191" s="26">
        <f>'[1]资源-钻石'!U191</f>
        <v>1390696.6774400375</v>
      </c>
      <c r="L191" s="26">
        <f>'[1]资源-钻石'!V191</f>
        <v>2373125.4748172602</v>
      </c>
      <c r="M191" s="26">
        <f>'[1]资源-钻石'!W191</f>
        <v>6404228.0222989861</v>
      </c>
      <c r="N191" s="26">
        <f>'[1]资源-钻石'!X191</f>
        <v>15355278.58810341</v>
      </c>
    </row>
    <row r="192" spans="9:14" x14ac:dyDescent="0.15">
      <c r="I192" s="25">
        <v>189</v>
      </c>
      <c r="J192" s="26">
        <f>'[1]资源-钻石'!T192</f>
        <v>979788.77920426358</v>
      </c>
      <c r="K192" s="26">
        <f>'[1]资源-钻石'!U192</f>
        <v>1398009.415127927</v>
      </c>
      <c r="L192" s="26">
        <f>'[1]资源-钻石'!V192</f>
        <v>2385694.4228371591</v>
      </c>
      <c r="M192" s="26">
        <f>'[1]资源-钻石'!W192</f>
        <v>6438073.8651208747</v>
      </c>
      <c r="N192" s="26">
        <f>'[1]资源-钻石'!X192</f>
        <v>15436341.619236717</v>
      </c>
    </row>
    <row r="193" spans="9:16" x14ac:dyDescent="0.15">
      <c r="I193" s="25">
        <v>190</v>
      </c>
      <c r="J193" s="26">
        <f>'[1]资源-钻石'!T193</f>
        <v>984969.72798103956</v>
      </c>
      <c r="K193" s="26">
        <f>'[1]资源-钻石'!U193</f>
        <v>1405322.1528158165</v>
      </c>
      <c r="L193" s="26">
        <f>'[1]资源-钻石'!V193</f>
        <v>2398263.3708570581</v>
      </c>
      <c r="M193" s="26">
        <f>'[1]资源-钻石'!W193</f>
        <v>6471919.7079427643</v>
      </c>
      <c r="N193" s="26">
        <f>'[1]资源-钻石'!X193</f>
        <v>15517404.650370024</v>
      </c>
    </row>
    <row r="194" spans="9:16" x14ac:dyDescent="0.15">
      <c r="I194" s="25">
        <v>191</v>
      </c>
      <c r="J194" s="26">
        <f>'[1]资源-钻石'!T194</f>
        <v>990150.67675781553</v>
      </c>
      <c r="K194" s="26">
        <f>'[1]资源-钻石'!U194</f>
        <v>1412634.8905037057</v>
      </c>
      <c r="L194" s="26">
        <f>'[1]资源-钻石'!V194</f>
        <v>2410832.3188769571</v>
      </c>
      <c r="M194" s="26">
        <f>'[1]资源-钻石'!W194</f>
        <v>6505765.5507646529</v>
      </c>
      <c r="N194" s="26">
        <f>'[1]资源-钻石'!X194</f>
        <v>15598467.681503331</v>
      </c>
    </row>
    <row r="195" spans="9:16" x14ac:dyDescent="0.15">
      <c r="I195" s="25">
        <v>192</v>
      </c>
      <c r="J195" s="26">
        <f>'[1]资源-钻石'!T195</f>
        <v>995331.62553459161</v>
      </c>
      <c r="K195" s="26">
        <f>'[1]资源-钻石'!U195</f>
        <v>1419947.6281915952</v>
      </c>
      <c r="L195" s="26">
        <f>'[1]资源-钻石'!V195</f>
        <v>2423401.266896856</v>
      </c>
      <c r="M195" s="26">
        <f>'[1]资源-钻石'!W195</f>
        <v>6539611.3935865415</v>
      </c>
      <c r="N195" s="26">
        <f>'[1]资源-钻石'!X195</f>
        <v>15679530.712636637</v>
      </c>
    </row>
    <row r="196" spans="9:16" x14ac:dyDescent="0.15">
      <c r="I196" s="27">
        <v>193</v>
      </c>
      <c r="J196" s="26">
        <f>'[1]资源-钻石'!T196</f>
        <v>1000512.5743113676</v>
      </c>
      <c r="K196" s="26">
        <f>'[1]资源-钻石'!U196</f>
        <v>1427323.8317425046</v>
      </c>
      <c r="L196" s="26">
        <f>'[1]资源-钻石'!V196</f>
        <v>2435970.214916755</v>
      </c>
      <c r="M196" s="26">
        <f>'[1]资源-钻石'!W196</f>
        <v>6573457.2364084302</v>
      </c>
      <c r="N196" s="26">
        <f>'[1]资源-钻石'!X196</f>
        <v>15760600.460049273</v>
      </c>
    </row>
    <row r="197" spans="9:16" x14ac:dyDescent="0.15">
      <c r="I197" s="27">
        <v>194</v>
      </c>
      <c r="J197" s="26">
        <f>'[1]资源-钻石'!T197</f>
        <v>1005693.5230881436</v>
      </c>
      <c r="K197" s="26">
        <f>'[1]资源-钻石'!U197</f>
        <v>1434702.8753969581</v>
      </c>
      <c r="L197" s="26">
        <f>'[1]资源-钻石'!V197</f>
        <v>2448539.1629366539</v>
      </c>
      <c r="M197" s="26">
        <f>'[1]资源-钻石'!W197</f>
        <v>6607303.0792303197</v>
      </c>
      <c r="N197" s="26">
        <f>'[1]资源-钻石'!X197</f>
        <v>15841685.88715335</v>
      </c>
    </row>
    <row r="198" spans="9:16" x14ac:dyDescent="0.15">
      <c r="I198" s="25">
        <v>195</v>
      </c>
      <c r="J198" s="26">
        <f>'[1]资源-钻石'!T198</f>
        <v>1010874.4718649196</v>
      </c>
      <c r="K198" s="26">
        <f>'[1]资源-钻石'!U198</f>
        <v>1442081.9190514118</v>
      </c>
      <c r="L198" s="26">
        <f>'[1]资源-钻石'!V198</f>
        <v>2461108.1109565534</v>
      </c>
      <c r="M198" s="26">
        <f>'[1]资源-钻石'!W198</f>
        <v>6641148.9220522083</v>
      </c>
      <c r="N198" s="26">
        <f>'[1]资源-钻石'!X198</f>
        <v>15922771.314257428</v>
      </c>
    </row>
    <row r="199" spans="9:16" x14ac:dyDescent="0.15">
      <c r="I199" s="25">
        <v>196</v>
      </c>
      <c r="J199" s="26">
        <f>'[1]资源-钻石'!T199</f>
        <v>1016055.4206416956</v>
      </c>
      <c r="K199" s="26">
        <f>'[1]资源-钻石'!U199</f>
        <v>1449460.9627058655</v>
      </c>
      <c r="L199" s="26">
        <f>'[1]资源-钻石'!V199</f>
        <v>2473677.0589764523</v>
      </c>
      <c r="M199" s="26">
        <f>'[1]资源-钻石'!W199</f>
        <v>6674994.764874097</v>
      </c>
      <c r="N199" s="26">
        <f>'[1]资源-钻石'!X199</f>
        <v>16003856.741361506</v>
      </c>
    </row>
    <row r="200" spans="9:16" x14ac:dyDescent="0.15">
      <c r="I200" s="25">
        <v>197</v>
      </c>
      <c r="J200" s="26">
        <f>'[1]资源-钻石'!T200</f>
        <v>1021236.3694184717</v>
      </c>
      <c r="K200" s="26">
        <f>'[1]资源-钻石'!U200</f>
        <v>1456840.006360319</v>
      </c>
      <c r="L200" s="26">
        <f>'[1]资源-钻石'!V200</f>
        <v>2486246.0069963513</v>
      </c>
      <c r="M200" s="26">
        <f>'[1]资源-钻石'!W200</f>
        <v>6708840.6076959856</v>
      </c>
      <c r="N200" s="26">
        <f>'[1]资源-钻石'!X200</f>
        <v>16084942.168465585</v>
      </c>
    </row>
    <row r="201" spans="9:16" x14ac:dyDescent="0.15">
      <c r="I201" s="25">
        <v>198</v>
      </c>
      <c r="J201" s="26">
        <f>'[1]资源-钻石'!T201</f>
        <v>1026417.3181952477</v>
      </c>
      <c r="K201" s="26">
        <f>'[1]资源-钻石'!U201</f>
        <v>1464219.0500147727</v>
      </c>
      <c r="L201" s="26">
        <f>'[1]资源-钻石'!V201</f>
        <v>2498814.9550162503</v>
      </c>
      <c r="M201" s="26">
        <f>'[1]资源-钻石'!W201</f>
        <v>6742686.4505178751</v>
      </c>
      <c r="N201" s="26">
        <f>'[1]资源-钻石'!X201</f>
        <v>16166027.595569661</v>
      </c>
    </row>
    <row r="202" spans="9:16" x14ac:dyDescent="0.15">
      <c r="I202" s="27">
        <v>199</v>
      </c>
      <c r="J202" s="26">
        <f>'[1]资源-钻石'!T202</f>
        <v>1031598.2669720236</v>
      </c>
      <c r="K202" s="26">
        <f>'[1]资源-钻石'!U202</f>
        <v>1471598.0936692264</v>
      </c>
      <c r="L202" s="26">
        <f>'[1]资源-钻石'!V202</f>
        <v>2511383.9030361492</v>
      </c>
      <c r="M202" s="26">
        <f>'[1]资源-钻石'!W202</f>
        <v>6776532.2933397638</v>
      </c>
      <c r="N202" s="26">
        <f>'[1]资源-钻石'!X202</f>
        <v>16247113.022673739</v>
      </c>
    </row>
    <row r="203" spans="9:16" x14ac:dyDescent="0.15">
      <c r="I203" s="27">
        <v>200</v>
      </c>
      <c r="J203" s="26">
        <f>'[1]资源-钻石'!T203</f>
        <v>1036779.2157487997</v>
      </c>
      <c r="K203" s="26">
        <f>'[1]资源-钻石'!U203</f>
        <v>1478977.1373236799</v>
      </c>
      <c r="L203" s="26">
        <f>'[1]资源-钻石'!V203</f>
        <v>2523952.8510560482</v>
      </c>
      <c r="M203" s="26">
        <f>'[1]资源-钻石'!W203</f>
        <v>6810378.1361616524</v>
      </c>
      <c r="N203" s="26">
        <f>'[1]资源-钻石'!X203</f>
        <v>16328198.449777817</v>
      </c>
    </row>
    <row r="204" spans="9:16" x14ac:dyDescent="0.15">
      <c r="I204" s="25">
        <v>201</v>
      </c>
      <c r="J204" s="26">
        <f>'[1]资源-钻石'!T204</f>
        <v>1041960.1645255757</v>
      </c>
      <c r="K204" s="26">
        <f>'[1]资源-钻石'!U204</f>
        <v>1486356.1809781336</v>
      </c>
      <c r="L204" s="26">
        <f>'[1]资源-钻石'!V204</f>
        <v>2536521.7990759471</v>
      </c>
      <c r="M204" s="26">
        <f>'[1]资源-钻石'!W204</f>
        <v>6844223.978983542</v>
      </c>
      <c r="N204" s="26">
        <f>'[1]资源-钻石'!X204</f>
        <v>16409283.876881896</v>
      </c>
    </row>
    <row r="205" spans="9:16" x14ac:dyDescent="0.15">
      <c r="I205" s="25">
        <v>202</v>
      </c>
      <c r="J205" s="26">
        <f>'[1]资源-钻石'!T205</f>
        <v>1047141.1133023518</v>
      </c>
      <c r="K205" s="26">
        <f>'[1]资源-钻石'!U205</f>
        <v>1493735.2246325873</v>
      </c>
      <c r="L205" s="26">
        <f>'[1]资源-钻石'!V205</f>
        <v>2549090.7470958461</v>
      </c>
      <c r="M205" s="26">
        <f>'[1]资源-钻石'!W205</f>
        <v>6878069.8218054306</v>
      </c>
      <c r="N205" s="26">
        <f>'[1]资源-钻石'!X205</f>
        <v>16490369.303985972</v>
      </c>
    </row>
    <row r="206" spans="9:16" x14ac:dyDescent="0.15">
      <c r="I206" s="25">
        <v>203</v>
      </c>
      <c r="J206" s="26">
        <f>'[1]资源-钻石'!T206</f>
        <v>1052322.0620791279</v>
      </c>
      <c r="K206" s="26">
        <f>'[1]资源-钻石'!U206</f>
        <v>1501114.2682870408</v>
      </c>
      <c r="L206" s="26">
        <f>'[1]资源-钻石'!V206</f>
        <v>2561659.6951157451</v>
      </c>
      <c r="M206" s="26">
        <f>'[1]资源-钻石'!W206</f>
        <v>6911915.6646273192</v>
      </c>
      <c r="N206" s="26">
        <f>'[1]资源-钻石'!X206</f>
        <v>16571454.73109005</v>
      </c>
    </row>
    <row r="207" spans="9:16" x14ac:dyDescent="0.15">
      <c r="I207" s="25">
        <v>204</v>
      </c>
      <c r="J207" s="26">
        <f>'[1]资源-钻石'!T207</f>
        <v>1057503.0108559038</v>
      </c>
      <c r="K207" s="26">
        <f>'[1]资源-钻石'!U207</f>
        <v>1508493.3119414945</v>
      </c>
      <c r="L207" s="26">
        <f>'[1]资源-钻石'!V207</f>
        <v>2574228.643135644</v>
      </c>
      <c r="M207" s="26">
        <f>'[1]资源-钻石'!W207</f>
        <v>6945761.5074492088</v>
      </c>
      <c r="N207" s="26">
        <f>'[1]资源-钻石'!X207</f>
        <v>16652540.158194128</v>
      </c>
      <c r="P207" s="47"/>
    </row>
    <row r="208" spans="9:16" x14ac:dyDescent="0.15">
      <c r="I208" s="27">
        <v>205</v>
      </c>
      <c r="J208" s="26">
        <f>'[1]资源-钻石'!T208</f>
        <v>1062683.9596326798</v>
      </c>
      <c r="K208" s="26">
        <f>'[1]资源-钻石'!U208</f>
        <v>1515872.3555959482</v>
      </c>
      <c r="L208" s="26">
        <f>'[1]资源-钻石'!V208</f>
        <v>2586797.591155543</v>
      </c>
      <c r="M208" s="26">
        <f>'[1]资源-钻石'!W208</f>
        <v>6979607.3502710974</v>
      </c>
      <c r="N208" s="26">
        <f>'[1]资源-钻石'!X208</f>
        <v>16733625.585298207</v>
      </c>
    </row>
    <row r="209" spans="9:14" x14ac:dyDescent="0.15">
      <c r="I209" s="27">
        <v>206</v>
      </c>
      <c r="J209" s="26">
        <f>'[1]资源-钻石'!T209</f>
        <v>1067864.9084094558</v>
      </c>
      <c r="K209" s="26">
        <f>'[1]资源-钻石'!U209</f>
        <v>1523251.3992504016</v>
      </c>
      <c r="L209" s="26">
        <f>'[1]资源-钻石'!V209</f>
        <v>2599366.5391754424</v>
      </c>
      <c r="M209" s="26">
        <f>'[1]资源-钻石'!W209</f>
        <v>7013453.193092986</v>
      </c>
      <c r="N209" s="26">
        <f>'[1]资源-钻石'!X209</f>
        <v>16814711.012402285</v>
      </c>
    </row>
    <row r="210" spans="9:14" x14ac:dyDescent="0.15">
      <c r="I210" s="25">
        <v>207</v>
      </c>
      <c r="J210" s="26">
        <f>'[1]资源-钻石'!T210</f>
        <v>1073045.8571862318</v>
      </c>
      <c r="K210" s="26">
        <f>'[1]资源-钻石'!U210</f>
        <v>1530630.4429048554</v>
      </c>
      <c r="L210" s="26">
        <f>'[1]资源-钻石'!V210</f>
        <v>2611935.4871953414</v>
      </c>
      <c r="M210" s="26">
        <f>'[1]资源-钻石'!W210</f>
        <v>7047299.0359148756</v>
      </c>
      <c r="N210" s="26">
        <f>'[1]资源-钻石'!X210</f>
        <v>16895796.439506363</v>
      </c>
    </row>
    <row r="211" spans="9:14" x14ac:dyDescent="0.15">
      <c r="I211" s="25">
        <v>208</v>
      </c>
      <c r="J211" s="26">
        <f>'[1]资源-钻石'!T211</f>
        <v>1078226.805963008</v>
      </c>
      <c r="K211" s="26">
        <f>'[1]资源-钻石'!U211</f>
        <v>1538009.4865593091</v>
      </c>
      <c r="L211" s="26">
        <f>'[1]资源-钻石'!V211</f>
        <v>2624504.4352152403</v>
      </c>
      <c r="M211" s="26">
        <f>'[1]资源-钻石'!W211</f>
        <v>7081144.8787367642</v>
      </c>
      <c r="N211" s="26">
        <f>'[1]资源-钻石'!X211</f>
        <v>16976881.866610438</v>
      </c>
    </row>
    <row r="212" spans="9:14" x14ac:dyDescent="0.15">
      <c r="I212" s="25">
        <v>209</v>
      </c>
      <c r="J212" s="26">
        <f>'[1]资源-钻石'!T212</f>
        <v>1083407.7547397839</v>
      </c>
      <c r="K212" s="26">
        <f>'[1]资源-钻石'!U212</f>
        <v>1545388.5302137625</v>
      </c>
      <c r="L212" s="26">
        <f>'[1]资源-钻石'!V212</f>
        <v>2637073.3832351393</v>
      </c>
      <c r="M212" s="26">
        <f>'[1]资源-钻石'!W212</f>
        <v>7114990.7215586528</v>
      </c>
      <c r="N212" s="26">
        <f>'[1]资源-钻石'!X212</f>
        <v>17057967.293714516</v>
      </c>
    </row>
    <row r="213" spans="9:14" x14ac:dyDescent="0.15">
      <c r="I213" s="25">
        <v>210</v>
      </c>
      <c r="J213" s="26">
        <f>'[1]资源-钻石'!T213</f>
        <v>1088588.7035165599</v>
      </c>
      <c r="K213" s="26">
        <f>'[1]资源-钻石'!U213</f>
        <v>1552767.5738682162</v>
      </c>
      <c r="L213" s="26">
        <f>'[1]资源-钻石'!V213</f>
        <v>2649642.3312550383</v>
      </c>
      <c r="M213" s="26">
        <f>'[1]资源-钻石'!W213</f>
        <v>7148836.5643805424</v>
      </c>
      <c r="N213" s="26">
        <f>'[1]资源-钻石'!X213</f>
        <v>17139052.720818594</v>
      </c>
    </row>
    <row r="214" spans="9:14" x14ac:dyDescent="0.15">
      <c r="I214" s="27">
        <v>211</v>
      </c>
      <c r="J214" s="26">
        <f>'[1]资源-钻石'!T214</f>
        <v>1093769.6522933359</v>
      </c>
      <c r="K214" s="26">
        <f>'[1]资源-钻石'!U214</f>
        <v>1560146.6175226697</v>
      </c>
      <c r="L214" s="26">
        <f>'[1]资源-钻石'!V214</f>
        <v>2662211.2792749372</v>
      </c>
      <c r="M214" s="26">
        <f>'[1]资源-钻石'!W214</f>
        <v>7182682.407202431</v>
      </c>
      <c r="N214" s="26">
        <f>'[1]资源-钻石'!X214</f>
        <v>17220138.147922672</v>
      </c>
    </row>
    <row r="215" spans="9:14" x14ac:dyDescent="0.15">
      <c r="I215" s="27">
        <v>212</v>
      </c>
      <c r="J215" s="26">
        <f>'[1]资源-钻石'!T215</f>
        <v>1098950.6010701121</v>
      </c>
      <c r="K215" s="26">
        <f>'[1]资源-钻石'!U215</f>
        <v>1567525.6611771234</v>
      </c>
      <c r="L215" s="26">
        <f>'[1]资源-钻石'!V215</f>
        <v>2674780.2272948362</v>
      </c>
      <c r="M215" s="26">
        <f>'[1]资源-钻石'!W215</f>
        <v>7216528.2500243196</v>
      </c>
      <c r="N215" s="26">
        <f>'[1]资源-钻石'!X215</f>
        <v>17301223.575026751</v>
      </c>
    </row>
    <row r="216" spans="9:14" x14ac:dyDescent="0.15">
      <c r="I216" s="25">
        <v>213</v>
      </c>
      <c r="J216" s="26">
        <f>'[1]资源-钻石'!T216</f>
        <v>1104131.5498468881</v>
      </c>
      <c r="K216" s="26">
        <f>'[1]资源-钻石'!U216</f>
        <v>1574904.7048315771</v>
      </c>
      <c r="L216" s="26">
        <f>'[1]资源-钻石'!V216</f>
        <v>2687349.1753147352</v>
      </c>
      <c r="M216" s="26">
        <f>'[1]资源-钻石'!W216</f>
        <v>7250374.0928462092</v>
      </c>
      <c r="N216" s="26">
        <f>'[1]资源-钻石'!X216</f>
        <v>17382309.002130829</v>
      </c>
    </row>
    <row r="217" spans="9:14" x14ac:dyDescent="0.15">
      <c r="I217" s="25">
        <v>214</v>
      </c>
      <c r="J217" s="26">
        <f>'[1]资源-钻石'!T217</f>
        <v>1109312.498623664</v>
      </c>
      <c r="K217" s="26">
        <f>'[1]资源-钻石'!U217</f>
        <v>1582283.7484860306</v>
      </c>
      <c r="L217" s="26">
        <f>'[1]资源-钻石'!V217</f>
        <v>2699918.1233346341</v>
      </c>
      <c r="M217" s="26">
        <f>'[1]资源-钻石'!W217</f>
        <v>7284219.9356680978</v>
      </c>
      <c r="N217" s="26">
        <f>'[1]资源-钻石'!X217</f>
        <v>17463394.429234907</v>
      </c>
    </row>
    <row r="218" spans="9:14" x14ac:dyDescent="0.15">
      <c r="I218" s="25">
        <v>215</v>
      </c>
      <c r="J218" s="26">
        <f>'[1]资源-钻石'!T218</f>
        <v>1114493.44740044</v>
      </c>
      <c r="K218" s="26">
        <f>'[1]资源-钻石'!U218</f>
        <v>1589662.7921404843</v>
      </c>
      <c r="L218" s="26">
        <f>'[1]资源-钻石'!V218</f>
        <v>2712487.0713545331</v>
      </c>
      <c r="M218" s="26">
        <f>'[1]资源-钻石'!W218</f>
        <v>7318065.7784899864</v>
      </c>
      <c r="N218" s="26">
        <f>'[1]资源-钻石'!X218</f>
        <v>17544479.856338982</v>
      </c>
    </row>
    <row r="219" spans="9:14" x14ac:dyDescent="0.15">
      <c r="I219" s="25">
        <v>216</v>
      </c>
      <c r="J219" s="26">
        <f>'[1]资源-钻石'!T219</f>
        <v>1119674.3961772162</v>
      </c>
      <c r="K219" s="26">
        <f>'[1]资源-钻石'!U219</f>
        <v>1597041.835794938</v>
      </c>
      <c r="L219" s="26">
        <f>'[1]资源-钻石'!V219</f>
        <v>2725056.019374432</v>
      </c>
      <c r="M219" s="26">
        <f>'[1]资源-钻石'!W219</f>
        <v>7351911.6213118751</v>
      </c>
      <c r="N219" s="26">
        <f>'[1]资源-钻石'!X219</f>
        <v>17625565.28344306</v>
      </c>
    </row>
    <row r="220" spans="9:14" x14ac:dyDescent="0.15">
      <c r="I220" s="27">
        <v>217</v>
      </c>
      <c r="J220" s="26">
        <f>'[1]资源-钻石'!T220</f>
        <v>1124855.3449539922</v>
      </c>
      <c r="K220" s="26">
        <f>'[1]资源-钻石'!U220</f>
        <v>1604420.8794493915</v>
      </c>
      <c r="L220" s="26">
        <f>'[1]资源-钻石'!V220</f>
        <v>2737624.967394331</v>
      </c>
      <c r="M220" s="26">
        <f>'[1]资源-钻石'!W220</f>
        <v>7385757.4641337646</v>
      </c>
      <c r="N220" s="26">
        <f>'[1]资源-钻石'!X220</f>
        <v>17706650.710547138</v>
      </c>
    </row>
    <row r="221" spans="9:14" x14ac:dyDescent="0.15">
      <c r="I221" s="27">
        <v>218</v>
      </c>
      <c r="J221" s="26">
        <f>'[1]资源-钻石'!T221</f>
        <v>1130036.2937307681</v>
      </c>
      <c r="K221" s="26">
        <f>'[1]资源-钻石'!U221</f>
        <v>1611799.9231038452</v>
      </c>
      <c r="L221" s="26">
        <f>'[1]资源-钻石'!V221</f>
        <v>2750193.91541423</v>
      </c>
      <c r="M221" s="26">
        <f>'[1]资源-钻石'!W221</f>
        <v>7419603.3069556532</v>
      </c>
      <c r="N221" s="26">
        <f>'[1]资源-钻石'!X221</f>
        <v>17787736.137651216</v>
      </c>
    </row>
    <row r="222" spans="9:14" x14ac:dyDescent="0.15">
      <c r="I222" s="25">
        <v>219</v>
      </c>
      <c r="J222" s="26">
        <f>'[1]资源-钻石'!T222</f>
        <v>1135217.2425075441</v>
      </c>
      <c r="K222" s="26">
        <f>'[1]资源-钻石'!U222</f>
        <v>1619178.9667582989</v>
      </c>
      <c r="L222" s="26">
        <f>'[1]资源-钻石'!V222</f>
        <v>2762762.8634341289</v>
      </c>
      <c r="M222" s="26">
        <f>'[1]资源-钻石'!W222</f>
        <v>7453449.1497775419</v>
      </c>
      <c r="N222" s="26">
        <f>'[1]资源-钻石'!X222</f>
        <v>17868821.564755294</v>
      </c>
    </row>
    <row r="223" spans="9:14" x14ac:dyDescent="0.15">
      <c r="I223" s="25">
        <v>220</v>
      </c>
      <c r="J223" s="26">
        <f>'[1]资源-钻石'!T223</f>
        <v>1140398.1912843203</v>
      </c>
      <c r="K223" s="26">
        <f>'[1]资源-钻石'!U223</f>
        <v>1626558.0104127524</v>
      </c>
      <c r="L223" s="26">
        <f>'[1]资源-钻石'!V223</f>
        <v>2775331.8114540279</v>
      </c>
      <c r="M223" s="26">
        <f>'[1]资源-钻石'!W223</f>
        <v>7487294.9925994305</v>
      </c>
      <c r="N223" s="26">
        <f>'[1]资源-钻石'!X223</f>
        <v>17949906.991859373</v>
      </c>
    </row>
    <row r="224" spans="9:14" x14ac:dyDescent="0.15">
      <c r="I224" s="25">
        <v>221</v>
      </c>
      <c r="J224" s="26">
        <f>'[1]资源-钻石'!T224</f>
        <v>1145579.1400610963</v>
      </c>
      <c r="K224" s="26">
        <f>'[1]资源-钻石'!U224</f>
        <v>1633937.0540672061</v>
      </c>
      <c r="L224" s="26">
        <f>'[1]资源-钻石'!V224</f>
        <v>2787900.7594739269</v>
      </c>
      <c r="M224" s="26">
        <f>'[1]资源-钻石'!W224</f>
        <v>7521140.8354213201</v>
      </c>
      <c r="N224" s="26">
        <f>'[1]资源-钻石'!X224</f>
        <v>18030992.418963451</v>
      </c>
    </row>
    <row r="225" spans="9:14" x14ac:dyDescent="0.15">
      <c r="I225" s="25">
        <v>222</v>
      </c>
      <c r="J225" s="26">
        <f>'[1]资源-钻石'!T225</f>
        <v>1150760.0888378723</v>
      </c>
      <c r="K225" s="26">
        <f>'[1]资源-钻石'!U225</f>
        <v>1641316.0977216596</v>
      </c>
      <c r="L225" s="26">
        <f>'[1]资源-钻石'!V225</f>
        <v>2800469.7074938258</v>
      </c>
      <c r="M225" s="26">
        <f>'[1]资源-钻石'!W225</f>
        <v>7554986.6782432087</v>
      </c>
      <c r="N225" s="26">
        <f>'[1]资源-钻石'!X225</f>
        <v>18112077.846067525</v>
      </c>
    </row>
    <row r="226" spans="9:14" x14ac:dyDescent="0.15">
      <c r="I226" s="27">
        <v>223</v>
      </c>
      <c r="J226" s="26">
        <f>'[1]资源-钻石'!T226</f>
        <v>1155941.0376146482</v>
      </c>
      <c r="K226" s="26">
        <f>'[1]资源-钻石'!U226</f>
        <v>1648695.1413761133</v>
      </c>
      <c r="L226" s="26">
        <f>'[1]资源-钻石'!V226</f>
        <v>2813038.6555137248</v>
      </c>
      <c r="M226" s="26">
        <f>'[1]资源-钻石'!W226</f>
        <v>7588832.5210650973</v>
      </c>
      <c r="N226" s="26">
        <f>'[1]资源-钻石'!X226</f>
        <v>18193163.273171604</v>
      </c>
    </row>
    <row r="227" spans="9:14" x14ac:dyDescent="0.15">
      <c r="I227" s="27">
        <v>224</v>
      </c>
      <c r="J227" s="26">
        <f>'[1]资源-钻石'!T227</f>
        <v>1161121.9863914244</v>
      </c>
      <c r="K227" s="26">
        <f>'[1]资源-钻石'!U227</f>
        <v>1656074.185030567</v>
      </c>
      <c r="L227" s="26">
        <f>'[1]资源-钻石'!V227</f>
        <v>2825607.6035336237</v>
      </c>
      <c r="M227" s="26">
        <f>'[1]资源-钻石'!W227</f>
        <v>7622678.3638869859</v>
      </c>
      <c r="N227" s="26">
        <f>'[1]资源-钻石'!X227</f>
        <v>18274248.700275682</v>
      </c>
    </row>
    <row r="228" spans="9:14" x14ac:dyDescent="0.15">
      <c r="I228" s="25">
        <v>225</v>
      </c>
      <c r="J228" s="26">
        <f>'[1]资源-钻石'!T228</f>
        <v>1166302.9351682004</v>
      </c>
      <c r="K228" s="26">
        <f>'[1]资源-钻石'!U228</f>
        <v>1663453.2286850205</v>
      </c>
      <c r="L228" s="26">
        <f>'[1]资源-钻石'!V228</f>
        <v>2838176.5515535227</v>
      </c>
      <c r="M228" s="26">
        <f>'[1]资源-钻石'!W228</f>
        <v>7656524.2067088755</v>
      </c>
      <c r="N228" s="26">
        <f>'[1]资源-钻石'!X228</f>
        <v>18355334.12737976</v>
      </c>
    </row>
    <row r="229" spans="9:14" x14ac:dyDescent="0.15">
      <c r="I229" s="25">
        <v>226</v>
      </c>
      <c r="J229" s="26">
        <f>'[1]资源-钻石'!T229</f>
        <v>1171483.8839449764</v>
      </c>
      <c r="K229" s="26">
        <f>'[1]资源-钻石'!U229</f>
        <v>1670832.2723394742</v>
      </c>
      <c r="L229" s="26">
        <f>'[1]资源-钻石'!V229</f>
        <v>2850745.4995734217</v>
      </c>
      <c r="M229" s="26">
        <f>'[1]资源-钻石'!W229</f>
        <v>7690370.0495307641</v>
      </c>
      <c r="N229" s="26">
        <f>'[1]资源-钻石'!X229</f>
        <v>18436419.554483838</v>
      </c>
    </row>
    <row r="230" spans="9:14" x14ac:dyDescent="0.15">
      <c r="I230" s="25">
        <v>227</v>
      </c>
      <c r="J230" s="26">
        <f>'[1]资源-钻石'!T230</f>
        <v>1176664.8327217523</v>
      </c>
      <c r="K230" s="26">
        <f>'[1]资源-钻石'!U230</f>
        <v>1678211.3159939279</v>
      </c>
      <c r="L230" s="26">
        <f>'[1]资源-钻石'!V230</f>
        <v>2863314.4475933206</v>
      </c>
      <c r="M230" s="26">
        <f>'[1]资源-钻石'!W230</f>
        <v>7724215.8923526527</v>
      </c>
      <c r="N230" s="26">
        <f>'[1]资源-钻石'!X230</f>
        <v>18517504.981587917</v>
      </c>
    </row>
    <row r="231" spans="9:14" x14ac:dyDescent="0.15">
      <c r="I231" s="25">
        <v>228</v>
      </c>
      <c r="J231" s="26">
        <f>'[1]资源-钻石'!T231</f>
        <v>1181845.7814985283</v>
      </c>
      <c r="K231" s="26">
        <f>'[1]资源-钻石'!U231</f>
        <v>1685590.3596483814</v>
      </c>
      <c r="L231" s="26">
        <f>'[1]资源-钻石'!V231</f>
        <v>2875883.3956132196</v>
      </c>
      <c r="M231" s="26">
        <f>'[1]资源-钻石'!W231</f>
        <v>7758061.7351745423</v>
      </c>
      <c r="N231" s="26">
        <f>'[1]资源-钻石'!X231</f>
        <v>18598590.408691995</v>
      </c>
    </row>
    <row r="232" spans="9:14" x14ac:dyDescent="0.15">
      <c r="I232" s="27">
        <v>229</v>
      </c>
      <c r="J232" s="26">
        <f>'[1]资源-钻石'!T232</f>
        <v>1187026.7302753043</v>
      </c>
      <c r="K232" s="26">
        <f>'[1]资源-钻石'!U232</f>
        <v>1692969.4033028351</v>
      </c>
      <c r="L232" s="26">
        <f>'[1]资源-钻石'!V232</f>
        <v>2888452.3436331186</v>
      </c>
      <c r="M232" s="26">
        <f>'[1]资源-钻石'!W232</f>
        <v>7791907.5779964309</v>
      </c>
      <c r="N232" s="26">
        <f>'[1]资源-钻石'!X232</f>
        <v>18679675.835796073</v>
      </c>
    </row>
    <row r="233" spans="9:14" x14ac:dyDescent="0.15">
      <c r="I233" s="27">
        <v>230</v>
      </c>
      <c r="J233" s="26">
        <f>'[1]资源-钻石'!T233</f>
        <v>1192207.6790520805</v>
      </c>
      <c r="K233" s="26">
        <f>'[1]资源-钻石'!U233</f>
        <v>1700348.4469572885</v>
      </c>
      <c r="L233" s="26">
        <f>'[1]资源-钻石'!V233</f>
        <v>2901021.2916530175</v>
      </c>
      <c r="M233" s="26">
        <f>'[1]资源-钻石'!W233</f>
        <v>7825753.4208183195</v>
      </c>
      <c r="N233" s="26">
        <f>'[1]资源-钻石'!X233</f>
        <v>18760761.262900148</v>
      </c>
    </row>
    <row r="234" spans="9:14" x14ac:dyDescent="0.15">
      <c r="I234" s="25">
        <v>231</v>
      </c>
      <c r="J234" s="26">
        <f>'[1]资源-钻石'!T234</f>
        <v>1197388.6278288565</v>
      </c>
      <c r="K234" s="26">
        <f>'[1]资源-钻石'!U234</f>
        <v>1707727.4906117423</v>
      </c>
      <c r="L234" s="26">
        <f>'[1]资源-钻石'!V234</f>
        <v>2913590.2396729165</v>
      </c>
      <c r="M234" s="26">
        <f>'[1]资源-钻石'!W234</f>
        <v>7859599.2636402082</v>
      </c>
      <c r="N234" s="26">
        <f>'[1]资源-钻石'!X234</f>
        <v>18841846.690004226</v>
      </c>
    </row>
    <row r="235" spans="9:14" x14ac:dyDescent="0.15">
      <c r="I235" s="25">
        <v>232</v>
      </c>
      <c r="J235" s="26">
        <f>'[1]资源-钻石'!T235</f>
        <v>1202569.5766056324</v>
      </c>
      <c r="K235" s="26">
        <f>'[1]资源-钻石'!U235</f>
        <v>1715106.534266196</v>
      </c>
      <c r="L235" s="26">
        <f>'[1]资源-钻石'!V235</f>
        <v>2926159.1876928154</v>
      </c>
      <c r="M235" s="26">
        <f>'[1]资源-钻石'!W235</f>
        <v>7893445.1064620977</v>
      </c>
      <c r="N235" s="26">
        <f>'[1]资源-钻石'!X235</f>
        <v>18922932.117108304</v>
      </c>
    </row>
    <row r="236" spans="9:14" x14ac:dyDescent="0.15">
      <c r="I236" s="25">
        <v>233</v>
      </c>
      <c r="J236" s="26">
        <f>'[1]资源-钻石'!T236</f>
        <v>1207750.5253824084</v>
      </c>
      <c r="K236" s="26">
        <f>'[1]资源-钻石'!U236</f>
        <v>1722485.5779206494</v>
      </c>
      <c r="L236" s="26">
        <f>'[1]资源-钻石'!V236</f>
        <v>2938728.1357127144</v>
      </c>
      <c r="M236" s="26">
        <f>'[1]资源-钻石'!W236</f>
        <v>7927290.9492839864</v>
      </c>
      <c r="N236" s="26">
        <f>'[1]资源-钻石'!X236</f>
        <v>19004017.544212382</v>
      </c>
    </row>
    <row r="237" spans="9:14" x14ac:dyDescent="0.15">
      <c r="I237" s="25">
        <v>234</v>
      </c>
      <c r="J237" s="26">
        <f>'[1]资源-钻石'!T237</f>
        <v>1212931.4741591844</v>
      </c>
      <c r="K237" s="26">
        <f>'[1]资源-钻石'!U237</f>
        <v>1729864.6215751031</v>
      </c>
      <c r="L237" s="26">
        <f>'[1]资源-钻石'!V237</f>
        <v>2951297.0837326134</v>
      </c>
      <c r="M237" s="26">
        <f>'[1]资源-钻石'!W237</f>
        <v>7961136.792105875</v>
      </c>
      <c r="N237" s="26">
        <f>'[1]资源-钻石'!X237</f>
        <v>19085102.971316461</v>
      </c>
    </row>
    <row r="238" spans="9:14" x14ac:dyDescent="0.15">
      <c r="I238" s="27">
        <v>235</v>
      </c>
      <c r="J238" s="26">
        <f>'[1]资源-钻石'!T238</f>
        <v>1218112.4229359603</v>
      </c>
      <c r="K238" s="26">
        <f>'[1]资源-钻石'!U238</f>
        <v>1737243.6652295566</v>
      </c>
      <c r="L238" s="26">
        <f>'[1]资源-钻石'!V238</f>
        <v>2963866.0317525128</v>
      </c>
      <c r="M238" s="26">
        <f>'[1]资源-钻石'!W238</f>
        <v>7994982.6349277645</v>
      </c>
      <c r="N238" s="26">
        <f>'[1]资源-钻石'!X238</f>
        <v>19166188.398420539</v>
      </c>
    </row>
    <row r="239" spans="9:14" x14ac:dyDescent="0.15">
      <c r="I239" s="27">
        <v>236</v>
      </c>
      <c r="J239" s="26">
        <f>'[1]资源-钻石'!T239</f>
        <v>1223293.3717127363</v>
      </c>
      <c r="K239" s="26">
        <f>'[1]资源-钻石'!U239</f>
        <v>1744622.7088840103</v>
      </c>
      <c r="L239" s="26">
        <f>'[1]资源-钻石'!V239</f>
        <v>2976434.9797724113</v>
      </c>
      <c r="M239" s="26">
        <f>'[1]资源-钻石'!W239</f>
        <v>8028828.4777496532</v>
      </c>
      <c r="N239" s="26">
        <f>'[1]资源-钻石'!X239</f>
        <v>19247273.825524617</v>
      </c>
    </row>
    <row r="240" spans="9:14" x14ac:dyDescent="0.15">
      <c r="I240" s="25">
        <v>237</v>
      </c>
      <c r="J240" s="26">
        <f>'[1]资源-钻石'!T240</f>
        <v>1228474.3204895125</v>
      </c>
      <c r="K240" s="26">
        <f>'[1]资源-钻石'!U240</f>
        <v>1752001.752538464</v>
      </c>
      <c r="L240" s="26">
        <f>'[1]资源-钻石'!V240</f>
        <v>2989003.9277923107</v>
      </c>
      <c r="M240" s="26">
        <f>'[1]资源-钻石'!W240</f>
        <v>8062674.3205715418</v>
      </c>
      <c r="N240" s="26">
        <f>'[1]资源-钻石'!X240</f>
        <v>19328359.252628691</v>
      </c>
    </row>
    <row r="241" spans="9:14" x14ac:dyDescent="0.15">
      <c r="I241" s="25">
        <v>238</v>
      </c>
      <c r="J241" s="26">
        <f>'[1]资源-钻石'!T241</f>
        <v>1233655.2692662885</v>
      </c>
      <c r="K241" s="26">
        <f>'[1]资源-钻石'!U241</f>
        <v>1759380.7961929175</v>
      </c>
      <c r="L241" s="26">
        <f>'[1]资源-钻石'!V241</f>
        <v>3001572.8758122097</v>
      </c>
      <c r="M241" s="26">
        <f>'[1]资源-钻石'!W241</f>
        <v>8096520.1633934304</v>
      </c>
      <c r="N241" s="26">
        <f>'[1]资源-钻石'!X241</f>
        <v>19409444.67973277</v>
      </c>
    </row>
    <row r="242" spans="9:14" x14ac:dyDescent="0.15">
      <c r="I242" s="25">
        <v>239</v>
      </c>
      <c r="J242" s="26">
        <f>'[1]资源-钻石'!T242</f>
        <v>1238836.2180430645</v>
      </c>
      <c r="K242" s="26">
        <f>'[1]资源-钻石'!U242</f>
        <v>1766759.8398473712</v>
      </c>
      <c r="L242" s="26">
        <f>'[1]资源-钻石'!V242</f>
        <v>3014141.8238321086</v>
      </c>
      <c r="M242" s="26">
        <f>'[1]资源-钻石'!W242</f>
        <v>8130366.00621532</v>
      </c>
      <c r="N242" s="26">
        <f>'[1]资源-钻石'!X242</f>
        <v>19490530.106836848</v>
      </c>
    </row>
    <row r="243" spans="9:14" x14ac:dyDescent="0.15">
      <c r="I243" s="25">
        <v>240</v>
      </c>
      <c r="J243" s="26">
        <f>'[1]资源-钻石'!T243</f>
        <v>1244017.1668198404</v>
      </c>
      <c r="K243" s="26">
        <f>'[1]资源-钻石'!U243</f>
        <v>1774138.8835018247</v>
      </c>
      <c r="L243" s="26">
        <f>'[1]资源-钻石'!V243</f>
        <v>3026710.7718520076</v>
      </c>
      <c r="M243" s="26">
        <f>'[1]资源-钻石'!W243</f>
        <v>8164211.8490372086</v>
      </c>
      <c r="N243" s="26">
        <f>'[1]资源-钻石'!X243</f>
        <v>19571615.533940926</v>
      </c>
    </row>
    <row r="244" spans="9:14" x14ac:dyDescent="0.15">
      <c r="I244" s="27">
        <v>241</v>
      </c>
      <c r="J244" s="26">
        <f>'[1]资源-钻石'!T244</f>
        <v>1249198.1155966164</v>
      </c>
      <c r="K244" s="26">
        <f>'[1]资源-钻石'!U244</f>
        <v>1781517.9271562784</v>
      </c>
      <c r="L244" s="26">
        <f>'[1]资源-钻石'!V244</f>
        <v>3039279.7198719066</v>
      </c>
      <c r="M244" s="26">
        <f>'[1]资源-钻石'!W244</f>
        <v>8198057.6918590972</v>
      </c>
      <c r="N244" s="26">
        <f>'[1]资源-钻石'!X244</f>
        <v>19652700.961045004</v>
      </c>
    </row>
    <row r="245" spans="9:14" x14ac:dyDescent="0.15">
      <c r="I245" s="27">
        <v>242</v>
      </c>
      <c r="J245" s="26">
        <f>'[1]资源-钻石'!T245</f>
        <v>1254379.0643733926</v>
      </c>
      <c r="K245" s="26">
        <f>'[1]资源-钻石'!U245</f>
        <v>1788896.9708107321</v>
      </c>
      <c r="L245" s="26">
        <f>'[1]资源-钻石'!V245</f>
        <v>3051848.6678918055</v>
      </c>
      <c r="M245" s="26">
        <f>'[1]资源-钻石'!W245</f>
        <v>8231903.5346809868</v>
      </c>
      <c r="N245" s="26">
        <f>'[1]资源-钻石'!X245</f>
        <v>19733786.388149083</v>
      </c>
    </row>
    <row r="246" spans="9:14" x14ac:dyDescent="0.15">
      <c r="I246" s="25">
        <v>243</v>
      </c>
      <c r="J246" s="26">
        <f>'[1]资源-钻石'!T246</f>
        <v>1259560.0131501686</v>
      </c>
      <c r="K246" s="26">
        <f>'[1]资源-钻石'!U246</f>
        <v>1796276.0144651856</v>
      </c>
      <c r="L246" s="26">
        <f>'[1]资源-钻石'!V246</f>
        <v>3064417.6159117045</v>
      </c>
      <c r="M246" s="26">
        <f>'[1]资源-钻石'!W246</f>
        <v>8265749.3775028754</v>
      </c>
      <c r="N246" s="26">
        <f>'[1]资源-钻石'!X246</f>
        <v>19814871.815253161</v>
      </c>
    </row>
    <row r="247" spans="9:14" x14ac:dyDescent="0.15">
      <c r="I247" s="25">
        <v>244</v>
      </c>
      <c r="J247" s="26">
        <f>'[1]资源-钻石'!T247</f>
        <v>1264740.9619269446</v>
      </c>
      <c r="K247" s="26">
        <f>'[1]资源-钻石'!U247</f>
        <v>1803655.0581196393</v>
      </c>
      <c r="L247" s="26">
        <f>'[1]资源-钻石'!V247</f>
        <v>3076986.5639316035</v>
      </c>
      <c r="M247" s="26">
        <f>'[1]资源-钻石'!W247</f>
        <v>8299595.220324764</v>
      </c>
      <c r="N247" s="26">
        <f>'[1]资源-钻石'!X247</f>
        <v>19895957.242357239</v>
      </c>
    </row>
    <row r="248" spans="9:14" x14ac:dyDescent="0.15">
      <c r="I248" s="25">
        <v>245</v>
      </c>
      <c r="J248" s="26">
        <f>'[1]资源-钻石'!T248</f>
        <v>1269921.9107037205</v>
      </c>
      <c r="K248" s="26">
        <f>'[1]资源-钻石'!U248</f>
        <v>1811034.1017740928</v>
      </c>
      <c r="L248" s="26">
        <f>'[1]资源-钻石'!V248</f>
        <v>3089555.5119515024</v>
      </c>
      <c r="M248" s="26">
        <f>'[1]资源-钻石'!W248</f>
        <v>8333441.0631466527</v>
      </c>
      <c r="N248" s="26">
        <f>'[1]资源-钻石'!X248</f>
        <v>19977042.669461317</v>
      </c>
    </row>
    <row r="249" spans="9:14" x14ac:dyDescent="0.15">
      <c r="I249" s="25">
        <v>246</v>
      </c>
      <c r="J249" s="26">
        <f>'[1]资源-钻石'!T249</f>
        <v>1275102.8594804965</v>
      </c>
      <c r="K249" s="26">
        <f>'[1]资源-钻石'!U249</f>
        <v>1818413.1454285465</v>
      </c>
      <c r="L249" s="26">
        <f>'[1]资源-钻石'!V249</f>
        <v>3102124.4599714014</v>
      </c>
      <c r="M249" s="26">
        <f>'[1]资源-钻石'!W249</f>
        <v>8367286.9059685422</v>
      </c>
      <c r="N249" s="26">
        <f>'[1]资源-钻石'!X249</f>
        <v>20058128.096565392</v>
      </c>
    </row>
    <row r="250" spans="9:14" x14ac:dyDescent="0.15">
      <c r="I250" s="27">
        <v>247</v>
      </c>
      <c r="J250" s="26">
        <f>'[1]资源-钻石'!T250</f>
        <v>1280283.8082572725</v>
      </c>
      <c r="K250" s="26">
        <f>'[1]资源-钻石'!U250</f>
        <v>1825792.1890830002</v>
      </c>
      <c r="L250" s="26">
        <f>'[1]资源-钻石'!V250</f>
        <v>3114693.4079913003</v>
      </c>
      <c r="M250" s="26">
        <f>'[1]资源-钻石'!W250</f>
        <v>8401132.7487904299</v>
      </c>
      <c r="N250" s="26">
        <f>'[1]资源-钻石'!X250</f>
        <v>20139213.52366947</v>
      </c>
    </row>
    <row r="251" spans="9:14" x14ac:dyDescent="0.15">
      <c r="I251" s="27">
        <v>248</v>
      </c>
      <c r="J251" s="26">
        <f>'[1]资源-钻石'!T251</f>
        <v>1285464.7570340487</v>
      </c>
      <c r="K251" s="26">
        <f>'[1]资源-钻石'!U251</f>
        <v>1833171.2327374537</v>
      </c>
      <c r="L251" s="26">
        <f>'[1]资源-钻石'!V251</f>
        <v>3127262.3560111993</v>
      </c>
      <c r="M251" s="26">
        <f>'[1]资源-钻石'!W251</f>
        <v>8434978.5916123204</v>
      </c>
      <c r="N251" s="26">
        <f>'[1]资源-钻石'!X251</f>
        <v>20220298.950773548</v>
      </c>
    </row>
    <row r="252" spans="9:14" x14ac:dyDescent="0.15">
      <c r="I252" s="25">
        <v>249</v>
      </c>
      <c r="J252" s="26">
        <f>'[1]资源-钻石'!T252</f>
        <v>1290645.7058108246</v>
      </c>
      <c r="K252" s="26">
        <f>'[1]资源-钻石'!U252</f>
        <v>1840550.2763919074</v>
      </c>
      <c r="L252" s="26">
        <f>'[1]资源-钻石'!V252</f>
        <v>3139831.3040310983</v>
      </c>
      <c r="M252" s="26">
        <f>'[1]资源-钻石'!W252</f>
        <v>8468824.434434209</v>
      </c>
      <c r="N252" s="26">
        <f>'[1]资源-钻石'!X252</f>
        <v>20301384.377877627</v>
      </c>
    </row>
    <row r="253" spans="9:14" x14ac:dyDescent="0.15">
      <c r="I253" s="25">
        <v>250</v>
      </c>
      <c r="J253" s="26">
        <f>'[1]资源-钻石'!T253</f>
        <v>1295826.6545876006</v>
      </c>
      <c r="K253" s="26">
        <f>'[1]资源-钻石'!U253</f>
        <v>1847929.3200463608</v>
      </c>
      <c r="L253" s="26">
        <f>'[1]资源-钻石'!V253</f>
        <v>3152400.2520509972</v>
      </c>
      <c r="M253" s="26">
        <f>'[1]资源-钻石'!W253</f>
        <v>8502670.2772560976</v>
      </c>
      <c r="N253" s="26">
        <f>'[1]资源-钻石'!X253</f>
        <v>20382469.804981705</v>
      </c>
    </row>
    <row r="254" spans="9:14" x14ac:dyDescent="0.15">
      <c r="I254" s="25">
        <v>251</v>
      </c>
      <c r="J254" s="26">
        <f>'[1]资源-钻石'!T254</f>
        <v>1301007.6033643766</v>
      </c>
      <c r="K254" s="26">
        <f>'[1]资源-钻石'!U254</f>
        <v>1855308.3637008145</v>
      </c>
      <c r="L254" s="26">
        <f>'[1]资源-钻石'!V254</f>
        <v>3164969.2000708962</v>
      </c>
      <c r="M254" s="26">
        <f>'[1]资源-钻石'!W254</f>
        <v>8536516.1200779863</v>
      </c>
      <c r="N254" s="26">
        <f>'[1]资源-钻石'!X254</f>
        <v>20463555.232085783</v>
      </c>
    </row>
    <row r="255" spans="9:14" x14ac:dyDescent="0.15">
      <c r="I255" s="25">
        <v>252</v>
      </c>
      <c r="J255" s="26">
        <f>'[1]资源-钻石'!T255</f>
        <v>1306188.5521411526</v>
      </c>
      <c r="K255" s="26">
        <f>'[1]资源-钻石'!U255</f>
        <v>1862687.4073552683</v>
      </c>
      <c r="L255" s="26">
        <f>'[1]资源-钻石'!V255</f>
        <v>3177538.1480907951</v>
      </c>
      <c r="M255" s="26">
        <f>'[1]资源-钻石'!W255</f>
        <v>8570361.9628998749</v>
      </c>
      <c r="N255" s="26">
        <f>'[1]资源-钻石'!X255</f>
        <v>20544640.659189861</v>
      </c>
    </row>
    <row r="256" spans="9:14" x14ac:dyDescent="0.15">
      <c r="I256" s="27">
        <v>253</v>
      </c>
      <c r="J256" s="26">
        <f>'[1]资源-钻石'!T256</f>
        <v>1311369.5009179288</v>
      </c>
      <c r="K256" s="26">
        <f>'[1]资源-钻石'!U256</f>
        <v>1870066.4510097217</v>
      </c>
      <c r="L256" s="26">
        <f>'[1]资源-钻石'!V256</f>
        <v>3190107.0961106941</v>
      </c>
      <c r="M256" s="26">
        <f>'[1]资源-钻石'!W256</f>
        <v>8604207.8057217635</v>
      </c>
      <c r="N256" s="26">
        <f>'[1]资源-钻石'!X256</f>
        <v>20625726.08629394</v>
      </c>
    </row>
    <row r="257" spans="9:14" x14ac:dyDescent="0.15">
      <c r="I257" s="27">
        <v>254</v>
      </c>
      <c r="J257" s="26">
        <f>'[1]资源-钻石'!T257</f>
        <v>1316550.4496947047</v>
      </c>
      <c r="K257" s="26">
        <f>'[1]资源-钻石'!U257</f>
        <v>1877445.4946641754</v>
      </c>
      <c r="L257" s="26">
        <f>'[1]资源-钻石'!V257</f>
        <v>3202676.0441305931</v>
      </c>
      <c r="M257" s="26">
        <f>'[1]资源-钻石'!W257</f>
        <v>8638053.6485436521</v>
      </c>
      <c r="N257" s="26">
        <f>'[1]资源-钻石'!X257</f>
        <v>20706811.513398018</v>
      </c>
    </row>
    <row r="258" spans="9:14" x14ac:dyDescent="0.15">
      <c r="I258" s="25">
        <v>255</v>
      </c>
      <c r="J258" s="26">
        <f>'[1]资源-钻石'!T258</f>
        <v>1321731.3984714807</v>
      </c>
      <c r="K258" s="26">
        <f>'[1]资源-钻石'!U258</f>
        <v>1884824.5383186289</v>
      </c>
      <c r="L258" s="26">
        <f>'[1]资源-钻石'!V258</f>
        <v>3215244.992150492</v>
      </c>
      <c r="M258" s="26">
        <f>'[1]资源-钻石'!W258</f>
        <v>8671899.4913655408</v>
      </c>
      <c r="N258" s="26">
        <f>'[1]资源-钻石'!X258</f>
        <v>20787896.940502092</v>
      </c>
    </row>
    <row r="259" spans="9:14" x14ac:dyDescent="0.15">
      <c r="I259" s="25">
        <v>256</v>
      </c>
      <c r="J259" s="26">
        <f>'[1]资源-钻石'!T259</f>
        <v>1326912.3472482567</v>
      </c>
      <c r="K259" s="26">
        <f>'[1]资源-钻石'!U259</f>
        <v>1892203.5819730826</v>
      </c>
      <c r="L259" s="26">
        <f>'[1]资源-钻石'!V259</f>
        <v>3227813.940170391</v>
      </c>
      <c r="M259" s="26">
        <f>'[1]资源-钻石'!W259</f>
        <v>8705745.3341874313</v>
      </c>
      <c r="N259" s="26">
        <f>'[1]资源-钻石'!X259</f>
        <v>20868982.36760617</v>
      </c>
    </row>
    <row r="260" spans="9:14" x14ac:dyDescent="0.15">
      <c r="I260" s="25">
        <v>257</v>
      </c>
      <c r="J260" s="26">
        <f>'[1]资源-钻石'!T260</f>
        <v>1332093.2960250329</v>
      </c>
      <c r="K260" s="26">
        <f>'[1]资源-钻石'!U260</f>
        <v>1899582.6256275363</v>
      </c>
      <c r="L260" s="26">
        <f>'[1]资源-钻石'!V260</f>
        <v>3240382.88819029</v>
      </c>
      <c r="M260" s="26">
        <f>'[1]资源-钻石'!W260</f>
        <v>8739591.1770093199</v>
      </c>
      <c r="N260" s="26">
        <f>'[1]资源-钻石'!X260</f>
        <v>20950067.794710249</v>
      </c>
    </row>
    <row r="261" spans="9:14" x14ac:dyDescent="0.15">
      <c r="I261" s="25">
        <v>258</v>
      </c>
      <c r="J261" s="26">
        <f>'[1]资源-钻石'!T261</f>
        <v>1337274.2448018088</v>
      </c>
      <c r="K261" s="26">
        <f>'[1]资源-钻石'!U261</f>
        <v>1906961.6692819898</v>
      </c>
      <c r="L261" s="26">
        <f>'[1]资源-钻石'!V261</f>
        <v>3252951.8362101889</v>
      </c>
      <c r="M261" s="26">
        <f>'[1]资源-钻石'!W261</f>
        <v>8773437.0198312085</v>
      </c>
      <c r="N261" s="26">
        <f>'[1]资源-钻石'!X261</f>
        <v>21031153.221814327</v>
      </c>
    </row>
    <row r="262" spans="9:14" x14ac:dyDescent="0.15">
      <c r="I262" s="27">
        <v>259</v>
      </c>
      <c r="J262" s="26">
        <f>'[1]资源-钻石'!T262</f>
        <v>1342455.1935785848</v>
      </c>
      <c r="K262" s="26">
        <f>'[1]资源-钻石'!U262</f>
        <v>1914340.7129364435</v>
      </c>
      <c r="L262" s="26">
        <f>'[1]资源-钻石'!V262</f>
        <v>3265520.7842300879</v>
      </c>
      <c r="M262" s="26">
        <f>'[1]资源-钻石'!W262</f>
        <v>8807282.8626530971</v>
      </c>
      <c r="N262" s="26">
        <f>'[1]资源-钻石'!X262</f>
        <v>21112238.648918405</v>
      </c>
    </row>
    <row r="263" spans="9:14" x14ac:dyDescent="0.15">
      <c r="I263" s="27">
        <v>260</v>
      </c>
      <c r="J263" s="26">
        <f>'[1]资源-钻石'!T263</f>
        <v>1347636.1423553608</v>
      </c>
      <c r="K263" s="26">
        <f>'[1]资源-钻石'!U263</f>
        <v>1921719.7565908972</v>
      </c>
      <c r="L263" s="26">
        <f>'[1]资源-钻石'!V263</f>
        <v>3278089.7322499868</v>
      </c>
      <c r="M263" s="26">
        <f>'[1]资源-钻石'!W263</f>
        <v>8841128.7054749858</v>
      </c>
      <c r="N263" s="26">
        <f>'[1]资源-钻石'!X263</f>
        <v>21193324.076022483</v>
      </c>
    </row>
    <row r="264" spans="9:14" x14ac:dyDescent="0.15">
      <c r="I264" s="25">
        <v>261</v>
      </c>
      <c r="J264" s="26">
        <f>'[1]资源-钻石'!T264</f>
        <v>1352817.091132137</v>
      </c>
      <c r="K264" s="26">
        <f>'[1]资源-钻石'!U264</f>
        <v>1929098.8002453507</v>
      </c>
      <c r="L264" s="26">
        <f>'[1]资源-钻石'!V264</f>
        <v>3290658.6802698863</v>
      </c>
      <c r="M264" s="26">
        <f>'[1]资源-钻石'!W264</f>
        <v>8874974.5482968744</v>
      </c>
      <c r="N264" s="26">
        <f>'[1]资源-钻石'!X264</f>
        <v>21274409.503126562</v>
      </c>
    </row>
    <row r="265" spans="9:14" x14ac:dyDescent="0.15">
      <c r="I265" s="25">
        <v>262</v>
      </c>
      <c r="J265" s="26">
        <f>'[1]资源-钻石'!T265</f>
        <v>1357998.039908913</v>
      </c>
      <c r="K265" s="26">
        <f>'[1]资源-钻石'!U265</f>
        <v>1936477.8438998044</v>
      </c>
      <c r="L265" s="26">
        <f>'[1]资源-钻石'!V265</f>
        <v>3303227.6282897852</v>
      </c>
      <c r="M265" s="26">
        <f>'[1]资源-钻石'!W265</f>
        <v>8908820.391118763</v>
      </c>
      <c r="N265" s="26">
        <f>'[1]资源-钻石'!X265</f>
        <v>21355494.93023064</v>
      </c>
    </row>
    <row r="266" spans="9:14" x14ac:dyDescent="0.15">
      <c r="I266" s="25">
        <v>263</v>
      </c>
      <c r="J266" s="26">
        <f>'[1]资源-钻石'!T266</f>
        <v>1363178.9886856889</v>
      </c>
      <c r="K266" s="26">
        <f>'[1]资源-钻石'!U266</f>
        <v>1943856.8875542581</v>
      </c>
      <c r="L266" s="26">
        <f>'[1]资源-钻石'!V266</f>
        <v>3315796.5763096842</v>
      </c>
      <c r="M266" s="26">
        <f>'[1]资源-钻石'!W266</f>
        <v>8942666.2339406535</v>
      </c>
      <c r="N266" s="26">
        <f>'[1]资源-钻石'!X266</f>
        <v>21436580.357334718</v>
      </c>
    </row>
    <row r="267" spans="9:14" x14ac:dyDescent="0.15">
      <c r="I267" s="25">
        <v>264</v>
      </c>
      <c r="J267" s="26">
        <f>'[1]资源-钻石'!T267</f>
        <v>1368359.9374624649</v>
      </c>
      <c r="K267" s="26">
        <f>'[1]资源-钻石'!U267</f>
        <v>1951235.9312087116</v>
      </c>
      <c r="L267" s="26">
        <f>'[1]资源-钻石'!V267</f>
        <v>3328365.5243295832</v>
      </c>
      <c r="M267" s="26">
        <f>'[1]资源-钻石'!W267</f>
        <v>8976512.0767625421</v>
      </c>
      <c r="N267" s="26">
        <f>'[1]资源-钻石'!X267</f>
        <v>21517665.784438796</v>
      </c>
    </row>
    <row r="268" spans="9:14" x14ac:dyDescent="0.15">
      <c r="I268" s="27">
        <v>265</v>
      </c>
      <c r="J268" s="26">
        <f>'[1]资源-钻石'!T268</f>
        <v>1373540.8862392411</v>
      </c>
      <c r="K268" s="26">
        <f>'[1]资源-钻石'!U268</f>
        <v>1958614.9748631653</v>
      </c>
      <c r="L268" s="26">
        <f>'[1]资源-钻石'!V268</f>
        <v>3340934.4723494821</v>
      </c>
      <c r="M268" s="26">
        <f>'[1]资源-钻石'!W268</f>
        <v>9010357.9195844308</v>
      </c>
      <c r="N268" s="26">
        <f>'[1]资源-钻石'!X268</f>
        <v>21598751.211542871</v>
      </c>
    </row>
    <row r="269" spans="9:14" x14ac:dyDescent="0.15">
      <c r="I269" s="27">
        <v>266</v>
      </c>
      <c r="J269" s="26">
        <f>'[1]资源-钻石'!T269</f>
        <v>1378721.8350160171</v>
      </c>
      <c r="K269" s="26">
        <f>'[1]资源-钻石'!U269</f>
        <v>1965994.0185176188</v>
      </c>
      <c r="L269" s="26">
        <f>'[1]资源-钻石'!V269</f>
        <v>3353503.4203693811</v>
      </c>
      <c r="M269" s="26">
        <f>'[1]资源-钻石'!W269</f>
        <v>9044203.7624063194</v>
      </c>
      <c r="N269" s="26">
        <f>'[1]资源-钻石'!X269</f>
        <v>21679836.638646949</v>
      </c>
    </row>
    <row r="270" spans="9:14" x14ac:dyDescent="0.15">
      <c r="I270" s="25">
        <v>267</v>
      </c>
      <c r="J270" s="26">
        <f>'[1]资源-钻石'!T270</f>
        <v>1383902.7837927931</v>
      </c>
      <c r="K270" s="26">
        <f>'[1]资源-钻石'!U270</f>
        <v>1973373.0621720725</v>
      </c>
      <c r="L270" s="26">
        <f>'[1]资源-钻石'!V270</f>
        <v>3366072.36838928</v>
      </c>
      <c r="M270" s="26">
        <f>'[1]资源-钻石'!W270</f>
        <v>9078049.605228208</v>
      </c>
      <c r="N270" s="26">
        <f>'[1]资源-钻石'!X270</f>
        <v>21760922.065751027</v>
      </c>
    </row>
    <row r="271" spans="9:14" x14ac:dyDescent="0.15">
      <c r="I271" s="25">
        <v>268</v>
      </c>
      <c r="J271" s="26">
        <f>'[1]资源-钻石'!T271</f>
        <v>1389083.732569569</v>
      </c>
      <c r="K271" s="26">
        <f>'[1]资源-钻石'!U271</f>
        <v>1980752.1058265262</v>
      </c>
      <c r="L271" s="26">
        <f>'[1]资源-钻石'!V271</f>
        <v>3378641.316409179</v>
      </c>
      <c r="M271" s="26">
        <f>'[1]资源-钻石'!W271</f>
        <v>9111895.4480500966</v>
      </c>
      <c r="N271" s="26">
        <f>'[1]资源-钻石'!X271</f>
        <v>21842007.492855106</v>
      </c>
    </row>
    <row r="272" spans="9:14" x14ac:dyDescent="0.15">
      <c r="I272" s="25">
        <v>269</v>
      </c>
      <c r="J272" s="26">
        <f>'[1]资源-钻石'!T272</f>
        <v>1394264.6813463452</v>
      </c>
      <c r="K272" s="26">
        <f>'[1]资源-钻石'!U272</f>
        <v>1988131.1494809797</v>
      </c>
      <c r="L272" s="26">
        <f>'[1]资源-钻石'!V272</f>
        <v>3391210.264429078</v>
      </c>
      <c r="M272" s="26">
        <f>'[1]资源-钻石'!W272</f>
        <v>9145741.2908719853</v>
      </c>
      <c r="N272" s="26">
        <f>'[1]资源-钻石'!X272</f>
        <v>21923092.919959184</v>
      </c>
    </row>
    <row r="273" spans="9:14" x14ac:dyDescent="0.15">
      <c r="I273" s="25">
        <v>270</v>
      </c>
      <c r="J273" s="26">
        <f>'[1]资源-钻石'!T273</f>
        <v>1399445.6301231212</v>
      </c>
      <c r="K273" s="26">
        <f>'[1]资源-钻石'!U273</f>
        <v>1995510.1931354334</v>
      </c>
      <c r="L273" s="26">
        <f>'[1]资源-钻石'!V273</f>
        <v>3403779.2124489769</v>
      </c>
      <c r="M273" s="26">
        <f>'[1]资源-钻石'!W273</f>
        <v>9179587.1336938757</v>
      </c>
      <c r="N273" s="26">
        <f>'[1]资源-钻石'!X273</f>
        <v>22004178.347063262</v>
      </c>
    </row>
    <row r="274" spans="9:14" x14ac:dyDescent="0.15">
      <c r="I274" s="27">
        <v>271</v>
      </c>
      <c r="J274" s="26">
        <f>'[1]资源-钻石'!T274</f>
        <v>1404626.5788998972</v>
      </c>
      <c r="K274" s="26">
        <f>'[1]资源-钻石'!U274</f>
        <v>2002889.2367898868</v>
      </c>
      <c r="L274" s="26">
        <f>'[1]资源-钻石'!V274</f>
        <v>3416348.1604688764</v>
      </c>
      <c r="M274" s="26">
        <f>'[1]资源-钻石'!W274</f>
        <v>9213432.9765157644</v>
      </c>
      <c r="N274" s="26">
        <f>'[1]资源-钻石'!X274</f>
        <v>22085263.77416734</v>
      </c>
    </row>
    <row r="275" spans="9:14" x14ac:dyDescent="0.15">
      <c r="I275" s="27">
        <v>272</v>
      </c>
      <c r="J275" s="26">
        <f>'[1]资源-钻石'!T275</f>
        <v>1409807.5276766731</v>
      </c>
      <c r="K275" s="26">
        <f>'[1]资源-钻石'!U275</f>
        <v>2010268.2804443405</v>
      </c>
      <c r="L275" s="26">
        <f>'[1]资源-钻石'!V275</f>
        <v>3428917.1084887753</v>
      </c>
      <c r="M275" s="26">
        <f>'[1]资源-钻石'!W275</f>
        <v>9247278.819337653</v>
      </c>
      <c r="N275" s="26">
        <f>'[1]资源-钻石'!X275</f>
        <v>22166349.201271418</v>
      </c>
    </row>
    <row r="276" spans="9:14" x14ac:dyDescent="0.15">
      <c r="I276" s="25">
        <v>273</v>
      </c>
      <c r="J276" s="26">
        <f>'[1]资源-钻石'!T276</f>
        <v>1414988.4764534493</v>
      </c>
      <c r="K276" s="26">
        <f>'[1]资源-钻石'!U276</f>
        <v>2017647.3240987943</v>
      </c>
      <c r="L276" s="26">
        <f>'[1]资源-钻石'!V276</f>
        <v>3441486.0565086743</v>
      </c>
      <c r="M276" s="26">
        <f>'[1]资源-钻石'!W276</f>
        <v>9281124.6621595416</v>
      </c>
      <c r="N276" s="26">
        <f>'[1]资源-钻石'!X276</f>
        <v>22247434.628375497</v>
      </c>
    </row>
    <row r="277" spans="9:14" x14ac:dyDescent="0.15">
      <c r="I277" s="25">
        <v>274</v>
      </c>
      <c r="J277" s="26">
        <f>'[1]资源-钻石'!T277</f>
        <v>1420169.4252302253</v>
      </c>
      <c r="K277" s="26">
        <f>'[1]资源-钻石'!U277</f>
        <v>2025026.3677532477</v>
      </c>
      <c r="L277" s="26">
        <f>'[1]资源-钻石'!V277</f>
        <v>3454055.0045285732</v>
      </c>
      <c r="M277" s="26">
        <f>'[1]资源-钻石'!W277</f>
        <v>9314970.5049814302</v>
      </c>
      <c r="N277" s="26">
        <f>'[1]资源-钻石'!X277</f>
        <v>22328520.055479571</v>
      </c>
    </row>
    <row r="278" spans="9:14" x14ac:dyDescent="0.15">
      <c r="I278" s="25">
        <v>275</v>
      </c>
      <c r="J278" s="26">
        <f>'[1]资源-钻石'!T278</f>
        <v>1425350.3740070013</v>
      </c>
      <c r="K278" s="26">
        <f>'[1]资源-钻石'!U278</f>
        <v>2032405.4114077014</v>
      </c>
      <c r="L278" s="26">
        <f>'[1]资源-钻石'!V278</f>
        <v>3466623.9525484722</v>
      </c>
      <c r="M278" s="26">
        <f>'[1]资源-钻石'!W278</f>
        <v>9348816.3478033189</v>
      </c>
      <c r="N278" s="26">
        <f>'[1]资源-钻石'!X278</f>
        <v>22409605.482583649</v>
      </c>
    </row>
    <row r="279" spans="9:14" x14ac:dyDescent="0.15">
      <c r="I279" s="25">
        <v>276</v>
      </c>
      <c r="J279" s="26">
        <f>'[1]资源-钻石'!T279</f>
        <v>1430531.3227837773</v>
      </c>
      <c r="K279" s="26">
        <f>'[1]资源-钻石'!U279</f>
        <v>2039784.4550621551</v>
      </c>
      <c r="L279" s="26">
        <f>'[1]资源-钻石'!V279</f>
        <v>3479192.9005683712</v>
      </c>
      <c r="M279" s="26">
        <f>'[1]资源-钻石'!W279</f>
        <v>9382662.1906252094</v>
      </c>
      <c r="N279" s="26">
        <f>'[1]资源-钻石'!X279</f>
        <v>22490690.909687728</v>
      </c>
    </row>
    <row r="280" spans="9:14" x14ac:dyDescent="0.15">
      <c r="I280" s="27">
        <v>277</v>
      </c>
      <c r="J280" s="26">
        <f>'[1]资源-钻石'!T280</f>
        <v>1435712.2715605535</v>
      </c>
      <c r="K280" s="26">
        <f>'[1]资源-钻石'!U280</f>
        <v>2047163.4987166086</v>
      </c>
      <c r="L280" s="26">
        <f>'[1]资源-钻石'!V280</f>
        <v>3491761.8485882701</v>
      </c>
      <c r="M280" s="26">
        <f>'[1]资源-钻石'!W280</f>
        <v>9416508.033447098</v>
      </c>
      <c r="N280" s="26">
        <f>'[1]资源-钻石'!X280</f>
        <v>22571776.336791806</v>
      </c>
    </row>
    <row r="281" spans="9:14" x14ac:dyDescent="0.15">
      <c r="I281" s="27">
        <v>278</v>
      </c>
      <c r="J281" s="26">
        <f>'[1]资源-钻石'!T281</f>
        <v>1440893.2203373294</v>
      </c>
      <c r="K281" s="26">
        <f>'[1]资源-钻石'!U281</f>
        <v>2054542.5423710623</v>
      </c>
      <c r="L281" s="26">
        <f>'[1]资源-钻石'!V281</f>
        <v>3504330.7966081691</v>
      </c>
      <c r="M281" s="26">
        <f>'[1]资源-钻石'!W281</f>
        <v>9450353.8762689866</v>
      </c>
      <c r="N281" s="26">
        <f>'[1]资源-钻石'!X281</f>
        <v>22652861.763895884</v>
      </c>
    </row>
    <row r="282" spans="9:14" x14ac:dyDescent="0.15">
      <c r="I282" s="25">
        <v>279</v>
      </c>
      <c r="J282" s="26">
        <f>'[1]资源-钻石'!T282</f>
        <v>1446074.1691141054</v>
      </c>
      <c r="K282" s="26">
        <f>'[1]资源-钻石'!U282</f>
        <v>2061921.586025516</v>
      </c>
      <c r="L282" s="26">
        <f>'[1]资源-钻石'!V282</f>
        <v>3516899.7446280681</v>
      </c>
      <c r="M282" s="26">
        <f>'[1]资源-钻石'!W282</f>
        <v>9484199.7190908752</v>
      </c>
      <c r="N282" s="26">
        <f>'[1]资源-钻石'!X282</f>
        <v>22733947.190999962</v>
      </c>
    </row>
    <row r="283" spans="9:14" x14ac:dyDescent="0.15">
      <c r="I283" s="25">
        <v>280</v>
      </c>
      <c r="J283" s="26">
        <f>'[1]资源-钻石'!T283</f>
        <v>1451255.1178908814</v>
      </c>
      <c r="K283" s="26">
        <f>'[1]资源-钻石'!U283</f>
        <v>2069300.6296799695</v>
      </c>
      <c r="L283" s="26">
        <f>'[1]资源-钻石'!V283</f>
        <v>3529468.692647967</v>
      </c>
      <c r="M283" s="26">
        <f>'[1]资源-钻石'!W283</f>
        <v>9518045.5619127639</v>
      </c>
      <c r="N283" s="26">
        <f>'[1]资源-钻石'!X283</f>
        <v>22815032.618104041</v>
      </c>
    </row>
    <row r="284" spans="9:14" x14ac:dyDescent="0.15">
      <c r="I284" s="25">
        <v>281</v>
      </c>
      <c r="J284" s="26">
        <f>'[1]资源-钻石'!T284</f>
        <v>1456436.0666676573</v>
      </c>
      <c r="K284" s="26">
        <f>'[1]资源-钻石'!U284</f>
        <v>2076679.6733344232</v>
      </c>
      <c r="L284" s="26">
        <f>'[1]资源-钻石'!V284</f>
        <v>3542037.640667866</v>
      </c>
      <c r="M284" s="26">
        <f>'[1]资源-钻石'!W284</f>
        <v>9551891.4047346525</v>
      </c>
      <c r="N284" s="26">
        <f>'[1]资源-钻石'!X284</f>
        <v>22896118.045208115</v>
      </c>
    </row>
    <row r="285" spans="9:14" x14ac:dyDescent="0.15">
      <c r="I285" s="25">
        <v>282</v>
      </c>
      <c r="J285" s="26">
        <f>'[1]资源-钻石'!T285</f>
        <v>1461617.0154444333</v>
      </c>
      <c r="K285" s="26">
        <f>'[1]资源-钻石'!U285</f>
        <v>2084058.7169888769</v>
      </c>
      <c r="L285" s="26">
        <f>'[1]资源-钻石'!V285</f>
        <v>3554606.5886877649</v>
      </c>
      <c r="M285" s="26">
        <f>'[1]资源-钻石'!W285</f>
        <v>9585737.247556543</v>
      </c>
      <c r="N285" s="26">
        <f>'[1]资源-钻石'!X285</f>
        <v>22977203.472312193</v>
      </c>
    </row>
    <row r="286" spans="9:14" x14ac:dyDescent="0.15">
      <c r="I286" s="27">
        <v>283</v>
      </c>
      <c r="J286" s="26">
        <f>'[1]资源-钻石'!T286</f>
        <v>1466797.9642212095</v>
      </c>
      <c r="K286" s="26">
        <f>'[1]资源-钻石'!U286</f>
        <v>2091437.7606433304</v>
      </c>
      <c r="L286" s="26">
        <f>'[1]资源-钻石'!V286</f>
        <v>3567175.5367076639</v>
      </c>
      <c r="M286" s="26">
        <f>'[1]资源-钻石'!W286</f>
        <v>9619583.0903784316</v>
      </c>
      <c r="N286" s="26">
        <f>'[1]资源-钻石'!X286</f>
        <v>23058288.899416272</v>
      </c>
    </row>
    <row r="287" spans="9:14" x14ac:dyDescent="0.15">
      <c r="I287" s="27">
        <v>284</v>
      </c>
      <c r="J287" s="26">
        <f>'[1]资源-钻石'!T287</f>
        <v>1471978.9129979855</v>
      </c>
      <c r="K287" s="26">
        <f>'[1]资源-钻石'!U287</f>
        <v>2098816.8042977843</v>
      </c>
      <c r="L287" s="26">
        <f>'[1]资源-钻石'!V287</f>
        <v>3579744.4847275629</v>
      </c>
      <c r="M287" s="26">
        <f>'[1]资源-钻石'!W287</f>
        <v>9653428.9332003202</v>
      </c>
      <c r="N287" s="26">
        <f>'[1]资源-钻石'!X287</f>
        <v>23139374.32652035</v>
      </c>
    </row>
    <row r="288" spans="9:14" x14ac:dyDescent="0.15">
      <c r="I288" s="25">
        <v>285</v>
      </c>
      <c r="J288" s="26">
        <f>'[1]资源-钻石'!T288</f>
        <v>1477159.8617747615</v>
      </c>
      <c r="K288" s="26">
        <f>'[1]资源-钻石'!U288</f>
        <v>2106195.8479522378</v>
      </c>
      <c r="L288" s="26">
        <f>'[1]资源-钻石'!V288</f>
        <v>3592313.4327474618</v>
      </c>
      <c r="M288" s="26">
        <f>'[1]资源-钻石'!W288</f>
        <v>9687274.7760222089</v>
      </c>
      <c r="N288" s="26">
        <f>'[1]资源-钻石'!X288</f>
        <v>23220459.753624428</v>
      </c>
    </row>
    <row r="289" spans="9:14" x14ac:dyDescent="0.15">
      <c r="I289" s="25">
        <v>286</v>
      </c>
      <c r="J289" s="26">
        <f>'[1]资源-钻石'!T289</f>
        <v>1482340.8105515374</v>
      </c>
      <c r="K289" s="26">
        <f>'[1]资源-钻石'!U289</f>
        <v>2113574.8916066913</v>
      </c>
      <c r="L289" s="26">
        <f>'[1]资源-钻石'!V289</f>
        <v>3604882.3807673608</v>
      </c>
      <c r="M289" s="26">
        <f>'[1]资源-钻石'!W289</f>
        <v>9721120.6188440975</v>
      </c>
      <c r="N289" s="26">
        <f>'[1]资源-钻石'!X289</f>
        <v>23301545.180728506</v>
      </c>
    </row>
    <row r="290" spans="9:14" x14ac:dyDescent="0.15">
      <c r="I290" s="25">
        <v>287</v>
      </c>
      <c r="J290" s="26">
        <f>'[1]资源-钻石'!T290</f>
        <v>1487521.7593283134</v>
      </c>
      <c r="K290" s="26">
        <f>'[1]资源-钻石'!U290</f>
        <v>2120953.9352611452</v>
      </c>
      <c r="L290" s="26">
        <f>'[1]资源-钻石'!V290</f>
        <v>3617451.3287872598</v>
      </c>
      <c r="M290" s="26">
        <f>'[1]资源-钻石'!W290</f>
        <v>9754966.4616659861</v>
      </c>
      <c r="N290" s="26">
        <f>'[1]资源-钻石'!X290</f>
        <v>23382630.607832585</v>
      </c>
    </row>
    <row r="291" spans="9:14" x14ac:dyDescent="0.15">
      <c r="I291" s="25">
        <v>288</v>
      </c>
      <c r="J291" s="26">
        <f>'[1]资源-钻石'!T291</f>
        <v>1492702.7081050896</v>
      </c>
      <c r="K291" s="26">
        <f>'[1]资源-钻石'!U291</f>
        <v>2128332.9789155987</v>
      </c>
      <c r="L291" s="26">
        <f>'[1]资源-钻石'!V291</f>
        <v>3630020.2768071587</v>
      </c>
      <c r="M291" s="26">
        <f>'[1]资源-钻石'!W291</f>
        <v>9788812.3044878766</v>
      </c>
      <c r="N291" s="26">
        <f>'[1]资源-钻石'!X291</f>
        <v>23463716.034936659</v>
      </c>
    </row>
    <row r="292" spans="9:14" x14ac:dyDescent="0.15">
      <c r="I292" s="27">
        <v>289</v>
      </c>
      <c r="J292" s="26">
        <f>'[1]资源-钻石'!T292</f>
        <v>1497883.6568818656</v>
      </c>
      <c r="K292" s="26">
        <f>'[1]资源-钻石'!U292</f>
        <v>2135712.0225700522</v>
      </c>
      <c r="L292" s="26">
        <f>'[1]资源-钻石'!V292</f>
        <v>3642589.2248270577</v>
      </c>
      <c r="M292" s="26">
        <f>'[1]资源-钻石'!W292</f>
        <v>9822658.1473097652</v>
      </c>
      <c r="N292" s="26">
        <f>'[1]资源-钻石'!X292</f>
        <v>23544801.462040737</v>
      </c>
    </row>
    <row r="293" spans="9:14" x14ac:dyDescent="0.15">
      <c r="I293" s="27">
        <v>290</v>
      </c>
      <c r="J293" s="26">
        <f>'[1]资源-钻石'!T293</f>
        <v>1503064.6056586416</v>
      </c>
      <c r="K293" s="26">
        <f>'[1]资源-钻石'!U293</f>
        <v>2143091.0662245061</v>
      </c>
      <c r="L293" s="26">
        <f>'[1]资源-钻石'!V293</f>
        <v>3655158.1728469566</v>
      </c>
      <c r="M293" s="26">
        <f>'[1]资源-钻石'!W293</f>
        <v>9856503.9901316538</v>
      </c>
      <c r="N293" s="26">
        <f>'[1]资源-钻石'!X293</f>
        <v>23625886.889144816</v>
      </c>
    </row>
    <row r="294" spans="9:14" x14ac:dyDescent="0.15">
      <c r="I294" s="25">
        <v>291</v>
      </c>
      <c r="J294" s="26">
        <f>'[1]资源-钻石'!T294</f>
        <v>1508245.5544354175</v>
      </c>
      <c r="K294" s="26">
        <f>'[1]资源-钻石'!U294</f>
        <v>2150470.1098789596</v>
      </c>
      <c r="L294" s="26">
        <f>'[1]资源-钻石'!V294</f>
        <v>3667727.1208668556</v>
      </c>
      <c r="M294" s="26">
        <f>'[1]资源-钻石'!W294</f>
        <v>9890349.8329535425</v>
      </c>
      <c r="N294" s="26">
        <f>'[1]资源-钻石'!X294</f>
        <v>23706972.316248894</v>
      </c>
    </row>
    <row r="295" spans="9:14" x14ac:dyDescent="0.15">
      <c r="I295" s="25">
        <v>292</v>
      </c>
      <c r="J295" s="26">
        <f>'[1]资源-钻石'!T295</f>
        <v>1513426.5032121935</v>
      </c>
      <c r="K295" s="26">
        <f>'[1]资源-钻石'!U295</f>
        <v>2157849.1535334131</v>
      </c>
      <c r="L295" s="26">
        <f>'[1]资源-钻石'!V295</f>
        <v>3680296.0688867546</v>
      </c>
      <c r="M295" s="26">
        <f>'[1]资源-钻石'!W295</f>
        <v>9924195.6757754311</v>
      </c>
      <c r="N295" s="26">
        <f>'[1]资源-钻石'!X295</f>
        <v>23788057.743352972</v>
      </c>
    </row>
    <row r="296" spans="9:14" x14ac:dyDescent="0.15">
      <c r="I296" s="25">
        <v>293</v>
      </c>
      <c r="J296" s="26">
        <f>'[1]资源-钻石'!T296</f>
        <v>1518607.4519889695</v>
      </c>
      <c r="K296" s="26">
        <f>'[1]资源-钻石'!U296</f>
        <v>2165228.1971878665</v>
      </c>
      <c r="L296" s="26">
        <f>'[1]资源-钻石'!V296</f>
        <v>3692865.0169066535</v>
      </c>
      <c r="M296" s="26">
        <f>'[1]资源-钻石'!W296</f>
        <v>9958041.5185973197</v>
      </c>
      <c r="N296" s="26">
        <f>'[1]资源-钻石'!X296</f>
        <v>23869143.17045705</v>
      </c>
    </row>
    <row r="297" spans="9:14" x14ac:dyDescent="0.15">
      <c r="I297" s="25">
        <v>294</v>
      </c>
      <c r="J297" s="26">
        <f>'[1]资源-钻石'!T297</f>
        <v>1523788.4007657457</v>
      </c>
      <c r="K297" s="26">
        <f>'[1]资源-钻石'!U297</f>
        <v>2172607.2408423205</v>
      </c>
      <c r="L297" s="26">
        <f>'[1]资源-钻石'!V297</f>
        <v>3705433.9649265525</v>
      </c>
      <c r="M297" s="26">
        <f>'[1]资源-钻石'!W297</f>
        <v>9991887.3614192102</v>
      </c>
      <c r="N297" s="26">
        <f>'[1]资源-钻石'!X297</f>
        <v>23950228.597561128</v>
      </c>
    </row>
    <row r="298" spans="9:14" x14ac:dyDescent="0.15">
      <c r="I298" s="27">
        <v>295</v>
      </c>
      <c r="J298" s="26">
        <f>'[1]资源-钻石'!T298</f>
        <v>1528969.3495425216</v>
      </c>
      <c r="K298" s="26">
        <f>'[1]资源-钻石'!U298</f>
        <v>2179986.284496774</v>
      </c>
      <c r="L298" s="26">
        <f>'[1]资源-钻石'!V298</f>
        <v>3718002.9129464515</v>
      </c>
      <c r="M298" s="26">
        <f>'[1]资源-钻石'!W298</f>
        <v>10025733.204241099</v>
      </c>
      <c r="N298" s="26">
        <f>'[1]资源-钻石'!X298</f>
        <v>24031314.024665203</v>
      </c>
    </row>
    <row r="299" spans="9:14" x14ac:dyDescent="0.15">
      <c r="I299" s="27">
        <v>296</v>
      </c>
      <c r="J299" s="26">
        <f>'[1]资源-钻石'!T299</f>
        <v>1534150.2983192976</v>
      </c>
      <c r="K299" s="26">
        <f>'[1]资源-钻石'!U299</f>
        <v>2187365.3281512274</v>
      </c>
      <c r="L299" s="26">
        <f>'[1]资源-钻石'!V299</f>
        <v>3730571.8609663504</v>
      </c>
      <c r="M299" s="26">
        <f>'[1]资源-钻石'!W299</f>
        <v>10059579.047062987</v>
      </c>
      <c r="N299" s="26">
        <f>'[1]资源-钻石'!X299</f>
        <v>24112399.451769281</v>
      </c>
    </row>
    <row r="300" spans="9:14" x14ac:dyDescent="0.15">
      <c r="I300" s="25">
        <v>297</v>
      </c>
      <c r="J300" s="26">
        <f>'[1]资源-钻石'!T300</f>
        <v>1539331.2470960736</v>
      </c>
      <c r="K300" s="26">
        <f>'[1]资源-钻石'!U300</f>
        <v>2194744.3718056814</v>
      </c>
      <c r="L300" s="26">
        <f>'[1]资源-钻石'!V300</f>
        <v>3743140.8089862494</v>
      </c>
      <c r="M300" s="26">
        <f>'[1]资源-钻石'!W300</f>
        <v>10093424.889884876</v>
      </c>
      <c r="N300" s="26">
        <f>'[1]资源-钻石'!X300</f>
        <v>24193484.878873359</v>
      </c>
    </row>
    <row r="301" spans="9:14" x14ac:dyDescent="0.15">
      <c r="I301" s="25">
        <v>298</v>
      </c>
      <c r="J301" s="26">
        <f>'[1]资源-钻石'!T301</f>
        <v>1544512.1958728496</v>
      </c>
      <c r="K301" s="26">
        <f>'[1]资源-钻石'!U301</f>
        <v>2202123.4154601349</v>
      </c>
      <c r="L301" s="26">
        <f>'[1]资源-钻石'!V301</f>
        <v>3755709.7570061483</v>
      </c>
      <c r="M301" s="26">
        <f>'[1]资源-钻石'!W301</f>
        <v>10127270.732706765</v>
      </c>
      <c r="N301" s="26">
        <f>'[1]资源-钻石'!X301</f>
        <v>24274570.305977438</v>
      </c>
    </row>
    <row r="302" spans="9:14" x14ac:dyDescent="0.15">
      <c r="I302" s="25">
        <v>299</v>
      </c>
      <c r="J302" s="26">
        <f>'[1]资源-钻石'!T302</f>
        <v>1549693.1446496258</v>
      </c>
      <c r="K302" s="26">
        <f>'[1]资源-钻石'!U302</f>
        <v>2209502.4591145883</v>
      </c>
      <c r="L302" s="26">
        <f>'[1]资源-钻石'!V302</f>
        <v>3768278.7050260473</v>
      </c>
      <c r="M302" s="26">
        <f>'[1]资源-钻石'!W302</f>
        <v>10161116.575528653</v>
      </c>
      <c r="N302" s="26">
        <f>'[1]资源-钻石'!X302</f>
        <v>24355655.733081516</v>
      </c>
    </row>
    <row r="303" spans="9:14" x14ac:dyDescent="0.15">
      <c r="I303" s="25">
        <v>300</v>
      </c>
      <c r="J303" s="26">
        <f>'[1]资源-钻石'!T303</f>
        <v>1554874.0934264017</v>
      </c>
      <c r="K303" s="26">
        <f>'[1]资源-钻石'!U303</f>
        <v>2216881.5027690423</v>
      </c>
      <c r="L303" s="26">
        <f>'[1]资源-钻石'!V303</f>
        <v>3780847.6530459463</v>
      </c>
      <c r="M303" s="26">
        <f>'[1]资源-钻石'!W303</f>
        <v>10194962.418350542</v>
      </c>
      <c r="N303" s="26">
        <f>'[1]资源-钻石'!X303</f>
        <v>24436741.160185594</v>
      </c>
    </row>
    <row r="304" spans="9:14" x14ac:dyDescent="0.15">
      <c r="I304" s="27">
        <v>301</v>
      </c>
      <c r="J304" s="26">
        <f>'[1]资源-钻石'!T304</f>
        <v>1560055.0422031777</v>
      </c>
      <c r="K304" s="26">
        <f>'[1]资源-钻石'!U304</f>
        <v>2224260.5464234957</v>
      </c>
      <c r="L304" s="26">
        <f>'[1]资源-钻石'!V304</f>
        <v>3793416.6010658452</v>
      </c>
      <c r="M304" s="26">
        <f>'[1]资源-钻石'!W304</f>
        <v>10228808.261172431</v>
      </c>
      <c r="N304" s="26">
        <f>'[1]资源-钻石'!X304</f>
        <v>24517826.587289672</v>
      </c>
    </row>
    <row r="305" spans="9:14" x14ac:dyDescent="0.15">
      <c r="I305" s="27">
        <v>302</v>
      </c>
      <c r="J305" s="26">
        <f>'[1]资源-钻石'!T305</f>
        <v>1565235.9909799537</v>
      </c>
      <c r="K305" s="26">
        <f>'[1]资源-钻石'!U305</f>
        <v>2231639.5900779492</v>
      </c>
      <c r="L305" s="26">
        <f>'[1]资源-钻石'!V305</f>
        <v>3805985.5490857442</v>
      </c>
      <c r="M305" s="26">
        <f>'[1]资源-钻石'!W305</f>
        <v>10262654.103994319</v>
      </c>
      <c r="N305" s="26">
        <f>'[1]资源-钻石'!X305</f>
        <v>24598912.014393747</v>
      </c>
    </row>
    <row r="306" spans="9:14" x14ac:dyDescent="0.15">
      <c r="I306" s="25">
        <v>303</v>
      </c>
      <c r="J306" s="26">
        <f>'[1]资源-钻石'!T306</f>
        <v>1570416.9397567296</v>
      </c>
      <c r="K306" s="26">
        <f>'[1]资源-钻石'!U306</f>
        <v>2239018.6337324032</v>
      </c>
      <c r="L306" s="26">
        <f>'[1]资源-钻石'!V306</f>
        <v>3818554.4971056432</v>
      </c>
      <c r="M306" s="26">
        <f>'[1]资源-钻石'!W306</f>
        <v>10296499.94681621</v>
      </c>
      <c r="N306" s="26">
        <f>'[1]资源-钻石'!X306</f>
        <v>24679997.441497825</v>
      </c>
    </row>
    <row r="307" spans="9:14" x14ac:dyDescent="0.15">
      <c r="I307" s="25">
        <v>304</v>
      </c>
      <c r="J307" s="26">
        <f>'[1]资源-钻石'!T307</f>
        <v>1575597.8885335058</v>
      </c>
      <c r="K307" s="26">
        <f>'[1]资源-钻石'!U307</f>
        <v>2246397.6773868566</v>
      </c>
      <c r="L307" s="26">
        <f>'[1]资源-钻石'!V307</f>
        <v>3831123.4451255426</v>
      </c>
      <c r="M307" s="26">
        <f>'[1]资源-钻石'!W307</f>
        <v>10330345.789638098</v>
      </c>
      <c r="N307" s="26">
        <f>'[1]资源-钻石'!X307</f>
        <v>24761082.868601903</v>
      </c>
    </row>
    <row r="308" spans="9:14" x14ac:dyDescent="0.15">
      <c r="I308" s="25">
        <v>305</v>
      </c>
      <c r="J308" s="26">
        <f>'[1]资源-钻石'!T308</f>
        <v>1580778.8373102818</v>
      </c>
      <c r="K308" s="26">
        <f>'[1]资源-钻石'!U308</f>
        <v>2253776.7210413101</v>
      </c>
      <c r="L308" s="26">
        <f>'[1]资源-钻石'!V308</f>
        <v>3843692.3931454415</v>
      </c>
      <c r="M308" s="26">
        <f>'[1]资源-钻石'!W308</f>
        <v>10364191.632459987</v>
      </c>
      <c r="N308" s="26">
        <f>'[1]资源-钻石'!X308</f>
        <v>24842168.295705982</v>
      </c>
    </row>
    <row r="309" spans="9:14" x14ac:dyDescent="0.15">
      <c r="I309" s="25">
        <v>306</v>
      </c>
      <c r="J309" s="26">
        <f>'[1]资源-钻石'!T309</f>
        <v>1585959.7860870578</v>
      </c>
      <c r="K309" s="26">
        <f>'[1]资源-钻石'!U309</f>
        <v>2261155.7646957641</v>
      </c>
      <c r="L309" s="26">
        <f>'[1]资源-钻石'!V309</f>
        <v>3856261.3411653405</v>
      </c>
      <c r="M309" s="26">
        <f>'[1]资源-钻石'!W309</f>
        <v>10398037.475281876</v>
      </c>
      <c r="N309" s="26">
        <f>'[1]资源-钻石'!X309</f>
        <v>24923253.72281006</v>
      </c>
    </row>
    <row r="310" spans="9:14" x14ac:dyDescent="0.15">
      <c r="I310" s="27">
        <v>307</v>
      </c>
      <c r="J310" s="26">
        <f>'[1]资源-钻石'!T310</f>
        <v>1591140.7348638338</v>
      </c>
      <c r="K310" s="26">
        <f>'[1]资源-钻石'!U310</f>
        <v>2268534.8083502175</v>
      </c>
      <c r="L310" s="26">
        <f>'[1]资源-钻石'!V310</f>
        <v>3868830.2891852395</v>
      </c>
      <c r="M310" s="26">
        <f>'[1]资源-钻石'!W310</f>
        <v>10431883.318103764</v>
      </c>
      <c r="N310" s="26">
        <f>'[1]资源-钻石'!X310</f>
        <v>25004339.149914138</v>
      </c>
    </row>
    <row r="311" spans="9:14" x14ac:dyDescent="0.15">
      <c r="I311" s="27">
        <v>308</v>
      </c>
      <c r="J311" s="26">
        <f>'[1]资源-钻石'!T311</f>
        <v>1596321.6836406097</v>
      </c>
      <c r="K311" s="26">
        <f>'[1]资源-钻石'!U311</f>
        <v>2275913.852004671</v>
      </c>
      <c r="L311" s="26">
        <f>'[1]资源-钻石'!V311</f>
        <v>3881399.2372051384</v>
      </c>
      <c r="M311" s="26">
        <f>'[1]资源-钻石'!W311</f>
        <v>10465729.160925653</v>
      </c>
      <c r="N311" s="26">
        <f>'[1]资源-钻石'!X311</f>
        <v>25085424.577018216</v>
      </c>
    </row>
    <row r="312" spans="9:14" x14ac:dyDescent="0.15">
      <c r="I312" s="25">
        <v>309</v>
      </c>
      <c r="J312" s="26">
        <f>'[1]资源-钻石'!T312</f>
        <v>1601502.6324173859</v>
      </c>
      <c r="K312" s="26">
        <f>'[1]资源-钻石'!U312</f>
        <v>2283292.8956591245</v>
      </c>
      <c r="L312" s="26">
        <f>'[1]资源-钻石'!V312</f>
        <v>3893968.1852250374</v>
      </c>
      <c r="M312" s="26">
        <f>'[1]资源-钻石'!W312</f>
        <v>10499575.003747541</v>
      </c>
      <c r="N312" s="26">
        <f>'[1]资源-钻石'!X312</f>
        <v>25166510.004122294</v>
      </c>
    </row>
    <row r="313" spans="9:14" x14ac:dyDescent="0.15">
      <c r="I313" s="25">
        <v>310</v>
      </c>
      <c r="J313" s="26">
        <f>'[1]资源-钻石'!T313</f>
        <v>1606683.5811941619</v>
      </c>
      <c r="K313" s="26">
        <f>'[1]资源-钻石'!U313</f>
        <v>2290671.9393135784</v>
      </c>
      <c r="L313" s="26">
        <f>'[1]资源-钻石'!V313</f>
        <v>3906537.1332449364</v>
      </c>
      <c r="M313" s="26">
        <f>'[1]资源-钻石'!W313</f>
        <v>10533420.84656943</v>
      </c>
      <c r="N313" s="26">
        <f>'[1]资源-钻石'!X313</f>
        <v>25247595.431226369</v>
      </c>
    </row>
    <row r="314" spans="9:14" x14ac:dyDescent="0.15">
      <c r="I314" s="25">
        <v>311</v>
      </c>
      <c r="J314" s="26">
        <f>'[1]资源-钻石'!T314</f>
        <v>1611864.5299709379</v>
      </c>
      <c r="K314" s="26">
        <f>'[1]资源-钻石'!U314</f>
        <v>2298050.9829680319</v>
      </c>
      <c r="L314" s="26">
        <f>'[1]资源-钻石'!V314</f>
        <v>3919106.0812648353</v>
      </c>
      <c r="M314" s="26">
        <f>'[1]资源-钻石'!W314</f>
        <v>10567266.689391319</v>
      </c>
      <c r="N314" s="26">
        <f>'[1]资源-钻石'!X314</f>
        <v>25328680.858330447</v>
      </c>
    </row>
    <row r="315" spans="9:14" x14ac:dyDescent="0.15">
      <c r="I315" s="25">
        <v>312</v>
      </c>
      <c r="J315" s="26">
        <f>'[1]资源-钻石'!T315</f>
        <v>1617045.4787477138</v>
      </c>
      <c r="K315" s="26">
        <f>'[1]资源-钻石'!U315</f>
        <v>2305430.0266224854</v>
      </c>
      <c r="L315" s="26">
        <f>'[1]资源-钻石'!V315</f>
        <v>3931675.0292847343</v>
      </c>
      <c r="M315" s="26">
        <f>'[1]资源-钻石'!W315</f>
        <v>10601112.532213209</v>
      </c>
      <c r="N315" s="26">
        <f>'[1]资源-钻石'!X315</f>
        <v>25409766.285434525</v>
      </c>
    </row>
    <row r="316" spans="9:14" x14ac:dyDescent="0.15">
      <c r="I316" s="27">
        <v>313</v>
      </c>
      <c r="J316" s="26">
        <f>'[1]资源-钻石'!T316</f>
        <v>1622226.4275244898</v>
      </c>
      <c r="K316" s="26">
        <f>'[1]资源-钻石'!U316</f>
        <v>2312809.0702769393</v>
      </c>
      <c r="L316" s="26">
        <f>'[1]资源-钻石'!V316</f>
        <v>3944243.9773046332</v>
      </c>
      <c r="M316" s="26">
        <f>'[1]资源-钻石'!W316</f>
        <v>10634958.375035098</v>
      </c>
      <c r="N316" s="26">
        <f>'[1]资源-钻石'!X316</f>
        <v>25490851.712538604</v>
      </c>
    </row>
    <row r="317" spans="9:14" x14ac:dyDescent="0.15">
      <c r="I317" s="27">
        <v>314</v>
      </c>
      <c r="J317" s="26">
        <f>'[1]资源-钻石'!T317</f>
        <v>1627407.376301266</v>
      </c>
      <c r="K317" s="26">
        <f>'[1]资源-钻石'!U317</f>
        <v>2320188.1139313928</v>
      </c>
      <c r="L317" s="26">
        <f>'[1]资源-钻石'!V317</f>
        <v>3956812.9253245322</v>
      </c>
      <c r="M317" s="26">
        <f>'[1]资源-钻石'!W317</f>
        <v>10668804.217856986</v>
      </c>
      <c r="N317" s="26">
        <f>'[1]资源-钻石'!X317</f>
        <v>25571937.139642682</v>
      </c>
    </row>
    <row r="318" spans="9:14" x14ac:dyDescent="0.15">
      <c r="I318" s="25">
        <v>315</v>
      </c>
      <c r="J318" s="26">
        <f>'[1]资源-钻石'!T318</f>
        <v>1632588.325078042</v>
      </c>
      <c r="K318" s="26">
        <f>'[1]资源-钻石'!U318</f>
        <v>2327567.1575858463</v>
      </c>
      <c r="L318" s="26">
        <f>'[1]资源-钻石'!V318</f>
        <v>3969381.8733444312</v>
      </c>
      <c r="M318" s="26">
        <f>'[1]资源-钻石'!W318</f>
        <v>10702650.060678875</v>
      </c>
      <c r="N318" s="26">
        <f>'[1]资源-钻石'!X318</f>
        <v>25653022.56674676</v>
      </c>
    </row>
    <row r="319" spans="9:14" x14ac:dyDescent="0.15">
      <c r="I319" s="25">
        <v>316</v>
      </c>
      <c r="J319" s="26">
        <f>'[1]资源-钻石'!T319</f>
        <v>1637769.273854818</v>
      </c>
      <c r="K319" s="26">
        <f>'[1]资源-钻石'!U319</f>
        <v>2334946.2012403002</v>
      </c>
      <c r="L319" s="26">
        <f>'[1]资源-钻石'!V319</f>
        <v>3981950.8213643301</v>
      </c>
      <c r="M319" s="26">
        <f>'[1]资源-钻石'!W319</f>
        <v>10736495.903500764</v>
      </c>
      <c r="N319" s="26">
        <f>'[1]资源-钻石'!X319</f>
        <v>25734107.993850835</v>
      </c>
    </row>
    <row r="320" spans="9:14" x14ac:dyDescent="0.15">
      <c r="I320" s="25">
        <v>317</v>
      </c>
      <c r="J320" s="26">
        <f>'[1]资源-钻石'!T320</f>
        <v>1642950.2226315939</v>
      </c>
      <c r="K320" s="26">
        <f>'[1]资源-钻石'!U320</f>
        <v>2342325.2448947537</v>
      </c>
      <c r="L320" s="26">
        <f>'[1]资源-钻石'!V320</f>
        <v>3994519.7693842291</v>
      </c>
      <c r="M320" s="26">
        <f>'[1]资源-钻石'!W320</f>
        <v>10770341.746322652</v>
      </c>
      <c r="N320" s="26">
        <f>'[1]资源-钻石'!X320</f>
        <v>25815193.420954913</v>
      </c>
    </row>
    <row r="321" spans="9:14" x14ac:dyDescent="0.15">
      <c r="I321" s="25">
        <v>318</v>
      </c>
      <c r="J321" s="26">
        <f>'[1]资源-钻石'!T321</f>
        <v>1648131.1714083701</v>
      </c>
      <c r="K321" s="26">
        <f>'[1]资源-钻石'!U321</f>
        <v>2349704.2885492072</v>
      </c>
      <c r="L321" s="26">
        <f>'[1]资源-钻石'!V321</f>
        <v>4007088.7174041281</v>
      </c>
      <c r="M321" s="26">
        <f>'[1]资源-钻石'!W321</f>
        <v>10804187.589144541</v>
      </c>
      <c r="N321" s="26">
        <f>'[1]资源-钻石'!X321</f>
        <v>25896278.848058991</v>
      </c>
    </row>
    <row r="322" spans="9:14" x14ac:dyDescent="0.15">
      <c r="I322" s="27">
        <v>319</v>
      </c>
      <c r="J322" s="26">
        <f>'[1]资源-钻石'!T322</f>
        <v>1653312.1201851461</v>
      </c>
      <c r="K322" s="26">
        <f>'[1]资源-钻石'!U322</f>
        <v>2357083.3322036606</v>
      </c>
      <c r="L322" s="26">
        <f>'[1]资源-钻石'!V322</f>
        <v>4019657.665424027</v>
      </c>
      <c r="M322" s="26">
        <f>'[1]资源-钻石'!W322</f>
        <v>10838033.431966431</v>
      </c>
      <c r="N322" s="26">
        <f>'[1]资源-钻石'!X322</f>
        <v>25977364.275163069</v>
      </c>
    </row>
    <row r="323" spans="9:14" x14ac:dyDescent="0.15">
      <c r="I323" s="27">
        <v>320</v>
      </c>
      <c r="J323" s="26">
        <f>'[1]资源-钻石'!T323</f>
        <v>1658493.0689619221</v>
      </c>
      <c r="K323" s="26">
        <f>'[1]资源-钻石'!U323</f>
        <v>2364462.3758581146</v>
      </c>
      <c r="L323" s="26">
        <f>'[1]资源-钻石'!V323</f>
        <v>4032226.613443926</v>
      </c>
      <c r="M323" s="26">
        <f>'[1]资源-钻石'!W323</f>
        <v>10871879.27478832</v>
      </c>
      <c r="N323" s="26">
        <f>'[1]资源-钻石'!X323</f>
        <v>26058449.702267148</v>
      </c>
    </row>
    <row r="324" spans="9:14" x14ac:dyDescent="0.15">
      <c r="I324" s="25">
        <v>321</v>
      </c>
      <c r="J324" s="26">
        <f>'[1]资源-钻石'!T324</f>
        <v>1663674.0177386981</v>
      </c>
      <c r="K324" s="26">
        <f>'[1]资源-钻石'!U324</f>
        <v>2371841.419512568</v>
      </c>
      <c r="L324" s="26">
        <f>'[1]资源-钻石'!V324</f>
        <v>4044795.5614638249</v>
      </c>
      <c r="M324" s="26">
        <f>'[1]资源-钻石'!W324</f>
        <v>10905725.117610209</v>
      </c>
      <c r="N324" s="26">
        <f>'[1]资源-钻石'!X324</f>
        <v>26139535.129371226</v>
      </c>
    </row>
    <row r="325" spans="9:14" x14ac:dyDescent="0.15">
      <c r="I325" s="25">
        <v>322</v>
      </c>
      <c r="J325" s="26">
        <f>'[1]资源-钻石'!T325</f>
        <v>1668854.9665154743</v>
      </c>
      <c r="K325" s="26">
        <f>'[1]资源-钻石'!U325</f>
        <v>2379220.4631670215</v>
      </c>
      <c r="L325" s="26">
        <f>'[1]资源-钻石'!V325</f>
        <v>4057364.5094837239</v>
      </c>
      <c r="M325" s="26">
        <f>'[1]资源-钻石'!W325</f>
        <v>10939570.960432097</v>
      </c>
      <c r="N325" s="26">
        <f>'[1]资源-钻石'!X325</f>
        <v>26220620.556475304</v>
      </c>
    </row>
    <row r="326" spans="9:14" x14ac:dyDescent="0.15">
      <c r="I326" s="25">
        <v>323</v>
      </c>
      <c r="J326" s="26">
        <f>'[1]资源-钻石'!T326</f>
        <v>1674035.9152922502</v>
      </c>
      <c r="K326" s="26">
        <f>'[1]资源-钻石'!U326</f>
        <v>2386599.5068214755</v>
      </c>
      <c r="L326" s="26">
        <f>'[1]资源-钻石'!V326</f>
        <v>4069933.4575036229</v>
      </c>
      <c r="M326" s="26">
        <f>'[1]资源-钻石'!W326</f>
        <v>10973416.803253986</v>
      </c>
      <c r="N326" s="26">
        <f>'[1]资源-钻石'!X326</f>
        <v>26301705.983579379</v>
      </c>
    </row>
    <row r="327" spans="9:14" x14ac:dyDescent="0.15">
      <c r="I327" s="25">
        <v>324</v>
      </c>
      <c r="J327" s="26">
        <f>'[1]资源-钻石'!T327</f>
        <v>1679216.8640690262</v>
      </c>
      <c r="K327" s="26">
        <f>'[1]资源-钻石'!U327</f>
        <v>2393978.5504759289</v>
      </c>
      <c r="L327" s="26">
        <f>'[1]资源-钻石'!V327</f>
        <v>4082502.4055235218</v>
      </c>
      <c r="M327" s="26">
        <f>'[1]资源-钻石'!W327</f>
        <v>11007262.646075875</v>
      </c>
      <c r="N327" s="26">
        <f>'[1]资源-钻石'!X327</f>
        <v>26382791.410683457</v>
      </c>
    </row>
    <row r="328" spans="9:14" x14ac:dyDescent="0.15">
      <c r="I328" s="27">
        <v>325</v>
      </c>
      <c r="J328" s="26">
        <f>'[1]资源-钻石'!T328</f>
        <v>1684397.8128458022</v>
      </c>
      <c r="K328" s="26">
        <f>'[1]资源-钻石'!U328</f>
        <v>2401357.5941303824</v>
      </c>
      <c r="L328" s="26">
        <f>'[1]资源-钻石'!V328</f>
        <v>4095071.3535434208</v>
      </c>
      <c r="M328" s="26">
        <f>'[1]资源-钻石'!W328</f>
        <v>11041108.488897763</v>
      </c>
      <c r="N328" s="26">
        <f>'[1]资源-钻石'!X328</f>
        <v>26463876.837787535</v>
      </c>
    </row>
    <row r="329" spans="9:14" x14ac:dyDescent="0.15">
      <c r="I329" s="27">
        <v>326</v>
      </c>
      <c r="J329" s="26">
        <f>'[1]资源-钻石'!T329</f>
        <v>1689578.7616225784</v>
      </c>
      <c r="K329" s="26">
        <f>'[1]资源-钻石'!U329</f>
        <v>2408736.6377848359</v>
      </c>
      <c r="L329" s="26">
        <f>'[1]资源-钻石'!V329</f>
        <v>4107640.3015633198</v>
      </c>
      <c r="M329" s="26">
        <f>'[1]资源-钻石'!W329</f>
        <v>11074954.331719654</v>
      </c>
      <c r="N329" s="26">
        <f>'[1]资源-钻石'!X329</f>
        <v>26544962.264891613</v>
      </c>
    </row>
    <row r="330" spans="9:14" x14ac:dyDescent="0.15">
      <c r="I330" s="25">
        <v>327</v>
      </c>
      <c r="J330" s="26">
        <f>'[1]资源-钻石'!T330</f>
        <v>1694759.7103993543</v>
      </c>
      <c r="K330" s="26">
        <f>'[1]资源-钻石'!U330</f>
        <v>2416115.6814392898</v>
      </c>
      <c r="L330" s="26">
        <f>'[1]资源-钻石'!V330</f>
        <v>4120209.2495832187</v>
      </c>
      <c r="M330" s="26">
        <f>'[1]资源-钻石'!W330</f>
        <v>11108800.174541542</v>
      </c>
      <c r="N330" s="26">
        <f>'[1]资源-钻石'!X330</f>
        <v>26626047.691995692</v>
      </c>
    </row>
    <row r="331" spans="9:14" x14ac:dyDescent="0.15">
      <c r="I331" s="25">
        <v>328</v>
      </c>
      <c r="J331" s="26">
        <f>'[1]资源-钻石'!T331</f>
        <v>1699940.6591761303</v>
      </c>
      <c r="K331" s="26">
        <f>'[1]资源-钻石'!U331</f>
        <v>2423494.7250937433</v>
      </c>
      <c r="L331" s="26">
        <f>'[1]资源-钻石'!V331</f>
        <v>4132778.1976031177</v>
      </c>
      <c r="M331" s="26">
        <f>'[1]资源-钻石'!W331</f>
        <v>11142646.017363431</v>
      </c>
      <c r="N331" s="26">
        <f>'[1]资源-钻石'!X331</f>
        <v>26707133.11909977</v>
      </c>
    </row>
    <row r="332" spans="9:14" x14ac:dyDescent="0.15">
      <c r="I332" s="25">
        <v>329</v>
      </c>
      <c r="J332" s="26">
        <f>'[1]资源-钻石'!T332</f>
        <v>1705121.6079529063</v>
      </c>
      <c r="K332" s="26">
        <f>'[1]资源-钻石'!U332</f>
        <v>2430873.7687481968</v>
      </c>
      <c r="L332" s="26">
        <f>'[1]资源-钻石'!V332</f>
        <v>4145347.1456230166</v>
      </c>
      <c r="M332" s="26">
        <f>'[1]资源-钻石'!W332</f>
        <v>11176491.86018532</v>
      </c>
      <c r="N332" s="26">
        <f>'[1]资源-钻石'!X332</f>
        <v>26788218.546203844</v>
      </c>
    </row>
    <row r="333" spans="9:14" x14ac:dyDescent="0.15">
      <c r="I333" s="25">
        <v>330</v>
      </c>
      <c r="J333" s="26">
        <f>'[1]资源-钻石'!T333</f>
        <v>1710302.5567296823</v>
      </c>
      <c r="K333" s="26">
        <f>'[1]资源-钻石'!U333</f>
        <v>2438252.8124026507</v>
      </c>
      <c r="L333" s="26">
        <f>'[1]资源-钻石'!V333</f>
        <v>4157916.0936429156</v>
      </c>
      <c r="M333" s="26">
        <f>'[1]资源-钻石'!W333</f>
        <v>11210337.703007208</v>
      </c>
      <c r="N333" s="26">
        <f>'[1]资源-钻石'!X333</f>
        <v>26869303.973307922</v>
      </c>
    </row>
    <row r="334" spans="9:14" x14ac:dyDescent="0.15">
      <c r="I334" s="27">
        <v>331</v>
      </c>
      <c r="J334" s="26">
        <f>'[1]资源-钻石'!T334</f>
        <v>1715483.5055064585</v>
      </c>
      <c r="K334" s="26">
        <f>'[1]资源-钻石'!U334</f>
        <v>2445631.8560571042</v>
      </c>
      <c r="L334" s="26">
        <f>'[1]资源-钻石'!V334</f>
        <v>4170485.0416628146</v>
      </c>
      <c r="M334" s="26">
        <f>'[1]资源-钻石'!W334</f>
        <v>11244183.545829097</v>
      </c>
      <c r="N334" s="26">
        <f>'[1]资源-钻石'!X334</f>
        <v>26950389.400412001</v>
      </c>
    </row>
    <row r="335" spans="9:14" x14ac:dyDescent="0.15">
      <c r="I335" s="27">
        <v>332</v>
      </c>
      <c r="J335" s="26">
        <f>'[1]资源-钻石'!T335</f>
        <v>1720664.4542832344</v>
      </c>
      <c r="K335" s="26">
        <f>'[1]资源-钻石'!U335</f>
        <v>2453010.8997115577</v>
      </c>
      <c r="L335" s="26">
        <f>'[1]资源-钻石'!V335</f>
        <v>4183053.9896827135</v>
      </c>
      <c r="M335" s="26">
        <f>'[1]资源-钻石'!W335</f>
        <v>11278029.388650985</v>
      </c>
      <c r="N335" s="26">
        <f>'[1]资源-钻石'!X335</f>
        <v>27031474.827516079</v>
      </c>
    </row>
    <row r="336" spans="9:14" x14ac:dyDescent="0.15">
      <c r="I336" s="25">
        <v>333</v>
      </c>
      <c r="J336" s="26">
        <f>'[1]资源-钻石'!T336</f>
        <v>1725845.4030600104</v>
      </c>
      <c r="K336" s="26">
        <f>'[1]资源-钻石'!U336</f>
        <v>2460389.9433660116</v>
      </c>
      <c r="L336" s="26">
        <f>'[1]资源-钻石'!V336</f>
        <v>4195622.937702613</v>
      </c>
      <c r="M336" s="26">
        <f>'[1]资源-钻石'!W336</f>
        <v>11311875.231472876</v>
      </c>
      <c r="N336" s="26">
        <f>'[1]资源-钻石'!X336</f>
        <v>27112560.254620157</v>
      </c>
    </row>
    <row r="337" spans="9:14" x14ac:dyDescent="0.15">
      <c r="I337" s="25">
        <v>334</v>
      </c>
      <c r="J337" s="26">
        <f>'[1]资源-钻石'!T337</f>
        <v>1731026.3518367866</v>
      </c>
      <c r="K337" s="26">
        <f>'[1]资源-钻石'!U337</f>
        <v>2467768.9870204651</v>
      </c>
      <c r="L337" s="26">
        <f>'[1]资源-钻石'!V337</f>
        <v>4208191.8857225114</v>
      </c>
      <c r="M337" s="26">
        <f>'[1]资源-钻石'!W337</f>
        <v>11345721.074294765</v>
      </c>
      <c r="N337" s="26">
        <f>'[1]资源-钻石'!X337</f>
        <v>27193645.681724235</v>
      </c>
    </row>
    <row r="338" spans="9:14" x14ac:dyDescent="0.15">
      <c r="I338" s="25">
        <v>335</v>
      </c>
      <c r="J338" s="26">
        <f>'[1]资源-钻石'!T338</f>
        <v>1736207.3006135626</v>
      </c>
      <c r="K338" s="26">
        <f>'[1]资源-钻石'!U338</f>
        <v>2475148.0306749186</v>
      </c>
      <c r="L338" s="26">
        <f>'[1]资源-钻石'!V338</f>
        <v>4220760.8337424109</v>
      </c>
      <c r="M338" s="26">
        <f>'[1]资源-钻石'!W338</f>
        <v>11379566.917116653</v>
      </c>
      <c r="N338" s="26">
        <f>'[1]资源-钻石'!X338</f>
        <v>27274731.108828314</v>
      </c>
    </row>
    <row r="339" spans="9:14" x14ac:dyDescent="0.15">
      <c r="I339" s="25">
        <v>336</v>
      </c>
      <c r="J339" s="26">
        <f>'[1]资源-钻石'!T339</f>
        <v>1741388.2493903385</v>
      </c>
      <c r="K339" s="26">
        <f>'[1]资源-钻石'!U339</f>
        <v>2482527.074329372</v>
      </c>
      <c r="L339" s="26">
        <f>'[1]资源-钻石'!V339</f>
        <v>4233329.7817623094</v>
      </c>
      <c r="M339" s="26">
        <f>'[1]资源-钻石'!W339</f>
        <v>11413412.759938542</v>
      </c>
      <c r="N339" s="26">
        <f>'[1]资源-钻石'!X339</f>
        <v>27347105.28154951</v>
      </c>
    </row>
    <row r="340" spans="9:14" x14ac:dyDescent="0.15">
      <c r="I340" s="27">
        <v>337</v>
      </c>
      <c r="J340" s="26">
        <f>'[1]资源-钻石'!T340</f>
        <v>1746497.7346517409</v>
      </c>
      <c r="K340" s="26">
        <f>'[1]资源-钻石'!U340</f>
        <v>2489906.117983826</v>
      </c>
      <c r="L340" s="26">
        <f>'[1]资源-钻石'!V340</f>
        <v>4245898.7297822088</v>
      </c>
      <c r="M340" s="26">
        <f>'[1]资源-钻石'!W340</f>
        <v>11447258.60276043</v>
      </c>
      <c r="N340" s="26">
        <f>'[1]资源-钻石'!X340</f>
        <v>27418742.084752377</v>
      </c>
    </row>
    <row r="341" spans="9:14" x14ac:dyDescent="0.15">
      <c r="I341" s="27">
        <v>338</v>
      </c>
      <c r="J341" s="26">
        <f>'[1]资源-钻石'!T341</f>
        <v>1751331.7307879352</v>
      </c>
      <c r="K341" s="26">
        <f>'[1]资源-钻石'!U341</f>
        <v>2497285.1616382794</v>
      </c>
      <c r="L341" s="26">
        <f>'[1]资源-钻石'!V341</f>
        <v>4258467.6778021073</v>
      </c>
      <c r="M341" s="26">
        <f>'[1]资源-钻石'!W341</f>
        <v>11481104.445582319</v>
      </c>
      <c r="N341" s="26">
        <f>'[1]资源-钻石'!X341</f>
        <v>27490378.887955248</v>
      </c>
    </row>
    <row r="342" spans="9:14" x14ac:dyDescent="0.15">
      <c r="I342" s="25">
        <v>339</v>
      </c>
      <c r="J342" s="26">
        <f>'[1]资源-钻石'!T342</f>
        <v>1756165.7269241295</v>
      </c>
      <c r="K342" s="26">
        <f>'[1]资源-钻石'!U342</f>
        <v>2504664.2052927329</v>
      </c>
      <c r="L342" s="26">
        <f>'[1]资源-钻石'!V342</f>
        <v>4271036.6258220067</v>
      </c>
      <c r="M342" s="26">
        <f>'[1]资源-钻石'!W342</f>
        <v>11514950.288404208</v>
      </c>
      <c r="N342" s="26">
        <f>'[1]资源-钻石'!X342</f>
        <v>27562015.691158116</v>
      </c>
    </row>
    <row r="343" spans="9:14" x14ac:dyDescent="0.15">
      <c r="I343" s="25">
        <v>340</v>
      </c>
      <c r="J343" s="26">
        <f>'[1]资源-钻石'!T343</f>
        <v>1760999.7230603236</v>
      </c>
      <c r="K343" s="26">
        <f>'[1]资源-钻石'!U343</f>
        <v>2512043.2489471869</v>
      </c>
      <c r="L343" s="26">
        <f>'[1]资源-钻石'!V343</f>
        <v>4283605.5738419052</v>
      </c>
      <c r="M343" s="26">
        <f>'[1]资源-钻石'!W343</f>
        <v>11548796.131226098</v>
      </c>
      <c r="N343" s="26">
        <f>'[1]资源-钻石'!X343</f>
        <v>27633652.494360987</v>
      </c>
    </row>
    <row r="344" spans="9:14" x14ac:dyDescent="0.15">
      <c r="I344" s="25">
        <v>341</v>
      </c>
      <c r="J344" s="26">
        <f>'[1]资源-钻石'!T344</f>
        <v>1765833.719196518</v>
      </c>
      <c r="K344" s="26">
        <f>'[1]资源-钻石'!U344</f>
        <v>2519422.2926016403</v>
      </c>
      <c r="L344" s="26">
        <f>'[1]资源-钻石'!V344</f>
        <v>4296174.5218618046</v>
      </c>
      <c r="M344" s="26">
        <f>'[1]资源-钻石'!W344</f>
        <v>11582641.974047987</v>
      </c>
      <c r="N344" s="26">
        <f>'[1]资源-钻石'!X344</f>
        <v>27705289.297563855</v>
      </c>
    </row>
    <row r="345" spans="9:14" x14ac:dyDescent="0.15">
      <c r="I345" s="25">
        <v>342</v>
      </c>
      <c r="J345" s="26">
        <f>'[1]资源-钻石'!T345</f>
        <v>1770667.715332712</v>
      </c>
      <c r="K345" s="26">
        <f>'[1]资源-钻石'!U345</f>
        <v>2526801.3362560938</v>
      </c>
      <c r="L345" s="26">
        <f>'[1]资源-钻石'!V345</f>
        <v>4308743.4698817041</v>
      </c>
      <c r="M345" s="26">
        <f>'[1]资源-钻石'!W345</f>
        <v>11616487.816869875</v>
      </c>
      <c r="N345" s="26">
        <f>'[1]资源-钻石'!X345</f>
        <v>27776926.100766726</v>
      </c>
    </row>
    <row r="346" spans="9:14" x14ac:dyDescent="0.15">
      <c r="I346" s="27">
        <v>343</v>
      </c>
      <c r="J346" s="26">
        <f>'[1]资源-钻石'!T346</f>
        <v>1775501.7114689064</v>
      </c>
      <c r="K346" s="26">
        <f>'[1]资源-钻石'!U346</f>
        <v>2534180.3799105478</v>
      </c>
      <c r="L346" s="26">
        <f>'[1]资源-钻石'!V346</f>
        <v>4321312.4179016026</v>
      </c>
      <c r="M346" s="26">
        <f>'[1]资源-钻石'!W346</f>
        <v>11650333.659691764</v>
      </c>
      <c r="N346" s="26">
        <f>'[1]资源-钻石'!X346</f>
        <v>27848562.903969593</v>
      </c>
    </row>
    <row r="347" spans="9:14" x14ac:dyDescent="0.15">
      <c r="I347" s="27">
        <v>344</v>
      </c>
      <c r="J347" s="26">
        <f>'[1]资源-钻石'!T347</f>
        <v>1780335.7076051005</v>
      </c>
      <c r="K347" s="26">
        <f>'[1]资源-钻石'!U347</f>
        <v>2541559.4235650012</v>
      </c>
      <c r="L347" s="26">
        <f>'[1]资源-钻石'!V347</f>
        <v>4333881.365921502</v>
      </c>
      <c r="M347" s="26">
        <f>'[1]资源-钻石'!W347</f>
        <v>11684179.502513653</v>
      </c>
      <c r="N347" s="26">
        <f>'[1]资源-钻石'!X347</f>
        <v>27920199.707172461</v>
      </c>
    </row>
    <row r="348" spans="9:14" x14ac:dyDescent="0.15">
      <c r="I348" s="25">
        <v>345</v>
      </c>
      <c r="J348" s="26">
        <f>'[1]资源-钻石'!T348</f>
        <v>1785169.7037412948</v>
      </c>
      <c r="K348" s="26">
        <f>'[1]资源-钻石'!U348</f>
        <v>2548938.4672194547</v>
      </c>
      <c r="L348" s="26">
        <f>'[1]资源-钻石'!V348</f>
        <v>4346450.3139414005</v>
      </c>
      <c r="M348" s="26">
        <f>'[1]资源-钻石'!W348</f>
        <v>11718025.345335541</v>
      </c>
      <c r="N348" s="26">
        <f>'[1]资源-钻石'!X348</f>
        <v>27991836.510375332</v>
      </c>
    </row>
    <row r="349" spans="9:14" x14ac:dyDescent="0.15">
      <c r="I349" s="25">
        <v>346</v>
      </c>
      <c r="J349" s="26">
        <f>'[1]资源-钻石'!T349</f>
        <v>1790003.6998774891</v>
      </c>
      <c r="K349" s="26">
        <f>'[1]资源-钻石'!U349</f>
        <v>2556317.5108739086</v>
      </c>
      <c r="L349" s="26">
        <f>'[1]资源-钻石'!V349</f>
        <v>4359019.2619612999</v>
      </c>
      <c r="M349" s="26">
        <f>'[1]资源-钻石'!W349</f>
        <v>11751871.18815743</v>
      </c>
      <c r="N349" s="26">
        <f>'[1]资源-钻石'!X349</f>
        <v>28063473.3135782</v>
      </c>
    </row>
    <row r="350" spans="9:14" x14ac:dyDescent="0.15">
      <c r="I350" s="25">
        <v>347</v>
      </c>
      <c r="J350" s="26">
        <f>'[1]资源-钻石'!T350</f>
        <v>1794837.6960136832</v>
      </c>
      <c r="K350" s="26">
        <f>'[1]资源-钻石'!U350</f>
        <v>2563696.5545283621</v>
      </c>
      <c r="L350" s="26">
        <f>'[1]资源-钻石'!V350</f>
        <v>4371588.2099811984</v>
      </c>
      <c r="M350" s="26">
        <f>'[1]资源-钻石'!W350</f>
        <v>11785717.03097932</v>
      </c>
      <c r="N350" s="26">
        <f>'[1]资源-钻石'!X350</f>
        <v>28135110.116781071</v>
      </c>
    </row>
    <row r="351" spans="9:14" x14ac:dyDescent="0.15">
      <c r="I351" s="25">
        <v>348</v>
      </c>
      <c r="J351" s="26">
        <f>'[1]资源-钻石'!T351</f>
        <v>1799671.6921498775</v>
      </c>
      <c r="K351" s="26">
        <f>'[1]资源-钻石'!U351</f>
        <v>2571075.5981828156</v>
      </c>
      <c r="L351" s="26">
        <f>'[1]资源-钻石'!V351</f>
        <v>4384157.1580010979</v>
      </c>
      <c r="M351" s="26">
        <f>'[1]资源-钻石'!W351</f>
        <v>11819562.873801209</v>
      </c>
      <c r="N351" s="26">
        <f>'[1]资源-钻石'!X351</f>
        <v>28206746.919983938</v>
      </c>
    </row>
    <row r="352" spans="9:14" x14ac:dyDescent="0.15">
      <c r="I352" s="27">
        <v>349</v>
      </c>
      <c r="J352" s="26">
        <f>'[1]资源-钻石'!T352</f>
        <v>1804505.6882860716</v>
      </c>
      <c r="K352" s="26">
        <f>'[1]资源-钻石'!U352</f>
        <v>2578454.6418372695</v>
      </c>
      <c r="L352" s="26">
        <f>'[1]资源-钻石'!V352</f>
        <v>4396726.1060209963</v>
      </c>
      <c r="M352" s="26">
        <f>'[1]资源-钻石'!W352</f>
        <v>11853408.716623098</v>
      </c>
      <c r="N352" s="26">
        <f>'[1]资源-钻石'!X352</f>
        <v>28278383.72318681</v>
      </c>
    </row>
    <row r="353" spans="9:14" x14ac:dyDescent="0.15">
      <c r="I353" s="27">
        <v>350</v>
      </c>
      <c r="J353" s="26">
        <f>'[1]资源-钻石'!T353</f>
        <v>1809339.684422266</v>
      </c>
      <c r="K353" s="26">
        <f>'[1]资源-钻石'!U353</f>
        <v>2585833.685491723</v>
      </c>
      <c r="L353" s="26">
        <f>'[1]资源-钻石'!V353</f>
        <v>4409295.0540408958</v>
      </c>
      <c r="M353" s="26">
        <f>'[1]资源-钻石'!W353</f>
        <v>11887254.559444986</v>
      </c>
      <c r="N353" s="26">
        <f>'[1]资源-钻石'!X353</f>
        <v>28350020.526389677</v>
      </c>
    </row>
    <row r="354" spans="9:14" x14ac:dyDescent="0.15">
      <c r="I354" s="25">
        <v>351</v>
      </c>
      <c r="J354" s="26">
        <f>'[1]资源-钻石'!T354</f>
        <v>1814173.6805584601</v>
      </c>
      <c r="K354" s="26">
        <f>'[1]资源-钻石'!U354</f>
        <v>2593212.7291461765</v>
      </c>
      <c r="L354" s="26">
        <f>'[1]资源-钻石'!V354</f>
        <v>4421864.0020607943</v>
      </c>
      <c r="M354" s="26">
        <f>'[1]资源-钻石'!W354</f>
        <v>11921100.402266875</v>
      </c>
      <c r="N354" s="26">
        <f>'[1]资源-钻石'!X354</f>
        <v>28421657.329592548</v>
      </c>
    </row>
    <row r="355" spans="9:14" x14ac:dyDescent="0.15">
      <c r="I355" s="25">
        <v>352</v>
      </c>
      <c r="J355" s="26">
        <f>'[1]资源-钻石'!T355</f>
        <v>1819007.6766946544</v>
      </c>
      <c r="K355" s="26">
        <f>'[1]资源-钻石'!U355</f>
        <v>2600591.77280063</v>
      </c>
      <c r="L355" s="26">
        <f>'[1]资源-钻石'!V355</f>
        <v>4434432.9500806937</v>
      </c>
      <c r="M355" s="26">
        <f>'[1]资源-钻石'!W355</f>
        <v>11954946.245088764</v>
      </c>
      <c r="N355" s="26">
        <f>'[1]资源-钻石'!X355</f>
        <v>28493294.132795416</v>
      </c>
    </row>
    <row r="356" spans="9:14" x14ac:dyDescent="0.15">
      <c r="I356" s="25">
        <v>353</v>
      </c>
      <c r="J356" s="26">
        <f>'[1]资源-钻石'!T356</f>
        <v>1823841.6728308485</v>
      </c>
      <c r="K356" s="26">
        <f>'[1]资源-钻石'!U356</f>
        <v>2607970.8164550839</v>
      </c>
      <c r="L356" s="26">
        <f>'[1]资源-钻石'!V356</f>
        <v>4447001.8981005922</v>
      </c>
      <c r="M356" s="26">
        <f>'[1]资源-钻石'!W356</f>
        <v>11988792.087910652</v>
      </c>
      <c r="N356" s="26">
        <f>'[1]资源-钻石'!X356</f>
        <v>28564930.935998283</v>
      </c>
    </row>
    <row r="357" spans="9:14" x14ac:dyDescent="0.15">
      <c r="I357" s="27">
        <v>354</v>
      </c>
      <c r="J357" s="26">
        <f>'[1]资源-钻石'!T357</f>
        <v>1828675.6689670428</v>
      </c>
      <c r="K357" s="26">
        <f>'[1]资源-钻石'!U357</f>
        <v>2615349.8601095374</v>
      </c>
      <c r="L357" s="26">
        <f>'[1]资源-钻石'!V357</f>
        <v>4459151.0702398699</v>
      </c>
      <c r="M357" s="26">
        <f>'[1]资源-钻石'!W357</f>
        <v>12022637.930732543</v>
      </c>
      <c r="N357" s="26">
        <f>'[1]资源-钻石'!X357</f>
        <v>28636567.739201155</v>
      </c>
    </row>
    <row r="358" spans="9:14" x14ac:dyDescent="0.15">
      <c r="I358" s="27">
        <v>355</v>
      </c>
      <c r="J358" s="26">
        <f>'[1]资源-钻石'!T358</f>
        <v>1833509.6651032371</v>
      </c>
      <c r="K358" s="26">
        <f>'[1]资源-钻石'!U358</f>
        <v>2622728.9037639908</v>
      </c>
      <c r="L358" s="26">
        <f>'[1]资源-钻石'!V358</f>
        <v>4469931.4546439946</v>
      </c>
      <c r="M358" s="26">
        <f>'[1]资源-钻石'!W358</f>
        <v>12056483.773554431</v>
      </c>
      <c r="N358" s="26">
        <f>'[1]资源-钻石'!X358</f>
        <v>28708204.542404022</v>
      </c>
    </row>
    <row r="359" spans="9:14" x14ac:dyDescent="0.15">
      <c r="I359" s="25">
        <v>356</v>
      </c>
      <c r="J359" s="26">
        <f>'[1]资源-钻石'!T359</f>
        <v>1838343.6612394312</v>
      </c>
      <c r="K359" s="26">
        <f>'[1]资源-钻石'!U359</f>
        <v>2630107.9474184448</v>
      </c>
      <c r="L359" s="26">
        <f>'[1]资源-钻石'!V359</f>
        <v>4480711.8390481202</v>
      </c>
      <c r="M359" s="26">
        <f>'[1]资源-钻石'!W359</f>
        <v>12089455.126217041</v>
      </c>
      <c r="N359" s="26">
        <f>'[1]资源-钻石'!X359</f>
        <v>28779841.345606893</v>
      </c>
    </row>
    <row r="360" spans="9:14" x14ac:dyDescent="0.15">
      <c r="I360" s="25">
        <v>357</v>
      </c>
      <c r="J360" s="26">
        <f>'[1]资源-钻石'!T360</f>
        <v>1843177.6573756256</v>
      </c>
      <c r="K360" s="26">
        <f>'[1]资源-钻石'!U360</f>
        <v>2637486.9910728983</v>
      </c>
      <c r="L360" s="26">
        <f>'[1]资源-钻石'!V360</f>
        <v>4491492.2234522449</v>
      </c>
      <c r="M360" s="26">
        <f>'[1]资源-钻石'!W360</f>
        <v>12120553.199223181</v>
      </c>
      <c r="N360" s="26">
        <f>'[1]资源-钻石'!X360</f>
        <v>28851478.148809761</v>
      </c>
    </row>
    <row r="361" spans="9:14" x14ac:dyDescent="0.15">
      <c r="I361" s="25">
        <v>358</v>
      </c>
      <c r="J361" s="26">
        <f>'[1]资源-钻石'!T361</f>
        <v>1848011.6535118197</v>
      </c>
      <c r="K361" s="26">
        <f>'[1]资源-钻石'!U361</f>
        <v>2644866.0347273517</v>
      </c>
      <c r="L361" s="26">
        <f>'[1]资源-钻石'!V361</f>
        <v>4502272.6078563705</v>
      </c>
      <c r="M361" s="26">
        <f>'[1]资源-钻石'!W361</f>
        <v>12151651.272229321</v>
      </c>
      <c r="N361" s="26">
        <f>'[1]资源-钻石'!X361</f>
        <v>28923114.952012632</v>
      </c>
    </row>
    <row r="362" spans="9:14" x14ac:dyDescent="0.15">
      <c r="I362" s="27">
        <v>359</v>
      </c>
      <c r="J362" s="26">
        <f>'[1]资源-钻石'!T362</f>
        <v>1852845.649648014</v>
      </c>
      <c r="K362" s="26">
        <f>'[1]资源-钻石'!U362</f>
        <v>2651805.4801967652</v>
      </c>
      <c r="L362" s="26">
        <f>'[1]资源-钻石'!V362</f>
        <v>4513052.9922604952</v>
      </c>
      <c r="M362" s="26">
        <f>'[1]资源-钻石'!W362</f>
        <v>12182749.345235463</v>
      </c>
      <c r="N362" s="26">
        <f>'[1]资源-钻石'!X362</f>
        <v>28994751.7552155</v>
      </c>
    </row>
    <row r="363" spans="9:14" x14ac:dyDescent="0.15">
      <c r="I363" s="25">
        <v>360</v>
      </c>
      <c r="J363" s="26">
        <f>'[1]资源-钻石'!T363</f>
        <v>1857679.6457842081</v>
      </c>
      <c r="K363" s="26">
        <f>'[1]资源-钻石'!U363</f>
        <v>2658570.114733153</v>
      </c>
      <c r="L363" s="26">
        <f>'[1]资源-钻石'!V363</f>
        <v>4523833.3766646208</v>
      </c>
      <c r="M363" s="26">
        <f>'[1]资源-钻石'!W363</f>
        <v>12213847.418241603</v>
      </c>
      <c r="N363" s="26">
        <f>'[1]资源-钻石'!X363</f>
        <v>29066388.558418371</v>
      </c>
    </row>
    <row r="364" spans="9:14" x14ac:dyDescent="0.15">
      <c r="I364" s="25">
        <v>361</v>
      </c>
      <c r="J364" s="26">
        <f>'[1]资源-钻石'!T364</f>
        <v>1862513.6419204024</v>
      </c>
      <c r="K364" s="26">
        <f>'[1]资源-钻石'!U364</f>
        <v>2665334.7492695409</v>
      </c>
      <c r="L364" s="26">
        <f>'[1]资源-钻石'!V364</f>
        <v>4534613.7610687455</v>
      </c>
      <c r="M364" s="26">
        <f>'[1]资源-钻石'!W364</f>
        <v>12244945.491247743</v>
      </c>
      <c r="N364" s="26">
        <f>'[1]资源-钻石'!X364</f>
        <v>29137365.341176849</v>
      </c>
    </row>
    <row r="365" spans="9:14" x14ac:dyDescent="0.15">
      <c r="I365" s="27">
        <v>362</v>
      </c>
      <c r="J365" s="26">
        <f>'[1]资源-钻石'!T365</f>
        <v>1867036.4386184732</v>
      </c>
      <c r="K365" s="26">
        <f>'[1]资源-钻石'!U365</f>
        <v>2672099.3838059288</v>
      </c>
      <c r="L365" s="26">
        <f>'[1]资源-钻石'!V365</f>
        <v>4545394.1454728711</v>
      </c>
      <c r="M365" s="26">
        <f>'[1]资源-钻石'!W365</f>
        <v>12276043.564253883</v>
      </c>
      <c r="N365" s="26">
        <f>'[1]资源-钻石'!X365</f>
        <v>29207689.92727419</v>
      </c>
    </row>
    <row r="366" spans="9:14" x14ac:dyDescent="0.15">
      <c r="I366" s="25">
        <v>363</v>
      </c>
      <c r="J366" s="26">
        <f>'[1]资源-钻石'!T366</f>
        <v>1871546.7164945039</v>
      </c>
      <c r="K366" s="26">
        <f>'[1]资源-钻石'!U366</f>
        <v>2678864.0183423166</v>
      </c>
      <c r="L366" s="26">
        <f>'[1]资源-钻石'!V366</f>
        <v>4556174.5298769958</v>
      </c>
      <c r="M366" s="26">
        <f>'[1]资源-钻石'!W366</f>
        <v>12307141.637260025</v>
      </c>
      <c r="N366" s="26">
        <f>'[1]资源-钻石'!X366</f>
        <v>29278014.513371531</v>
      </c>
    </row>
    <row r="367" spans="9:14" x14ac:dyDescent="0.15">
      <c r="I367" s="25">
        <v>364</v>
      </c>
      <c r="J367" s="26">
        <f>'[1]资源-钻石'!T367</f>
        <v>1876056.9943705346</v>
      </c>
      <c r="K367" s="26">
        <f>'[1]资源-钻石'!U367</f>
        <v>2685628.6528787045</v>
      </c>
      <c r="L367" s="26">
        <f>'[1]资源-钻石'!V367</f>
        <v>4566954.9142811215</v>
      </c>
      <c r="M367" s="26">
        <f>'[1]资源-钻石'!W367</f>
        <v>12338239.710266165</v>
      </c>
      <c r="N367" s="26">
        <f>'[1]资源-钻石'!X367</f>
        <v>29348339.099468868</v>
      </c>
    </row>
    <row r="368" spans="9:14" x14ac:dyDescent="0.15">
      <c r="I368" s="25">
        <v>365</v>
      </c>
      <c r="J368" s="26">
        <f>'[1]资源-钻石'!T368</f>
        <v>1880567.2722465652</v>
      </c>
      <c r="K368" s="26">
        <f>'[1]资源-钻石'!U368</f>
        <v>2692393.2874150923</v>
      </c>
      <c r="L368" s="26">
        <f>'[1]资源-钻石'!V368</f>
        <v>4577735.2986852461</v>
      </c>
      <c r="M368" s="26">
        <f>'[1]资源-钻石'!W368</f>
        <v>12369337.783272306</v>
      </c>
      <c r="N368" s="26">
        <f>'[1]资源-钻石'!X368</f>
        <v>29418663.685566209</v>
      </c>
    </row>
    <row r="369" spans="9:14" x14ac:dyDescent="0.15">
      <c r="I369" s="25">
        <v>366</v>
      </c>
      <c r="J369" s="26">
        <f>'[1]资源-钻石'!T369</f>
        <v>1885077.5501225961</v>
      </c>
      <c r="K369" s="26">
        <f>'[1]资源-钻石'!U369</f>
        <v>2699157.9219514802</v>
      </c>
      <c r="L369" s="26">
        <f>'[1]资源-钻石'!V369</f>
        <v>4588515.6830893718</v>
      </c>
      <c r="M369" s="26">
        <f>'[1]资源-钻石'!W369</f>
        <v>12400435.856278447</v>
      </c>
      <c r="N369" s="26">
        <f>'[1]资源-钻石'!X369</f>
        <v>29488988.271663547</v>
      </c>
    </row>
    <row r="370" spans="9:14" x14ac:dyDescent="0.15">
      <c r="I370" s="25">
        <v>367</v>
      </c>
      <c r="J370" s="26">
        <f>'[1]资源-钻石'!T370</f>
        <v>1889587.8279986267</v>
      </c>
      <c r="K370" s="26">
        <f>'[1]资源-钻石'!U370</f>
        <v>2705922.5564878681</v>
      </c>
      <c r="L370" s="26">
        <f>'[1]资源-钻石'!V370</f>
        <v>4599296.0674934965</v>
      </c>
      <c r="M370" s="26">
        <f>'[1]资源-钻石'!W370</f>
        <v>12431533.929284588</v>
      </c>
      <c r="N370" s="26">
        <f>'[1]资源-钻石'!X370</f>
        <v>29559312.857760888</v>
      </c>
    </row>
    <row r="371" spans="9:14" x14ac:dyDescent="0.15">
      <c r="I371" s="27">
        <v>368</v>
      </c>
      <c r="J371" s="26">
        <f>'[1]资源-钻石'!T371</f>
        <v>1894098.1058746574</v>
      </c>
      <c r="K371" s="26">
        <f>'[1]资源-钻石'!U371</f>
        <v>2712687.1910242559</v>
      </c>
      <c r="L371" s="26">
        <f>'[1]资源-钻石'!V371</f>
        <v>4610076.4518976212</v>
      </c>
      <c r="M371" s="26">
        <f>'[1]资源-钻石'!W371</f>
        <v>12462632.002290728</v>
      </c>
      <c r="N371" s="26">
        <f>'[1]资源-钻石'!X371</f>
        <v>29629637.443858225</v>
      </c>
    </row>
    <row r="372" spans="9:14" x14ac:dyDescent="0.15">
      <c r="I372" s="25">
        <v>369</v>
      </c>
      <c r="J372" s="26">
        <f>'[1]资源-钻石'!T372</f>
        <v>1898608.3837506881</v>
      </c>
      <c r="K372" s="26">
        <f>'[1]资源-钻石'!U372</f>
        <v>2719451.8255606438</v>
      </c>
      <c r="L372" s="26">
        <f>'[1]资源-钻石'!V372</f>
        <v>4620856.8363017468</v>
      </c>
      <c r="M372" s="26">
        <f>'[1]资源-钻石'!W372</f>
        <v>12493730.075296868</v>
      </c>
      <c r="N372" s="26">
        <f>'[1]资源-钻石'!X372</f>
        <v>29699962.029955566</v>
      </c>
    </row>
    <row r="373" spans="9:14" x14ac:dyDescent="0.15">
      <c r="I373" s="25">
        <v>370</v>
      </c>
      <c r="J373" s="26">
        <f>'[1]资源-钻石'!T373</f>
        <v>1903118.6616267187</v>
      </c>
      <c r="K373" s="26">
        <f>'[1]资源-钻石'!U373</f>
        <v>2726216.4600970317</v>
      </c>
      <c r="L373" s="26">
        <f>'[1]资源-钻石'!V373</f>
        <v>4631637.2207058715</v>
      </c>
      <c r="M373" s="26">
        <f>'[1]资源-钻石'!W373</f>
        <v>12524828.14830301</v>
      </c>
      <c r="N373" s="26">
        <f>'[1]资源-钻石'!X373</f>
        <v>29770286.616052903</v>
      </c>
    </row>
    <row r="374" spans="9:14" x14ac:dyDescent="0.15">
      <c r="I374" s="27">
        <v>371</v>
      </c>
      <c r="J374" s="26">
        <f>'[1]资源-钻石'!T374</f>
        <v>1907628.9395027494</v>
      </c>
      <c r="K374" s="26">
        <f>'[1]资源-钻石'!U374</f>
        <v>2732981.0946334195</v>
      </c>
      <c r="L374" s="26">
        <f>'[1]资源-钻石'!V374</f>
        <v>4642417.6051099971</v>
      </c>
      <c r="M374" s="26">
        <f>'[1]资源-钻石'!W374</f>
        <v>12555926.22130915</v>
      </c>
      <c r="N374" s="26">
        <f>'[1]资源-钻石'!X374</f>
        <v>29840611.202150244</v>
      </c>
    </row>
    <row r="375" spans="9:14" x14ac:dyDescent="0.15">
      <c r="I375" s="25">
        <v>372</v>
      </c>
      <c r="J375" s="26">
        <f>'[1]资源-钻石'!T375</f>
        <v>1912139.21737878</v>
      </c>
      <c r="K375" s="26">
        <f>'[1]资源-钻石'!U375</f>
        <v>2739745.7291698074</v>
      </c>
      <c r="L375" s="26">
        <f>'[1]资源-钻石'!V375</f>
        <v>4653197.9895141218</v>
      </c>
      <c r="M375" s="26">
        <f>'[1]资源-钻石'!W375</f>
        <v>12587024.29431529</v>
      </c>
      <c r="N375" s="26">
        <f>'[1]资源-钻石'!X375</f>
        <v>29910935.788247582</v>
      </c>
    </row>
    <row r="376" spans="9:14" x14ac:dyDescent="0.15">
      <c r="I376" s="25">
        <v>373</v>
      </c>
      <c r="J376" s="26">
        <f>'[1]资源-钻石'!T376</f>
        <v>1916649.4952548107</v>
      </c>
      <c r="K376" s="26">
        <f>'[1]资源-钻石'!U376</f>
        <v>2746510.3637061953</v>
      </c>
      <c r="L376" s="26">
        <f>'[1]资源-钻石'!V376</f>
        <v>4663978.3739182474</v>
      </c>
      <c r="M376" s="26">
        <f>'[1]资源-钻石'!W376</f>
        <v>12618122.367321432</v>
      </c>
      <c r="N376" s="26">
        <f>'[1]资源-钻石'!X376</f>
        <v>29981260.374344923</v>
      </c>
    </row>
    <row r="377" spans="9:14" x14ac:dyDescent="0.15">
      <c r="I377" s="25">
        <v>374</v>
      </c>
      <c r="J377" s="26">
        <f>'[1]资源-钻石'!T377</f>
        <v>1921159.7731308413</v>
      </c>
      <c r="K377" s="26">
        <f>'[1]资源-钻石'!U377</f>
        <v>2753274.9982425831</v>
      </c>
      <c r="L377" s="26">
        <f>'[1]资源-钻石'!V377</f>
        <v>4674758.7583223721</v>
      </c>
      <c r="M377" s="26">
        <f>'[1]资源-钻石'!W377</f>
        <v>12649220.440327572</v>
      </c>
      <c r="N377" s="26">
        <f>'[1]资源-钻石'!X377</f>
        <v>30051584.96044226</v>
      </c>
    </row>
    <row r="378" spans="9:14" x14ac:dyDescent="0.15">
      <c r="I378" s="25">
        <v>375</v>
      </c>
      <c r="J378" s="26">
        <f>'[1]资源-钻石'!T378</f>
        <v>1925670.051006872</v>
      </c>
      <c r="K378" s="26">
        <f>'[1]资源-钻石'!U378</f>
        <v>2760039.632778971</v>
      </c>
      <c r="L378" s="26">
        <f>'[1]资源-钻石'!V378</f>
        <v>4685539.1427264977</v>
      </c>
      <c r="M378" s="26">
        <f>'[1]资源-钻石'!W378</f>
        <v>12680318.513333712</v>
      </c>
      <c r="N378" s="26">
        <f>'[1]资源-钻石'!X378</f>
        <v>30121909.546539601</v>
      </c>
    </row>
    <row r="379" spans="9:14" x14ac:dyDescent="0.15">
      <c r="I379" s="25">
        <v>376</v>
      </c>
      <c r="J379" s="26">
        <f>'[1]资源-钻石'!T379</f>
        <v>1930180.3288829026</v>
      </c>
      <c r="K379" s="26">
        <f>'[1]资源-钻石'!U379</f>
        <v>2766804.2673153589</v>
      </c>
      <c r="L379" s="26">
        <f>'[1]资源-钻石'!V379</f>
        <v>4696319.5271306224</v>
      </c>
      <c r="M379" s="26">
        <f>'[1]资源-钻石'!W379</f>
        <v>12711416.586339852</v>
      </c>
      <c r="N379" s="26">
        <f>'[1]资源-钻石'!X379</f>
        <v>30192234.132636942</v>
      </c>
    </row>
    <row r="380" spans="9:14" x14ac:dyDescent="0.15">
      <c r="I380" s="27">
        <v>377</v>
      </c>
      <c r="J380" s="26">
        <f>'[1]资源-钻石'!T380</f>
        <v>1934690.6067589333</v>
      </c>
      <c r="K380" s="26">
        <f>'[1]资源-钻石'!U380</f>
        <v>2773568.9018517467</v>
      </c>
      <c r="L380" s="26">
        <f>'[1]资源-钻石'!V380</f>
        <v>4707099.911534748</v>
      </c>
      <c r="M380" s="26">
        <f>'[1]资源-钻石'!W380</f>
        <v>12742514.659345994</v>
      </c>
      <c r="N380" s="26">
        <f>'[1]资源-钻石'!X380</f>
        <v>30262558.718734279</v>
      </c>
    </row>
    <row r="381" spans="9:14" x14ac:dyDescent="0.15">
      <c r="I381" s="25">
        <v>378</v>
      </c>
      <c r="J381" s="26">
        <f>'[1]资源-钻石'!T381</f>
        <v>1939200.8846349642</v>
      </c>
      <c r="K381" s="26">
        <f>'[1]资源-钻石'!U381</f>
        <v>2780333.5363881346</v>
      </c>
      <c r="L381" s="26">
        <f>'[1]资源-钻石'!V381</f>
        <v>4717880.2959388727</v>
      </c>
      <c r="M381" s="26">
        <f>'[1]资源-钻石'!W381</f>
        <v>12773612.732352134</v>
      </c>
      <c r="N381" s="26">
        <f>'[1]资源-钻石'!X381</f>
        <v>30332883.30483162</v>
      </c>
    </row>
    <row r="382" spans="9:14" x14ac:dyDescent="0.15">
      <c r="I382" s="25">
        <v>379</v>
      </c>
      <c r="J382" s="26">
        <f>'[1]资源-钻石'!T382</f>
        <v>1943711.1625109948</v>
      </c>
      <c r="K382" s="26">
        <f>'[1]资源-钻石'!U382</f>
        <v>2787098.1709245224</v>
      </c>
      <c r="L382" s="26">
        <f>'[1]资源-钻石'!V382</f>
        <v>4728205.3603542559</v>
      </c>
      <c r="M382" s="26">
        <f>'[1]资源-钻石'!W382</f>
        <v>12804710.805358274</v>
      </c>
      <c r="N382" s="26">
        <f>'[1]资源-钻石'!X382</f>
        <v>30403207.890928958</v>
      </c>
    </row>
    <row r="383" spans="9:14" x14ac:dyDescent="0.15">
      <c r="I383" s="27">
        <v>380</v>
      </c>
      <c r="J383" s="26">
        <f>'[1]资源-钻石'!T383</f>
        <v>1948221.4403870255</v>
      </c>
      <c r="K383" s="26">
        <f>'[1]资源-钻石'!U383</f>
        <v>2793862.8054609103</v>
      </c>
      <c r="L383" s="26">
        <f>'[1]资源-钻石'!V383</f>
        <v>4738173.9749990096</v>
      </c>
      <c r="M383" s="26">
        <f>'[1]资源-钻石'!W383</f>
        <v>12835808.878364416</v>
      </c>
      <c r="N383" s="26">
        <f>'[1]资源-钻石'!X383</f>
        <v>30473532.477026299</v>
      </c>
    </row>
    <row r="384" spans="9:14" x14ac:dyDescent="0.15">
      <c r="I384" s="25">
        <v>381</v>
      </c>
      <c r="J384" s="26">
        <f>'[1]资源-钻石'!T384</f>
        <v>1952731.7182630561</v>
      </c>
      <c r="K384" s="26">
        <f>'[1]资源-钻石'!U384</f>
        <v>2800627.4399972982</v>
      </c>
      <c r="L384" s="26">
        <f>'[1]资源-钻石'!V384</f>
        <v>4748142.5896437624</v>
      </c>
      <c r="M384" s="26">
        <f>'[1]资源-钻石'!W384</f>
        <v>12864255.476106184</v>
      </c>
      <c r="N384" s="26">
        <f>'[1]资源-钻石'!X384</f>
        <v>30543857.063123636</v>
      </c>
    </row>
    <row r="385" spans="9:14" x14ac:dyDescent="0.15">
      <c r="I385" s="25">
        <v>382</v>
      </c>
      <c r="J385" s="26">
        <f>'[1]资源-钻石'!T385</f>
        <v>1957241.9961390868</v>
      </c>
      <c r="K385" s="26">
        <f>'[1]资源-钻石'!U385</f>
        <v>2807392.074533686</v>
      </c>
      <c r="L385" s="26">
        <f>'[1]资源-钻石'!V385</f>
        <v>4758111.2042885162</v>
      </c>
      <c r="M385" s="26">
        <f>'[1]资源-钻石'!W385</f>
        <v>12890985.315689495</v>
      </c>
      <c r="N385" s="26">
        <f>'[1]资源-钻石'!X385</f>
        <v>30614181.649220977</v>
      </c>
    </row>
    <row r="386" spans="9:14" x14ac:dyDescent="0.15">
      <c r="I386" s="25">
        <v>383</v>
      </c>
      <c r="J386" s="26">
        <f>'[1]资源-钻石'!T386</f>
        <v>1961752.2740151174</v>
      </c>
      <c r="K386" s="26">
        <f>'[1]资源-钻石'!U386</f>
        <v>2814156.7090700739</v>
      </c>
      <c r="L386" s="26">
        <f>'[1]资源-钻石'!V386</f>
        <v>4768079.818933269</v>
      </c>
      <c r="M386" s="26">
        <f>'[1]资源-钻石'!W386</f>
        <v>12917715.155272808</v>
      </c>
      <c r="N386" s="26">
        <f>'[1]资源-钻石'!X386</f>
        <v>30684506.235318314</v>
      </c>
    </row>
    <row r="387" spans="9:14" x14ac:dyDescent="0.15">
      <c r="I387" s="25">
        <v>384</v>
      </c>
      <c r="J387" s="26">
        <f>'[1]资源-钻石'!T387</f>
        <v>1966262.5518911481</v>
      </c>
      <c r="K387" s="26">
        <f>'[1]资源-钻石'!U387</f>
        <v>2820921.3436064618</v>
      </c>
      <c r="L387" s="26">
        <f>'[1]资源-钻石'!V387</f>
        <v>4778048.4335780218</v>
      </c>
      <c r="M387" s="26">
        <f>'[1]资源-钻石'!W387</f>
        <v>12944444.994856121</v>
      </c>
      <c r="N387" s="26">
        <f>'[1]资源-钻石'!X387</f>
        <v>30754830.821415655</v>
      </c>
    </row>
    <row r="388" spans="9:14" x14ac:dyDescent="0.15">
      <c r="I388" s="25">
        <v>385</v>
      </c>
      <c r="J388" s="26">
        <f>'[1]资源-钻石'!T388</f>
        <v>1970772.8297671787</v>
      </c>
      <c r="K388" s="26">
        <f>'[1]资源-钻石'!U388</f>
        <v>2827656.33177274</v>
      </c>
      <c r="L388" s="26">
        <f>'[1]资源-钻石'!V388</f>
        <v>4788017.0482227756</v>
      </c>
      <c r="M388" s="26">
        <f>'[1]资源-钻石'!W388</f>
        <v>12971174.834439434</v>
      </c>
      <c r="N388" s="26">
        <f>'[1]资源-钻石'!X388</f>
        <v>30825155.407512993</v>
      </c>
    </row>
    <row r="389" spans="9:14" x14ac:dyDescent="0.15">
      <c r="I389" s="27">
        <v>386</v>
      </c>
      <c r="J389" s="26">
        <f>'[1]资源-钻石'!T389</f>
        <v>1975283.1076432094</v>
      </c>
      <c r="K389" s="26">
        <f>'[1]资源-钻石'!U389</f>
        <v>2834290.1478072968</v>
      </c>
      <c r="L389" s="26">
        <f>'[1]资源-钻石'!V389</f>
        <v>4797985.6628675284</v>
      </c>
      <c r="M389" s="26">
        <f>'[1]资源-钻石'!W389</f>
        <v>12997904.674022745</v>
      </c>
      <c r="N389" s="26">
        <f>'[1]资源-钻石'!X389</f>
        <v>30895479.993610334</v>
      </c>
    </row>
    <row r="390" spans="9:14" x14ac:dyDescent="0.15">
      <c r="I390" s="25">
        <v>387</v>
      </c>
      <c r="J390" s="26">
        <f>'[1]资源-钻石'!T390</f>
        <v>1979793.3855192401</v>
      </c>
      <c r="K390" s="26">
        <f>'[1]资源-钻石'!U390</f>
        <v>2840923.9638418537</v>
      </c>
      <c r="L390" s="26">
        <f>'[1]资源-钻石'!V390</f>
        <v>4807954.2775122821</v>
      </c>
      <c r="M390" s="26">
        <f>'[1]资源-钻石'!W390</f>
        <v>13024634.513606058</v>
      </c>
      <c r="N390" s="26">
        <f>'[1]资源-钻石'!X390</f>
        <v>30965301.596916083</v>
      </c>
    </row>
    <row r="391" spans="9:14" x14ac:dyDescent="0.15">
      <c r="I391" s="25">
        <v>388</v>
      </c>
      <c r="J391" s="26">
        <f>'[1]资源-钻石'!T391</f>
        <v>1984008.7037019716</v>
      </c>
      <c r="K391" s="26">
        <f>'[1]资源-钻石'!U391</f>
        <v>2847557.7798764105</v>
      </c>
      <c r="L391" s="26">
        <f>'[1]资源-钻石'!V391</f>
        <v>4817922.8921570349</v>
      </c>
      <c r="M391" s="26">
        <f>'[1]资源-钻石'!W391</f>
        <v>13051364.353189372</v>
      </c>
      <c r="N391" s="26">
        <f>'[1]资源-钻石'!X391</f>
        <v>31034801.213090319</v>
      </c>
    </row>
    <row r="392" spans="9:14" x14ac:dyDescent="0.15">
      <c r="I392" s="27">
        <v>389</v>
      </c>
      <c r="J392" s="26">
        <f>'[1]资源-钻石'!T392</f>
        <v>1988216.9417613067</v>
      </c>
      <c r="K392" s="26">
        <f>'[1]资源-钻石'!U392</f>
        <v>2854191.5959109673</v>
      </c>
      <c r="L392" s="26">
        <f>'[1]资源-钻石'!V392</f>
        <v>4827891.5068017887</v>
      </c>
      <c r="M392" s="26">
        <f>'[1]资源-钻石'!W392</f>
        <v>13078094.192772685</v>
      </c>
      <c r="N392" s="26">
        <f>'[1]资源-钻石'!X392</f>
        <v>31104300.829264559</v>
      </c>
    </row>
    <row r="393" spans="9:14" x14ac:dyDescent="0.15">
      <c r="I393" s="25">
        <v>390</v>
      </c>
      <c r="J393" s="26">
        <f>'[1]资源-钻石'!T393</f>
        <v>1992425.1798206419</v>
      </c>
      <c r="K393" s="26">
        <f>'[1]资源-钻石'!U393</f>
        <v>2860825.4119455242</v>
      </c>
      <c r="L393" s="26">
        <f>'[1]资源-钻石'!V393</f>
        <v>4837860.1214465415</v>
      </c>
      <c r="M393" s="26">
        <f>'[1]资源-钻石'!W393</f>
        <v>13104824.032355996</v>
      </c>
      <c r="N393" s="26">
        <f>'[1]资源-钻石'!X393</f>
        <v>31173800.445438795</v>
      </c>
    </row>
    <row r="394" spans="9:14" x14ac:dyDescent="0.15">
      <c r="I394" s="25">
        <v>391</v>
      </c>
      <c r="J394" s="26">
        <f>'[1]资源-钻石'!T394</f>
        <v>1996633.4178799773</v>
      </c>
      <c r="K394" s="26">
        <f>'[1]资源-钻石'!U394</f>
        <v>2867459.227980081</v>
      </c>
      <c r="L394" s="26">
        <f>'[1]资源-钻石'!V394</f>
        <v>4847828.7360912953</v>
      </c>
      <c r="M394" s="26">
        <f>'[1]资源-钻石'!W394</f>
        <v>13131553.871939309</v>
      </c>
      <c r="N394" s="26">
        <f>'[1]资源-钻石'!X394</f>
        <v>31243300.061613034</v>
      </c>
    </row>
    <row r="395" spans="9:14" x14ac:dyDescent="0.15">
      <c r="I395" s="25">
        <v>392</v>
      </c>
      <c r="J395" s="26">
        <f>'[1]资源-钻石'!T395</f>
        <v>2000841.6559393124</v>
      </c>
      <c r="K395" s="26">
        <f>'[1]资源-钻石'!U395</f>
        <v>2874093.0440146378</v>
      </c>
      <c r="L395" s="26">
        <f>'[1]资源-钻石'!V395</f>
        <v>4857797.3507360481</v>
      </c>
      <c r="M395" s="26">
        <f>'[1]资源-钻石'!W395</f>
        <v>13158283.711522622</v>
      </c>
      <c r="N395" s="26">
        <f>'[1]资源-钻石'!X395</f>
        <v>31312799.67778727</v>
      </c>
    </row>
    <row r="396" spans="9:14" x14ac:dyDescent="0.15">
      <c r="I396" s="25">
        <v>393</v>
      </c>
      <c r="J396" s="26">
        <f>'[1]资源-钻石'!T396</f>
        <v>2005049.8939986476</v>
      </c>
      <c r="K396" s="26">
        <f>'[1]资源-钻石'!U396</f>
        <v>2880726.8600491947</v>
      </c>
      <c r="L396" s="26">
        <f>'[1]资源-钻石'!V396</f>
        <v>4867765.9653808018</v>
      </c>
      <c r="M396" s="26">
        <f>'[1]资源-钻石'!W396</f>
        <v>13185013.551105935</v>
      </c>
      <c r="N396" s="26">
        <f>'[1]资源-钻石'!X396</f>
        <v>31382299.293961506</v>
      </c>
    </row>
    <row r="397" spans="9:14" x14ac:dyDescent="0.15">
      <c r="I397" s="25">
        <v>394</v>
      </c>
      <c r="J397" s="26">
        <f>'[1]资源-钻石'!T397</f>
        <v>2009258.132057983</v>
      </c>
      <c r="K397" s="26">
        <f>'[1]资源-钻石'!U397</f>
        <v>2887360.6760837515</v>
      </c>
      <c r="L397" s="26">
        <f>'[1]资源-钻石'!V397</f>
        <v>4877734.5800255546</v>
      </c>
      <c r="M397" s="26">
        <f>'[1]资源-钻石'!W397</f>
        <v>13211743.390689246</v>
      </c>
      <c r="N397" s="26">
        <f>'[1]资源-钻石'!X397</f>
        <v>31451798.910135746</v>
      </c>
    </row>
    <row r="398" spans="9:14" x14ac:dyDescent="0.15">
      <c r="I398" s="27">
        <v>395</v>
      </c>
      <c r="J398" s="26">
        <f>'[1]资源-钻石'!T398</f>
        <v>2013466.3701173181</v>
      </c>
      <c r="K398" s="26">
        <f>'[1]资源-钻石'!U398</f>
        <v>2893994.4921183083</v>
      </c>
      <c r="L398" s="26">
        <f>'[1]资源-钻石'!V398</f>
        <v>4887703.1946703084</v>
      </c>
      <c r="M398" s="26">
        <f>'[1]资源-钻石'!W398</f>
        <v>13238473.230272559</v>
      </c>
      <c r="N398" s="26">
        <f>'[1]资源-钻石'!X398</f>
        <v>31521298.526309982</v>
      </c>
    </row>
    <row r="399" spans="9:14" x14ac:dyDescent="0.15">
      <c r="I399" s="25">
        <v>396</v>
      </c>
      <c r="J399" s="26">
        <f>'[1]资源-钻石'!T399</f>
        <v>2017674.6081766535</v>
      </c>
      <c r="K399" s="26">
        <f>'[1]资源-钻石'!U399</f>
        <v>2900628.3081528652</v>
      </c>
      <c r="L399" s="26">
        <f>'[1]资源-钻石'!V399</f>
        <v>4897671.8093150612</v>
      </c>
      <c r="M399" s="26">
        <f>'[1]资源-钻石'!W399</f>
        <v>13265203.069855873</v>
      </c>
      <c r="N399" s="26">
        <f>'[1]资源-钻石'!X399</f>
        <v>31590798.142484222</v>
      </c>
    </row>
    <row r="400" spans="9:14" x14ac:dyDescent="0.15">
      <c r="I400" s="25">
        <v>397</v>
      </c>
      <c r="J400" s="26">
        <f>'[1]资源-钻石'!T400</f>
        <v>2021882.8462359887</v>
      </c>
      <c r="K400" s="26">
        <f>'[1]资源-钻石'!U400</f>
        <v>2907262.124187422</v>
      </c>
      <c r="L400" s="26">
        <f>'[1]资源-钻石'!V400</f>
        <v>4907640.4239598149</v>
      </c>
      <c r="M400" s="26">
        <f>'[1]资源-钻石'!W400</f>
        <v>13291932.909439186</v>
      </c>
      <c r="N400" s="26">
        <f>'[1]资源-钻石'!X400</f>
        <v>31660297.758658458</v>
      </c>
    </row>
    <row r="401" spans="9:14" x14ac:dyDescent="0.15">
      <c r="I401" s="27">
        <v>398</v>
      </c>
      <c r="J401" s="26">
        <f>'[1]资源-钻石'!T401</f>
        <v>2026091.0842953238</v>
      </c>
      <c r="K401" s="26">
        <f>'[1]资源-钻石'!U401</f>
        <v>2913895.9402219788</v>
      </c>
      <c r="L401" s="26">
        <f>'[1]资源-钻石'!V401</f>
        <v>4917609.0386045678</v>
      </c>
      <c r="M401" s="26">
        <f>'[1]资源-钻石'!W401</f>
        <v>13318662.749022497</v>
      </c>
      <c r="N401" s="26">
        <f>'[1]资源-钻石'!X401</f>
        <v>31729797.374832697</v>
      </c>
    </row>
    <row r="402" spans="9:14" x14ac:dyDescent="0.15">
      <c r="I402" s="25">
        <v>399</v>
      </c>
      <c r="J402" s="26">
        <f>'[1]资源-钻石'!T402</f>
        <v>2030299.3223546592</v>
      </c>
      <c r="K402" s="26">
        <f>'[1]资源-钻石'!U402</f>
        <v>2920529.7562565356</v>
      </c>
      <c r="L402" s="26">
        <f>'[1]资源-钻石'!V402</f>
        <v>4927577.6532493215</v>
      </c>
      <c r="M402" s="26">
        <f>'[1]资源-钻石'!W402</f>
        <v>13345392.58860581</v>
      </c>
      <c r="N402" s="26">
        <f>'[1]资源-钻石'!X402</f>
        <v>31799296.991006933</v>
      </c>
    </row>
    <row r="403" spans="9:14" x14ac:dyDescent="0.15">
      <c r="I403" s="25">
        <v>400</v>
      </c>
      <c r="J403" s="26">
        <f>'[1]资源-钻石'!T403</f>
        <v>2034507.5604139944</v>
      </c>
      <c r="K403" s="26">
        <f>'[1]资源-钻石'!U403</f>
        <v>2927163.5722910925</v>
      </c>
      <c r="L403" s="26">
        <f>'[1]资源-钻石'!V403</f>
        <v>4937546.2678940743</v>
      </c>
      <c r="M403" s="26">
        <f>'[1]资源-钻石'!W403</f>
        <v>13372122.428189123</v>
      </c>
      <c r="N403" s="26">
        <f>'[1]资源-钻石'!X403</f>
        <v>31868796.607181169</v>
      </c>
    </row>
    <row r="404" spans="9:14" x14ac:dyDescent="0.15">
      <c r="I404" s="25">
        <v>401</v>
      </c>
      <c r="J404" s="26">
        <f>'[1]资源-钻石'!T404</f>
        <v>2038715.7984733295</v>
      </c>
      <c r="K404" s="26">
        <f>'[1]资源-钻石'!U404</f>
        <v>2933797.3883256493</v>
      </c>
      <c r="L404" s="26">
        <f>'[1]资源-钻石'!V404</f>
        <v>4947514.8825388271</v>
      </c>
      <c r="M404" s="26">
        <f>'[1]资源-钻石'!W404</f>
        <v>13398852.267772436</v>
      </c>
      <c r="N404" s="26">
        <f>'[1]资源-钻石'!X404</f>
        <v>31938296.223355409</v>
      </c>
    </row>
    <row r="405" spans="9:14" x14ac:dyDescent="0.15">
      <c r="I405" s="25">
        <v>402</v>
      </c>
      <c r="J405" s="26">
        <f>'[1]资源-钻石'!T405</f>
        <v>2042924.0365326649</v>
      </c>
      <c r="K405" s="26">
        <f>'[1]资源-钻石'!U405</f>
        <v>2940431.2043602061</v>
      </c>
      <c r="L405" s="26">
        <f>'[1]资源-钻石'!V405</f>
        <v>4957483.4971835809</v>
      </c>
      <c r="M405" s="26">
        <f>'[1]资源-钻石'!W405</f>
        <v>13425582.107355747</v>
      </c>
      <c r="N405" s="26">
        <f>'[1]资源-钻石'!X405</f>
        <v>32007795.839529645</v>
      </c>
    </row>
    <row r="406" spans="9:14" x14ac:dyDescent="0.15">
      <c r="I406" s="25">
        <v>403</v>
      </c>
      <c r="J406" s="26">
        <f>'[1]资源-钻石'!T406</f>
        <v>2047132.2745920001</v>
      </c>
      <c r="K406" s="26">
        <f>'[1]资源-钻石'!U406</f>
        <v>2947065.020394763</v>
      </c>
      <c r="L406" s="26">
        <f>'[1]资源-钻石'!V406</f>
        <v>4967452.1118283337</v>
      </c>
      <c r="M406" s="26">
        <f>'[1]资源-钻石'!W406</f>
        <v>13452311.94693906</v>
      </c>
      <c r="N406" s="26">
        <f>'[1]资源-钻石'!X406</f>
        <v>32077295.455703884</v>
      </c>
    </row>
    <row r="407" spans="9:14" x14ac:dyDescent="0.15">
      <c r="I407" s="27">
        <v>404</v>
      </c>
      <c r="J407" s="26">
        <f>'[1]资源-钻石'!T407</f>
        <v>2051340.5126513352</v>
      </c>
      <c r="K407" s="26">
        <f>'[1]资源-钻石'!U407</f>
        <v>2953698.8364293198</v>
      </c>
      <c r="L407" s="26">
        <f>'[1]资源-钻石'!V407</f>
        <v>4977420.7264730874</v>
      </c>
      <c r="M407" s="26">
        <f>'[1]资源-钻石'!W407</f>
        <v>13479041.786522374</v>
      </c>
      <c r="N407" s="26">
        <f>'[1]资源-钻石'!X407</f>
        <v>32146795.07187812</v>
      </c>
    </row>
    <row r="408" spans="9:14" x14ac:dyDescent="0.15">
      <c r="I408" s="25">
        <v>405</v>
      </c>
      <c r="J408" s="26">
        <f>'[1]资源-钻石'!T408</f>
        <v>2055548.7507106706</v>
      </c>
      <c r="K408" s="26">
        <f>'[1]资源-钻石'!U408</f>
        <v>2960332.6524638766</v>
      </c>
      <c r="L408" s="26">
        <f>'[1]资源-钻石'!V408</f>
        <v>4987389.3411178403</v>
      </c>
      <c r="M408" s="26">
        <f>'[1]资源-钻石'!W408</f>
        <v>13505771.626105687</v>
      </c>
      <c r="N408" s="26">
        <f>'[1]资源-钻石'!X408</f>
        <v>32216294.68805236</v>
      </c>
    </row>
    <row r="409" spans="9:14" x14ac:dyDescent="0.15">
      <c r="I409" s="25">
        <v>406</v>
      </c>
      <c r="J409" s="26">
        <f>'[1]资源-钻石'!T409</f>
        <v>2059756.9887700058</v>
      </c>
      <c r="K409" s="26">
        <f>'[1]资源-钻石'!U409</f>
        <v>2966966.4684984335</v>
      </c>
      <c r="L409" s="26">
        <f>'[1]资源-钻石'!V409</f>
        <v>4996782.8136878107</v>
      </c>
      <c r="M409" s="26">
        <f>'[1]资源-钻石'!W409</f>
        <v>13532501.465688998</v>
      </c>
      <c r="N409" s="26">
        <f>'[1]资源-钻石'!X409</f>
        <v>32285794.304226596</v>
      </c>
    </row>
    <row r="410" spans="9:14" x14ac:dyDescent="0.15">
      <c r="I410" s="27">
        <v>407</v>
      </c>
      <c r="J410" s="26">
        <f>'[1]资源-钻石'!T410</f>
        <v>2063965.2268293411</v>
      </c>
      <c r="K410" s="26">
        <f>'[1]资源-钻石'!U410</f>
        <v>2973600.2845329903</v>
      </c>
      <c r="L410" s="26">
        <f>'[1]资源-钻石'!V410</f>
        <v>5006096.2534683198</v>
      </c>
      <c r="M410" s="26">
        <f>'[1]资源-钻石'!W410</f>
        <v>13559231.305272311</v>
      </c>
      <c r="N410" s="26">
        <f>'[1]资源-钻石'!X410</f>
        <v>32355293.920400832</v>
      </c>
    </row>
    <row r="411" spans="9:14" x14ac:dyDescent="0.15">
      <c r="I411" s="25">
        <v>408</v>
      </c>
      <c r="J411" s="26">
        <f>'[1]资源-钻石'!T411</f>
        <v>2068173.4648886763</v>
      </c>
      <c r="K411" s="26">
        <f>'[1]资源-钻石'!U411</f>
        <v>2980234.1005675471</v>
      </c>
      <c r="L411" s="26">
        <f>'[1]资源-钻石'!V411</f>
        <v>5015409.6932488279</v>
      </c>
      <c r="M411" s="26">
        <f>'[1]资源-钻石'!W411</f>
        <v>13585961.144855624</v>
      </c>
      <c r="N411" s="26">
        <f>'[1]资源-钻石'!X411</f>
        <v>32424793.536575072</v>
      </c>
    </row>
    <row r="412" spans="9:14" x14ac:dyDescent="0.15">
      <c r="I412" s="25">
        <v>409</v>
      </c>
      <c r="J412" s="26">
        <f>'[1]资源-钻石'!T412</f>
        <v>2072381.7029480115</v>
      </c>
      <c r="K412" s="26">
        <f>'[1]资源-钻石'!U412</f>
        <v>2986867.916602104</v>
      </c>
      <c r="L412" s="26">
        <f>'[1]资源-钻石'!V412</f>
        <v>5024723.133029337</v>
      </c>
      <c r="M412" s="26">
        <f>'[1]资源-钻石'!W412</f>
        <v>13612690.984438937</v>
      </c>
      <c r="N412" s="26">
        <f>'[1]资源-钻石'!X412</f>
        <v>32494293.152749307</v>
      </c>
    </row>
    <row r="413" spans="9:14" x14ac:dyDescent="0.15">
      <c r="I413" s="25">
        <v>410</v>
      </c>
      <c r="J413" s="26">
        <f>'[1]资源-钻石'!T413</f>
        <v>2076589.9410073468</v>
      </c>
      <c r="K413" s="26">
        <f>'[1]资源-钻石'!U413</f>
        <v>2993501.7326366608</v>
      </c>
      <c r="L413" s="26">
        <f>'[1]资源-钻石'!V413</f>
        <v>5034036.5728098461</v>
      </c>
      <c r="M413" s="26">
        <f>'[1]资源-钻石'!W413</f>
        <v>13637046.611467788</v>
      </c>
      <c r="N413" s="26">
        <f>'[1]资源-钻石'!X413</f>
        <v>32563792.768923547</v>
      </c>
    </row>
    <row r="414" spans="9:14" x14ac:dyDescent="0.15">
      <c r="I414" s="25">
        <v>411</v>
      </c>
      <c r="J414" s="26">
        <f>'[1]资源-钻石'!T414</f>
        <v>2080798.179066682</v>
      </c>
      <c r="K414" s="26">
        <f>'[1]资源-钻石'!U414</f>
        <v>3000135.5486712176</v>
      </c>
      <c r="L414" s="26">
        <f>'[1]资源-钻石'!V414</f>
        <v>5043350.0125903543</v>
      </c>
      <c r="M414" s="26">
        <f>'[1]资源-钻石'!W414</f>
        <v>13661007.27498381</v>
      </c>
      <c r="N414" s="26">
        <f>'[1]资源-钻石'!X414</f>
        <v>32633292.385097783</v>
      </c>
    </row>
    <row r="415" spans="9:14" x14ac:dyDescent="0.15">
      <c r="I415" s="25">
        <v>412</v>
      </c>
      <c r="J415" s="26">
        <f>'[1]资源-钻石'!T415</f>
        <v>2085006.4171260172</v>
      </c>
      <c r="K415" s="26">
        <f>'[1]资源-钻石'!U415</f>
        <v>3006805.4000141639</v>
      </c>
      <c r="L415" s="26">
        <f>'[1]资源-钻石'!V415</f>
        <v>5052663.4523708634</v>
      </c>
      <c r="M415" s="26">
        <f>'[1]资源-钻石'!W415</f>
        <v>13684967.938499831</v>
      </c>
      <c r="N415" s="26">
        <f>'[1]资源-钻石'!X415</f>
        <v>32702792.001272023</v>
      </c>
    </row>
    <row r="416" spans="9:14" x14ac:dyDescent="0.15">
      <c r="I416" s="27">
        <v>413</v>
      </c>
      <c r="J416" s="26">
        <f>'[1]资源-钻石'!T416</f>
        <v>2089214.6551853525</v>
      </c>
      <c r="K416" s="26">
        <f>'[1]资源-钻石'!U416</f>
        <v>3013606.5076430351</v>
      </c>
      <c r="L416" s="26">
        <f>'[1]资源-钻石'!V416</f>
        <v>5061976.8921513716</v>
      </c>
      <c r="M416" s="26">
        <f>'[1]资源-钻石'!W416</f>
        <v>13708928.602015853</v>
      </c>
      <c r="N416" s="26">
        <f>'[1]资源-钻石'!X416</f>
        <v>32771142.096803736</v>
      </c>
    </row>
    <row r="417" spans="9:14" x14ac:dyDescent="0.15">
      <c r="I417" s="25">
        <v>414</v>
      </c>
      <c r="J417" s="26">
        <f>'[1]资源-钻石'!T417</f>
        <v>2093422.8932446877</v>
      </c>
      <c r="K417" s="26">
        <f>'[1]资源-钻石'!U417</f>
        <v>3020407.6152719064</v>
      </c>
      <c r="L417" s="26">
        <f>'[1]资源-钻石'!V417</f>
        <v>5071290.3319318807</v>
      </c>
      <c r="M417" s="26">
        <f>'[1]资源-钻石'!W417</f>
        <v>13732889.265531875</v>
      </c>
      <c r="N417" s="26">
        <f>'[1]资源-钻石'!X417</f>
        <v>32837831.552703492</v>
      </c>
    </row>
    <row r="418" spans="9:14" x14ac:dyDescent="0.15">
      <c r="I418" s="25">
        <v>415</v>
      </c>
      <c r="J418" s="26">
        <f>'[1]资源-钻石'!T418</f>
        <v>2097595.4049916663</v>
      </c>
      <c r="K418" s="26">
        <f>'[1]资源-钻石'!U418</f>
        <v>3027208.7229007776</v>
      </c>
      <c r="L418" s="26">
        <f>'[1]资源-钻石'!V418</f>
        <v>5080603.7717123888</v>
      </c>
      <c r="M418" s="26">
        <f>'[1]资源-钻石'!W418</f>
        <v>13756849.929047896</v>
      </c>
      <c r="N418" s="26">
        <f>'[1]资源-钻石'!X418</f>
        <v>32904521.008603252</v>
      </c>
    </row>
    <row r="419" spans="9:14" x14ac:dyDescent="0.15">
      <c r="I419" s="27">
        <v>416</v>
      </c>
      <c r="J419" s="26">
        <f>'[1]资源-钻石'!T419</f>
        <v>2101521.8299372667</v>
      </c>
      <c r="K419" s="26">
        <f>'[1]资源-钻石'!U419</f>
        <v>3034009.8305296493</v>
      </c>
      <c r="L419" s="26">
        <f>'[1]资源-钻石'!V419</f>
        <v>5089917.2114928979</v>
      </c>
      <c r="M419" s="26">
        <f>'[1]资源-钻石'!W419</f>
        <v>13780810.592563918</v>
      </c>
      <c r="N419" s="26">
        <f>'[1]资源-钻石'!X419</f>
        <v>32971210.464503013</v>
      </c>
    </row>
    <row r="420" spans="9:14" x14ac:dyDescent="0.15">
      <c r="I420" s="25">
        <v>417</v>
      </c>
      <c r="J420" s="26">
        <f>'[1]资源-钻石'!T420</f>
        <v>2105448.2548828674</v>
      </c>
      <c r="K420" s="26">
        <f>'[1]资源-钻石'!U420</f>
        <v>3040810.9381585205</v>
      </c>
      <c r="L420" s="26">
        <f>'[1]资源-钻石'!V420</f>
        <v>5099230.6512734061</v>
      </c>
      <c r="M420" s="26">
        <f>'[1]资源-钻石'!W420</f>
        <v>13804771.256079938</v>
      </c>
      <c r="N420" s="26">
        <f>'[1]资源-钻石'!X420</f>
        <v>33037899.920402769</v>
      </c>
    </row>
    <row r="421" spans="9:14" x14ac:dyDescent="0.15">
      <c r="I421" s="25">
        <v>418</v>
      </c>
      <c r="J421" s="26">
        <f>'[1]资源-钻石'!T421</f>
        <v>2109374.6798284678</v>
      </c>
      <c r="K421" s="26">
        <f>'[1]资源-钻石'!U421</f>
        <v>3047612.0457873917</v>
      </c>
      <c r="L421" s="26">
        <f>'[1]资源-钻石'!V421</f>
        <v>5108544.0910539152</v>
      </c>
      <c r="M421" s="26">
        <f>'[1]资源-钻石'!W421</f>
        <v>13828731.919595961</v>
      </c>
      <c r="N421" s="26">
        <f>'[1]资源-钻石'!X421</f>
        <v>33104589.376302529</v>
      </c>
    </row>
    <row r="422" spans="9:14" x14ac:dyDescent="0.15">
      <c r="I422" s="25">
        <v>419</v>
      </c>
      <c r="J422" s="26">
        <f>'[1]资源-钻石'!T422</f>
        <v>2113301.1047740681</v>
      </c>
      <c r="K422" s="26">
        <f>'[1]资源-钻石'!U422</f>
        <v>3054413.1534162629</v>
      </c>
      <c r="L422" s="26">
        <f>'[1]资源-钻石'!V422</f>
        <v>5117857.5308344234</v>
      </c>
      <c r="M422" s="26">
        <f>'[1]资源-钻石'!W422</f>
        <v>13852692.583111981</v>
      </c>
      <c r="N422" s="26">
        <f>'[1]资源-钻石'!X422</f>
        <v>33171278.832202286</v>
      </c>
    </row>
    <row r="423" spans="9:14" x14ac:dyDescent="0.15">
      <c r="I423" s="25">
        <v>420</v>
      </c>
      <c r="J423" s="26">
        <f>'[1]资源-钻石'!T423</f>
        <v>2117227.5297196689</v>
      </c>
      <c r="K423" s="26">
        <f>'[1]资源-钻石'!U423</f>
        <v>3061214.2610451342</v>
      </c>
      <c r="L423" s="26">
        <f>'[1]资源-钻石'!V423</f>
        <v>5127170.9706149325</v>
      </c>
      <c r="M423" s="26">
        <f>'[1]资源-钻石'!W423</f>
        <v>13876653.246628003</v>
      </c>
      <c r="N423" s="26">
        <f>'[1]资源-钻石'!X423</f>
        <v>33237968.288102046</v>
      </c>
    </row>
    <row r="424" spans="9:14" x14ac:dyDescent="0.15">
      <c r="I424" s="25">
        <v>421</v>
      </c>
      <c r="J424" s="26">
        <f>'[1]资源-钻石'!T424</f>
        <v>2121153.9546652692</v>
      </c>
      <c r="K424" s="26">
        <f>'[1]资源-钻石'!U424</f>
        <v>3068015.3686740058</v>
      </c>
      <c r="L424" s="26">
        <f>'[1]资源-钻石'!V424</f>
        <v>5136484.4103954406</v>
      </c>
      <c r="M424" s="26">
        <f>'[1]资源-钻石'!W424</f>
        <v>13900613.910144024</v>
      </c>
      <c r="N424" s="26">
        <f>'[1]资源-钻石'!X424</f>
        <v>33304657.744001806</v>
      </c>
    </row>
    <row r="425" spans="9:14" x14ac:dyDescent="0.15">
      <c r="I425" s="27">
        <v>422</v>
      </c>
      <c r="J425" s="26">
        <f>'[1]资源-钻石'!T425</f>
        <v>2125080.37961087</v>
      </c>
      <c r="K425" s="26">
        <f>'[1]资源-钻石'!U425</f>
        <v>3074816.4763028771</v>
      </c>
      <c r="L425" s="26">
        <f>'[1]资源-钻石'!V425</f>
        <v>5145797.8501759497</v>
      </c>
      <c r="M425" s="26">
        <f>'[1]资源-钻石'!W425</f>
        <v>13924574.573660046</v>
      </c>
      <c r="N425" s="26">
        <f>'[1]资源-钻石'!X425</f>
        <v>33371347.199901562</v>
      </c>
    </row>
    <row r="426" spans="9:14" x14ac:dyDescent="0.15">
      <c r="I426" s="25">
        <v>423</v>
      </c>
      <c r="J426" s="26">
        <f>'[1]资源-钻石'!T426</f>
        <v>2129006.8045564704</v>
      </c>
      <c r="K426" s="26">
        <f>'[1]资源-钻石'!U426</f>
        <v>3081617.5839317483</v>
      </c>
      <c r="L426" s="26">
        <f>'[1]资源-钻石'!V426</f>
        <v>5155111.2899564579</v>
      </c>
      <c r="M426" s="26">
        <f>'[1]资源-钻石'!W426</f>
        <v>13948535.237176066</v>
      </c>
      <c r="N426" s="26">
        <f>'[1]资源-钻石'!X426</f>
        <v>33438036.655801322</v>
      </c>
    </row>
    <row r="427" spans="9:14" x14ac:dyDescent="0.15">
      <c r="I427" s="25">
        <v>424</v>
      </c>
      <c r="J427" s="26">
        <f>'[1]资源-钻石'!T427</f>
        <v>2132933.2295020707</v>
      </c>
      <c r="K427" s="26">
        <f>'[1]资源-钻石'!U427</f>
        <v>3088418.6915606195</v>
      </c>
      <c r="L427" s="26">
        <f>'[1]资源-钻石'!V427</f>
        <v>5164424.729736967</v>
      </c>
      <c r="M427" s="26">
        <f>'[1]资源-钻石'!W427</f>
        <v>13972495.900692089</v>
      </c>
      <c r="N427" s="26">
        <f>'[1]资源-钻石'!X427</f>
        <v>33504726.111701079</v>
      </c>
    </row>
    <row r="428" spans="9:14" x14ac:dyDescent="0.15">
      <c r="I428" s="27">
        <v>425</v>
      </c>
      <c r="J428" s="26">
        <f>'[1]资源-钻石'!T428</f>
        <v>2136859.6544476715</v>
      </c>
      <c r="K428" s="26">
        <f>'[1]资源-钻石'!U428</f>
        <v>3095219.7991894907</v>
      </c>
      <c r="L428" s="26">
        <f>'[1]资源-钻石'!V428</f>
        <v>5173738.1695174752</v>
      </c>
      <c r="M428" s="26">
        <f>'[1]资源-钻石'!W428</f>
        <v>13996456.564208109</v>
      </c>
      <c r="N428" s="26">
        <f>'[1]资源-钻石'!X428</f>
        <v>33571415.567600839</v>
      </c>
    </row>
    <row r="429" spans="9:14" x14ac:dyDescent="0.15">
      <c r="I429" s="25">
        <v>426</v>
      </c>
      <c r="J429" s="26">
        <f>'[1]资源-钻石'!T429</f>
        <v>2140786.0793932718</v>
      </c>
      <c r="K429" s="26">
        <f>'[1]资源-钻石'!U429</f>
        <v>3102020.9068183624</v>
      </c>
      <c r="L429" s="26">
        <f>'[1]资源-钻石'!V429</f>
        <v>5183051.6092979843</v>
      </c>
      <c r="M429" s="26">
        <f>'[1]资源-钻石'!W429</f>
        <v>14020417.227724131</v>
      </c>
      <c r="N429" s="26">
        <f>'[1]资源-钻石'!X429</f>
        <v>33638105.023500599</v>
      </c>
    </row>
    <row r="430" spans="9:14" x14ac:dyDescent="0.15">
      <c r="I430" s="25">
        <v>427</v>
      </c>
      <c r="J430" s="26">
        <f>'[1]资源-钻石'!T430</f>
        <v>2144712.5043388722</v>
      </c>
      <c r="K430" s="26">
        <f>'[1]资源-钻石'!U430</f>
        <v>3108822.0144472336</v>
      </c>
      <c r="L430" s="26">
        <f>'[1]资源-钻石'!V430</f>
        <v>5192365.0490784924</v>
      </c>
      <c r="M430" s="26">
        <f>'[1]资源-钻石'!W430</f>
        <v>14044377.891240152</v>
      </c>
      <c r="N430" s="26">
        <f>'[1]资源-钻石'!X430</f>
        <v>33704794.479400359</v>
      </c>
    </row>
    <row r="431" spans="9:14" x14ac:dyDescent="0.15">
      <c r="I431" s="25">
        <v>428</v>
      </c>
      <c r="J431" s="26">
        <f>'[1]资源-钻石'!T431</f>
        <v>2148638.9292844729</v>
      </c>
      <c r="K431" s="26">
        <f>'[1]资源-钻石'!U431</f>
        <v>3115623.1220761049</v>
      </c>
      <c r="L431" s="26">
        <f>'[1]资源-钻石'!V431</f>
        <v>5201678.4888590015</v>
      </c>
      <c r="M431" s="26">
        <f>'[1]资源-钻石'!W431</f>
        <v>14068338.554756174</v>
      </c>
      <c r="N431" s="26">
        <f>'[1]资源-钻石'!X431</f>
        <v>33771483.935300112</v>
      </c>
    </row>
    <row r="432" spans="9:14" x14ac:dyDescent="0.15">
      <c r="I432" s="25">
        <v>429</v>
      </c>
      <c r="J432" s="26">
        <f>'[1]资源-钻石'!T432</f>
        <v>2152565.3542300733</v>
      </c>
      <c r="K432" s="26">
        <f>'[1]资源-钻石'!U432</f>
        <v>3122424.2297049761</v>
      </c>
      <c r="L432" s="26">
        <f>'[1]资源-钻石'!V432</f>
        <v>5210991.9286395106</v>
      </c>
      <c r="M432" s="26">
        <f>'[1]资源-钻石'!W432</f>
        <v>14092299.218272196</v>
      </c>
      <c r="N432" s="26">
        <f>'[1]资源-钻石'!X432</f>
        <v>33838173.391199872</v>
      </c>
    </row>
    <row r="433" spans="9:14" x14ac:dyDescent="0.15">
      <c r="I433" s="25">
        <v>430</v>
      </c>
      <c r="J433" s="26">
        <f>'[1]资源-钻石'!T433</f>
        <v>2156491.7791756741</v>
      </c>
      <c r="K433" s="26">
        <f>'[1]资源-钻石'!U433</f>
        <v>3129225.3373338473</v>
      </c>
      <c r="L433" s="26">
        <f>'[1]资源-钻石'!V433</f>
        <v>5220305.3684200188</v>
      </c>
      <c r="M433" s="26">
        <f>'[1]资源-钻石'!W433</f>
        <v>14116259.881788217</v>
      </c>
      <c r="N433" s="26">
        <f>'[1]资源-钻石'!X433</f>
        <v>33904862.847099632</v>
      </c>
    </row>
    <row r="434" spans="9:14" x14ac:dyDescent="0.15">
      <c r="I434" s="27">
        <v>431</v>
      </c>
      <c r="J434" s="26">
        <f>'[1]资源-钻石'!T434</f>
        <v>2160418.2041212744</v>
      </c>
      <c r="K434" s="26">
        <f>'[1]资源-钻石'!U434</f>
        <v>3136026.444962719</v>
      </c>
      <c r="L434" s="26">
        <f>'[1]资源-钻石'!V434</f>
        <v>5229618.8082005279</v>
      </c>
      <c r="M434" s="26">
        <f>'[1]资源-钻石'!W434</f>
        <v>14140220.545304239</v>
      </c>
      <c r="N434" s="26">
        <f>'[1]资源-钻石'!X434</f>
        <v>33971552.302999392</v>
      </c>
    </row>
    <row r="435" spans="9:14" x14ac:dyDescent="0.15">
      <c r="I435" s="25">
        <v>432</v>
      </c>
      <c r="J435" s="26">
        <f>'[1]资源-钻石'!T435</f>
        <v>2164344.6290668747</v>
      </c>
      <c r="K435" s="26">
        <f>'[1]资源-钻石'!U435</f>
        <v>3142827.5525915902</v>
      </c>
      <c r="L435" s="26">
        <f>'[1]资源-钻石'!V435</f>
        <v>5238932.2479810361</v>
      </c>
      <c r="M435" s="26">
        <f>'[1]资源-钻石'!W435</f>
        <v>14164181.208820259</v>
      </c>
      <c r="N435" s="26">
        <f>'[1]资源-钻石'!X435</f>
        <v>34038241.758899152</v>
      </c>
    </row>
    <row r="436" spans="9:14" x14ac:dyDescent="0.15">
      <c r="I436" s="25">
        <v>433</v>
      </c>
      <c r="J436" s="26">
        <f>'[1]资源-钻石'!T436</f>
        <v>2168271.0540124755</v>
      </c>
      <c r="K436" s="26">
        <f>'[1]资源-钻石'!U436</f>
        <v>3149628.6602204614</v>
      </c>
      <c r="L436" s="26">
        <f>'[1]资源-钻石'!V436</f>
        <v>5248245.6877615452</v>
      </c>
      <c r="M436" s="26">
        <f>'[1]资源-钻石'!W436</f>
        <v>14188141.872336281</v>
      </c>
      <c r="N436" s="26">
        <f>'[1]资源-钻石'!X436</f>
        <v>34104931.214798905</v>
      </c>
    </row>
    <row r="437" spans="9:14" x14ac:dyDescent="0.15">
      <c r="I437" s="27">
        <v>434</v>
      </c>
      <c r="J437" s="26">
        <f>'[1]资源-钻石'!T437</f>
        <v>2172197.4789580759</v>
      </c>
      <c r="K437" s="26">
        <f>'[1]资源-钻石'!U437</f>
        <v>3156429.7678493327</v>
      </c>
      <c r="L437" s="26">
        <f>'[1]资源-钻石'!V437</f>
        <v>5257358.5681498609</v>
      </c>
      <c r="M437" s="26">
        <f>'[1]资源-钻石'!W437</f>
        <v>14212102.535852302</v>
      </c>
      <c r="N437" s="26">
        <f>'[1]资源-钻石'!X437</f>
        <v>34171620.670698665</v>
      </c>
    </row>
    <row r="438" spans="9:14" x14ac:dyDescent="0.15">
      <c r="I438" s="25">
        <v>435</v>
      </c>
      <c r="J438" s="26">
        <f>'[1]资源-钻石'!T438</f>
        <v>2176123.9039036762</v>
      </c>
      <c r="K438" s="26">
        <f>'[1]资源-钻石'!U438</f>
        <v>3163230.8754782039</v>
      </c>
      <c r="L438" s="26">
        <f>'[1]资源-钻石'!V438</f>
        <v>5266040.7482944326</v>
      </c>
      <c r="M438" s="26">
        <f>'[1]资源-钻石'!W438</f>
        <v>14236063.199368324</v>
      </c>
      <c r="N438" s="26">
        <f>'[1]资源-钻石'!X438</f>
        <v>34238310.126598425</v>
      </c>
    </row>
    <row r="439" spans="9:14" x14ac:dyDescent="0.15">
      <c r="I439" s="25">
        <v>436</v>
      </c>
      <c r="J439" s="26">
        <f>'[1]资源-钻石'!T439</f>
        <v>2180050.328849277</v>
      </c>
      <c r="K439" s="26">
        <f>'[1]资源-钻石'!U439</f>
        <v>3170031.9831070756</v>
      </c>
      <c r="L439" s="26">
        <f>'[1]资源-钻石'!V439</f>
        <v>5274722.9284390043</v>
      </c>
      <c r="M439" s="26">
        <f>'[1]资源-钻石'!W439</f>
        <v>14260023.862884345</v>
      </c>
      <c r="N439" s="26">
        <f>'[1]资源-钻石'!X439</f>
        <v>34304999.582498185</v>
      </c>
    </row>
    <row r="440" spans="9:14" x14ac:dyDescent="0.15">
      <c r="I440" s="25">
        <v>437</v>
      </c>
      <c r="J440" s="26">
        <f>'[1]资源-钻石'!T440</f>
        <v>2183976.7537948773</v>
      </c>
      <c r="K440" s="26">
        <f>'[1]资源-钻石'!U440</f>
        <v>3176833.0907359468</v>
      </c>
      <c r="L440" s="26">
        <f>'[1]资源-钻石'!V440</f>
        <v>5283405.108583577</v>
      </c>
      <c r="M440" s="26">
        <f>'[1]资源-钻石'!W440</f>
        <v>14283984.526400367</v>
      </c>
      <c r="N440" s="26">
        <f>'[1]资源-钻石'!X440</f>
        <v>34371689.038397945</v>
      </c>
    </row>
    <row r="441" spans="9:14" x14ac:dyDescent="0.15">
      <c r="I441" s="25">
        <v>438</v>
      </c>
      <c r="J441" s="26">
        <f>'[1]资源-钻石'!T441</f>
        <v>2187903.1787404781</v>
      </c>
      <c r="K441" s="26">
        <f>'[1]资源-钻石'!U441</f>
        <v>3183634.198364818</v>
      </c>
      <c r="L441" s="26">
        <f>'[1]资源-钻石'!V441</f>
        <v>5292087.2887281487</v>
      </c>
      <c r="M441" s="26">
        <f>'[1]资源-钻石'!W441</f>
        <v>14307945.189916387</v>
      </c>
      <c r="N441" s="26">
        <f>'[1]资源-钻石'!X441</f>
        <v>34438378.494297698</v>
      </c>
    </row>
    <row r="442" spans="9:14" x14ac:dyDescent="0.15">
      <c r="I442" s="25">
        <v>439</v>
      </c>
      <c r="J442" s="26">
        <f>'[1]资源-钻石'!T442</f>
        <v>2191829.6036860785</v>
      </c>
      <c r="K442" s="26">
        <f>'[1]资源-钻石'!U442</f>
        <v>3189502.2630852447</v>
      </c>
      <c r="L442" s="26">
        <f>'[1]资源-钻石'!V442</f>
        <v>5300769.4688727204</v>
      </c>
      <c r="M442" s="26">
        <f>'[1]资源-钻石'!W442</f>
        <v>14331905.853432409</v>
      </c>
      <c r="N442" s="26">
        <f>'[1]资源-钻石'!X442</f>
        <v>34505067.950197458</v>
      </c>
    </row>
    <row r="443" spans="9:14" x14ac:dyDescent="0.15">
      <c r="I443" s="27">
        <v>440</v>
      </c>
      <c r="J443" s="26">
        <f>'[1]资源-钻石'!T443</f>
        <v>2195756.0286316788</v>
      </c>
      <c r="K443" s="26">
        <f>'[1]资源-钻石'!U443</f>
        <v>3195229.1790166204</v>
      </c>
      <c r="L443" s="26">
        <f>'[1]资源-钻石'!V443</f>
        <v>5309451.649017293</v>
      </c>
      <c r="M443" s="26">
        <f>'[1]资源-钻石'!W443</f>
        <v>14355866.51694843</v>
      </c>
      <c r="N443" s="26">
        <f>'[1]资源-钻石'!X443</f>
        <v>34571023.526589312</v>
      </c>
    </row>
    <row r="444" spans="9:14" x14ac:dyDescent="0.15">
      <c r="I444" s="25">
        <v>441</v>
      </c>
      <c r="J444" s="26">
        <f>'[1]资源-钻石'!T444</f>
        <v>2199682.4535772796</v>
      </c>
      <c r="K444" s="26">
        <f>'[1]资源-钻石'!U444</f>
        <v>3200956.0949479961</v>
      </c>
      <c r="L444" s="26">
        <f>'[1]资源-钻石'!V444</f>
        <v>5318133.8291618647</v>
      </c>
      <c r="M444" s="26">
        <f>'[1]资源-钻石'!W444</f>
        <v>14379827.180464452</v>
      </c>
      <c r="N444" s="26">
        <f>'[1]资源-钻石'!X444</f>
        <v>34630681.910208084</v>
      </c>
    </row>
    <row r="445" spans="9:14" x14ac:dyDescent="0.15">
      <c r="I445" s="25">
        <v>442</v>
      </c>
      <c r="J445" s="26">
        <f>'[1]资源-钻石'!T445</f>
        <v>2203608.8785228799</v>
      </c>
      <c r="K445" s="26">
        <f>'[1]资源-钻石'!U445</f>
        <v>3206683.0108793718</v>
      </c>
      <c r="L445" s="26">
        <f>'[1]资源-钻石'!V445</f>
        <v>5326816.0093064373</v>
      </c>
      <c r="M445" s="26">
        <f>'[1]资源-钻石'!W445</f>
        <v>14402625.433246234</v>
      </c>
      <c r="N445" s="26">
        <f>'[1]资源-钻石'!X445</f>
        <v>34690340.293826863</v>
      </c>
    </row>
    <row r="446" spans="9:14" x14ac:dyDescent="0.15">
      <c r="I446" s="27">
        <v>443</v>
      </c>
      <c r="J446" s="26">
        <f>'[1]资源-钻石'!T446</f>
        <v>2207535.3034684802</v>
      </c>
      <c r="K446" s="26">
        <f>'[1]资源-钻石'!U446</f>
        <v>3212409.9268107475</v>
      </c>
      <c r="L446" s="26">
        <f>'[1]资源-钻石'!V446</f>
        <v>5335498.189451009</v>
      </c>
      <c r="M446" s="26">
        <f>'[1]资源-钻石'!W446</f>
        <v>14425105.523562668</v>
      </c>
      <c r="N446" s="26">
        <f>'[1]资源-钻石'!X446</f>
        <v>34749998.677445643</v>
      </c>
    </row>
    <row r="447" spans="9:14" x14ac:dyDescent="0.15">
      <c r="I447" s="25">
        <v>444</v>
      </c>
      <c r="J447" s="26">
        <f>'[1]资源-钻石'!T447</f>
        <v>2211461.728414081</v>
      </c>
      <c r="K447" s="26">
        <f>'[1]资源-钻石'!U447</f>
        <v>3218136.8427421232</v>
      </c>
      <c r="L447" s="26">
        <f>'[1]资源-钻石'!V447</f>
        <v>5344180.3695955807</v>
      </c>
      <c r="M447" s="26">
        <f>'[1]资源-钻石'!W447</f>
        <v>14447585.613879099</v>
      </c>
      <c r="N447" s="26">
        <f>'[1]资源-钻石'!X447</f>
        <v>34809657.061064422</v>
      </c>
    </row>
    <row r="448" spans="9:14" x14ac:dyDescent="0.15">
      <c r="I448" s="25">
        <v>445</v>
      </c>
      <c r="J448" s="26">
        <f>'[1]资源-钻石'!T448</f>
        <v>2215315.0264382237</v>
      </c>
      <c r="K448" s="26">
        <f>'[1]资源-钻石'!U448</f>
        <v>3223863.7586734989</v>
      </c>
      <c r="L448" s="26">
        <f>'[1]资源-钻石'!V448</f>
        <v>5352862.5497401534</v>
      </c>
      <c r="M448" s="26">
        <f>'[1]资源-钻石'!W448</f>
        <v>14470065.704195533</v>
      </c>
      <c r="N448" s="26">
        <f>'[1]资源-钻石'!X448</f>
        <v>34869315.444683202</v>
      </c>
    </row>
    <row r="449" spans="9:14" x14ac:dyDescent="0.15">
      <c r="I449" s="25">
        <v>446</v>
      </c>
      <c r="J449" s="26">
        <f>'[1]资源-钻石'!T449</f>
        <v>2218978.5104512619</v>
      </c>
      <c r="K449" s="26">
        <f>'[1]资源-钻石'!U449</f>
        <v>3229590.6746048746</v>
      </c>
      <c r="L449" s="26">
        <f>'[1]资源-钻石'!V449</f>
        <v>5361544.7298847251</v>
      </c>
      <c r="M449" s="26">
        <f>'[1]资源-钻石'!W449</f>
        <v>14492545.794511965</v>
      </c>
      <c r="N449" s="26">
        <f>'[1]资源-钻石'!X449</f>
        <v>34928973.828301981</v>
      </c>
    </row>
    <row r="450" spans="9:14" x14ac:dyDescent="0.15">
      <c r="I450" s="25">
        <v>447</v>
      </c>
      <c r="J450" s="26">
        <f>'[1]资源-钻石'!T450</f>
        <v>2222641.9944643006</v>
      </c>
      <c r="K450" s="26">
        <f>'[1]资源-钻石'!U450</f>
        <v>3235317.5905362503</v>
      </c>
      <c r="L450" s="26">
        <f>'[1]资源-钻石'!V450</f>
        <v>5370226.9100292968</v>
      </c>
      <c r="M450" s="26">
        <f>'[1]资源-钻石'!W450</f>
        <v>14515025.884828398</v>
      </c>
      <c r="N450" s="26">
        <f>'[1]资源-钻石'!X450</f>
        <v>34988632.211920761</v>
      </c>
    </row>
    <row r="451" spans="9:14" x14ac:dyDescent="0.15">
      <c r="I451" s="25">
        <v>448</v>
      </c>
      <c r="J451" s="26">
        <f>'[1]资源-钻石'!T451</f>
        <v>2226305.4784773388</v>
      </c>
      <c r="K451" s="26">
        <f>'[1]资源-钻石'!U451</f>
        <v>3241044.506467626</v>
      </c>
      <c r="L451" s="26">
        <f>'[1]资源-钻石'!V451</f>
        <v>5378909.0901738694</v>
      </c>
      <c r="M451" s="26">
        <f>'[1]资源-钻石'!W451</f>
        <v>14537505.97514483</v>
      </c>
      <c r="N451" s="26">
        <f>'[1]资源-钻石'!X451</f>
        <v>35048290.59553954</v>
      </c>
    </row>
    <row r="452" spans="9:14" x14ac:dyDescent="0.15">
      <c r="I452" s="27">
        <v>449</v>
      </c>
      <c r="J452" s="26">
        <f>'[1]资源-钻石'!T452</f>
        <v>2229968.9624903775</v>
      </c>
      <c r="K452" s="26">
        <f>'[1]资源-钻石'!U452</f>
        <v>3246771.4223990017</v>
      </c>
      <c r="L452" s="26">
        <f>'[1]资源-钻石'!V452</f>
        <v>5387591.2703184411</v>
      </c>
      <c r="M452" s="26">
        <f>'[1]资源-钻石'!W452</f>
        <v>14559986.065461263</v>
      </c>
      <c r="N452" s="26">
        <f>'[1]资源-钻石'!X452</f>
        <v>35107948.97915832</v>
      </c>
    </row>
    <row r="453" spans="9:14" x14ac:dyDescent="0.15">
      <c r="I453" s="25">
        <v>450</v>
      </c>
      <c r="J453" s="26">
        <f>'[1]资源-钻石'!T453</f>
        <v>2233632.4465034157</v>
      </c>
      <c r="K453" s="26">
        <f>'[1]资源-钻石'!U453</f>
        <v>3252498.3383303774</v>
      </c>
      <c r="L453" s="26">
        <f>'[1]资源-钻石'!V453</f>
        <v>5396273.4504630137</v>
      </c>
      <c r="M453" s="26">
        <f>'[1]资源-钻石'!W453</f>
        <v>14582466.155777695</v>
      </c>
      <c r="N453" s="26">
        <f>'[1]资源-钻石'!X453</f>
        <v>35167607.362777099</v>
      </c>
    </row>
    <row r="454" spans="9:14" x14ac:dyDescent="0.15">
      <c r="I454" s="25">
        <v>451</v>
      </c>
      <c r="J454" s="26">
        <f>'[1]资源-钻石'!T454</f>
        <v>2237295.9305164539</v>
      </c>
      <c r="K454" s="26">
        <f>'[1]资源-钻石'!U454</f>
        <v>3258225.2542617531</v>
      </c>
      <c r="L454" s="26">
        <f>'[1]资源-钻石'!V454</f>
        <v>5404955.6306075854</v>
      </c>
      <c r="M454" s="26">
        <f>'[1]资源-钻石'!W454</f>
        <v>14604946.246094128</v>
      </c>
      <c r="N454" s="26">
        <f>'[1]资源-钻石'!X454</f>
        <v>35227265.746395871</v>
      </c>
    </row>
    <row r="455" spans="9:14" x14ac:dyDescent="0.15">
      <c r="I455" s="27">
        <v>452</v>
      </c>
      <c r="J455" s="26">
        <f>'[1]资源-钻石'!T455</f>
        <v>2240959.4145294926</v>
      </c>
      <c r="K455" s="26">
        <f>'[1]资源-钻石'!U455</f>
        <v>3263952.1701931288</v>
      </c>
      <c r="L455" s="26">
        <f>'[1]资源-钻石'!V455</f>
        <v>5413637.8107521571</v>
      </c>
      <c r="M455" s="26">
        <f>'[1]资源-钻石'!W455</f>
        <v>14627426.33641056</v>
      </c>
      <c r="N455" s="26">
        <f>'[1]资源-钻石'!X455</f>
        <v>35286924.130014651</v>
      </c>
    </row>
    <row r="456" spans="9:14" x14ac:dyDescent="0.15">
      <c r="I456" s="25">
        <v>453</v>
      </c>
      <c r="J456" s="26">
        <f>'[1]资源-钻石'!T456</f>
        <v>2244622.8985425308</v>
      </c>
      <c r="K456" s="26">
        <f>'[1]资源-钻石'!U456</f>
        <v>3269679.0861245045</v>
      </c>
      <c r="L456" s="26">
        <f>'[1]资源-钻石'!V456</f>
        <v>5422319.9908967298</v>
      </c>
      <c r="M456" s="26">
        <f>'[1]资源-钻石'!W456</f>
        <v>14649906.426726993</v>
      </c>
      <c r="N456" s="26">
        <f>'[1]资源-钻石'!X456</f>
        <v>35346582.51363343</v>
      </c>
    </row>
    <row r="457" spans="9:14" x14ac:dyDescent="0.15">
      <c r="I457" s="25">
        <v>454</v>
      </c>
      <c r="J457" s="26">
        <f>'[1]资源-钻石'!T457</f>
        <v>2248286.3825555695</v>
      </c>
      <c r="K457" s="26">
        <f>'[1]资源-钻石'!U457</f>
        <v>3275406.0020558801</v>
      </c>
      <c r="L457" s="26">
        <f>'[1]资源-钻石'!V457</f>
        <v>5431002.1710413015</v>
      </c>
      <c r="M457" s="26">
        <f>'[1]资源-钻石'!W457</f>
        <v>14672386.517043425</v>
      </c>
      <c r="N457" s="26">
        <f>'[1]资源-钻石'!X457</f>
        <v>35406240.897252209</v>
      </c>
    </row>
    <row r="458" spans="9:14" x14ac:dyDescent="0.15">
      <c r="I458" s="25">
        <v>455</v>
      </c>
      <c r="J458" s="26">
        <f>'[1]资源-钻石'!T458</f>
        <v>2251949.8665686077</v>
      </c>
      <c r="K458" s="26">
        <f>'[1]资源-钻石'!U458</f>
        <v>3281132.9179872558</v>
      </c>
      <c r="L458" s="26">
        <f>'[1]资源-钻石'!V458</f>
        <v>5439684.3511858732</v>
      </c>
      <c r="M458" s="26">
        <f>'[1]资源-钻石'!W458</f>
        <v>14694866.607359858</v>
      </c>
      <c r="N458" s="26">
        <f>'[1]资源-钻石'!X458</f>
        <v>35465899.280870989</v>
      </c>
    </row>
    <row r="459" spans="9:14" x14ac:dyDescent="0.15">
      <c r="I459" s="25">
        <v>456</v>
      </c>
      <c r="J459" s="26">
        <f>'[1]资源-钻石'!T459</f>
        <v>2255613.3505816464</v>
      </c>
      <c r="K459" s="26">
        <f>'[1]资源-钻石'!U459</f>
        <v>3286859.8339186315</v>
      </c>
      <c r="L459" s="26">
        <f>'[1]资源-钻石'!V459</f>
        <v>5448366.5313304458</v>
      </c>
      <c r="M459" s="26">
        <f>'[1]资源-钻石'!W459</f>
        <v>14717346.69767629</v>
      </c>
      <c r="N459" s="26">
        <f>'[1]资源-钻石'!X459</f>
        <v>35525557.664489768</v>
      </c>
    </row>
    <row r="460" spans="9:14" x14ac:dyDescent="0.15">
      <c r="I460" s="25">
        <v>457</v>
      </c>
      <c r="J460" s="26">
        <f>'[1]资源-钻石'!T460</f>
        <v>2259276.8345946847</v>
      </c>
      <c r="K460" s="26">
        <f>'[1]资源-钻石'!U460</f>
        <v>3292586.7498500072</v>
      </c>
      <c r="L460" s="26">
        <f>'[1]资源-钻石'!V460</f>
        <v>5457048.7114750175</v>
      </c>
      <c r="M460" s="26">
        <f>'[1]资源-钻石'!W460</f>
        <v>14739826.787992723</v>
      </c>
      <c r="N460" s="26">
        <f>'[1]资源-钻石'!X460</f>
        <v>35585216.048108548</v>
      </c>
    </row>
    <row r="461" spans="9:14" x14ac:dyDescent="0.15">
      <c r="I461" s="27">
        <v>458</v>
      </c>
      <c r="J461" s="26">
        <f>'[1]资源-钻石'!T461</f>
        <v>2262940.3186077233</v>
      </c>
      <c r="K461" s="26">
        <f>'[1]资源-钻石'!U461</f>
        <v>3298313.6657813829</v>
      </c>
      <c r="L461" s="26">
        <f>'[1]资源-钻石'!V461</f>
        <v>5465730.8916195901</v>
      </c>
      <c r="M461" s="26">
        <f>'[1]资源-钻石'!W461</f>
        <v>14762306.878309155</v>
      </c>
      <c r="N461" s="26">
        <f>'[1]资源-钻石'!X461</f>
        <v>35644874.431727327</v>
      </c>
    </row>
    <row r="462" spans="9:14" x14ac:dyDescent="0.15">
      <c r="I462" s="25">
        <v>459</v>
      </c>
      <c r="J462" s="26">
        <f>'[1]资源-钻石'!T462</f>
        <v>2266603.8026207616</v>
      </c>
      <c r="K462" s="26">
        <f>'[1]资源-钻石'!U462</f>
        <v>3304040.5817127586</v>
      </c>
      <c r="L462" s="26">
        <f>'[1]资源-钻石'!V462</f>
        <v>5474413.0717641618</v>
      </c>
      <c r="M462" s="26">
        <f>'[1]资源-钻石'!W462</f>
        <v>14784786.968625588</v>
      </c>
      <c r="N462" s="26">
        <f>'[1]资源-钻石'!X462</f>
        <v>35704532.815346107</v>
      </c>
    </row>
    <row r="463" spans="9:14" x14ac:dyDescent="0.15">
      <c r="I463" s="25">
        <v>460</v>
      </c>
      <c r="J463" s="26">
        <f>'[1]资源-钻石'!T463</f>
        <v>2270267.2866338002</v>
      </c>
      <c r="K463" s="26">
        <f>'[1]资源-钻石'!U463</f>
        <v>3309767.4976441343</v>
      </c>
      <c r="L463" s="26">
        <f>'[1]资源-钻石'!V463</f>
        <v>5483095.2519087335</v>
      </c>
      <c r="M463" s="26">
        <f>'[1]资源-钻石'!W463</f>
        <v>14807267.05894202</v>
      </c>
      <c r="N463" s="26">
        <f>'[1]资源-钻石'!X463</f>
        <v>35764191.198964879</v>
      </c>
    </row>
    <row r="464" spans="9:14" x14ac:dyDescent="0.15">
      <c r="I464" s="27">
        <v>461</v>
      </c>
      <c r="J464" s="26">
        <f>'[1]资源-钻石'!T464</f>
        <v>2273930.7706468385</v>
      </c>
      <c r="K464" s="26">
        <f>'[1]资源-钻石'!U464</f>
        <v>3315494.41357551</v>
      </c>
      <c r="L464" s="26">
        <f>'[1]资源-钻石'!V464</f>
        <v>5491777.4320533061</v>
      </c>
      <c r="M464" s="26">
        <f>'[1]资源-钻石'!W464</f>
        <v>14829747.149258453</v>
      </c>
      <c r="N464" s="26">
        <f>'[1]资源-钻石'!X464</f>
        <v>35823849.582583658</v>
      </c>
    </row>
    <row r="465" spans="9:14" x14ac:dyDescent="0.15">
      <c r="I465" s="25">
        <v>462</v>
      </c>
      <c r="J465" s="26">
        <f>'[1]资源-钻石'!T465</f>
        <v>2277594.2546598767</v>
      </c>
      <c r="K465" s="26">
        <f>'[1]资源-钻石'!U465</f>
        <v>3321221.3295068853</v>
      </c>
      <c r="L465" s="26">
        <f>'[1]资源-钻石'!V465</f>
        <v>5500459.6121978778</v>
      </c>
      <c r="M465" s="26">
        <f>'[1]资源-钻石'!W465</f>
        <v>14852227.239574885</v>
      </c>
      <c r="N465" s="26">
        <f>'[1]资源-钻石'!X465</f>
        <v>35883507.966202438</v>
      </c>
    </row>
    <row r="466" spans="9:14" x14ac:dyDescent="0.15">
      <c r="I466" s="25">
        <v>463</v>
      </c>
      <c r="J466" s="26">
        <f>'[1]资源-钻石'!T466</f>
        <v>2281257.7386729154</v>
      </c>
      <c r="K466" s="26">
        <f>'[1]资源-钻石'!U466</f>
        <v>3326948.245438261</v>
      </c>
      <c r="L466" s="26">
        <f>'[1]资源-钻石'!V466</f>
        <v>5509141.7923424495</v>
      </c>
      <c r="M466" s="26">
        <f>'[1]资源-钻石'!W466</f>
        <v>14874707.329891318</v>
      </c>
      <c r="N466" s="26">
        <f>'[1]资源-钻石'!X466</f>
        <v>35943166.349821217</v>
      </c>
    </row>
    <row r="467" spans="9:14" x14ac:dyDescent="0.15">
      <c r="I467" s="25">
        <v>464</v>
      </c>
      <c r="J467" s="26">
        <f>'[1]资源-钻石'!T467</f>
        <v>2284921.2226859536</v>
      </c>
      <c r="K467" s="26">
        <f>'[1]资源-钻石'!U467</f>
        <v>3332675.1613696367</v>
      </c>
      <c r="L467" s="26">
        <f>'[1]资源-钻石'!V467</f>
        <v>5517823.9724870222</v>
      </c>
      <c r="M467" s="26">
        <f>'[1]资源-钻石'!W467</f>
        <v>14897187.42020775</v>
      </c>
      <c r="N467" s="26">
        <f>'[1]资源-钻石'!X467</f>
        <v>36002824.733439997</v>
      </c>
    </row>
    <row r="468" spans="9:14" x14ac:dyDescent="0.15">
      <c r="I468" s="25">
        <v>465</v>
      </c>
      <c r="J468" s="26">
        <f>'[1]资源-钻石'!T468</f>
        <v>2288584.7066989923</v>
      </c>
      <c r="K468" s="26">
        <f>'[1]资源-钻石'!U468</f>
        <v>3338402.0773010124</v>
      </c>
      <c r="L468" s="26">
        <f>'[1]资源-钻石'!V468</f>
        <v>5526266.8200800288</v>
      </c>
      <c r="M468" s="26">
        <f>'[1]资源-钻石'!W468</f>
        <v>14919667.510524184</v>
      </c>
      <c r="N468" s="26">
        <f>'[1]资源-钻石'!X468</f>
        <v>36062483.117058776</v>
      </c>
    </row>
    <row r="469" spans="9:14" x14ac:dyDescent="0.15">
      <c r="I469" s="25">
        <v>466</v>
      </c>
      <c r="J469" s="26">
        <f>'[1]资源-钻石'!T469</f>
        <v>2292248.1907120305</v>
      </c>
      <c r="K469" s="26">
        <f>'[1]资源-钻石'!U469</f>
        <v>3344128.993232388</v>
      </c>
      <c r="L469" s="26">
        <f>'[1]资源-钻石'!V469</f>
        <v>5534597.5806224886</v>
      </c>
      <c r="M469" s="26">
        <f>'[1]资源-钻石'!W469</f>
        <v>14942147.600840615</v>
      </c>
      <c r="N469" s="26">
        <f>'[1]资源-钻石'!X469</f>
        <v>36122141.500677556</v>
      </c>
    </row>
    <row r="470" spans="9:14" x14ac:dyDescent="0.15">
      <c r="I470" s="27">
        <v>467</v>
      </c>
      <c r="J470" s="26">
        <f>'[1]资源-钻石'!T470</f>
        <v>2295911.6747250692</v>
      </c>
      <c r="K470" s="26">
        <f>'[1]资源-钻石'!U470</f>
        <v>3349855.9091637637</v>
      </c>
      <c r="L470" s="26">
        <f>'[1]资源-钻石'!V470</f>
        <v>5542928.3411649494</v>
      </c>
      <c r="M470" s="26">
        <f>'[1]资源-钻石'!W470</f>
        <v>14964627.691157049</v>
      </c>
      <c r="N470" s="26">
        <f>'[1]资源-钻石'!X470</f>
        <v>36181799.884296335</v>
      </c>
    </row>
    <row r="471" spans="9:14" x14ac:dyDescent="0.15">
      <c r="I471" s="25">
        <v>468</v>
      </c>
      <c r="J471" s="26">
        <f>'[1]资源-钻石'!T471</f>
        <v>2299575.1587381074</v>
      </c>
      <c r="K471" s="26">
        <f>'[1]资源-钻石'!U471</f>
        <v>3355582.8250951394</v>
      </c>
      <c r="L471" s="26">
        <f>'[1]资源-钻石'!V471</f>
        <v>5551259.1017074091</v>
      </c>
      <c r="M471" s="26">
        <f>'[1]资源-钻石'!W471</f>
        <v>14987107.78147348</v>
      </c>
      <c r="N471" s="26">
        <f>'[1]资源-钻石'!X471</f>
        <v>36241458.267915115</v>
      </c>
    </row>
    <row r="472" spans="9:14" x14ac:dyDescent="0.15">
      <c r="I472" s="25">
        <v>469</v>
      </c>
      <c r="J472" s="26">
        <f>'[1]资源-钻石'!T472</f>
        <v>2303238.6427511461</v>
      </c>
      <c r="K472" s="26">
        <f>'[1]资源-钻石'!U472</f>
        <v>3361309.7410265151</v>
      </c>
      <c r="L472" s="26">
        <f>'[1]资源-钻石'!V472</f>
        <v>5559589.8622498699</v>
      </c>
      <c r="M472" s="26">
        <f>'[1]资源-钻石'!W472</f>
        <v>15009587.871789914</v>
      </c>
      <c r="N472" s="26">
        <f>'[1]资源-钻石'!X472</f>
        <v>36301116.651533894</v>
      </c>
    </row>
    <row r="473" spans="9:14" x14ac:dyDescent="0.15">
      <c r="I473" s="27">
        <v>470</v>
      </c>
      <c r="J473" s="26">
        <f>'[1]资源-钻石'!T473</f>
        <v>2306902.1267641843</v>
      </c>
      <c r="K473" s="26">
        <f>'[1]资源-钻石'!U473</f>
        <v>3366876.608681615</v>
      </c>
      <c r="L473" s="26">
        <f>'[1]资源-钻石'!V473</f>
        <v>5567920.6227923296</v>
      </c>
      <c r="M473" s="26">
        <f>'[1]资源-钻石'!W473</f>
        <v>15032067.962106345</v>
      </c>
      <c r="N473" s="26">
        <f>'[1]资源-钻石'!X473</f>
        <v>36360775.035152666</v>
      </c>
    </row>
    <row r="474" spans="9:14" x14ac:dyDescent="0.15">
      <c r="I474" s="25">
        <v>471</v>
      </c>
      <c r="J474" s="26">
        <f>'[1]资源-钻石'!T474</f>
        <v>2310565.610777223</v>
      </c>
      <c r="K474" s="26">
        <f>'[1]资源-钻石'!U474</f>
        <v>3372327.5569530576</v>
      </c>
      <c r="L474" s="26">
        <f>'[1]资源-钻石'!V474</f>
        <v>5576251.3833347904</v>
      </c>
      <c r="M474" s="26">
        <f>'[1]资源-钻石'!W474</f>
        <v>15054548.052422779</v>
      </c>
      <c r="N474" s="26">
        <f>'[1]资源-钻石'!X474</f>
        <v>36418185.714389272</v>
      </c>
    </row>
    <row r="475" spans="9:14" x14ac:dyDescent="0.15">
      <c r="I475" s="25">
        <v>472</v>
      </c>
      <c r="J475" s="26">
        <f>'[1]资源-钻石'!T475</f>
        <v>2314229.0947902612</v>
      </c>
      <c r="K475" s="26">
        <f>'[1]资源-钻石'!U475</f>
        <v>3377778.5052245008</v>
      </c>
      <c r="L475" s="26">
        <f>'[1]资源-钻石'!V475</f>
        <v>5584582.1438772501</v>
      </c>
      <c r="M475" s="26">
        <f>'[1]资源-钻石'!W475</f>
        <v>15077028.14273921</v>
      </c>
      <c r="N475" s="26">
        <f>'[1]资源-钻石'!X475</f>
        <v>36473979.977168947</v>
      </c>
    </row>
    <row r="476" spans="9:14" x14ac:dyDescent="0.15">
      <c r="I476" s="25">
        <v>473</v>
      </c>
      <c r="J476" s="26">
        <f>'[1]资源-钻石'!T476</f>
        <v>2317892.5788032999</v>
      </c>
      <c r="K476" s="26">
        <f>'[1]资源-钻石'!U476</f>
        <v>3383229.4534959435</v>
      </c>
      <c r="L476" s="26">
        <f>'[1]资源-钻石'!V476</f>
        <v>5592912.9044197109</v>
      </c>
      <c r="M476" s="26">
        <f>'[1]资源-钻石'!W476</f>
        <v>15099508.233055644</v>
      </c>
      <c r="N476" s="26">
        <f>'[1]资源-钻石'!X476</f>
        <v>36529774.239948623</v>
      </c>
    </row>
    <row r="477" spans="9:14" x14ac:dyDescent="0.15">
      <c r="I477" s="25">
        <v>474</v>
      </c>
      <c r="J477" s="26">
        <f>'[1]资源-钻石'!T477</f>
        <v>2321556.0628163381</v>
      </c>
      <c r="K477" s="26">
        <f>'[1]资源-钻石'!U477</f>
        <v>3388680.4017673861</v>
      </c>
      <c r="L477" s="26">
        <f>'[1]资源-钻石'!V477</f>
        <v>5601243.6649621706</v>
      </c>
      <c r="M477" s="26">
        <f>'[1]资源-钻石'!W477</f>
        <v>15121988.323372075</v>
      </c>
      <c r="N477" s="26">
        <f>'[1]资源-钻石'!X477</f>
        <v>36585568.502728298</v>
      </c>
    </row>
    <row r="478" spans="9:14" x14ac:dyDescent="0.15">
      <c r="I478" s="25">
        <v>475</v>
      </c>
      <c r="J478" s="26">
        <f>'[1]资源-钻石'!T478</f>
        <v>2325219.5468293764</v>
      </c>
      <c r="K478" s="26">
        <f>'[1]资源-钻石'!U478</f>
        <v>3394131.3500388288</v>
      </c>
      <c r="L478" s="26">
        <f>'[1]资源-钻石'!V478</f>
        <v>5609574.4255046304</v>
      </c>
      <c r="M478" s="26">
        <f>'[1]资源-钻石'!W478</f>
        <v>15144468.413688509</v>
      </c>
      <c r="N478" s="26">
        <f>'[1]资源-钻石'!X478</f>
        <v>36641362.765507966</v>
      </c>
    </row>
    <row r="479" spans="9:14" x14ac:dyDescent="0.15">
      <c r="I479" s="27">
        <v>476</v>
      </c>
      <c r="J479" s="26">
        <f>'[1]资源-钻石'!T479</f>
        <v>2328883.0308424151</v>
      </c>
      <c r="K479" s="26">
        <f>'[1]资源-钻石'!U479</f>
        <v>3399582.2983102715</v>
      </c>
      <c r="L479" s="26">
        <f>'[1]资源-钻石'!V479</f>
        <v>5617905.1860470911</v>
      </c>
      <c r="M479" s="26">
        <f>'[1]资源-钻石'!W479</f>
        <v>15167506.831445288</v>
      </c>
      <c r="N479" s="26">
        <f>'[1]资源-钻石'!X479</f>
        <v>36697157.028287642</v>
      </c>
    </row>
    <row r="480" spans="9:14" x14ac:dyDescent="0.15">
      <c r="I480" s="25">
        <v>477</v>
      </c>
      <c r="J480" s="26">
        <f>'[1]资源-钻石'!T480</f>
        <v>2332476.0778316748</v>
      </c>
      <c r="K480" s="26">
        <f>'[1]资源-钻石'!U480</f>
        <v>3405033.2465817141</v>
      </c>
      <c r="L480" s="26">
        <f>'[1]资源-钻石'!V480</f>
        <v>5626235.9465895509</v>
      </c>
      <c r="M480" s="26">
        <f>'[1]资源-钻石'!W480</f>
        <v>15190916.665867956</v>
      </c>
      <c r="N480" s="26">
        <f>'[1]资源-钻石'!X480</f>
        <v>36752951.291067317</v>
      </c>
    </row>
    <row r="481" spans="9:14" x14ac:dyDescent="0.15">
      <c r="I481" s="25">
        <v>478</v>
      </c>
      <c r="J481" s="26">
        <f>'[1]资源-钻石'!T481</f>
        <v>2335894.2292798073</v>
      </c>
      <c r="K481" s="26">
        <f>'[1]资源-钻石'!U481</f>
        <v>3410484.1948531568</v>
      </c>
      <c r="L481" s="26">
        <f>'[1]资源-钻石'!V481</f>
        <v>5634566.7071320117</v>
      </c>
      <c r="M481" s="26">
        <f>'[1]资源-钻石'!W481</f>
        <v>15214326.500290627</v>
      </c>
      <c r="N481" s="26">
        <f>'[1]资源-钻石'!X481</f>
        <v>36808745.553846993</v>
      </c>
    </row>
    <row r="482" spans="9:14" x14ac:dyDescent="0.15">
      <c r="I482" s="27">
        <v>479</v>
      </c>
      <c r="J482" s="26">
        <f>'[1]资源-钻石'!T482</f>
        <v>2339312.3807279398</v>
      </c>
      <c r="K482" s="26">
        <f>'[1]资源-钻石'!U482</f>
        <v>3415935.1431245995</v>
      </c>
      <c r="L482" s="26">
        <f>'[1]资源-钻石'!V482</f>
        <v>5642897.4676744714</v>
      </c>
      <c r="M482" s="26">
        <f>'[1]资源-钻石'!W482</f>
        <v>15237736.334713295</v>
      </c>
      <c r="N482" s="26">
        <f>'[1]资源-钻石'!X482</f>
        <v>36864539.816626668</v>
      </c>
    </row>
    <row r="483" spans="9:14" x14ac:dyDescent="0.15">
      <c r="I483" s="25">
        <v>480</v>
      </c>
      <c r="J483" s="26">
        <f>'[1]资源-钻石'!T483</f>
        <v>2342730.5321760722</v>
      </c>
      <c r="K483" s="26">
        <f>'[1]资源-钻石'!U483</f>
        <v>3421386.0913960421</v>
      </c>
      <c r="L483" s="26">
        <f>'[1]资源-钻石'!V483</f>
        <v>5651228.2282169322</v>
      </c>
      <c r="M483" s="26">
        <f>'[1]资源-钻石'!W483</f>
        <v>15261146.169135965</v>
      </c>
      <c r="N483" s="26">
        <f>'[1]资源-钻石'!X483</f>
        <v>36920334.079406343</v>
      </c>
    </row>
    <row r="484" spans="9:14" x14ac:dyDescent="0.15">
      <c r="I484" s="25">
        <v>481</v>
      </c>
      <c r="J484" s="26">
        <f>'[1]资源-钻石'!T484</f>
        <v>2346148.6836242047</v>
      </c>
      <c r="K484" s="26">
        <f>'[1]资源-钻石'!U484</f>
        <v>3426837.0396674848</v>
      </c>
      <c r="L484" s="26">
        <f>'[1]资源-钻石'!V484</f>
        <v>5659558.9887593919</v>
      </c>
      <c r="M484" s="26">
        <f>'[1]资源-钻石'!W484</f>
        <v>15284556.003558634</v>
      </c>
      <c r="N484" s="26">
        <f>'[1]资源-钻石'!X484</f>
        <v>36976128.342186019</v>
      </c>
    </row>
    <row r="485" spans="9:14" x14ac:dyDescent="0.15">
      <c r="I485" s="25">
        <v>482</v>
      </c>
      <c r="J485" s="26">
        <f>'[1]资源-钻石'!T485</f>
        <v>2349566.8350723372</v>
      </c>
      <c r="K485" s="26">
        <f>'[1]资源-钻石'!U485</f>
        <v>3432287.9879389275</v>
      </c>
      <c r="L485" s="26">
        <f>'[1]资源-钻石'!V485</f>
        <v>5667889.7493018527</v>
      </c>
      <c r="M485" s="26">
        <f>'[1]资源-钻石'!W485</f>
        <v>15307965.837981302</v>
      </c>
      <c r="N485" s="26">
        <f>'[1]资源-钻石'!X485</f>
        <v>37031922.604965687</v>
      </c>
    </row>
    <row r="486" spans="9:14" x14ac:dyDescent="0.15">
      <c r="I486" s="25">
        <v>483</v>
      </c>
      <c r="J486" s="26">
        <f>'[1]资源-钻石'!T486</f>
        <v>2352984.9865204697</v>
      </c>
      <c r="K486" s="26">
        <f>'[1]资源-钻石'!U486</f>
        <v>3437738.9362103702</v>
      </c>
      <c r="L486" s="26">
        <f>'[1]资源-钻石'!V486</f>
        <v>5676220.5098443124</v>
      </c>
      <c r="M486" s="26">
        <f>'[1]资源-钻石'!W486</f>
        <v>15331375.672403973</v>
      </c>
      <c r="N486" s="26">
        <f>'[1]资源-钻石'!X486</f>
        <v>37087716.867745362</v>
      </c>
    </row>
    <row r="487" spans="9:14" x14ac:dyDescent="0.15">
      <c r="I487" s="25">
        <v>484</v>
      </c>
      <c r="J487" s="26">
        <f>'[1]资源-钻石'!T487</f>
        <v>2356403.1379686021</v>
      </c>
      <c r="K487" s="26">
        <f>'[1]资源-钻石'!U487</f>
        <v>3443189.8844818128</v>
      </c>
      <c r="L487" s="26">
        <f>'[1]资源-钻石'!V487</f>
        <v>5684551.2703867732</v>
      </c>
      <c r="M487" s="26">
        <f>'[1]资源-钻石'!W487</f>
        <v>15354785.506826641</v>
      </c>
      <c r="N487" s="26">
        <f>'[1]资源-钻石'!X487</f>
        <v>37143511.130525038</v>
      </c>
    </row>
    <row r="488" spans="9:14" x14ac:dyDescent="0.15">
      <c r="I488" s="27">
        <v>485</v>
      </c>
      <c r="J488" s="26">
        <f>'[1]资源-钻石'!T488</f>
        <v>2359821.2894167351</v>
      </c>
      <c r="K488" s="26">
        <f>'[1]资源-钻石'!U488</f>
        <v>3448640.8327532555</v>
      </c>
      <c r="L488" s="26">
        <f>'[1]资源-钻石'!V488</f>
        <v>5692882.0309292329</v>
      </c>
      <c r="M488" s="26">
        <f>'[1]资源-钻石'!W488</f>
        <v>15378195.341249309</v>
      </c>
      <c r="N488" s="26">
        <f>'[1]资源-钻石'!X488</f>
        <v>37199305.393304713</v>
      </c>
    </row>
    <row r="489" spans="9:14" x14ac:dyDescent="0.15">
      <c r="I489" s="25">
        <v>486</v>
      </c>
      <c r="J489" s="26">
        <f>'[1]资源-钻石'!T489</f>
        <v>2363239.4408648675</v>
      </c>
      <c r="K489" s="26">
        <f>'[1]资源-钻石'!U489</f>
        <v>3454091.7810246982</v>
      </c>
      <c r="L489" s="26">
        <f>'[1]资源-钻石'!V489</f>
        <v>5701212.7914716937</v>
      </c>
      <c r="M489" s="26">
        <f>'[1]资源-钻石'!W489</f>
        <v>15401605.17567198</v>
      </c>
      <c r="N489" s="26">
        <f>'[1]资源-钻石'!X489</f>
        <v>37255099.656084388</v>
      </c>
    </row>
    <row r="490" spans="9:14" x14ac:dyDescent="0.15">
      <c r="I490" s="25">
        <v>487</v>
      </c>
      <c r="J490" s="26">
        <f>'[1]资源-钻石'!T490</f>
        <v>2366657.592313</v>
      </c>
      <c r="K490" s="26">
        <f>'[1]资源-钻石'!U490</f>
        <v>3459542.7292961408</v>
      </c>
      <c r="L490" s="26">
        <f>'[1]资源-钻石'!V490</f>
        <v>5709543.5520141535</v>
      </c>
      <c r="M490" s="26">
        <f>'[1]资源-钻石'!W490</f>
        <v>15425015.010094648</v>
      </c>
      <c r="N490" s="26">
        <f>'[1]资源-钻石'!X490</f>
        <v>37310893.918864064</v>
      </c>
    </row>
    <row r="491" spans="9:14" x14ac:dyDescent="0.15">
      <c r="I491" s="27">
        <v>488</v>
      </c>
      <c r="J491" s="26">
        <f>'[1]资源-钻石'!T491</f>
        <v>2370075.7437611325</v>
      </c>
      <c r="K491" s="26">
        <f>'[1]资源-钻石'!U491</f>
        <v>3464993.6775675835</v>
      </c>
      <c r="L491" s="26">
        <f>'[1]资源-钻石'!V491</f>
        <v>5717874.3125566142</v>
      </c>
      <c r="M491" s="26">
        <f>'[1]资源-钻石'!W491</f>
        <v>15448424.844517317</v>
      </c>
      <c r="N491" s="26">
        <f>'[1]资源-钻石'!X491</f>
        <v>37366688.181643732</v>
      </c>
    </row>
    <row r="492" spans="9:14" x14ac:dyDescent="0.15">
      <c r="I492" s="25">
        <v>489</v>
      </c>
      <c r="J492" s="26">
        <f>'[1]资源-钻石'!T492</f>
        <v>2373493.8952092649</v>
      </c>
      <c r="K492" s="26">
        <f>'[1]资源-钻石'!U492</f>
        <v>3470444.6258390262</v>
      </c>
      <c r="L492" s="26">
        <f>'[1]资源-钻石'!V492</f>
        <v>5726205.073099074</v>
      </c>
      <c r="M492" s="26">
        <f>'[1]资源-钻石'!W492</f>
        <v>15471834.678939987</v>
      </c>
      <c r="N492" s="26">
        <f>'[1]资源-钻石'!X492</f>
        <v>37422482.444423407</v>
      </c>
    </row>
    <row r="493" spans="9:14" x14ac:dyDescent="0.15">
      <c r="I493" s="25">
        <v>490</v>
      </c>
      <c r="J493" s="26">
        <f>'[1]资源-钻石'!T493</f>
        <v>2376912.0466573974</v>
      </c>
      <c r="K493" s="26">
        <f>'[1]资源-钻石'!U493</f>
        <v>3475895.5741104688</v>
      </c>
      <c r="L493" s="26">
        <f>'[1]资源-钻石'!V493</f>
        <v>5734535.8336415347</v>
      </c>
      <c r="M493" s="26">
        <f>'[1]资源-钻石'!W493</f>
        <v>15495244.513362655</v>
      </c>
      <c r="N493" s="26">
        <f>'[1]资源-钻石'!X493</f>
        <v>37478276.707203083</v>
      </c>
    </row>
    <row r="494" spans="9:14" x14ac:dyDescent="0.15">
      <c r="I494" s="25">
        <v>491</v>
      </c>
      <c r="J494" s="26">
        <f>'[1]资源-钻石'!T494</f>
        <v>2380330.1981055299</v>
      </c>
      <c r="K494" s="26">
        <f>'[1]资源-钻石'!U494</f>
        <v>3481346.5223819115</v>
      </c>
      <c r="L494" s="26">
        <f>'[1]资源-钻石'!V494</f>
        <v>5742866.5941839945</v>
      </c>
      <c r="M494" s="26">
        <f>'[1]资源-钻石'!W494</f>
        <v>15518654.347785326</v>
      </c>
      <c r="N494" s="26">
        <f>'[1]资源-钻石'!X494</f>
        <v>37534070.969982758</v>
      </c>
    </row>
    <row r="495" spans="9:14" x14ac:dyDescent="0.15">
      <c r="I495" s="25">
        <v>492</v>
      </c>
      <c r="J495" s="26">
        <f>'[1]资源-钻石'!T495</f>
        <v>2383748.3495536624</v>
      </c>
      <c r="K495" s="26">
        <f>'[1]资源-钻石'!U495</f>
        <v>3486797.4706533542</v>
      </c>
      <c r="L495" s="26">
        <f>'[1]资源-钻石'!V495</f>
        <v>5751197.3547264542</v>
      </c>
      <c r="M495" s="26">
        <f>'[1]资源-钻石'!W495</f>
        <v>15542064.182207994</v>
      </c>
      <c r="N495" s="26">
        <f>'[1]资源-钻石'!X495</f>
        <v>37589865.232762434</v>
      </c>
    </row>
    <row r="496" spans="9:14" x14ac:dyDescent="0.15">
      <c r="I496" s="25">
        <v>493</v>
      </c>
      <c r="J496" s="26">
        <f>'[1]资源-钻石'!T496</f>
        <v>2387166.5010017948</v>
      </c>
      <c r="K496" s="26">
        <f>'[1]资源-钻石'!U496</f>
        <v>3492248.4189247969</v>
      </c>
      <c r="L496" s="26">
        <f>'[1]资源-钻石'!V496</f>
        <v>5759528.115268915</v>
      </c>
      <c r="M496" s="26">
        <f>'[1]资源-钻石'!W496</f>
        <v>15565474.016630663</v>
      </c>
      <c r="N496" s="26">
        <f>'[1]资源-钻石'!X496</f>
        <v>37645659.495542109</v>
      </c>
    </row>
    <row r="497" spans="9:14" x14ac:dyDescent="0.15">
      <c r="I497" s="27">
        <v>494</v>
      </c>
      <c r="J497" s="26">
        <f>'[1]资源-钻石'!T497</f>
        <v>2390584.6524499273</v>
      </c>
      <c r="K497" s="26">
        <f>'[1]资源-钻石'!U497</f>
        <v>3497699.3671962395</v>
      </c>
      <c r="L497" s="26">
        <f>'[1]资源-钻石'!V497</f>
        <v>5767858.8758113747</v>
      </c>
      <c r="M497" s="26">
        <f>'[1]资源-钻石'!W497</f>
        <v>15588883.851053333</v>
      </c>
      <c r="N497" s="26">
        <f>'[1]资源-钻石'!X497</f>
        <v>37701453.758321784</v>
      </c>
    </row>
    <row r="498" spans="9:14" x14ac:dyDescent="0.15">
      <c r="I498" s="25">
        <v>495</v>
      </c>
      <c r="J498" s="26">
        <f>'[1]资源-钻石'!T498</f>
        <v>2394002.8038980598</v>
      </c>
      <c r="K498" s="26">
        <f>'[1]资源-钻石'!U498</f>
        <v>3503150.3154676822</v>
      </c>
      <c r="L498" s="26">
        <f>'[1]资源-钻石'!V498</f>
        <v>5776189.6363538355</v>
      </c>
      <c r="M498" s="26">
        <f>'[1]资源-钻石'!W498</f>
        <v>15612293.685476001</v>
      </c>
      <c r="N498" s="26">
        <f>'[1]资源-钻石'!X498</f>
        <v>37757248.021101452</v>
      </c>
    </row>
    <row r="499" spans="9:14" x14ac:dyDescent="0.15">
      <c r="I499" s="25">
        <v>496</v>
      </c>
      <c r="J499" s="26">
        <f>'[1]资源-钻石'!T499</f>
        <v>2397420.9553461927</v>
      </c>
      <c r="K499" s="26">
        <f>'[1]资源-钻石'!U499</f>
        <v>3508601.2637391249</v>
      </c>
      <c r="L499" s="26">
        <f>'[1]资源-钻石'!V499</f>
        <v>5784520.3968962952</v>
      </c>
      <c r="M499" s="26">
        <f>'[1]资源-钻石'!W499</f>
        <v>15635703.51989867</v>
      </c>
      <c r="N499" s="26">
        <f>'[1]资源-钻石'!X499</f>
        <v>37813042.283881128</v>
      </c>
    </row>
    <row r="500" spans="9:14" x14ac:dyDescent="0.15">
      <c r="I500" s="27">
        <v>497</v>
      </c>
      <c r="J500" s="26">
        <f>'[1]资源-钻石'!T500</f>
        <v>2400839.1067943252</v>
      </c>
      <c r="K500" s="26">
        <f>'[1]资源-钻石'!U500</f>
        <v>3514052.2120105675</v>
      </c>
      <c r="L500" s="26">
        <f>'[1]资源-钻石'!V500</f>
        <v>5792571.8292558137</v>
      </c>
      <c r="M500" s="26">
        <f>'[1]资源-钻石'!W500</f>
        <v>15659113.35432134</v>
      </c>
      <c r="N500" s="26">
        <f>'[1]资源-钻石'!X500</f>
        <v>37868836.546660803</v>
      </c>
    </row>
    <row r="501" spans="9:14" x14ac:dyDescent="0.15">
      <c r="I501" s="25">
        <v>498</v>
      </c>
      <c r="J501" s="26">
        <f>'[1]资源-钻石'!T501</f>
        <v>2404257.2582424576</v>
      </c>
      <c r="K501" s="26">
        <f>'[1]资源-钻石'!U501</f>
        <v>3519503.1602820102</v>
      </c>
      <c r="L501" s="26">
        <f>'[1]资源-钻石'!V501</f>
        <v>5800531.1520607797</v>
      </c>
      <c r="M501" s="26">
        <f>'[1]资源-钻石'!W501</f>
        <v>15682523.188744009</v>
      </c>
      <c r="N501" s="26">
        <f>'[1]资源-钻石'!X501</f>
        <v>37924630.809440479</v>
      </c>
    </row>
    <row r="502" spans="9:14" x14ac:dyDescent="0.15">
      <c r="I502" s="25">
        <v>499</v>
      </c>
      <c r="J502" s="26">
        <f>'[1]资源-钻石'!T502</f>
        <v>2407675.4096905901</v>
      </c>
      <c r="K502" s="26">
        <f>'[1]资源-钻石'!U502</f>
        <v>3524954.1085534529</v>
      </c>
      <c r="L502" s="26">
        <f>'[1]资源-钻石'!V502</f>
        <v>5808490.4748657467</v>
      </c>
      <c r="M502" s="26">
        <f>'[1]资源-钻石'!W502</f>
        <v>15705933.023166679</v>
      </c>
      <c r="N502" s="26">
        <f>'[1]资源-钻石'!X502</f>
        <v>37980425.072220154</v>
      </c>
    </row>
    <row r="503" spans="9:14" x14ac:dyDescent="0.15">
      <c r="I503" s="25">
        <v>500</v>
      </c>
      <c r="J503" s="26">
        <f>'[1]资源-钻石'!T503</f>
        <v>2411093.5611387226</v>
      </c>
      <c r="K503" s="26">
        <f>'[1]资源-钻石'!U503</f>
        <v>3530405.0568248956</v>
      </c>
      <c r="L503" s="26">
        <f>'[1]资源-钻石'!V503</f>
        <v>5816449.7976707136</v>
      </c>
      <c r="M503" s="26">
        <f>'[1]资源-钻石'!W503</f>
        <v>15729342.857589347</v>
      </c>
      <c r="N503" s="26">
        <f>'[1]资源-钻石'!X503</f>
        <v>38036219.33499983</v>
      </c>
    </row>
  </sheetData>
  <mergeCells count="5">
    <mergeCell ref="B2:G2"/>
    <mergeCell ref="I2:N2"/>
    <mergeCell ref="Q2:U2"/>
    <mergeCell ref="V2:Z2"/>
    <mergeCell ref="AD2:A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133F-896A-44AA-A76D-A3FB27A8AAB0}">
  <sheetPr codeName="Sheet3"/>
  <dimension ref="A1:F11"/>
  <sheetViews>
    <sheetView workbookViewId="0">
      <selection activeCell="E10" sqref="E10"/>
    </sheetView>
  </sheetViews>
  <sheetFormatPr defaultColWidth="9" defaultRowHeight="11.25" x14ac:dyDescent="0.15"/>
  <cols>
    <col min="1" max="16384" width="9" style="32"/>
  </cols>
  <sheetData>
    <row r="1" spans="1:6" x14ac:dyDescent="0.15">
      <c r="A1" s="33" t="s">
        <v>183</v>
      </c>
    </row>
    <row r="2" spans="1:6" x14ac:dyDescent="0.15">
      <c r="A2" s="33" t="s">
        <v>175</v>
      </c>
    </row>
    <row r="3" spans="1:6" x14ac:dyDescent="0.15">
      <c r="A3" s="33" t="s">
        <v>181</v>
      </c>
    </row>
    <row r="4" spans="1:6" x14ac:dyDescent="0.15">
      <c r="A4" s="33" t="s">
        <v>293</v>
      </c>
    </row>
    <row r="7" spans="1:6" x14ac:dyDescent="0.15">
      <c r="B7" s="141" t="s">
        <v>178</v>
      </c>
      <c r="C7" s="141"/>
      <c r="D7" s="141"/>
      <c r="E7" s="141"/>
      <c r="F7" s="141"/>
    </row>
    <row r="8" spans="1:6" x14ac:dyDescent="0.15">
      <c r="B8" s="32" t="s">
        <v>180</v>
      </c>
      <c r="C8" s="32">
        <v>100</v>
      </c>
      <c r="D8" s="32">
        <v>110</v>
      </c>
      <c r="E8" s="32">
        <v>120</v>
      </c>
      <c r="F8" s="32">
        <v>130</v>
      </c>
    </row>
    <row r="9" spans="1:6" x14ac:dyDescent="0.15">
      <c r="B9" s="32" t="s">
        <v>176</v>
      </c>
      <c r="C9" s="32">
        <v>10</v>
      </c>
      <c r="D9" s="32">
        <v>15</v>
      </c>
      <c r="E9" s="32">
        <v>18</v>
      </c>
      <c r="F9" s="32">
        <v>20</v>
      </c>
    </row>
    <row r="10" spans="1:6" x14ac:dyDescent="0.15">
      <c r="B10" s="32" t="s">
        <v>177</v>
      </c>
      <c r="C10" s="34">
        <v>0.1</v>
      </c>
      <c r="D10" s="34">
        <v>0.15</v>
      </c>
      <c r="E10" s="34">
        <v>0.18</v>
      </c>
      <c r="F10" s="34">
        <v>0.2</v>
      </c>
    </row>
    <row r="11" spans="1:6" x14ac:dyDescent="0.15">
      <c r="B11" s="32" t="s">
        <v>179</v>
      </c>
      <c r="C11" s="32" t="s">
        <v>182</v>
      </c>
      <c r="D11" s="35" t="s">
        <v>182</v>
      </c>
      <c r="E11" s="32">
        <v>8000</v>
      </c>
      <c r="F11" s="32">
        <v>10000</v>
      </c>
    </row>
  </sheetData>
  <mergeCells count="1">
    <mergeCell ref="B7:F7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74AE8-3A51-4CC2-ADC9-8CF0FCC6291A}">
  <sheetPr codeName="Sheet8"/>
  <dimension ref="B12:AH141"/>
  <sheetViews>
    <sheetView topLeftCell="D1" workbookViewId="0">
      <selection activeCell="M37" sqref="M37"/>
    </sheetView>
  </sheetViews>
  <sheetFormatPr defaultRowHeight="11.25" x14ac:dyDescent="0.15"/>
  <cols>
    <col min="1" max="4" width="9" style="31"/>
    <col min="5" max="5" width="9" style="57"/>
    <col min="6" max="6" width="9.25" style="57" bestFit="1" customWidth="1"/>
    <col min="7" max="7" width="9.75" style="57" bestFit="1" customWidth="1"/>
    <col min="8" max="8" width="11.375" style="57" bestFit="1" customWidth="1"/>
    <col min="9" max="9" width="9" style="57"/>
    <col min="10" max="10" width="9" style="92"/>
    <col min="11" max="11" width="9.25" style="55" bestFit="1" customWidth="1"/>
    <col min="12" max="12" width="9.75" style="55" bestFit="1" customWidth="1"/>
    <col min="13" max="13" width="11.375" style="55" bestFit="1" customWidth="1"/>
    <col min="14" max="14" width="9" style="92"/>
    <col min="15" max="15" width="9" style="41"/>
    <col min="16" max="16" width="9.25" style="55" bestFit="1" customWidth="1"/>
    <col min="17" max="17" width="9.75" style="55" bestFit="1" customWidth="1"/>
    <col min="18" max="18" width="11.375" style="55" bestFit="1" customWidth="1"/>
    <col min="19" max="19" width="9" style="41"/>
    <col min="20" max="20" width="9" style="57"/>
    <col min="21" max="21" width="9.25" style="57" bestFit="1" customWidth="1"/>
    <col min="22" max="22" width="9.75" style="57" bestFit="1" customWidth="1"/>
    <col min="23" max="23" width="11.375" style="57" bestFit="1" customWidth="1"/>
    <col min="24" max="25" width="9" style="57"/>
    <col min="26" max="26" width="9.25" style="57" bestFit="1" customWidth="1"/>
    <col min="27" max="27" width="9.75" style="57" bestFit="1" customWidth="1"/>
    <col min="28" max="28" width="11.375" style="57" bestFit="1" customWidth="1"/>
    <col min="29" max="30" width="9" style="57"/>
    <col min="31" max="31" width="9.25" style="57" bestFit="1" customWidth="1"/>
    <col min="32" max="32" width="9.75" style="57" bestFit="1" customWidth="1"/>
    <col min="33" max="33" width="11.375" style="57" bestFit="1" customWidth="1"/>
    <col min="34" max="34" width="9" style="57"/>
    <col min="35" max="16384" width="9" style="31"/>
  </cols>
  <sheetData>
    <row r="12" spans="3:34" x14ac:dyDescent="0.15">
      <c r="C12" s="36"/>
      <c r="D12" s="36"/>
    </row>
    <row r="13" spans="3:34" x14ac:dyDescent="0.15">
      <c r="T13" s="107"/>
      <c r="Y13" s="107"/>
      <c r="AD13" s="107"/>
    </row>
    <row r="15" spans="3:34" x14ac:dyDescent="0.15">
      <c r="C15" s="144" t="s">
        <v>279</v>
      </c>
      <c r="D15" s="145"/>
      <c r="E15" s="142" t="s">
        <v>273</v>
      </c>
      <c r="F15" s="142"/>
      <c r="G15" s="142"/>
      <c r="H15" s="142"/>
      <c r="I15" s="142"/>
      <c r="J15" s="143" t="s">
        <v>239</v>
      </c>
      <c r="K15" s="143"/>
      <c r="L15" s="143"/>
      <c r="M15" s="143"/>
      <c r="N15" s="143"/>
      <c r="O15" s="143" t="s">
        <v>384</v>
      </c>
      <c r="P15" s="143"/>
      <c r="Q15" s="143"/>
      <c r="R15" s="143"/>
      <c r="S15" s="143"/>
      <c r="T15" s="142" t="s">
        <v>434</v>
      </c>
      <c r="U15" s="142"/>
      <c r="V15" s="142"/>
      <c r="W15" s="142"/>
      <c r="X15" s="142"/>
      <c r="Y15" s="142" t="s">
        <v>385</v>
      </c>
      <c r="Z15" s="142"/>
      <c r="AA15" s="142"/>
      <c r="AB15" s="142"/>
      <c r="AC15" s="142"/>
      <c r="AD15" s="142" t="s">
        <v>397</v>
      </c>
      <c r="AE15" s="142"/>
      <c r="AF15" s="142"/>
      <c r="AG15" s="142"/>
      <c r="AH15" s="142"/>
    </row>
    <row r="16" spans="3:34" x14ac:dyDescent="0.15">
      <c r="C16" s="30" t="s">
        <v>161</v>
      </c>
      <c r="D16" s="30" t="s">
        <v>158</v>
      </c>
      <c r="E16" s="58" t="s">
        <v>221</v>
      </c>
      <c r="F16" s="58" t="s">
        <v>222</v>
      </c>
      <c r="G16" s="58" t="s">
        <v>223</v>
      </c>
      <c r="H16" s="58" t="s">
        <v>224</v>
      </c>
      <c r="I16" s="58" t="s">
        <v>217</v>
      </c>
      <c r="J16" s="94" t="s">
        <v>25</v>
      </c>
      <c r="K16" s="56" t="s">
        <v>1</v>
      </c>
      <c r="L16" s="56" t="s">
        <v>2</v>
      </c>
      <c r="M16" s="56" t="s">
        <v>0</v>
      </c>
      <c r="N16" s="94" t="s">
        <v>217</v>
      </c>
      <c r="O16" s="50" t="s">
        <v>25</v>
      </c>
      <c r="P16" s="56" t="s">
        <v>1</v>
      </c>
      <c r="Q16" s="56" t="s">
        <v>2</v>
      </c>
      <c r="R16" s="56" t="s">
        <v>0</v>
      </c>
      <c r="S16" s="50" t="s">
        <v>217</v>
      </c>
      <c r="T16" s="134" t="s">
        <v>25</v>
      </c>
      <c r="U16" s="134" t="s">
        <v>1</v>
      </c>
      <c r="V16" s="134" t="s">
        <v>2</v>
      </c>
      <c r="W16" s="134" t="s">
        <v>0</v>
      </c>
      <c r="X16" s="134" t="s">
        <v>217</v>
      </c>
      <c r="Y16" s="58" t="s">
        <v>25</v>
      </c>
      <c r="Z16" s="58" t="s">
        <v>1</v>
      </c>
      <c r="AA16" s="58" t="s">
        <v>2</v>
      </c>
      <c r="AB16" s="58" t="s">
        <v>0</v>
      </c>
      <c r="AC16" s="58" t="s">
        <v>217</v>
      </c>
      <c r="AD16" s="110" t="s">
        <v>25</v>
      </c>
      <c r="AE16" s="110" t="s">
        <v>1</v>
      </c>
      <c r="AF16" s="110" t="s">
        <v>2</v>
      </c>
      <c r="AG16" s="110" t="s">
        <v>0</v>
      </c>
      <c r="AH16" s="110" t="s">
        <v>217</v>
      </c>
    </row>
    <row r="17" spans="2:34" x14ac:dyDescent="0.15">
      <c r="C17" s="30">
        <v>5</v>
      </c>
      <c r="D17" s="30">
        <f>求节点(节奏总纲!$O$4:$O$163,节奏总纲!P$4:P$163,C17)</f>
        <v>0.41421356237309515</v>
      </c>
      <c r="E17" s="58"/>
      <c r="F17" s="58">
        <f>ROUND(MIN(投放验证!Y17,SUM(投放验证!E$8:E$9)),0)</f>
        <v>0</v>
      </c>
      <c r="G17" s="58">
        <f>ROUND(MIN(投放验证!Z17,SUM(投放验证!F$8:F$9)),0)</f>
        <v>0</v>
      </c>
      <c r="H17" s="58">
        <f>ROUND(MIN(投放验证!AA17,SUM(投放验证!G$8:G$9)),0)</f>
        <v>0</v>
      </c>
      <c r="I17" s="58">
        <f>ROUND(MIN(投放验证!AB17,SUM(投放验证!H$8:H$9)),0)</f>
        <v>0</v>
      </c>
      <c r="J17" s="94"/>
      <c r="K17" s="93">
        <f>投放验证!AD17</f>
        <v>0</v>
      </c>
      <c r="L17" s="93">
        <f>投放验证!AE17</f>
        <v>0</v>
      </c>
      <c r="M17" s="93">
        <f>投放验证!AF17</f>
        <v>0</v>
      </c>
      <c r="N17" s="93">
        <f>投放验证!AG17</f>
        <v>0</v>
      </c>
      <c r="O17" s="50"/>
      <c r="P17" s="58">
        <v>0</v>
      </c>
      <c r="Q17" s="58">
        <v>0</v>
      </c>
      <c r="R17" s="58">
        <v>0</v>
      </c>
      <c r="S17" s="58">
        <v>0</v>
      </c>
      <c r="T17" s="134"/>
      <c r="U17" s="160">
        <f>MIN(MIN(F17,6),6-SUM(V17:X17))</f>
        <v>0</v>
      </c>
      <c r="V17" s="160">
        <f>MIN(MIN(G17,6),6-SUM(W17:X17))</f>
        <v>0</v>
      </c>
      <c r="W17" s="160">
        <f>MIN(MIN(H17,6),6-X17)</f>
        <v>0</v>
      </c>
      <c r="X17" s="161">
        <f>MAX(MIN(I17,6),N17)</f>
        <v>0</v>
      </c>
      <c r="Y17" s="58"/>
      <c r="Z17" s="159">
        <f>MIN(MIN(F17,6),6-SUM(AA17:AC17))</f>
        <v>0</v>
      </c>
      <c r="AA17" s="159">
        <f>MIN(MIN(G17,6),6-SUM(AB17:AC17))</f>
        <v>0</v>
      </c>
      <c r="AB17" s="159">
        <f>MIN(MIN(H17,6),6-AC17)</f>
        <v>0</v>
      </c>
      <c r="AC17" s="105">
        <f>MIN(MAX(I17,N17),6)</f>
        <v>0</v>
      </c>
      <c r="AD17" s="110"/>
      <c r="AE17" s="112"/>
      <c r="AF17" s="112"/>
      <c r="AG17" s="112"/>
      <c r="AH17" s="112"/>
    </row>
    <row r="18" spans="2:34" x14ac:dyDescent="0.15">
      <c r="C18" s="30">
        <v>10</v>
      </c>
      <c r="D18" s="94">
        <f>求节点(节奏总纲!$O$4:$O$163,节奏总纲!P$4:P$163,C18)</f>
        <v>1</v>
      </c>
      <c r="E18" s="58"/>
      <c r="F18" s="58">
        <f>ROUND(MIN(投放验证!Y18,SUM(投放验证!E$8:E$9)),0)</f>
        <v>0</v>
      </c>
      <c r="G18" s="58">
        <f>ROUND(MIN(投放验证!Z18,SUM(投放验证!F$8:F$9)),0)</f>
        <v>0</v>
      </c>
      <c r="H18" s="58">
        <f>ROUND(MIN(投放验证!AA18,SUM(投放验证!G$8:G$9)),0)</f>
        <v>0</v>
      </c>
      <c r="I18" s="58">
        <f>ROUND(MIN(投放验证!AB18,SUM(投放验证!H$8:H$9)),0)</f>
        <v>0</v>
      </c>
      <c r="J18" s="94"/>
      <c r="K18" s="93">
        <f>投放验证!AD18</f>
        <v>0</v>
      </c>
      <c r="L18" s="93">
        <f>投放验证!AE18</f>
        <v>0</v>
      </c>
      <c r="M18" s="93">
        <f>投放验证!AF18</f>
        <v>0</v>
      </c>
      <c r="N18" s="93">
        <f>投放验证!AG18</f>
        <v>0</v>
      </c>
      <c r="O18" s="50"/>
      <c r="P18" s="93">
        <v>0</v>
      </c>
      <c r="Q18" s="93">
        <v>0</v>
      </c>
      <c r="R18" s="93">
        <v>0</v>
      </c>
      <c r="S18" s="93">
        <v>0</v>
      </c>
      <c r="T18" s="134"/>
      <c r="U18" s="160">
        <f t="shared" ref="U18:U37" si="0">MIN(MIN(F18,6),6-SUM(V18:X18))</f>
        <v>0</v>
      </c>
      <c r="V18" s="160">
        <f t="shared" ref="V18:V37" si="1">MIN(MIN(G18,6),6-SUM(W18:X18))</f>
        <v>0</v>
      </c>
      <c r="W18" s="160">
        <f t="shared" ref="W18:W37" si="2">MIN(MIN(H18,6),6-X18)</f>
        <v>0</v>
      </c>
      <c r="X18" s="161">
        <f t="shared" ref="X18:X37" si="3">MAX(MIN(I18,6),N18)</f>
        <v>0</v>
      </c>
      <c r="Y18" s="58"/>
      <c r="Z18" s="160">
        <f>MAX(MIN(MIN(F18,6),6-SUM(AA18:AC18)),Z17)</f>
        <v>0</v>
      </c>
      <c r="AA18" s="160">
        <f>MAX(MIN(MIN(G18,6),6-SUM(AB18:AC18)),AA17)</f>
        <v>0</v>
      </c>
      <c r="AB18" s="160">
        <f>MAX(MIN(MIN(H18,6),6-AC18),AB17)</f>
        <v>0</v>
      </c>
      <c r="AC18" s="161">
        <f>MAX(MIN(MAX(I18,N18),6),AC17)</f>
        <v>0</v>
      </c>
      <c r="AD18" s="110"/>
      <c r="AE18" s="112"/>
      <c r="AF18" s="112"/>
      <c r="AG18" s="112"/>
      <c r="AH18" s="112"/>
    </row>
    <row r="19" spans="2:34" x14ac:dyDescent="0.15">
      <c r="C19" s="30">
        <v>15</v>
      </c>
      <c r="D19" s="94">
        <f>求节点(节奏总纲!$O$4:$O$163,节奏总纲!P$4:P$163,C19)</f>
        <v>1.8284271247461898</v>
      </c>
      <c r="E19" s="58"/>
      <c r="F19" s="58">
        <f>ROUND(MIN(投放验证!Y19,SUM(投放验证!E$8:E$9)),0)</f>
        <v>0</v>
      </c>
      <c r="G19" s="58">
        <f>ROUND(MIN(投放验证!Z19,SUM(投放验证!F$8:F$9)),0)</f>
        <v>0</v>
      </c>
      <c r="H19" s="58">
        <f>ROUND(MIN(投放验证!AA19,SUM(投放验证!G$8:G$9)),0)</f>
        <v>0</v>
      </c>
      <c r="I19" s="58">
        <f>ROUND(MIN(投放验证!AB19,SUM(投放验证!H$8:H$9)),0)</f>
        <v>0</v>
      </c>
      <c r="J19" s="94"/>
      <c r="K19" s="93">
        <f>投放验证!AD19</f>
        <v>0</v>
      </c>
      <c r="L19" s="93">
        <f>投放验证!AE19</f>
        <v>0</v>
      </c>
      <c r="M19" s="93">
        <f>投放验证!AF19</f>
        <v>0</v>
      </c>
      <c r="N19" s="93">
        <f>投放验证!AG19</f>
        <v>0</v>
      </c>
      <c r="O19" s="50"/>
      <c r="P19" s="93">
        <v>0</v>
      </c>
      <c r="Q19" s="93">
        <v>0</v>
      </c>
      <c r="R19" s="93">
        <v>0</v>
      </c>
      <c r="S19" s="93">
        <v>0</v>
      </c>
      <c r="T19" s="134"/>
      <c r="U19" s="160">
        <f t="shared" si="0"/>
        <v>0</v>
      </c>
      <c r="V19" s="160">
        <f t="shared" si="1"/>
        <v>0</v>
      </c>
      <c r="W19" s="160">
        <f t="shared" si="2"/>
        <v>0</v>
      </c>
      <c r="X19" s="161">
        <f t="shared" si="3"/>
        <v>0</v>
      </c>
      <c r="Y19" s="58"/>
      <c r="Z19" s="160">
        <f t="shared" ref="Z19:Z37" si="4">MAX(MIN(MIN(F19,6),6-SUM(AA19:AC19)),Z18)</f>
        <v>0</v>
      </c>
      <c r="AA19" s="160">
        <f t="shared" ref="AA19:AA37" si="5">MAX(MIN(MIN(G19,6),6-SUM(AB19:AC19)),AA18)</f>
        <v>0</v>
      </c>
      <c r="AB19" s="160">
        <f t="shared" ref="AB19:AB37" si="6">MAX(MIN(MIN(H19,6),6-AC19),AB18)</f>
        <v>0</v>
      </c>
      <c r="AC19" s="161">
        <f t="shared" ref="AC19:AC37" si="7">MAX(MIN(MAX(I19,N19),6),AC18)</f>
        <v>0</v>
      </c>
      <c r="AD19" s="110"/>
      <c r="AE19" s="112"/>
      <c r="AF19" s="112"/>
      <c r="AG19" s="112"/>
      <c r="AH19" s="112"/>
    </row>
    <row r="20" spans="2:34" x14ac:dyDescent="0.15">
      <c r="C20" s="30">
        <v>20</v>
      </c>
      <c r="D20" s="94">
        <f>求节点(节奏总纲!$O$4:$O$163,节奏总纲!P$4:P$163,C20)</f>
        <v>3</v>
      </c>
      <c r="E20" s="58"/>
      <c r="F20" s="58">
        <f>ROUND(MIN(投放验证!Y20,SUM(投放验证!E$8:E$9)),0)</f>
        <v>0</v>
      </c>
      <c r="G20" s="58">
        <f>ROUND(MIN(投放验证!Z20,SUM(投放验证!F$8:F$9)),0)</f>
        <v>0</v>
      </c>
      <c r="H20" s="58">
        <f>ROUND(MIN(投放验证!AA20,SUM(投放验证!G$8:G$9)),0)</f>
        <v>0</v>
      </c>
      <c r="I20" s="58">
        <f>ROUND(MIN(投放验证!AB20,SUM(投放验证!H$8:H$9)),0)</f>
        <v>0</v>
      </c>
      <c r="J20" s="94"/>
      <c r="K20" s="93">
        <f>投放验证!AD20</f>
        <v>0</v>
      </c>
      <c r="L20" s="93">
        <f>投放验证!AE20</f>
        <v>0</v>
      </c>
      <c r="M20" s="93">
        <f>投放验证!AF20</f>
        <v>0</v>
      </c>
      <c r="N20" s="93">
        <f>投放验证!AG20</f>
        <v>0</v>
      </c>
      <c r="O20" s="50"/>
      <c r="P20" s="93">
        <v>0</v>
      </c>
      <c r="Q20" s="93">
        <v>0</v>
      </c>
      <c r="R20" s="93">
        <v>0</v>
      </c>
      <c r="S20" s="93">
        <v>0</v>
      </c>
      <c r="T20" s="134"/>
      <c r="U20" s="160">
        <f t="shared" si="0"/>
        <v>0</v>
      </c>
      <c r="V20" s="160">
        <f t="shared" si="1"/>
        <v>0</v>
      </c>
      <c r="W20" s="160">
        <f t="shared" si="2"/>
        <v>0</v>
      </c>
      <c r="X20" s="161">
        <f t="shared" si="3"/>
        <v>0</v>
      </c>
      <c r="Y20" s="58"/>
      <c r="Z20" s="160">
        <f t="shared" si="4"/>
        <v>0</v>
      </c>
      <c r="AA20" s="160">
        <f t="shared" si="5"/>
        <v>0</v>
      </c>
      <c r="AB20" s="160">
        <f t="shared" si="6"/>
        <v>0</v>
      </c>
      <c r="AC20" s="161">
        <f t="shared" si="7"/>
        <v>0</v>
      </c>
      <c r="AD20" s="110"/>
      <c r="AE20" s="112"/>
      <c r="AF20" s="112"/>
      <c r="AG20" s="112"/>
      <c r="AH20" s="112"/>
    </row>
    <row r="21" spans="2:34" x14ac:dyDescent="0.15">
      <c r="C21" s="30">
        <v>25</v>
      </c>
      <c r="D21" s="94">
        <f>求节点(节奏总纲!$O$4:$O$163,节奏总纲!P$4:P$163,C21)</f>
        <v>4.6568542494923806</v>
      </c>
      <c r="E21" s="58"/>
      <c r="F21" s="58">
        <f>ROUND(MIN(投放验证!Y21,SUM(投放验证!E$8:E$9)),0)</f>
        <v>0</v>
      </c>
      <c r="G21" s="58">
        <f>ROUND(MIN(投放验证!Z21,SUM(投放验证!F$8:F$9)),0)</f>
        <v>0</v>
      </c>
      <c r="H21" s="58">
        <f>ROUND(MIN(投放验证!AA21,SUM(投放验证!G$8:G$9)),0)</f>
        <v>0</v>
      </c>
      <c r="I21" s="58">
        <f>ROUND(MIN(投放验证!AB21,SUM(投放验证!H$8:H$9)),0)</f>
        <v>0</v>
      </c>
      <c r="J21" s="94"/>
      <c r="K21" s="93">
        <f>投放验证!AD21</f>
        <v>0</v>
      </c>
      <c r="L21" s="93">
        <f>投放验证!AE21</f>
        <v>0</v>
      </c>
      <c r="M21" s="93">
        <f>投放验证!AF21</f>
        <v>0</v>
      </c>
      <c r="N21" s="93">
        <f>投放验证!AG21</f>
        <v>0</v>
      </c>
      <c r="O21" s="50"/>
      <c r="P21" s="93">
        <v>0</v>
      </c>
      <c r="Q21" s="93">
        <v>0</v>
      </c>
      <c r="R21" s="93">
        <v>0</v>
      </c>
      <c r="S21" s="93">
        <v>0</v>
      </c>
      <c r="T21" s="134"/>
      <c r="U21" s="160">
        <f t="shared" si="0"/>
        <v>0</v>
      </c>
      <c r="V21" s="160">
        <f t="shared" si="1"/>
        <v>0</v>
      </c>
      <c r="W21" s="160">
        <f t="shared" si="2"/>
        <v>0</v>
      </c>
      <c r="X21" s="161">
        <f t="shared" si="3"/>
        <v>0</v>
      </c>
      <c r="Y21" s="58"/>
      <c r="Z21" s="160">
        <f t="shared" si="4"/>
        <v>0</v>
      </c>
      <c r="AA21" s="160">
        <f t="shared" si="5"/>
        <v>0</v>
      </c>
      <c r="AB21" s="160">
        <f t="shared" si="6"/>
        <v>0</v>
      </c>
      <c r="AC21" s="161">
        <f t="shared" si="7"/>
        <v>0</v>
      </c>
      <c r="AD21" s="110"/>
      <c r="AE21" s="112"/>
      <c r="AF21" s="112"/>
      <c r="AG21" s="112"/>
      <c r="AH21" s="112"/>
    </row>
    <row r="22" spans="2:34" x14ac:dyDescent="0.15">
      <c r="C22" s="30">
        <v>30</v>
      </c>
      <c r="D22" s="94">
        <f>求节点(节奏总纲!$O$4:$O$163,节奏总纲!P$4:P$163,C22)</f>
        <v>7</v>
      </c>
      <c r="E22" s="58"/>
      <c r="F22" s="58">
        <f>ROUND(MIN(投放验证!Y22,SUM(投放验证!E$8:E$9)),0)</f>
        <v>0</v>
      </c>
      <c r="G22" s="58">
        <f>ROUND(MIN(投放验证!Z22,SUM(投放验证!F$8:F$9)),0)</f>
        <v>0</v>
      </c>
      <c r="H22" s="58">
        <f>ROUND(MIN(投放验证!AA22,SUM(投放验证!G$8:G$9)),0)</f>
        <v>0</v>
      </c>
      <c r="I22" s="58">
        <f>ROUND(MIN(投放验证!AB22,SUM(投放验证!H$8:H$9)),0)</f>
        <v>0</v>
      </c>
      <c r="J22" s="94"/>
      <c r="K22" s="93">
        <f>投放验证!AD22</f>
        <v>0</v>
      </c>
      <c r="L22" s="93">
        <f>投放验证!AE22</f>
        <v>0</v>
      </c>
      <c r="M22" s="93">
        <f>投放验证!AF22</f>
        <v>0</v>
      </c>
      <c r="N22" s="93">
        <f>投放验证!AG22</f>
        <v>0</v>
      </c>
      <c r="O22" s="50"/>
      <c r="P22" s="93">
        <v>0</v>
      </c>
      <c r="Q22" s="93">
        <v>0</v>
      </c>
      <c r="R22" s="93">
        <v>0</v>
      </c>
      <c r="S22" s="93">
        <v>0</v>
      </c>
      <c r="T22" s="134"/>
      <c r="U22" s="160">
        <f t="shared" si="0"/>
        <v>0</v>
      </c>
      <c r="V22" s="160">
        <f t="shared" si="1"/>
        <v>0</v>
      </c>
      <c r="W22" s="160">
        <f t="shared" si="2"/>
        <v>0</v>
      </c>
      <c r="X22" s="161">
        <f t="shared" si="3"/>
        <v>0</v>
      </c>
      <c r="Y22" s="58"/>
      <c r="Z22" s="160">
        <f t="shared" si="4"/>
        <v>0</v>
      </c>
      <c r="AA22" s="160">
        <f t="shared" si="5"/>
        <v>0</v>
      </c>
      <c r="AB22" s="160">
        <f t="shared" si="6"/>
        <v>0</v>
      </c>
      <c r="AC22" s="161">
        <f t="shared" si="7"/>
        <v>0</v>
      </c>
      <c r="AD22" s="110"/>
      <c r="AE22" s="112"/>
      <c r="AF22" s="112"/>
      <c r="AG22" s="112"/>
      <c r="AH22" s="112"/>
    </row>
    <row r="23" spans="2:34" x14ac:dyDescent="0.15">
      <c r="B23" s="31" t="s">
        <v>315</v>
      </c>
      <c r="C23" s="30">
        <v>35</v>
      </c>
      <c r="D23" s="94">
        <f>求节点(节奏总纲!$O$4:$O$163,节奏总纲!P$4:P$163,C23)</f>
        <v>10.313708498984759</v>
      </c>
      <c r="E23" s="58"/>
      <c r="F23" s="58">
        <f>ROUND(MIN(投放验证!Y23,SUM(投放验证!E$8:E$9)),0)</f>
        <v>0</v>
      </c>
      <c r="G23" s="58">
        <f>ROUND(MIN(投放验证!Z23,SUM(投放验证!F$8:F$9)),0)</f>
        <v>0</v>
      </c>
      <c r="H23" s="58">
        <f>ROUND(MIN(投放验证!AA23,SUM(投放验证!G$8:G$9)),0)</f>
        <v>0</v>
      </c>
      <c r="I23" s="58">
        <f>ROUND(MIN(投放验证!AB23,SUM(投放验证!H$8:H$9)),0)</f>
        <v>0</v>
      </c>
      <c r="J23" s="94"/>
      <c r="K23" s="93">
        <f>投放验证!AD23</f>
        <v>0</v>
      </c>
      <c r="L23" s="93">
        <f>投放验证!AE23</f>
        <v>0</v>
      </c>
      <c r="M23" s="93">
        <f>投放验证!AF23</f>
        <v>0</v>
      </c>
      <c r="N23" s="93">
        <f>投放验证!AG23</f>
        <v>0</v>
      </c>
      <c r="O23" s="50"/>
      <c r="P23" s="93">
        <v>0</v>
      </c>
      <c r="Q23" s="93">
        <v>0</v>
      </c>
      <c r="R23" s="93">
        <v>0</v>
      </c>
      <c r="S23" s="93">
        <v>0</v>
      </c>
      <c r="T23" s="134"/>
      <c r="U23" s="160">
        <f t="shared" si="0"/>
        <v>0</v>
      </c>
      <c r="V23" s="160">
        <f t="shared" si="1"/>
        <v>0</v>
      </c>
      <c r="W23" s="160">
        <f t="shared" si="2"/>
        <v>0</v>
      </c>
      <c r="X23" s="161">
        <f t="shared" si="3"/>
        <v>0</v>
      </c>
      <c r="Y23" s="58"/>
      <c r="Z23" s="160">
        <f t="shared" si="4"/>
        <v>0</v>
      </c>
      <c r="AA23" s="160">
        <f t="shared" si="5"/>
        <v>0</v>
      </c>
      <c r="AB23" s="160">
        <f t="shared" si="6"/>
        <v>0</v>
      </c>
      <c r="AC23" s="161">
        <f t="shared" si="7"/>
        <v>0</v>
      </c>
      <c r="AD23" s="110"/>
      <c r="AE23" s="112"/>
      <c r="AF23" s="112"/>
      <c r="AG23" s="112"/>
      <c r="AH23" s="112"/>
    </row>
    <row r="24" spans="2:34" x14ac:dyDescent="0.15">
      <c r="C24" s="30">
        <v>40</v>
      </c>
      <c r="D24" s="94">
        <f>求节点(节奏总纲!$O$4:$O$163,节奏总纲!P$4:P$163,C24)</f>
        <v>15</v>
      </c>
      <c r="E24" s="58"/>
      <c r="F24" s="58">
        <f>ROUND(MIN(投放验证!Y24,SUM(投放验证!E$8:E$9)),0)</f>
        <v>1</v>
      </c>
      <c r="G24" s="58">
        <f>ROUND(MIN(投放验证!Z24,SUM(投放验证!F$8:F$9)),0)</f>
        <v>0</v>
      </c>
      <c r="H24" s="58">
        <f>ROUND(MIN(投放验证!AA24,SUM(投放验证!G$8:G$9)),0)</f>
        <v>0</v>
      </c>
      <c r="I24" s="58">
        <f>ROUND(MIN(投放验证!AB24,SUM(投放验证!H$8:H$9)),0)</f>
        <v>0</v>
      </c>
      <c r="J24" s="94"/>
      <c r="K24" s="93">
        <f>投放验证!AD24</f>
        <v>0</v>
      </c>
      <c r="L24" s="93">
        <f>投放验证!AE24</f>
        <v>0</v>
      </c>
      <c r="M24" s="93">
        <f>投放验证!AF24</f>
        <v>0</v>
      </c>
      <c r="N24" s="93">
        <f>投放验证!AG24</f>
        <v>0</v>
      </c>
      <c r="O24" s="50"/>
      <c r="P24" s="93">
        <v>0.25</v>
      </c>
      <c r="Q24" s="93">
        <v>0</v>
      </c>
      <c r="R24" s="93">
        <v>0</v>
      </c>
      <c r="S24" s="93">
        <v>0</v>
      </c>
      <c r="T24" s="134"/>
      <c r="U24" s="160">
        <f t="shared" si="0"/>
        <v>1</v>
      </c>
      <c r="V24" s="160">
        <f t="shared" si="1"/>
        <v>0</v>
      </c>
      <c r="W24" s="160">
        <f t="shared" si="2"/>
        <v>0</v>
      </c>
      <c r="X24" s="161">
        <f t="shared" si="3"/>
        <v>0</v>
      </c>
      <c r="Y24" s="58"/>
      <c r="Z24" s="160">
        <f t="shared" si="4"/>
        <v>1</v>
      </c>
      <c r="AA24" s="160">
        <f t="shared" si="5"/>
        <v>0</v>
      </c>
      <c r="AB24" s="160">
        <f t="shared" si="6"/>
        <v>0</v>
      </c>
      <c r="AC24" s="161">
        <f t="shared" si="7"/>
        <v>0</v>
      </c>
      <c r="AD24" s="110"/>
      <c r="AE24" s="112"/>
      <c r="AF24" s="112"/>
      <c r="AG24" s="112"/>
      <c r="AH24" s="112"/>
    </row>
    <row r="25" spans="2:34" x14ac:dyDescent="0.15">
      <c r="B25" s="31" t="s">
        <v>316</v>
      </c>
      <c r="C25" s="30">
        <v>45</v>
      </c>
      <c r="D25" s="94">
        <f>求节点(节奏总纲!$O$4:$O$163,节奏总纲!P$4:P$163,C25)</f>
        <v>21.627416997969519</v>
      </c>
      <c r="E25" s="58"/>
      <c r="F25" s="58">
        <f>ROUND(MIN(投放验证!Y25,SUM(投放验证!E$8:E$9)),0)</f>
        <v>4</v>
      </c>
      <c r="G25" s="58">
        <f>ROUND(MIN(投放验证!Z25,SUM(投放验证!F$8:F$9)),0)</f>
        <v>2</v>
      </c>
      <c r="H25" s="58">
        <f>ROUND(MIN(投放验证!AA25,SUM(投放验证!G$8:G$9)),0)</f>
        <v>0</v>
      </c>
      <c r="I25" s="58">
        <f>ROUND(MIN(投放验证!AB25,SUM(投放验证!H$8:H$9)),0)</f>
        <v>0</v>
      </c>
      <c r="J25" s="94"/>
      <c r="K25" s="93">
        <f>投放验证!AD25</f>
        <v>0.83890646123239998</v>
      </c>
      <c r="L25" s="93">
        <f>投放验证!AE25</f>
        <v>0</v>
      </c>
      <c r="M25" s="93">
        <f>投放验证!AF25</f>
        <v>0</v>
      </c>
      <c r="N25" s="93">
        <f>投放验证!AG25</f>
        <v>0</v>
      </c>
      <c r="O25" s="50"/>
      <c r="P25" s="93">
        <v>0.6</v>
      </c>
      <c r="Q25" s="93">
        <v>0.25</v>
      </c>
      <c r="R25" s="93">
        <v>0</v>
      </c>
      <c r="S25" s="93">
        <v>0</v>
      </c>
      <c r="T25" s="134"/>
      <c r="U25" s="160">
        <f t="shared" si="0"/>
        <v>4</v>
      </c>
      <c r="V25" s="160">
        <f t="shared" si="1"/>
        <v>2</v>
      </c>
      <c r="W25" s="160">
        <f t="shared" si="2"/>
        <v>0</v>
      </c>
      <c r="X25" s="161">
        <f t="shared" si="3"/>
        <v>0</v>
      </c>
      <c r="Y25" s="58"/>
      <c r="Z25" s="160">
        <f t="shared" si="4"/>
        <v>4</v>
      </c>
      <c r="AA25" s="160">
        <f t="shared" si="5"/>
        <v>2</v>
      </c>
      <c r="AB25" s="160">
        <f t="shared" si="6"/>
        <v>0</v>
      </c>
      <c r="AC25" s="161">
        <f t="shared" si="7"/>
        <v>0</v>
      </c>
      <c r="AD25" s="110"/>
      <c r="AE25" s="112"/>
      <c r="AF25" s="112"/>
      <c r="AG25" s="112"/>
      <c r="AH25" s="112"/>
    </row>
    <row r="26" spans="2:34" x14ac:dyDescent="0.15">
      <c r="C26" s="30">
        <v>50</v>
      </c>
      <c r="D26" s="94">
        <f>求节点(节奏总纲!$O$4:$O$163,节奏总纲!P$4:P$163,C26)</f>
        <v>31</v>
      </c>
      <c r="E26" s="58"/>
      <c r="F26" s="58">
        <f>ROUND(MIN(投放验证!Y26,SUM(投放验证!E$8:E$9)),0)</f>
        <v>4</v>
      </c>
      <c r="G26" s="58">
        <f>ROUND(MIN(投放验证!Z26,SUM(投放验证!F$8:F$9)),0)</f>
        <v>5</v>
      </c>
      <c r="H26" s="58">
        <f>ROUND(MIN(投放验证!AA26,SUM(投放验证!G$8:G$9)),0)</f>
        <v>1</v>
      </c>
      <c r="I26" s="58">
        <f>ROUND(MIN(投放验证!AB26,SUM(投放验证!H$8:H$9)),0)</f>
        <v>0</v>
      </c>
      <c r="J26" s="94"/>
      <c r="K26" s="93">
        <f>投放验证!AD26</f>
        <v>2.1723808798567834</v>
      </c>
      <c r="L26" s="93">
        <f>投放验证!AE26</f>
        <v>5.3115075315715687E-2</v>
      </c>
      <c r="M26" s="93">
        <f>投放验证!AF26</f>
        <v>0</v>
      </c>
      <c r="N26" s="93">
        <f>投放验证!AG26</f>
        <v>0</v>
      </c>
      <c r="O26" s="50"/>
      <c r="P26" s="93">
        <v>1</v>
      </c>
      <c r="Q26" s="93">
        <v>0.6</v>
      </c>
      <c r="R26" s="134">
        <v>0.1</v>
      </c>
      <c r="S26" s="93">
        <v>0</v>
      </c>
      <c r="T26" s="134"/>
      <c r="U26" s="160">
        <f t="shared" si="0"/>
        <v>0</v>
      </c>
      <c r="V26" s="160">
        <f t="shared" si="1"/>
        <v>5</v>
      </c>
      <c r="W26" s="160">
        <f t="shared" si="2"/>
        <v>1</v>
      </c>
      <c r="X26" s="161">
        <f t="shared" si="3"/>
        <v>0</v>
      </c>
      <c r="Y26" s="58"/>
      <c r="Z26" s="160">
        <f t="shared" si="4"/>
        <v>4</v>
      </c>
      <c r="AA26" s="160">
        <f t="shared" si="5"/>
        <v>5</v>
      </c>
      <c r="AB26" s="160">
        <f t="shared" si="6"/>
        <v>1</v>
      </c>
      <c r="AC26" s="161">
        <f t="shared" si="7"/>
        <v>0</v>
      </c>
      <c r="AD26" s="110"/>
      <c r="AE26" s="112"/>
      <c r="AF26" s="112"/>
      <c r="AG26" s="112"/>
      <c r="AH26" s="112"/>
    </row>
    <row r="27" spans="2:34" x14ac:dyDescent="0.15">
      <c r="B27" s="66" t="s">
        <v>317</v>
      </c>
      <c r="C27" s="30">
        <v>60</v>
      </c>
      <c r="D27" s="94">
        <f>求节点(节奏总纲!$O$4:$O$163,节奏总纲!P$4:P$163,C27)</f>
        <v>63</v>
      </c>
      <c r="E27" s="58"/>
      <c r="F27" s="58">
        <f>ROUND(MIN(投放验证!Y27,SUM(投放验证!E$8:E$9)),0)</f>
        <v>4</v>
      </c>
      <c r="G27" s="58">
        <f>ROUND(MIN(投放验证!Z27,SUM(投放验证!F$8:F$9)),0)</f>
        <v>5</v>
      </c>
      <c r="H27" s="58">
        <f>ROUND(MIN(投放验证!AA27,SUM(投放验证!G$8:G$9)),0)</f>
        <v>6</v>
      </c>
      <c r="I27" s="58">
        <f>ROUND(MIN(投放验证!AB27,SUM(投放验证!H$8:H$9)),0)</f>
        <v>1</v>
      </c>
      <c r="J27" s="94"/>
      <c r="K27" s="93">
        <f>投放验证!AD27</f>
        <v>4.1713827192886255</v>
      </c>
      <c r="L27" s="93">
        <f>投放验证!AE27</f>
        <v>2.202733531720602</v>
      </c>
      <c r="M27" s="93">
        <f>投放验证!AF27</f>
        <v>0</v>
      </c>
      <c r="N27" s="93">
        <f>投放验证!AG27</f>
        <v>0</v>
      </c>
      <c r="O27" s="50"/>
      <c r="P27" s="93">
        <v>1</v>
      </c>
      <c r="Q27" s="93">
        <v>1</v>
      </c>
      <c r="R27" s="134">
        <v>0.2</v>
      </c>
      <c r="S27" s="93">
        <v>0.1</v>
      </c>
      <c r="T27" s="134"/>
      <c r="U27" s="160">
        <f t="shared" si="0"/>
        <v>0</v>
      </c>
      <c r="V27" s="160">
        <f t="shared" si="1"/>
        <v>0</v>
      </c>
      <c r="W27" s="160">
        <f t="shared" si="2"/>
        <v>5</v>
      </c>
      <c r="X27" s="161">
        <f t="shared" si="3"/>
        <v>1</v>
      </c>
      <c r="Y27" s="58"/>
      <c r="Z27" s="160">
        <f t="shared" si="4"/>
        <v>4</v>
      </c>
      <c r="AA27" s="160">
        <f t="shared" si="5"/>
        <v>5</v>
      </c>
      <c r="AB27" s="160">
        <f t="shared" si="6"/>
        <v>5</v>
      </c>
      <c r="AC27" s="161">
        <f t="shared" si="7"/>
        <v>1</v>
      </c>
      <c r="AD27" s="110"/>
      <c r="AE27" s="112"/>
      <c r="AF27" s="112"/>
      <c r="AG27" s="112"/>
      <c r="AH27" s="112"/>
    </row>
    <row r="28" spans="2:34" x14ac:dyDescent="0.15">
      <c r="C28" s="30">
        <v>70</v>
      </c>
      <c r="D28" s="94">
        <f>求节点(节奏总纲!$O$4:$O$163,节奏总纲!P$4:P$163,C28)</f>
        <v>127</v>
      </c>
      <c r="E28" s="58"/>
      <c r="F28" s="58">
        <f>ROUND(MIN(投放验证!Y28,SUM(投放验证!E$8:E$9)),0)</f>
        <v>4</v>
      </c>
      <c r="G28" s="58">
        <f>ROUND(MIN(投放验证!Z28,SUM(投放验证!F$8:F$9)),0)</f>
        <v>5</v>
      </c>
      <c r="H28" s="58">
        <f>ROUND(MIN(投放验证!AA28,SUM(投放验证!G$8:G$9)),0)</f>
        <v>21</v>
      </c>
      <c r="I28" s="58">
        <f>ROUND(MIN(投放验证!AB28,SUM(投放验证!H$8:H$9)),0)</f>
        <v>1</v>
      </c>
      <c r="J28" s="94"/>
      <c r="K28" s="93">
        <f>投放验证!AD28</f>
        <v>5</v>
      </c>
      <c r="L28" s="93">
        <f>投放验证!AE28</f>
        <v>4.04620828694304</v>
      </c>
      <c r="M28" s="93">
        <f>投放验证!AF28</f>
        <v>0</v>
      </c>
      <c r="N28" s="93">
        <f>投放验证!AG28</f>
        <v>1.3817414849667458</v>
      </c>
      <c r="O28" s="50"/>
      <c r="P28" s="93">
        <v>1</v>
      </c>
      <c r="Q28" s="93">
        <v>1</v>
      </c>
      <c r="R28" s="134">
        <v>0.4</v>
      </c>
      <c r="S28" s="93">
        <v>0.2</v>
      </c>
      <c r="T28" s="134"/>
      <c r="U28" s="160">
        <f t="shared" si="0"/>
        <v>0</v>
      </c>
      <c r="V28" s="160">
        <f t="shared" si="1"/>
        <v>0</v>
      </c>
      <c r="W28" s="160">
        <f t="shared" si="2"/>
        <v>4.6182585150332542</v>
      </c>
      <c r="X28" s="161">
        <f t="shared" si="3"/>
        <v>1.3817414849667458</v>
      </c>
      <c r="Y28" s="58"/>
      <c r="Z28" s="160">
        <f t="shared" si="4"/>
        <v>4</v>
      </c>
      <c r="AA28" s="160">
        <f t="shared" si="5"/>
        <v>5</v>
      </c>
      <c r="AB28" s="160">
        <f t="shared" si="6"/>
        <v>5</v>
      </c>
      <c r="AC28" s="161">
        <f t="shared" si="7"/>
        <v>1.3817414849667458</v>
      </c>
      <c r="AD28" s="110"/>
      <c r="AE28" s="112"/>
      <c r="AF28" s="112"/>
      <c r="AG28" s="112"/>
      <c r="AH28" s="112"/>
    </row>
    <row r="29" spans="2:34" x14ac:dyDescent="0.15">
      <c r="C29" s="30">
        <v>80</v>
      </c>
      <c r="D29" s="94">
        <f>求节点(节奏总纲!$O$4:$O$163,节奏总纲!P$4:P$163,C29)</f>
        <v>255</v>
      </c>
      <c r="E29" s="58"/>
      <c r="F29" s="58">
        <f>ROUND(MIN(投放验证!Y29,SUM(投放验证!E$8:E$9)),0)</f>
        <v>4</v>
      </c>
      <c r="G29" s="58">
        <f>ROUND(MIN(投放验证!Z29,SUM(投放验证!F$8:F$9)),0)</f>
        <v>5</v>
      </c>
      <c r="H29" s="58">
        <f>ROUND(MIN(投放验证!AA29,SUM(投放验证!G$8:G$9)),0)</f>
        <v>25</v>
      </c>
      <c r="I29" s="58">
        <f>ROUND(MIN(投放验证!AB29,SUM(投放验证!H$8:H$9)),0)</f>
        <v>1</v>
      </c>
      <c r="J29" s="94"/>
      <c r="K29" s="93">
        <f>投放验证!AD29</f>
        <v>5</v>
      </c>
      <c r="L29" s="93">
        <f>投放验证!AE29</f>
        <v>5</v>
      </c>
      <c r="M29" s="93">
        <f>投放验证!AF29</f>
        <v>0.58607767816577705</v>
      </c>
      <c r="N29" s="93">
        <f>投放验证!AG29</f>
        <v>3.2304217349206237</v>
      </c>
      <c r="O29" s="50"/>
      <c r="P29" s="93">
        <v>1</v>
      </c>
      <c r="Q29" s="93">
        <v>1</v>
      </c>
      <c r="R29" s="134">
        <v>0.6</v>
      </c>
      <c r="S29" s="134">
        <v>0.3</v>
      </c>
      <c r="T29" s="134"/>
      <c r="U29" s="160">
        <f t="shared" si="0"/>
        <v>0</v>
      </c>
      <c r="V29" s="160">
        <f t="shared" si="1"/>
        <v>0</v>
      </c>
      <c r="W29" s="160">
        <f t="shared" si="2"/>
        <v>2.7695782650793763</v>
      </c>
      <c r="X29" s="161">
        <f t="shared" si="3"/>
        <v>3.2304217349206237</v>
      </c>
      <c r="Y29" s="58"/>
      <c r="Z29" s="160">
        <f t="shared" si="4"/>
        <v>4</v>
      </c>
      <c r="AA29" s="160">
        <f t="shared" si="5"/>
        <v>5</v>
      </c>
      <c r="AB29" s="160">
        <f t="shared" si="6"/>
        <v>5</v>
      </c>
      <c r="AC29" s="161">
        <f t="shared" si="7"/>
        <v>3.2304217349206237</v>
      </c>
      <c r="AD29" s="110"/>
      <c r="AE29" s="112"/>
      <c r="AF29" s="112"/>
      <c r="AG29" s="112"/>
      <c r="AH29" s="112"/>
    </row>
    <row r="30" spans="2:34" x14ac:dyDescent="0.15">
      <c r="C30" s="30">
        <v>90</v>
      </c>
      <c r="D30" s="94">
        <f>求节点(节奏总纲!$O$4:$O$163,节奏总纲!P$4:P$163,C30)</f>
        <v>511</v>
      </c>
      <c r="E30" s="58"/>
      <c r="F30" s="58">
        <f>ROUND(MIN(投放验证!Y30,SUM(投放验证!E$8:E$9)),0)</f>
        <v>4</v>
      </c>
      <c r="G30" s="58">
        <f>ROUND(MIN(投放验证!Z30,SUM(投放验证!F$8:F$9)),0)</f>
        <v>5</v>
      </c>
      <c r="H30" s="58">
        <f>ROUND(MIN(投放验证!AA30,SUM(投放验证!G$8:G$9)),0)</f>
        <v>25</v>
      </c>
      <c r="I30" s="58">
        <f>ROUND(MIN(投放验证!AB30,SUM(投放验证!H$8:H$9)),0)</f>
        <v>1</v>
      </c>
      <c r="J30" s="94"/>
      <c r="K30" s="93">
        <f>投放验证!AD30</f>
        <v>5</v>
      </c>
      <c r="L30" s="93">
        <f>投放验证!AE30</f>
        <v>5</v>
      </c>
      <c r="M30" s="93">
        <f>投放验证!AF30</f>
        <v>1.9384318724818161</v>
      </c>
      <c r="N30" s="93">
        <f>投放验证!AG30</f>
        <v>4.5660849103387768</v>
      </c>
      <c r="O30" s="50"/>
      <c r="P30" s="93">
        <v>1</v>
      </c>
      <c r="Q30" s="93">
        <v>1</v>
      </c>
      <c r="R30" s="134">
        <v>0.8</v>
      </c>
      <c r="S30" s="134">
        <v>0.4</v>
      </c>
      <c r="T30" s="134"/>
      <c r="U30" s="160">
        <f t="shared" si="0"/>
        <v>0</v>
      </c>
      <c r="V30" s="160">
        <f t="shared" si="1"/>
        <v>0</v>
      </c>
      <c r="W30" s="160">
        <f t="shared" si="2"/>
        <v>1.4339150896612232</v>
      </c>
      <c r="X30" s="161">
        <f t="shared" si="3"/>
        <v>4.5660849103387768</v>
      </c>
      <c r="Y30" s="58"/>
      <c r="Z30" s="160">
        <f t="shared" si="4"/>
        <v>4</v>
      </c>
      <c r="AA30" s="160">
        <f t="shared" si="5"/>
        <v>5</v>
      </c>
      <c r="AB30" s="160">
        <f t="shared" si="6"/>
        <v>5</v>
      </c>
      <c r="AC30" s="161">
        <f t="shared" si="7"/>
        <v>4.5660849103387768</v>
      </c>
      <c r="AD30" s="110"/>
      <c r="AE30" s="112"/>
      <c r="AF30" s="112"/>
      <c r="AG30" s="112"/>
      <c r="AH30" s="112"/>
    </row>
    <row r="31" spans="2:34" x14ac:dyDescent="0.15">
      <c r="C31" s="30">
        <v>100</v>
      </c>
      <c r="D31" s="94">
        <f>求节点(节奏总纲!$O$4:$O$163,节奏总纲!P$4:P$163,C31)</f>
        <v>1023</v>
      </c>
      <c r="E31" s="58"/>
      <c r="F31" s="58">
        <f>ROUND(MIN(投放验证!Y31,SUM(投放验证!E$8:E$9)),0)</f>
        <v>4</v>
      </c>
      <c r="G31" s="58">
        <f>ROUND(MIN(投放验证!Z31,SUM(投放验证!F$8:F$9)),0)</f>
        <v>5</v>
      </c>
      <c r="H31" s="58">
        <f>ROUND(MIN(投放验证!AA31,SUM(投放验证!G$8:G$9)),0)</f>
        <v>25</v>
      </c>
      <c r="I31" s="58">
        <f>ROUND(MIN(投放验证!AB31,SUM(投放验证!H$8:H$9)),0)</f>
        <v>1</v>
      </c>
      <c r="J31" s="94"/>
      <c r="K31" s="93">
        <f>投放验证!AD31</f>
        <v>5</v>
      </c>
      <c r="L31" s="93">
        <f>投放验证!AE31</f>
        <v>5</v>
      </c>
      <c r="M31" s="93">
        <f>投放验证!AF31</f>
        <v>2.6724071102484022</v>
      </c>
      <c r="N31" s="93">
        <f>投放验证!AG31</f>
        <v>5</v>
      </c>
      <c r="O31" s="50"/>
      <c r="P31" s="93">
        <v>1</v>
      </c>
      <c r="Q31" s="93">
        <v>1</v>
      </c>
      <c r="R31" s="134">
        <v>1</v>
      </c>
      <c r="S31" s="134">
        <v>0.5</v>
      </c>
      <c r="T31" s="134"/>
      <c r="U31" s="160">
        <f t="shared" si="0"/>
        <v>0</v>
      </c>
      <c r="V31" s="160">
        <f t="shared" si="1"/>
        <v>0</v>
      </c>
      <c r="W31" s="160">
        <f t="shared" si="2"/>
        <v>1</v>
      </c>
      <c r="X31" s="161">
        <f t="shared" si="3"/>
        <v>5</v>
      </c>
      <c r="Y31" s="58"/>
      <c r="Z31" s="160">
        <f t="shared" si="4"/>
        <v>4</v>
      </c>
      <c r="AA31" s="160">
        <f t="shared" si="5"/>
        <v>5</v>
      </c>
      <c r="AB31" s="160">
        <f t="shared" si="6"/>
        <v>5</v>
      </c>
      <c r="AC31" s="161">
        <f t="shared" si="7"/>
        <v>5</v>
      </c>
      <c r="AD31" s="110"/>
      <c r="AE31" s="112"/>
      <c r="AF31" s="112"/>
      <c r="AG31" s="112"/>
      <c r="AH31" s="112"/>
    </row>
    <row r="32" spans="2:34" x14ac:dyDescent="0.15">
      <c r="C32" s="30">
        <v>110</v>
      </c>
      <c r="D32" s="94">
        <f>求节点(节奏总纲!$O$4:$O$163,节奏总纲!P$4:P$163,C32)</f>
        <v>2047</v>
      </c>
      <c r="E32" s="58"/>
      <c r="F32" s="58">
        <f>ROUND(MIN(投放验证!Y32,SUM(投放验证!E$8:E$9)),0)</f>
        <v>4</v>
      </c>
      <c r="G32" s="58">
        <f>ROUND(MIN(投放验证!Z32,SUM(投放验证!F$8:F$9)),0)</f>
        <v>5</v>
      </c>
      <c r="H32" s="58">
        <f>ROUND(MIN(投放验证!AA32,SUM(投放验证!G$8:G$9)),0)</f>
        <v>25</v>
      </c>
      <c r="I32" s="58">
        <f>ROUND(MIN(投放验证!AB32,SUM(投放验证!H$8:H$9)),0)</f>
        <v>1</v>
      </c>
      <c r="J32" s="94"/>
      <c r="K32" s="93">
        <f>投放验证!AD32</f>
        <v>5</v>
      </c>
      <c r="L32" s="93">
        <f>投放验证!AE32</f>
        <v>5</v>
      </c>
      <c r="M32" s="93">
        <f>投放验证!AF32</f>
        <v>3.1877991421279481</v>
      </c>
      <c r="N32" s="93">
        <f>投放验证!AG32</f>
        <v>5</v>
      </c>
      <c r="O32" s="50"/>
      <c r="P32" s="93">
        <v>1</v>
      </c>
      <c r="Q32" s="93">
        <v>1</v>
      </c>
      <c r="R32" s="134">
        <v>1</v>
      </c>
      <c r="S32" s="134">
        <v>0.6</v>
      </c>
      <c r="T32" s="134"/>
      <c r="U32" s="160">
        <f t="shared" si="0"/>
        <v>0</v>
      </c>
      <c r="V32" s="160">
        <f t="shared" si="1"/>
        <v>0</v>
      </c>
      <c r="W32" s="160">
        <f t="shared" si="2"/>
        <v>1</v>
      </c>
      <c r="X32" s="161">
        <f t="shared" si="3"/>
        <v>5</v>
      </c>
      <c r="Y32" s="58"/>
      <c r="Z32" s="160">
        <f t="shared" si="4"/>
        <v>4</v>
      </c>
      <c r="AA32" s="160">
        <f t="shared" si="5"/>
        <v>5</v>
      </c>
      <c r="AB32" s="160">
        <f t="shared" si="6"/>
        <v>5</v>
      </c>
      <c r="AC32" s="161">
        <f t="shared" si="7"/>
        <v>5</v>
      </c>
      <c r="AD32" s="110"/>
      <c r="AE32" s="112"/>
      <c r="AF32" s="112"/>
      <c r="AG32" s="112"/>
      <c r="AH32" s="112"/>
    </row>
    <row r="33" spans="3:34" x14ac:dyDescent="0.15">
      <c r="C33" s="30">
        <v>120</v>
      </c>
      <c r="D33" s="94">
        <f>求节点(节奏总纲!$O$4:$O$163,节奏总纲!P$4:P$163,C33)</f>
        <v>4095</v>
      </c>
      <c r="E33" s="58"/>
      <c r="F33" s="58">
        <f>ROUND(MIN(投放验证!Y33,SUM(投放验证!E$8:E$9)),0)</f>
        <v>4</v>
      </c>
      <c r="G33" s="58">
        <f>ROUND(MIN(投放验证!Z33,SUM(投放验证!F$8:F$9)),0)</f>
        <v>5</v>
      </c>
      <c r="H33" s="58">
        <f>ROUND(MIN(投放验证!AA33,SUM(投放验证!G$8:G$9)),0)</f>
        <v>25</v>
      </c>
      <c r="I33" s="58">
        <f>ROUND(MIN(投放验证!AB33,SUM(投放验证!H$8:H$9)),0)</f>
        <v>1</v>
      </c>
      <c r="J33" s="94"/>
      <c r="K33" s="93">
        <f>投放验证!AD33</f>
        <v>5</v>
      </c>
      <c r="L33" s="93">
        <f>投放验证!AE33</f>
        <v>5</v>
      </c>
      <c r="M33" s="93">
        <f>投放验证!AF33</f>
        <v>3.5393947291316952</v>
      </c>
      <c r="N33" s="93">
        <f>投放验证!AG33</f>
        <v>5</v>
      </c>
      <c r="O33" s="50"/>
      <c r="P33" s="93">
        <v>1</v>
      </c>
      <c r="Q33" s="93">
        <v>1</v>
      </c>
      <c r="R33" s="134">
        <v>1</v>
      </c>
      <c r="S33" s="134">
        <v>0.7</v>
      </c>
      <c r="T33" s="134"/>
      <c r="U33" s="160">
        <f t="shared" si="0"/>
        <v>0</v>
      </c>
      <c r="V33" s="160">
        <f t="shared" si="1"/>
        <v>0</v>
      </c>
      <c r="W33" s="160">
        <f t="shared" si="2"/>
        <v>1</v>
      </c>
      <c r="X33" s="161">
        <f t="shared" si="3"/>
        <v>5</v>
      </c>
      <c r="Y33" s="58"/>
      <c r="Z33" s="160">
        <f t="shared" si="4"/>
        <v>4</v>
      </c>
      <c r="AA33" s="160">
        <f t="shared" si="5"/>
        <v>5</v>
      </c>
      <c r="AB33" s="160">
        <f t="shared" si="6"/>
        <v>5</v>
      </c>
      <c r="AC33" s="161">
        <f t="shared" si="7"/>
        <v>5</v>
      </c>
      <c r="AD33" s="110"/>
      <c r="AE33" s="112"/>
      <c r="AF33" s="112"/>
      <c r="AG33" s="112"/>
      <c r="AH33" s="112"/>
    </row>
    <row r="34" spans="3:34" x14ac:dyDescent="0.15">
      <c r="C34" s="30">
        <v>130</v>
      </c>
      <c r="D34" s="94">
        <f>求节点(节奏总纲!$O$4:$O$163,节奏总纲!P$4:P$163,C34)</f>
        <v>8191</v>
      </c>
      <c r="E34" s="58"/>
      <c r="F34" s="58">
        <f>ROUND(MIN(投放验证!Y34,SUM(投放验证!E$8:E$9)),0)</f>
        <v>4</v>
      </c>
      <c r="G34" s="58">
        <f>ROUND(MIN(投放验证!Z34,SUM(投放验证!F$8:F$9)),0)</f>
        <v>5</v>
      </c>
      <c r="H34" s="58">
        <f>ROUND(MIN(投放验证!AA34,SUM(投放验证!G$8:G$9)),0)</f>
        <v>25</v>
      </c>
      <c r="I34" s="58">
        <f>ROUND(MIN(投放验证!AB34,SUM(投放验证!H$8:H$9)),0)</f>
        <v>1</v>
      </c>
      <c r="J34" s="94"/>
      <c r="K34" s="93">
        <f>投放验证!AD34</f>
        <v>5</v>
      </c>
      <c r="L34" s="93">
        <f>投放验证!AE34</f>
        <v>5</v>
      </c>
      <c r="M34" s="93">
        <f>投放验证!AF34</f>
        <v>3.8909903161354418</v>
      </c>
      <c r="N34" s="93">
        <f>投放验证!AG34</f>
        <v>5</v>
      </c>
      <c r="O34" s="50"/>
      <c r="P34" s="93">
        <v>1</v>
      </c>
      <c r="Q34" s="93">
        <v>1</v>
      </c>
      <c r="R34" s="93">
        <v>1</v>
      </c>
      <c r="S34" s="134">
        <v>0.8</v>
      </c>
      <c r="T34" s="134"/>
      <c r="U34" s="160">
        <f t="shared" si="0"/>
        <v>0</v>
      </c>
      <c r="V34" s="160">
        <f t="shared" si="1"/>
        <v>0</v>
      </c>
      <c r="W34" s="160">
        <f t="shared" si="2"/>
        <v>1</v>
      </c>
      <c r="X34" s="161">
        <f t="shared" si="3"/>
        <v>5</v>
      </c>
      <c r="Y34" s="58"/>
      <c r="Z34" s="160">
        <f t="shared" si="4"/>
        <v>4</v>
      </c>
      <c r="AA34" s="160">
        <f t="shared" si="5"/>
        <v>5</v>
      </c>
      <c r="AB34" s="160">
        <f t="shared" si="6"/>
        <v>5</v>
      </c>
      <c r="AC34" s="161">
        <f t="shared" si="7"/>
        <v>5</v>
      </c>
      <c r="AD34" s="110"/>
      <c r="AE34" s="112"/>
      <c r="AF34" s="112"/>
      <c r="AG34" s="112"/>
      <c r="AH34" s="112"/>
    </row>
    <row r="35" spans="3:34" x14ac:dyDescent="0.15">
      <c r="C35" s="30">
        <v>140</v>
      </c>
      <c r="D35" s="94">
        <f>求节点(节奏总纲!$O$4:$O$163,节奏总纲!P$4:P$163,C35)</f>
        <v>16383</v>
      </c>
      <c r="E35" s="58"/>
      <c r="F35" s="58">
        <f>ROUND(MIN(投放验证!Y35,SUM(投放验证!E$8:E$9)),0)</f>
        <v>4</v>
      </c>
      <c r="G35" s="58">
        <f>ROUND(MIN(投放验证!Z35,SUM(投放验证!F$8:F$9)),0)</f>
        <v>5</v>
      </c>
      <c r="H35" s="58">
        <f>ROUND(MIN(投放验证!AA35,SUM(投放验证!G$8:G$9)),0)</f>
        <v>25</v>
      </c>
      <c r="I35" s="58">
        <f>ROUND(MIN(投放验证!AB35,SUM(投放验证!H$8:H$9)),0)</f>
        <v>1</v>
      </c>
      <c r="J35" s="94"/>
      <c r="K35" s="93">
        <f>投放验证!AD35</f>
        <v>5</v>
      </c>
      <c r="L35" s="93">
        <f>投放验证!AE35</f>
        <v>5</v>
      </c>
      <c r="M35" s="93">
        <f>投放验证!AF35</f>
        <v>4.1212929515695951</v>
      </c>
      <c r="N35" s="93">
        <f>投放验证!AG35</f>
        <v>5</v>
      </c>
      <c r="O35" s="50"/>
      <c r="P35" s="93">
        <v>1</v>
      </c>
      <c r="Q35" s="93">
        <v>1</v>
      </c>
      <c r="R35" s="93">
        <v>1</v>
      </c>
      <c r="S35" s="134">
        <v>0.9</v>
      </c>
      <c r="T35" s="134"/>
      <c r="U35" s="160">
        <f t="shared" si="0"/>
        <v>0</v>
      </c>
      <c r="V35" s="160">
        <f t="shared" si="1"/>
        <v>0</v>
      </c>
      <c r="W35" s="160">
        <f t="shared" si="2"/>
        <v>1</v>
      </c>
      <c r="X35" s="161">
        <f t="shared" si="3"/>
        <v>5</v>
      </c>
      <c r="Y35" s="58"/>
      <c r="Z35" s="160">
        <f t="shared" si="4"/>
        <v>4</v>
      </c>
      <c r="AA35" s="160">
        <f t="shared" si="5"/>
        <v>5</v>
      </c>
      <c r="AB35" s="160">
        <f t="shared" si="6"/>
        <v>5</v>
      </c>
      <c r="AC35" s="161">
        <f t="shared" si="7"/>
        <v>5</v>
      </c>
      <c r="AD35" s="110"/>
      <c r="AE35" s="112"/>
      <c r="AF35" s="112"/>
      <c r="AG35" s="112"/>
      <c r="AH35" s="112"/>
    </row>
    <row r="36" spans="3:34" x14ac:dyDescent="0.15">
      <c r="C36" s="30">
        <v>150</v>
      </c>
      <c r="D36" s="94">
        <f>求节点(节奏总纲!$O$4:$O$163,节奏总纲!P$4:P$163,C36)</f>
        <v>32767</v>
      </c>
      <c r="E36" s="58"/>
      <c r="F36" s="58">
        <f>ROUND(MIN(投放验证!Y36,SUM(投放验证!E$8:E$9)),0)</f>
        <v>4</v>
      </c>
      <c r="G36" s="58">
        <f>ROUND(MIN(投放验证!Z36,SUM(投放验证!F$8:F$9)),0)</f>
        <v>5</v>
      </c>
      <c r="H36" s="58">
        <f>ROUND(MIN(投放验证!AA36,SUM(投放验证!G$8:G$9)),0)</f>
        <v>25</v>
      </c>
      <c r="I36" s="58">
        <f>ROUND(MIN(投放验证!AB36,SUM(投放验证!H$8:H$9)),0)</f>
        <v>1</v>
      </c>
      <c r="J36" s="94"/>
      <c r="K36" s="93">
        <f>投放验证!AD36</f>
        <v>5</v>
      </c>
      <c r="L36" s="93">
        <f>投放验证!AE36</f>
        <v>5</v>
      </c>
      <c r="M36" s="93">
        <f>投放验证!AF36</f>
        <v>4.2970907450714684</v>
      </c>
      <c r="N36" s="93">
        <f>投放验证!AG36</f>
        <v>5</v>
      </c>
      <c r="O36" s="50"/>
      <c r="P36" s="93">
        <v>1</v>
      </c>
      <c r="Q36" s="93">
        <v>1</v>
      </c>
      <c r="R36" s="93">
        <v>1</v>
      </c>
      <c r="S36" s="134">
        <v>1</v>
      </c>
      <c r="T36" s="134"/>
      <c r="U36" s="160">
        <f t="shared" si="0"/>
        <v>0</v>
      </c>
      <c r="V36" s="160">
        <f t="shared" si="1"/>
        <v>0</v>
      </c>
      <c r="W36" s="160">
        <f t="shared" si="2"/>
        <v>1</v>
      </c>
      <c r="X36" s="161">
        <f t="shared" si="3"/>
        <v>5</v>
      </c>
      <c r="Y36" s="58"/>
      <c r="Z36" s="160">
        <f t="shared" si="4"/>
        <v>4</v>
      </c>
      <c r="AA36" s="160">
        <f t="shared" si="5"/>
        <v>5</v>
      </c>
      <c r="AB36" s="160">
        <f t="shared" si="6"/>
        <v>5</v>
      </c>
      <c r="AC36" s="161">
        <f t="shared" si="7"/>
        <v>5</v>
      </c>
      <c r="AD36" s="110"/>
      <c r="AE36" s="112"/>
      <c r="AF36" s="112"/>
      <c r="AG36" s="112"/>
      <c r="AH36" s="112"/>
    </row>
    <row r="37" spans="3:34" x14ac:dyDescent="0.15">
      <c r="C37" s="30">
        <v>160</v>
      </c>
      <c r="D37" s="94">
        <f>求节点(节奏总纲!$O$4:$O$163,节奏总纲!P$4:P$163,C37)</f>
        <v>65535</v>
      </c>
      <c r="E37" s="58"/>
      <c r="F37" s="58">
        <f>ROUND(MIN(投放验证!Y37,SUM(投放验证!E$8:E$9)),0)</f>
        <v>4</v>
      </c>
      <c r="G37" s="58">
        <f>ROUND(MIN(投放验证!Z37,SUM(投放验证!F$8:F$9)),0)</f>
        <v>5</v>
      </c>
      <c r="H37" s="58">
        <f>ROUND(MIN(投放验证!AA37,SUM(投放验证!G$8:G$9)),0)</f>
        <v>25</v>
      </c>
      <c r="I37" s="58">
        <f>ROUND(MIN(投放验证!AB37,SUM(投放验证!H$8:H$9)),0)</f>
        <v>1</v>
      </c>
      <c r="J37" s="94"/>
      <c r="K37" s="93">
        <f>投放验证!AD37</f>
        <v>5</v>
      </c>
      <c r="L37" s="93">
        <f>投放验证!AE37</f>
        <v>5</v>
      </c>
      <c r="M37" s="93">
        <f>投放验证!AF37</f>
        <v>4.4728885385733417</v>
      </c>
      <c r="N37" s="93">
        <f>投放验证!AG37</f>
        <v>5</v>
      </c>
      <c r="O37" s="50"/>
      <c r="P37" s="93">
        <v>1</v>
      </c>
      <c r="Q37" s="93">
        <v>1</v>
      </c>
      <c r="R37" s="93">
        <v>1</v>
      </c>
      <c r="S37" s="93">
        <v>1</v>
      </c>
      <c r="T37" s="134"/>
      <c r="U37" s="160">
        <f t="shared" si="0"/>
        <v>0</v>
      </c>
      <c r="V37" s="160">
        <f t="shared" si="1"/>
        <v>0</v>
      </c>
      <c r="W37" s="160">
        <f t="shared" si="2"/>
        <v>1</v>
      </c>
      <c r="X37" s="161">
        <f t="shared" si="3"/>
        <v>5</v>
      </c>
      <c r="Y37" s="58"/>
      <c r="Z37" s="160">
        <f t="shared" si="4"/>
        <v>4</v>
      </c>
      <c r="AA37" s="160">
        <f t="shared" si="5"/>
        <v>5</v>
      </c>
      <c r="AB37" s="160">
        <f t="shared" si="6"/>
        <v>5</v>
      </c>
      <c r="AC37" s="161">
        <f t="shared" si="7"/>
        <v>5</v>
      </c>
      <c r="AD37" s="110"/>
      <c r="AE37" s="112"/>
      <c r="AF37" s="112"/>
      <c r="AG37" s="112"/>
      <c r="AH37" s="112"/>
    </row>
    <row r="41" spans="3:34" x14ac:dyDescent="0.15">
      <c r="C41" s="144" t="s">
        <v>280</v>
      </c>
      <c r="D41" s="145"/>
      <c r="E41" s="142" t="s">
        <v>273</v>
      </c>
      <c r="F41" s="142"/>
      <c r="G41" s="142"/>
      <c r="H41" s="142"/>
      <c r="I41" s="142"/>
      <c r="J41" s="143" t="s">
        <v>239</v>
      </c>
      <c r="K41" s="143"/>
      <c r="L41" s="143"/>
      <c r="M41" s="143"/>
      <c r="N41" s="143"/>
      <c r="O41" s="143" t="s">
        <v>384</v>
      </c>
      <c r="P41" s="143"/>
      <c r="Q41" s="143"/>
      <c r="R41" s="143"/>
      <c r="S41" s="143"/>
      <c r="T41" s="142" t="s">
        <v>434</v>
      </c>
      <c r="U41" s="142"/>
      <c r="V41" s="142"/>
      <c r="W41" s="142"/>
      <c r="X41" s="142"/>
      <c r="Y41" s="142" t="s">
        <v>385</v>
      </c>
      <c r="Z41" s="142"/>
      <c r="AA41" s="142"/>
      <c r="AB41" s="142"/>
      <c r="AC41" s="142"/>
      <c r="AD41" s="142" t="s">
        <v>397</v>
      </c>
      <c r="AE41" s="142"/>
      <c r="AF41" s="142"/>
      <c r="AG41" s="142"/>
      <c r="AH41" s="142"/>
    </row>
    <row r="42" spans="3:34" x14ac:dyDescent="0.15">
      <c r="C42" s="30" t="s">
        <v>161</v>
      </c>
      <c r="D42" s="30" t="s">
        <v>158</v>
      </c>
      <c r="E42" s="58" t="s">
        <v>25</v>
      </c>
      <c r="F42" s="58" t="s">
        <v>1</v>
      </c>
      <c r="G42" s="58" t="s">
        <v>2</v>
      </c>
      <c r="H42" s="58" t="s">
        <v>0</v>
      </c>
      <c r="I42" s="58" t="s">
        <v>217</v>
      </c>
      <c r="J42" s="94" t="s">
        <v>25</v>
      </c>
      <c r="K42" s="56" t="s">
        <v>1</v>
      </c>
      <c r="L42" s="56" t="s">
        <v>2</v>
      </c>
      <c r="M42" s="56" t="s">
        <v>0</v>
      </c>
      <c r="N42" s="94" t="s">
        <v>217</v>
      </c>
      <c r="O42" s="53" t="s">
        <v>25</v>
      </c>
      <c r="P42" s="56" t="s">
        <v>1</v>
      </c>
      <c r="Q42" s="56" t="s">
        <v>2</v>
      </c>
      <c r="R42" s="56" t="s">
        <v>0</v>
      </c>
      <c r="S42" s="53" t="s">
        <v>217</v>
      </c>
      <c r="T42" s="134" t="s">
        <v>25</v>
      </c>
      <c r="U42" s="134" t="s">
        <v>1</v>
      </c>
      <c r="V42" s="134" t="s">
        <v>2</v>
      </c>
      <c r="W42" s="134" t="s">
        <v>0</v>
      </c>
      <c r="X42" s="134" t="s">
        <v>217</v>
      </c>
      <c r="Y42" s="58" t="s">
        <v>25</v>
      </c>
      <c r="Z42" s="58" t="s">
        <v>1</v>
      </c>
      <c r="AA42" s="58" t="s">
        <v>2</v>
      </c>
      <c r="AB42" s="58" t="s">
        <v>0</v>
      </c>
      <c r="AC42" s="58" t="s">
        <v>217</v>
      </c>
      <c r="AD42" s="134" t="s">
        <v>25</v>
      </c>
      <c r="AE42" s="134" t="s">
        <v>1</v>
      </c>
      <c r="AF42" s="134" t="s">
        <v>2</v>
      </c>
      <c r="AG42" s="134" t="s">
        <v>0</v>
      </c>
      <c r="AH42" s="134" t="s">
        <v>217</v>
      </c>
    </row>
    <row r="43" spans="3:34" x14ac:dyDescent="0.15">
      <c r="C43" s="30">
        <v>5</v>
      </c>
      <c r="D43" s="30">
        <f>求节点(节奏总纲!$O$4:$O$163,节奏总纲!Q$4:Q$163,C43)</f>
        <v>0.35241289886702937</v>
      </c>
      <c r="E43" s="58"/>
      <c r="F43" s="58">
        <f>ROUND(MIN(投放验证!Y43,SUM(投放验证!E$8:E$9)),0)</f>
        <v>0</v>
      </c>
      <c r="G43" s="58">
        <f>ROUND(MIN(投放验证!Z43,SUM(投放验证!F$8:F$9)),0)</f>
        <v>0</v>
      </c>
      <c r="H43" s="58">
        <f>ROUND(MIN(投放验证!AA43,SUM(投放验证!G$8:G$9)),0)</f>
        <v>0</v>
      </c>
      <c r="I43" s="58">
        <f>ROUND(MIN(投放验证!AB43,SUM(投放验证!H$8:H$9)),0)</f>
        <v>0</v>
      </c>
      <c r="J43" s="94"/>
      <c r="K43" s="93">
        <f>投放验证!AD43</f>
        <v>0</v>
      </c>
      <c r="L43" s="93">
        <f>投放验证!AE43</f>
        <v>0</v>
      </c>
      <c r="M43" s="93">
        <f>投放验证!AF43</f>
        <v>0</v>
      </c>
      <c r="N43" s="93">
        <f>投放验证!AG43</f>
        <v>0</v>
      </c>
      <c r="O43" s="94"/>
      <c r="P43" s="93">
        <v>0</v>
      </c>
      <c r="Q43" s="93">
        <v>0</v>
      </c>
      <c r="R43" s="93">
        <v>0</v>
      </c>
      <c r="S43" s="93">
        <v>0</v>
      </c>
      <c r="T43" s="134"/>
      <c r="U43" s="160">
        <f>MIN(MIN(F43,6),6-SUM(V43:X43))</f>
        <v>0</v>
      </c>
      <c r="V43" s="160">
        <f>MIN(MIN(G43,6),6-SUM(W43:X43))</f>
        <v>0</v>
      </c>
      <c r="W43" s="160">
        <f>MIN(MIN(H43,6),6-X43)</f>
        <v>0</v>
      </c>
      <c r="X43" s="161">
        <f>MAX(MIN(I43,6),N43)</f>
        <v>0</v>
      </c>
      <c r="Y43" s="58"/>
      <c r="Z43" s="159">
        <f>MIN(MIN(F43,6),6-SUM(AA43:AC43))</f>
        <v>0</v>
      </c>
      <c r="AA43" s="159">
        <f>MIN(MIN(G43,6),6-SUM(AB43:AC43))</f>
        <v>0</v>
      </c>
      <c r="AB43" s="159">
        <f>MIN(MIN(H43,6),6-AC43)</f>
        <v>0</v>
      </c>
      <c r="AC43" s="105">
        <f>MIN(MAX(I43,N43),6)</f>
        <v>0</v>
      </c>
      <c r="AD43" s="134"/>
      <c r="AE43" s="135"/>
      <c r="AF43" s="135"/>
      <c r="AG43" s="135"/>
      <c r="AH43" s="135"/>
    </row>
    <row r="44" spans="3:34" x14ac:dyDescent="0.15">
      <c r="C44" s="30">
        <v>10</v>
      </c>
      <c r="D44" s="94">
        <f>求节点(节奏总纲!$O$4:$O$163,节奏总纲!Q$4:Q$163,C44)</f>
        <v>0.8548</v>
      </c>
      <c r="E44" s="58"/>
      <c r="F44" s="58">
        <f>ROUND(MIN(投放验证!Y44,SUM(投放验证!E$8:E$9)),0)</f>
        <v>0</v>
      </c>
      <c r="G44" s="58">
        <f>ROUND(MIN(投放验证!Z44,SUM(投放验证!F$8:F$9)),0)</f>
        <v>0</v>
      </c>
      <c r="H44" s="58">
        <f>ROUND(MIN(投放验证!AA44,SUM(投放验证!G$8:G$9)),0)</f>
        <v>0</v>
      </c>
      <c r="I44" s="58">
        <f>ROUND(MIN(投放验证!AB44,SUM(投放验证!H$8:H$9)),0)</f>
        <v>0</v>
      </c>
      <c r="J44" s="94"/>
      <c r="K44" s="93">
        <f>投放验证!AD44</f>
        <v>0</v>
      </c>
      <c r="L44" s="93">
        <f>投放验证!AE44</f>
        <v>0</v>
      </c>
      <c r="M44" s="93">
        <f>投放验证!AF44</f>
        <v>0</v>
      </c>
      <c r="N44" s="93">
        <f>投放验证!AG44</f>
        <v>0</v>
      </c>
      <c r="O44" s="94"/>
      <c r="P44" s="93">
        <v>0</v>
      </c>
      <c r="Q44" s="93">
        <v>0</v>
      </c>
      <c r="R44" s="93">
        <v>0</v>
      </c>
      <c r="S44" s="93">
        <v>0</v>
      </c>
      <c r="T44" s="134"/>
      <c r="U44" s="160">
        <f t="shared" ref="U44:U63" si="8">MIN(MIN(F44,6),6-SUM(V44:X44))</f>
        <v>0</v>
      </c>
      <c r="V44" s="160">
        <f t="shared" ref="V44:V63" si="9">MIN(MIN(G44,6),6-SUM(W44:X44))</f>
        <v>0</v>
      </c>
      <c r="W44" s="160">
        <f t="shared" ref="W44:W63" si="10">MIN(MIN(H44,6),6-X44)</f>
        <v>0</v>
      </c>
      <c r="X44" s="161">
        <f t="shared" ref="X44:X63" si="11">MAX(MIN(I44,6),N44)</f>
        <v>0</v>
      </c>
      <c r="Y44" s="58"/>
      <c r="Z44" s="160">
        <f>MAX(MIN(MIN(F44,6),6-SUM(AA44:AC44)),Z43)</f>
        <v>0</v>
      </c>
      <c r="AA44" s="160">
        <f>MAX(MIN(MIN(G44,6),6-SUM(AB44:AC44)),AA43)</f>
        <v>0</v>
      </c>
      <c r="AB44" s="160">
        <f>MAX(MIN(MIN(H44,6),6-AC44),AB43)</f>
        <v>0</v>
      </c>
      <c r="AC44" s="161">
        <f>MAX(MIN(MAX(I44,N44),6),AC43)</f>
        <v>0</v>
      </c>
      <c r="AD44" s="134"/>
      <c r="AE44" s="135"/>
      <c r="AF44" s="135"/>
      <c r="AG44" s="135"/>
      <c r="AH44" s="135"/>
    </row>
    <row r="45" spans="3:34" x14ac:dyDescent="0.15">
      <c r="C45" s="30">
        <v>15</v>
      </c>
      <c r="D45" s="94">
        <f>求节点(节奏总纲!$O$4:$O$163,节奏总纲!Q$4:Q$163,C45)</f>
        <v>1.5793953503557587</v>
      </c>
      <c r="E45" s="58"/>
      <c r="F45" s="58">
        <f>ROUND(MIN(投放验证!Y45,SUM(投放验证!E$8:E$9)),0)</f>
        <v>0</v>
      </c>
      <c r="G45" s="58">
        <f>ROUND(MIN(投放验证!Z45,SUM(投放验证!F$8:F$9)),0)</f>
        <v>0</v>
      </c>
      <c r="H45" s="58">
        <f>ROUND(MIN(投放验证!AA45,SUM(投放验证!G$8:G$9)),0)</f>
        <v>0</v>
      </c>
      <c r="I45" s="58">
        <f>ROUND(MIN(投放验证!AB45,SUM(投放验证!H$8:H$9)),0)</f>
        <v>0</v>
      </c>
      <c r="J45" s="94"/>
      <c r="K45" s="93">
        <f>投放验证!AD45</f>
        <v>0</v>
      </c>
      <c r="L45" s="93">
        <f>投放验证!AE45</f>
        <v>0</v>
      </c>
      <c r="M45" s="93">
        <f>投放验证!AF45</f>
        <v>0</v>
      </c>
      <c r="N45" s="93">
        <f>投放验证!AG45</f>
        <v>0</v>
      </c>
      <c r="O45" s="94"/>
      <c r="P45" s="93">
        <v>0</v>
      </c>
      <c r="Q45" s="93">
        <v>0</v>
      </c>
      <c r="R45" s="93">
        <v>0</v>
      </c>
      <c r="S45" s="93">
        <v>0</v>
      </c>
      <c r="T45" s="134"/>
      <c r="U45" s="160">
        <f t="shared" si="8"/>
        <v>0</v>
      </c>
      <c r="V45" s="160">
        <f t="shared" si="9"/>
        <v>0</v>
      </c>
      <c r="W45" s="160">
        <f t="shared" si="10"/>
        <v>0</v>
      </c>
      <c r="X45" s="161">
        <f t="shared" si="11"/>
        <v>0</v>
      </c>
      <c r="Y45" s="58"/>
      <c r="Z45" s="160">
        <f t="shared" ref="Z45:Z63" si="12">MAX(MIN(MIN(F45,6),6-SUM(AA45:AC45)),Z44)</f>
        <v>0</v>
      </c>
      <c r="AA45" s="160">
        <f t="shared" ref="AA45:AA63" si="13">MAX(MIN(MIN(G45,6),6-SUM(AB45:AC45)),AA44)</f>
        <v>0</v>
      </c>
      <c r="AB45" s="160">
        <f t="shared" ref="AB45:AB63" si="14">MAX(MIN(MIN(H45,6),6-AC45),AB44)</f>
        <v>0</v>
      </c>
      <c r="AC45" s="161">
        <f t="shared" ref="AC45:AC63" si="15">MAX(MIN(MAX(I45,N45),6),AC44)</f>
        <v>0</v>
      </c>
      <c r="AD45" s="134"/>
      <c r="AE45" s="135"/>
      <c r="AF45" s="135"/>
      <c r="AG45" s="135"/>
      <c r="AH45" s="135"/>
    </row>
    <row r="46" spans="3:34" x14ac:dyDescent="0.15">
      <c r="C46" s="30">
        <v>20</v>
      </c>
      <c r="D46" s="94">
        <f>求节点(节奏总纲!$O$4:$O$163,节奏总纲!Q$4:Q$163,C46)</f>
        <v>2.6036999999999999</v>
      </c>
      <c r="E46" s="58"/>
      <c r="F46" s="58">
        <f>ROUND(MIN(投放验证!Y46,SUM(投放验证!E$8:E$9)),0)</f>
        <v>0</v>
      </c>
      <c r="G46" s="58">
        <f>ROUND(MIN(投放验证!Z46,SUM(投放验证!F$8:F$9)),0)</f>
        <v>0</v>
      </c>
      <c r="H46" s="58">
        <f>ROUND(MIN(投放验证!AA46,SUM(投放验证!G$8:G$9)),0)</f>
        <v>0</v>
      </c>
      <c r="I46" s="58">
        <f>ROUND(MIN(投放验证!AB46,SUM(投放验证!H$8:H$9)),0)</f>
        <v>0</v>
      </c>
      <c r="J46" s="94"/>
      <c r="K46" s="93">
        <f>投放验证!AD46</f>
        <v>0</v>
      </c>
      <c r="L46" s="93">
        <f>投放验证!AE46</f>
        <v>0</v>
      </c>
      <c r="M46" s="93">
        <f>投放验证!AF46</f>
        <v>0</v>
      </c>
      <c r="N46" s="93">
        <f>投放验证!AG46</f>
        <v>0</v>
      </c>
      <c r="O46" s="94"/>
      <c r="P46" s="93">
        <v>0</v>
      </c>
      <c r="Q46" s="93">
        <v>0</v>
      </c>
      <c r="R46" s="93">
        <v>0</v>
      </c>
      <c r="S46" s="93">
        <v>0</v>
      </c>
      <c r="T46" s="134"/>
      <c r="U46" s="160">
        <f t="shared" si="8"/>
        <v>0</v>
      </c>
      <c r="V46" s="160">
        <f t="shared" si="9"/>
        <v>0</v>
      </c>
      <c r="W46" s="160">
        <f t="shared" si="10"/>
        <v>0</v>
      </c>
      <c r="X46" s="161">
        <f t="shared" si="11"/>
        <v>0</v>
      </c>
      <c r="Y46" s="58"/>
      <c r="Z46" s="160">
        <f t="shared" si="12"/>
        <v>0</v>
      </c>
      <c r="AA46" s="160">
        <f t="shared" si="13"/>
        <v>0</v>
      </c>
      <c r="AB46" s="160">
        <f t="shared" si="14"/>
        <v>0</v>
      </c>
      <c r="AC46" s="161">
        <f t="shared" si="15"/>
        <v>0</v>
      </c>
      <c r="AD46" s="134"/>
      <c r="AE46" s="135"/>
      <c r="AF46" s="135"/>
      <c r="AG46" s="135"/>
      <c r="AH46" s="135"/>
    </row>
    <row r="47" spans="3:34" x14ac:dyDescent="0.15">
      <c r="C47" s="30">
        <v>25</v>
      </c>
      <c r="D47" s="94">
        <f>求节点(节奏总纲!$O$4:$O$163,节奏总纲!Q$4:Q$163,C47)</f>
        <v>4.054257309608067</v>
      </c>
      <c r="E47" s="58"/>
      <c r="F47" s="58">
        <f>ROUND(MIN(投放验证!Y47,SUM(投放验证!E$8:E$9)),0)</f>
        <v>0</v>
      </c>
      <c r="G47" s="58">
        <f>ROUND(MIN(投放验证!Z47,SUM(投放验证!F$8:F$9)),0)</f>
        <v>0</v>
      </c>
      <c r="H47" s="58">
        <f>ROUND(MIN(投放验证!AA47,SUM(投放验证!G$8:G$9)),0)</f>
        <v>0</v>
      </c>
      <c r="I47" s="58">
        <f>ROUND(MIN(投放验证!AB47,SUM(投放验证!H$8:H$9)),0)</f>
        <v>0</v>
      </c>
      <c r="J47" s="94"/>
      <c r="K47" s="93">
        <f>投放验证!AD47</f>
        <v>0</v>
      </c>
      <c r="L47" s="93">
        <f>投放验证!AE47</f>
        <v>0</v>
      </c>
      <c r="M47" s="93">
        <f>投放验证!AF47</f>
        <v>0</v>
      </c>
      <c r="N47" s="93">
        <f>投放验证!AG47</f>
        <v>0</v>
      </c>
      <c r="O47" s="94"/>
      <c r="P47" s="93">
        <v>0</v>
      </c>
      <c r="Q47" s="93">
        <v>0</v>
      </c>
      <c r="R47" s="93">
        <v>0</v>
      </c>
      <c r="S47" s="93">
        <v>0</v>
      </c>
      <c r="T47" s="134"/>
      <c r="U47" s="160">
        <f t="shared" si="8"/>
        <v>0</v>
      </c>
      <c r="V47" s="160">
        <f t="shared" si="9"/>
        <v>0</v>
      </c>
      <c r="W47" s="160">
        <f t="shared" si="10"/>
        <v>0</v>
      </c>
      <c r="X47" s="161">
        <f t="shared" si="11"/>
        <v>0</v>
      </c>
      <c r="Y47" s="58"/>
      <c r="Z47" s="160">
        <f t="shared" si="12"/>
        <v>0</v>
      </c>
      <c r="AA47" s="160">
        <f t="shared" si="13"/>
        <v>0</v>
      </c>
      <c r="AB47" s="160">
        <f t="shared" si="14"/>
        <v>0</v>
      </c>
      <c r="AC47" s="161">
        <f t="shared" si="15"/>
        <v>0</v>
      </c>
      <c r="AD47" s="134"/>
      <c r="AE47" s="135"/>
      <c r="AF47" s="135"/>
      <c r="AG47" s="135"/>
      <c r="AH47" s="135"/>
    </row>
    <row r="48" spans="3:34" x14ac:dyDescent="0.15">
      <c r="C48" s="30">
        <v>30</v>
      </c>
      <c r="D48" s="94">
        <f>求节点(节奏总纲!$O$4:$O$163,节奏总纲!Q$4:Q$163,C48)</f>
        <v>6.1025999999999998</v>
      </c>
      <c r="E48" s="58"/>
      <c r="F48" s="58">
        <f>ROUND(MIN(投放验证!Y48,SUM(投放验证!E$8:E$9)),0)</f>
        <v>0</v>
      </c>
      <c r="G48" s="58">
        <f>ROUND(MIN(投放验证!Z48,SUM(投放验证!F$8:F$9)),0)</f>
        <v>0</v>
      </c>
      <c r="H48" s="58">
        <f>ROUND(MIN(投放验证!AA48,SUM(投放验证!G$8:G$9)),0)</f>
        <v>0</v>
      </c>
      <c r="I48" s="58">
        <f>ROUND(MIN(投放验证!AB48,SUM(投放验证!H$8:H$9)),0)</f>
        <v>0</v>
      </c>
      <c r="J48" s="94"/>
      <c r="K48" s="93">
        <f>投放验证!AD48</f>
        <v>0</v>
      </c>
      <c r="L48" s="93">
        <f>投放验证!AE48</f>
        <v>0</v>
      </c>
      <c r="M48" s="93">
        <f>投放验证!AF48</f>
        <v>0</v>
      </c>
      <c r="N48" s="93">
        <f>投放验证!AG48</f>
        <v>0</v>
      </c>
      <c r="O48" s="94"/>
      <c r="P48" s="93">
        <v>0</v>
      </c>
      <c r="Q48" s="93">
        <v>0</v>
      </c>
      <c r="R48" s="93">
        <v>0</v>
      </c>
      <c r="S48" s="93">
        <v>0</v>
      </c>
      <c r="T48" s="134"/>
      <c r="U48" s="160">
        <f t="shared" si="8"/>
        <v>0</v>
      </c>
      <c r="V48" s="160">
        <f t="shared" si="9"/>
        <v>0</v>
      </c>
      <c r="W48" s="160">
        <f t="shared" si="10"/>
        <v>0</v>
      </c>
      <c r="X48" s="161">
        <f t="shared" si="11"/>
        <v>0</v>
      </c>
      <c r="Y48" s="58"/>
      <c r="Z48" s="160">
        <f t="shared" si="12"/>
        <v>0</v>
      </c>
      <c r="AA48" s="160">
        <f t="shared" si="13"/>
        <v>0</v>
      </c>
      <c r="AB48" s="160">
        <f t="shared" si="14"/>
        <v>0</v>
      </c>
      <c r="AC48" s="161">
        <f t="shared" si="15"/>
        <v>0</v>
      </c>
      <c r="AD48" s="134"/>
      <c r="AE48" s="135"/>
      <c r="AF48" s="135"/>
      <c r="AG48" s="135"/>
      <c r="AH48" s="135"/>
    </row>
    <row r="49" spans="3:34" x14ac:dyDescent="0.15">
      <c r="C49" s="30">
        <v>35</v>
      </c>
      <c r="D49" s="94">
        <f>求节点(节奏总纲!$O$4:$O$163,节奏总纲!Q$4:Q$163,C49)</f>
        <v>9.0048988904635934</v>
      </c>
      <c r="E49" s="58"/>
      <c r="F49" s="58">
        <f>ROUND(MIN(投放验证!Y49,SUM(投放验证!E$8:E$9)),0)</f>
        <v>0</v>
      </c>
      <c r="G49" s="58">
        <f>ROUND(MIN(投放验证!Z49,SUM(投放验证!F$8:F$9)),0)</f>
        <v>0</v>
      </c>
      <c r="H49" s="58">
        <f>ROUND(MIN(投放验证!AA49,SUM(投放验证!G$8:G$9)),0)</f>
        <v>0</v>
      </c>
      <c r="I49" s="58">
        <f>ROUND(MIN(投放验证!AB49,SUM(投放验证!H$8:H$9)),0)</f>
        <v>0</v>
      </c>
      <c r="J49" s="94"/>
      <c r="K49" s="93">
        <f>投放验证!AD49</f>
        <v>0</v>
      </c>
      <c r="L49" s="93">
        <f>投放验证!AE49</f>
        <v>0</v>
      </c>
      <c r="M49" s="93">
        <f>投放验证!AF49</f>
        <v>0</v>
      </c>
      <c r="N49" s="93">
        <f>投放验证!AG49</f>
        <v>0</v>
      </c>
      <c r="O49" s="94"/>
      <c r="P49" s="134">
        <v>0</v>
      </c>
      <c r="Q49" s="93">
        <v>0</v>
      </c>
      <c r="R49" s="93">
        <v>0</v>
      </c>
      <c r="S49" s="93">
        <v>0</v>
      </c>
      <c r="T49" s="134"/>
      <c r="U49" s="160">
        <f t="shared" si="8"/>
        <v>0</v>
      </c>
      <c r="V49" s="160">
        <f t="shared" si="9"/>
        <v>0</v>
      </c>
      <c r="W49" s="160">
        <f t="shared" si="10"/>
        <v>0</v>
      </c>
      <c r="X49" s="161">
        <f t="shared" si="11"/>
        <v>0</v>
      </c>
      <c r="Y49" s="58"/>
      <c r="Z49" s="160">
        <f t="shared" si="12"/>
        <v>0</v>
      </c>
      <c r="AA49" s="160">
        <f t="shared" si="13"/>
        <v>0</v>
      </c>
      <c r="AB49" s="160">
        <f t="shared" si="14"/>
        <v>0</v>
      </c>
      <c r="AC49" s="161">
        <f t="shared" si="15"/>
        <v>0</v>
      </c>
      <c r="AD49" s="134"/>
      <c r="AE49" s="135"/>
      <c r="AF49" s="135"/>
      <c r="AG49" s="135"/>
      <c r="AH49" s="135"/>
    </row>
    <row r="50" spans="3:34" x14ac:dyDescent="0.15">
      <c r="C50" s="30">
        <v>40</v>
      </c>
      <c r="D50" s="94">
        <f>求节点(节奏总纲!$O$4:$O$163,节奏总纲!Q$4:Q$163,C50)</f>
        <v>13.059000000000001</v>
      </c>
      <c r="E50" s="58"/>
      <c r="F50" s="58">
        <f>ROUND(MIN(投放验证!Y50,SUM(投放验证!E$8:E$9)),0)</f>
        <v>2</v>
      </c>
      <c r="G50" s="58">
        <f>ROUND(MIN(投放验证!Z50,SUM(投放验证!F$8:F$9)),0)</f>
        <v>0</v>
      </c>
      <c r="H50" s="58">
        <f>ROUND(MIN(投放验证!AA50,SUM(投放验证!G$8:G$9)),0)</f>
        <v>0</v>
      </c>
      <c r="I50" s="58">
        <f>ROUND(MIN(投放验证!AB50,SUM(投放验证!H$8:H$9)),0)</f>
        <v>0</v>
      </c>
      <c r="J50" s="94"/>
      <c r="K50" s="93">
        <f>投放验证!AD50</f>
        <v>0</v>
      </c>
      <c r="L50" s="93">
        <f>投放验证!AE50</f>
        <v>0</v>
      </c>
      <c r="M50" s="93">
        <f>投放验证!AF50</f>
        <v>0</v>
      </c>
      <c r="N50" s="93">
        <f>投放验证!AG50</f>
        <v>0</v>
      </c>
      <c r="O50" s="94"/>
      <c r="P50" s="134">
        <v>0.25</v>
      </c>
      <c r="Q50" s="134">
        <v>0</v>
      </c>
      <c r="R50" s="93">
        <v>0</v>
      </c>
      <c r="S50" s="93">
        <v>0</v>
      </c>
      <c r="T50" s="134"/>
      <c r="U50" s="160">
        <f t="shared" si="8"/>
        <v>2</v>
      </c>
      <c r="V50" s="160">
        <f t="shared" si="9"/>
        <v>0</v>
      </c>
      <c r="W50" s="160">
        <f t="shared" si="10"/>
        <v>0</v>
      </c>
      <c r="X50" s="161">
        <f t="shared" si="11"/>
        <v>0</v>
      </c>
      <c r="Y50" s="58"/>
      <c r="Z50" s="160">
        <f t="shared" si="12"/>
        <v>2</v>
      </c>
      <c r="AA50" s="160">
        <f t="shared" si="13"/>
        <v>0</v>
      </c>
      <c r="AB50" s="160">
        <f t="shared" si="14"/>
        <v>0</v>
      </c>
      <c r="AC50" s="161">
        <f t="shared" si="15"/>
        <v>0</v>
      </c>
      <c r="AD50" s="134"/>
      <c r="AE50" s="135"/>
      <c r="AF50" s="135"/>
      <c r="AG50" s="135"/>
      <c r="AH50" s="135"/>
    </row>
    <row r="51" spans="3:34" x14ac:dyDescent="0.15">
      <c r="C51" s="30">
        <v>45</v>
      </c>
      <c r="D51" s="94">
        <f>求节点(节奏总纲!$O$4:$O$163,节奏总纲!Q$4:Q$163,C51)</f>
        <v>18.900199714525563</v>
      </c>
      <c r="E51" s="58"/>
      <c r="F51" s="58">
        <f>ROUND(MIN(投放验证!Y51,SUM(投放验证!E$8:E$9)),0)</f>
        <v>4</v>
      </c>
      <c r="G51" s="58">
        <f>ROUND(MIN(投放验证!Z51,SUM(投放验证!F$8:F$9)),0)</f>
        <v>3</v>
      </c>
      <c r="H51" s="58">
        <f>ROUND(MIN(投放验证!AA51,SUM(投放验证!G$8:G$9)),0)</f>
        <v>1</v>
      </c>
      <c r="I51" s="58">
        <f>ROUND(MIN(投放验证!AB51,SUM(投放验证!H$8:H$9)),0)</f>
        <v>0</v>
      </c>
      <c r="J51" s="94"/>
      <c r="K51" s="93">
        <f>投放验证!AD51</f>
        <v>1.2565426583185104</v>
      </c>
      <c r="L51" s="93">
        <f>投放验证!AE51</f>
        <v>0</v>
      </c>
      <c r="M51" s="93">
        <f>投放验证!AF51</f>
        <v>0</v>
      </c>
      <c r="N51" s="93">
        <f>投放验证!AG51</f>
        <v>0</v>
      </c>
      <c r="O51" s="94"/>
      <c r="P51" s="134">
        <v>0.6</v>
      </c>
      <c r="Q51" s="93">
        <v>0.25</v>
      </c>
      <c r="R51" s="134">
        <v>0.2</v>
      </c>
      <c r="S51" s="93">
        <v>0</v>
      </c>
      <c r="T51" s="134"/>
      <c r="U51" s="160">
        <f t="shared" si="8"/>
        <v>2</v>
      </c>
      <c r="V51" s="160">
        <f t="shared" si="9"/>
        <v>3</v>
      </c>
      <c r="W51" s="160">
        <f t="shared" si="10"/>
        <v>1</v>
      </c>
      <c r="X51" s="161">
        <f t="shared" si="11"/>
        <v>0</v>
      </c>
      <c r="Y51" s="58"/>
      <c r="Z51" s="160">
        <f t="shared" si="12"/>
        <v>2</v>
      </c>
      <c r="AA51" s="160">
        <f t="shared" si="13"/>
        <v>3</v>
      </c>
      <c r="AB51" s="160">
        <f t="shared" si="14"/>
        <v>1</v>
      </c>
      <c r="AC51" s="161">
        <f t="shared" si="15"/>
        <v>0</v>
      </c>
      <c r="AD51" s="134"/>
      <c r="AE51" s="135"/>
      <c r="AF51" s="135"/>
      <c r="AG51" s="135"/>
      <c r="AH51" s="135"/>
    </row>
    <row r="52" spans="3:34" x14ac:dyDescent="0.15">
      <c r="C52" s="30">
        <v>50</v>
      </c>
      <c r="D52" s="94">
        <f>求节点(节奏总纲!$O$4:$O$163,节奏总纲!Q$4:Q$163,C52)</f>
        <v>27.0351</v>
      </c>
      <c r="E52" s="58"/>
      <c r="F52" s="58">
        <f>ROUND(MIN(投放验证!Y52,SUM(投放验证!E$8:E$9)),0)</f>
        <v>4</v>
      </c>
      <c r="G52" s="58">
        <f>ROUND(MIN(投放验证!Z52,SUM(投放验证!F$8:F$9)),0)</f>
        <v>5</v>
      </c>
      <c r="H52" s="58">
        <f>ROUND(MIN(投放验证!AA52,SUM(投放验证!G$8:G$9)),0)</f>
        <v>1</v>
      </c>
      <c r="I52" s="58">
        <f>ROUND(MIN(投放验证!AB52,SUM(投放验证!H$8:H$9)),0)</f>
        <v>0</v>
      </c>
      <c r="J52" s="94"/>
      <c r="K52" s="93">
        <f>投放验证!AD52</f>
        <v>2.540629246896879</v>
      </c>
      <c r="L52" s="93">
        <f>投放验证!AE52</f>
        <v>0.32165643614229933</v>
      </c>
      <c r="M52" s="93">
        <f>投放验证!AF52</f>
        <v>0</v>
      </c>
      <c r="N52" s="93">
        <f>投放验证!AG52</f>
        <v>0</v>
      </c>
      <c r="O52" s="94"/>
      <c r="P52" s="134">
        <v>1</v>
      </c>
      <c r="Q52" s="93">
        <v>0.6</v>
      </c>
      <c r="R52" s="134">
        <v>0.4</v>
      </c>
      <c r="S52" s="93">
        <v>0</v>
      </c>
      <c r="T52" s="134"/>
      <c r="U52" s="160">
        <f t="shared" si="8"/>
        <v>0</v>
      </c>
      <c r="V52" s="160">
        <f t="shared" si="9"/>
        <v>5</v>
      </c>
      <c r="W52" s="160">
        <f t="shared" si="10"/>
        <v>1</v>
      </c>
      <c r="X52" s="161">
        <f t="shared" si="11"/>
        <v>0</v>
      </c>
      <c r="Y52" s="58"/>
      <c r="Z52" s="160">
        <f t="shared" si="12"/>
        <v>2</v>
      </c>
      <c r="AA52" s="160">
        <f t="shared" si="13"/>
        <v>5</v>
      </c>
      <c r="AB52" s="160">
        <f t="shared" si="14"/>
        <v>1</v>
      </c>
      <c r="AC52" s="161">
        <f t="shared" si="15"/>
        <v>0</v>
      </c>
      <c r="AD52" s="134"/>
      <c r="AE52" s="135"/>
      <c r="AF52" s="135"/>
      <c r="AG52" s="135"/>
      <c r="AH52" s="135"/>
    </row>
    <row r="53" spans="3:34" x14ac:dyDescent="0.15">
      <c r="C53" s="30">
        <v>60</v>
      </c>
      <c r="D53" s="94">
        <f>求节点(节奏总纲!$O$4:$O$163,节奏总纲!Q$4:Q$163,C53)</f>
        <v>54.589500000000001</v>
      </c>
      <c r="E53" s="58"/>
      <c r="F53" s="58">
        <f>ROUND(MIN(投放验证!Y53,SUM(投放验证!E$8:E$9)),0)</f>
        <v>4</v>
      </c>
      <c r="G53" s="58">
        <f>ROUND(MIN(投放验证!Z53,SUM(投放验证!F$8:F$9)),0)</f>
        <v>5</v>
      </c>
      <c r="H53" s="58">
        <f>ROUND(MIN(投放验证!AA53,SUM(投放验证!G$8:G$9)),0)</f>
        <v>7</v>
      </c>
      <c r="I53" s="58">
        <f>ROUND(MIN(投放验证!AB53,SUM(投放验证!H$8:H$9)),0)</f>
        <v>1</v>
      </c>
      <c r="J53" s="94"/>
      <c r="K53" s="93">
        <f>投放验证!AD53</f>
        <v>4.4417818295915223</v>
      </c>
      <c r="L53" s="93">
        <f>投放验证!AE53</f>
        <v>2.4699322623725015</v>
      </c>
      <c r="M53" s="93">
        <f>投放验证!AF53</f>
        <v>0</v>
      </c>
      <c r="N53" s="93">
        <f>投放验证!AG53</f>
        <v>0</v>
      </c>
      <c r="O53" s="94"/>
      <c r="P53" s="93">
        <v>1</v>
      </c>
      <c r="Q53" s="93">
        <v>1</v>
      </c>
      <c r="R53" s="134">
        <v>0.6</v>
      </c>
      <c r="S53" s="134">
        <v>0.1</v>
      </c>
      <c r="T53" s="134"/>
      <c r="U53" s="160">
        <f t="shared" si="8"/>
        <v>0</v>
      </c>
      <c r="V53" s="160">
        <f t="shared" si="9"/>
        <v>0</v>
      </c>
      <c r="W53" s="160">
        <f t="shared" si="10"/>
        <v>5</v>
      </c>
      <c r="X53" s="161">
        <f t="shared" si="11"/>
        <v>1</v>
      </c>
      <c r="Y53" s="58"/>
      <c r="Z53" s="160">
        <f t="shared" si="12"/>
        <v>2</v>
      </c>
      <c r="AA53" s="160">
        <f t="shared" si="13"/>
        <v>5</v>
      </c>
      <c r="AB53" s="160">
        <f t="shared" si="14"/>
        <v>5</v>
      </c>
      <c r="AC53" s="161">
        <f t="shared" si="15"/>
        <v>1</v>
      </c>
      <c r="AD53" s="134"/>
      <c r="AE53" s="135"/>
      <c r="AF53" s="135"/>
      <c r="AG53" s="135"/>
      <c r="AH53" s="135"/>
    </row>
    <row r="54" spans="3:34" x14ac:dyDescent="0.15">
      <c r="C54" s="30">
        <v>70</v>
      </c>
      <c r="D54" s="94">
        <f>求节点(节奏总纲!$O$4:$O$163,节奏总纲!Q$4:Q$163,C54)</f>
        <v>109.9693</v>
      </c>
      <c r="E54" s="58"/>
      <c r="F54" s="58">
        <f>ROUND(MIN(投放验证!Y54,SUM(投放验证!E$8:E$9)),0)</f>
        <v>4</v>
      </c>
      <c r="G54" s="58">
        <f>ROUND(MIN(投放验证!Z54,SUM(投放验证!F$8:F$9)),0)</f>
        <v>5</v>
      </c>
      <c r="H54" s="58">
        <f>ROUND(MIN(投放验证!AA54,SUM(投放验证!G$8:G$9)),0)</f>
        <v>25</v>
      </c>
      <c r="I54" s="58">
        <f>ROUND(MIN(投放验证!AB54,SUM(投放验证!H$8:H$9)),0)</f>
        <v>1</v>
      </c>
      <c r="J54" s="94"/>
      <c r="K54" s="93">
        <f>投放验证!AD54</f>
        <v>5</v>
      </c>
      <c r="L54" s="93">
        <f>投放验证!AE54</f>
        <v>4.3252659409502785</v>
      </c>
      <c r="M54" s="93">
        <f>投放验证!AF54</f>
        <v>5.9768443860784615E-2</v>
      </c>
      <c r="N54" s="93">
        <f>投放验证!AG54</f>
        <v>1.9805987483584557</v>
      </c>
      <c r="O54" s="94"/>
      <c r="P54" s="93">
        <v>1</v>
      </c>
      <c r="Q54" s="93">
        <v>1</v>
      </c>
      <c r="R54" s="134">
        <v>0.8</v>
      </c>
      <c r="S54" s="134">
        <v>0.2</v>
      </c>
      <c r="T54" s="134"/>
      <c r="U54" s="160">
        <f t="shared" si="8"/>
        <v>0</v>
      </c>
      <c r="V54" s="160">
        <f t="shared" si="9"/>
        <v>0</v>
      </c>
      <c r="W54" s="160">
        <f t="shared" si="10"/>
        <v>4.0194012516415443</v>
      </c>
      <c r="X54" s="161">
        <f t="shared" si="11"/>
        <v>1.9805987483584557</v>
      </c>
      <c r="Y54" s="58"/>
      <c r="Z54" s="160">
        <f t="shared" si="12"/>
        <v>2</v>
      </c>
      <c r="AA54" s="160">
        <f t="shared" si="13"/>
        <v>5</v>
      </c>
      <c r="AB54" s="160">
        <f t="shared" si="14"/>
        <v>5</v>
      </c>
      <c r="AC54" s="161">
        <f t="shared" si="15"/>
        <v>1.9805987483584557</v>
      </c>
      <c r="AD54" s="134"/>
      <c r="AE54" s="135"/>
      <c r="AF54" s="135"/>
      <c r="AG54" s="135"/>
      <c r="AH54" s="135"/>
    </row>
    <row r="55" spans="3:34" x14ac:dyDescent="0.15">
      <c r="C55" s="30">
        <v>80</v>
      </c>
      <c r="D55" s="94">
        <f>求节点(节奏总纲!$O$4:$O$163,节奏总纲!Q$4:Q$163,C55)</f>
        <v>221.08500000000001</v>
      </c>
      <c r="E55" s="58"/>
      <c r="F55" s="58">
        <f>ROUND(MIN(投放验证!Y55,SUM(投放验证!E$8:E$9)),0)</f>
        <v>4</v>
      </c>
      <c r="G55" s="58">
        <f>ROUND(MIN(投放验证!Z55,SUM(投放验证!F$8:F$9)),0)</f>
        <v>5</v>
      </c>
      <c r="H55" s="58">
        <f>ROUND(MIN(投放验证!AA55,SUM(投放验证!G$8:G$9)),0)</f>
        <v>25</v>
      </c>
      <c r="I55" s="58">
        <f>ROUND(MIN(投放验证!AB55,SUM(投放验证!H$8:H$9)),0)</f>
        <v>1</v>
      </c>
      <c r="J55" s="94"/>
      <c r="K55" s="93">
        <f>投放验证!AD55</f>
        <v>5</v>
      </c>
      <c r="L55" s="93">
        <f>投放验证!AE55</f>
        <v>5</v>
      </c>
      <c r="M55" s="93">
        <f>投放验证!AF55</f>
        <v>0.96147712733340174</v>
      </c>
      <c r="N55" s="93">
        <f>投放验证!AG55</f>
        <v>3.7583272103125958</v>
      </c>
      <c r="O55" s="94"/>
      <c r="P55" s="93">
        <v>1</v>
      </c>
      <c r="Q55" s="93">
        <v>1</v>
      </c>
      <c r="R55" s="134">
        <v>1</v>
      </c>
      <c r="S55" s="134">
        <v>0.4</v>
      </c>
      <c r="T55" s="134"/>
      <c r="U55" s="160">
        <f t="shared" si="8"/>
        <v>0</v>
      </c>
      <c r="V55" s="160">
        <f t="shared" si="9"/>
        <v>0</v>
      </c>
      <c r="W55" s="160">
        <f t="shared" si="10"/>
        <v>2.2416727896874042</v>
      </c>
      <c r="X55" s="161">
        <f t="shared" si="11"/>
        <v>3.7583272103125958</v>
      </c>
      <c r="Y55" s="58"/>
      <c r="Z55" s="160">
        <f t="shared" si="12"/>
        <v>2</v>
      </c>
      <c r="AA55" s="160">
        <f t="shared" si="13"/>
        <v>5</v>
      </c>
      <c r="AB55" s="160">
        <f t="shared" si="14"/>
        <v>5</v>
      </c>
      <c r="AC55" s="161">
        <f t="shared" si="15"/>
        <v>3.7583272103125958</v>
      </c>
      <c r="AD55" s="134"/>
      <c r="AE55" s="135"/>
      <c r="AF55" s="135"/>
      <c r="AG55" s="135"/>
      <c r="AH55" s="135"/>
    </row>
    <row r="56" spans="3:34" x14ac:dyDescent="0.15">
      <c r="C56" s="30">
        <v>90</v>
      </c>
      <c r="D56" s="94">
        <f>求节点(节奏总纲!$O$4:$O$163,节奏总纲!Q$4:Q$163,C56)</f>
        <v>438.13140000000004</v>
      </c>
      <c r="E56" s="58"/>
      <c r="F56" s="58">
        <f>ROUND(MIN(投放验证!Y56,SUM(投放验证!E$8:E$9)),0)</f>
        <v>4</v>
      </c>
      <c r="G56" s="58">
        <f>ROUND(MIN(投放验证!Z56,SUM(投放验证!F$8:F$9)),0)</f>
        <v>5</v>
      </c>
      <c r="H56" s="58">
        <f>ROUND(MIN(投放验证!AA56,SUM(投放验证!G$8:G$9)),0)</f>
        <v>25</v>
      </c>
      <c r="I56" s="58">
        <f>ROUND(MIN(投放验证!AB56,SUM(投放验证!H$8:H$9)),0)</f>
        <v>1</v>
      </c>
      <c r="J56" s="94"/>
      <c r="K56" s="93">
        <f>投放验证!AD56</f>
        <v>5</v>
      </c>
      <c r="L56" s="93">
        <f>投放验证!AE56</f>
        <v>5</v>
      </c>
      <c r="M56" s="93">
        <f>投放验证!AF56</f>
        <v>2.410716718344351</v>
      </c>
      <c r="N56" s="93">
        <f>投放验证!AG56</f>
        <v>5</v>
      </c>
      <c r="O56" s="94"/>
      <c r="P56" s="93">
        <v>1</v>
      </c>
      <c r="Q56" s="93">
        <v>1</v>
      </c>
      <c r="R56" s="134">
        <v>1</v>
      </c>
      <c r="S56" s="134">
        <v>0.6</v>
      </c>
      <c r="T56" s="134"/>
      <c r="U56" s="160">
        <f t="shared" si="8"/>
        <v>0</v>
      </c>
      <c r="V56" s="160">
        <f t="shared" si="9"/>
        <v>0</v>
      </c>
      <c r="W56" s="160">
        <f t="shared" si="10"/>
        <v>1</v>
      </c>
      <c r="X56" s="161">
        <f t="shared" si="11"/>
        <v>5</v>
      </c>
      <c r="Y56" s="58"/>
      <c r="Z56" s="160">
        <f t="shared" si="12"/>
        <v>2</v>
      </c>
      <c r="AA56" s="160">
        <f t="shared" si="13"/>
        <v>5</v>
      </c>
      <c r="AB56" s="160">
        <f t="shared" si="14"/>
        <v>5</v>
      </c>
      <c r="AC56" s="161">
        <f t="shared" si="15"/>
        <v>5</v>
      </c>
      <c r="AD56" s="134"/>
      <c r="AE56" s="135"/>
      <c r="AF56" s="135"/>
      <c r="AG56" s="135"/>
      <c r="AH56" s="135"/>
    </row>
    <row r="57" spans="3:34" x14ac:dyDescent="0.15">
      <c r="C57" s="30">
        <v>100</v>
      </c>
      <c r="D57" s="94">
        <f>求节点(节奏总纲!$O$4:$O$163,节奏总纲!Q$4:Q$163,C57)</f>
        <v>874.97189999999989</v>
      </c>
      <c r="E57" s="58"/>
      <c r="F57" s="58">
        <f>ROUND(MIN(投放验证!Y57,SUM(投放验证!E$8:E$9)),0)</f>
        <v>4</v>
      </c>
      <c r="G57" s="58">
        <f>ROUND(MIN(投放验证!Z57,SUM(投放验证!F$8:F$9)),0)</f>
        <v>5</v>
      </c>
      <c r="H57" s="58">
        <f>ROUND(MIN(投放验证!AA57,SUM(投放验证!G$8:G$9)),0)</f>
        <v>25</v>
      </c>
      <c r="I57" s="58">
        <f>ROUND(MIN(投放验证!AB57,SUM(投放验证!H$8:H$9)),0)</f>
        <v>1</v>
      </c>
      <c r="J57" s="94"/>
      <c r="K57" s="93">
        <f>投放验证!AD57</f>
        <v>5</v>
      </c>
      <c r="L57" s="93">
        <f>投放验证!AE57</f>
        <v>5</v>
      </c>
      <c r="M57" s="93">
        <f>投放验证!AF57</f>
        <v>3.2429207118499512</v>
      </c>
      <c r="N57" s="93">
        <f>投放验证!AG57</f>
        <v>5</v>
      </c>
      <c r="O57" s="94"/>
      <c r="P57" s="93">
        <v>1</v>
      </c>
      <c r="Q57" s="93">
        <v>1</v>
      </c>
      <c r="R57" s="134">
        <v>1</v>
      </c>
      <c r="S57" s="134">
        <v>0.8</v>
      </c>
      <c r="T57" s="134"/>
      <c r="U57" s="160">
        <f t="shared" si="8"/>
        <v>0</v>
      </c>
      <c r="V57" s="160">
        <f t="shared" si="9"/>
        <v>0</v>
      </c>
      <c r="W57" s="160">
        <f t="shared" si="10"/>
        <v>1</v>
      </c>
      <c r="X57" s="161">
        <f t="shared" si="11"/>
        <v>5</v>
      </c>
      <c r="Y57" s="58"/>
      <c r="Z57" s="160">
        <f t="shared" si="12"/>
        <v>2</v>
      </c>
      <c r="AA57" s="160">
        <f t="shared" si="13"/>
        <v>5</v>
      </c>
      <c r="AB57" s="160">
        <f t="shared" si="14"/>
        <v>5</v>
      </c>
      <c r="AC57" s="161">
        <f t="shared" si="15"/>
        <v>5</v>
      </c>
      <c r="AD57" s="134"/>
      <c r="AE57" s="135"/>
      <c r="AF57" s="135"/>
      <c r="AG57" s="135"/>
      <c r="AH57" s="135"/>
    </row>
    <row r="58" spans="3:34" x14ac:dyDescent="0.15">
      <c r="C58" s="30">
        <v>110</v>
      </c>
      <c r="D58" s="94">
        <f>求节点(节奏总纲!$O$4:$O$163,节奏总纲!Q$4:Q$163,C58)</f>
        <v>1740.5640999999998</v>
      </c>
      <c r="E58" s="58"/>
      <c r="F58" s="58">
        <f>ROUND(MIN(投放验证!Y58,SUM(投放验证!E$8:E$9)),0)</f>
        <v>4</v>
      </c>
      <c r="G58" s="58">
        <f>ROUND(MIN(投放验证!Z58,SUM(投放验证!F$8:F$9)),0)</f>
        <v>5</v>
      </c>
      <c r="H58" s="58">
        <f>ROUND(MIN(投放验证!AA58,SUM(投放验证!G$8:G$9)),0)</f>
        <v>25</v>
      </c>
      <c r="I58" s="58">
        <f>ROUND(MIN(投放验证!AB58,SUM(投放验证!H$8:H$9)),0)</f>
        <v>1</v>
      </c>
      <c r="J58" s="94"/>
      <c r="K58" s="93">
        <f>投放验证!AD58</f>
        <v>5</v>
      </c>
      <c r="L58" s="93">
        <f>投放验证!AE58</f>
        <v>5</v>
      </c>
      <c r="M58" s="93">
        <f>投放验证!AF58</f>
        <v>3.7804830645277265</v>
      </c>
      <c r="N58" s="93">
        <f>投放验证!AG58</f>
        <v>5</v>
      </c>
      <c r="O58" s="94"/>
      <c r="P58" s="93">
        <v>1</v>
      </c>
      <c r="Q58" s="93">
        <v>1</v>
      </c>
      <c r="R58" s="134">
        <v>1</v>
      </c>
      <c r="S58" s="134">
        <v>1</v>
      </c>
      <c r="T58" s="134"/>
      <c r="U58" s="160">
        <f t="shared" si="8"/>
        <v>0</v>
      </c>
      <c r="V58" s="160">
        <f t="shared" si="9"/>
        <v>0</v>
      </c>
      <c r="W58" s="160">
        <f t="shared" si="10"/>
        <v>1</v>
      </c>
      <c r="X58" s="161">
        <f t="shared" si="11"/>
        <v>5</v>
      </c>
      <c r="Y58" s="58"/>
      <c r="Z58" s="160">
        <f t="shared" si="12"/>
        <v>2</v>
      </c>
      <c r="AA58" s="160">
        <f t="shared" si="13"/>
        <v>5</v>
      </c>
      <c r="AB58" s="160">
        <f t="shared" si="14"/>
        <v>5</v>
      </c>
      <c r="AC58" s="161">
        <f t="shared" si="15"/>
        <v>5</v>
      </c>
      <c r="AD58" s="134"/>
      <c r="AE58" s="135"/>
      <c r="AF58" s="135"/>
      <c r="AG58" s="135"/>
      <c r="AH58" s="135"/>
    </row>
    <row r="59" spans="3:34" x14ac:dyDescent="0.15">
      <c r="C59" s="30">
        <v>120</v>
      </c>
      <c r="D59" s="94">
        <f>求节点(节奏总纲!$O$4:$O$163,节奏总纲!Q$4:Q$163,C59)</f>
        <v>3486.0735</v>
      </c>
      <c r="E59" s="58"/>
      <c r="F59" s="58">
        <f>ROUND(MIN(投放验证!Y59,SUM(投放验证!E$8:E$9)),0)</f>
        <v>4</v>
      </c>
      <c r="G59" s="58">
        <f>ROUND(MIN(投放验证!Z59,SUM(投放验证!F$8:F$9)),0)</f>
        <v>5</v>
      </c>
      <c r="H59" s="58">
        <f>ROUND(MIN(投放验证!AA59,SUM(投放验证!G$8:G$9)),0)</f>
        <v>25</v>
      </c>
      <c r="I59" s="58">
        <f>ROUND(MIN(投放验证!AB59,SUM(投放验证!H$8:H$9)),0)</f>
        <v>1</v>
      </c>
      <c r="J59" s="94"/>
      <c r="K59" s="93">
        <f>投放验证!AD59</f>
        <v>5</v>
      </c>
      <c r="L59" s="93">
        <f>投放验证!AE59</f>
        <v>5</v>
      </c>
      <c r="M59" s="93">
        <f>投放验证!AF59</f>
        <v>4.1590227086027509</v>
      </c>
      <c r="N59" s="93">
        <f>投放验证!AG59</f>
        <v>5</v>
      </c>
      <c r="O59" s="94"/>
      <c r="P59" s="93">
        <v>1</v>
      </c>
      <c r="Q59" s="93">
        <v>1</v>
      </c>
      <c r="R59" s="134">
        <v>1</v>
      </c>
      <c r="S59" s="93">
        <v>1</v>
      </c>
      <c r="T59" s="134"/>
      <c r="U59" s="160">
        <f t="shared" si="8"/>
        <v>0</v>
      </c>
      <c r="V59" s="160">
        <f t="shared" si="9"/>
        <v>0</v>
      </c>
      <c r="W59" s="160">
        <f t="shared" si="10"/>
        <v>1</v>
      </c>
      <c r="X59" s="161">
        <f t="shared" si="11"/>
        <v>5</v>
      </c>
      <c r="Y59" s="58"/>
      <c r="Z59" s="160">
        <f t="shared" si="12"/>
        <v>2</v>
      </c>
      <c r="AA59" s="160">
        <f t="shared" si="13"/>
        <v>5</v>
      </c>
      <c r="AB59" s="160">
        <f t="shared" si="14"/>
        <v>5</v>
      </c>
      <c r="AC59" s="161">
        <f t="shared" si="15"/>
        <v>5</v>
      </c>
      <c r="AD59" s="134"/>
      <c r="AE59" s="135"/>
      <c r="AF59" s="135"/>
      <c r="AG59" s="135"/>
      <c r="AH59" s="135"/>
    </row>
    <row r="60" spans="3:34" x14ac:dyDescent="0.15">
      <c r="C60" s="30">
        <v>130</v>
      </c>
      <c r="D60" s="94">
        <f>求节点(节奏总纲!$O$4:$O$163,节奏总纲!Q$4:Q$163,C60)</f>
        <v>6940.2343000000001</v>
      </c>
      <c r="E60" s="58"/>
      <c r="F60" s="58">
        <f>ROUND(MIN(投放验证!Y60,SUM(投放验证!E$8:E$9)),0)</f>
        <v>4</v>
      </c>
      <c r="G60" s="58">
        <f>ROUND(MIN(投放验证!Z60,SUM(投放验证!F$8:F$9)),0)</f>
        <v>5</v>
      </c>
      <c r="H60" s="58">
        <f>ROUND(MIN(投放验证!AA60,SUM(投放验证!G$8:G$9)),0)</f>
        <v>25</v>
      </c>
      <c r="I60" s="58">
        <f>ROUND(MIN(投放验证!AB60,SUM(投放验证!H$8:H$9)),0)</f>
        <v>1</v>
      </c>
      <c r="J60" s="94"/>
      <c r="K60" s="93">
        <f>投放验证!AD60</f>
        <v>5</v>
      </c>
      <c r="L60" s="93">
        <f>投放验证!AE60</f>
        <v>5</v>
      </c>
      <c r="M60" s="93">
        <f>投放验证!AF60</f>
        <v>4.427803884941639</v>
      </c>
      <c r="N60" s="93">
        <f>投放验证!AG60</f>
        <v>5</v>
      </c>
      <c r="O60" s="94"/>
      <c r="P60" s="93">
        <v>1</v>
      </c>
      <c r="Q60" s="93">
        <v>1</v>
      </c>
      <c r="R60" s="93">
        <v>1</v>
      </c>
      <c r="S60" s="93">
        <v>1</v>
      </c>
      <c r="T60" s="134"/>
      <c r="U60" s="160">
        <f t="shared" si="8"/>
        <v>0</v>
      </c>
      <c r="V60" s="160">
        <f t="shared" si="9"/>
        <v>0</v>
      </c>
      <c r="W60" s="160">
        <f t="shared" si="10"/>
        <v>1</v>
      </c>
      <c r="X60" s="161">
        <f t="shared" si="11"/>
        <v>5</v>
      </c>
      <c r="Y60" s="58"/>
      <c r="Z60" s="160">
        <f t="shared" si="12"/>
        <v>2</v>
      </c>
      <c r="AA60" s="160">
        <f t="shared" si="13"/>
        <v>5</v>
      </c>
      <c r="AB60" s="160">
        <f t="shared" si="14"/>
        <v>5</v>
      </c>
      <c r="AC60" s="161">
        <f t="shared" si="15"/>
        <v>5</v>
      </c>
      <c r="AD60" s="134"/>
      <c r="AE60" s="135"/>
      <c r="AF60" s="135"/>
      <c r="AG60" s="135"/>
      <c r="AH60" s="135"/>
    </row>
    <row r="61" spans="3:34" x14ac:dyDescent="0.15">
      <c r="C61" s="30">
        <v>140</v>
      </c>
      <c r="D61" s="94">
        <f>求节点(节奏总纲!$O$4:$O$163,节奏总纲!Q$4:Q$163,C61)</f>
        <v>13881.315900000001</v>
      </c>
      <c r="E61" s="58"/>
      <c r="F61" s="58">
        <f>ROUND(MIN(投放验证!Y61,SUM(投放验证!E$8:E$9)),0)</f>
        <v>4</v>
      </c>
      <c r="G61" s="58">
        <f>ROUND(MIN(投放验证!Z61,SUM(投放验证!F$8:F$9)),0)</f>
        <v>5</v>
      </c>
      <c r="H61" s="58">
        <f>ROUND(MIN(投放验证!AA61,SUM(投放验证!G$8:G$9)),0)</f>
        <v>25</v>
      </c>
      <c r="I61" s="58">
        <f>ROUND(MIN(投放验证!AB61,SUM(投放验证!H$8:H$9)),0)</f>
        <v>1</v>
      </c>
      <c r="J61" s="94"/>
      <c r="K61" s="93">
        <f>投放验证!AD61</f>
        <v>5</v>
      </c>
      <c r="L61" s="93">
        <f>投放验证!AE61</f>
        <v>5</v>
      </c>
      <c r="M61" s="93">
        <f>投放验证!AF61</f>
        <v>4.6965850612805262</v>
      </c>
      <c r="N61" s="93">
        <f>投放验证!AG61</f>
        <v>5</v>
      </c>
      <c r="O61" s="94"/>
      <c r="P61" s="93">
        <v>1</v>
      </c>
      <c r="Q61" s="93">
        <v>1</v>
      </c>
      <c r="R61" s="93">
        <v>1</v>
      </c>
      <c r="S61" s="93">
        <v>1</v>
      </c>
      <c r="T61" s="134"/>
      <c r="U61" s="160">
        <f t="shared" si="8"/>
        <v>0</v>
      </c>
      <c r="V61" s="160">
        <f t="shared" si="9"/>
        <v>0</v>
      </c>
      <c r="W61" s="160">
        <f t="shared" si="10"/>
        <v>1</v>
      </c>
      <c r="X61" s="161">
        <f t="shared" si="11"/>
        <v>5</v>
      </c>
      <c r="Y61" s="58"/>
      <c r="Z61" s="160">
        <f t="shared" si="12"/>
        <v>2</v>
      </c>
      <c r="AA61" s="160">
        <f t="shared" si="13"/>
        <v>5</v>
      </c>
      <c r="AB61" s="160">
        <f t="shared" si="14"/>
        <v>5</v>
      </c>
      <c r="AC61" s="161">
        <f t="shared" si="15"/>
        <v>5</v>
      </c>
      <c r="AD61" s="134"/>
      <c r="AE61" s="135"/>
      <c r="AF61" s="135"/>
      <c r="AG61" s="135"/>
      <c r="AH61" s="135"/>
    </row>
    <row r="62" spans="3:34" x14ac:dyDescent="0.15">
      <c r="C62" s="30">
        <v>150</v>
      </c>
      <c r="D62" s="94">
        <f>求节点(节奏总纲!$O$4:$O$163,节奏总纲!Q$4:Q$163,C62)</f>
        <v>27665.178100000001</v>
      </c>
      <c r="E62" s="58"/>
      <c r="F62" s="58">
        <f>ROUND(MIN(投放验证!Y62,SUM(投放验证!E$8:E$9)),0)</f>
        <v>4</v>
      </c>
      <c r="G62" s="58">
        <f>ROUND(MIN(投放验证!Z62,SUM(投放验证!F$8:F$9)),0)</f>
        <v>5</v>
      </c>
      <c r="H62" s="58">
        <f>ROUND(MIN(投放验证!AA62,SUM(投放验证!G$8:G$9)),0)</f>
        <v>25</v>
      </c>
      <c r="I62" s="58">
        <f>ROUND(MIN(投放验证!AB62,SUM(投放验证!H$8:H$9)),0)</f>
        <v>1</v>
      </c>
      <c r="J62" s="94"/>
      <c r="K62" s="93">
        <f>投放验证!AD62</f>
        <v>5</v>
      </c>
      <c r="L62" s="93">
        <f>投放验证!AE62</f>
        <v>5</v>
      </c>
      <c r="M62" s="93">
        <f>投放验证!AF62</f>
        <v>4.9653662376194143</v>
      </c>
      <c r="N62" s="93">
        <f>投放验证!AG62</f>
        <v>5</v>
      </c>
      <c r="O62" s="94"/>
      <c r="P62" s="93">
        <v>1</v>
      </c>
      <c r="Q62" s="93">
        <v>1</v>
      </c>
      <c r="R62" s="93">
        <v>1</v>
      </c>
      <c r="S62" s="93">
        <v>1</v>
      </c>
      <c r="T62" s="134"/>
      <c r="U62" s="160">
        <f t="shared" si="8"/>
        <v>0</v>
      </c>
      <c r="V62" s="160">
        <f t="shared" si="9"/>
        <v>0</v>
      </c>
      <c r="W62" s="160">
        <f t="shared" si="10"/>
        <v>1</v>
      </c>
      <c r="X62" s="161">
        <f t="shared" si="11"/>
        <v>5</v>
      </c>
      <c r="Y62" s="58"/>
      <c r="Z62" s="160">
        <f t="shared" si="12"/>
        <v>2</v>
      </c>
      <c r="AA62" s="160">
        <f t="shared" si="13"/>
        <v>5</v>
      </c>
      <c r="AB62" s="160">
        <f t="shared" si="14"/>
        <v>5</v>
      </c>
      <c r="AC62" s="161">
        <f t="shared" si="15"/>
        <v>5</v>
      </c>
      <c r="AD62" s="134"/>
      <c r="AE62" s="135"/>
      <c r="AF62" s="135"/>
      <c r="AG62" s="135"/>
      <c r="AH62" s="135"/>
    </row>
    <row r="63" spans="3:34" x14ac:dyDescent="0.15">
      <c r="C63" s="30">
        <v>160</v>
      </c>
      <c r="D63" s="94">
        <f>求节点(节奏总纲!$O$4:$O$163,节奏总纲!Q$4:Q$163,C63)</f>
        <v>65535</v>
      </c>
      <c r="E63" s="58"/>
      <c r="F63" s="58">
        <f>ROUND(MIN(投放验证!Y63,SUM(投放验证!E$8:E$9)),0)</f>
        <v>4</v>
      </c>
      <c r="G63" s="58">
        <f>ROUND(MIN(投放验证!Z63,SUM(投放验证!F$8:F$9)),0)</f>
        <v>5</v>
      </c>
      <c r="H63" s="58">
        <f>ROUND(MIN(投放验证!AA63,SUM(投放验证!G$8:G$9)),0)</f>
        <v>25</v>
      </c>
      <c r="I63" s="58">
        <f>ROUND(MIN(投放验证!AB63,SUM(投放验证!H$8:H$9)),0)</f>
        <v>1</v>
      </c>
      <c r="J63" s="94"/>
      <c r="K63" s="93">
        <f>投放验证!AD63</f>
        <v>5</v>
      </c>
      <c r="L63" s="93">
        <f>投放验证!AE63</f>
        <v>5</v>
      </c>
      <c r="M63" s="93">
        <f>投放验证!AF63</f>
        <v>5</v>
      </c>
      <c r="N63" s="93">
        <f>投放验证!AG63</f>
        <v>5</v>
      </c>
      <c r="O63" s="94"/>
      <c r="P63" s="93">
        <v>1</v>
      </c>
      <c r="Q63" s="93">
        <v>1</v>
      </c>
      <c r="R63" s="93">
        <v>1</v>
      </c>
      <c r="S63" s="93">
        <v>1</v>
      </c>
      <c r="T63" s="134"/>
      <c r="U63" s="160">
        <f t="shared" si="8"/>
        <v>0</v>
      </c>
      <c r="V63" s="160">
        <f t="shared" si="9"/>
        <v>0</v>
      </c>
      <c r="W63" s="160">
        <f t="shared" si="10"/>
        <v>1</v>
      </c>
      <c r="X63" s="161">
        <f t="shared" si="11"/>
        <v>5</v>
      </c>
      <c r="Y63" s="58"/>
      <c r="Z63" s="160">
        <f t="shared" si="12"/>
        <v>2</v>
      </c>
      <c r="AA63" s="160">
        <f t="shared" si="13"/>
        <v>5</v>
      </c>
      <c r="AB63" s="160">
        <f t="shared" si="14"/>
        <v>5</v>
      </c>
      <c r="AC63" s="161">
        <f t="shared" si="15"/>
        <v>5</v>
      </c>
      <c r="AD63" s="134"/>
      <c r="AE63" s="135"/>
      <c r="AF63" s="135"/>
      <c r="AG63" s="135"/>
      <c r="AH63" s="135"/>
    </row>
    <row r="67" spans="3:34" x14ac:dyDescent="0.15">
      <c r="C67" s="144" t="s">
        <v>281</v>
      </c>
      <c r="D67" s="145"/>
      <c r="E67" s="142" t="s">
        <v>273</v>
      </c>
      <c r="F67" s="142"/>
      <c r="G67" s="142"/>
      <c r="H67" s="142"/>
      <c r="I67" s="142"/>
      <c r="J67" s="143" t="s">
        <v>239</v>
      </c>
      <c r="K67" s="143"/>
      <c r="L67" s="143"/>
      <c r="M67" s="143"/>
      <c r="N67" s="143"/>
      <c r="O67" s="143" t="s">
        <v>384</v>
      </c>
      <c r="P67" s="143"/>
      <c r="Q67" s="143"/>
      <c r="R67" s="143"/>
      <c r="S67" s="143"/>
      <c r="T67" s="142" t="s">
        <v>434</v>
      </c>
      <c r="U67" s="142"/>
      <c r="V67" s="142"/>
      <c r="W67" s="142"/>
      <c r="X67" s="142"/>
      <c r="Y67" s="142" t="s">
        <v>385</v>
      </c>
      <c r="Z67" s="142"/>
      <c r="AA67" s="142"/>
      <c r="AB67" s="142"/>
      <c r="AC67" s="142"/>
      <c r="AD67" s="142" t="s">
        <v>397</v>
      </c>
      <c r="AE67" s="142"/>
      <c r="AF67" s="142"/>
      <c r="AG67" s="142"/>
      <c r="AH67" s="142"/>
    </row>
    <row r="68" spans="3:34" x14ac:dyDescent="0.15">
      <c r="C68" s="30" t="s">
        <v>161</v>
      </c>
      <c r="D68" s="30" t="s">
        <v>158</v>
      </c>
      <c r="E68" s="58" t="s">
        <v>25</v>
      </c>
      <c r="F68" s="58" t="s">
        <v>1</v>
      </c>
      <c r="G68" s="58" t="s">
        <v>2</v>
      </c>
      <c r="H68" s="58" t="s">
        <v>0</v>
      </c>
      <c r="I68" s="58" t="s">
        <v>217</v>
      </c>
      <c r="J68" s="94" t="s">
        <v>25</v>
      </c>
      <c r="K68" s="56" t="s">
        <v>1</v>
      </c>
      <c r="L68" s="56" t="s">
        <v>2</v>
      </c>
      <c r="M68" s="56" t="s">
        <v>0</v>
      </c>
      <c r="N68" s="94" t="s">
        <v>217</v>
      </c>
      <c r="O68" s="53" t="s">
        <v>25</v>
      </c>
      <c r="P68" s="56" t="s">
        <v>1</v>
      </c>
      <c r="Q68" s="56" t="s">
        <v>2</v>
      </c>
      <c r="R68" s="56" t="s">
        <v>0</v>
      </c>
      <c r="S68" s="53" t="s">
        <v>217</v>
      </c>
      <c r="T68" s="134" t="s">
        <v>25</v>
      </c>
      <c r="U68" s="134" t="s">
        <v>1</v>
      </c>
      <c r="V68" s="134" t="s">
        <v>2</v>
      </c>
      <c r="W68" s="134" t="s">
        <v>0</v>
      </c>
      <c r="X68" s="134" t="s">
        <v>217</v>
      </c>
      <c r="Y68" s="58" t="s">
        <v>25</v>
      </c>
      <c r="Z68" s="58" t="s">
        <v>1</v>
      </c>
      <c r="AA68" s="58" t="s">
        <v>2</v>
      </c>
      <c r="AB68" s="58" t="s">
        <v>0</v>
      </c>
      <c r="AC68" s="58" t="s">
        <v>217</v>
      </c>
      <c r="AD68" s="134" t="s">
        <v>25</v>
      </c>
      <c r="AE68" s="134" t="s">
        <v>1</v>
      </c>
      <c r="AF68" s="134" t="s">
        <v>2</v>
      </c>
      <c r="AG68" s="134" t="s">
        <v>0</v>
      </c>
      <c r="AH68" s="134" t="s">
        <v>217</v>
      </c>
    </row>
    <row r="69" spans="3:34" x14ac:dyDescent="0.15">
      <c r="C69" s="30">
        <v>5</v>
      </c>
      <c r="D69" s="30">
        <f>求节点(节奏总纲!$O$4:$O$163,节奏总纲!R$4:R$163,C69)</f>
        <v>0.28315639123824782</v>
      </c>
      <c r="E69" s="58"/>
      <c r="F69" s="58">
        <f>ROUND(MIN(投放验证!Y69,SUM(投放验证!E$8:E$9)),0)</f>
        <v>0</v>
      </c>
      <c r="G69" s="58">
        <f>ROUND(MIN(投放验证!Z69,SUM(投放验证!F$8:F$9)),0)</f>
        <v>0</v>
      </c>
      <c r="H69" s="58">
        <f>ROUND(MIN(投放验证!AA69,SUM(投放验证!G$8:G$9)),0)</f>
        <v>0</v>
      </c>
      <c r="I69" s="58">
        <f>ROUND(MIN(投放验证!AB69,SUM(投放验证!H$8:H$9)),0)</f>
        <v>0</v>
      </c>
      <c r="J69" s="94"/>
      <c r="K69" s="93">
        <f>投放验证!AD69</f>
        <v>0</v>
      </c>
      <c r="L69" s="93">
        <f>投放验证!AE69</f>
        <v>0</v>
      </c>
      <c r="M69" s="93">
        <f>投放验证!AF69</f>
        <v>0</v>
      </c>
      <c r="N69" s="93">
        <f>投放验证!AG69</f>
        <v>0</v>
      </c>
      <c r="O69" s="94"/>
      <c r="P69" s="93">
        <v>0</v>
      </c>
      <c r="Q69" s="93">
        <v>0</v>
      </c>
      <c r="R69" s="93">
        <v>0</v>
      </c>
      <c r="S69" s="93">
        <v>0</v>
      </c>
      <c r="T69" s="134"/>
      <c r="U69" s="160">
        <f>MIN(MIN(F69,6),6-SUM(V69:X69))</f>
        <v>0</v>
      </c>
      <c r="V69" s="160">
        <f>MIN(MIN(G69,6),6-SUM(W69:X69))</f>
        <v>0</v>
      </c>
      <c r="W69" s="160">
        <f>MIN(MIN(H69,6),6-X69)</f>
        <v>0</v>
      </c>
      <c r="X69" s="161">
        <f>MAX(MIN(I69,6),N69)</f>
        <v>0</v>
      </c>
      <c r="Y69" s="58"/>
      <c r="Z69" s="159">
        <f>MIN(MIN(F69,6),6-SUM(AA69:AC69))</f>
        <v>0</v>
      </c>
      <c r="AA69" s="159">
        <f>MIN(MIN(G69,6),6-SUM(AB69:AC69))</f>
        <v>0</v>
      </c>
      <c r="AB69" s="159">
        <f>MIN(MIN(H69,6),6-AC69)</f>
        <v>0</v>
      </c>
      <c r="AC69" s="105">
        <f>MIN(MAX(I69,N69),6)</f>
        <v>0</v>
      </c>
      <c r="AD69" s="134"/>
      <c r="AE69" s="135"/>
      <c r="AF69" s="135"/>
      <c r="AG69" s="135"/>
      <c r="AH69" s="135"/>
    </row>
    <row r="70" spans="3:34" x14ac:dyDescent="0.15">
      <c r="C70" s="30">
        <v>10</v>
      </c>
      <c r="D70" s="94">
        <f>求节点(节奏总纲!$O$4:$O$163,节奏总纲!R$4:R$163,C70)</f>
        <v>0.6895</v>
      </c>
      <c r="E70" s="58"/>
      <c r="F70" s="58">
        <f>ROUND(MIN(投放验证!Y70,SUM(投放验证!E$8:E$9)),0)</f>
        <v>0</v>
      </c>
      <c r="G70" s="58">
        <f>ROUND(MIN(投放验证!Z70,SUM(投放验证!F$8:F$9)),0)</f>
        <v>0</v>
      </c>
      <c r="H70" s="58">
        <f>ROUND(MIN(投放验证!AA70,SUM(投放验证!G$8:G$9)),0)</f>
        <v>0</v>
      </c>
      <c r="I70" s="58">
        <f>ROUND(MIN(投放验证!AB70,SUM(投放验证!H$8:H$9)),0)</f>
        <v>0</v>
      </c>
      <c r="J70" s="94"/>
      <c r="K70" s="93">
        <f>投放验证!AD70</f>
        <v>0</v>
      </c>
      <c r="L70" s="93">
        <f>投放验证!AE70</f>
        <v>0</v>
      </c>
      <c r="M70" s="93">
        <f>投放验证!AF70</f>
        <v>0</v>
      </c>
      <c r="N70" s="93">
        <f>投放验证!AG70</f>
        <v>0</v>
      </c>
      <c r="O70" s="94"/>
      <c r="P70" s="93">
        <v>0</v>
      </c>
      <c r="Q70" s="93">
        <v>0</v>
      </c>
      <c r="R70" s="93">
        <v>0</v>
      </c>
      <c r="S70" s="93">
        <v>0</v>
      </c>
      <c r="T70" s="134"/>
      <c r="U70" s="160">
        <f t="shared" ref="U70:U89" si="16">MIN(MIN(F70,6),6-SUM(V70:X70))</f>
        <v>0</v>
      </c>
      <c r="V70" s="160">
        <f t="shared" ref="V70:V89" si="17">MIN(MIN(G70,6),6-SUM(W70:X70))</f>
        <v>0</v>
      </c>
      <c r="W70" s="160">
        <f t="shared" ref="W70:W89" si="18">MIN(MIN(H70,6),6-X70)</f>
        <v>0</v>
      </c>
      <c r="X70" s="161">
        <f t="shared" ref="X70:X89" si="19">MAX(MIN(I70,6),N70)</f>
        <v>0</v>
      </c>
      <c r="Y70" s="58"/>
      <c r="Z70" s="160">
        <f>MAX(MIN(MIN(F70,6),6-SUM(AA70:AC70)),Z69)</f>
        <v>0</v>
      </c>
      <c r="AA70" s="160">
        <f>MAX(MIN(MIN(G70,6),6-SUM(AB70:AC70)),AA69)</f>
        <v>0</v>
      </c>
      <c r="AB70" s="160">
        <f>MAX(MIN(MIN(H70,6),6-AC70),AB69)</f>
        <v>0</v>
      </c>
      <c r="AC70" s="161">
        <f>MAX(MIN(MAX(I70,N70),6),AC69)</f>
        <v>0</v>
      </c>
      <c r="AD70" s="134"/>
      <c r="AE70" s="135"/>
      <c r="AF70" s="135"/>
      <c r="AG70" s="135"/>
      <c r="AH70" s="135"/>
    </row>
    <row r="71" spans="3:34" x14ac:dyDescent="0.15">
      <c r="C71" s="30">
        <v>15</v>
      </c>
      <c r="D71" s="94">
        <f>求节点(节奏总纲!$O$4:$O$163,节奏总纲!R$4:R$163,C71)</f>
        <v>1.2928808199080308</v>
      </c>
      <c r="E71" s="58"/>
      <c r="F71" s="58">
        <f>ROUND(MIN(投放验证!Y71,SUM(投放验证!E$8:E$9)),0)</f>
        <v>0</v>
      </c>
      <c r="G71" s="58">
        <f>ROUND(MIN(投放验证!Z71,SUM(投放验证!F$8:F$9)),0)</f>
        <v>0</v>
      </c>
      <c r="H71" s="58">
        <f>ROUND(MIN(投放验证!AA71,SUM(投放验证!G$8:G$9)),0)</f>
        <v>0</v>
      </c>
      <c r="I71" s="58">
        <f>ROUND(MIN(投放验证!AB71,SUM(投放验证!H$8:H$9)),0)</f>
        <v>0</v>
      </c>
      <c r="J71" s="94"/>
      <c r="K71" s="93">
        <f>投放验证!AD71</f>
        <v>0</v>
      </c>
      <c r="L71" s="93">
        <f>投放验证!AE71</f>
        <v>0</v>
      </c>
      <c r="M71" s="93">
        <f>投放验证!AF71</f>
        <v>0</v>
      </c>
      <c r="N71" s="93">
        <f>投放验证!AG71</f>
        <v>0</v>
      </c>
      <c r="O71" s="94"/>
      <c r="P71" s="93">
        <v>0</v>
      </c>
      <c r="Q71" s="93">
        <v>0</v>
      </c>
      <c r="R71" s="93">
        <v>0</v>
      </c>
      <c r="S71" s="93">
        <v>0</v>
      </c>
      <c r="T71" s="134"/>
      <c r="U71" s="160">
        <f t="shared" si="16"/>
        <v>0</v>
      </c>
      <c r="V71" s="160">
        <f t="shared" si="17"/>
        <v>0</v>
      </c>
      <c r="W71" s="160">
        <f t="shared" si="18"/>
        <v>0</v>
      </c>
      <c r="X71" s="161">
        <f t="shared" si="19"/>
        <v>0</v>
      </c>
      <c r="Y71" s="58"/>
      <c r="Z71" s="160">
        <f t="shared" ref="Z71:Z89" si="20">MAX(MIN(MIN(F71,6),6-SUM(AA71:AC71)),Z70)</f>
        <v>0</v>
      </c>
      <c r="AA71" s="160">
        <f t="shared" ref="AA71:AA89" si="21">MAX(MIN(MIN(G71,6),6-SUM(AB71:AC71)),AA70)</f>
        <v>0</v>
      </c>
      <c r="AB71" s="160">
        <f t="shared" ref="AB71:AB89" si="22">MAX(MIN(MIN(H71,6),6-AC71),AB70)</f>
        <v>0</v>
      </c>
      <c r="AC71" s="161">
        <f t="shared" ref="AC71:AC89" si="23">MAX(MIN(MAX(I71,N71),6),AC70)</f>
        <v>0</v>
      </c>
      <c r="AD71" s="134"/>
      <c r="AE71" s="135"/>
      <c r="AF71" s="135"/>
      <c r="AG71" s="135"/>
      <c r="AH71" s="135"/>
    </row>
    <row r="72" spans="3:34" x14ac:dyDescent="0.15">
      <c r="C72" s="30">
        <v>20</v>
      </c>
      <c r="D72" s="94">
        <f>求节点(节奏总纲!$O$4:$O$163,节奏总纲!R$4:R$163,C72)</f>
        <v>2.1372</v>
      </c>
      <c r="E72" s="58"/>
      <c r="F72" s="58">
        <f>ROUND(MIN(投放验证!Y72,SUM(投放验证!E$8:E$9)),0)</f>
        <v>0</v>
      </c>
      <c r="G72" s="58">
        <f>ROUND(MIN(投放验证!Z72,SUM(投放验证!F$8:F$9)),0)</f>
        <v>0</v>
      </c>
      <c r="H72" s="58">
        <f>ROUND(MIN(投放验证!AA72,SUM(投放验证!G$8:G$9)),0)</f>
        <v>0</v>
      </c>
      <c r="I72" s="58">
        <f>ROUND(MIN(投放验证!AB72,SUM(投放验证!H$8:H$9)),0)</f>
        <v>0</v>
      </c>
      <c r="J72" s="94"/>
      <c r="K72" s="93">
        <f>投放验证!AD72</f>
        <v>0</v>
      </c>
      <c r="L72" s="93">
        <f>投放验证!AE72</f>
        <v>0</v>
      </c>
      <c r="M72" s="93">
        <f>投放验证!AF72</f>
        <v>0</v>
      </c>
      <c r="N72" s="93">
        <f>投放验证!AG72</f>
        <v>0</v>
      </c>
      <c r="O72" s="94"/>
      <c r="P72" s="93">
        <v>0</v>
      </c>
      <c r="Q72" s="93">
        <v>0</v>
      </c>
      <c r="R72" s="93">
        <v>0</v>
      </c>
      <c r="S72" s="93">
        <v>0</v>
      </c>
      <c r="T72" s="134"/>
      <c r="U72" s="160">
        <f t="shared" si="16"/>
        <v>0</v>
      </c>
      <c r="V72" s="160">
        <f t="shared" si="17"/>
        <v>0</v>
      </c>
      <c r="W72" s="160">
        <f t="shared" si="18"/>
        <v>0</v>
      </c>
      <c r="X72" s="161">
        <f t="shared" si="19"/>
        <v>0</v>
      </c>
      <c r="Y72" s="58"/>
      <c r="Z72" s="160">
        <f t="shared" si="20"/>
        <v>0</v>
      </c>
      <c r="AA72" s="160">
        <f t="shared" si="21"/>
        <v>0</v>
      </c>
      <c r="AB72" s="160">
        <f t="shared" si="22"/>
        <v>0</v>
      </c>
      <c r="AC72" s="161">
        <f t="shared" si="23"/>
        <v>0</v>
      </c>
      <c r="AD72" s="134"/>
      <c r="AE72" s="135"/>
      <c r="AF72" s="135"/>
      <c r="AG72" s="135"/>
      <c r="AH72" s="135"/>
    </row>
    <row r="73" spans="3:34" x14ac:dyDescent="0.15">
      <c r="C73" s="30">
        <v>25</v>
      </c>
      <c r="D73" s="94">
        <f>求节点(节奏总纲!$O$4:$O$163,节奏总纲!R$4:R$163,C73)</f>
        <v>3.3445527219854276</v>
      </c>
      <c r="E73" s="58"/>
      <c r="F73" s="58">
        <f>ROUND(MIN(投放验证!Y73,SUM(投放验证!E$8:E$9)),0)</f>
        <v>0</v>
      </c>
      <c r="G73" s="58">
        <f>ROUND(MIN(投放验证!Z73,SUM(投放验证!F$8:F$9)),0)</f>
        <v>0</v>
      </c>
      <c r="H73" s="58">
        <f>ROUND(MIN(投放验证!AA73,SUM(投放验证!G$8:G$9)),0)</f>
        <v>0</v>
      </c>
      <c r="I73" s="58">
        <f>ROUND(MIN(投放验证!AB73,SUM(投放验证!H$8:H$9)),0)</f>
        <v>0</v>
      </c>
      <c r="J73" s="94"/>
      <c r="K73" s="93">
        <f>投放验证!AD73</f>
        <v>0</v>
      </c>
      <c r="L73" s="93">
        <f>投放验证!AE73</f>
        <v>0</v>
      </c>
      <c r="M73" s="93">
        <f>投放验证!AF73</f>
        <v>0</v>
      </c>
      <c r="N73" s="93">
        <f>投放验证!AG73</f>
        <v>0</v>
      </c>
      <c r="O73" s="94"/>
      <c r="P73" s="93">
        <v>0</v>
      </c>
      <c r="Q73" s="93">
        <v>0</v>
      </c>
      <c r="R73" s="93">
        <v>0</v>
      </c>
      <c r="S73" s="93">
        <v>0</v>
      </c>
      <c r="T73" s="134"/>
      <c r="U73" s="160">
        <f t="shared" si="16"/>
        <v>0</v>
      </c>
      <c r="V73" s="160">
        <f t="shared" si="17"/>
        <v>0</v>
      </c>
      <c r="W73" s="160">
        <f t="shared" si="18"/>
        <v>0</v>
      </c>
      <c r="X73" s="161">
        <f t="shared" si="19"/>
        <v>0</v>
      </c>
      <c r="Y73" s="58"/>
      <c r="Z73" s="160">
        <f t="shared" si="20"/>
        <v>0</v>
      </c>
      <c r="AA73" s="160">
        <f t="shared" si="21"/>
        <v>0</v>
      </c>
      <c r="AB73" s="160">
        <f t="shared" si="22"/>
        <v>0</v>
      </c>
      <c r="AC73" s="161">
        <f t="shared" si="23"/>
        <v>0</v>
      </c>
      <c r="AD73" s="134"/>
      <c r="AE73" s="135"/>
      <c r="AF73" s="135"/>
      <c r="AG73" s="135"/>
      <c r="AH73" s="135"/>
    </row>
    <row r="74" spans="3:34" x14ac:dyDescent="0.15">
      <c r="C74" s="30">
        <v>30</v>
      </c>
      <c r="D74" s="94">
        <f>求节点(节奏总纲!$O$4:$O$163,节奏总纲!R$4:R$163,C74)</f>
        <v>5.0421000000000005</v>
      </c>
      <c r="E74" s="58"/>
      <c r="F74" s="58">
        <f>ROUND(MIN(投放验证!Y74,SUM(投放验证!E$8:E$9)),0)</f>
        <v>0</v>
      </c>
      <c r="G74" s="58">
        <f>ROUND(MIN(投放验证!Z74,SUM(投放验证!F$8:F$9)),0)</f>
        <v>0</v>
      </c>
      <c r="H74" s="58">
        <f>ROUND(MIN(投放验证!AA74,SUM(投放验证!G$8:G$9)),0)</f>
        <v>0</v>
      </c>
      <c r="I74" s="58">
        <f>ROUND(MIN(投放验证!AB74,SUM(投放验证!H$8:H$9)),0)</f>
        <v>0</v>
      </c>
      <c r="J74" s="94"/>
      <c r="K74" s="93">
        <f>投放验证!AD74</f>
        <v>0</v>
      </c>
      <c r="L74" s="93">
        <f>投放验证!AE74</f>
        <v>0</v>
      </c>
      <c r="M74" s="93">
        <f>投放验证!AF74</f>
        <v>0</v>
      </c>
      <c r="N74" s="93">
        <f>投放验证!AG74</f>
        <v>0</v>
      </c>
      <c r="O74" s="94"/>
      <c r="P74" s="93">
        <v>0</v>
      </c>
      <c r="Q74" s="93">
        <v>0</v>
      </c>
      <c r="R74" s="93">
        <v>0</v>
      </c>
      <c r="S74" s="93">
        <v>0</v>
      </c>
      <c r="T74" s="134"/>
      <c r="U74" s="160">
        <f t="shared" si="16"/>
        <v>0</v>
      </c>
      <c r="V74" s="160">
        <f t="shared" si="17"/>
        <v>0</v>
      </c>
      <c r="W74" s="160">
        <f t="shared" si="18"/>
        <v>0</v>
      </c>
      <c r="X74" s="161">
        <f t="shared" si="19"/>
        <v>0</v>
      </c>
      <c r="Y74" s="58"/>
      <c r="Z74" s="160">
        <f t="shared" si="20"/>
        <v>0</v>
      </c>
      <c r="AA74" s="160">
        <f t="shared" si="21"/>
        <v>0</v>
      </c>
      <c r="AB74" s="160">
        <f t="shared" si="22"/>
        <v>0</v>
      </c>
      <c r="AC74" s="161">
        <f t="shared" si="23"/>
        <v>0</v>
      </c>
      <c r="AD74" s="134"/>
      <c r="AE74" s="135"/>
      <c r="AF74" s="135"/>
      <c r="AG74" s="135"/>
      <c r="AH74" s="135"/>
    </row>
    <row r="75" spans="3:34" x14ac:dyDescent="0.15">
      <c r="C75" s="30">
        <v>35</v>
      </c>
      <c r="D75" s="94">
        <f>求节点(节奏总纲!$O$4:$O$163,节奏总纲!R$4:R$163,C75)</f>
        <v>7.4547485030661838</v>
      </c>
      <c r="E75" s="58"/>
      <c r="F75" s="58">
        <f>ROUND(MIN(投放验证!Y75,SUM(投放验证!E$8:E$9)),0)</f>
        <v>0</v>
      </c>
      <c r="G75" s="58">
        <f>ROUND(MIN(投放验证!Z75,SUM(投放验证!F$8:F$9)),0)</f>
        <v>0</v>
      </c>
      <c r="H75" s="58">
        <f>ROUND(MIN(投放验证!AA75,SUM(投放验证!G$8:G$9)),0)</f>
        <v>0</v>
      </c>
      <c r="I75" s="58">
        <f>ROUND(MIN(投放验证!AB75,SUM(投放验证!H$8:H$9)),0)</f>
        <v>0</v>
      </c>
      <c r="J75" s="94"/>
      <c r="K75" s="93">
        <f>投放验证!AD75</f>
        <v>0</v>
      </c>
      <c r="L75" s="93">
        <f>投放验证!AE75</f>
        <v>0</v>
      </c>
      <c r="M75" s="93">
        <f>投放验证!AF75</f>
        <v>0</v>
      </c>
      <c r="N75" s="93">
        <f>投放验证!AG75</f>
        <v>0</v>
      </c>
      <c r="O75" s="94"/>
      <c r="P75" s="93">
        <v>0</v>
      </c>
      <c r="Q75" s="93">
        <v>0</v>
      </c>
      <c r="R75" s="93">
        <v>0</v>
      </c>
      <c r="S75" s="93">
        <v>0</v>
      </c>
      <c r="T75" s="134"/>
      <c r="U75" s="160">
        <f t="shared" si="16"/>
        <v>0</v>
      </c>
      <c r="V75" s="160">
        <f t="shared" si="17"/>
        <v>0</v>
      </c>
      <c r="W75" s="160">
        <f t="shared" si="18"/>
        <v>0</v>
      </c>
      <c r="X75" s="161">
        <f t="shared" si="19"/>
        <v>0</v>
      </c>
      <c r="Y75" s="58"/>
      <c r="Z75" s="160">
        <f t="shared" si="20"/>
        <v>0</v>
      </c>
      <c r="AA75" s="160">
        <f t="shared" si="21"/>
        <v>0</v>
      </c>
      <c r="AB75" s="160">
        <f t="shared" si="22"/>
        <v>0</v>
      </c>
      <c r="AC75" s="161">
        <f t="shared" si="23"/>
        <v>0</v>
      </c>
      <c r="AD75" s="134"/>
      <c r="AE75" s="135"/>
      <c r="AF75" s="135"/>
      <c r="AG75" s="135"/>
      <c r="AH75" s="135"/>
    </row>
    <row r="76" spans="3:34" x14ac:dyDescent="0.15">
      <c r="C76" s="30">
        <v>40</v>
      </c>
      <c r="D76" s="94">
        <f>求节点(节奏总纲!$O$4:$O$163,节奏总纲!R$4:R$163,C76)</f>
        <v>10.782</v>
      </c>
      <c r="E76" s="58"/>
      <c r="F76" s="58">
        <f>ROUND(MIN(投放验证!Y76,SUM(投放验证!E$8:E$9)),0)</f>
        <v>3</v>
      </c>
      <c r="G76" s="58">
        <f>ROUND(MIN(投放验证!Z76,SUM(投放验证!F$8:F$9)),0)</f>
        <v>0</v>
      </c>
      <c r="H76" s="58">
        <f>ROUND(MIN(投放验证!AA76,SUM(投放验证!G$8:G$9)),0)</f>
        <v>0</v>
      </c>
      <c r="I76" s="58">
        <f>ROUND(MIN(投放验证!AB76,SUM(投放验证!H$8:H$9)),0)</f>
        <v>0</v>
      </c>
      <c r="J76" s="94"/>
      <c r="K76" s="93">
        <f>投放验证!AD76</f>
        <v>0</v>
      </c>
      <c r="L76" s="93">
        <f>投放验证!AE76</f>
        <v>0</v>
      </c>
      <c r="M76" s="93">
        <f>投放验证!AF76</f>
        <v>0</v>
      </c>
      <c r="N76" s="93">
        <f>投放验证!AG76</f>
        <v>0</v>
      </c>
      <c r="O76" s="94"/>
      <c r="P76" s="93">
        <v>0.5</v>
      </c>
      <c r="Q76" s="93">
        <v>0</v>
      </c>
      <c r="R76" s="93">
        <v>0</v>
      </c>
      <c r="S76" s="93">
        <v>0</v>
      </c>
      <c r="T76" s="134"/>
      <c r="U76" s="160">
        <f t="shared" si="16"/>
        <v>3</v>
      </c>
      <c r="V76" s="160">
        <f t="shared" si="17"/>
        <v>0</v>
      </c>
      <c r="W76" s="160">
        <f t="shared" si="18"/>
        <v>0</v>
      </c>
      <c r="X76" s="161">
        <f t="shared" si="19"/>
        <v>0</v>
      </c>
      <c r="Y76" s="58"/>
      <c r="Z76" s="160">
        <f t="shared" si="20"/>
        <v>3</v>
      </c>
      <c r="AA76" s="160">
        <f t="shared" si="21"/>
        <v>0</v>
      </c>
      <c r="AB76" s="160">
        <f t="shared" si="22"/>
        <v>0</v>
      </c>
      <c r="AC76" s="161">
        <f t="shared" si="23"/>
        <v>0</v>
      </c>
      <c r="AD76" s="134"/>
      <c r="AE76" s="135"/>
      <c r="AF76" s="135"/>
      <c r="AG76" s="135"/>
      <c r="AH76" s="135"/>
    </row>
    <row r="77" spans="3:34" x14ac:dyDescent="0.15">
      <c r="C77" s="30">
        <v>45</v>
      </c>
      <c r="D77" s="94">
        <f>求节点(节奏总纲!$O$4:$O$163,节奏总纲!R$4:R$163,C77)</f>
        <v>15.604181364035009</v>
      </c>
      <c r="E77" s="58"/>
      <c r="F77" s="58">
        <f>ROUND(MIN(投放验证!Y77,SUM(投放验证!E$8:E$9)),0)</f>
        <v>4</v>
      </c>
      <c r="G77" s="58">
        <f>ROUND(MIN(投放验证!Z77,SUM(投放验证!F$8:F$9)),0)</f>
        <v>4</v>
      </c>
      <c r="H77" s="58">
        <f>ROUND(MIN(投放验证!AA77,SUM(投放验证!G$8:G$9)),0)</f>
        <v>1</v>
      </c>
      <c r="I77" s="58">
        <f>ROUND(MIN(投放验证!AB77,SUM(投放验证!H$8:H$9)),0)</f>
        <v>0</v>
      </c>
      <c r="J77" s="94"/>
      <c r="K77" s="93">
        <f>投放验证!AD77</f>
        <v>1.7581688480084199</v>
      </c>
      <c r="L77" s="93">
        <f>投放验证!AE77</f>
        <v>0</v>
      </c>
      <c r="M77" s="93">
        <f>投放验证!AF77</f>
        <v>0</v>
      </c>
      <c r="N77" s="93">
        <f>投放验证!AG77</f>
        <v>0</v>
      </c>
      <c r="O77" s="94"/>
      <c r="P77" s="93">
        <v>1</v>
      </c>
      <c r="Q77" s="134">
        <v>0.25</v>
      </c>
      <c r="R77" s="134">
        <v>0.2</v>
      </c>
      <c r="S77" s="93">
        <v>0</v>
      </c>
      <c r="T77" s="134"/>
      <c r="U77" s="160">
        <f t="shared" si="16"/>
        <v>1</v>
      </c>
      <c r="V77" s="160">
        <f t="shared" si="17"/>
        <v>4</v>
      </c>
      <c r="W77" s="160">
        <f t="shared" si="18"/>
        <v>1</v>
      </c>
      <c r="X77" s="161">
        <f t="shared" si="19"/>
        <v>0</v>
      </c>
      <c r="Y77" s="58"/>
      <c r="Z77" s="160">
        <f t="shared" si="20"/>
        <v>3</v>
      </c>
      <c r="AA77" s="160">
        <f t="shared" si="21"/>
        <v>4</v>
      </c>
      <c r="AB77" s="160">
        <f t="shared" si="22"/>
        <v>1</v>
      </c>
      <c r="AC77" s="161">
        <f t="shared" si="23"/>
        <v>0</v>
      </c>
      <c r="AD77" s="134"/>
      <c r="AE77" s="135"/>
      <c r="AF77" s="135"/>
      <c r="AG77" s="135"/>
      <c r="AH77" s="135"/>
    </row>
    <row r="78" spans="3:34" x14ac:dyDescent="0.15">
      <c r="C78" s="30">
        <v>50</v>
      </c>
      <c r="D78" s="94">
        <f>求节点(节奏总纲!$O$4:$O$163,节奏总纲!R$4:R$163,C78)</f>
        <v>22.205300000000001</v>
      </c>
      <c r="E78" s="58"/>
      <c r="F78" s="58">
        <f>ROUND(MIN(投放验证!Y78,SUM(投放验证!E$8:E$9)),0)</f>
        <v>4</v>
      </c>
      <c r="G78" s="58">
        <f>ROUND(MIN(投放验证!Z78,SUM(投放验证!F$8:F$9)),0)</f>
        <v>5</v>
      </c>
      <c r="H78" s="58">
        <f>ROUND(MIN(投放验证!AA78,SUM(投放验证!G$8:G$9)),0)</f>
        <v>2</v>
      </c>
      <c r="I78" s="58">
        <f>ROUND(MIN(投放验证!AB78,SUM(投放验证!H$8:H$9)),0)</f>
        <v>0</v>
      </c>
      <c r="J78" s="94"/>
      <c r="K78" s="93">
        <f>投放验证!AD78</f>
        <v>3.0193490397762877</v>
      </c>
      <c r="L78" s="93">
        <f>投放验证!AE78</f>
        <v>0.78591204056171415</v>
      </c>
      <c r="M78" s="93">
        <f>投放验证!AF78</f>
        <v>0</v>
      </c>
      <c r="N78" s="93">
        <f>投放验证!AG78</f>
        <v>0</v>
      </c>
      <c r="O78" s="94"/>
      <c r="P78" s="93">
        <v>1</v>
      </c>
      <c r="Q78" s="134">
        <v>0.6</v>
      </c>
      <c r="R78" s="134">
        <v>0.4</v>
      </c>
      <c r="S78" s="93">
        <v>0</v>
      </c>
      <c r="T78" s="134"/>
      <c r="U78" s="160">
        <f t="shared" si="16"/>
        <v>0</v>
      </c>
      <c r="V78" s="160">
        <f t="shared" si="17"/>
        <v>4</v>
      </c>
      <c r="W78" s="160">
        <f t="shared" si="18"/>
        <v>2</v>
      </c>
      <c r="X78" s="161">
        <f t="shared" si="19"/>
        <v>0</v>
      </c>
      <c r="Y78" s="58"/>
      <c r="Z78" s="160">
        <f t="shared" si="20"/>
        <v>3</v>
      </c>
      <c r="AA78" s="160">
        <f t="shared" si="21"/>
        <v>4</v>
      </c>
      <c r="AB78" s="160">
        <f t="shared" si="22"/>
        <v>2</v>
      </c>
      <c r="AC78" s="161">
        <f t="shared" si="23"/>
        <v>0</v>
      </c>
      <c r="AD78" s="134"/>
      <c r="AE78" s="135"/>
      <c r="AF78" s="135"/>
      <c r="AG78" s="135"/>
      <c r="AH78" s="135"/>
    </row>
    <row r="79" spans="3:34" x14ac:dyDescent="0.15">
      <c r="C79" s="30">
        <v>60</v>
      </c>
      <c r="D79" s="94">
        <f>求节点(节奏总纲!$O$4:$O$163,节奏总纲!R$4:R$163,C79)</f>
        <v>44.717399999999998</v>
      </c>
      <c r="E79" s="58"/>
      <c r="F79" s="58">
        <f>ROUND(MIN(投放验证!Y79,SUM(投放验证!E$8:E$9)),0)</f>
        <v>4</v>
      </c>
      <c r="G79" s="58">
        <f>ROUND(MIN(投放验证!Z79,SUM(投放验证!F$8:F$9)),0)</f>
        <v>5</v>
      </c>
      <c r="H79" s="58">
        <f>ROUND(MIN(投放验证!AA79,SUM(投放验证!G$8:G$9)),0)</f>
        <v>9</v>
      </c>
      <c r="I79" s="58">
        <f>ROUND(MIN(投放验证!AB79,SUM(投放验证!H$8:H$9)),0)</f>
        <v>1</v>
      </c>
      <c r="J79" s="94"/>
      <c r="K79" s="93">
        <f>投放验证!AD79</f>
        <v>4.7437736673919755</v>
      </c>
      <c r="L79" s="93">
        <f>投放验证!AE79</f>
        <v>2.9345209902207601</v>
      </c>
      <c r="M79" s="93">
        <f>投放验证!AF79</f>
        <v>0</v>
      </c>
      <c r="N79" s="93">
        <f>投放验证!AG79</f>
        <v>0</v>
      </c>
      <c r="O79" s="94"/>
      <c r="P79" s="93">
        <v>1</v>
      </c>
      <c r="Q79" s="93">
        <v>1</v>
      </c>
      <c r="R79" s="134">
        <v>0.6</v>
      </c>
      <c r="S79" s="134">
        <v>0.1</v>
      </c>
      <c r="T79" s="134"/>
      <c r="U79" s="160">
        <f t="shared" si="16"/>
        <v>0</v>
      </c>
      <c r="V79" s="160">
        <f t="shared" si="17"/>
        <v>0</v>
      </c>
      <c r="W79" s="160">
        <f t="shared" si="18"/>
        <v>5</v>
      </c>
      <c r="X79" s="161">
        <f t="shared" si="19"/>
        <v>1</v>
      </c>
      <c r="Y79" s="58"/>
      <c r="Z79" s="160">
        <f t="shared" si="20"/>
        <v>3</v>
      </c>
      <c r="AA79" s="160">
        <f t="shared" si="21"/>
        <v>4</v>
      </c>
      <c r="AB79" s="160">
        <f t="shared" si="22"/>
        <v>5</v>
      </c>
      <c r="AC79" s="161">
        <f t="shared" si="23"/>
        <v>1</v>
      </c>
      <c r="AD79" s="134"/>
      <c r="AE79" s="135"/>
      <c r="AF79" s="135"/>
      <c r="AG79" s="135"/>
      <c r="AH79" s="135"/>
    </row>
    <row r="80" spans="3:34" x14ac:dyDescent="0.15">
      <c r="C80" s="30">
        <v>70</v>
      </c>
      <c r="D80" s="94">
        <f>求节点(节奏总纲!$O$4:$O$163,节奏总纲!R$4:R$163,C80)</f>
        <v>90.106499999999997</v>
      </c>
      <c r="E80" s="58"/>
      <c r="F80" s="58">
        <f>ROUND(MIN(投放验证!Y80,SUM(投放验证!E$8:E$9)),0)</f>
        <v>4</v>
      </c>
      <c r="G80" s="58">
        <f>ROUND(MIN(投放验证!Z80,SUM(投放验证!F$8:F$9)),0)</f>
        <v>5</v>
      </c>
      <c r="H80" s="58">
        <f>ROUND(MIN(投放验证!AA80,SUM(投放验证!G$8:G$9)),0)</f>
        <v>25</v>
      </c>
      <c r="I80" s="58">
        <f>ROUND(MIN(投放验证!AB80,SUM(投放验证!H$8:H$9)),0)</f>
        <v>1</v>
      </c>
      <c r="J80" s="94"/>
      <c r="K80" s="93">
        <f>投放验证!AD80</f>
        <v>5</v>
      </c>
      <c r="L80" s="93">
        <f>投放验证!AE80</f>
        <v>4.8256673759393607</v>
      </c>
      <c r="M80" s="93">
        <f>投放验证!AF80</f>
        <v>0.48732067522140432</v>
      </c>
      <c r="N80" s="93">
        <f>投放验证!AG80</f>
        <v>2.9042167724561865</v>
      </c>
      <c r="O80" s="94"/>
      <c r="P80" s="93">
        <v>1</v>
      </c>
      <c r="Q80" s="93">
        <v>1</v>
      </c>
      <c r="R80" s="134">
        <v>0.8</v>
      </c>
      <c r="S80" s="134">
        <v>0.2</v>
      </c>
      <c r="T80" s="134"/>
      <c r="U80" s="160">
        <f t="shared" si="16"/>
        <v>0</v>
      </c>
      <c r="V80" s="160">
        <f t="shared" si="17"/>
        <v>0</v>
      </c>
      <c r="W80" s="160">
        <f t="shared" si="18"/>
        <v>3.0957832275438135</v>
      </c>
      <c r="X80" s="161">
        <f t="shared" si="19"/>
        <v>2.9042167724561865</v>
      </c>
      <c r="Y80" s="58"/>
      <c r="Z80" s="160">
        <f t="shared" si="20"/>
        <v>3</v>
      </c>
      <c r="AA80" s="160">
        <f t="shared" si="21"/>
        <v>4</v>
      </c>
      <c r="AB80" s="160">
        <f t="shared" si="22"/>
        <v>5</v>
      </c>
      <c r="AC80" s="161">
        <f t="shared" si="23"/>
        <v>2.9042167724561865</v>
      </c>
      <c r="AD80" s="134"/>
      <c r="AE80" s="135"/>
      <c r="AF80" s="135"/>
      <c r="AG80" s="135"/>
      <c r="AH80" s="135"/>
    </row>
    <row r="81" spans="3:34" x14ac:dyDescent="0.15">
      <c r="C81" s="30">
        <v>80</v>
      </c>
      <c r="D81" s="94">
        <f>求节点(节奏总纲!$O$4:$O$163,节奏总纲!R$4:R$163,C81)</f>
        <v>180.33600000000001</v>
      </c>
      <c r="E81" s="58"/>
      <c r="F81" s="58">
        <f>ROUND(MIN(投放验证!Y81,SUM(投放验证!E$8:E$9)),0)</f>
        <v>4</v>
      </c>
      <c r="G81" s="58">
        <f>ROUND(MIN(投放验证!Z81,SUM(投放验证!F$8:F$9)),0)</f>
        <v>5</v>
      </c>
      <c r="H81" s="58">
        <f>ROUND(MIN(投放验证!AA81,SUM(投放验证!G$8:G$9)),0)</f>
        <v>25</v>
      </c>
      <c r="I81" s="58">
        <f>ROUND(MIN(投放验证!AB81,SUM(投放验证!H$8:H$9)),0)</f>
        <v>1</v>
      </c>
      <c r="J81" s="94"/>
      <c r="K81" s="93">
        <f>投放验证!AD81</f>
        <v>5</v>
      </c>
      <c r="L81" s="93">
        <f>投放验证!AE81</f>
        <v>5</v>
      </c>
      <c r="M81" s="93">
        <f>投放验证!AF81</f>
        <v>1.7321564686313051</v>
      </c>
      <c r="N81" s="93">
        <f>投放验证!AG81</f>
        <v>4.292977682539294</v>
      </c>
      <c r="O81" s="94"/>
      <c r="P81" s="93">
        <v>1</v>
      </c>
      <c r="Q81" s="93">
        <v>1</v>
      </c>
      <c r="R81" s="134">
        <v>1</v>
      </c>
      <c r="S81" s="134">
        <v>0.4</v>
      </c>
      <c r="T81" s="134"/>
      <c r="U81" s="160">
        <f t="shared" si="16"/>
        <v>0</v>
      </c>
      <c r="V81" s="160">
        <f t="shared" si="17"/>
        <v>0</v>
      </c>
      <c r="W81" s="160">
        <f t="shared" si="18"/>
        <v>1.707022317460706</v>
      </c>
      <c r="X81" s="161">
        <f t="shared" si="19"/>
        <v>4.292977682539294</v>
      </c>
      <c r="Y81" s="58"/>
      <c r="Z81" s="160">
        <f t="shared" si="20"/>
        <v>3</v>
      </c>
      <c r="AA81" s="160">
        <f t="shared" si="21"/>
        <v>4</v>
      </c>
      <c r="AB81" s="160">
        <f t="shared" si="22"/>
        <v>5</v>
      </c>
      <c r="AC81" s="161">
        <f t="shared" si="23"/>
        <v>4.292977682539294</v>
      </c>
      <c r="AD81" s="134"/>
      <c r="AE81" s="135"/>
      <c r="AF81" s="135"/>
      <c r="AG81" s="135"/>
      <c r="AH81" s="135"/>
    </row>
    <row r="82" spans="3:34" x14ac:dyDescent="0.15">
      <c r="C82" s="30">
        <v>90</v>
      </c>
      <c r="D82" s="94">
        <f>求节点(节奏总纲!$O$4:$O$163,节奏总纲!R$4:R$163,C82)</f>
        <v>353.76530000000002</v>
      </c>
      <c r="E82" s="58"/>
      <c r="F82" s="58">
        <f>ROUND(MIN(投放验证!Y82,SUM(投放验证!E$8:E$9)),0)</f>
        <v>4</v>
      </c>
      <c r="G82" s="58">
        <f>ROUND(MIN(投放验证!Z82,SUM(投放验证!F$8:F$9)),0)</f>
        <v>5</v>
      </c>
      <c r="H82" s="58">
        <f>ROUND(MIN(投放验证!AA82,SUM(投放验证!G$8:G$9)),0)</f>
        <v>25</v>
      </c>
      <c r="I82" s="58">
        <f>ROUND(MIN(投放验证!AB82,SUM(投放验证!H$8:H$9)),0)</f>
        <v>1</v>
      </c>
      <c r="J82" s="94"/>
      <c r="K82" s="93">
        <f>投放验证!AD82</f>
        <v>5</v>
      </c>
      <c r="L82" s="93">
        <f>投放验证!AE82</f>
        <v>5</v>
      </c>
      <c r="M82" s="93">
        <f>投放验证!AF82</f>
        <v>3.0869862742060663</v>
      </c>
      <c r="N82" s="93">
        <f>投放验证!AG82</f>
        <v>5</v>
      </c>
      <c r="O82" s="94"/>
      <c r="P82" s="93">
        <v>1</v>
      </c>
      <c r="Q82" s="93">
        <v>1</v>
      </c>
      <c r="R82" s="134">
        <v>1</v>
      </c>
      <c r="S82" s="134">
        <v>0.6</v>
      </c>
      <c r="T82" s="134"/>
      <c r="U82" s="160">
        <f t="shared" si="16"/>
        <v>0</v>
      </c>
      <c r="V82" s="160">
        <f t="shared" si="17"/>
        <v>0</v>
      </c>
      <c r="W82" s="160">
        <f t="shared" si="18"/>
        <v>1</v>
      </c>
      <c r="X82" s="161">
        <f t="shared" si="19"/>
        <v>5</v>
      </c>
      <c r="Y82" s="58"/>
      <c r="Z82" s="160">
        <f t="shared" si="20"/>
        <v>3</v>
      </c>
      <c r="AA82" s="160">
        <f t="shared" si="21"/>
        <v>4</v>
      </c>
      <c r="AB82" s="160">
        <f t="shared" si="22"/>
        <v>5</v>
      </c>
      <c r="AC82" s="161">
        <f t="shared" si="23"/>
        <v>5</v>
      </c>
      <c r="AD82" s="134"/>
      <c r="AE82" s="135"/>
      <c r="AF82" s="135"/>
      <c r="AG82" s="135"/>
      <c r="AH82" s="135"/>
    </row>
    <row r="83" spans="3:34" x14ac:dyDescent="0.15">
      <c r="C83" s="30">
        <v>100</v>
      </c>
      <c r="D83" s="94">
        <f>求节点(节奏总纲!$O$4:$O$163,节奏总纲!R$4:R$163,C83)</f>
        <v>706.6884</v>
      </c>
      <c r="E83" s="58"/>
      <c r="F83" s="58">
        <f>ROUND(MIN(投放验证!Y83,SUM(投放验证!E$8:E$9)),0)</f>
        <v>4</v>
      </c>
      <c r="G83" s="58">
        <f>ROUND(MIN(投放验证!Z83,SUM(投放验证!F$8:F$9)),0)</f>
        <v>5</v>
      </c>
      <c r="H83" s="58">
        <f>ROUND(MIN(投放验证!AA83,SUM(投放验证!G$8:G$9)),0)</f>
        <v>25</v>
      </c>
      <c r="I83" s="58">
        <f>ROUND(MIN(投放验证!AB83,SUM(投放验证!H$8:H$9)),0)</f>
        <v>1</v>
      </c>
      <c r="J83" s="94"/>
      <c r="K83" s="93">
        <f>投放验证!AD83</f>
        <v>5</v>
      </c>
      <c r="L83" s="93">
        <f>投放验证!AE83</f>
        <v>5</v>
      </c>
      <c r="M83" s="93">
        <f>投放验证!AF83</f>
        <v>3.8849654868425754</v>
      </c>
      <c r="N83" s="93">
        <f>投放验证!AG83</f>
        <v>5</v>
      </c>
      <c r="O83" s="94"/>
      <c r="P83" s="93">
        <v>1</v>
      </c>
      <c r="Q83" s="93">
        <v>1</v>
      </c>
      <c r="R83" s="134">
        <v>1</v>
      </c>
      <c r="S83" s="134">
        <v>0.8</v>
      </c>
      <c r="T83" s="134"/>
      <c r="U83" s="160">
        <f t="shared" si="16"/>
        <v>0</v>
      </c>
      <c r="V83" s="160">
        <f t="shared" si="17"/>
        <v>0</v>
      </c>
      <c r="W83" s="160">
        <f t="shared" si="18"/>
        <v>1</v>
      </c>
      <c r="X83" s="161">
        <f t="shared" si="19"/>
        <v>5</v>
      </c>
      <c r="Y83" s="58"/>
      <c r="Z83" s="160">
        <f t="shared" si="20"/>
        <v>3</v>
      </c>
      <c r="AA83" s="160">
        <f t="shared" si="21"/>
        <v>4</v>
      </c>
      <c r="AB83" s="160">
        <f t="shared" si="22"/>
        <v>5</v>
      </c>
      <c r="AC83" s="161">
        <f t="shared" si="23"/>
        <v>5</v>
      </c>
      <c r="AD83" s="134"/>
      <c r="AE83" s="135"/>
      <c r="AF83" s="135"/>
      <c r="AG83" s="135"/>
      <c r="AH83" s="135"/>
    </row>
    <row r="84" spans="3:34" x14ac:dyDescent="0.15">
      <c r="C84" s="30">
        <v>110</v>
      </c>
      <c r="D84" s="94">
        <f>求节点(节奏总纲!$O$4:$O$163,节奏总纲!R$4:R$163,C84)</f>
        <v>1395.6445999999999</v>
      </c>
      <c r="E84" s="58"/>
      <c r="F84" s="58">
        <f>ROUND(MIN(投放验证!Y84,SUM(投放验证!E$8:E$9)),0)</f>
        <v>4</v>
      </c>
      <c r="G84" s="58">
        <f>ROUND(MIN(投放验证!Z84,SUM(投放验证!F$8:F$9)),0)</f>
        <v>5</v>
      </c>
      <c r="H84" s="58">
        <f>ROUND(MIN(投放验证!AA84,SUM(投放验证!G$8:G$9)),0)</f>
        <v>25</v>
      </c>
      <c r="I84" s="58">
        <f>ROUND(MIN(投放验证!AB84,SUM(投放验证!H$8:H$9)),0)</f>
        <v>1</v>
      </c>
      <c r="J84" s="94"/>
      <c r="K84" s="93">
        <f>投放验证!AD84</f>
        <v>5</v>
      </c>
      <c r="L84" s="93">
        <f>投放验证!AE84</f>
        <v>5</v>
      </c>
      <c r="M84" s="93">
        <f>投放验证!AF84</f>
        <v>4.3414723497395418</v>
      </c>
      <c r="N84" s="93">
        <f>投放验证!AG84</f>
        <v>5</v>
      </c>
      <c r="O84" s="94"/>
      <c r="P84" s="93">
        <v>1</v>
      </c>
      <c r="Q84" s="93">
        <v>1</v>
      </c>
      <c r="R84" s="93">
        <v>1</v>
      </c>
      <c r="S84" s="134">
        <v>1</v>
      </c>
      <c r="T84" s="134"/>
      <c r="U84" s="160">
        <f t="shared" si="16"/>
        <v>0</v>
      </c>
      <c r="V84" s="160">
        <f t="shared" si="17"/>
        <v>0</v>
      </c>
      <c r="W84" s="160">
        <f t="shared" si="18"/>
        <v>1</v>
      </c>
      <c r="X84" s="161">
        <f t="shared" si="19"/>
        <v>5</v>
      </c>
      <c r="Y84" s="58"/>
      <c r="Z84" s="160">
        <f t="shared" si="20"/>
        <v>3</v>
      </c>
      <c r="AA84" s="160">
        <f t="shared" si="21"/>
        <v>4</v>
      </c>
      <c r="AB84" s="160">
        <f t="shared" si="22"/>
        <v>5</v>
      </c>
      <c r="AC84" s="161">
        <f t="shared" si="23"/>
        <v>5</v>
      </c>
      <c r="AD84" s="134"/>
      <c r="AE84" s="135"/>
      <c r="AF84" s="135"/>
      <c r="AG84" s="135"/>
      <c r="AH84" s="135"/>
    </row>
    <row r="85" spans="3:34" x14ac:dyDescent="0.15">
      <c r="C85" s="30">
        <v>120</v>
      </c>
      <c r="D85" s="94">
        <f>求节点(节奏总纲!$O$4:$O$163,节奏总纲!R$4:R$163,C85)</f>
        <v>2791.971</v>
      </c>
      <c r="E85" s="58"/>
      <c r="F85" s="58">
        <f>ROUND(MIN(投放验证!Y85,SUM(投放验证!E$8:E$9)),0)</f>
        <v>4</v>
      </c>
      <c r="G85" s="58">
        <f>ROUND(MIN(投放验证!Z85,SUM(投放验证!F$8:F$9)),0)</f>
        <v>5</v>
      </c>
      <c r="H85" s="58">
        <f>ROUND(MIN(投放验证!AA85,SUM(投放验证!G$8:G$9)),0)</f>
        <v>25</v>
      </c>
      <c r="I85" s="58">
        <f>ROUND(MIN(投放验证!AB85,SUM(投放验证!H$8:H$9)),0)</f>
        <v>1</v>
      </c>
      <c r="J85" s="94"/>
      <c r="K85" s="93">
        <f>投放验证!AD85</f>
        <v>5</v>
      </c>
      <c r="L85" s="93">
        <f>投放验证!AE85</f>
        <v>5</v>
      </c>
      <c r="M85" s="93">
        <f>投放验证!AF85</f>
        <v>4.7404619560577945</v>
      </c>
      <c r="N85" s="93">
        <f>投放验证!AG85</f>
        <v>5</v>
      </c>
      <c r="O85" s="94"/>
      <c r="P85" s="93">
        <v>1</v>
      </c>
      <c r="Q85" s="93">
        <v>1</v>
      </c>
      <c r="R85" s="93">
        <v>1</v>
      </c>
      <c r="S85" s="134">
        <v>1</v>
      </c>
      <c r="T85" s="134"/>
      <c r="U85" s="160">
        <f t="shared" si="16"/>
        <v>0</v>
      </c>
      <c r="V85" s="160">
        <f t="shared" si="17"/>
        <v>0</v>
      </c>
      <c r="W85" s="160">
        <f t="shared" si="18"/>
        <v>1</v>
      </c>
      <c r="X85" s="161">
        <f t="shared" si="19"/>
        <v>5</v>
      </c>
      <c r="Y85" s="58"/>
      <c r="Z85" s="160">
        <f t="shared" si="20"/>
        <v>3</v>
      </c>
      <c r="AA85" s="160">
        <f t="shared" si="21"/>
        <v>4</v>
      </c>
      <c r="AB85" s="160">
        <f t="shared" si="22"/>
        <v>5</v>
      </c>
      <c r="AC85" s="161">
        <f t="shared" si="23"/>
        <v>5</v>
      </c>
      <c r="AD85" s="134"/>
      <c r="AE85" s="135"/>
      <c r="AF85" s="135"/>
      <c r="AG85" s="135"/>
      <c r="AH85" s="135"/>
    </row>
    <row r="86" spans="3:34" x14ac:dyDescent="0.15">
      <c r="C86" s="30">
        <v>130</v>
      </c>
      <c r="D86" s="94">
        <f>求节点(节奏总纲!$O$4:$O$163,节奏总纲!R$4:R$163,C86)</f>
        <v>5535.4777999999997</v>
      </c>
      <c r="E86" s="58"/>
      <c r="F86" s="58">
        <f>ROUND(MIN(投放验证!Y86,SUM(投放验证!E$8:E$9)),0)</f>
        <v>4</v>
      </c>
      <c r="G86" s="58">
        <f>ROUND(MIN(投放验证!Z86,SUM(投放验证!F$8:F$9)),0)</f>
        <v>5</v>
      </c>
      <c r="H86" s="58">
        <f>ROUND(MIN(投放验证!AA86,SUM(投放验证!G$8:G$9)),0)</f>
        <v>25</v>
      </c>
      <c r="I86" s="58">
        <f>ROUND(MIN(投放验证!AB86,SUM(投放验证!H$8:H$9)),0)</f>
        <v>1</v>
      </c>
      <c r="J86" s="94"/>
      <c r="K86" s="93">
        <f>投放验证!AD86</f>
        <v>5</v>
      </c>
      <c r="L86" s="93">
        <f>投放验证!AE86</f>
        <v>5</v>
      </c>
      <c r="M86" s="93">
        <f>投放验证!AF86</f>
        <v>5</v>
      </c>
      <c r="N86" s="93">
        <f>投放验证!AG86</f>
        <v>5</v>
      </c>
      <c r="O86" s="94"/>
      <c r="P86" s="93">
        <v>1</v>
      </c>
      <c r="Q86" s="93">
        <v>1</v>
      </c>
      <c r="R86" s="93">
        <v>1</v>
      </c>
      <c r="S86" s="134">
        <v>1</v>
      </c>
      <c r="T86" s="134"/>
      <c r="U86" s="160">
        <f t="shared" si="16"/>
        <v>0</v>
      </c>
      <c r="V86" s="160">
        <f t="shared" si="17"/>
        <v>0</v>
      </c>
      <c r="W86" s="160">
        <f t="shared" si="18"/>
        <v>1</v>
      </c>
      <c r="X86" s="161">
        <f t="shared" si="19"/>
        <v>5</v>
      </c>
      <c r="Y86" s="58"/>
      <c r="Z86" s="160">
        <f t="shared" si="20"/>
        <v>3</v>
      </c>
      <c r="AA86" s="160">
        <f t="shared" si="21"/>
        <v>4</v>
      </c>
      <c r="AB86" s="160">
        <f t="shared" si="22"/>
        <v>5</v>
      </c>
      <c r="AC86" s="161">
        <f t="shared" si="23"/>
        <v>5</v>
      </c>
      <c r="AD86" s="134"/>
      <c r="AE86" s="135"/>
      <c r="AF86" s="135"/>
      <c r="AG86" s="135"/>
      <c r="AH86" s="135"/>
    </row>
    <row r="87" spans="3:34" x14ac:dyDescent="0.15">
      <c r="C87" s="30">
        <v>140</v>
      </c>
      <c r="D87" s="94">
        <f>求节点(节奏总纲!$O$4:$O$163,节奏总纲!R$4:R$163,C87)</f>
        <v>11020.8441</v>
      </c>
      <c r="E87" s="58"/>
      <c r="F87" s="58">
        <f>ROUND(MIN(投放验证!Y87,SUM(投放验证!E$8:E$9)),0)</f>
        <v>4</v>
      </c>
      <c r="G87" s="58">
        <f>ROUND(MIN(投放验证!Z87,SUM(投放验证!F$8:F$9)),0)</f>
        <v>5</v>
      </c>
      <c r="H87" s="58">
        <f>ROUND(MIN(投放验证!AA87,SUM(投放验证!G$8:G$9)),0)</f>
        <v>25</v>
      </c>
      <c r="I87" s="58">
        <f>ROUND(MIN(投放验证!AB87,SUM(投放验证!H$8:H$9)),0)</f>
        <v>1</v>
      </c>
      <c r="J87" s="94"/>
      <c r="K87" s="93">
        <f>投放验证!AD87</f>
        <v>5</v>
      </c>
      <c r="L87" s="93">
        <f>投放验证!AE87</f>
        <v>5</v>
      </c>
      <c r="M87" s="93">
        <f>投放验证!AF87</f>
        <v>5</v>
      </c>
      <c r="N87" s="93">
        <f>投放验证!AG87</f>
        <v>5</v>
      </c>
      <c r="O87" s="94"/>
      <c r="P87" s="93">
        <v>1</v>
      </c>
      <c r="Q87" s="93">
        <v>1</v>
      </c>
      <c r="R87" s="93">
        <v>1</v>
      </c>
      <c r="S87" s="93">
        <v>1</v>
      </c>
      <c r="T87" s="134"/>
      <c r="U87" s="160">
        <f t="shared" si="16"/>
        <v>0</v>
      </c>
      <c r="V87" s="160">
        <f t="shared" si="17"/>
        <v>0</v>
      </c>
      <c r="W87" s="160">
        <f t="shared" si="18"/>
        <v>1</v>
      </c>
      <c r="X87" s="161">
        <f t="shared" si="19"/>
        <v>5</v>
      </c>
      <c r="Y87" s="58"/>
      <c r="Z87" s="160">
        <f t="shared" si="20"/>
        <v>3</v>
      </c>
      <c r="AA87" s="160">
        <f t="shared" si="21"/>
        <v>4</v>
      </c>
      <c r="AB87" s="160">
        <f t="shared" si="22"/>
        <v>5</v>
      </c>
      <c r="AC87" s="161">
        <f t="shared" si="23"/>
        <v>5</v>
      </c>
      <c r="AD87" s="134"/>
      <c r="AE87" s="135"/>
      <c r="AF87" s="135"/>
      <c r="AG87" s="135"/>
      <c r="AH87" s="135"/>
    </row>
    <row r="88" spans="3:34" x14ac:dyDescent="0.15">
      <c r="C88" s="30">
        <v>150</v>
      </c>
      <c r="D88" s="94">
        <f>求节点(节奏总纲!$O$4:$O$163,节奏总纲!R$4:R$163,C88)</f>
        <v>21976.8269</v>
      </c>
      <c r="E88" s="58"/>
      <c r="F88" s="58">
        <f>ROUND(MIN(投放验证!Y88,SUM(投放验证!E$8:E$9)),0)</f>
        <v>4</v>
      </c>
      <c r="G88" s="58">
        <f>ROUND(MIN(投放验证!Z88,SUM(投放验证!F$8:F$9)),0)</f>
        <v>5</v>
      </c>
      <c r="H88" s="58">
        <f>ROUND(MIN(投放验证!AA88,SUM(投放验证!G$8:G$9)),0)</f>
        <v>25</v>
      </c>
      <c r="I88" s="58">
        <f>ROUND(MIN(投放验证!AB88,SUM(投放验证!H$8:H$9)),0)</f>
        <v>1</v>
      </c>
      <c r="J88" s="94"/>
      <c r="K88" s="93">
        <f>投放验证!AD88</f>
        <v>5</v>
      </c>
      <c r="L88" s="93">
        <f>投放验证!AE88</f>
        <v>5</v>
      </c>
      <c r="M88" s="93">
        <f>投放验证!AF88</f>
        <v>5</v>
      </c>
      <c r="N88" s="93">
        <f>投放验证!AG88</f>
        <v>5</v>
      </c>
      <c r="O88" s="94"/>
      <c r="P88" s="93">
        <v>1</v>
      </c>
      <c r="Q88" s="93">
        <v>1</v>
      </c>
      <c r="R88" s="93">
        <v>1</v>
      </c>
      <c r="S88" s="93">
        <v>1</v>
      </c>
      <c r="T88" s="134"/>
      <c r="U88" s="160">
        <f t="shared" si="16"/>
        <v>0</v>
      </c>
      <c r="V88" s="160">
        <f t="shared" si="17"/>
        <v>0</v>
      </c>
      <c r="W88" s="160">
        <f t="shared" si="18"/>
        <v>1</v>
      </c>
      <c r="X88" s="161">
        <f t="shared" si="19"/>
        <v>5</v>
      </c>
      <c r="Y88" s="58"/>
      <c r="Z88" s="160">
        <f t="shared" si="20"/>
        <v>3</v>
      </c>
      <c r="AA88" s="160">
        <f t="shared" si="21"/>
        <v>4</v>
      </c>
      <c r="AB88" s="160">
        <f t="shared" si="22"/>
        <v>5</v>
      </c>
      <c r="AC88" s="161">
        <f t="shared" si="23"/>
        <v>5</v>
      </c>
      <c r="AD88" s="134"/>
      <c r="AE88" s="135"/>
      <c r="AF88" s="135"/>
      <c r="AG88" s="135"/>
      <c r="AH88" s="135"/>
    </row>
    <row r="89" spans="3:34" x14ac:dyDescent="0.15">
      <c r="C89" s="30">
        <v>160</v>
      </c>
      <c r="D89" s="94">
        <f>求节点(节奏总纲!$O$4:$O$163,节奏总纲!R$4:R$163,C89)</f>
        <v>66190.350000000006</v>
      </c>
      <c r="E89" s="58"/>
      <c r="F89" s="58">
        <f>ROUND(MIN(投放验证!Y89,SUM(投放验证!E$8:E$9)),0)</f>
        <v>4</v>
      </c>
      <c r="G89" s="58">
        <f>ROUND(MIN(投放验证!Z89,SUM(投放验证!F$8:F$9)),0)</f>
        <v>5</v>
      </c>
      <c r="H89" s="58">
        <f>ROUND(MIN(投放验证!AA89,SUM(投放验证!G$8:G$9)),0)</f>
        <v>25</v>
      </c>
      <c r="I89" s="58">
        <f>ROUND(MIN(投放验证!AB89,SUM(投放验证!H$8:H$9)),0)</f>
        <v>1</v>
      </c>
      <c r="J89" s="94"/>
      <c r="K89" s="93">
        <f>投放验证!AD89</f>
        <v>5</v>
      </c>
      <c r="L89" s="93">
        <f>投放验证!AE89</f>
        <v>5</v>
      </c>
      <c r="M89" s="93">
        <f>投放验证!AF89</f>
        <v>5</v>
      </c>
      <c r="N89" s="93">
        <f>投放验证!AG89</f>
        <v>5</v>
      </c>
      <c r="O89" s="94"/>
      <c r="P89" s="93">
        <v>1</v>
      </c>
      <c r="Q89" s="93">
        <v>1</v>
      </c>
      <c r="R89" s="93">
        <v>1</v>
      </c>
      <c r="S89" s="93">
        <v>1</v>
      </c>
      <c r="T89" s="134"/>
      <c r="U89" s="160">
        <f t="shared" si="16"/>
        <v>0</v>
      </c>
      <c r="V89" s="160">
        <f t="shared" si="17"/>
        <v>0</v>
      </c>
      <c r="W89" s="160">
        <f t="shared" si="18"/>
        <v>1</v>
      </c>
      <c r="X89" s="161">
        <f t="shared" si="19"/>
        <v>5</v>
      </c>
      <c r="Y89" s="58"/>
      <c r="Z89" s="160">
        <f t="shared" si="20"/>
        <v>3</v>
      </c>
      <c r="AA89" s="160">
        <f t="shared" si="21"/>
        <v>4</v>
      </c>
      <c r="AB89" s="160">
        <f t="shared" si="22"/>
        <v>5</v>
      </c>
      <c r="AC89" s="161">
        <f t="shared" si="23"/>
        <v>5</v>
      </c>
      <c r="AD89" s="134"/>
      <c r="AE89" s="135"/>
      <c r="AF89" s="135"/>
      <c r="AG89" s="135"/>
      <c r="AH89" s="135"/>
    </row>
    <row r="93" spans="3:34" x14ac:dyDescent="0.15">
      <c r="C93" s="144" t="s">
        <v>282</v>
      </c>
      <c r="D93" s="145"/>
      <c r="E93" s="142" t="s">
        <v>273</v>
      </c>
      <c r="F93" s="142"/>
      <c r="G93" s="142"/>
      <c r="H93" s="142"/>
      <c r="I93" s="142"/>
      <c r="J93" s="143" t="s">
        <v>239</v>
      </c>
      <c r="K93" s="143"/>
      <c r="L93" s="143"/>
      <c r="M93" s="143"/>
      <c r="N93" s="143"/>
      <c r="O93" s="143" t="s">
        <v>384</v>
      </c>
      <c r="P93" s="143"/>
      <c r="Q93" s="143"/>
      <c r="R93" s="143"/>
      <c r="S93" s="143"/>
      <c r="T93" s="142" t="s">
        <v>434</v>
      </c>
      <c r="U93" s="142"/>
      <c r="V93" s="142"/>
      <c r="W93" s="142"/>
      <c r="X93" s="142"/>
      <c r="Y93" s="142" t="s">
        <v>385</v>
      </c>
      <c r="Z93" s="142"/>
      <c r="AA93" s="142"/>
      <c r="AB93" s="142"/>
      <c r="AC93" s="142"/>
      <c r="AD93" s="142" t="s">
        <v>397</v>
      </c>
      <c r="AE93" s="142"/>
      <c r="AF93" s="142"/>
      <c r="AG93" s="142"/>
      <c r="AH93" s="142"/>
    </row>
    <row r="94" spans="3:34" x14ac:dyDescent="0.15">
      <c r="C94" s="30" t="s">
        <v>161</v>
      </c>
      <c r="D94" s="30" t="s">
        <v>158</v>
      </c>
      <c r="E94" s="58" t="s">
        <v>25</v>
      </c>
      <c r="F94" s="58" t="s">
        <v>1</v>
      </c>
      <c r="G94" s="58" t="s">
        <v>2</v>
      </c>
      <c r="H94" s="58" t="s">
        <v>0</v>
      </c>
      <c r="I94" s="58" t="s">
        <v>217</v>
      </c>
      <c r="J94" s="94" t="s">
        <v>25</v>
      </c>
      <c r="K94" s="56" t="s">
        <v>1</v>
      </c>
      <c r="L94" s="56" t="s">
        <v>2</v>
      </c>
      <c r="M94" s="56" t="s">
        <v>0</v>
      </c>
      <c r="N94" s="94" t="s">
        <v>217</v>
      </c>
      <c r="O94" s="53" t="s">
        <v>25</v>
      </c>
      <c r="P94" s="56" t="s">
        <v>1</v>
      </c>
      <c r="Q94" s="56" t="s">
        <v>2</v>
      </c>
      <c r="R94" s="56" t="s">
        <v>0</v>
      </c>
      <c r="S94" s="53" t="s">
        <v>217</v>
      </c>
      <c r="T94" s="134" t="s">
        <v>25</v>
      </c>
      <c r="U94" s="134" t="s">
        <v>1</v>
      </c>
      <c r="V94" s="134" t="s">
        <v>2</v>
      </c>
      <c r="W94" s="134" t="s">
        <v>0</v>
      </c>
      <c r="X94" s="134" t="s">
        <v>217</v>
      </c>
      <c r="Y94" s="58" t="s">
        <v>25</v>
      </c>
      <c r="Z94" s="58" t="s">
        <v>1</v>
      </c>
      <c r="AA94" s="58" t="s">
        <v>2</v>
      </c>
      <c r="AB94" s="58" t="s">
        <v>0</v>
      </c>
      <c r="AC94" s="58" t="s">
        <v>217</v>
      </c>
      <c r="AD94" s="134" t="s">
        <v>25</v>
      </c>
      <c r="AE94" s="134" t="s">
        <v>1</v>
      </c>
      <c r="AF94" s="134" t="s">
        <v>2</v>
      </c>
      <c r="AG94" s="134" t="s">
        <v>0</v>
      </c>
      <c r="AH94" s="134" t="s">
        <v>217</v>
      </c>
    </row>
    <row r="95" spans="3:34" x14ac:dyDescent="0.15">
      <c r="C95" s="30">
        <v>5</v>
      </c>
      <c r="D95" s="30">
        <f>求节点(节奏总纲!$O$4:$O$163,节奏总纲!S$4:S$163,C95)</f>
        <v>0.20296464556281663</v>
      </c>
      <c r="E95" s="58"/>
      <c r="F95" s="58">
        <f>ROUND(MIN(投放验证!Y95,SUM(投放验证!E$8:E$9)),0)</f>
        <v>0</v>
      </c>
      <c r="G95" s="58">
        <f>ROUND(MIN(投放验证!Z95,SUM(投放验证!F$8:F$9)),0)</f>
        <v>0</v>
      </c>
      <c r="H95" s="58">
        <f>ROUND(MIN(投放验证!AA95,SUM(投放验证!G$8:G$9)),0)</f>
        <v>0</v>
      </c>
      <c r="I95" s="58">
        <f>ROUND(MIN(投放验证!AB95,SUM(投放验证!H$8:H$9)),0)</f>
        <v>0</v>
      </c>
      <c r="J95" s="94"/>
      <c r="K95" s="93">
        <f>投放验证!AD95</f>
        <v>0</v>
      </c>
      <c r="L95" s="93">
        <f>投放验证!AE95</f>
        <v>0</v>
      </c>
      <c r="M95" s="93">
        <f>投放验证!AF95</f>
        <v>0</v>
      </c>
      <c r="N95" s="93">
        <f>投放验证!AG95</f>
        <v>0</v>
      </c>
      <c r="O95" s="94"/>
      <c r="P95" s="93">
        <v>0</v>
      </c>
      <c r="Q95" s="93">
        <v>0</v>
      </c>
      <c r="R95" s="93">
        <v>0</v>
      </c>
      <c r="S95" s="93">
        <v>0</v>
      </c>
      <c r="T95" s="134"/>
      <c r="U95" s="160">
        <f>MIN(MIN(F95,6),6-SUM(V95:X95))</f>
        <v>0</v>
      </c>
      <c r="V95" s="160">
        <f>MIN(MIN(G95,6),6-SUM(W95:X95))</f>
        <v>0</v>
      </c>
      <c r="W95" s="160">
        <f>MIN(MIN(H95,6),6-X95)</f>
        <v>0</v>
      </c>
      <c r="X95" s="161">
        <f>MAX(MIN(I95,6),N95)</f>
        <v>0</v>
      </c>
      <c r="Y95" s="58"/>
      <c r="Z95" s="159">
        <f>MIN(MIN(F95,6),6-SUM(AA95:AC95))</f>
        <v>0</v>
      </c>
      <c r="AA95" s="159">
        <f>MIN(MIN(G95,6),6-SUM(AB95:AC95))</f>
        <v>0</v>
      </c>
      <c r="AB95" s="159">
        <f>MIN(MIN(H95,6),6-AC95)</f>
        <v>0</v>
      </c>
      <c r="AC95" s="105">
        <f>MIN(MAX(I95,N95),6)</f>
        <v>0</v>
      </c>
      <c r="AD95" s="134"/>
      <c r="AE95" s="135"/>
      <c r="AF95" s="135"/>
      <c r="AG95" s="135"/>
      <c r="AH95" s="135"/>
    </row>
    <row r="96" spans="3:34" x14ac:dyDescent="0.15">
      <c r="C96" s="30">
        <v>10</v>
      </c>
      <c r="D96" s="94">
        <f>求节点(节奏总纲!$O$4:$O$163,节奏总纲!S$4:S$163,C96)</f>
        <v>0.49980000000000002</v>
      </c>
      <c r="E96" s="58"/>
      <c r="F96" s="58">
        <f>ROUND(MIN(投放验证!Y96,SUM(投放验证!E$8:E$9)),0)</f>
        <v>0</v>
      </c>
      <c r="G96" s="58">
        <f>ROUND(MIN(投放验证!Z96,SUM(投放验证!F$8:F$9)),0)</f>
        <v>0</v>
      </c>
      <c r="H96" s="58">
        <f>ROUND(MIN(投放验证!AA96,SUM(投放验证!G$8:G$9)),0)</f>
        <v>0</v>
      </c>
      <c r="I96" s="58">
        <f>ROUND(MIN(投放验证!AB96,SUM(投放验证!H$8:H$9)),0)</f>
        <v>0</v>
      </c>
      <c r="J96" s="94"/>
      <c r="K96" s="93">
        <f>投放验证!AD96</f>
        <v>0</v>
      </c>
      <c r="L96" s="93">
        <f>投放验证!AE96</f>
        <v>0</v>
      </c>
      <c r="M96" s="93">
        <f>投放验证!AF96</f>
        <v>0</v>
      </c>
      <c r="N96" s="93">
        <f>投放验证!AG96</f>
        <v>0</v>
      </c>
      <c r="O96" s="94"/>
      <c r="P96" s="93">
        <v>0</v>
      </c>
      <c r="Q96" s="93">
        <v>0</v>
      </c>
      <c r="R96" s="93">
        <v>0</v>
      </c>
      <c r="S96" s="93">
        <v>0</v>
      </c>
      <c r="T96" s="134"/>
      <c r="U96" s="160">
        <f t="shared" ref="U96:U115" si="24">MIN(MIN(F96,6),6-SUM(V96:X96))</f>
        <v>0</v>
      </c>
      <c r="V96" s="160">
        <f t="shared" ref="V96:V115" si="25">MIN(MIN(G96,6),6-SUM(W96:X96))</f>
        <v>0</v>
      </c>
      <c r="W96" s="160">
        <f t="shared" ref="W96:W115" si="26">MIN(MIN(H96,6),6-X96)</f>
        <v>0</v>
      </c>
      <c r="X96" s="161">
        <f t="shared" ref="X96:X115" si="27">MAX(MIN(I96,6),N96)</f>
        <v>0</v>
      </c>
      <c r="Y96" s="58"/>
      <c r="Z96" s="160">
        <f>MAX(MIN(MIN(F96,6),6-SUM(AA96:AC96)),Z95)</f>
        <v>0</v>
      </c>
      <c r="AA96" s="160">
        <f>MAX(MIN(MIN(G96,6),6-SUM(AB96:AC96)),AA95)</f>
        <v>0</v>
      </c>
      <c r="AB96" s="160">
        <f>MAX(MIN(MIN(H96,6),6-AC96),AB95)</f>
        <v>0</v>
      </c>
      <c r="AC96" s="161">
        <f>MAX(MIN(MAX(I96,N96),6),AC95)</f>
        <v>0</v>
      </c>
      <c r="AD96" s="134"/>
      <c r="AE96" s="135"/>
      <c r="AF96" s="135"/>
      <c r="AG96" s="135"/>
      <c r="AH96" s="135"/>
    </row>
    <row r="97" spans="3:34" x14ac:dyDescent="0.15">
      <c r="C97" s="30">
        <v>15</v>
      </c>
      <c r="D97" s="94">
        <f>求节点(节奏总纲!$O$4:$O$163,节奏总纲!S$4:S$163,C97)</f>
        <v>0.94895367774327255</v>
      </c>
      <c r="E97" s="58"/>
      <c r="F97" s="58">
        <f>ROUND(MIN(投放验证!Y97,SUM(投放验证!E$8:E$9)),0)</f>
        <v>0</v>
      </c>
      <c r="G97" s="58">
        <f>ROUND(MIN(投放验证!Z97,SUM(投放验证!F$8:F$9)),0)</f>
        <v>0</v>
      </c>
      <c r="H97" s="58">
        <f>ROUND(MIN(投放验证!AA97,SUM(投放验证!G$8:G$9)),0)</f>
        <v>0</v>
      </c>
      <c r="I97" s="58">
        <f>ROUND(MIN(投放验证!AB97,SUM(投放验证!H$8:H$9)),0)</f>
        <v>0</v>
      </c>
      <c r="J97" s="94"/>
      <c r="K97" s="93">
        <f>投放验证!AD97</f>
        <v>0</v>
      </c>
      <c r="L97" s="93">
        <f>投放验证!AE97</f>
        <v>0</v>
      </c>
      <c r="M97" s="93">
        <f>投放验证!AF97</f>
        <v>0</v>
      </c>
      <c r="N97" s="93">
        <f>投放验证!AG97</f>
        <v>0</v>
      </c>
      <c r="O97" s="94"/>
      <c r="P97" s="93">
        <v>0</v>
      </c>
      <c r="Q97" s="93">
        <v>0</v>
      </c>
      <c r="R97" s="93">
        <v>0</v>
      </c>
      <c r="S97" s="93">
        <v>0</v>
      </c>
      <c r="T97" s="134"/>
      <c r="U97" s="160">
        <f t="shared" si="24"/>
        <v>0</v>
      </c>
      <c r="V97" s="160">
        <f t="shared" si="25"/>
        <v>0</v>
      </c>
      <c r="W97" s="160">
        <f t="shared" si="26"/>
        <v>0</v>
      </c>
      <c r="X97" s="161">
        <f t="shared" si="27"/>
        <v>0</v>
      </c>
      <c r="Y97" s="58"/>
      <c r="Z97" s="160">
        <f t="shared" ref="Z97:Z115" si="28">MAX(MIN(MIN(F97,6),6-SUM(AA97:AC97)),Z96)</f>
        <v>0</v>
      </c>
      <c r="AA97" s="160">
        <f t="shared" ref="AA97:AA115" si="29">MAX(MIN(MIN(G97,6),6-SUM(AB97:AC97)),AA96)</f>
        <v>0</v>
      </c>
      <c r="AB97" s="160">
        <f t="shared" ref="AB97:AB115" si="30">MAX(MIN(MIN(H97,6),6-AC97),AB96)</f>
        <v>0</v>
      </c>
      <c r="AC97" s="161">
        <f t="shared" ref="AC97:AC115" si="31">MAX(MIN(MAX(I97,N97),6),AC96)</f>
        <v>0</v>
      </c>
      <c r="AD97" s="134"/>
      <c r="AE97" s="135"/>
      <c r="AF97" s="135"/>
      <c r="AG97" s="135"/>
      <c r="AH97" s="135"/>
    </row>
    <row r="98" spans="3:34" x14ac:dyDescent="0.15">
      <c r="C98" s="30">
        <v>20</v>
      </c>
      <c r="D98" s="94">
        <f>求节点(节奏总纲!$O$4:$O$163,节奏总纲!S$4:S$163,C98)</f>
        <v>1.5800999999999998</v>
      </c>
      <c r="E98" s="58"/>
      <c r="F98" s="58">
        <f>ROUND(MIN(投放验证!Y98,SUM(投放验证!E$8:E$9)),0)</f>
        <v>0</v>
      </c>
      <c r="G98" s="58">
        <f>ROUND(MIN(投放验证!Z98,SUM(投放验证!F$8:F$9)),0)</f>
        <v>0</v>
      </c>
      <c r="H98" s="58">
        <f>ROUND(MIN(投放验证!AA98,SUM(投放验证!G$8:G$9)),0)</f>
        <v>0</v>
      </c>
      <c r="I98" s="58">
        <f>ROUND(MIN(投放验证!AB98,SUM(投放验证!H$8:H$9)),0)</f>
        <v>0</v>
      </c>
      <c r="J98" s="94"/>
      <c r="K98" s="93">
        <f>投放验证!AD98</f>
        <v>0</v>
      </c>
      <c r="L98" s="93">
        <f>投放验证!AE98</f>
        <v>0</v>
      </c>
      <c r="M98" s="93">
        <f>投放验证!AF98</f>
        <v>0</v>
      </c>
      <c r="N98" s="93">
        <f>投放验证!AG98</f>
        <v>0</v>
      </c>
      <c r="O98" s="94"/>
      <c r="P98" s="93">
        <v>0</v>
      </c>
      <c r="Q98" s="93">
        <v>0</v>
      </c>
      <c r="R98" s="93">
        <v>0</v>
      </c>
      <c r="S98" s="93">
        <v>0</v>
      </c>
      <c r="T98" s="134"/>
      <c r="U98" s="160">
        <f t="shared" si="24"/>
        <v>0</v>
      </c>
      <c r="V98" s="160">
        <f t="shared" si="25"/>
        <v>0</v>
      </c>
      <c r="W98" s="160">
        <f t="shared" si="26"/>
        <v>0</v>
      </c>
      <c r="X98" s="161">
        <f t="shared" si="27"/>
        <v>0</v>
      </c>
      <c r="Y98" s="58"/>
      <c r="Z98" s="160">
        <f t="shared" si="28"/>
        <v>0</v>
      </c>
      <c r="AA98" s="160">
        <f t="shared" si="29"/>
        <v>0</v>
      </c>
      <c r="AB98" s="160">
        <f t="shared" si="30"/>
        <v>0</v>
      </c>
      <c r="AC98" s="161">
        <f t="shared" si="31"/>
        <v>0</v>
      </c>
      <c r="AD98" s="134"/>
      <c r="AE98" s="135"/>
      <c r="AF98" s="135"/>
      <c r="AG98" s="135"/>
      <c r="AH98" s="135"/>
    </row>
    <row r="99" spans="3:34" x14ac:dyDescent="0.15">
      <c r="C99" s="30">
        <v>25</v>
      </c>
      <c r="D99" s="94">
        <f>求节点(节奏总纲!$O$4:$O$163,节奏总纲!S$4:S$163,C99)</f>
        <v>2.478377831579845</v>
      </c>
      <c r="E99" s="58"/>
      <c r="F99" s="58">
        <f>ROUND(MIN(投放验证!Y99,SUM(投放验证!E$8:E$9)),0)</f>
        <v>0</v>
      </c>
      <c r="G99" s="58">
        <f>ROUND(MIN(投放验证!Z99,SUM(投放验证!F$8:F$9)),0)</f>
        <v>0</v>
      </c>
      <c r="H99" s="58">
        <f>ROUND(MIN(投放验证!AA99,SUM(投放验证!G$8:G$9)),0)</f>
        <v>0</v>
      </c>
      <c r="I99" s="58">
        <f>ROUND(MIN(投放验证!AB99,SUM(投放验证!H$8:H$9)),0)</f>
        <v>0</v>
      </c>
      <c r="J99" s="94"/>
      <c r="K99" s="93">
        <f>投放验证!AD99</f>
        <v>0</v>
      </c>
      <c r="L99" s="93">
        <f>投放验证!AE99</f>
        <v>0</v>
      </c>
      <c r="M99" s="93">
        <f>投放验证!AF99</f>
        <v>0</v>
      </c>
      <c r="N99" s="93">
        <f>投放验证!AG99</f>
        <v>0</v>
      </c>
      <c r="O99" s="94"/>
      <c r="P99" s="93">
        <v>0</v>
      </c>
      <c r="Q99" s="93">
        <v>0</v>
      </c>
      <c r="R99" s="93">
        <v>0</v>
      </c>
      <c r="S99" s="93">
        <v>0</v>
      </c>
      <c r="T99" s="134"/>
      <c r="U99" s="160">
        <f t="shared" si="24"/>
        <v>0</v>
      </c>
      <c r="V99" s="160">
        <f t="shared" si="25"/>
        <v>0</v>
      </c>
      <c r="W99" s="160">
        <f t="shared" si="26"/>
        <v>0</v>
      </c>
      <c r="X99" s="161">
        <f t="shared" si="27"/>
        <v>0</v>
      </c>
      <c r="Y99" s="58"/>
      <c r="Z99" s="160">
        <f t="shared" si="28"/>
        <v>0</v>
      </c>
      <c r="AA99" s="160">
        <f t="shared" si="29"/>
        <v>0</v>
      </c>
      <c r="AB99" s="160">
        <f t="shared" si="30"/>
        <v>0</v>
      </c>
      <c r="AC99" s="161">
        <f t="shared" si="31"/>
        <v>0</v>
      </c>
      <c r="AD99" s="134"/>
      <c r="AE99" s="135"/>
      <c r="AF99" s="135"/>
      <c r="AG99" s="135"/>
      <c r="AH99" s="135"/>
    </row>
    <row r="100" spans="3:34" x14ac:dyDescent="0.15">
      <c r="C100" s="30">
        <v>30</v>
      </c>
      <c r="D100" s="94">
        <f>求节点(节奏总纲!$O$4:$O$163,节奏总纲!S$4:S$163,C100)</f>
        <v>3.7428999999999997</v>
      </c>
      <c r="E100" s="58"/>
      <c r="F100" s="58">
        <f>ROUND(MIN(投放验证!Y100,SUM(投放验证!E$8:E$9)),0)</f>
        <v>0</v>
      </c>
      <c r="G100" s="58">
        <f>ROUND(MIN(投放验证!Z100,SUM(投放验证!F$8:F$9)),0)</f>
        <v>0</v>
      </c>
      <c r="H100" s="58">
        <f>ROUND(MIN(投放验证!AA100,SUM(投放验证!G$8:G$9)),0)</f>
        <v>0</v>
      </c>
      <c r="I100" s="58">
        <f>ROUND(MIN(投放验证!AB100,SUM(投放验证!H$8:H$9)),0)</f>
        <v>0</v>
      </c>
      <c r="J100" s="94"/>
      <c r="K100" s="93">
        <f>投放验证!AD100</f>
        <v>0</v>
      </c>
      <c r="L100" s="93">
        <f>投放验证!AE100</f>
        <v>0</v>
      </c>
      <c r="M100" s="93">
        <f>投放验证!AF100</f>
        <v>0</v>
      </c>
      <c r="N100" s="93">
        <f>投放验证!AG100</f>
        <v>0</v>
      </c>
      <c r="O100" s="94"/>
      <c r="P100" s="93">
        <v>0</v>
      </c>
      <c r="Q100" s="93">
        <v>0</v>
      </c>
      <c r="R100" s="93">
        <v>0</v>
      </c>
      <c r="S100" s="93">
        <v>0</v>
      </c>
      <c r="T100" s="134"/>
      <c r="U100" s="160">
        <f t="shared" si="24"/>
        <v>0</v>
      </c>
      <c r="V100" s="160">
        <f t="shared" si="25"/>
        <v>0</v>
      </c>
      <c r="W100" s="160">
        <f t="shared" si="26"/>
        <v>0</v>
      </c>
      <c r="X100" s="161">
        <f t="shared" si="27"/>
        <v>0</v>
      </c>
      <c r="Y100" s="58"/>
      <c r="Z100" s="160">
        <f t="shared" si="28"/>
        <v>0</v>
      </c>
      <c r="AA100" s="160">
        <f t="shared" si="29"/>
        <v>0</v>
      </c>
      <c r="AB100" s="160">
        <f t="shared" si="30"/>
        <v>0</v>
      </c>
      <c r="AC100" s="161">
        <f t="shared" si="31"/>
        <v>0</v>
      </c>
      <c r="AD100" s="134"/>
      <c r="AE100" s="135"/>
      <c r="AF100" s="135"/>
      <c r="AG100" s="135"/>
      <c r="AH100" s="135"/>
    </row>
    <row r="101" spans="3:34" x14ac:dyDescent="0.15">
      <c r="C101" s="30">
        <v>35</v>
      </c>
      <c r="D101" s="94">
        <f>求节点(节奏总纲!$O$4:$O$163,节奏总纲!S$4:S$163,C101)</f>
        <v>5.5405242056546129</v>
      </c>
      <c r="E101" s="58"/>
      <c r="F101" s="58">
        <f>ROUND(MIN(投放验证!Y101,SUM(投放验证!E$8:E$9)),0)</f>
        <v>1</v>
      </c>
      <c r="G101" s="58">
        <f>ROUND(MIN(投放验证!Z101,SUM(投放验证!F$8:F$9)),0)</f>
        <v>0</v>
      </c>
      <c r="H101" s="58">
        <f>ROUND(MIN(投放验证!AA101,SUM(投放验证!G$8:G$9)),0)</f>
        <v>0</v>
      </c>
      <c r="I101" s="58">
        <f>ROUND(MIN(投放验证!AB101,SUM(投放验证!H$8:H$9)),0)</f>
        <v>0</v>
      </c>
      <c r="J101" s="94"/>
      <c r="K101" s="93">
        <f>投放验证!AD101</f>
        <v>0</v>
      </c>
      <c r="L101" s="93">
        <f>投放验证!AE101</f>
        <v>0</v>
      </c>
      <c r="M101" s="93">
        <f>投放验证!AF101</f>
        <v>0</v>
      </c>
      <c r="N101" s="93">
        <f>投放验证!AG101</f>
        <v>0</v>
      </c>
      <c r="O101" s="94"/>
      <c r="P101" s="93">
        <v>1</v>
      </c>
      <c r="Q101" s="93">
        <v>0</v>
      </c>
      <c r="R101" s="93">
        <v>0</v>
      </c>
      <c r="S101" s="93">
        <v>0</v>
      </c>
      <c r="T101" s="134"/>
      <c r="U101" s="160">
        <f t="shared" si="24"/>
        <v>1</v>
      </c>
      <c r="V101" s="160">
        <f t="shared" si="25"/>
        <v>0</v>
      </c>
      <c r="W101" s="160">
        <f t="shared" si="26"/>
        <v>0</v>
      </c>
      <c r="X101" s="161">
        <f t="shared" si="27"/>
        <v>0</v>
      </c>
      <c r="Y101" s="58"/>
      <c r="Z101" s="160">
        <f t="shared" si="28"/>
        <v>1</v>
      </c>
      <c r="AA101" s="160">
        <f t="shared" si="29"/>
        <v>0</v>
      </c>
      <c r="AB101" s="160">
        <f t="shared" si="30"/>
        <v>0</v>
      </c>
      <c r="AC101" s="161">
        <f t="shared" si="31"/>
        <v>0</v>
      </c>
      <c r="AD101" s="134"/>
      <c r="AE101" s="135"/>
      <c r="AF101" s="135"/>
      <c r="AG101" s="135"/>
      <c r="AH101" s="135"/>
    </row>
    <row r="102" spans="3:34" x14ac:dyDescent="0.15">
      <c r="C102" s="30">
        <v>40</v>
      </c>
      <c r="D102" s="94">
        <f>求节点(节奏总纲!$O$4:$O$163,节奏总纲!S$4:S$163,C102)</f>
        <v>8.0009999999999994</v>
      </c>
      <c r="E102" s="58"/>
      <c r="F102" s="58">
        <f>ROUND(MIN(投放验证!Y102,SUM(投放验证!E$8:E$9)),0)</f>
        <v>4</v>
      </c>
      <c r="G102" s="58">
        <f>ROUND(MIN(投放验证!Z102,SUM(投放验证!F$8:F$9)),0)</f>
        <v>0</v>
      </c>
      <c r="H102" s="58">
        <f>ROUND(MIN(投放验证!AA102,SUM(投放验证!G$8:G$9)),0)</f>
        <v>0</v>
      </c>
      <c r="I102" s="58">
        <f>ROUND(MIN(投放验证!AB102,SUM(投放验证!H$8:H$9)),0)</f>
        <v>0</v>
      </c>
      <c r="J102" s="94"/>
      <c r="K102" s="93">
        <f>投放验证!AD102</f>
        <v>3.8433343920414087E-2</v>
      </c>
      <c r="L102" s="93">
        <f>投放验证!AE102</f>
        <v>0</v>
      </c>
      <c r="M102" s="93">
        <f>投放验证!AF102</f>
        <v>0</v>
      </c>
      <c r="N102" s="93">
        <f>投放验证!AG102</f>
        <v>0</v>
      </c>
      <c r="O102" s="94"/>
      <c r="P102" s="93">
        <v>1</v>
      </c>
      <c r="Q102" s="93">
        <v>0</v>
      </c>
      <c r="R102" s="93">
        <v>0</v>
      </c>
      <c r="S102" s="93">
        <v>0</v>
      </c>
      <c r="T102" s="134"/>
      <c r="U102" s="160">
        <f t="shared" si="24"/>
        <v>4</v>
      </c>
      <c r="V102" s="160">
        <f t="shared" si="25"/>
        <v>0</v>
      </c>
      <c r="W102" s="160">
        <f t="shared" si="26"/>
        <v>0</v>
      </c>
      <c r="X102" s="161">
        <f t="shared" si="27"/>
        <v>0</v>
      </c>
      <c r="Y102" s="58"/>
      <c r="Z102" s="160">
        <f t="shared" si="28"/>
        <v>4</v>
      </c>
      <c r="AA102" s="160">
        <f t="shared" si="29"/>
        <v>0</v>
      </c>
      <c r="AB102" s="160">
        <f t="shared" si="30"/>
        <v>0</v>
      </c>
      <c r="AC102" s="161">
        <f t="shared" si="31"/>
        <v>0</v>
      </c>
      <c r="AD102" s="134"/>
      <c r="AE102" s="135"/>
      <c r="AF102" s="135"/>
      <c r="AG102" s="135"/>
      <c r="AH102" s="135"/>
    </row>
    <row r="103" spans="3:34" x14ac:dyDescent="0.15">
      <c r="C103" s="30">
        <v>45</v>
      </c>
      <c r="D103" s="94">
        <f>求节点(节奏总纲!$O$4:$O$163,节奏总纲!S$4:S$163,C103)</f>
        <v>11.572830835613489</v>
      </c>
      <c r="E103" s="58"/>
      <c r="F103" s="58">
        <f>ROUND(MIN(投放验证!Y103,SUM(投放验证!E$8:E$9)),0)</f>
        <v>4</v>
      </c>
      <c r="G103" s="58">
        <f>ROUND(MIN(投放验证!Z103,SUM(投放验证!F$8:F$9)),0)</f>
        <v>5</v>
      </c>
      <c r="H103" s="58">
        <f>ROUND(MIN(投放验证!AA103,SUM(投放验证!G$8:G$9)),0)</f>
        <v>1</v>
      </c>
      <c r="I103" s="58">
        <f>ROUND(MIN(投放验证!AB103,SUM(投放验证!H$8:H$9)),0)</f>
        <v>0</v>
      </c>
      <c r="J103" s="94"/>
      <c r="K103" s="93">
        <f>投放验证!AD103</f>
        <v>2.2334330359116921</v>
      </c>
      <c r="L103" s="93">
        <f>投放验证!AE103</f>
        <v>0.22292282421212084</v>
      </c>
      <c r="M103" s="93">
        <f>投放验证!AF103</f>
        <v>0</v>
      </c>
      <c r="N103" s="93">
        <f>投放验证!AG103</f>
        <v>0</v>
      </c>
      <c r="O103" s="94"/>
      <c r="P103" s="93">
        <v>1</v>
      </c>
      <c r="Q103" s="93">
        <v>1</v>
      </c>
      <c r="R103" s="93">
        <v>0.3</v>
      </c>
      <c r="S103" s="93">
        <v>0</v>
      </c>
      <c r="T103" s="134"/>
      <c r="U103" s="160">
        <f t="shared" si="24"/>
        <v>0</v>
      </c>
      <c r="V103" s="160">
        <f t="shared" si="25"/>
        <v>5</v>
      </c>
      <c r="W103" s="160">
        <f t="shared" si="26"/>
        <v>1</v>
      </c>
      <c r="X103" s="161">
        <f t="shared" si="27"/>
        <v>0</v>
      </c>
      <c r="Y103" s="58"/>
      <c r="Z103" s="160">
        <f t="shared" si="28"/>
        <v>4</v>
      </c>
      <c r="AA103" s="160">
        <f t="shared" si="29"/>
        <v>5</v>
      </c>
      <c r="AB103" s="160">
        <f t="shared" si="30"/>
        <v>1</v>
      </c>
      <c r="AC103" s="161">
        <f t="shared" si="31"/>
        <v>0</v>
      </c>
      <c r="AD103" s="134"/>
      <c r="AE103" s="135"/>
      <c r="AF103" s="135"/>
      <c r="AG103" s="135"/>
      <c r="AH103" s="135"/>
    </row>
    <row r="104" spans="3:34" x14ac:dyDescent="0.15">
      <c r="C104" s="30">
        <v>50</v>
      </c>
      <c r="D104" s="94">
        <f>求节点(节奏总纲!$O$4:$O$163,节奏总纲!S$4:S$163,C104)</f>
        <v>16.386599999999998</v>
      </c>
      <c r="E104" s="58"/>
      <c r="F104" s="58">
        <f>ROUND(MIN(投放验证!Y104,SUM(投放验证!E$8:E$9)),0)</f>
        <v>4</v>
      </c>
      <c r="G104" s="58">
        <f>ROUND(MIN(投放验证!Z104,SUM(投放验证!F$8:F$9)),0)</f>
        <v>5</v>
      </c>
      <c r="H104" s="58">
        <f>ROUND(MIN(投放验证!AA104,SUM(投放验证!G$8:G$9)),0)</f>
        <v>4</v>
      </c>
      <c r="I104" s="58">
        <f>ROUND(MIN(投放验证!AB104,SUM(投放验证!H$8:H$9)),0)</f>
        <v>0</v>
      </c>
      <c r="J104" s="94"/>
      <c r="K104" s="93">
        <f>投放验证!AD104</f>
        <v>3.4211828207554351</v>
      </c>
      <c r="L104" s="93">
        <f>投放验证!AE104</f>
        <v>1.5550130804560998</v>
      </c>
      <c r="M104" s="93">
        <f>投放验证!AF104</f>
        <v>0</v>
      </c>
      <c r="N104" s="93">
        <f>投放验证!AG104</f>
        <v>0</v>
      </c>
      <c r="O104" s="94"/>
      <c r="P104" s="93">
        <v>1</v>
      </c>
      <c r="Q104" s="93">
        <v>1</v>
      </c>
      <c r="R104" s="93">
        <v>0.6</v>
      </c>
      <c r="S104" s="93">
        <v>0</v>
      </c>
      <c r="T104" s="134"/>
      <c r="U104" s="160">
        <f t="shared" si="24"/>
        <v>0</v>
      </c>
      <c r="V104" s="160">
        <f t="shared" si="25"/>
        <v>2</v>
      </c>
      <c r="W104" s="160">
        <f t="shared" si="26"/>
        <v>4</v>
      </c>
      <c r="X104" s="161">
        <f t="shared" si="27"/>
        <v>0</v>
      </c>
      <c r="Y104" s="58"/>
      <c r="Z104" s="160">
        <f t="shared" si="28"/>
        <v>4</v>
      </c>
      <c r="AA104" s="160">
        <f t="shared" si="29"/>
        <v>5</v>
      </c>
      <c r="AB104" s="160">
        <f t="shared" si="30"/>
        <v>4</v>
      </c>
      <c r="AC104" s="161">
        <f t="shared" si="31"/>
        <v>0</v>
      </c>
      <c r="AD104" s="134"/>
      <c r="AE104" s="135"/>
      <c r="AF104" s="135"/>
      <c r="AG104" s="135"/>
      <c r="AH104" s="135"/>
    </row>
    <row r="105" spans="3:34" x14ac:dyDescent="0.15">
      <c r="C105" s="30">
        <v>60</v>
      </c>
      <c r="D105" s="94">
        <f>求节点(节奏总纲!$O$4:$O$163,节奏总纲!S$4:S$163,C105)</f>
        <v>32.810400000000001</v>
      </c>
      <c r="E105" s="58"/>
      <c r="F105" s="58">
        <f>ROUND(MIN(投放验证!Y105,SUM(投放验证!E$8:E$9)),0)</f>
        <v>4</v>
      </c>
      <c r="G105" s="58">
        <f>ROUND(MIN(投放验证!Z105,SUM(投放验证!F$8:F$9)),0)</f>
        <v>5</v>
      </c>
      <c r="H105" s="58">
        <f>ROUND(MIN(投放验证!AA105,SUM(投放验证!G$8:G$9)),0)</f>
        <v>18</v>
      </c>
      <c r="I105" s="58">
        <f>ROUND(MIN(投放验证!AB105,SUM(投放验证!H$8:H$9)),0)</f>
        <v>1</v>
      </c>
      <c r="J105" s="94"/>
      <c r="K105" s="93">
        <f>投放验证!AD105</f>
        <v>5</v>
      </c>
      <c r="L105" s="93">
        <f>投放验证!AE105</f>
        <v>3.6688900528096258</v>
      </c>
      <c r="M105" s="93">
        <f>投放验证!AF105</f>
        <v>0</v>
      </c>
      <c r="N105" s="93">
        <f>投放验证!AG105</f>
        <v>0.76477676930357852</v>
      </c>
      <c r="O105" s="94"/>
      <c r="P105" s="93">
        <v>1</v>
      </c>
      <c r="Q105" s="93">
        <v>1</v>
      </c>
      <c r="R105" s="93">
        <v>1</v>
      </c>
      <c r="S105" s="134">
        <v>0.2</v>
      </c>
      <c r="T105" s="134"/>
      <c r="U105" s="160">
        <f t="shared" si="24"/>
        <v>0</v>
      </c>
      <c r="V105" s="160">
        <f t="shared" si="25"/>
        <v>0</v>
      </c>
      <c r="W105" s="160">
        <f t="shared" si="26"/>
        <v>5</v>
      </c>
      <c r="X105" s="161">
        <f t="shared" si="27"/>
        <v>1</v>
      </c>
      <c r="Y105" s="58"/>
      <c r="Z105" s="160">
        <f t="shared" si="28"/>
        <v>4</v>
      </c>
      <c r="AA105" s="160">
        <f t="shared" si="29"/>
        <v>5</v>
      </c>
      <c r="AB105" s="160">
        <f t="shared" si="30"/>
        <v>5</v>
      </c>
      <c r="AC105" s="161">
        <f t="shared" si="31"/>
        <v>1</v>
      </c>
      <c r="AD105" s="134"/>
      <c r="AE105" s="135"/>
      <c r="AF105" s="135"/>
      <c r="AG105" s="135"/>
      <c r="AH105" s="135"/>
    </row>
    <row r="106" spans="3:34" x14ac:dyDescent="0.15">
      <c r="C106" s="30">
        <v>70</v>
      </c>
      <c r="D106" s="94">
        <f>求节点(节奏总纲!$O$4:$O$163,节奏总纲!S$4:S$163,C106)</f>
        <v>65.925700000000006</v>
      </c>
      <c r="E106" s="58"/>
      <c r="F106" s="58">
        <f>ROUND(MIN(投放验证!Y106,SUM(投放验证!E$8:E$9)),0)</f>
        <v>4</v>
      </c>
      <c r="G106" s="58">
        <f>ROUND(MIN(投放验证!Z106,SUM(投放验证!F$8:F$9)),0)</f>
        <v>5</v>
      </c>
      <c r="H106" s="58">
        <f>ROUND(MIN(投放验证!AA106,SUM(投放验证!G$8:G$9)),0)</f>
        <v>25</v>
      </c>
      <c r="I106" s="58">
        <f>ROUND(MIN(投放验证!AB106,SUM(投放验证!H$8:H$9)),0)</f>
        <v>1</v>
      </c>
      <c r="J106" s="94"/>
      <c r="K106" s="93">
        <f>投放验证!AD106</f>
        <v>5</v>
      </c>
      <c r="L106" s="93">
        <f>投放验证!AE106</f>
        <v>5</v>
      </c>
      <c r="M106" s="93">
        <f>投放验证!AF106</f>
        <v>1.8288169345136982</v>
      </c>
      <c r="N106" s="93">
        <f>投放验证!AG106</f>
        <v>4.2238103194692851</v>
      </c>
      <c r="O106" s="94"/>
      <c r="P106" s="93">
        <v>1</v>
      </c>
      <c r="Q106" s="93">
        <v>1</v>
      </c>
      <c r="R106" s="134">
        <v>1</v>
      </c>
      <c r="S106" s="134">
        <v>0.4</v>
      </c>
      <c r="T106" s="134"/>
      <c r="U106" s="160">
        <f t="shared" si="24"/>
        <v>0</v>
      </c>
      <c r="V106" s="160">
        <f t="shared" si="25"/>
        <v>0</v>
      </c>
      <c r="W106" s="160">
        <f t="shared" si="26"/>
        <v>1.7761896805307149</v>
      </c>
      <c r="X106" s="161">
        <f t="shared" si="27"/>
        <v>4.2238103194692851</v>
      </c>
      <c r="Y106" s="58"/>
      <c r="Z106" s="160">
        <f t="shared" si="28"/>
        <v>4</v>
      </c>
      <c r="AA106" s="160">
        <f t="shared" si="29"/>
        <v>5</v>
      </c>
      <c r="AB106" s="160">
        <f t="shared" si="30"/>
        <v>5</v>
      </c>
      <c r="AC106" s="161">
        <f t="shared" si="31"/>
        <v>4.2238103194692851</v>
      </c>
      <c r="AD106" s="134"/>
      <c r="AE106" s="135"/>
      <c r="AF106" s="135"/>
      <c r="AG106" s="135"/>
      <c r="AH106" s="135"/>
    </row>
    <row r="107" spans="3:34" x14ac:dyDescent="0.15">
      <c r="C107" s="30">
        <v>80</v>
      </c>
      <c r="D107" s="94">
        <f>求节点(节奏总纲!$O$4:$O$163,节奏总纲!S$4:S$163,C107)</f>
        <v>131.58000000000001</v>
      </c>
      <c r="E107" s="58"/>
      <c r="F107" s="58">
        <f>ROUND(MIN(投放验证!Y107,SUM(投放验证!E$8:E$9)),0)</f>
        <v>4</v>
      </c>
      <c r="G107" s="58">
        <f>ROUND(MIN(投放验证!Z107,SUM(投放验证!F$8:F$9)),0)</f>
        <v>5</v>
      </c>
      <c r="H107" s="58">
        <f>ROUND(MIN(投放验证!AA107,SUM(投放验证!G$8:G$9)),0)</f>
        <v>25</v>
      </c>
      <c r="I107" s="58">
        <f>ROUND(MIN(投放验证!AB107,SUM(投放验证!H$8:H$9)),0)</f>
        <v>1</v>
      </c>
      <c r="J107" s="94"/>
      <c r="K107" s="93">
        <f>投放验证!AD107</f>
        <v>5</v>
      </c>
      <c r="L107" s="93">
        <f>投放验证!AE107</f>
        <v>5</v>
      </c>
      <c r="M107" s="93">
        <f>投放验证!AF107</f>
        <v>3.1155868807720148</v>
      </c>
      <c r="N107" s="93">
        <f>投放验证!AG107</f>
        <v>5</v>
      </c>
      <c r="O107" s="94"/>
      <c r="P107" s="93">
        <v>1</v>
      </c>
      <c r="Q107" s="93">
        <v>1</v>
      </c>
      <c r="R107" s="134">
        <v>1</v>
      </c>
      <c r="S107" s="134">
        <v>0.6</v>
      </c>
      <c r="T107" s="134"/>
      <c r="U107" s="160">
        <f t="shared" si="24"/>
        <v>0</v>
      </c>
      <c r="V107" s="160">
        <f t="shared" si="25"/>
        <v>0</v>
      </c>
      <c r="W107" s="160">
        <f t="shared" si="26"/>
        <v>1</v>
      </c>
      <c r="X107" s="161">
        <f t="shared" si="27"/>
        <v>5</v>
      </c>
      <c r="Y107" s="58"/>
      <c r="Z107" s="160">
        <f t="shared" si="28"/>
        <v>4</v>
      </c>
      <c r="AA107" s="160">
        <f t="shared" si="29"/>
        <v>5</v>
      </c>
      <c r="AB107" s="160">
        <f t="shared" si="30"/>
        <v>5</v>
      </c>
      <c r="AC107" s="161">
        <f t="shared" si="31"/>
        <v>5</v>
      </c>
      <c r="AD107" s="134"/>
      <c r="AE107" s="135"/>
      <c r="AF107" s="135"/>
      <c r="AG107" s="135"/>
      <c r="AH107" s="135"/>
    </row>
    <row r="108" spans="3:34" x14ac:dyDescent="0.15">
      <c r="C108" s="30">
        <v>90</v>
      </c>
      <c r="D108" s="94">
        <f>求节点(节奏总纲!$O$4:$O$163,节奏总纲!S$4:S$163,C108)</f>
        <v>254.88680000000002</v>
      </c>
      <c r="E108" s="58"/>
      <c r="F108" s="58">
        <f>ROUND(MIN(投放验证!Y108,SUM(投放验证!E$8:E$9)),0)</f>
        <v>4</v>
      </c>
      <c r="G108" s="58">
        <f>ROUND(MIN(投放验证!Z108,SUM(投放验证!F$8:F$9)),0)</f>
        <v>5</v>
      </c>
      <c r="H108" s="58">
        <f>ROUND(MIN(投放验证!AA108,SUM(投放验证!G$8:G$9)),0)</f>
        <v>25</v>
      </c>
      <c r="I108" s="58">
        <f>ROUND(MIN(投放验证!AB108,SUM(投放验证!H$8:H$9)),0)</f>
        <v>1</v>
      </c>
      <c r="J108" s="94"/>
      <c r="K108" s="93">
        <f>投放验证!AD108</f>
        <v>5</v>
      </c>
      <c r="L108" s="93">
        <f>投放验证!AE108</f>
        <v>5</v>
      </c>
      <c r="M108" s="93">
        <f>投放验证!AF108</f>
        <v>4.1752102212937157</v>
      </c>
      <c r="N108" s="93">
        <f>投放验证!AG108</f>
        <v>5</v>
      </c>
      <c r="O108" s="94"/>
      <c r="P108" s="93">
        <v>1</v>
      </c>
      <c r="Q108" s="93">
        <v>1</v>
      </c>
      <c r="R108" s="134">
        <v>1</v>
      </c>
      <c r="S108" s="134">
        <v>0.8</v>
      </c>
      <c r="T108" s="134"/>
      <c r="U108" s="160">
        <f t="shared" si="24"/>
        <v>0</v>
      </c>
      <c r="V108" s="160">
        <f t="shared" si="25"/>
        <v>0</v>
      </c>
      <c r="W108" s="160">
        <f t="shared" si="26"/>
        <v>1</v>
      </c>
      <c r="X108" s="161">
        <f t="shared" si="27"/>
        <v>5</v>
      </c>
      <c r="Y108" s="58"/>
      <c r="Z108" s="160">
        <f t="shared" si="28"/>
        <v>4</v>
      </c>
      <c r="AA108" s="160">
        <f t="shared" si="29"/>
        <v>5</v>
      </c>
      <c r="AB108" s="160">
        <f t="shared" si="30"/>
        <v>5</v>
      </c>
      <c r="AC108" s="161">
        <f t="shared" si="31"/>
        <v>5</v>
      </c>
      <c r="AD108" s="134"/>
      <c r="AE108" s="135"/>
      <c r="AF108" s="135"/>
      <c r="AG108" s="135"/>
      <c r="AH108" s="135"/>
    </row>
    <row r="109" spans="3:34" x14ac:dyDescent="0.15">
      <c r="C109" s="30">
        <v>100</v>
      </c>
      <c r="D109" s="94">
        <f>求节点(节奏总纲!$O$4:$O$163,节奏总纲!S$4:S$163,C109)</f>
        <v>508.22640000000001</v>
      </c>
      <c r="E109" s="58"/>
      <c r="F109" s="58">
        <f>ROUND(MIN(投放验证!Y109,SUM(投放验证!E$8:E$9)),0)</f>
        <v>4</v>
      </c>
      <c r="G109" s="58">
        <f>ROUND(MIN(投放验证!Z109,SUM(投放验证!F$8:F$9)),0)</f>
        <v>5</v>
      </c>
      <c r="H109" s="58">
        <f>ROUND(MIN(投放验证!AA109,SUM(投放验证!G$8:G$9)),0)</f>
        <v>25</v>
      </c>
      <c r="I109" s="58">
        <f>ROUND(MIN(投放验证!AB109,SUM(投放验证!H$8:H$9)),0)</f>
        <v>1</v>
      </c>
      <c r="J109" s="94"/>
      <c r="K109" s="93">
        <f>投放验证!AD109</f>
        <v>5</v>
      </c>
      <c r="L109" s="93">
        <f>投放验证!AE109</f>
        <v>5</v>
      </c>
      <c r="M109" s="93">
        <f>投放验证!AF109</f>
        <v>5</v>
      </c>
      <c r="N109" s="93">
        <f>投放验证!AG109</f>
        <v>5</v>
      </c>
      <c r="O109" s="94"/>
      <c r="P109" s="93">
        <v>1</v>
      </c>
      <c r="Q109" s="93">
        <v>1</v>
      </c>
      <c r="R109" s="134">
        <v>1</v>
      </c>
      <c r="S109" s="134">
        <v>1</v>
      </c>
      <c r="T109" s="134"/>
      <c r="U109" s="160">
        <f t="shared" si="24"/>
        <v>0</v>
      </c>
      <c r="V109" s="160">
        <f t="shared" si="25"/>
        <v>0</v>
      </c>
      <c r="W109" s="160">
        <f t="shared" si="26"/>
        <v>1</v>
      </c>
      <c r="X109" s="161">
        <f t="shared" si="27"/>
        <v>5</v>
      </c>
      <c r="Y109" s="58"/>
      <c r="Z109" s="160">
        <f t="shared" si="28"/>
        <v>4</v>
      </c>
      <c r="AA109" s="160">
        <f t="shared" si="29"/>
        <v>5</v>
      </c>
      <c r="AB109" s="160">
        <f t="shared" si="30"/>
        <v>5</v>
      </c>
      <c r="AC109" s="161">
        <f t="shared" si="31"/>
        <v>5</v>
      </c>
      <c r="AD109" s="134"/>
      <c r="AE109" s="135"/>
      <c r="AF109" s="135"/>
      <c r="AG109" s="135"/>
      <c r="AH109" s="135"/>
    </row>
    <row r="110" spans="3:34" x14ac:dyDescent="0.15">
      <c r="C110" s="30">
        <v>110</v>
      </c>
      <c r="D110" s="94">
        <f>求节点(节奏总纲!$O$4:$O$163,节奏总纲!S$4:S$163,C110)</f>
        <v>999.75480000000005</v>
      </c>
      <c r="E110" s="58"/>
      <c r="F110" s="58">
        <f>ROUND(MIN(投放验证!Y110,SUM(投放验证!E$8:E$9)),0)</f>
        <v>4</v>
      </c>
      <c r="G110" s="58">
        <f>ROUND(MIN(投放验证!Z110,SUM(投放验证!F$8:F$9)),0)</f>
        <v>5</v>
      </c>
      <c r="H110" s="58">
        <f>ROUND(MIN(投放验证!AA110,SUM(投放验证!G$8:G$9)),0)</f>
        <v>25</v>
      </c>
      <c r="I110" s="58">
        <f>ROUND(MIN(投放验证!AB110,SUM(投放验证!H$8:H$9)),0)</f>
        <v>1</v>
      </c>
      <c r="J110" s="94"/>
      <c r="K110" s="93">
        <f>投放验证!AD110</f>
        <v>5</v>
      </c>
      <c r="L110" s="93">
        <f>投放验证!AE110</f>
        <v>5</v>
      </c>
      <c r="M110" s="93">
        <f>投放验证!AF110</f>
        <v>5</v>
      </c>
      <c r="N110" s="93">
        <f>投放验证!AG110</f>
        <v>5</v>
      </c>
      <c r="O110" s="94"/>
      <c r="P110" s="93">
        <v>1</v>
      </c>
      <c r="Q110" s="93">
        <v>1</v>
      </c>
      <c r="R110" s="134">
        <v>1</v>
      </c>
      <c r="S110" s="134">
        <v>1</v>
      </c>
      <c r="T110" s="134"/>
      <c r="U110" s="160">
        <f t="shared" si="24"/>
        <v>0</v>
      </c>
      <c r="V110" s="160">
        <f t="shared" si="25"/>
        <v>0</v>
      </c>
      <c r="W110" s="160">
        <f t="shared" si="26"/>
        <v>1</v>
      </c>
      <c r="X110" s="161">
        <f t="shared" si="27"/>
        <v>5</v>
      </c>
      <c r="Y110" s="58"/>
      <c r="Z110" s="160">
        <f t="shared" si="28"/>
        <v>4</v>
      </c>
      <c r="AA110" s="160">
        <f t="shared" si="29"/>
        <v>5</v>
      </c>
      <c r="AB110" s="160">
        <f t="shared" si="30"/>
        <v>5</v>
      </c>
      <c r="AC110" s="161">
        <f t="shared" si="31"/>
        <v>5</v>
      </c>
      <c r="AD110" s="134"/>
      <c r="AE110" s="135"/>
      <c r="AF110" s="135"/>
      <c r="AG110" s="135"/>
      <c r="AH110" s="135"/>
    </row>
    <row r="111" spans="3:34" x14ac:dyDescent="0.15">
      <c r="C111" s="30">
        <v>120</v>
      </c>
      <c r="D111" s="94">
        <f>求节点(节奏总纲!$O$4:$O$163,节奏总纲!S$4:S$163,C111)</f>
        <v>1987.713</v>
      </c>
      <c r="E111" s="58"/>
      <c r="F111" s="58">
        <f>ROUND(MIN(投放验证!Y111,SUM(投放验证!E$8:E$9)),0)</f>
        <v>4</v>
      </c>
      <c r="G111" s="58">
        <f>ROUND(MIN(投放验证!Z111,SUM(投放验证!F$8:F$9)),0)</f>
        <v>5</v>
      </c>
      <c r="H111" s="58">
        <f>ROUND(MIN(投放验证!AA111,SUM(投放验证!G$8:G$9)),0)</f>
        <v>25</v>
      </c>
      <c r="I111" s="58">
        <f>ROUND(MIN(投放验证!AB111,SUM(投放验证!H$8:H$9)),0)</f>
        <v>1</v>
      </c>
      <c r="J111" s="94"/>
      <c r="K111" s="93">
        <f>投放验证!AD111</f>
        <v>5</v>
      </c>
      <c r="L111" s="93">
        <f>投放验证!AE111</f>
        <v>5</v>
      </c>
      <c r="M111" s="93">
        <f>投放验证!AF111</f>
        <v>5</v>
      </c>
      <c r="N111" s="93">
        <f>投放验证!AG111</f>
        <v>5</v>
      </c>
      <c r="O111" s="94"/>
      <c r="P111" s="93">
        <v>1</v>
      </c>
      <c r="Q111" s="93">
        <v>1</v>
      </c>
      <c r="R111" s="134">
        <v>1</v>
      </c>
      <c r="S111" s="134">
        <v>1</v>
      </c>
      <c r="T111" s="134"/>
      <c r="U111" s="160">
        <f t="shared" si="24"/>
        <v>0</v>
      </c>
      <c r="V111" s="160">
        <f t="shared" si="25"/>
        <v>0</v>
      </c>
      <c r="W111" s="160">
        <f t="shared" si="26"/>
        <v>1</v>
      </c>
      <c r="X111" s="161">
        <f t="shared" si="27"/>
        <v>5</v>
      </c>
      <c r="Y111" s="58"/>
      <c r="Z111" s="160">
        <f t="shared" si="28"/>
        <v>4</v>
      </c>
      <c r="AA111" s="160">
        <f t="shared" si="29"/>
        <v>5</v>
      </c>
      <c r="AB111" s="160">
        <f t="shared" si="30"/>
        <v>5</v>
      </c>
      <c r="AC111" s="161">
        <f t="shared" si="31"/>
        <v>5</v>
      </c>
      <c r="AD111" s="134"/>
      <c r="AE111" s="135"/>
      <c r="AF111" s="135"/>
      <c r="AG111" s="135"/>
      <c r="AH111" s="135"/>
    </row>
    <row r="112" spans="3:34" x14ac:dyDescent="0.15">
      <c r="C112" s="30">
        <v>130</v>
      </c>
      <c r="D112" s="94">
        <f>求节点(节奏总纲!$O$4:$O$163,节奏总纲!S$4:S$163,C112)</f>
        <v>3951.3384000000001</v>
      </c>
      <c r="E112" s="58"/>
      <c r="F112" s="58">
        <f>ROUND(MIN(投放验证!Y112,SUM(投放验证!E$8:E$9)),0)</f>
        <v>4</v>
      </c>
      <c r="G112" s="58">
        <f>ROUND(MIN(投放验证!Z112,SUM(投放验证!F$8:F$9)),0)</f>
        <v>5</v>
      </c>
      <c r="H112" s="58">
        <f>ROUND(MIN(投放验证!AA112,SUM(投放验证!G$8:G$9)),0)</f>
        <v>25</v>
      </c>
      <c r="I112" s="58">
        <f>ROUND(MIN(投放验证!AB112,SUM(投放验证!H$8:H$9)),0)</f>
        <v>1</v>
      </c>
      <c r="J112" s="94"/>
      <c r="K112" s="93">
        <f>投放验证!AD112</f>
        <v>5</v>
      </c>
      <c r="L112" s="93">
        <f>投放验证!AE112</f>
        <v>5</v>
      </c>
      <c r="M112" s="93">
        <f>投放验证!AF112</f>
        <v>5</v>
      </c>
      <c r="N112" s="93">
        <f>投放验证!AG112</f>
        <v>5</v>
      </c>
      <c r="O112" s="94"/>
      <c r="P112" s="93">
        <v>1</v>
      </c>
      <c r="Q112" s="93">
        <v>1</v>
      </c>
      <c r="R112" s="93">
        <v>1</v>
      </c>
      <c r="S112" s="93">
        <v>1</v>
      </c>
      <c r="T112" s="134"/>
      <c r="U112" s="160">
        <f t="shared" si="24"/>
        <v>0</v>
      </c>
      <c r="V112" s="160">
        <f t="shared" si="25"/>
        <v>0</v>
      </c>
      <c r="W112" s="160">
        <f t="shared" si="26"/>
        <v>1</v>
      </c>
      <c r="X112" s="161">
        <f t="shared" si="27"/>
        <v>5</v>
      </c>
      <c r="Y112" s="58"/>
      <c r="Z112" s="160">
        <f t="shared" si="28"/>
        <v>4</v>
      </c>
      <c r="AA112" s="160">
        <f t="shared" si="29"/>
        <v>5</v>
      </c>
      <c r="AB112" s="160">
        <f t="shared" si="30"/>
        <v>5</v>
      </c>
      <c r="AC112" s="161">
        <f t="shared" si="31"/>
        <v>5</v>
      </c>
      <c r="AD112" s="134"/>
      <c r="AE112" s="135"/>
      <c r="AF112" s="135"/>
      <c r="AG112" s="135"/>
      <c r="AH112" s="135"/>
    </row>
    <row r="113" spans="3:34" x14ac:dyDescent="0.15">
      <c r="C113" s="30">
        <v>140</v>
      </c>
      <c r="D113" s="94">
        <f>求节点(节奏总纲!$O$4:$O$163,节奏总纲!S$4:S$163,C113)</f>
        <v>7804.8612000000003</v>
      </c>
      <c r="E113" s="58"/>
      <c r="F113" s="58">
        <f>ROUND(MIN(投放验证!Y113,SUM(投放验证!E$8:E$9)),0)</f>
        <v>4</v>
      </c>
      <c r="G113" s="58">
        <f>ROUND(MIN(投放验证!Z113,SUM(投放验证!F$8:F$9)),0)</f>
        <v>5</v>
      </c>
      <c r="H113" s="58">
        <f>ROUND(MIN(投放验证!AA113,SUM(投放验证!G$8:G$9)),0)</f>
        <v>25</v>
      </c>
      <c r="I113" s="58">
        <f>ROUND(MIN(投放验证!AB113,SUM(投放验证!H$8:H$9)),0)</f>
        <v>1</v>
      </c>
      <c r="J113" s="94"/>
      <c r="K113" s="93">
        <f>投放验证!AD113</f>
        <v>5</v>
      </c>
      <c r="L113" s="93">
        <f>投放验证!AE113</f>
        <v>5</v>
      </c>
      <c r="M113" s="93">
        <f>投放验证!AF113</f>
        <v>5</v>
      </c>
      <c r="N113" s="93">
        <f>投放验证!AG113</f>
        <v>5</v>
      </c>
      <c r="O113" s="94"/>
      <c r="P113" s="93">
        <v>1</v>
      </c>
      <c r="Q113" s="93">
        <v>1</v>
      </c>
      <c r="R113" s="93">
        <v>1</v>
      </c>
      <c r="S113" s="93">
        <v>1</v>
      </c>
      <c r="T113" s="134"/>
      <c r="U113" s="160">
        <f t="shared" si="24"/>
        <v>0</v>
      </c>
      <c r="V113" s="160">
        <f t="shared" si="25"/>
        <v>0</v>
      </c>
      <c r="W113" s="160">
        <f t="shared" si="26"/>
        <v>1</v>
      </c>
      <c r="X113" s="161">
        <f t="shared" si="27"/>
        <v>5</v>
      </c>
      <c r="Y113" s="58"/>
      <c r="Z113" s="160">
        <f t="shared" si="28"/>
        <v>4</v>
      </c>
      <c r="AA113" s="160">
        <f t="shared" si="29"/>
        <v>5</v>
      </c>
      <c r="AB113" s="160">
        <f t="shared" si="30"/>
        <v>5</v>
      </c>
      <c r="AC113" s="161">
        <f t="shared" si="31"/>
        <v>5</v>
      </c>
      <c r="AD113" s="134"/>
      <c r="AE113" s="135"/>
      <c r="AF113" s="135"/>
      <c r="AG113" s="135"/>
      <c r="AH113" s="135"/>
    </row>
    <row r="114" spans="3:34" x14ac:dyDescent="0.15">
      <c r="C114" s="30">
        <v>150</v>
      </c>
      <c r="D114" s="94">
        <f>求节点(节奏总纲!$O$4:$O$163,节奏总纲!S$4:S$163,C114)</f>
        <v>15577.4318</v>
      </c>
      <c r="E114" s="58"/>
      <c r="F114" s="58">
        <f>ROUND(MIN(投放验证!Y114,SUM(投放验证!E$8:E$9)),0)</f>
        <v>4</v>
      </c>
      <c r="G114" s="58">
        <f>ROUND(MIN(投放验证!Z114,SUM(投放验证!F$8:F$9)),0)</f>
        <v>5</v>
      </c>
      <c r="H114" s="58">
        <f>ROUND(MIN(投放验证!AA114,SUM(投放验证!G$8:G$9)),0)</f>
        <v>25</v>
      </c>
      <c r="I114" s="58">
        <f>ROUND(MIN(投放验证!AB114,SUM(投放验证!H$8:H$9)),0)</f>
        <v>1</v>
      </c>
      <c r="J114" s="94"/>
      <c r="K114" s="93">
        <f>投放验证!AD114</f>
        <v>5</v>
      </c>
      <c r="L114" s="93">
        <f>投放验证!AE114</f>
        <v>5</v>
      </c>
      <c r="M114" s="93">
        <f>投放验证!AF114</f>
        <v>5</v>
      </c>
      <c r="N114" s="93">
        <f>投放验证!AG114</f>
        <v>5</v>
      </c>
      <c r="O114" s="94"/>
      <c r="P114" s="93">
        <v>1</v>
      </c>
      <c r="Q114" s="93">
        <v>1</v>
      </c>
      <c r="R114" s="93">
        <v>1</v>
      </c>
      <c r="S114" s="93">
        <v>1</v>
      </c>
      <c r="T114" s="134"/>
      <c r="U114" s="160">
        <f t="shared" si="24"/>
        <v>0</v>
      </c>
      <c r="V114" s="160">
        <f t="shared" si="25"/>
        <v>0</v>
      </c>
      <c r="W114" s="160">
        <f t="shared" si="26"/>
        <v>1</v>
      </c>
      <c r="X114" s="161">
        <f t="shared" si="27"/>
        <v>5</v>
      </c>
      <c r="Y114" s="58"/>
      <c r="Z114" s="160">
        <f t="shared" si="28"/>
        <v>4</v>
      </c>
      <c r="AA114" s="160">
        <f t="shared" si="29"/>
        <v>5</v>
      </c>
      <c r="AB114" s="160">
        <f t="shared" si="30"/>
        <v>5</v>
      </c>
      <c r="AC114" s="161">
        <f t="shared" si="31"/>
        <v>5</v>
      </c>
      <c r="AD114" s="134"/>
      <c r="AE114" s="135"/>
      <c r="AF114" s="135"/>
      <c r="AG114" s="135"/>
      <c r="AH114" s="135"/>
    </row>
    <row r="115" spans="3:34" x14ac:dyDescent="0.15">
      <c r="C115" s="30">
        <v>160</v>
      </c>
      <c r="D115" s="94">
        <f>求节点(节奏总纲!$O$4:$O$163,节奏总纲!S$4:S$163,C115)</f>
        <v>66190.350000000006</v>
      </c>
      <c r="E115" s="58"/>
      <c r="F115" s="58">
        <f>ROUND(MIN(投放验证!Y115,SUM(投放验证!E$8:E$9)),0)</f>
        <v>4</v>
      </c>
      <c r="G115" s="58">
        <f>ROUND(MIN(投放验证!Z115,SUM(投放验证!F$8:F$9)),0)</f>
        <v>5</v>
      </c>
      <c r="H115" s="58">
        <f>ROUND(MIN(投放验证!AA115,SUM(投放验证!G$8:G$9)),0)</f>
        <v>25</v>
      </c>
      <c r="I115" s="58">
        <f>ROUND(MIN(投放验证!AB115,SUM(投放验证!H$8:H$9)),0)</f>
        <v>1</v>
      </c>
      <c r="J115" s="94"/>
      <c r="K115" s="93">
        <f>投放验证!AD115</f>
        <v>5</v>
      </c>
      <c r="L115" s="93">
        <f>投放验证!AE115</f>
        <v>5</v>
      </c>
      <c r="M115" s="93">
        <f>投放验证!AF115</f>
        <v>5</v>
      </c>
      <c r="N115" s="93">
        <f>投放验证!AG115</f>
        <v>5</v>
      </c>
      <c r="O115" s="94"/>
      <c r="P115" s="93">
        <v>1</v>
      </c>
      <c r="Q115" s="93">
        <v>1</v>
      </c>
      <c r="R115" s="93">
        <v>1</v>
      </c>
      <c r="S115" s="93">
        <v>1</v>
      </c>
      <c r="T115" s="134"/>
      <c r="U115" s="160">
        <f t="shared" si="24"/>
        <v>0</v>
      </c>
      <c r="V115" s="160">
        <f t="shared" si="25"/>
        <v>0</v>
      </c>
      <c r="W115" s="160">
        <f t="shared" si="26"/>
        <v>1</v>
      </c>
      <c r="X115" s="161">
        <f t="shared" si="27"/>
        <v>5</v>
      </c>
      <c r="Y115" s="58"/>
      <c r="Z115" s="160">
        <f t="shared" si="28"/>
        <v>4</v>
      </c>
      <c r="AA115" s="160">
        <f t="shared" si="29"/>
        <v>5</v>
      </c>
      <c r="AB115" s="160">
        <f t="shared" si="30"/>
        <v>5</v>
      </c>
      <c r="AC115" s="161">
        <f t="shared" si="31"/>
        <v>5</v>
      </c>
      <c r="AD115" s="134"/>
      <c r="AE115" s="135"/>
      <c r="AF115" s="135"/>
      <c r="AG115" s="135"/>
      <c r="AH115" s="135"/>
    </row>
    <row r="119" spans="3:34" x14ac:dyDescent="0.15">
      <c r="C119" s="144" t="s">
        <v>283</v>
      </c>
      <c r="D119" s="145"/>
      <c r="E119" s="142" t="s">
        <v>273</v>
      </c>
      <c r="F119" s="142"/>
      <c r="G119" s="142"/>
      <c r="H119" s="142"/>
      <c r="I119" s="142"/>
      <c r="J119" s="143" t="s">
        <v>239</v>
      </c>
      <c r="K119" s="143"/>
      <c r="L119" s="143"/>
      <c r="M119" s="143"/>
      <c r="N119" s="143"/>
      <c r="O119" s="143" t="s">
        <v>384</v>
      </c>
      <c r="P119" s="143"/>
      <c r="Q119" s="143"/>
      <c r="R119" s="143"/>
      <c r="S119" s="143"/>
      <c r="T119" s="142" t="s">
        <v>434</v>
      </c>
      <c r="U119" s="142"/>
      <c r="V119" s="142"/>
      <c r="W119" s="142"/>
      <c r="X119" s="142"/>
      <c r="Y119" s="142" t="s">
        <v>385</v>
      </c>
      <c r="Z119" s="142"/>
      <c r="AA119" s="142"/>
      <c r="AB119" s="142"/>
      <c r="AC119" s="142"/>
      <c r="AD119" s="142" t="s">
        <v>397</v>
      </c>
      <c r="AE119" s="142"/>
      <c r="AF119" s="142"/>
      <c r="AG119" s="142"/>
      <c r="AH119" s="142"/>
    </row>
    <row r="120" spans="3:34" x14ac:dyDescent="0.15">
      <c r="C120" s="30" t="s">
        <v>161</v>
      </c>
      <c r="D120" s="30" t="s">
        <v>158</v>
      </c>
      <c r="E120" s="58" t="s">
        <v>25</v>
      </c>
      <c r="F120" s="58" t="s">
        <v>1</v>
      </c>
      <c r="G120" s="58" t="s">
        <v>2</v>
      </c>
      <c r="H120" s="58" t="s">
        <v>0</v>
      </c>
      <c r="I120" s="58" t="s">
        <v>217</v>
      </c>
      <c r="J120" s="94" t="s">
        <v>25</v>
      </c>
      <c r="K120" s="56" t="s">
        <v>1</v>
      </c>
      <c r="L120" s="56" t="s">
        <v>2</v>
      </c>
      <c r="M120" s="56" t="s">
        <v>0</v>
      </c>
      <c r="N120" s="94" t="s">
        <v>217</v>
      </c>
      <c r="O120" s="53" t="s">
        <v>25</v>
      </c>
      <c r="P120" s="56" t="s">
        <v>1</v>
      </c>
      <c r="Q120" s="56" t="s">
        <v>2</v>
      </c>
      <c r="R120" s="56" t="s">
        <v>0</v>
      </c>
      <c r="S120" s="53" t="s">
        <v>217</v>
      </c>
      <c r="T120" s="134" t="s">
        <v>25</v>
      </c>
      <c r="U120" s="134" t="s">
        <v>1</v>
      </c>
      <c r="V120" s="134" t="s">
        <v>2</v>
      </c>
      <c r="W120" s="134" t="s">
        <v>0</v>
      </c>
      <c r="X120" s="134" t="s">
        <v>217</v>
      </c>
      <c r="Y120" s="58" t="s">
        <v>25</v>
      </c>
      <c r="Z120" s="58" t="s">
        <v>1</v>
      </c>
      <c r="AA120" s="58" t="s">
        <v>2</v>
      </c>
      <c r="AB120" s="58" t="s">
        <v>0</v>
      </c>
      <c r="AC120" s="58" t="s">
        <v>217</v>
      </c>
      <c r="AD120" s="134" t="s">
        <v>25</v>
      </c>
      <c r="AE120" s="134" t="s">
        <v>1</v>
      </c>
      <c r="AF120" s="134" t="s">
        <v>2</v>
      </c>
      <c r="AG120" s="134" t="s">
        <v>0</v>
      </c>
      <c r="AH120" s="134" t="s">
        <v>217</v>
      </c>
    </row>
    <row r="121" spans="3:34" x14ac:dyDescent="0.15">
      <c r="C121" s="30">
        <v>5</v>
      </c>
      <c r="D121" s="30">
        <f>求节点(节奏总纲!$O$4:$O$163,节奏总纲!T$4:T$163,C121)</f>
        <v>0.10951806589144637</v>
      </c>
      <c r="E121" s="58"/>
      <c r="F121" s="58">
        <f>ROUND(MIN(投放验证!Y121,SUM(投放验证!E$8:E$9)),0)</f>
        <v>0</v>
      </c>
      <c r="G121" s="58">
        <f>ROUND(MIN(投放验证!Z121,SUM(投放验证!F$8:F$9)),0)</f>
        <v>0</v>
      </c>
      <c r="H121" s="58">
        <f>ROUND(MIN(投放验证!AA121,SUM(投放验证!G$8:G$9)),0)</f>
        <v>0</v>
      </c>
      <c r="I121" s="58">
        <f>ROUND(MIN(投放验证!AB121,SUM(投放验证!H$8:H$9)),0)</f>
        <v>0</v>
      </c>
      <c r="J121" s="94"/>
      <c r="K121" s="93">
        <f>投放验证!AD121</f>
        <v>0</v>
      </c>
      <c r="L121" s="93">
        <f>投放验证!AE121</f>
        <v>0</v>
      </c>
      <c r="M121" s="93">
        <f>投放验证!AF121</f>
        <v>0</v>
      </c>
      <c r="N121" s="93">
        <f>投放验证!AG121</f>
        <v>0</v>
      </c>
      <c r="O121" s="94"/>
      <c r="P121" s="93">
        <v>0</v>
      </c>
      <c r="Q121" s="93">
        <v>0</v>
      </c>
      <c r="R121" s="93">
        <v>0</v>
      </c>
      <c r="S121" s="93">
        <v>0</v>
      </c>
      <c r="T121" s="134"/>
      <c r="U121" s="160">
        <f>MIN(MIN(F121,6),6-SUM(V121:X121))</f>
        <v>0</v>
      </c>
      <c r="V121" s="160">
        <f>MIN(MIN(G121,6),6-SUM(W121:X121))</f>
        <v>0</v>
      </c>
      <c r="W121" s="160">
        <f>MIN(MIN(H121,6),6-X121)</f>
        <v>0</v>
      </c>
      <c r="X121" s="161">
        <f>MAX(MIN(I121,6),N121)</f>
        <v>0</v>
      </c>
      <c r="Y121" s="58"/>
      <c r="Z121" s="159">
        <f>MIN(MIN(F121,6),6-SUM(AA121:AC121))</f>
        <v>0</v>
      </c>
      <c r="AA121" s="159">
        <f>MIN(MIN(G121,6),6-SUM(AB121:AC121))</f>
        <v>0</v>
      </c>
      <c r="AB121" s="159">
        <f>MIN(MIN(H121,6),6-AC121)</f>
        <v>0</v>
      </c>
      <c r="AC121" s="105">
        <f>MIN(MAX(I121,N121),6)</f>
        <v>0</v>
      </c>
      <c r="AD121" s="134"/>
      <c r="AE121" s="135"/>
      <c r="AF121" s="135"/>
      <c r="AG121" s="135"/>
      <c r="AH121" s="135"/>
    </row>
    <row r="122" spans="3:34" x14ac:dyDescent="0.15">
      <c r="C122" s="30">
        <v>10</v>
      </c>
      <c r="D122" s="94">
        <f>求节点(节奏总纲!$O$4:$O$163,节奏总纲!T$4:T$163,C122)</f>
        <v>0.2732</v>
      </c>
      <c r="E122" s="58"/>
      <c r="F122" s="58">
        <f>ROUND(MIN(投放验证!Y122,SUM(投放验证!E$8:E$9)),0)</f>
        <v>0</v>
      </c>
      <c r="G122" s="58">
        <f>ROUND(MIN(投放验证!Z122,SUM(投放验证!F$8:F$9)),0)</f>
        <v>0</v>
      </c>
      <c r="H122" s="58">
        <f>ROUND(MIN(投放验证!AA122,SUM(投放验证!G$8:G$9)),0)</f>
        <v>0</v>
      </c>
      <c r="I122" s="58">
        <f>ROUND(MIN(投放验证!AB122,SUM(投放验证!H$8:H$9)),0)</f>
        <v>0</v>
      </c>
      <c r="J122" s="94"/>
      <c r="K122" s="93">
        <f>投放验证!AD122</f>
        <v>0</v>
      </c>
      <c r="L122" s="93">
        <f>投放验证!AE122</f>
        <v>0</v>
      </c>
      <c r="M122" s="93">
        <f>投放验证!AF122</f>
        <v>0</v>
      </c>
      <c r="N122" s="93">
        <f>投放验证!AG122</f>
        <v>0</v>
      </c>
      <c r="O122" s="94"/>
      <c r="P122" s="93">
        <v>0</v>
      </c>
      <c r="Q122" s="93">
        <v>0</v>
      </c>
      <c r="R122" s="93">
        <v>0</v>
      </c>
      <c r="S122" s="93">
        <v>0</v>
      </c>
      <c r="T122" s="134"/>
      <c r="U122" s="160">
        <f t="shared" ref="U122:U141" si="32">MIN(MIN(F122,6),6-SUM(V122:X122))</f>
        <v>0</v>
      </c>
      <c r="V122" s="160">
        <f t="shared" ref="V122:V141" si="33">MIN(MIN(G122,6),6-SUM(W122:X122))</f>
        <v>0</v>
      </c>
      <c r="W122" s="160">
        <f t="shared" ref="W122:W141" si="34">MIN(MIN(H122,6),6-X122)</f>
        <v>0</v>
      </c>
      <c r="X122" s="161">
        <f t="shared" ref="X122:X141" si="35">MAX(MIN(I122,6),N122)</f>
        <v>0</v>
      </c>
      <c r="Y122" s="58"/>
      <c r="Z122" s="160">
        <f>MAX(MIN(MIN(F122,6),6-SUM(AA122:AC122)),Z121)</f>
        <v>0</v>
      </c>
      <c r="AA122" s="160">
        <f>MAX(MIN(MIN(G122,6),6-SUM(AB122:AC122)),AA121)</f>
        <v>0</v>
      </c>
      <c r="AB122" s="160">
        <f>MAX(MIN(MIN(H122,6),6-AC122),AB121)</f>
        <v>0</v>
      </c>
      <c r="AC122" s="161">
        <f>MAX(MIN(MAX(I122,N122),6),AC121)</f>
        <v>0</v>
      </c>
      <c r="AD122" s="134"/>
      <c r="AE122" s="135"/>
      <c r="AF122" s="135"/>
      <c r="AG122" s="135"/>
      <c r="AH122" s="135"/>
    </row>
    <row r="123" spans="3:34" x14ac:dyDescent="0.15">
      <c r="C123" s="30">
        <v>15</v>
      </c>
      <c r="D123" s="94">
        <f>求节点(节奏总纲!$O$4:$O$163,节奏总纲!T$4:T$163,C123)</f>
        <v>0.5271355400643265</v>
      </c>
      <c r="E123" s="58"/>
      <c r="F123" s="58">
        <f>ROUND(MIN(投放验证!Y123,SUM(投放验证!E$8:E$9)),0)</f>
        <v>0</v>
      </c>
      <c r="G123" s="58">
        <f>ROUND(MIN(投放验证!Z123,SUM(投放验证!F$8:F$9)),0)</f>
        <v>0</v>
      </c>
      <c r="H123" s="58">
        <f>ROUND(MIN(投放验证!AA123,SUM(投放验证!G$8:G$9)),0)</f>
        <v>0</v>
      </c>
      <c r="I123" s="58">
        <f>ROUND(MIN(投放验证!AB123,SUM(投放验证!H$8:H$9)),0)</f>
        <v>0</v>
      </c>
      <c r="J123" s="94"/>
      <c r="K123" s="93">
        <f>投放验证!AD123</f>
        <v>0</v>
      </c>
      <c r="L123" s="93">
        <f>投放验证!AE123</f>
        <v>0</v>
      </c>
      <c r="M123" s="93">
        <f>投放验证!AF123</f>
        <v>0</v>
      </c>
      <c r="N123" s="93">
        <f>投放验证!AG123</f>
        <v>0</v>
      </c>
      <c r="O123" s="94"/>
      <c r="P123" s="93">
        <v>0</v>
      </c>
      <c r="Q123" s="93">
        <v>0</v>
      </c>
      <c r="R123" s="93">
        <v>0</v>
      </c>
      <c r="S123" s="93">
        <v>0</v>
      </c>
      <c r="T123" s="134"/>
      <c r="U123" s="160">
        <f t="shared" si="32"/>
        <v>0</v>
      </c>
      <c r="V123" s="160">
        <f t="shared" si="33"/>
        <v>0</v>
      </c>
      <c r="W123" s="160">
        <f t="shared" si="34"/>
        <v>0</v>
      </c>
      <c r="X123" s="161">
        <f t="shared" si="35"/>
        <v>0</v>
      </c>
      <c r="Y123" s="58"/>
      <c r="Z123" s="160">
        <f t="shared" ref="Z123:Z141" si="36">MAX(MIN(MIN(F123,6),6-SUM(AA123:AC123)),Z122)</f>
        <v>0</v>
      </c>
      <c r="AA123" s="160">
        <f t="shared" ref="AA123:AA141" si="37">MAX(MIN(MIN(G123,6),6-SUM(AB123:AC123)),AA122)</f>
        <v>0</v>
      </c>
      <c r="AB123" s="160">
        <f t="shared" ref="AB123:AB141" si="38">MAX(MIN(MIN(H123,6),6-AC123),AB122)</f>
        <v>0</v>
      </c>
      <c r="AC123" s="161">
        <f t="shared" ref="AC123:AC141" si="39">MAX(MIN(MAX(I123,N123),6),AC122)</f>
        <v>0</v>
      </c>
      <c r="AD123" s="134"/>
      <c r="AE123" s="135"/>
      <c r="AF123" s="135"/>
      <c r="AG123" s="135"/>
      <c r="AH123" s="135"/>
    </row>
    <row r="124" spans="3:34" x14ac:dyDescent="0.15">
      <c r="C124" s="30">
        <v>20</v>
      </c>
      <c r="D124" s="94">
        <f>求节点(节奏总纲!$O$4:$O$163,节奏总纲!T$4:T$163,C124)</f>
        <v>0.87990000000000002</v>
      </c>
      <c r="E124" s="58"/>
      <c r="F124" s="58">
        <f>ROUND(MIN(投放验证!Y124,SUM(投放验证!E$8:E$9)),0)</f>
        <v>0</v>
      </c>
      <c r="G124" s="58">
        <f>ROUND(MIN(投放验证!Z124,SUM(投放验证!F$8:F$9)),0)</f>
        <v>0</v>
      </c>
      <c r="H124" s="58">
        <f>ROUND(MIN(投放验证!AA124,SUM(投放验证!G$8:G$9)),0)</f>
        <v>0</v>
      </c>
      <c r="I124" s="58">
        <f>ROUND(MIN(投放验证!AB124,SUM(投放验证!H$8:H$9)),0)</f>
        <v>0</v>
      </c>
      <c r="J124" s="94"/>
      <c r="K124" s="93">
        <f>投放验证!AD124</f>
        <v>0</v>
      </c>
      <c r="L124" s="93">
        <f>投放验证!AE124</f>
        <v>0</v>
      </c>
      <c r="M124" s="93">
        <f>投放验证!AF124</f>
        <v>0</v>
      </c>
      <c r="N124" s="93">
        <f>投放验证!AG124</f>
        <v>0</v>
      </c>
      <c r="O124" s="94"/>
      <c r="P124" s="93">
        <v>0</v>
      </c>
      <c r="Q124" s="93">
        <v>0</v>
      </c>
      <c r="R124" s="93">
        <v>0</v>
      </c>
      <c r="S124" s="93">
        <v>0</v>
      </c>
      <c r="T124" s="134"/>
      <c r="U124" s="160">
        <f t="shared" si="32"/>
        <v>0</v>
      </c>
      <c r="V124" s="160">
        <f t="shared" si="33"/>
        <v>0</v>
      </c>
      <c r="W124" s="160">
        <f t="shared" si="34"/>
        <v>0</v>
      </c>
      <c r="X124" s="161">
        <f t="shared" si="35"/>
        <v>0</v>
      </c>
      <c r="Y124" s="58"/>
      <c r="Z124" s="160">
        <f t="shared" si="36"/>
        <v>0</v>
      </c>
      <c r="AA124" s="160">
        <f t="shared" si="37"/>
        <v>0</v>
      </c>
      <c r="AB124" s="160">
        <f t="shared" si="38"/>
        <v>0</v>
      </c>
      <c r="AC124" s="161">
        <f t="shared" si="39"/>
        <v>0</v>
      </c>
      <c r="AD124" s="134"/>
      <c r="AE124" s="135"/>
      <c r="AF124" s="135"/>
      <c r="AG124" s="135"/>
      <c r="AH124" s="135"/>
    </row>
    <row r="125" spans="3:34" x14ac:dyDescent="0.15">
      <c r="C125" s="30">
        <v>25</v>
      </c>
      <c r="D125" s="94">
        <f>求节点(节奏总纲!$O$4:$O$163,节奏总纲!T$4:T$163,C125)</f>
        <v>1.3802915995495415</v>
      </c>
      <c r="E125" s="58"/>
      <c r="F125" s="58">
        <f>ROUND(MIN(投放验证!Y125,SUM(投放验证!E$8:E$9)),0)</f>
        <v>0</v>
      </c>
      <c r="G125" s="58">
        <f>ROUND(MIN(投放验证!Z125,SUM(投放验证!F$8:F$9)),0)</f>
        <v>0</v>
      </c>
      <c r="H125" s="58">
        <f>ROUND(MIN(投放验证!AA125,SUM(投放验证!G$8:G$9)),0)</f>
        <v>0</v>
      </c>
      <c r="I125" s="58">
        <f>ROUND(MIN(投放验证!AB125,SUM(投放验证!H$8:H$9)),0)</f>
        <v>0</v>
      </c>
      <c r="J125" s="94"/>
      <c r="K125" s="93">
        <f>投放验证!AD125</f>
        <v>0</v>
      </c>
      <c r="L125" s="93">
        <f>投放验证!AE125</f>
        <v>0</v>
      </c>
      <c r="M125" s="93">
        <f>投放验证!AF125</f>
        <v>0</v>
      </c>
      <c r="N125" s="93">
        <f>投放验证!AG125</f>
        <v>0</v>
      </c>
      <c r="O125" s="94"/>
      <c r="P125" s="93">
        <v>0</v>
      </c>
      <c r="Q125" s="93">
        <v>0</v>
      </c>
      <c r="R125" s="93">
        <v>0</v>
      </c>
      <c r="S125" s="93">
        <v>0</v>
      </c>
      <c r="T125" s="134"/>
      <c r="U125" s="160">
        <f t="shared" si="32"/>
        <v>0</v>
      </c>
      <c r="V125" s="160">
        <f t="shared" si="33"/>
        <v>0</v>
      </c>
      <c r="W125" s="160">
        <f t="shared" si="34"/>
        <v>0</v>
      </c>
      <c r="X125" s="161">
        <f t="shared" si="35"/>
        <v>0</v>
      </c>
      <c r="Y125" s="58"/>
      <c r="Z125" s="160">
        <f t="shared" si="36"/>
        <v>0</v>
      </c>
      <c r="AA125" s="160">
        <f t="shared" si="37"/>
        <v>0</v>
      </c>
      <c r="AB125" s="160">
        <f t="shared" si="38"/>
        <v>0</v>
      </c>
      <c r="AC125" s="161">
        <f t="shared" si="39"/>
        <v>0</v>
      </c>
      <c r="AD125" s="134"/>
      <c r="AE125" s="135"/>
      <c r="AF125" s="135"/>
      <c r="AG125" s="135"/>
      <c r="AH125" s="135"/>
    </row>
    <row r="126" spans="3:34" x14ac:dyDescent="0.15">
      <c r="C126" s="30">
        <v>30</v>
      </c>
      <c r="D126" s="94">
        <f>求节点(节奏总纲!$O$4:$O$163,节奏总纲!T$4:T$163,C126)</f>
        <v>2.1006999999999998</v>
      </c>
      <c r="E126" s="58"/>
      <c r="F126" s="58">
        <f>ROUND(MIN(投放验证!Y126,SUM(投放验证!E$8:E$9)),0)</f>
        <v>0</v>
      </c>
      <c r="G126" s="58">
        <f>ROUND(MIN(投放验证!Z126,SUM(投放验证!F$8:F$9)),0)</f>
        <v>0</v>
      </c>
      <c r="H126" s="58">
        <f>ROUND(MIN(投放验证!AA126,SUM(投放验证!G$8:G$9)),0)</f>
        <v>0</v>
      </c>
      <c r="I126" s="58">
        <f>ROUND(MIN(投放验证!AB126,SUM(投放验证!H$8:H$9)),0)</f>
        <v>0</v>
      </c>
      <c r="J126" s="94"/>
      <c r="K126" s="93">
        <f>投放验证!AD126</f>
        <v>0</v>
      </c>
      <c r="L126" s="93">
        <f>投放验证!AE126</f>
        <v>0</v>
      </c>
      <c r="M126" s="93">
        <f>投放验证!AF126</f>
        <v>0</v>
      </c>
      <c r="N126" s="93">
        <f>投放验证!AG126</f>
        <v>0</v>
      </c>
      <c r="O126" s="94"/>
      <c r="P126" s="93">
        <v>0</v>
      </c>
      <c r="Q126" s="93">
        <v>0</v>
      </c>
      <c r="R126" s="93">
        <v>0</v>
      </c>
      <c r="S126" s="93">
        <v>0</v>
      </c>
      <c r="T126" s="134"/>
      <c r="U126" s="160">
        <f t="shared" si="32"/>
        <v>0</v>
      </c>
      <c r="V126" s="160">
        <f t="shared" si="33"/>
        <v>0</v>
      </c>
      <c r="W126" s="160">
        <f t="shared" si="34"/>
        <v>0</v>
      </c>
      <c r="X126" s="161">
        <f t="shared" si="35"/>
        <v>0</v>
      </c>
      <c r="Y126" s="58"/>
      <c r="Z126" s="160">
        <f t="shared" si="36"/>
        <v>0</v>
      </c>
      <c r="AA126" s="160">
        <f t="shared" si="37"/>
        <v>0</v>
      </c>
      <c r="AB126" s="160">
        <f t="shared" si="38"/>
        <v>0</v>
      </c>
      <c r="AC126" s="161">
        <f t="shared" si="39"/>
        <v>0</v>
      </c>
      <c r="AD126" s="134"/>
      <c r="AE126" s="135"/>
      <c r="AF126" s="135"/>
      <c r="AG126" s="135"/>
      <c r="AH126" s="135"/>
    </row>
    <row r="127" spans="3:34" x14ac:dyDescent="0.15">
      <c r="C127" s="30">
        <v>35</v>
      </c>
      <c r="D127" s="94">
        <f>求节点(节奏总纲!$O$4:$O$163,节奏总纲!T$4:T$163,C127)</f>
        <v>3.1106144832938032</v>
      </c>
      <c r="E127" s="58"/>
      <c r="F127" s="58">
        <f>ROUND(MIN(投放验证!Y127,SUM(投放验证!E$8:E$9)),0)</f>
        <v>1</v>
      </c>
      <c r="G127" s="58">
        <f>ROUND(MIN(投放验证!Z127,SUM(投放验证!F$8:F$9)),0)</f>
        <v>0</v>
      </c>
      <c r="H127" s="58">
        <f>ROUND(MIN(投放验证!AA127,SUM(投放验证!G$8:G$9)),0)</f>
        <v>0</v>
      </c>
      <c r="I127" s="58">
        <f>ROUND(MIN(投放验证!AB127,SUM(投放验证!H$8:H$9)),0)</f>
        <v>0</v>
      </c>
      <c r="J127" s="94"/>
      <c r="K127" s="93">
        <f>投放验证!AD127</f>
        <v>0</v>
      </c>
      <c r="L127" s="93">
        <f>投放验证!AE127</f>
        <v>0</v>
      </c>
      <c r="M127" s="93">
        <f>投放验证!AF127</f>
        <v>0</v>
      </c>
      <c r="N127" s="93">
        <f>投放验证!AG127</f>
        <v>0</v>
      </c>
      <c r="O127" s="94"/>
      <c r="P127" s="93">
        <v>1</v>
      </c>
      <c r="Q127" s="93">
        <v>0</v>
      </c>
      <c r="R127" s="93">
        <v>0</v>
      </c>
      <c r="S127" s="93">
        <v>0</v>
      </c>
      <c r="T127" s="134"/>
      <c r="U127" s="160">
        <f t="shared" si="32"/>
        <v>1</v>
      </c>
      <c r="V127" s="160">
        <f t="shared" si="33"/>
        <v>0</v>
      </c>
      <c r="W127" s="160">
        <f t="shared" si="34"/>
        <v>0</v>
      </c>
      <c r="X127" s="161">
        <f t="shared" si="35"/>
        <v>0</v>
      </c>
      <c r="Y127" s="58"/>
      <c r="Z127" s="160">
        <f t="shared" si="36"/>
        <v>1</v>
      </c>
      <c r="AA127" s="160">
        <f t="shared" si="37"/>
        <v>0</v>
      </c>
      <c r="AB127" s="160">
        <f t="shared" si="38"/>
        <v>0</v>
      </c>
      <c r="AC127" s="161">
        <f t="shared" si="39"/>
        <v>0</v>
      </c>
      <c r="AD127" s="134"/>
      <c r="AE127" s="135"/>
      <c r="AF127" s="135"/>
      <c r="AG127" s="135"/>
      <c r="AH127" s="135"/>
    </row>
    <row r="128" spans="3:34" x14ac:dyDescent="0.15">
      <c r="C128" s="30">
        <v>40</v>
      </c>
      <c r="D128" s="94">
        <f>求节点(节奏总纲!$O$4:$O$163,节奏总纲!T$4:T$163,C128)</f>
        <v>4.5</v>
      </c>
      <c r="E128" s="58"/>
      <c r="F128" s="58">
        <f>ROUND(MIN(投放验证!Y128,SUM(投放验证!E$8:E$9)),0)</f>
        <v>3</v>
      </c>
      <c r="G128" s="58">
        <f>ROUND(MIN(投放验证!Z128,SUM(投放验证!F$8:F$9)),0)</f>
        <v>0</v>
      </c>
      <c r="H128" s="58">
        <f>ROUND(MIN(投放验证!AA128,SUM(投放验证!G$8:G$9)),0)</f>
        <v>0</v>
      </c>
      <c r="I128" s="58">
        <f>ROUND(MIN(投放验证!AB128,SUM(投放验证!H$8:H$9)),0)</f>
        <v>0</v>
      </c>
      <c r="J128" s="94"/>
      <c r="K128" s="93">
        <f>投放验证!AD128</f>
        <v>0</v>
      </c>
      <c r="L128" s="93">
        <f>投放验证!AE128</f>
        <v>0</v>
      </c>
      <c r="M128" s="93">
        <f>投放验证!AF128</f>
        <v>0</v>
      </c>
      <c r="N128" s="93">
        <f>投放验证!AG128</f>
        <v>0</v>
      </c>
      <c r="O128" s="94"/>
      <c r="P128" s="93">
        <v>1</v>
      </c>
      <c r="Q128" s="93">
        <v>0</v>
      </c>
      <c r="R128" s="93">
        <v>0</v>
      </c>
      <c r="S128" s="93">
        <v>0</v>
      </c>
      <c r="T128" s="134"/>
      <c r="U128" s="160">
        <f t="shared" si="32"/>
        <v>3</v>
      </c>
      <c r="V128" s="160">
        <f t="shared" si="33"/>
        <v>0</v>
      </c>
      <c r="W128" s="160">
        <f t="shared" si="34"/>
        <v>0</v>
      </c>
      <c r="X128" s="161">
        <f t="shared" si="35"/>
        <v>0</v>
      </c>
      <c r="Y128" s="58"/>
      <c r="Z128" s="160">
        <f t="shared" si="36"/>
        <v>3</v>
      </c>
      <c r="AA128" s="160">
        <f t="shared" si="37"/>
        <v>0</v>
      </c>
      <c r="AB128" s="160">
        <f t="shared" si="38"/>
        <v>0</v>
      </c>
      <c r="AC128" s="161">
        <f t="shared" si="39"/>
        <v>0</v>
      </c>
      <c r="AD128" s="134"/>
      <c r="AE128" s="135"/>
      <c r="AF128" s="135"/>
      <c r="AG128" s="135"/>
      <c r="AH128" s="135"/>
    </row>
    <row r="129" spans="3:34" x14ac:dyDescent="0.15">
      <c r="C129" s="30">
        <v>45</v>
      </c>
      <c r="D129" s="94">
        <f>求节点(节奏总纲!$O$4:$O$163,节奏总纲!T$4:T$163,C129)</f>
        <v>6.49903880788984</v>
      </c>
      <c r="E129" s="58"/>
      <c r="F129" s="58">
        <f>ROUND(MIN(投放验证!Y129,SUM(投放验证!E$8:E$9)),0)</f>
        <v>4</v>
      </c>
      <c r="G129" s="58">
        <f>ROUND(MIN(投放验证!Z129,SUM(投放验证!F$8:F$9)),0)</f>
        <v>5</v>
      </c>
      <c r="H129" s="58">
        <f>ROUND(MIN(投放验证!AA129,SUM(投放验证!G$8:G$9)),0)</f>
        <v>2</v>
      </c>
      <c r="I129" s="58">
        <f>ROUND(MIN(投放验证!AB129,SUM(投放验证!H$8:H$9)),0)</f>
        <v>0</v>
      </c>
      <c r="J129" s="94"/>
      <c r="K129" s="93">
        <f>投放验证!AD129</f>
        <v>2.2376070762325648</v>
      </c>
      <c r="L129" s="93">
        <f>投放验证!AE129</f>
        <v>0.56089069993067886</v>
      </c>
      <c r="M129" s="93">
        <f>投放验证!AF129</f>
        <v>0</v>
      </c>
      <c r="N129" s="93">
        <f>投放验证!AG129</f>
        <v>0</v>
      </c>
      <c r="O129" s="94"/>
      <c r="P129" s="93">
        <v>1</v>
      </c>
      <c r="Q129" s="93">
        <v>1</v>
      </c>
      <c r="R129" s="93">
        <v>1</v>
      </c>
      <c r="S129" s="93">
        <v>0</v>
      </c>
      <c r="T129" s="134"/>
      <c r="U129" s="160">
        <f t="shared" si="32"/>
        <v>0</v>
      </c>
      <c r="V129" s="160">
        <f t="shared" si="33"/>
        <v>4</v>
      </c>
      <c r="W129" s="160">
        <f t="shared" si="34"/>
        <v>2</v>
      </c>
      <c r="X129" s="161">
        <f t="shared" si="35"/>
        <v>0</v>
      </c>
      <c r="Y129" s="58"/>
      <c r="Z129" s="160">
        <f t="shared" si="36"/>
        <v>3</v>
      </c>
      <c r="AA129" s="160">
        <f t="shared" si="37"/>
        <v>4</v>
      </c>
      <c r="AB129" s="160">
        <f t="shared" si="38"/>
        <v>2</v>
      </c>
      <c r="AC129" s="161">
        <f t="shared" si="39"/>
        <v>0</v>
      </c>
      <c r="AD129" s="134"/>
      <c r="AE129" s="135"/>
      <c r="AF129" s="135"/>
      <c r="AG129" s="135"/>
      <c r="AH129" s="135"/>
    </row>
    <row r="130" spans="3:34" x14ac:dyDescent="0.15">
      <c r="C130" s="30">
        <v>50</v>
      </c>
      <c r="D130" s="94">
        <f>求节点(节奏总纲!$O$4:$O$163,节奏总纲!T$4:T$163,C130)</f>
        <v>9.1883999999999997</v>
      </c>
      <c r="E130" s="58"/>
      <c r="F130" s="58">
        <f>ROUND(MIN(投放验证!Y130,SUM(投放验证!E$8:E$9)),0)</f>
        <v>4</v>
      </c>
      <c r="G130" s="58">
        <f>ROUND(MIN(投放验证!Z130,SUM(投放验证!F$8:F$9)),0)</f>
        <v>5</v>
      </c>
      <c r="H130" s="58">
        <f>ROUND(MIN(投放验证!AA130,SUM(投放验证!G$8:G$9)),0)</f>
        <v>6</v>
      </c>
      <c r="I130" s="58">
        <f>ROUND(MIN(投放验证!AB130,SUM(投放验证!H$8:H$9)),0)</f>
        <v>1</v>
      </c>
      <c r="J130" s="94"/>
      <c r="K130" s="93">
        <f>投放验证!AD130</f>
        <v>3.4858201653155803</v>
      </c>
      <c r="L130" s="93">
        <f>投放验证!AE130</f>
        <v>2.0165831435744099</v>
      </c>
      <c r="M130" s="93">
        <f>投放验证!AF130</f>
        <v>0</v>
      </c>
      <c r="N130" s="93">
        <f>投放验证!AG130</f>
        <v>0.27970557760652515</v>
      </c>
      <c r="O130" s="94"/>
      <c r="P130" s="93">
        <v>1</v>
      </c>
      <c r="Q130" s="93">
        <v>1</v>
      </c>
      <c r="R130" s="93">
        <v>1</v>
      </c>
      <c r="S130" s="93">
        <v>0.5</v>
      </c>
      <c r="T130" s="134"/>
      <c r="U130" s="160">
        <f t="shared" si="32"/>
        <v>0</v>
      </c>
      <c r="V130" s="160">
        <f t="shared" si="33"/>
        <v>0</v>
      </c>
      <c r="W130" s="160">
        <f t="shared" si="34"/>
        <v>5</v>
      </c>
      <c r="X130" s="161">
        <f t="shared" si="35"/>
        <v>1</v>
      </c>
      <c r="Y130" s="58"/>
      <c r="Z130" s="160">
        <f t="shared" si="36"/>
        <v>3</v>
      </c>
      <c r="AA130" s="160">
        <f t="shared" si="37"/>
        <v>4</v>
      </c>
      <c r="AB130" s="160">
        <f t="shared" si="38"/>
        <v>5</v>
      </c>
      <c r="AC130" s="161">
        <f t="shared" si="39"/>
        <v>1</v>
      </c>
      <c r="AD130" s="134"/>
      <c r="AE130" s="135"/>
      <c r="AF130" s="135"/>
      <c r="AG130" s="135"/>
      <c r="AH130" s="135"/>
    </row>
    <row r="131" spans="3:34" x14ac:dyDescent="0.15">
      <c r="C131" s="30">
        <v>60</v>
      </c>
      <c r="D131" s="94">
        <f>求节点(节奏总纲!$O$4:$O$163,节奏总纲!T$4:T$163,C131)</f>
        <v>18.276300000000003</v>
      </c>
      <c r="E131" s="58"/>
      <c r="F131" s="58">
        <f>ROUND(MIN(投放验证!Y131,SUM(投放验证!E$8:E$9)),0)</f>
        <v>4</v>
      </c>
      <c r="G131" s="58">
        <f>ROUND(MIN(投放验证!Z131,SUM(投放验证!F$8:F$9)),0)</f>
        <v>5</v>
      </c>
      <c r="H131" s="58">
        <f>ROUND(MIN(投放验证!AA131,SUM(投放验证!G$8:G$9)),0)</f>
        <v>25</v>
      </c>
      <c r="I131" s="58">
        <f>ROUND(MIN(投放验证!AB131,SUM(投放验证!H$8:H$9)),0)</f>
        <v>1</v>
      </c>
      <c r="J131" s="94"/>
      <c r="K131" s="93">
        <f>投放验证!AD131</f>
        <v>5</v>
      </c>
      <c r="L131" s="93">
        <f>投放验证!AE131</f>
        <v>4.1078789198646088</v>
      </c>
      <c r="M131" s="93">
        <f>投放验证!AF131</f>
        <v>1.8006862450268724E-2</v>
      </c>
      <c r="N131" s="93">
        <f>投放验证!AG131</f>
        <v>3.8631443006413808</v>
      </c>
      <c r="O131" s="94"/>
      <c r="P131" s="93">
        <v>1</v>
      </c>
      <c r="Q131" s="93">
        <v>1</v>
      </c>
      <c r="R131" s="93">
        <v>1</v>
      </c>
      <c r="S131" s="93">
        <v>1</v>
      </c>
      <c r="T131" s="134"/>
      <c r="U131" s="160">
        <f t="shared" si="32"/>
        <v>0</v>
      </c>
      <c r="V131" s="160">
        <f t="shared" si="33"/>
        <v>0</v>
      </c>
      <c r="W131" s="160">
        <f t="shared" si="34"/>
        <v>2.1368556993586192</v>
      </c>
      <c r="X131" s="161">
        <f t="shared" si="35"/>
        <v>3.8631443006413808</v>
      </c>
      <c r="Y131" s="58"/>
      <c r="Z131" s="160">
        <f t="shared" si="36"/>
        <v>3</v>
      </c>
      <c r="AA131" s="160">
        <f t="shared" si="37"/>
        <v>4</v>
      </c>
      <c r="AB131" s="160">
        <f t="shared" si="38"/>
        <v>5</v>
      </c>
      <c r="AC131" s="161">
        <f t="shared" si="39"/>
        <v>3.8631443006413808</v>
      </c>
      <c r="AD131" s="134"/>
      <c r="AE131" s="135"/>
      <c r="AF131" s="135"/>
      <c r="AG131" s="135"/>
      <c r="AH131" s="135"/>
    </row>
    <row r="132" spans="3:34" x14ac:dyDescent="0.15">
      <c r="C132" s="30">
        <v>70</v>
      </c>
      <c r="D132" s="94">
        <f>求节点(节奏总纲!$O$4:$O$163,节奏总纲!T$4:T$163,C132)</f>
        <v>36.4998</v>
      </c>
      <c r="E132" s="58"/>
      <c r="F132" s="58">
        <f>ROUND(MIN(投放验证!Y132,SUM(投放验证!E$8:E$9)),0)</f>
        <v>4</v>
      </c>
      <c r="G132" s="58">
        <f>ROUND(MIN(投放验证!Z132,SUM(投放验证!F$8:F$9)),0)</f>
        <v>5</v>
      </c>
      <c r="H132" s="58">
        <f>ROUND(MIN(投放验证!AA132,SUM(投放验证!G$8:G$9)),0)</f>
        <v>25</v>
      </c>
      <c r="I132" s="58">
        <f>ROUND(MIN(投放验证!AB132,SUM(投放验证!H$8:H$9)),0)</f>
        <v>1</v>
      </c>
      <c r="J132" s="94"/>
      <c r="K132" s="93">
        <f>投放验证!AD132</f>
        <v>5</v>
      </c>
      <c r="L132" s="93">
        <f>投放验证!AE132</f>
        <v>5</v>
      </c>
      <c r="M132" s="93">
        <f>投放验证!AF132</f>
        <v>2.3809102802752102</v>
      </c>
      <c r="N132" s="93">
        <f>投放验证!AG132</f>
        <v>5</v>
      </c>
      <c r="O132" s="94"/>
      <c r="P132" s="93">
        <v>1</v>
      </c>
      <c r="Q132" s="93">
        <v>1</v>
      </c>
      <c r="R132" s="93">
        <v>1</v>
      </c>
      <c r="S132" s="134">
        <v>1</v>
      </c>
      <c r="T132" s="134"/>
      <c r="U132" s="160">
        <f t="shared" si="32"/>
        <v>0</v>
      </c>
      <c r="V132" s="160">
        <f t="shared" si="33"/>
        <v>0</v>
      </c>
      <c r="W132" s="160">
        <f t="shared" si="34"/>
        <v>1</v>
      </c>
      <c r="X132" s="161">
        <f t="shared" si="35"/>
        <v>5</v>
      </c>
      <c r="Y132" s="58"/>
      <c r="Z132" s="160">
        <f t="shared" si="36"/>
        <v>3</v>
      </c>
      <c r="AA132" s="160">
        <f t="shared" si="37"/>
        <v>4</v>
      </c>
      <c r="AB132" s="160">
        <f t="shared" si="38"/>
        <v>5</v>
      </c>
      <c r="AC132" s="161">
        <f t="shared" si="39"/>
        <v>5</v>
      </c>
      <c r="AD132" s="134"/>
      <c r="AE132" s="135"/>
      <c r="AF132" s="135"/>
      <c r="AG132" s="135"/>
      <c r="AH132" s="135"/>
    </row>
    <row r="133" spans="3:34" x14ac:dyDescent="0.15">
      <c r="C133" s="30">
        <v>80</v>
      </c>
      <c r="D133" s="94">
        <f>求节点(节奏总纲!$O$4:$O$163,节奏总纲!T$4:T$163,C133)</f>
        <v>72.777000000000001</v>
      </c>
      <c r="E133" s="58"/>
      <c r="F133" s="58">
        <f>ROUND(MIN(投放验证!Y133,SUM(投放验证!E$8:E$9)),0)</f>
        <v>4</v>
      </c>
      <c r="G133" s="58">
        <f>ROUND(MIN(投放验证!Z133,SUM(投放验证!F$8:F$9)),0)</f>
        <v>5</v>
      </c>
      <c r="H133" s="58">
        <f>ROUND(MIN(投放验证!AA133,SUM(投放验证!G$8:G$9)),0)</f>
        <v>25</v>
      </c>
      <c r="I133" s="58">
        <f>ROUND(MIN(投放验证!AB133,SUM(投放验证!H$8:H$9)),0)</f>
        <v>1</v>
      </c>
      <c r="J133" s="94"/>
      <c r="K133" s="93">
        <f>投放验证!AD133</f>
        <v>5</v>
      </c>
      <c r="L133" s="93">
        <f>投放验证!AE133</f>
        <v>5</v>
      </c>
      <c r="M133" s="93">
        <f>投放验证!AF133</f>
        <v>3.5837108587853237</v>
      </c>
      <c r="N133" s="93">
        <f>投放验证!AG133</f>
        <v>5</v>
      </c>
      <c r="O133" s="94"/>
      <c r="P133" s="93">
        <v>1</v>
      </c>
      <c r="Q133" s="93">
        <v>1</v>
      </c>
      <c r="R133" s="93">
        <v>1</v>
      </c>
      <c r="S133" s="134">
        <v>1</v>
      </c>
      <c r="T133" s="134"/>
      <c r="U133" s="160">
        <f t="shared" si="32"/>
        <v>0</v>
      </c>
      <c r="V133" s="160">
        <f t="shared" si="33"/>
        <v>0</v>
      </c>
      <c r="W133" s="160">
        <f t="shared" si="34"/>
        <v>1</v>
      </c>
      <c r="X133" s="161">
        <f t="shared" si="35"/>
        <v>5</v>
      </c>
      <c r="Y133" s="58"/>
      <c r="Z133" s="160">
        <f t="shared" si="36"/>
        <v>3</v>
      </c>
      <c r="AA133" s="160">
        <f t="shared" si="37"/>
        <v>4</v>
      </c>
      <c r="AB133" s="160">
        <f t="shared" si="38"/>
        <v>5</v>
      </c>
      <c r="AC133" s="161">
        <f t="shared" si="39"/>
        <v>5</v>
      </c>
      <c r="AD133" s="134"/>
      <c r="AE133" s="135"/>
      <c r="AF133" s="135"/>
      <c r="AG133" s="135"/>
      <c r="AH133" s="135"/>
    </row>
    <row r="134" spans="3:34" x14ac:dyDescent="0.15">
      <c r="C134" s="30">
        <v>90</v>
      </c>
      <c r="D134" s="94">
        <f>求节点(节奏总纲!$O$4:$O$163,节奏总纲!T$4:T$163,C134)</f>
        <v>138.48100000000002</v>
      </c>
      <c r="E134" s="58"/>
      <c r="F134" s="58">
        <f>ROUND(MIN(投放验证!Y134,SUM(投放验证!E$8:E$9)),0)</f>
        <v>4</v>
      </c>
      <c r="G134" s="58">
        <f>ROUND(MIN(投放验证!Z134,SUM(投放验证!F$8:F$9)),0)</f>
        <v>5</v>
      </c>
      <c r="H134" s="58">
        <f>ROUND(MIN(投放验证!AA134,SUM(投放验证!G$8:G$9)),0)</f>
        <v>25</v>
      </c>
      <c r="I134" s="58">
        <f>ROUND(MIN(投放验证!AB134,SUM(投放验证!H$8:H$9)),0)</f>
        <v>1</v>
      </c>
      <c r="J134" s="94"/>
      <c r="K134" s="93">
        <f>投放验证!AD134</f>
        <v>5</v>
      </c>
      <c r="L134" s="93">
        <f>投放验证!AE134</f>
        <v>5</v>
      </c>
      <c r="M134" s="93">
        <f>投放验证!AF134</f>
        <v>4.584094131891101</v>
      </c>
      <c r="N134" s="93">
        <f>投放验证!AG134</f>
        <v>5</v>
      </c>
      <c r="O134" s="94"/>
      <c r="P134" s="93">
        <v>1</v>
      </c>
      <c r="Q134" s="93">
        <v>1</v>
      </c>
      <c r="R134" s="93">
        <v>1</v>
      </c>
      <c r="S134" s="134">
        <v>1</v>
      </c>
      <c r="T134" s="134"/>
      <c r="U134" s="160">
        <f t="shared" si="32"/>
        <v>0</v>
      </c>
      <c r="V134" s="160">
        <f t="shared" si="33"/>
        <v>0</v>
      </c>
      <c r="W134" s="160">
        <f t="shared" si="34"/>
        <v>1</v>
      </c>
      <c r="X134" s="161">
        <f t="shared" si="35"/>
        <v>5</v>
      </c>
      <c r="Y134" s="58"/>
      <c r="Z134" s="160">
        <f t="shared" si="36"/>
        <v>3</v>
      </c>
      <c r="AA134" s="160">
        <f t="shared" si="37"/>
        <v>4</v>
      </c>
      <c r="AB134" s="160">
        <f t="shared" si="38"/>
        <v>5</v>
      </c>
      <c r="AC134" s="161">
        <f t="shared" si="39"/>
        <v>5</v>
      </c>
      <c r="AD134" s="134"/>
      <c r="AE134" s="135"/>
      <c r="AF134" s="135"/>
      <c r="AG134" s="135"/>
      <c r="AH134" s="135"/>
    </row>
    <row r="135" spans="3:34" x14ac:dyDescent="0.15">
      <c r="C135" s="30">
        <v>100</v>
      </c>
      <c r="D135" s="94">
        <f>求节点(节奏总纲!$O$4:$O$163,节奏总纲!T$4:T$163,C135)</f>
        <v>274.16400000000004</v>
      </c>
      <c r="E135" s="58"/>
      <c r="F135" s="58">
        <f>ROUND(MIN(投放验证!Y135,SUM(投放验证!E$8:E$9)),0)</f>
        <v>4</v>
      </c>
      <c r="G135" s="58">
        <f>ROUND(MIN(投放验证!Z135,SUM(投放验证!F$8:F$9)),0)</f>
        <v>5</v>
      </c>
      <c r="H135" s="58">
        <f>ROUND(MIN(投放验证!AA135,SUM(投放验证!G$8:G$9)),0)</f>
        <v>25</v>
      </c>
      <c r="I135" s="58">
        <f>ROUND(MIN(投放验证!AB135,SUM(投放验证!H$8:H$9)),0)</f>
        <v>1</v>
      </c>
      <c r="J135" s="94"/>
      <c r="K135" s="93">
        <f>投放验证!AD135</f>
        <v>5</v>
      </c>
      <c r="L135" s="93">
        <f>投放验证!AE135</f>
        <v>5</v>
      </c>
      <c r="M135" s="93">
        <f>投放验证!AF135</f>
        <v>5</v>
      </c>
      <c r="N135" s="93">
        <f>投放验证!AG135</f>
        <v>5</v>
      </c>
      <c r="O135" s="94"/>
      <c r="P135" s="93">
        <v>1</v>
      </c>
      <c r="Q135" s="93">
        <v>1</v>
      </c>
      <c r="R135" s="93">
        <v>1</v>
      </c>
      <c r="S135" s="134">
        <v>1</v>
      </c>
      <c r="T135" s="134"/>
      <c r="U135" s="160">
        <f t="shared" si="32"/>
        <v>0</v>
      </c>
      <c r="V135" s="160">
        <f t="shared" si="33"/>
        <v>0</v>
      </c>
      <c r="W135" s="160">
        <f t="shared" si="34"/>
        <v>1</v>
      </c>
      <c r="X135" s="161">
        <f t="shared" si="35"/>
        <v>5</v>
      </c>
      <c r="Y135" s="58"/>
      <c r="Z135" s="160">
        <f t="shared" si="36"/>
        <v>3</v>
      </c>
      <c r="AA135" s="160">
        <f t="shared" si="37"/>
        <v>4</v>
      </c>
      <c r="AB135" s="160">
        <f t="shared" si="38"/>
        <v>5</v>
      </c>
      <c r="AC135" s="161">
        <f t="shared" si="39"/>
        <v>5</v>
      </c>
      <c r="AD135" s="134"/>
      <c r="AE135" s="135"/>
      <c r="AF135" s="135"/>
      <c r="AG135" s="135"/>
      <c r="AH135" s="135"/>
    </row>
    <row r="136" spans="3:34" x14ac:dyDescent="0.15">
      <c r="C136" s="30">
        <v>110</v>
      </c>
      <c r="D136" s="94">
        <f>求节点(节奏总纲!$O$4:$O$163,节奏总纲!T$4:T$163,C136)</f>
        <v>541.22680000000003</v>
      </c>
      <c r="E136" s="58"/>
      <c r="F136" s="58">
        <f>ROUND(MIN(投放验证!Y136,SUM(投放验证!E$8:E$9)),0)</f>
        <v>4</v>
      </c>
      <c r="G136" s="58">
        <f>ROUND(MIN(投放验证!Z136,SUM(投放验证!F$8:F$9)),0)</f>
        <v>5</v>
      </c>
      <c r="H136" s="58">
        <f>ROUND(MIN(投放验证!AA136,SUM(投放验证!G$8:G$9)),0)</f>
        <v>25</v>
      </c>
      <c r="I136" s="58">
        <f>ROUND(MIN(投放验证!AB136,SUM(投放验证!H$8:H$9)),0)</f>
        <v>1</v>
      </c>
      <c r="J136" s="94"/>
      <c r="K136" s="93">
        <f>投放验证!AD136</f>
        <v>5</v>
      </c>
      <c r="L136" s="93">
        <f>投放验证!AE136</f>
        <v>5</v>
      </c>
      <c r="M136" s="93">
        <f>投放验证!AF136</f>
        <v>5</v>
      </c>
      <c r="N136" s="93">
        <f>投放验证!AG136</f>
        <v>5</v>
      </c>
      <c r="O136" s="94"/>
      <c r="P136" s="93">
        <v>1</v>
      </c>
      <c r="Q136" s="93">
        <v>1</v>
      </c>
      <c r="R136" s="93">
        <v>1</v>
      </c>
      <c r="S136" s="134">
        <v>1</v>
      </c>
      <c r="T136" s="134"/>
      <c r="U136" s="160">
        <f t="shared" si="32"/>
        <v>0</v>
      </c>
      <c r="V136" s="160">
        <f t="shared" si="33"/>
        <v>0</v>
      </c>
      <c r="W136" s="160">
        <f t="shared" si="34"/>
        <v>1</v>
      </c>
      <c r="X136" s="161">
        <f t="shared" si="35"/>
        <v>5</v>
      </c>
      <c r="Y136" s="58"/>
      <c r="Z136" s="160">
        <f t="shared" si="36"/>
        <v>3</v>
      </c>
      <c r="AA136" s="160">
        <f t="shared" si="37"/>
        <v>4</v>
      </c>
      <c r="AB136" s="160">
        <f t="shared" si="38"/>
        <v>5</v>
      </c>
      <c r="AC136" s="161">
        <f t="shared" si="39"/>
        <v>5</v>
      </c>
      <c r="AD136" s="134"/>
      <c r="AE136" s="135"/>
      <c r="AF136" s="135"/>
      <c r="AG136" s="135"/>
      <c r="AH136" s="135"/>
    </row>
    <row r="137" spans="3:34" x14ac:dyDescent="0.15">
      <c r="C137" s="30">
        <v>120</v>
      </c>
      <c r="D137" s="94">
        <f>求节点(节奏总纲!$O$4:$O$163,节奏总纲!T$4:T$163,C137)</f>
        <v>1066.3380000000002</v>
      </c>
      <c r="E137" s="58"/>
      <c r="F137" s="58">
        <f>ROUND(MIN(投放验证!Y137,SUM(投放验证!E$8:E$9)),0)</f>
        <v>4</v>
      </c>
      <c r="G137" s="58">
        <f>ROUND(MIN(投放验证!Z137,SUM(投放验证!F$8:F$9)),0)</f>
        <v>5</v>
      </c>
      <c r="H137" s="58">
        <f>ROUND(MIN(投放验证!AA137,SUM(投放验证!G$8:G$9)),0)</f>
        <v>25</v>
      </c>
      <c r="I137" s="58">
        <f>ROUND(MIN(投放验证!AB137,SUM(投放验证!H$8:H$9)),0)</f>
        <v>1</v>
      </c>
      <c r="J137" s="94"/>
      <c r="K137" s="93">
        <f>投放验证!AD137</f>
        <v>5</v>
      </c>
      <c r="L137" s="93">
        <f>投放验证!AE137</f>
        <v>5</v>
      </c>
      <c r="M137" s="93">
        <f>投放验证!AF137</f>
        <v>5</v>
      </c>
      <c r="N137" s="93">
        <f>投放验证!AG137</f>
        <v>5</v>
      </c>
      <c r="O137" s="94"/>
      <c r="P137" s="93">
        <v>1</v>
      </c>
      <c r="Q137" s="93">
        <v>1</v>
      </c>
      <c r="R137" s="93">
        <v>1</v>
      </c>
      <c r="S137" s="134">
        <v>1</v>
      </c>
      <c r="T137" s="134"/>
      <c r="U137" s="160">
        <f t="shared" si="32"/>
        <v>0</v>
      </c>
      <c r="V137" s="160">
        <f t="shared" si="33"/>
        <v>0</v>
      </c>
      <c r="W137" s="160">
        <f t="shared" si="34"/>
        <v>1</v>
      </c>
      <c r="X137" s="161">
        <f t="shared" si="35"/>
        <v>5</v>
      </c>
      <c r="Y137" s="58"/>
      <c r="Z137" s="160">
        <f t="shared" si="36"/>
        <v>3</v>
      </c>
      <c r="AA137" s="160">
        <f t="shared" si="37"/>
        <v>4</v>
      </c>
      <c r="AB137" s="160">
        <f t="shared" si="38"/>
        <v>5</v>
      </c>
      <c r="AC137" s="161">
        <f t="shared" si="39"/>
        <v>5</v>
      </c>
      <c r="AD137" s="134"/>
      <c r="AE137" s="135"/>
      <c r="AF137" s="135"/>
      <c r="AG137" s="135"/>
      <c r="AH137" s="135"/>
    </row>
    <row r="138" spans="3:34" x14ac:dyDescent="0.15">
      <c r="C138" s="30">
        <v>130</v>
      </c>
      <c r="D138" s="94">
        <f>求节点(节奏总纲!$O$4:$O$163,节奏总纲!T$4:T$163,C138)</f>
        <v>2123.1071999999999</v>
      </c>
      <c r="E138" s="58"/>
      <c r="F138" s="58">
        <f>ROUND(MIN(投放验证!Y138,SUM(投放验证!E$8:E$9)),0)</f>
        <v>4</v>
      </c>
      <c r="G138" s="58">
        <f>ROUND(MIN(投放验证!Z138,SUM(投放验证!F$8:F$9)),0)</f>
        <v>5</v>
      </c>
      <c r="H138" s="58">
        <f>ROUND(MIN(投放验证!AA138,SUM(投放验证!G$8:G$9)),0)</f>
        <v>25</v>
      </c>
      <c r="I138" s="58">
        <f>ROUND(MIN(投放验证!AB138,SUM(投放验证!H$8:H$9)),0)</f>
        <v>1</v>
      </c>
      <c r="J138" s="94"/>
      <c r="K138" s="93">
        <f>投放验证!AD138</f>
        <v>5</v>
      </c>
      <c r="L138" s="93">
        <f>投放验证!AE138</f>
        <v>5</v>
      </c>
      <c r="M138" s="93">
        <f>投放验证!AF138</f>
        <v>5</v>
      </c>
      <c r="N138" s="93">
        <f>投放验证!AG138</f>
        <v>5</v>
      </c>
      <c r="O138" s="94"/>
      <c r="P138" s="93">
        <v>1</v>
      </c>
      <c r="Q138" s="93">
        <v>1</v>
      </c>
      <c r="R138" s="93">
        <v>1</v>
      </c>
      <c r="S138" s="134">
        <v>1</v>
      </c>
      <c r="T138" s="134"/>
      <c r="U138" s="160">
        <f t="shared" si="32"/>
        <v>0</v>
      </c>
      <c r="V138" s="160">
        <f t="shared" si="33"/>
        <v>0</v>
      </c>
      <c r="W138" s="160">
        <f t="shared" si="34"/>
        <v>1</v>
      </c>
      <c r="X138" s="161">
        <f t="shared" si="35"/>
        <v>5</v>
      </c>
      <c r="Y138" s="58"/>
      <c r="Z138" s="160">
        <f t="shared" si="36"/>
        <v>3</v>
      </c>
      <c r="AA138" s="160">
        <f t="shared" si="37"/>
        <v>4</v>
      </c>
      <c r="AB138" s="160">
        <f t="shared" si="38"/>
        <v>5</v>
      </c>
      <c r="AC138" s="161">
        <f t="shared" si="39"/>
        <v>5</v>
      </c>
      <c r="AD138" s="134"/>
      <c r="AE138" s="135"/>
      <c r="AF138" s="135"/>
      <c r="AG138" s="135"/>
      <c r="AH138" s="135"/>
    </row>
    <row r="139" spans="3:34" x14ac:dyDescent="0.15">
      <c r="C139" s="30">
        <v>140</v>
      </c>
      <c r="D139" s="94">
        <f>求节点(节奏总纲!$O$4:$O$163,节奏总纲!T$4:T$163,C139)</f>
        <v>4169.4735000000001</v>
      </c>
      <c r="E139" s="58"/>
      <c r="F139" s="58">
        <f>ROUND(MIN(投放验证!Y139,SUM(投放验证!E$8:E$9)),0)</f>
        <v>4</v>
      </c>
      <c r="G139" s="58">
        <f>ROUND(MIN(投放验证!Z139,SUM(投放验证!F$8:F$9)),0)</f>
        <v>5</v>
      </c>
      <c r="H139" s="58">
        <f>ROUND(MIN(投放验证!AA139,SUM(投放验证!G$8:G$9)),0)</f>
        <v>25</v>
      </c>
      <c r="I139" s="58">
        <f>ROUND(MIN(投放验证!AB139,SUM(投放验证!H$8:H$9)),0)</f>
        <v>1</v>
      </c>
      <c r="J139" s="94"/>
      <c r="K139" s="93">
        <f>投放验证!AD139</f>
        <v>5</v>
      </c>
      <c r="L139" s="93">
        <f>投放验证!AE139</f>
        <v>5</v>
      </c>
      <c r="M139" s="93">
        <f>投放验证!AF139</f>
        <v>5</v>
      </c>
      <c r="N139" s="93">
        <f>投放验证!AG139</f>
        <v>5</v>
      </c>
      <c r="O139" s="94"/>
      <c r="P139" s="93">
        <v>1</v>
      </c>
      <c r="Q139" s="93">
        <v>1</v>
      </c>
      <c r="R139" s="93">
        <v>1</v>
      </c>
      <c r="S139" s="134">
        <v>1</v>
      </c>
      <c r="T139" s="134"/>
      <c r="U139" s="160">
        <f t="shared" si="32"/>
        <v>0</v>
      </c>
      <c r="V139" s="160">
        <f t="shared" si="33"/>
        <v>0</v>
      </c>
      <c r="W139" s="160">
        <f t="shared" si="34"/>
        <v>1</v>
      </c>
      <c r="X139" s="161">
        <f t="shared" si="35"/>
        <v>5</v>
      </c>
      <c r="Y139" s="58"/>
      <c r="Z139" s="160">
        <f t="shared" si="36"/>
        <v>3</v>
      </c>
      <c r="AA139" s="160">
        <f t="shared" si="37"/>
        <v>4</v>
      </c>
      <c r="AB139" s="160">
        <f t="shared" si="38"/>
        <v>5</v>
      </c>
      <c r="AC139" s="161">
        <f t="shared" si="39"/>
        <v>5</v>
      </c>
      <c r="AD139" s="134"/>
      <c r="AE139" s="135"/>
      <c r="AF139" s="135"/>
      <c r="AG139" s="135"/>
      <c r="AH139" s="135"/>
    </row>
    <row r="140" spans="3:34" x14ac:dyDescent="0.15">
      <c r="C140" s="30">
        <v>150</v>
      </c>
      <c r="D140" s="94">
        <f>求节点(节奏总纲!$O$4:$O$163,节奏总纲!T$4:T$163,C140)</f>
        <v>8355.5850000000009</v>
      </c>
      <c r="E140" s="58"/>
      <c r="F140" s="58">
        <f>ROUND(MIN(投放验证!Y140,SUM(投放验证!E$8:E$9)),0)</f>
        <v>4</v>
      </c>
      <c r="G140" s="58">
        <f>ROUND(MIN(投放验证!Z140,SUM(投放验证!F$8:F$9)),0)</f>
        <v>5</v>
      </c>
      <c r="H140" s="58">
        <f>ROUND(MIN(投放验证!AA140,SUM(投放验证!G$8:G$9)),0)</f>
        <v>25</v>
      </c>
      <c r="I140" s="58">
        <f>ROUND(MIN(投放验证!AB140,SUM(投放验证!H$8:H$9)),0)</f>
        <v>1</v>
      </c>
      <c r="J140" s="94"/>
      <c r="K140" s="93">
        <f>投放验证!AD140</f>
        <v>5</v>
      </c>
      <c r="L140" s="93">
        <f>投放验证!AE140</f>
        <v>5</v>
      </c>
      <c r="M140" s="93">
        <f>投放验证!AF140</f>
        <v>5</v>
      </c>
      <c r="N140" s="93">
        <f>投放验证!AG140</f>
        <v>5</v>
      </c>
      <c r="O140" s="94"/>
      <c r="P140" s="93">
        <v>1</v>
      </c>
      <c r="Q140" s="93">
        <v>1</v>
      </c>
      <c r="R140" s="93">
        <v>1</v>
      </c>
      <c r="S140" s="134">
        <v>1</v>
      </c>
      <c r="T140" s="134"/>
      <c r="U140" s="160">
        <f t="shared" si="32"/>
        <v>0</v>
      </c>
      <c r="V140" s="160">
        <f t="shared" si="33"/>
        <v>0</v>
      </c>
      <c r="W140" s="160">
        <f t="shared" si="34"/>
        <v>1</v>
      </c>
      <c r="X140" s="161">
        <f t="shared" si="35"/>
        <v>5</v>
      </c>
      <c r="Y140" s="58"/>
      <c r="Z140" s="160">
        <f t="shared" si="36"/>
        <v>3</v>
      </c>
      <c r="AA140" s="160">
        <f t="shared" si="37"/>
        <v>4</v>
      </c>
      <c r="AB140" s="160">
        <f t="shared" si="38"/>
        <v>5</v>
      </c>
      <c r="AC140" s="161">
        <f t="shared" si="39"/>
        <v>5</v>
      </c>
      <c r="AD140" s="134"/>
      <c r="AE140" s="135"/>
      <c r="AF140" s="135"/>
      <c r="AG140" s="135"/>
      <c r="AH140" s="135"/>
    </row>
    <row r="141" spans="3:34" x14ac:dyDescent="0.15">
      <c r="C141" s="30">
        <v>160</v>
      </c>
      <c r="D141" s="94">
        <f>求节点(节奏总纲!$O$4:$O$163,节奏总纲!T$4:T$163,C141)</f>
        <v>66190.350000000006</v>
      </c>
      <c r="E141" s="58"/>
      <c r="F141" s="58">
        <f>ROUND(MIN(投放验证!Y141,SUM(投放验证!E$8:E$9)),0)</f>
        <v>4</v>
      </c>
      <c r="G141" s="58">
        <f>ROUND(MIN(投放验证!Z141,SUM(投放验证!F$8:F$9)),0)</f>
        <v>5</v>
      </c>
      <c r="H141" s="58">
        <f>ROUND(MIN(投放验证!AA141,SUM(投放验证!G$8:G$9)),0)</f>
        <v>25</v>
      </c>
      <c r="I141" s="58">
        <f>ROUND(MIN(投放验证!AB141,SUM(投放验证!H$8:H$9)),0)</f>
        <v>1</v>
      </c>
      <c r="J141" s="94"/>
      <c r="K141" s="93">
        <f>投放验证!AD141</f>
        <v>5</v>
      </c>
      <c r="L141" s="93">
        <f>投放验证!AE141</f>
        <v>5</v>
      </c>
      <c r="M141" s="93">
        <f>投放验证!AF141</f>
        <v>5</v>
      </c>
      <c r="N141" s="93">
        <f>投放验证!AG141</f>
        <v>5</v>
      </c>
      <c r="O141" s="94"/>
      <c r="P141" s="93">
        <v>1</v>
      </c>
      <c r="Q141" s="93">
        <v>1</v>
      </c>
      <c r="R141" s="93">
        <v>1</v>
      </c>
      <c r="S141" s="134">
        <v>1</v>
      </c>
      <c r="T141" s="134"/>
      <c r="U141" s="160">
        <f t="shared" si="32"/>
        <v>0</v>
      </c>
      <c r="V141" s="160">
        <f t="shared" si="33"/>
        <v>0</v>
      </c>
      <c r="W141" s="160">
        <f t="shared" si="34"/>
        <v>1</v>
      </c>
      <c r="X141" s="161">
        <f t="shared" si="35"/>
        <v>5</v>
      </c>
      <c r="Y141" s="58"/>
      <c r="Z141" s="160">
        <f t="shared" si="36"/>
        <v>3</v>
      </c>
      <c r="AA141" s="160">
        <f t="shared" si="37"/>
        <v>4</v>
      </c>
      <c r="AB141" s="160">
        <f t="shared" si="38"/>
        <v>5</v>
      </c>
      <c r="AC141" s="161">
        <f t="shared" si="39"/>
        <v>5</v>
      </c>
      <c r="AD141" s="134"/>
      <c r="AE141" s="135"/>
      <c r="AF141" s="135"/>
      <c r="AG141" s="135"/>
      <c r="AH141" s="135"/>
    </row>
  </sheetData>
  <mergeCells count="35">
    <mergeCell ref="T15:X15"/>
    <mergeCell ref="T41:X41"/>
    <mergeCell ref="T67:X67"/>
    <mergeCell ref="T93:X93"/>
    <mergeCell ref="T119:X119"/>
    <mergeCell ref="O15:S15"/>
    <mergeCell ref="O41:S41"/>
    <mergeCell ref="O67:S67"/>
    <mergeCell ref="O93:S93"/>
    <mergeCell ref="O119:S119"/>
    <mergeCell ref="E15:I15"/>
    <mergeCell ref="E41:I41"/>
    <mergeCell ref="E67:I67"/>
    <mergeCell ref="E93:I93"/>
    <mergeCell ref="E119:I119"/>
    <mergeCell ref="Y15:AC15"/>
    <mergeCell ref="Y41:AC41"/>
    <mergeCell ref="Y67:AC67"/>
    <mergeCell ref="Y93:AC93"/>
    <mergeCell ref="Y119:AC119"/>
    <mergeCell ref="C15:D15"/>
    <mergeCell ref="C41:D41"/>
    <mergeCell ref="C67:D67"/>
    <mergeCell ref="C93:D93"/>
    <mergeCell ref="C119:D119"/>
    <mergeCell ref="J15:N15"/>
    <mergeCell ref="J41:N41"/>
    <mergeCell ref="J67:N67"/>
    <mergeCell ref="J93:N93"/>
    <mergeCell ref="J119:N119"/>
    <mergeCell ref="AD15:AH15"/>
    <mergeCell ref="AD41:AH41"/>
    <mergeCell ref="AD67:AH67"/>
    <mergeCell ref="AD93:AH93"/>
    <mergeCell ref="AD119:AH11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9A455-4C67-4E96-B304-A3A6B2137337}">
  <sheetPr codeName="Sheet11"/>
  <dimension ref="B4:AD165"/>
  <sheetViews>
    <sheetView workbookViewId="0">
      <selection activeCell="W10" sqref="W10"/>
    </sheetView>
  </sheetViews>
  <sheetFormatPr defaultRowHeight="11.25" x14ac:dyDescent="0.15"/>
  <cols>
    <col min="1" max="1" width="9" style="12"/>
    <col min="2" max="8" width="9" style="61"/>
    <col min="9" max="10" width="9" style="12"/>
    <col min="11" max="11" width="9" style="64"/>
    <col min="12" max="13" width="9" style="12"/>
    <col min="14" max="14" width="9" style="52"/>
    <col min="15" max="15" width="9" style="57"/>
    <col min="16" max="16" width="9.25" style="57" bestFit="1" customWidth="1"/>
    <col min="17" max="17" width="9.75" style="57" bestFit="1" customWidth="1"/>
    <col min="18" max="18" width="11.375" style="57" bestFit="1" customWidth="1"/>
    <col min="19" max="19" width="9" style="57"/>
    <col min="20" max="29" width="9" style="12"/>
    <col min="30" max="30" width="9" style="64"/>
    <col min="31" max="16384" width="9" style="12"/>
  </cols>
  <sheetData>
    <row r="4" spans="2:27" x14ac:dyDescent="0.15">
      <c r="B4" s="146" t="s">
        <v>246</v>
      </c>
      <c r="C4" s="50" t="s">
        <v>247</v>
      </c>
      <c r="D4" s="50" t="s">
        <v>25</v>
      </c>
      <c r="E4" s="50" t="s">
        <v>1</v>
      </c>
      <c r="F4" s="50" t="s">
        <v>2</v>
      </c>
      <c r="G4" s="50" t="s">
        <v>0</v>
      </c>
      <c r="H4" s="50" t="s">
        <v>217</v>
      </c>
      <c r="W4" s="138" t="s">
        <v>292</v>
      </c>
      <c r="X4" s="138"/>
      <c r="Y4" s="138"/>
      <c r="Z4" s="138"/>
      <c r="AA4" s="138"/>
    </row>
    <row r="5" spans="2:27" x14ac:dyDescent="0.15">
      <c r="B5" s="147"/>
      <c r="C5" s="50">
        <v>0</v>
      </c>
      <c r="D5" s="50"/>
      <c r="E5" s="50">
        <v>1</v>
      </c>
      <c r="F5" s="50">
        <v>1</v>
      </c>
      <c r="G5" s="50">
        <v>1</v>
      </c>
      <c r="H5" s="50">
        <v>1</v>
      </c>
      <c r="V5" s="12" t="s">
        <v>161</v>
      </c>
      <c r="W5" s="12" t="s">
        <v>287</v>
      </c>
      <c r="X5" s="12" t="s">
        <v>288</v>
      </c>
      <c r="Y5" s="12" t="s">
        <v>289</v>
      </c>
      <c r="Z5" s="12" t="s">
        <v>290</v>
      </c>
      <c r="AA5" s="12" t="s">
        <v>291</v>
      </c>
    </row>
    <row r="6" spans="2:27" x14ac:dyDescent="0.15">
      <c r="B6" s="147"/>
      <c r="C6" s="50">
        <v>1</v>
      </c>
      <c r="D6" s="50"/>
      <c r="E6" s="50">
        <v>1</v>
      </c>
      <c r="F6" s="114">
        <v>1</v>
      </c>
      <c r="G6" s="114">
        <v>1</v>
      </c>
      <c r="H6" s="114">
        <v>1</v>
      </c>
      <c r="V6" s="12">
        <v>1</v>
      </c>
      <c r="W6" s="12">
        <f>求节点($N$17:$N$37,$T$17:$T$37,$V6)</f>
        <v>0</v>
      </c>
      <c r="X6" s="12">
        <f>求节点($N$43:$N$63,$T$43:$T$63,$V6)</f>
        <v>0</v>
      </c>
      <c r="Y6" s="12">
        <f>求节点($N$69:$N$89,$T$69:$T$89,$V6)</f>
        <v>0</v>
      </c>
      <c r="Z6" s="12">
        <f>求节点($N$95:$N$115,$T$95:$T$115,$V6)</f>
        <v>0</v>
      </c>
      <c r="AA6" s="12">
        <f>求节点($N$121:$N$141,$T$121:$T$141,$V6)</f>
        <v>0</v>
      </c>
    </row>
    <row r="7" spans="2:27" x14ac:dyDescent="0.15">
      <c r="B7" s="147"/>
      <c r="C7" s="50">
        <v>2</v>
      </c>
      <c r="D7" s="50"/>
      <c r="E7" s="50">
        <v>2</v>
      </c>
      <c r="F7" s="114">
        <v>2</v>
      </c>
      <c r="G7" s="114">
        <v>1</v>
      </c>
      <c r="H7" s="114">
        <v>1</v>
      </c>
      <c r="V7" s="12">
        <v>2</v>
      </c>
      <c r="W7" s="12">
        <f t="shared" ref="W7:W70" si="0">求节点($N$17:$N$37,$T$17:$T$37,$V7)</f>
        <v>0</v>
      </c>
      <c r="X7" s="12">
        <f t="shared" ref="X7:X70" si="1">求节点($N$43:$N$63,$T$43:$T$63,$V7)</f>
        <v>0</v>
      </c>
      <c r="Y7" s="12">
        <f t="shared" ref="Y7:Y70" si="2">求节点($N$69:$N$89,$T$69:$T$89,$V7)</f>
        <v>0</v>
      </c>
      <c r="Z7" s="12">
        <f t="shared" ref="Z7:Z70" si="3">求节点($N$95:$N$115,$T$95:$T$115,$V7)</f>
        <v>0</v>
      </c>
      <c r="AA7" s="12">
        <f t="shared" ref="AA7:AA70" si="4">求节点($N$121:$N$141,$T$121:$T$141,$V7)</f>
        <v>0</v>
      </c>
    </row>
    <row r="8" spans="2:27" x14ac:dyDescent="0.15">
      <c r="B8" s="147"/>
      <c r="C8" s="50">
        <v>3</v>
      </c>
      <c r="D8" s="50"/>
      <c r="E8" s="50">
        <v>4</v>
      </c>
      <c r="F8" s="114">
        <v>4</v>
      </c>
      <c r="G8" s="114">
        <v>2</v>
      </c>
      <c r="H8" s="114">
        <v>1</v>
      </c>
      <c r="V8" s="12">
        <v>3</v>
      </c>
      <c r="W8" s="12">
        <f t="shared" si="0"/>
        <v>0</v>
      </c>
      <c r="X8" s="12">
        <f t="shared" si="1"/>
        <v>0</v>
      </c>
      <c r="Y8" s="12">
        <f t="shared" si="2"/>
        <v>0</v>
      </c>
      <c r="Z8" s="12">
        <f t="shared" si="3"/>
        <v>0</v>
      </c>
      <c r="AA8" s="12">
        <f t="shared" si="4"/>
        <v>0</v>
      </c>
    </row>
    <row r="9" spans="2:27" x14ac:dyDescent="0.15">
      <c r="B9" s="147"/>
      <c r="C9" s="50">
        <v>4</v>
      </c>
      <c r="D9" s="50"/>
      <c r="E9" s="50">
        <v>8</v>
      </c>
      <c r="F9" s="114">
        <v>8</v>
      </c>
      <c r="G9" s="114">
        <v>4</v>
      </c>
      <c r="H9" s="114">
        <v>2</v>
      </c>
      <c r="V9" s="12">
        <v>4</v>
      </c>
      <c r="W9" s="12">
        <f t="shared" si="0"/>
        <v>0</v>
      </c>
      <c r="X9" s="12">
        <f t="shared" si="1"/>
        <v>0</v>
      </c>
      <c r="Y9" s="12">
        <f t="shared" si="2"/>
        <v>0</v>
      </c>
      <c r="Z9" s="12">
        <f t="shared" si="3"/>
        <v>0</v>
      </c>
      <c r="AA9" s="12">
        <f t="shared" si="4"/>
        <v>0</v>
      </c>
    </row>
    <row r="10" spans="2:27" x14ac:dyDescent="0.15">
      <c r="B10" s="147"/>
      <c r="C10" s="50">
        <v>5</v>
      </c>
      <c r="D10" s="50"/>
      <c r="E10" s="50">
        <v>16</v>
      </c>
      <c r="F10" s="114">
        <v>16</v>
      </c>
      <c r="G10" s="114">
        <v>8</v>
      </c>
      <c r="H10" s="114">
        <v>4</v>
      </c>
      <c r="V10" s="12">
        <v>5</v>
      </c>
      <c r="W10" s="12">
        <f t="shared" si="0"/>
        <v>0</v>
      </c>
      <c r="X10" s="12">
        <f t="shared" si="1"/>
        <v>0</v>
      </c>
      <c r="Y10" s="12">
        <f t="shared" si="2"/>
        <v>0</v>
      </c>
      <c r="Z10" s="12">
        <f t="shared" si="3"/>
        <v>0</v>
      </c>
      <c r="AA10" s="12">
        <f t="shared" si="4"/>
        <v>0</v>
      </c>
    </row>
    <row r="11" spans="2:27" x14ac:dyDescent="0.15">
      <c r="B11" s="147"/>
      <c r="C11" s="50"/>
      <c r="D11" s="50"/>
      <c r="E11" s="50"/>
      <c r="F11" s="50"/>
      <c r="G11" s="50"/>
      <c r="H11" s="50"/>
      <c r="V11" s="12">
        <v>6</v>
      </c>
      <c r="W11" s="12">
        <f t="shared" si="0"/>
        <v>0</v>
      </c>
      <c r="X11" s="12">
        <f t="shared" si="1"/>
        <v>0</v>
      </c>
      <c r="Y11" s="12">
        <f t="shared" si="2"/>
        <v>0</v>
      </c>
      <c r="Z11" s="12">
        <f t="shared" si="3"/>
        <v>0</v>
      </c>
      <c r="AA11" s="12">
        <f t="shared" si="4"/>
        <v>0</v>
      </c>
    </row>
    <row r="12" spans="2:27" x14ac:dyDescent="0.15">
      <c r="B12" s="147"/>
      <c r="C12" s="50"/>
      <c r="D12" s="50"/>
      <c r="E12" s="50"/>
      <c r="F12" s="50"/>
      <c r="G12" s="50"/>
      <c r="H12" s="50"/>
      <c r="N12" s="36"/>
      <c r="V12" s="12">
        <v>7</v>
      </c>
      <c r="W12" s="12">
        <f t="shared" si="0"/>
        <v>0</v>
      </c>
      <c r="X12" s="12">
        <f t="shared" si="1"/>
        <v>0</v>
      </c>
      <c r="Y12" s="12">
        <f t="shared" si="2"/>
        <v>0</v>
      </c>
      <c r="Z12" s="12">
        <f t="shared" si="3"/>
        <v>0</v>
      </c>
      <c r="AA12" s="12">
        <f t="shared" si="4"/>
        <v>0</v>
      </c>
    </row>
    <row r="13" spans="2:27" x14ac:dyDescent="0.15">
      <c r="B13" s="148"/>
      <c r="C13" s="50"/>
      <c r="D13" s="50"/>
      <c r="E13" s="50"/>
      <c r="F13" s="50"/>
      <c r="G13" s="50"/>
      <c r="H13" s="50"/>
      <c r="V13" s="12">
        <v>8</v>
      </c>
      <c r="W13" s="12">
        <f t="shared" si="0"/>
        <v>0</v>
      </c>
      <c r="X13" s="12">
        <f t="shared" si="1"/>
        <v>0</v>
      </c>
      <c r="Y13" s="12">
        <f t="shared" si="2"/>
        <v>0</v>
      </c>
      <c r="Z13" s="12">
        <f t="shared" si="3"/>
        <v>0</v>
      </c>
      <c r="AA13" s="12">
        <f t="shared" si="4"/>
        <v>0</v>
      </c>
    </row>
    <row r="14" spans="2:27" x14ac:dyDescent="0.15">
      <c r="B14" s="143" t="s">
        <v>248</v>
      </c>
      <c r="C14" s="143"/>
      <c r="D14" s="50">
        <f>COUNTA(D6:D13)</f>
        <v>0</v>
      </c>
      <c r="E14" s="50">
        <f>COUNTA(E6:E13)</f>
        <v>5</v>
      </c>
      <c r="F14" s="50">
        <f>COUNTA(F6:F13)</f>
        <v>5</v>
      </c>
      <c r="G14" s="50">
        <f>COUNTA(G6:G13)</f>
        <v>5</v>
      </c>
      <c r="H14" s="50">
        <f>COUNTA(H6:H13)</f>
        <v>5</v>
      </c>
      <c r="V14" s="12">
        <v>9</v>
      </c>
      <c r="W14" s="12">
        <f t="shared" si="0"/>
        <v>0</v>
      </c>
      <c r="X14" s="12">
        <f t="shared" si="1"/>
        <v>0</v>
      </c>
      <c r="Y14" s="12">
        <f t="shared" si="2"/>
        <v>0</v>
      </c>
      <c r="Z14" s="12">
        <f t="shared" si="3"/>
        <v>0</v>
      </c>
      <c r="AA14" s="12">
        <f t="shared" si="4"/>
        <v>0</v>
      </c>
    </row>
    <row r="15" spans="2:27" x14ac:dyDescent="0.15">
      <c r="N15" s="59" t="s">
        <v>279</v>
      </c>
      <c r="O15" s="142" t="s">
        <v>284</v>
      </c>
      <c r="P15" s="142"/>
      <c r="Q15" s="142"/>
      <c r="R15" s="142"/>
      <c r="S15" s="142"/>
      <c r="V15" s="12">
        <v>10</v>
      </c>
      <c r="W15" s="12">
        <f t="shared" si="0"/>
        <v>0</v>
      </c>
      <c r="X15" s="12">
        <f t="shared" si="1"/>
        <v>0</v>
      </c>
      <c r="Y15" s="12">
        <f t="shared" si="2"/>
        <v>0</v>
      </c>
      <c r="Z15" s="12">
        <f t="shared" si="3"/>
        <v>0</v>
      </c>
      <c r="AA15" s="12">
        <f t="shared" si="4"/>
        <v>0</v>
      </c>
    </row>
    <row r="16" spans="2:27" x14ac:dyDescent="0.15">
      <c r="N16" s="53" t="s">
        <v>161</v>
      </c>
      <c r="O16" s="58" t="s">
        <v>25</v>
      </c>
      <c r="P16" s="58" t="s">
        <v>1</v>
      </c>
      <c r="Q16" s="58" t="s">
        <v>2</v>
      </c>
      <c r="R16" s="58" t="s">
        <v>0</v>
      </c>
      <c r="S16" s="58" t="s">
        <v>217</v>
      </c>
      <c r="T16" s="75" t="s">
        <v>286</v>
      </c>
      <c r="V16" s="12">
        <v>11</v>
      </c>
      <c r="W16" s="12">
        <f t="shared" si="0"/>
        <v>0</v>
      </c>
      <c r="X16" s="12">
        <f t="shared" si="1"/>
        <v>0</v>
      </c>
      <c r="Y16" s="12">
        <f t="shared" si="2"/>
        <v>0</v>
      </c>
      <c r="Z16" s="12">
        <f t="shared" si="3"/>
        <v>0</v>
      </c>
      <c r="AA16" s="12">
        <f t="shared" si="4"/>
        <v>0</v>
      </c>
    </row>
    <row r="17" spans="2:27" x14ac:dyDescent="0.15">
      <c r="N17" s="53">
        <v>5</v>
      </c>
      <c r="O17" s="58"/>
      <c r="P17" s="58">
        <f>求节点($C$49:$C$54,E$49:E$54,投放验证!AD17)</f>
        <v>0.02</v>
      </c>
      <c r="Q17" s="67">
        <f>求节点($C$49:$C$54,F$49:F$54,投放验证!AE17)</f>
        <v>0.04</v>
      </c>
      <c r="R17" s="67">
        <f>求节点($C$49:$C$54,G$49:G$54,投放验证!AF17)</f>
        <v>0.24</v>
      </c>
      <c r="S17" s="67">
        <f>求节点($C$49:$C$54,H$49:H$54,投放验证!AG17)</f>
        <v>0.33500000000000002</v>
      </c>
      <c r="T17" s="76">
        <f>SUMPRODUCT(O17:S17,基础状态预期!Y17:AC17)/6</f>
        <v>0</v>
      </c>
      <c r="V17" s="12">
        <v>12</v>
      </c>
      <c r="W17" s="12">
        <f t="shared" si="0"/>
        <v>0</v>
      </c>
      <c r="X17" s="12">
        <f t="shared" si="1"/>
        <v>0</v>
      </c>
      <c r="Y17" s="12">
        <f t="shared" si="2"/>
        <v>0</v>
      </c>
      <c r="Z17" s="12">
        <f t="shared" si="3"/>
        <v>0</v>
      </c>
      <c r="AA17" s="12">
        <f t="shared" si="4"/>
        <v>0</v>
      </c>
    </row>
    <row r="18" spans="2:27" x14ac:dyDescent="0.15">
      <c r="N18" s="53">
        <v>10</v>
      </c>
      <c r="O18" s="58"/>
      <c r="P18" s="67">
        <f>求节点($C$49:$C$54,E$49:E$54,投放验证!AD18)</f>
        <v>0.02</v>
      </c>
      <c r="Q18" s="67">
        <f>求节点($C$49:$C$54,F$49:F$54,投放验证!AE18)</f>
        <v>0.04</v>
      </c>
      <c r="R18" s="67">
        <f>求节点($C$49:$C$54,G$49:G$54,投放验证!AF18)</f>
        <v>0.24</v>
      </c>
      <c r="S18" s="67">
        <f>求节点($C$49:$C$54,H$49:H$54,投放验证!AG18)</f>
        <v>0.33500000000000002</v>
      </c>
      <c r="T18" s="75">
        <f>MAX(SUMPRODUCT(O18:S18,基础状态预期!T18:X18)/6,T17)</f>
        <v>0</v>
      </c>
      <c r="V18" s="12">
        <v>13</v>
      </c>
      <c r="W18" s="12">
        <f t="shared" si="0"/>
        <v>0</v>
      </c>
      <c r="X18" s="12">
        <f t="shared" si="1"/>
        <v>0</v>
      </c>
      <c r="Y18" s="12">
        <f t="shared" si="2"/>
        <v>0</v>
      </c>
      <c r="Z18" s="12">
        <f t="shared" si="3"/>
        <v>0</v>
      </c>
      <c r="AA18" s="12">
        <f t="shared" si="4"/>
        <v>0</v>
      </c>
    </row>
    <row r="19" spans="2:27" x14ac:dyDescent="0.15">
      <c r="N19" s="53">
        <v>15</v>
      </c>
      <c r="O19" s="58"/>
      <c r="P19" s="67">
        <f>求节点($C$49:$C$54,E$49:E$54,投放验证!AD19)</f>
        <v>0.02</v>
      </c>
      <c r="Q19" s="67">
        <f>求节点($C$49:$C$54,F$49:F$54,投放验证!AE19)</f>
        <v>0.04</v>
      </c>
      <c r="R19" s="67">
        <f>求节点($C$49:$C$54,G$49:G$54,投放验证!AF19)</f>
        <v>0.24</v>
      </c>
      <c r="S19" s="67">
        <f>求节点($C$49:$C$54,H$49:H$54,投放验证!AG19)</f>
        <v>0.33500000000000002</v>
      </c>
      <c r="T19" s="75">
        <f>MAX(SUMPRODUCT(O19:S19,基础状态预期!T19:X19)/6,T18)</f>
        <v>0</v>
      </c>
      <c r="V19" s="12">
        <v>14</v>
      </c>
      <c r="W19" s="12">
        <f t="shared" si="0"/>
        <v>0</v>
      </c>
      <c r="X19" s="12">
        <f t="shared" si="1"/>
        <v>0</v>
      </c>
      <c r="Y19" s="12">
        <f t="shared" si="2"/>
        <v>0</v>
      </c>
      <c r="Z19" s="12">
        <f t="shared" si="3"/>
        <v>0</v>
      </c>
      <c r="AA19" s="12">
        <f t="shared" si="4"/>
        <v>0</v>
      </c>
    </row>
    <row r="20" spans="2:27" x14ac:dyDescent="0.15">
      <c r="N20" s="53">
        <v>20</v>
      </c>
      <c r="O20" s="58"/>
      <c r="P20" s="67">
        <f>求节点($C$49:$C$54,E$49:E$54,投放验证!AD20)</f>
        <v>0.02</v>
      </c>
      <c r="Q20" s="67">
        <f>求节点($C$49:$C$54,F$49:F$54,投放验证!AE20)</f>
        <v>0.04</v>
      </c>
      <c r="R20" s="67">
        <f>求节点($C$49:$C$54,G$49:G$54,投放验证!AF20)</f>
        <v>0.24</v>
      </c>
      <c r="S20" s="67">
        <f>求节点($C$49:$C$54,H$49:H$54,投放验证!AG20)</f>
        <v>0.33500000000000002</v>
      </c>
      <c r="T20" s="75">
        <f>MAX(SUMPRODUCT(O20:S20,基础状态预期!T20:X20)/6,T19)</f>
        <v>0</v>
      </c>
      <c r="V20" s="12">
        <v>15</v>
      </c>
      <c r="W20" s="12">
        <f t="shared" si="0"/>
        <v>0</v>
      </c>
      <c r="X20" s="12">
        <f t="shared" si="1"/>
        <v>0</v>
      </c>
      <c r="Y20" s="12">
        <f t="shared" si="2"/>
        <v>0</v>
      </c>
      <c r="Z20" s="12">
        <f t="shared" si="3"/>
        <v>0</v>
      </c>
      <c r="AA20" s="12">
        <f t="shared" si="4"/>
        <v>0</v>
      </c>
    </row>
    <row r="21" spans="2:27" x14ac:dyDescent="0.15">
      <c r="N21" s="53">
        <v>25</v>
      </c>
      <c r="O21" s="58"/>
      <c r="P21" s="67">
        <f>求节点($C$49:$C$54,E$49:E$54,投放验证!AD21)</f>
        <v>0.02</v>
      </c>
      <c r="Q21" s="67">
        <f>求节点($C$49:$C$54,F$49:F$54,投放验证!AE21)</f>
        <v>0.04</v>
      </c>
      <c r="R21" s="67">
        <f>求节点($C$49:$C$54,G$49:G$54,投放验证!AF21)</f>
        <v>0.24</v>
      </c>
      <c r="S21" s="67">
        <f>求节点($C$49:$C$54,H$49:H$54,投放验证!AG21)</f>
        <v>0.33500000000000002</v>
      </c>
      <c r="T21" s="75">
        <f>MAX(SUMPRODUCT(O21:S21,基础状态预期!T21:X21)/6,T20)</f>
        <v>0</v>
      </c>
      <c r="V21" s="12">
        <v>16</v>
      </c>
      <c r="W21" s="12">
        <f t="shared" si="0"/>
        <v>0</v>
      </c>
      <c r="X21" s="12">
        <f t="shared" si="1"/>
        <v>0</v>
      </c>
      <c r="Y21" s="12">
        <f t="shared" si="2"/>
        <v>0</v>
      </c>
      <c r="Z21" s="12">
        <f t="shared" si="3"/>
        <v>0</v>
      </c>
      <c r="AA21" s="12">
        <f t="shared" si="4"/>
        <v>0</v>
      </c>
    </row>
    <row r="22" spans="2:27" x14ac:dyDescent="0.15">
      <c r="N22" s="53">
        <v>30</v>
      </c>
      <c r="O22" s="58"/>
      <c r="P22" s="67">
        <f>求节点($C$49:$C$54,E$49:E$54,投放验证!AD22)</f>
        <v>0.02</v>
      </c>
      <c r="Q22" s="67">
        <f>求节点($C$49:$C$54,F$49:F$54,投放验证!AE22)</f>
        <v>0.04</v>
      </c>
      <c r="R22" s="67">
        <f>求节点($C$49:$C$54,G$49:G$54,投放验证!AF22)</f>
        <v>0.24</v>
      </c>
      <c r="S22" s="67">
        <f>求节点($C$49:$C$54,H$49:H$54,投放验证!AG22)</f>
        <v>0.33500000000000002</v>
      </c>
      <c r="T22" s="75">
        <f>MAX(SUMPRODUCT(O22:S22,基础状态预期!T22:X22)/6,T21)</f>
        <v>0</v>
      </c>
      <c r="V22" s="12">
        <v>17</v>
      </c>
      <c r="W22" s="12">
        <f t="shared" si="0"/>
        <v>0</v>
      </c>
      <c r="X22" s="12">
        <f t="shared" si="1"/>
        <v>0</v>
      </c>
      <c r="Y22" s="12">
        <f t="shared" si="2"/>
        <v>0</v>
      </c>
      <c r="Z22" s="12">
        <f t="shared" si="3"/>
        <v>0</v>
      </c>
      <c r="AA22" s="12">
        <f t="shared" si="4"/>
        <v>0</v>
      </c>
    </row>
    <row r="23" spans="2:27" x14ac:dyDescent="0.15">
      <c r="N23" s="53">
        <v>35</v>
      </c>
      <c r="O23" s="58"/>
      <c r="P23" s="67">
        <f>求节点($C$49:$C$54,E$49:E$54,投放验证!AD23)</f>
        <v>0.02</v>
      </c>
      <c r="Q23" s="67">
        <f>求节点($C$49:$C$54,F$49:F$54,投放验证!AE23)</f>
        <v>0.04</v>
      </c>
      <c r="R23" s="67">
        <f>求节点($C$49:$C$54,G$49:G$54,投放验证!AF23)</f>
        <v>0.24</v>
      </c>
      <c r="S23" s="67">
        <f>求节点($C$49:$C$54,H$49:H$54,投放验证!AG23)</f>
        <v>0.33500000000000002</v>
      </c>
      <c r="T23" s="75">
        <f>MAX(SUMPRODUCT(O23:S23,基础状态预期!T23:X23)/6,T22)</f>
        <v>0</v>
      </c>
      <c r="V23" s="12">
        <v>18</v>
      </c>
      <c r="W23" s="12">
        <f t="shared" si="0"/>
        <v>0</v>
      </c>
      <c r="X23" s="12">
        <f t="shared" si="1"/>
        <v>0</v>
      </c>
      <c r="Y23" s="12">
        <f t="shared" si="2"/>
        <v>0</v>
      </c>
      <c r="Z23" s="12">
        <f t="shared" si="3"/>
        <v>0</v>
      </c>
      <c r="AA23" s="12">
        <f t="shared" si="4"/>
        <v>0</v>
      </c>
    </row>
    <row r="24" spans="2:27" x14ac:dyDescent="0.15">
      <c r="B24" s="146" t="s">
        <v>249</v>
      </c>
      <c r="C24" s="50" t="s">
        <v>247</v>
      </c>
      <c r="D24" s="50" t="s">
        <v>25</v>
      </c>
      <c r="E24" s="50" t="s">
        <v>1</v>
      </c>
      <c r="F24" s="50" t="s">
        <v>2</v>
      </c>
      <c r="G24" s="50" t="s">
        <v>0</v>
      </c>
      <c r="H24" s="50" t="s">
        <v>217</v>
      </c>
      <c r="N24" s="53">
        <v>40</v>
      </c>
      <c r="O24" s="58"/>
      <c r="P24" s="67">
        <f>求节点($C$49:$C$54,E$49:E$54,投放验证!AD24)</f>
        <v>0.02</v>
      </c>
      <c r="Q24" s="67">
        <f>求节点($C$49:$C$54,F$49:F$54,投放验证!AE24)</f>
        <v>0.04</v>
      </c>
      <c r="R24" s="67">
        <f>求节点($C$49:$C$54,G$49:G$54,投放验证!AF24)</f>
        <v>0.24</v>
      </c>
      <c r="S24" s="67">
        <f>求节点($C$49:$C$54,H$49:H$54,投放验证!AG24)</f>
        <v>0.33500000000000002</v>
      </c>
      <c r="T24" s="75">
        <f>MAX(SUMPRODUCT(O24:S24,基础状态预期!T24:X24)/6,T23)</f>
        <v>3.3333333333333335E-3</v>
      </c>
      <c r="V24" s="12">
        <v>19</v>
      </c>
      <c r="W24" s="12">
        <f t="shared" si="0"/>
        <v>0</v>
      </c>
      <c r="X24" s="12">
        <f t="shared" si="1"/>
        <v>0</v>
      </c>
      <c r="Y24" s="12">
        <f t="shared" si="2"/>
        <v>0</v>
      </c>
      <c r="Z24" s="12">
        <f t="shared" si="3"/>
        <v>0</v>
      </c>
      <c r="AA24" s="12">
        <f t="shared" si="4"/>
        <v>0</v>
      </c>
    </row>
    <row r="25" spans="2:27" x14ac:dyDescent="0.15">
      <c r="B25" s="147"/>
      <c r="C25" s="50">
        <v>0</v>
      </c>
      <c r="D25" s="60"/>
      <c r="E25" s="60">
        <v>0.01</v>
      </c>
      <c r="F25" s="60">
        <v>0.02</v>
      </c>
      <c r="G25" s="60">
        <v>0.03</v>
      </c>
      <c r="H25" s="60">
        <v>0.1</v>
      </c>
      <c r="N25" s="53">
        <v>45</v>
      </c>
      <c r="O25" s="58"/>
      <c r="P25" s="67">
        <f>求节点($C$49:$C$54,E$49:E$54,投放验证!AD25)</f>
        <v>3.6778129224648001E-2</v>
      </c>
      <c r="Q25" s="67">
        <f>求节点($C$49:$C$54,F$49:F$54,投放验证!AE25)</f>
        <v>0.04</v>
      </c>
      <c r="R25" s="67">
        <f>求节点($C$49:$C$54,G$49:G$54,投放验证!AF25)</f>
        <v>0.24</v>
      </c>
      <c r="S25" s="67">
        <f>求节点($C$49:$C$54,H$49:H$54,投放验证!AG25)</f>
        <v>0.33500000000000002</v>
      </c>
      <c r="T25" s="75">
        <f>MAX(SUMPRODUCT(O25:S25,基础状态预期!T25:X25)/6,T24)</f>
        <v>3.7852086149765339E-2</v>
      </c>
      <c r="V25" s="12">
        <v>20</v>
      </c>
      <c r="W25" s="12">
        <f t="shared" si="0"/>
        <v>0</v>
      </c>
      <c r="X25" s="12">
        <f t="shared" si="1"/>
        <v>0</v>
      </c>
      <c r="Y25" s="12">
        <f t="shared" si="2"/>
        <v>0</v>
      </c>
      <c r="Z25" s="12">
        <f t="shared" si="3"/>
        <v>0</v>
      </c>
      <c r="AA25" s="12">
        <f t="shared" si="4"/>
        <v>0</v>
      </c>
    </row>
    <row r="26" spans="2:27" x14ac:dyDescent="0.15">
      <c r="B26" s="147"/>
      <c r="C26" s="50">
        <v>1</v>
      </c>
      <c r="D26" s="60"/>
      <c r="E26" s="60">
        <v>0.02</v>
      </c>
      <c r="F26" s="60">
        <v>0.04</v>
      </c>
      <c r="G26" s="60">
        <v>0.06</v>
      </c>
      <c r="H26" s="60">
        <v>0.12</v>
      </c>
      <c r="N26" s="53">
        <v>50</v>
      </c>
      <c r="O26" s="58"/>
      <c r="P26" s="67">
        <f>求节点($C$49:$C$54,E$49:E$54,投放验证!AD26)</f>
        <v>6.3447617597135672E-2</v>
      </c>
      <c r="Q26" s="67">
        <f>求节点($C$49:$C$54,F$49:F$54,投放验证!AE26)</f>
        <v>4.2124603012628631E-2</v>
      </c>
      <c r="R26" s="67">
        <f>求节点($C$49:$C$54,G$49:G$54,投放验证!AF26)</f>
        <v>0.24</v>
      </c>
      <c r="S26" s="67">
        <f>求节点($C$49:$C$54,H$49:H$54,投放验证!AG26)</f>
        <v>0.33500000000000002</v>
      </c>
      <c r="T26" s="75">
        <f>MAX(SUMPRODUCT(O26:S26,基础状态预期!T26:X26)/6,T25)</f>
        <v>7.51038358438572E-2</v>
      </c>
      <c r="V26" s="12">
        <v>21</v>
      </c>
      <c r="W26" s="12">
        <f t="shared" si="0"/>
        <v>0</v>
      </c>
      <c r="X26" s="12">
        <f t="shared" si="1"/>
        <v>0</v>
      </c>
      <c r="Y26" s="12">
        <f t="shared" si="2"/>
        <v>0</v>
      </c>
      <c r="Z26" s="12">
        <f t="shared" si="3"/>
        <v>0</v>
      </c>
      <c r="AA26" s="12">
        <f t="shared" si="4"/>
        <v>0</v>
      </c>
    </row>
    <row r="27" spans="2:27" x14ac:dyDescent="0.15">
      <c r="B27" s="147"/>
      <c r="C27" s="50">
        <v>2</v>
      </c>
      <c r="D27" s="60"/>
      <c r="E27" s="60">
        <v>0.03</v>
      </c>
      <c r="F27" s="60">
        <v>0.06</v>
      </c>
      <c r="G27" s="60">
        <v>0.09</v>
      </c>
      <c r="H27" s="60">
        <v>0.14000000000000001</v>
      </c>
      <c r="N27" s="53">
        <v>60</v>
      </c>
      <c r="O27" s="58"/>
      <c r="P27" s="67">
        <f>求节点($C$49:$C$54,E$49:E$54,投放验证!AD27)</f>
        <v>0.10342765438577252</v>
      </c>
      <c r="Q27" s="67">
        <f>求节点($C$49:$C$54,F$49:F$54,投放验证!AE27)</f>
        <v>0.12810934126882409</v>
      </c>
      <c r="R27" s="67">
        <f>求节点($C$49:$C$54,G$49:G$54,投放验证!AF27)</f>
        <v>0.24</v>
      </c>
      <c r="S27" s="67">
        <f>求节点($C$49:$C$54,H$49:H$54,投放验证!AG27)</f>
        <v>0.33500000000000002</v>
      </c>
      <c r="T27" s="75">
        <f>MAX(SUMPRODUCT(O27:S27,基础状态预期!T27:X27)/6,T26)</f>
        <v>0.2558333333333333</v>
      </c>
      <c r="V27" s="12">
        <v>22</v>
      </c>
      <c r="W27" s="12">
        <f t="shared" si="0"/>
        <v>0</v>
      </c>
      <c r="X27" s="12">
        <f t="shared" si="1"/>
        <v>0</v>
      </c>
      <c r="Y27" s="12">
        <f t="shared" si="2"/>
        <v>0</v>
      </c>
      <c r="Z27" s="12">
        <f t="shared" si="3"/>
        <v>0</v>
      </c>
      <c r="AA27" s="12">
        <f t="shared" si="4"/>
        <v>0</v>
      </c>
    </row>
    <row r="28" spans="2:27" x14ac:dyDescent="0.15">
      <c r="B28" s="147"/>
      <c r="C28" s="50">
        <v>3</v>
      </c>
      <c r="D28" s="60"/>
      <c r="E28" s="60">
        <v>0.04</v>
      </c>
      <c r="F28" s="60">
        <v>0.08</v>
      </c>
      <c r="G28" s="60">
        <v>0.12</v>
      </c>
      <c r="H28" s="60">
        <v>0.16</v>
      </c>
      <c r="N28" s="53">
        <v>70</v>
      </c>
      <c r="O28" s="58"/>
      <c r="P28" s="67">
        <f>求节点($C$49:$C$54,E$49:E$54,投放验证!AD28)</f>
        <v>0.12</v>
      </c>
      <c r="Q28" s="67">
        <f>求节点($C$49:$C$54,F$49:F$54,投放验证!AE28)</f>
        <v>0.2018483314777216</v>
      </c>
      <c r="R28" s="67">
        <f>求节点($C$49:$C$54,G$49:G$54,投放验证!AF28)</f>
        <v>0.24</v>
      </c>
      <c r="S28" s="67">
        <f>求节点($C$49:$C$54,H$49:H$54,投放验证!AG28)</f>
        <v>0.41099578167317102</v>
      </c>
      <c r="T28" s="75">
        <f>MAX(SUMPRODUCT(O28:S28,基础状态预期!T28:X28)/6,T27)</f>
        <v>0.27937866088202279</v>
      </c>
      <c r="V28" s="12">
        <v>23</v>
      </c>
      <c r="W28" s="12">
        <f t="shared" si="0"/>
        <v>0</v>
      </c>
      <c r="X28" s="12">
        <f t="shared" si="1"/>
        <v>0</v>
      </c>
      <c r="Y28" s="12">
        <f t="shared" si="2"/>
        <v>0</v>
      </c>
      <c r="Z28" s="12">
        <f t="shared" si="3"/>
        <v>0</v>
      </c>
      <c r="AA28" s="12">
        <f t="shared" si="4"/>
        <v>0</v>
      </c>
    </row>
    <row r="29" spans="2:27" x14ac:dyDescent="0.15">
      <c r="B29" s="147"/>
      <c r="C29" s="50">
        <v>4</v>
      </c>
      <c r="D29" s="60"/>
      <c r="E29" s="60">
        <v>0.05</v>
      </c>
      <c r="F29" s="60">
        <v>0.1</v>
      </c>
      <c r="G29" s="60">
        <v>0.15</v>
      </c>
      <c r="H29" s="60">
        <v>0.18</v>
      </c>
      <c r="N29" s="53">
        <v>80</v>
      </c>
      <c r="O29" s="58"/>
      <c r="P29" s="67">
        <f>求节点($C$49:$C$54,E$49:E$54,投放验证!AD29)</f>
        <v>0.12</v>
      </c>
      <c r="Q29" s="67">
        <f>求节点($C$49:$C$54,F$49:F$54,投放验证!AE29)</f>
        <v>0.24</v>
      </c>
      <c r="R29" s="67">
        <f>求节点($C$49:$C$54,G$49:G$54,投放验证!AF29)</f>
        <v>0.27516466068994661</v>
      </c>
      <c r="S29" s="67">
        <f>求节点($C$49:$C$54,H$49:H$54,投放验证!AG29)</f>
        <v>0.51267319542063428</v>
      </c>
      <c r="T29" s="75">
        <f>MAX(SUMPRODUCT(O29:S29,基础状态预期!T29:X29)/6,T28)</f>
        <v>0.4030401161604738</v>
      </c>
      <c r="V29" s="12">
        <v>24</v>
      </c>
      <c r="W29" s="12">
        <f t="shared" si="0"/>
        <v>0</v>
      </c>
      <c r="X29" s="12">
        <f t="shared" si="1"/>
        <v>0</v>
      </c>
      <c r="Y29" s="12">
        <f t="shared" si="2"/>
        <v>0</v>
      </c>
      <c r="Z29" s="12">
        <f t="shared" si="3"/>
        <v>0</v>
      </c>
      <c r="AA29" s="12">
        <f t="shared" si="4"/>
        <v>0</v>
      </c>
    </row>
    <row r="30" spans="2:27" x14ac:dyDescent="0.15">
      <c r="B30" s="147"/>
      <c r="C30" s="50">
        <v>5</v>
      </c>
      <c r="D30" s="60"/>
      <c r="E30" s="60">
        <v>0.06</v>
      </c>
      <c r="F30" s="60">
        <v>0.12</v>
      </c>
      <c r="G30" s="60">
        <v>0.18</v>
      </c>
      <c r="H30" s="60">
        <v>0.2</v>
      </c>
      <c r="N30" s="53">
        <v>90</v>
      </c>
      <c r="O30" s="58"/>
      <c r="P30" s="67">
        <f>求节点($C$49:$C$54,E$49:E$54,投放验证!AD30)</f>
        <v>0.12</v>
      </c>
      <c r="Q30" s="67">
        <f>求节点($C$49:$C$54,F$49:F$54,投放验证!AE30)</f>
        <v>0.24</v>
      </c>
      <c r="R30" s="67">
        <f>求节点($C$49:$C$54,G$49:G$54,投放验证!AF30)</f>
        <v>0.35630591234890896</v>
      </c>
      <c r="S30" s="67">
        <f>求节点($C$49:$C$54,H$49:H$54,投放验证!AG30)</f>
        <v>0.58613467006863273</v>
      </c>
      <c r="T30" s="75">
        <f>MAX(SUMPRODUCT(O30:S30,基础状态预期!T30:X30)/6,T29)</f>
        <v>0.53120884944656521</v>
      </c>
      <c r="V30" s="12">
        <v>25</v>
      </c>
      <c r="W30" s="12">
        <f t="shared" si="0"/>
        <v>0</v>
      </c>
      <c r="X30" s="12">
        <f t="shared" si="1"/>
        <v>0</v>
      </c>
      <c r="Y30" s="12">
        <f t="shared" si="2"/>
        <v>0</v>
      </c>
      <c r="Z30" s="12">
        <f t="shared" si="3"/>
        <v>0</v>
      </c>
      <c r="AA30" s="12">
        <f t="shared" si="4"/>
        <v>0</v>
      </c>
    </row>
    <row r="31" spans="2:27" x14ac:dyDescent="0.15">
      <c r="B31" s="147"/>
      <c r="C31" s="50"/>
      <c r="D31" s="60"/>
      <c r="E31" s="60"/>
      <c r="F31" s="60"/>
      <c r="G31" s="60"/>
      <c r="H31" s="60"/>
      <c r="N31" s="53">
        <v>100</v>
      </c>
      <c r="O31" s="58"/>
      <c r="P31" s="67">
        <f>求节点($C$49:$C$54,E$49:E$54,投放验证!AD31)</f>
        <v>0.12</v>
      </c>
      <c r="Q31" s="67">
        <f>求节点($C$49:$C$54,F$49:F$54,投放验证!AE31)</f>
        <v>0.24</v>
      </c>
      <c r="R31" s="67">
        <f>求节点($C$49:$C$54,G$49:G$54,投放验证!AF31)</f>
        <v>0.4003444266149041</v>
      </c>
      <c r="S31" s="67">
        <f>求节点($C$49:$C$54,H$49:H$54,投放验证!AG31)</f>
        <v>0.61</v>
      </c>
      <c r="T31" s="75">
        <f>MAX(SUMPRODUCT(O31:S31,基础状态预期!T31:X31)/6,T30)</f>
        <v>0.57505740443581732</v>
      </c>
      <c r="V31" s="12">
        <v>26</v>
      </c>
      <c r="W31" s="12">
        <f t="shared" si="0"/>
        <v>0</v>
      </c>
      <c r="X31" s="12">
        <f t="shared" si="1"/>
        <v>0</v>
      </c>
      <c r="Y31" s="12">
        <f t="shared" si="2"/>
        <v>0</v>
      </c>
      <c r="Z31" s="12">
        <f t="shared" si="3"/>
        <v>0</v>
      </c>
      <c r="AA31" s="12">
        <f t="shared" si="4"/>
        <v>0</v>
      </c>
    </row>
    <row r="32" spans="2:27" x14ac:dyDescent="0.15">
      <c r="B32" s="147"/>
      <c r="C32" s="50"/>
      <c r="D32" s="60"/>
      <c r="E32" s="60"/>
      <c r="F32" s="60"/>
      <c r="G32" s="60"/>
      <c r="H32" s="60"/>
      <c r="N32" s="53">
        <v>110</v>
      </c>
      <c r="O32" s="58"/>
      <c r="P32" s="67">
        <f>求节点($C$49:$C$54,E$49:E$54,投放验证!AD32)</f>
        <v>0.12</v>
      </c>
      <c r="Q32" s="67">
        <f>求节点($C$49:$C$54,F$49:F$54,投放验证!AE32)</f>
        <v>0.24</v>
      </c>
      <c r="R32" s="67">
        <f>求节点($C$49:$C$54,G$49:G$54,投放验证!AF32)</f>
        <v>0.43126794852767686</v>
      </c>
      <c r="S32" s="67">
        <f>求节点($C$49:$C$54,H$49:H$54,投放验证!AG32)</f>
        <v>0.61</v>
      </c>
      <c r="T32" s="75">
        <f>MAX(SUMPRODUCT(O32:S32,基础状态预期!T32:X32)/6,T31)</f>
        <v>0.58021132475461279</v>
      </c>
      <c r="V32" s="12">
        <v>27</v>
      </c>
      <c r="W32" s="12">
        <f t="shared" si="0"/>
        <v>0</v>
      </c>
      <c r="X32" s="12">
        <f t="shared" si="1"/>
        <v>0</v>
      </c>
      <c r="Y32" s="12">
        <f t="shared" si="2"/>
        <v>0</v>
      </c>
      <c r="Z32" s="12">
        <f t="shared" si="3"/>
        <v>0</v>
      </c>
      <c r="AA32" s="12">
        <f t="shared" si="4"/>
        <v>0</v>
      </c>
    </row>
    <row r="33" spans="2:27" x14ac:dyDescent="0.15">
      <c r="B33" s="148"/>
      <c r="C33" s="50"/>
      <c r="D33" s="60"/>
      <c r="E33" s="60"/>
      <c r="F33" s="60"/>
      <c r="G33" s="60"/>
      <c r="H33" s="60"/>
      <c r="N33" s="53">
        <v>120</v>
      </c>
      <c r="O33" s="58"/>
      <c r="P33" s="67">
        <f>求节点($C$49:$C$54,E$49:E$54,投放验证!AD33)</f>
        <v>0.12</v>
      </c>
      <c r="Q33" s="67">
        <f>求节点($C$49:$C$54,F$49:F$54,投放验证!AE33)</f>
        <v>0.24</v>
      </c>
      <c r="R33" s="67">
        <f>求节点($C$49:$C$54,G$49:G$54,投放验证!AF33)</f>
        <v>0.4523636837479017</v>
      </c>
      <c r="S33" s="67">
        <f>求节点($C$49:$C$54,H$49:H$54,投放验证!AG33)</f>
        <v>0.61</v>
      </c>
      <c r="T33" s="75">
        <f>MAX(SUMPRODUCT(O33:S33,基础状态预期!T33:X33)/6,T32)</f>
        <v>0.58372728062465029</v>
      </c>
      <c r="V33" s="12">
        <v>28</v>
      </c>
      <c r="W33" s="12">
        <f t="shared" si="0"/>
        <v>0</v>
      </c>
      <c r="X33" s="12">
        <f t="shared" si="1"/>
        <v>0</v>
      </c>
      <c r="Y33" s="12">
        <f t="shared" si="2"/>
        <v>0</v>
      </c>
      <c r="Z33" s="12">
        <f t="shared" si="3"/>
        <v>0</v>
      </c>
      <c r="AA33" s="12">
        <f t="shared" si="4"/>
        <v>0</v>
      </c>
    </row>
    <row r="34" spans="2:27" x14ac:dyDescent="0.15">
      <c r="E34" s="62"/>
      <c r="F34" s="62"/>
      <c r="G34" s="62"/>
      <c r="H34" s="62"/>
      <c r="N34" s="53">
        <v>130</v>
      </c>
      <c r="O34" s="58"/>
      <c r="P34" s="67">
        <f>求节点($C$49:$C$54,E$49:E$54,投放验证!AD34)</f>
        <v>0.12</v>
      </c>
      <c r="Q34" s="67">
        <f>求节点($C$49:$C$54,F$49:F$54,投放验证!AE34)</f>
        <v>0.24</v>
      </c>
      <c r="R34" s="67">
        <f>求节点($C$49:$C$54,G$49:G$54,投放验证!AF34)</f>
        <v>0.47345941896812649</v>
      </c>
      <c r="S34" s="67">
        <f>求节点($C$49:$C$54,H$49:H$54,投放验证!AG34)</f>
        <v>0.61</v>
      </c>
      <c r="T34" s="75">
        <f>MAX(SUMPRODUCT(O34:S34,基础状态预期!T34:X34)/6,T33)</f>
        <v>0.58724323649468768</v>
      </c>
      <c r="V34" s="12">
        <v>29</v>
      </c>
      <c r="W34" s="12">
        <f t="shared" si="0"/>
        <v>0</v>
      </c>
      <c r="X34" s="12">
        <f t="shared" si="1"/>
        <v>0</v>
      </c>
      <c r="Y34" s="12">
        <f t="shared" si="2"/>
        <v>0</v>
      </c>
      <c r="Z34" s="12">
        <f t="shared" si="3"/>
        <v>0</v>
      </c>
      <c r="AA34" s="12">
        <f t="shared" si="4"/>
        <v>0</v>
      </c>
    </row>
    <row r="35" spans="2:27" x14ac:dyDescent="0.15">
      <c r="N35" s="53">
        <v>140</v>
      </c>
      <c r="O35" s="58"/>
      <c r="P35" s="67">
        <f>求节点($C$49:$C$54,E$49:E$54,投放验证!AD35)</f>
        <v>0.12</v>
      </c>
      <c r="Q35" s="67">
        <f>求节点($C$49:$C$54,F$49:F$54,投放验证!AE35)</f>
        <v>0.24</v>
      </c>
      <c r="R35" s="67">
        <f>求节点($C$49:$C$54,G$49:G$54,投放验证!AF35)</f>
        <v>0.48727757709417568</v>
      </c>
      <c r="S35" s="67">
        <f>求节点($C$49:$C$54,H$49:H$54,投放验证!AG35)</f>
        <v>0.61</v>
      </c>
      <c r="T35" s="75">
        <f>MAX(SUMPRODUCT(O35:S35,基础状态预期!T35:X35)/6,T34)</f>
        <v>0.58954626284902922</v>
      </c>
      <c r="V35" s="12">
        <v>30</v>
      </c>
      <c r="W35" s="12">
        <f t="shared" si="0"/>
        <v>0</v>
      </c>
      <c r="X35" s="12">
        <f t="shared" si="1"/>
        <v>0</v>
      </c>
      <c r="Y35" s="12">
        <f t="shared" si="2"/>
        <v>0</v>
      </c>
      <c r="Z35" s="12">
        <f t="shared" si="3"/>
        <v>0</v>
      </c>
      <c r="AA35" s="12">
        <f t="shared" si="4"/>
        <v>0</v>
      </c>
    </row>
    <row r="36" spans="2:27" ht="11.25" customHeight="1" x14ac:dyDescent="0.15">
      <c r="B36" s="146" t="s">
        <v>250</v>
      </c>
      <c r="C36" s="50" t="s">
        <v>247</v>
      </c>
      <c r="D36" s="50" t="s">
        <v>25</v>
      </c>
      <c r="E36" s="50" t="s">
        <v>1</v>
      </c>
      <c r="F36" s="50" t="s">
        <v>2</v>
      </c>
      <c r="G36" s="50" t="s">
        <v>0</v>
      </c>
      <c r="H36" s="50" t="s">
        <v>217</v>
      </c>
      <c r="N36" s="53">
        <v>150</v>
      </c>
      <c r="O36" s="58"/>
      <c r="P36" s="67">
        <f>求节点($C$49:$C$54,E$49:E$54,投放验证!AD36)</f>
        <v>0.12</v>
      </c>
      <c r="Q36" s="67">
        <f>求节点($C$49:$C$54,F$49:F$54,投放验证!AE36)</f>
        <v>0.24</v>
      </c>
      <c r="R36" s="67">
        <f>求节点($C$49:$C$54,G$49:G$54,投放验证!AF36)</f>
        <v>0.49782544470428808</v>
      </c>
      <c r="S36" s="67">
        <f>求节点($C$49:$C$54,H$49:H$54,投放验证!AG36)</f>
        <v>0.61</v>
      </c>
      <c r="T36" s="75">
        <f>MAX(SUMPRODUCT(O36:S36,基础状态预期!T36:X36)/6,T35)</f>
        <v>0.59130424078404797</v>
      </c>
      <c r="V36" s="12">
        <v>31</v>
      </c>
      <c r="W36" s="12">
        <f t="shared" si="0"/>
        <v>0</v>
      </c>
      <c r="X36" s="12">
        <f t="shared" si="1"/>
        <v>0</v>
      </c>
      <c r="Y36" s="12">
        <f t="shared" si="2"/>
        <v>0</v>
      </c>
      <c r="Z36" s="12">
        <f t="shared" si="3"/>
        <v>6.6666666666666675E-4</v>
      </c>
      <c r="AA36" s="12">
        <f t="shared" si="4"/>
        <v>6.6666666666666675E-4</v>
      </c>
    </row>
    <row r="37" spans="2:27" x14ac:dyDescent="0.15">
      <c r="B37" s="147"/>
      <c r="C37" s="50">
        <v>0</v>
      </c>
      <c r="D37" s="60"/>
      <c r="E37" s="60"/>
      <c r="F37" s="60"/>
      <c r="G37" s="60">
        <v>0.18</v>
      </c>
      <c r="H37" s="60">
        <v>0.2</v>
      </c>
      <c r="N37" s="53">
        <v>160</v>
      </c>
      <c r="O37" s="58"/>
      <c r="P37" s="67">
        <f>求节点($C$49:$C$54,E$49:E$54,投放验证!AD37)</f>
        <v>0.12</v>
      </c>
      <c r="Q37" s="67">
        <f>求节点($C$49:$C$54,F$49:F$54,投放验证!AE37)</f>
        <v>0.24</v>
      </c>
      <c r="R37" s="67">
        <f>求节点($C$49:$C$54,G$49:G$54,投放验证!AF37)</f>
        <v>0.50837331231440053</v>
      </c>
      <c r="S37" s="67">
        <f>求节点($C$49:$C$54,H$49:H$54,投放验证!AG37)</f>
        <v>0.61</v>
      </c>
      <c r="T37" s="75">
        <f>MAX(SUMPRODUCT(O37:S37,基础状态预期!T37:X37)/6,T36)</f>
        <v>0.59306221871906672</v>
      </c>
      <c r="V37" s="12">
        <v>32</v>
      </c>
      <c r="W37" s="12">
        <f t="shared" si="0"/>
        <v>0</v>
      </c>
      <c r="X37" s="12">
        <f t="shared" si="1"/>
        <v>0</v>
      </c>
      <c r="Y37" s="12">
        <f t="shared" si="2"/>
        <v>0</v>
      </c>
      <c r="Z37" s="12">
        <f t="shared" si="3"/>
        <v>1.3333333333333335E-3</v>
      </c>
      <c r="AA37" s="12">
        <f t="shared" si="4"/>
        <v>1.3333333333333335E-3</v>
      </c>
    </row>
    <row r="38" spans="2:27" x14ac:dyDescent="0.15">
      <c r="B38" s="147"/>
      <c r="C38" s="50">
        <v>1</v>
      </c>
      <c r="D38" s="60"/>
      <c r="E38" s="60"/>
      <c r="F38" s="60"/>
      <c r="G38" s="60">
        <v>0.18</v>
      </c>
      <c r="H38" s="60">
        <v>0.2</v>
      </c>
      <c r="V38" s="12">
        <v>33</v>
      </c>
      <c r="W38" s="12">
        <f t="shared" si="0"/>
        <v>0</v>
      </c>
      <c r="X38" s="12">
        <f t="shared" si="1"/>
        <v>0</v>
      </c>
      <c r="Y38" s="12">
        <f t="shared" si="2"/>
        <v>0</v>
      </c>
      <c r="Z38" s="12">
        <f t="shared" si="3"/>
        <v>2E-3</v>
      </c>
      <c r="AA38" s="12">
        <f t="shared" si="4"/>
        <v>2E-3</v>
      </c>
    </row>
    <row r="39" spans="2:27" x14ac:dyDescent="0.15">
      <c r="B39" s="147"/>
      <c r="C39" s="50">
        <v>2</v>
      </c>
      <c r="D39" s="60"/>
      <c r="E39" s="60"/>
      <c r="F39" s="60"/>
      <c r="G39" s="60">
        <v>0.18</v>
      </c>
      <c r="H39" s="60">
        <v>0.2</v>
      </c>
      <c r="M39" s="12">
        <v>9</v>
      </c>
      <c r="V39" s="12">
        <v>34</v>
      </c>
      <c r="W39" s="12">
        <f t="shared" si="0"/>
        <v>0</v>
      </c>
      <c r="X39" s="12">
        <f t="shared" si="1"/>
        <v>0</v>
      </c>
      <c r="Y39" s="12">
        <f t="shared" si="2"/>
        <v>0</v>
      </c>
      <c r="Z39" s="12">
        <f t="shared" si="3"/>
        <v>2.666666666666667E-3</v>
      </c>
      <c r="AA39" s="12">
        <f t="shared" si="4"/>
        <v>2.666666666666667E-3</v>
      </c>
    </row>
    <row r="40" spans="2:27" x14ac:dyDescent="0.15">
      <c r="B40" s="147"/>
      <c r="C40" s="50">
        <v>3</v>
      </c>
      <c r="D40" s="60"/>
      <c r="E40" s="60"/>
      <c r="F40" s="60"/>
      <c r="G40" s="60">
        <v>0.18</v>
      </c>
      <c r="H40" s="60">
        <v>0.2</v>
      </c>
      <c r="V40" s="12">
        <v>35</v>
      </c>
      <c r="W40" s="12">
        <f t="shared" si="0"/>
        <v>0</v>
      </c>
      <c r="X40" s="12">
        <f t="shared" si="1"/>
        <v>0</v>
      </c>
      <c r="Y40" s="12">
        <f t="shared" si="2"/>
        <v>0</v>
      </c>
      <c r="Z40" s="12">
        <f t="shared" si="3"/>
        <v>3.3333333333333335E-3</v>
      </c>
      <c r="AA40" s="12">
        <f t="shared" si="4"/>
        <v>3.3333333333333335E-3</v>
      </c>
    </row>
    <row r="41" spans="2:27" x14ac:dyDescent="0.15">
      <c r="B41" s="147"/>
      <c r="C41" s="50">
        <v>4</v>
      </c>
      <c r="D41" s="60"/>
      <c r="E41" s="60"/>
      <c r="F41" s="60"/>
      <c r="G41" s="60">
        <v>0.18</v>
      </c>
      <c r="H41" s="60">
        <v>0.2</v>
      </c>
      <c r="N41" s="59" t="s">
        <v>280</v>
      </c>
      <c r="O41" s="142" t="s">
        <v>273</v>
      </c>
      <c r="P41" s="142"/>
      <c r="Q41" s="142"/>
      <c r="R41" s="142"/>
      <c r="S41" s="142"/>
      <c r="V41" s="12">
        <v>36</v>
      </c>
      <c r="W41" s="12">
        <f t="shared" si="0"/>
        <v>6.6666666666666675E-4</v>
      </c>
      <c r="X41" s="12">
        <f t="shared" si="1"/>
        <v>1.3333333333333335E-3</v>
      </c>
      <c r="Y41" s="12">
        <f t="shared" si="2"/>
        <v>2E-3</v>
      </c>
      <c r="Z41" s="12">
        <f t="shared" si="3"/>
        <v>5.4358222504544374E-3</v>
      </c>
      <c r="AA41" s="12">
        <f t="shared" si="4"/>
        <v>4.6666666666666671E-3</v>
      </c>
    </row>
    <row r="42" spans="2:27" x14ac:dyDescent="0.15">
      <c r="B42" s="147"/>
      <c r="C42" s="50">
        <v>5</v>
      </c>
      <c r="D42" s="60"/>
      <c r="E42" s="60"/>
      <c r="F42" s="60"/>
      <c r="G42" s="60">
        <v>0.18</v>
      </c>
      <c r="H42" s="60">
        <v>0.2</v>
      </c>
      <c r="N42" s="53" t="s">
        <v>161</v>
      </c>
      <c r="O42" s="58" t="s">
        <v>25</v>
      </c>
      <c r="P42" s="58" t="s">
        <v>1</v>
      </c>
      <c r="Q42" s="58" t="s">
        <v>2</v>
      </c>
      <c r="R42" s="58" t="s">
        <v>0</v>
      </c>
      <c r="S42" s="58" t="s">
        <v>217</v>
      </c>
      <c r="T42" s="75" t="s">
        <v>286</v>
      </c>
      <c r="V42" s="12">
        <v>37</v>
      </c>
      <c r="W42" s="12">
        <f t="shared" si="0"/>
        <v>1.3333333333333335E-3</v>
      </c>
      <c r="X42" s="12">
        <f t="shared" si="1"/>
        <v>2.666666666666667E-3</v>
      </c>
      <c r="Y42" s="12">
        <f t="shared" si="2"/>
        <v>4.0000000000000001E-3</v>
      </c>
      <c r="Z42" s="12">
        <f t="shared" si="3"/>
        <v>7.5383111675755409E-3</v>
      </c>
      <c r="AA42" s="12">
        <f t="shared" si="4"/>
        <v>6.0000000000000001E-3</v>
      </c>
    </row>
    <row r="43" spans="2:27" x14ac:dyDescent="0.15">
      <c r="B43" s="147"/>
      <c r="C43" s="50"/>
      <c r="D43" s="60"/>
      <c r="E43" s="60"/>
      <c r="F43" s="60"/>
      <c r="G43" s="60"/>
      <c r="H43" s="60"/>
      <c r="N43" s="53">
        <v>5</v>
      </c>
      <c r="O43" s="58"/>
      <c r="P43" s="67">
        <f>求节点($C$49:$C$54,E$49:E$54,投放验证!AD43)</f>
        <v>0.02</v>
      </c>
      <c r="Q43" s="67">
        <f>求节点($C$49:$C$54,F$49:F$54,投放验证!AE43)</f>
        <v>0.04</v>
      </c>
      <c r="R43" s="67">
        <f>求节点($C$49:$C$54,G$49:G$54,投放验证!AF43)</f>
        <v>0.24</v>
      </c>
      <c r="S43" s="67">
        <f>求节点($C$49:$C$54,H$49:H$54,投放验证!AG43)</f>
        <v>0.33500000000000002</v>
      </c>
      <c r="T43" s="76">
        <f>SUMPRODUCT(O43:S43,基础状态预期!Y43:AC43)/6</f>
        <v>0</v>
      </c>
      <c r="V43" s="12">
        <v>38</v>
      </c>
      <c r="W43" s="12">
        <f t="shared" si="0"/>
        <v>2E-3</v>
      </c>
      <c r="X43" s="12">
        <f t="shared" si="1"/>
        <v>4.0000000000000001E-3</v>
      </c>
      <c r="Y43" s="12">
        <f t="shared" si="2"/>
        <v>6.0000000000000001E-3</v>
      </c>
      <c r="Z43" s="12">
        <f t="shared" si="3"/>
        <v>9.6408000846966452E-3</v>
      </c>
      <c r="AA43" s="12">
        <f t="shared" si="4"/>
        <v>7.3333333333333341E-3</v>
      </c>
    </row>
    <row r="44" spans="2:27" x14ac:dyDescent="0.15">
      <c r="B44" s="147"/>
      <c r="C44" s="50"/>
      <c r="D44" s="60"/>
      <c r="E44" s="60"/>
      <c r="F44" s="60"/>
      <c r="G44" s="60"/>
      <c r="H44" s="60"/>
      <c r="N44" s="53">
        <v>10</v>
      </c>
      <c r="O44" s="58"/>
      <c r="P44" s="67">
        <f>求节点($C$49:$C$54,E$49:E$54,投放验证!AD44)</f>
        <v>0.02</v>
      </c>
      <c r="Q44" s="67">
        <f>求节点($C$49:$C$54,F$49:F$54,投放验证!AE44)</f>
        <v>0.04</v>
      </c>
      <c r="R44" s="67">
        <f>求节点($C$49:$C$54,G$49:G$54,投放验证!AF44)</f>
        <v>0.24</v>
      </c>
      <c r="S44" s="67">
        <f>求节点($C$49:$C$54,H$49:H$54,投放验证!AG44)</f>
        <v>0.33500000000000002</v>
      </c>
      <c r="T44" s="75">
        <f>MAX(SUMPRODUCT(O44:S44,基础状态预期!T44:X44)/6,T43)</f>
        <v>0</v>
      </c>
      <c r="V44" s="12">
        <v>39</v>
      </c>
      <c r="W44" s="12">
        <f t="shared" si="0"/>
        <v>2.666666666666667E-3</v>
      </c>
      <c r="X44" s="12">
        <f t="shared" si="1"/>
        <v>5.333333333333334E-3</v>
      </c>
      <c r="Y44" s="12">
        <f t="shared" si="2"/>
        <v>8.0000000000000002E-3</v>
      </c>
      <c r="Z44" s="12">
        <f t="shared" si="3"/>
        <v>1.174328900181775E-2</v>
      </c>
      <c r="AA44" s="12">
        <f t="shared" si="4"/>
        <v>8.6666666666666663E-3</v>
      </c>
    </row>
    <row r="45" spans="2:27" x14ac:dyDescent="0.15">
      <c r="B45" s="148"/>
      <c r="C45" s="50"/>
      <c r="D45" s="60"/>
      <c r="E45" s="60"/>
      <c r="F45" s="60"/>
      <c r="G45" s="60"/>
      <c r="H45" s="60"/>
      <c r="N45" s="53">
        <v>15</v>
      </c>
      <c r="O45" s="58"/>
      <c r="P45" s="67">
        <f>求节点($C$49:$C$54,E$49:E$54,投放验证!AD45)</f>
        <v>0.02</v>
      </c>
      <c r="Q45" s="67">
        <f>求节点($C$49:$C$54,F$49:F$54,投放验证!AE45)</f>
        <v>0.04</v>
      </c>
      <c r="R45" s="67">
        <f>求节点($C$49:$C$54,G$49:G$54,投放验证!AF45)</f>
        <v>0.24</v>
      </c>
      <c r="S45" s="67">
        <f>求节点($C$49:$C$54,H$49:H$54,投放验证!AG45)</f>
        <v>0.33500000000000002</v>
      </c>
      <c r="T45" s="75">
        <f>MAX(SUMPRODUCT(O45:S45,基础状态预期!T45:X45)/6,T44)</f>
        <v>0</v>
      </c>
      <c r="V45" s="12">
        <v>40</v>
      </c>
      <c r="W45" s="12">
        <f t="shared" si="0"/>
        <v>3.3333333333333335E-3</v>
      </c>
      <c r="X45" s="12">
        <f t="shared" si="1"/>
        <v>6.6666666666666671E-3</v>
      </c>
      <c r="Y45" s="12">
        <f t="shared" si="2"/>
        <v>0.01</v>
      </c>
      <c r="Z45" s="12">
        <f t="shared" si="3"/>
        <v>1.3845777918938854E-2</v>
      </c>
      <c r="AA45" s="12">
        <f t="shared" si="4"/>
        <v>0.01</v>
      </c>
    </row>
    <row r="46" spans="2:27" x14ac:dyDescent="0.15">
      <c r="N46" s="53">
        <v>20</v>
      </c>
      <c r="O46" s="58"/>
      <c r="P46" s="67">
        <f>求节点($C$49:$C$54,E$49:E$54,投放验证!AD46)</f>
        <v>0.02</v>
      </c>
      <c r="Q46" s="67">
        <f>求节点($C$49:$C$54,F$49:F$54,投放验证!AE46)</f>
        <v>0.04</v>
      </c>
      <c r="R46" s="67">
        <f>求节点($C$49:$C$54,G$49:G$54,投放验证!AF46)</f>
        <v>0.24</v>
      </c>
      <c r="S46" s="67">
        <f>求节点($C$49:$C$54,H$49:H$54,投放验证!AG46)</f>
        <v>0.33500000000000002</v>
      </c>
      <c r="T46" s="75">
        <f>MAX(SUMPRODUCT(O46:S46,基础状态预期!T46:X46)/6,T45)</f>
        <v>0</v>
      </c>
      <c r="V46" s="12">
        <v>41</v>
      </c>
      <c r="W46" s="12">
        <f t="shared" si="0"/>
        <v>1.0237083896619734E-2</v>
      </c>
      <c r="X46" s="12">
        <f t="shared" si="1"/>
        <v>2.0342056877758016E-2</v>
      </c>
      <c r="Y46" s="12">
        <f t="shared" si="2"/>
        <v>2.3172112565338947E-2</v>
      </c>
      <c r="Z46" s="12">
        <f t="shared" si="3"/>
        <v>2.7229441163231886E-2</v>
      </c>
      <c r="AA46" s="12">
        <f t="shared" si="4"/>
        <v>3.2324750399630287E-2</v>
      </c>
    </row>
    <row r="47" spans="2:27" x14ac:dyDescent="0.15">
      <c r="N47" s="53">
        <v>25</v>
      </c>
      <c r="O47" s="58"/>
      <c r="P47" s="67">
        <f>求节点($C$49:$C$54,E$49:E$54,投放验证!AD47)</f>
        <v>0.02</v>
      </c>
      <c r="Q47" s="67">
        <f>求节点($C$49:$C$54,F$49:F$54,投放验证!AE47)</f>
        <v>0.04</v>
      </c>
      <c r="R47" s="67">
        <f>求节点($C$49:$C$54,G$49:G$54,投放验证!AF47)</f>
        <v>0.24</v>
      </c>
      <c r="S47" s="67">
        <f>求节点($C$49:$C$54,H$49:H$54,投放验证!AG47)</f>
        <v>0.33500000000000002</v>
      </c>
      <c r="T47" s="75">
        <f>MAX(SUMPRODUCT(O47:S47,基础状态预期!T47:X47)/6,T46)</f>
        <v>0</v>
      </c>
      <c r="V47" s="12">
        <v>42</v>
      </c>
      <c r="W47" s="12">
        <f t="shared" si="0"/>
        <v>1.7140834459906135E-2</v>
      </c>
      <c r="X47" s="12">
        <f t="shared" si="1"/>
        <v>3.4017447088849365E-2</v>
      </c>
      <c r="Y47" s="12">
        <f t="shared" si="2"/>
        <v>3.6344225130677893E-2</v>
      </c>
      <c r="Z47" s="12">
        <f t="shared" si="3"/>
        <v>4.0613104407524921E-2</v>
      </c>
      <c r="AA47" s="12">
        <f t="shared" si="4"/>
        <v>5.4649500799260578E-2</v>
      </c>
    </row>
    <row r="48" spans="2:27" ht="11.25" customHeight="1" x14ac:dyDescent="0.15">
      <c r="B48" s="146" t="s">
        <v>285</v>
      </c>
      <c r="C48" s="68" t="s">
        <v>247</v>
      </c>
      <c r="D48" s="68" t="s">
        <v>25</v>
      </c>
      <c r="E48" s="68" t="s">
        <v>1</v>
      </c>
      <c r="F48" s="68" t="s">
        <v>2</v>
      </c>
      <c r="G48" s="68" t="s">
        <v>0</v>
      </c>
      <c r="H48" s="68" t="s">
        <v>217</v>
      </c>
      <c r="N48" s="53">
        <v>30</v>
      </c>
      <c r="O48" s="58"/>
      <c r="P48" s="67">
        <f>求节点($C$49:$C$54,E$49:E$54,投放验证!AD48)</f>
        <v>0.02</v>
      </c>
      <c r="Q48" s="67">
        <f>求节点($C$49:$C$54,F$49:F$54,投放验证!AE48)</f>
        <v>0.04</v>
      </c>
      <c r="R48" s="67">
        <f>求节点($C$49:$C$54,G$49:G$54,投放验证!AF48)</f>
        <v>0.24</v>
      </c>
      <c r="S48" s="67">
        <f>求节点($C$49:$C$54,H$49:H$54,投放验证!AG48)</f>
        <v>0.33500000000000002</v>
      </c>
      <c r="T48" s="75">
        <f>MAX(SUMPRODUCT(O48:S48,基础状态预期!T48:X48)/6,T47)</f>
        <v>0</v>
      </c>
      <c r="V48" s="12">
        <v>43</v>
      </c>
      <c r="W48" s="12">
        <f t="shared" si="0"/>
        <v>2.4044585023192538E-2</v>
      </c>
      <c r="X48" s="12">
        <f t="shared" si="1"/>
        <v>4.7692837299940713E-2</v>
      </c>
      <c r="Y48" s="12">
        <f t="shared" si="2"/>
        <v>4.9516337696016842E-2</v>
      </c>
      <c r="Z48" s="12">
        <f t="shared" si="3"/>
        <v>5.3996767651817955E-2</v>
      </c>
      <c r="AA48" s="12">
        <f t="shared" si="4"/>
        <v>7.6974251198890856E-2</v>
      </c>
    </row>
    <row r="49" spans="2:27" x14ac:dyDescent="0.15">
      <c r="B49" s="147"/>
      <c r="C49" s="68">
        <v>0</v>
      </c>
      <c r="D49" s="60"/>
      <c r="E49" s="60">
        <f>E25+E37+宝物温养!G$5/6*($C49+1)</f>
        <v>0.02</v>
      </c>
      <c r="F49" s="60">
        <f>F25+F37+宝物温养!H$5/6*($C49+1)</f>
        <v>0.04</v>
      </c>
      <c r="G49" s="60">
        <f>G25+G37+宝物温养!I$5/6*($C49+1)</f>
        <v>0.24</v>
      </c>
      <c r="H49" s="60">
        <f>H25+H37+宝物温养!J$5/6*($C49+1)</f>
        <v>0.33500000000000002</v>
      </c>
      <c r="N49" s="53">
        <v>35</v>
      </c>
      <c r="O49" s="58"/>
      <c r="P49" s="67">
        <f>求节点($C$49:$C$54,E$49:E$54,投放验证!AD49)</f>
        <v>0.02</v>
      </c>
      <c r="Q49" s="67">
        <f>求节点($C$49:$C$54,F$49:F$54,投放验证!AE49)</f>
        <v>0.04</v>
      </c>
      <c r="R49" s="67">
        <f>求节点($C$49:$C$54,G$49:G$54,投放验证!AF49)</f>
        <v>0.24</v>
      </c>
      <c r="S49" s="67">
        <f>求节点($C$49:$C$54,H$49:H$54,投放验证!AG49)</f>
        <v>0.33500000000000002</v>
      </c>
      <c r="T49" s="75">
        <f>MAX(SUMPRODUCT(O49:S49,基础状态预期!T49:X49)/6,T48)</f>
        <v>0</v>
      </c>
      <c r="V49" s="12">
        <v>44</v>
      </c>
      <c r="W49" s="12">
        <f t="shared" si="0"/>
        <v>3.0948335586478939E-2</v>
      </c>
      <c r="X49" s="12">
        <f t="shared" si="1"/>
        <v>6.1368227511032061E-2</v>
      </c>
      <c r="Y49" s="12">
        <f t="shared" si="2"/>
        <v>6.2688450261355791E-2</v>
      </c>
      <c r="Z49" s="12">
        <f t="shared" si="3"/>
        <v>6.7380430896110996E-2</v>
      </c>
      <c r="AA49" s="12">
        <f t="shared" si="4"/>
        <v>9.9299001598521147E-2</v>
      </c>
    </row>
    <row r="50" spans="2:27" x14ac:dyDescent="0.15">
      <c r="B50" s="147"/>
      <c r="C50" s="68">
        <v>1</v>
      </c>
      <c r="D50" s="60"/>
      <c r="E50" s="60">
        <f>E26+E38+宝物温养!G$5/6*($C50+1)</f>
        <v>0.04</v>
      </c>
      <c r="F50" s="60">
        <f>F26+F38+宝物温养!H$5/6*($C50+1)</f>
        <v>0.08</v>
      </c>
      <c r="G50" s="60">
        <f>G26+G38+宝物温养!I$5/6*($C50+1)</f>
        <v>0.3</v>
      </c>
      <c r="H50" s="60">
        <f>H26+H38+宝物温养!J$5/6*($C50+1)</f>
        <v>0.39</v>
      </c>
      <c r="N50" s="53">
        <v>40</v>
      </c>
      <c r="O50" s="58"/>
      <c r="P50" s="67">
        <f>求节点($C$49:$C$54,E$49:E$54,投放验证!AD50)</f>
        <v>0.02</v>
      </c>
      <c r="Q50" s="67">
        <f>求节点($C$49:$C$54,F$49:F$54,投放验证!AE50)</f>
        <v>0.04</v>
      </c>
      <c r="R50" s="67">
        <f>求节点($C$49:$C$54,G$49:G$54,投放验证!AF50)</f>
        <v>0.24</v>
      </c>
      <c r="S50" s="67">
        <f>求节点($C$49:$C$54,H$49:H$54,投放验证!AG50)</f>
        <v>0.33500000000000002</v>
      </c>
      <c r="T50" s="75">
        <f>MAX(SUMPRODUCT(O50:S50,基础状态预期!T50:X50)/6,T49)</f>
        <v>6.6666666666666671E-3</v>
      </c>
      <c r="V50" s="12">
        <v>45</v>
      </c>
      <c r="W50" s="12">
        <f t="shared" si="0"/>
        <v>3.7852086149765339E-2</v>
      </c>
      <c r="X50" s="12">
        <f t="shared" si="1"/>
        <v>7.504361772212341E-2</v>
      </c>
      <c r="Y50" s="12">
        <f t="shared" si="2"/>
        <v>7.5860562826694733E-2</v>
      </c>
      <c r="Z50" s="12">
        <f t="shared" si="3"/>
        <v>8.076409414040403E-2</v>
      </c>
      <c r="AA50" s="12">
        <f t="shared" si="4"/>
        <v>0.12162375199815144</v>
      </c>
    </row>
    <row r="51" spans="2:27" x14ac:dyDescent="0.15">
      <c r="B51" s="147"/>
      <c r="C51" s="68">
        <v>2</v>
      </c>
      <c r="D51" s="60"/>
      <c r="E51" s="60">
        <f>E27+E39+宝物温养!G$5/6*($C51+1)</f>
        <v>0.06</v>
      </c>
      <c r="F51" s="60">
        <f>F27+F39+宝物温养!H$5/6*($C51+1)</f>
        <v>0.12</v>
      </c>
      <c r="G51" s="60">
        <f>G27+G39+宝物温养!I$5/6*($C51+1)</f>
        <v>0.36</v>
      </c>
      <c r="H51" s="60">
        <f>H27+H39+宝物温养!J$5/6*($C51+1)</f>
        <v>0.44500000000000001</v>
      </c>
      <c r="N51" s="53">
        <v>45</v>
      </c>
      <c r="O51" s="58"/>
      <c r="P51" s="67">
        <f>求节点($C$49:$C$54,E$49:E$54,投放验证!AD51)</f>
        <v>4.5130853166370208E-2</v>
      </c>
      <c r="Q51" s="67">
        <f>求节点($C$49:$C$54,F$49:F$54,投放验证!AE51)</f>
        <v>0.04</v>
      </c>
      <c r="R51" s="67">
        <f>求节点($C$49:$C$54,G$49:G$54,投放验证!AF51)</f>
        <v>0.24</v>
      </c>
      <c r="S51" s="67">
        <f>求节点($C$49:$C$54,H$49:H$54,投放验证!AG51)</f>
        <v>0.33500000000000002</v>
      </c>
      <c r="T51" s="75">
        <f>MAX(SUMPRODUCT(O51:S51,基础状态预期!T51:X51)/6,T50)</f>
        <v>7.504361772212341E-2</v>
      </c>
      <c r="V51" s="12">
        <v>46</v>
      </c>
      <c r="W51" s="12">
        <f t="shared" si="0"/>
        <v>4.5302436088583711E-2</v>
      </c>
      <c r="X51" s="12">
        <f t="shared" si="1"/>
        <v>7.6845937085314051E-2</v>
      </c>
      <c r="Y51" s="12">
        <f t="shared" si="2"/>
        <v>8.6213314477684933E-2</v>
      </c>
      <c r="Z51" s="12">
        <f t="shared" si="3"/>
        <v>0.10342464352687282</v>
      </c>
      <c r="AA51" s="12">
        <f t="shared" si="4"/>
        <v>0.1489784618241331</v>
      </c>
    </row>
    <row r="52" spans="2:27" x14ac:dyDescent="0.15">
      <c r="B52" s="147"/>
      <c r="C52" s="68">
        <v>3</v>
      </c>
      <c r="D52" s="60"/>
      <c r="E52" s="60">
        <f>E28+E40+宝物温养!G$5/6*($C52+1)</f>
        <v>0.08</v>
      </c>
      <c r="F52" s="60">
        <f>F28+F40+宝物温养!H$5/6*($C52+1)</f>
        <v>0.16</v>
      </c>
      <c r="G52" s="60">
        <f>G28+G40+宝物温养!I$5/6*($C52+1)</f>
        <v>0.42</v>
      </c>
      <c r="H52" s="60">
        <f>H28+H40+宝物温养!J$5/6*($C52+1)</f>
        <v>0.5</v>
      </c>
      <c r="N52" s="53">
        <v>50</v>
      </c>
      <c r="O52" s="58"/>
      <c r="P52" s="67">
        <f>求节点($C$49:$C$54,E$49:E$54,投放验证!AD52)</f>
        <v>7.0812584937937573E-2</v>
      </c>
      <c r="Q52" s="67">
        <f>求节点($C$49:$C$54,F$49:F$54,投放验证!AE52)</f>
        <v>5.2866257445691976E-2</v>
      </c>
      <c r="R52" s="67">
        <f>求节点($C$49:$C$54,G$49:G$54,投放验证!AF52)</f>
        <v>0.24</v>
      </c>
      <c r="S52" s="67">
        <f>求节点($C$49:$C$54,H$49:H$54,投放验证!AG52)</f>
        <v>0.33500000000000002</v>
      </c>
      <c r="T52" s="75">
        <f>MAX(SUMPRODUCT(O52:S52,基础状态预期!T52:X52)/6,T51)</f>
        <v>8.4055214538076642E-2</v>
      </c>
      <c r="V52" s="12">
        <v>47</v>
      </c>
      <c r="W52" s="12">
        <f t="shared" si="0"/>
        <v>5.2752786027402084E-2</v>
      </c>
      <c r="X52" s="12">
        <f t="shared" si="1"/>
        <v>7.8648256448504705E-2</v>
      </c>
      <c r="Y52" s="12">
        <f t="shared" si="2"/>
        <v>9.6566066128675118E-2</v>
      </c>
      <c r="Z52" s="12">
        <f t="shared" si="3"/>
        <v>0.12608519291334161</v>
      </c>
      <c r="AA52" s="12">
        <f t="shared" si="4"/>
        <v>0.17633317165011478</v>
      </c>
    </row>
    <row r="53" spans="2:27" x14ac:dyDescent="0.15">
      <c r="B53" s="147"/>
      <c r="C53" s="68">
        <v>4</v>
      </c>
      <c r="D53" s="60"/>
      <c r="E53" s="60">
        <f>E29+E41+宝物温养!G$5/6*($C53+1)</f>
        <v>0.1</v>
      </c>
      <c r="F53" s="60">
        <f>F29+F41+宝物温养!H$5/6*($C53+1)</f>
        <v>0.2</v>
      </c>
      <c r="G53" s="60">
        <f>G29+G41+宝物温养!I$5/6*($C53+1)</f>
        <v>0.48</v>
      </c>
      <c r="H53" s="60">
        <f>H29+H41+宝物温养!J$5/6*($C53+1)</f>
        <v>0.55499999999999994</v>
      </c>
      <c r="N53" s="53">
        <v>60</v>
      </c>
      <c r="O53" s="58"/>
      <c r="P53" s="67">
        <f>求节点($C$49:$C$54,E$49:E$54,投放验证!AD53)</f>
        <v>0.10883563659183045</v>
      </c>
      <c r="Q53" s="67">
        <f>求节点($C$49:$C$54,F$49:F$54,投放验证!AE53)</f>
        <v>0.13879729049490006</v>
      </c>
      <c r="R53" s="67">
        <f>求节点($C$49:$C$54,G$49:G$54,投放验证!AF53)</f>
        <v>0.24</v>
      </c>
      <c r="S53" s="67">
        <f>求节点($C$49:$C$54,H$49:H$54,投放验证!AG53)</f>
        <v>0.33500000000000002</v>
      </c>
      <c r="T53" s="75">
        <f>MAX(SUMPRODUCT(O53:S53,基础状态预期!T53:X53)/6,T52)</f>
        <v>0.2558333333333333</v>
      </c>
      <c r="V53" s="12">
        <v>48</v>
      </c>
      <c r="W53" s="12">
        <f t="shared" si="0"/>
        <v>6.0203135966220456E-2</v>
      </c>
      <c r="X53" s="12">
        <f t="shared" si="1"/>
        <v>8.0450575811695346E-2</v>
      </c>
      <c r="Y53" s="12">
        <f t="shared" si="2"/>
        <v>0.10691881777966532</v>
      </c>
      <c r="Z53" s="12">
        <f t="shared" si="3"/>
        <v>0.14874574229981041</v>
      </c>
      <c r="AA53" s="12">
        <f t="shared" si="4"/>
        <v>0.20368788147609646</v>
      </c>
    </row>
    <row r="54" spans="2:27" x14ac:dyDescent="0.15">
      <c r="B54" s="147"/>
      <c r="C54" s="68">
        <v>5</v>
      </c>
      <c r="D54" s="60"/>
      <c r="E54" s="60">
        <f>E30+E42+宝物温养!G$5/6*($C54+1)</f>
        <v>0.12</v>
      </c>
      <c r="F54" s="60">
        <f>F30+F42+宝物温养!H$5/6*($C54+1)</f>
        <v>0.24</v>
      </c>
      <c r="G54" s="60">
        <f>G30+G42+宝物温养!I$5/6*($C54+1)</f>
        <v>0.54</v>
      </c>
      <c r="H54" s="60">
        <f>H30+H42+宝物温养!J$5/6*($C54+1)</f>
        <v>0.61</v>
      </c>
      <c r="N54" s="53">
        <v>70</v>
      </c>
      <c r="O54" s="58"/>
      <c r="P54" s="67">
        <f>求节点($C$49:$C$54,E$49:E$54,投放验证!AD54)</f>
        <v>0.12</v>
      </c>
      <c r="Q54" s="67">
        <f>求节点($C$49:$C$54,F$49:F$54,投放验证!AE54)</f>
        <v>0.21301063763801115</v>
      </c>
      <c r="R54" s="67">
        <f>求节点($C$49:$C$54,G$49:G$54,投放验证!AF54)</f>
        <v>0.24358610663164706</v>
      </c>
      <c r="S54" s="67">
        <f>求节点($C$49:$C$54,H$49:H$54,投放验证!AG54)</f>
        <v>0.44393293115971505</v>
      </c>
      <c r="T54" s="75">
        <f>MAX(SUMPRODUCT(O54:S54,基础状态预期!T54:X54)/6,T53)</f>
        <v>0.30972055161462753</v>
      </c>
      <c r="V54" s="12">
        <v>49</v>
      </c>
      <c r="W54" s="12">
        <f t="shared" si="0"/>
        <v>6.7653485905038835E-2</v>
      </c>
      <c r="X54" s="12">
        <f t="shared" si="1"/>
        <v>8.2252895174886001E-2</v>
      </c>
      <c r="Y54" s="12">
        <f t="shared" si="2"/>
        <v>0.1172715694306555</v>
      </c>
      <c r="Z54" s="12">
        <f t="shared" si="3"/>
        <v>0.17140629168627919</v>
      </c>
      <c r="AA54" s="12">
        <f t="shared" si="4"/>
        <v>0.2310425913020781</v>
      </c>
    </row>
    <row r="55" spans="2:27" x14ac:dyDescent="0.15">
      <c r="B55" s="147"/>
      <c r="C55" s="68"/>
      <c r="D55" s="60"/>
      <c r="E55" s="60"/>
      <c r="F55" s="60"/>
      <c r="G55" s="60"/>
      <c r="H55" s="60"/>
      <c r="N55" s="53">
        <v>80</v>
      </c>
      <c r="O55" s="58"/>
      <c r="P55" s="67">
        <f>求节点($C$49:$C$54,E$49:E$54,投放验证!AD55)</f>
        <v>0.12</v>
      </c>
      <c r="Q55" s="67">
        <f>求节点($C$49:$C$54,F$49:F$54,投放验证!AE55)</f>
        <v>0.24</v>
      </c>
      <c r="R55" s="67">
        <f>求节点($C$49:$C$54,G$49:G$54,投放验证!AF55)</f>
        <v>0.29768862764000409</v>
      </c>
      <c r="S55" s="67">
        <f>求节点($C$49:$C$54,H$49:H$54,投放验证!AG55)</f>
        <v>0.54170799656719271</v>
      </c>
      <c r="T55" s="75">
        <f>MAX(SUMPRODUCT(O55:S55,基础状态预期!T55:X55)/6,T54)</f>
        <v>0.45053939998706422</v>
      </c>
      <c r="V55" s="12">
        <v>50</v>
      </c>
      <c r="W55" s="12">
        <f t="shared" si="0"/>
        <v>7.51038358438572E-2</v>
      </c>
      <c r="X55" s="12">
        <f t="shared" si="1"/>
        <v>8.4055214538076642E-2</v>
      </c>
      <c r="Y55" s="12">
        <f t="shared" si="2"/>
        <v>0.1276243210816457</v>
      </c>
      <c r="Z55" s="12">
        <f t="shared" si="3"/>
        <v>0.19406684107274799</v>
      </c>
      <c r="AA55" s="12">
        <f t="shared" si="4"/>
        <v>0.25839730112805981</v>
      </c>
    </row>
    <row r="56" spans="2:27" x14ac:dyDescent="0.15">
      <c r="B56" s="147"/>
      <c r="C56" s="68"/>
      <c r="D56" s="60"/>
      <c r="E56" s="60"/>
      <c r="F56" s="60"/>
      <c r="G56" s="60"/>
      <c r="H56" s="60"/>
      <c r="N56" s="53">
        <v>90</v>
      </c>
      <c r="O56" s="58"/>
      <c r="P56" s="67">
        <f>求节点($C$49:$C$54,E$49:E$54,投放验证!AD56)</f>
        <v>0.12</v>
      </c>
      <c r="Q56" s="67">
        <f>求节点($C$49:$C$54,F$49:F$54,投放验证!AE56)</f>
        <v>0.24</v>
      </c>
      <c r="R56" s="67">
        <f>求节点($C$49:$C$54,G$49:G$54,投放验证!AF56)</f>
        <v>0.38464300310066102</v>
      </c>
      <c r="S56" s="67">
        <f>求节点($C$49:$C$54,H$49:H$54,投放验证!AG56)</f>
        <v>0.61</v>
      </c>
      <c r="T56" s="75">
        <f>MAX(SUMPRODUCT(O56:S56,基础状态预期!T56:X56)/6,T55)</f>
        <v>0.57244050051677686</v>
      </c>
      <c r="V56" s="12">
        <v>51</v>
      </c>
      <c r="W56" s="12">
        <f t="shared" si="0"/>
        <v>9.3176785592804817E-2</v>
      </c>
      <c r="X56" s="12">
        <f t="shared" si="1"/>
        <v>0.10123302641760232</v>
      </c>
      <c r="Y56" s="12">
        <f t="shared" si="2"/>
        <v>0.14044522230681447</v>
      </c>
      <c r="Z56" s="12">
        <f t="shared" si="3"/>
        <v>0.20094453567066814</v>
      </c>
      <c r="AA56" s="12">
        <f t="shared" si="4"/>
        <v>0.27639292112153691</v>
      </c>
    </row>
    <row r="57" spans="2:27" x14ac:dyDescent="0.15">
      <c r="B57" s="148"/>
      <c r="C57" s="68"/>
      <c r="D57" s="60"/>
      <c r="E57" s="60"/>
      <c r="F57" s="60"/>
      <c r="G57" s="60"/>
      <c r="H57" s="60"/>
      <c r="N57" s="53">
        <v>100</v>
      </c>
      <c r="O57" s="58"/>
      <c r="P57" s="67">
        <f>求节点($C$49:$C$54,E$49:E$54,投放验证!AD57)</f>
        <v>0.12</v>
      </c>
      <c r="Q57" s="67">
        <f>求节点($C$49:$C$54,F$49:F$54,投放验证!AE57)</f>
        <v>0.24</v>
      </c>
      <c r="R57" s="67">
        <f>求节点($C$49:$C$54,G$49:G$54,投放验证!AF57)</f>
        <v>0.43457524271099707</v>
      </c>
      <c r="S57" s="67">
        <f>求节点($C$49:$C$54,H$49:H$54,投放验证!AG57)</f>
        <v>0.61</v>
      </c>
      <c r="T57" s="75">
        <f>MAX(SUMPRODUCT(O57:S57,基础状态预期!T57:X57)/6,T56)</f>
        <v>0.58076254045183284</v>
      </c>
      <c r="V57" s="12">
        <v>52</v>
      </c>
      <c r="W57" s="12">
        <f t="shared" si="0"/>
        <v>0.11124973534175242</v>
      </c>
      <c r="X57" s="12">
        <f t="shared" si="1"/>
        <v>0.11841083829712798</v>
      </c>
      <c r="Y57" s="12">
        <f t="shared" si="2"/>
        <v>0.15326612353198321</v>
      </c>
      <c r="Z57" s="12">
        <f t="shared" si="3"/>
        <v>0.20782223026858829</v>
      </c>
      <c r="AA57" s="12">
        <f t="shared" si="4"/>
        <v>0.29438854111501406</v>
      </c>
    </row>
    <row r="58" spans="2:27" x14ac:dyDescent="0.15">
      <c r="B58" s="72"/>
      <c r="C58" s="73"/>
      <c r="D58" s="74"/>
      <c r="E58" s="74"/>
      <c r="F58" s="74"/>
      <c r="G58" s="74"/>
      <c r="H58" s="74"/>
      <c r="N58" s="53">
        <v>110</v>
      </c>
      <c r="O58" s="58"/>
      <c r="P58" s="67">
        <f>求节点($C$49:$C$54,E$49:E$54,投放验证!AD58)</f>
        <v>0.12</v>
      </c>
      <c r="Q58" s="67">
        <f>求节点($C$49:$C$54,F$49:F$54,投放验证!AE58)</f>
        <v>0.24</v>
      </c>
      <c r="R58" s="67">
        <f>求节点($C$49:$C$54,G$49:G$54,投放验证!AF58)</f>
        <v>0.46682898387166361</v>
      </c>
      <c r="S58" s="67">
        <f>求节点($C$49:$C$54,H$49:H$54,投放验证!AG58)</f>
        <v>0.61</v>
      </c>
      <c r="T58" s="75">
        <f>MAX(SUMPRODUCT(O58:S58,基础状态预期!T58:X58)/6,T57)</f>
        <v>0.58613816397861063</v>
      </c>
      <c r="V58" s="12">
        <v>53</v>
      </c>
      <c r="W58" s="12">
        <f t="shared" si="0"/>
        <v>0.12932268509070002</v>
      </c>
      <c r="X58" s="12">
        <f t="shared" si="1"/>
        <v>0.13558865017665364</v>
      </c>
      <c r="Y58" s="12">
        <f t="shared" si="2"/>
        <v>0.16608702475715198</v>
      </c>
      <c r="Z58" s="12">
        <f t="shared" si="3"/>
        <v>0.21469992486650843</v>
      </c>
      <c r="AA58" s="12">
        <f t="shared" si="4"/>
        <v>0.31238416110849115</v>
      </c>
    </row>
    <row r="59" spans="2:27" x14ac:dyDescent="0.15">
      <c r="N59" s="53">
        <v>120</v>
      </c>
      <c r="O59" s="58"/>
      <c r="P59" s="67">
        <f>求节点($C$49:$C$54,E$49:E$54,投放验证!AD59)</f>
        <v>0.12</v>
      </c>
      <c r="Q59" s="67">
        <f>求节点($C$49:$C$54,F$49:F$54,投放验证!AE59)</f>
        <v>0.24</v>
      </c>
      <c r="R59" s="67">
        <f>求节点($C$49:$C$54,G$49:G$54,投放验证!AF59)</f>
        <v>0.48954136251616504</v>
      </c>
      <c r="S59" s="67">
        <f>求节点($C$49:$C$54,H$49:H$54,投放验证!AG59)</f>
        <v>0.61</v>
      </c>
      <c r="T59" s="75">
        <f>MAX(SUMPRODUCT(O59:S59,基础状态预期!T59:X59)/6,T58)</f>
        <v>0.58992356041936078</v>
      </c>
      <c r="V59" s="12">
        <v>54</v>
      </c>
      <c r="W59" s="12">
        <f t="shared" si="0"/>
        <v>0.14739563483964763</v>
      </c>
      <c r="X59" s="12">
        <f t="shared" si="1"/>
        <v>0.15276646205617933</v>
      </c>
      <c r="Y59" s="12">
        <f t="shared" si="2"/>
        <v>0.17890792598232075</v>
      </c>
      <c r="Z59" s="12">
        <f t="shared" si="3"/>
        <v>0.22157761946442858</v>
      </c>
      <c r="AA59" s="12">
        <f t="shared" si="4"/>
        <v>0.33037978110196825</v>
      </c>
    </row>
    <row r="60" spans="2:27" x14ac:dyDescent="0.15">
      <c r="B60" s="146" t="s">
        <v>246</v>
      </c>
      <c r="C60" s="53" t="s">
        <v>247</v>
      </c>
      <c r="D60" s="53" t="s">
        <v>25</v>
      </c>
      <c r="E60" s="53" t="s">
        <v>1</v>
      </c>
      <c r="F60" s="53" t="s">
        <v>2</v>
      </c>
      <c r="G60" s="53" t="s">
        <v>0</v>
      </c>
      <c r="H60" s="53" t="s">
        <v>217</v>
      </c>
      <c r="N60" s="53">
        <v>130</v>
      </c>
      <c r="O60" s="58"/>
      <c r="P60" s="67">
        <f>求节点($C$49:$C$54,E$49:E$54,投放验证!AD60)</f>
        <v>0.12</v>
      </c>
      <c r="Q60" s="67">
        <f>求节点($C$49:$C$54,F$49:F$54,投放验证!AE60)</f>
        <v>0.24</v>
      </c>
      <c r="R60" s="67">
        <f>求节点($C$49:$C$54,G$49:G$54,投放验证!AF60)</f>
        <v>0.50566823309649833</v>
      </c>
      <c r="S60" s="67">
        <f>求节点($C$49:$C$54,H$49:H$54,投放验证!AG60)</f>
        <v>0.61</v>
      </c>
      <c r="T60" s="75">
        <f>MAX(SUMPRODUCT(O60:S60,基础状态预期!T60:X60)/6,T59)</f>
        <v>0.59261137218274973</v>
      </c>
      <c r="V60" s="12">
        <v>55</v>
      </c>
      <c r="W60" s="12">
        <f t="shared" si="0"/>
        <v>0.16546858458859526</v>
      </c>
      <c r="X60" s="12">
        <f t="shared" si="1"/>
        <v>0.16994427393570499</v>
      </c>
      <c r="Y60" s="12">
        <f t="shared" si="2"/>
        <v>0.19172882720748952</v>
      </c>
      <c r="Z60" s="12">
        <f t="shared" si="3"/>
        <v>0.22845531406234876</v>
      </c>
      <c r="AA60" s="12">
        <f t="shared" si="4"/>
        <v>0.3483754010954454</v>
      </c>
    </row>
    <row r="61" spans="2:27" x14ac:dyDescent="0.15">
      <c r="B61" s="147"/>
      <c r="C61" s="53">
        <v>0</v>
      </c>
      <c r="D61" s="53"/>
      <c r="E61" s="53">
        <f>SUM(E$5:E5)</f>
        <v>1</v>
      </c>
      <c r="F61" s="53">
        <f>SUM(F$5:F5)</f>
        <v>1</v>
      </c>
      <c r="G61" s="53">
        <f>SUM(G$5:G5)</f>
        <v>1</v>
      </c>
      <c r="H61" s="53">
        <f>SUM(H$5:H5)</f>
        <v>1</v>
      </c>
      <c r="N61" s="53">
        <v>140</v>
      </c>
      <c r="O61" s="58"/>
      <c r="P61" s="67">
        <f>求节点($C$49:$C$54,E$49:E$54,投放验证!AD61)</f>
        <v>0.12</v>
      </c>
      <c r="Q61" s="67">
        <f>求节点($C$49:$C$54,F$49:F$54,投放验证!AE61)</f>
        <v>0.24</v>
      </c>
      <c r="R61" s="67">
        <f>求节点($C$49:$C$54,G$49:G$54,投放验证!AF61)</f>
        <v>0.52179510367683157</v>
      </c>
      <c r="S61" s="67">
        <f>求节点($C$49:$C$54,H$49:H$54,投放验证!AG61)</f>
        <v>0.61</v>
      </c>
      <c r="T61" s="75">
        <f>MAX(SUMPRODUCT(O61:S61,基础状态预期!T61:X61)/6,T60)</f>
        <v>0.59529918394613857</v>
      </c>
      <c r="V61" s="12">
        <v>56</v>
      </c>
      <c r="W61" s="12">
        <f t="shared" si="0"/>
        <v>0.18354153433754286</v>
      </c>
      <c r="X61" s="12">
        <f t="shared" si="1"/>
        <v>0.18712208581523065</v>
      </c>
      <c r="Y61" s="12">
        <f t="shared" si="2"/>
        <v>0.20454972843265826</v>
      </c>
      <c r="Z61" s="12">
        <f t="shared" si="3"/>
        <v>0.23533300866026891</v>
      </c>
      <c r="AA61" s="12">
        <f t="shared" si="4"/>
        <v>0.3663710210889225</v>
      </c>
    </row>
    <row r="62" spans="2:27" x14ac:dyDescent="0.15">
      <c r="B62" s="147"/>
      <c r="C62" s="53">
        <v>1</v>
      </c>
      <c r="D62" s="53"/>
      <c r="E62" s="53">
        <f>SUM(E$5:E6)</f>
        <v>2</v>
      </c>
      <c r="F62" s="53">
        <f>SUM(F$5:F6)</f>
        <v>2</v>
      </c>
      <c r="G62" s="53">
        <f>SUM(G$5:G6)</f>
        <v>2</v>
      </c>
      <c r="H62" s="53">
        <f>SUM(H$5:H6)</f>
        <v>2</v>
      </c>
      <c r="N62" s="53">
        <v>150</v>
      </c>
      <c r="O62" s="58"/>
      <c r="P62" s="67">
        <f>求节点($C$49:$C$54,E$49:E$54,投放验证!AD62)</f>
        <v>0.12</v>
      </c>
      <c r="Q62" s="67">
        <f>求节点($C$49:$C$54,F$49:F$54,投放验证!AE62)</f>
        <v>0.24</v>
      </c>
      <c r="R62" s="67">
        <f>求节点($C$49:$C$54,G$49:G$54,投放验证!AF62)</f>
        <v>0.53792197425716493</v>
      </c>
      <c r="S62" s="67">
        <f>求节点($C$49:$C$54,H$49:H$54,投放验证!AG62)</f>
        <v>0.61</v>
      </c>
      <c r="T62" s="75">
        <f>MAX(SUMPRODUCT(O62:S62,基础状态预期!T62:X62)/6,T61)</f>
        <v>0.59798699570952751</v>
      </c>
      <c r="V62" s="12">
        <v>57</v>
      </c>
      <c r="W62" s="12">
        <f t="shared" si="0"/>
        <v>0.20161448408649046</v>
      </c>
      <c r="X62" s="12">
        <f t="shared" si="1"/>
        <v>0.20429989769475632</v>
      </c>
      <c r="Y62" s="12">
        <f t="shared" si="2"/>
        <v>0.21737062965782702</v>
      </c>
      <c r="Z62" s="12">
        <f t="shared" si="3"/>
        <v>0.24221070325818905</v>
      </c>
      <c r="AA62" s="12">
        <f t="shared" si="4"/>
        <v>0.3843666410823996</v>
      </c>
    </row>
    <row r="63" spans="2:27" x14ac:dyDescent="0.15">
      <c r="B63" s="147"/>
      <c r="C63" s="53">
        <v>2</v>
      </c>
      <c r="D63" s="53"/>
      <c r="E63" s="53">
        <f>SUM(E$5:E7)</f>
        <v>4</v>
      </c>
      <c r="F63" s="53">
        <f>SUM(F$5:F7)</f>
        <v>4</v>
      </c>
      <c r="G63" s="53">
        <f>SUM(G$5:G7)</f>
        <v>3</v>
      </c>
      <c r="H63" s="53">
        <f>SUM(H$5:H7)</f>
        <v>3</v>
      </c>
      <c r="N63" s="53">
        <v>160</v>
      </c>
      <c r="O63" s="58"/>
      <c r="P63" s="67">
        <f>求节点($C$49:$C$54,E$49:E$54,投放验证!AD63)</f>
        <v>0.12</v>
      </c>
      <c r="Q63" s="67">
        <f>求节点($C$49:$C$54,F$49:F$54,投放验证!AE63)</f>
        <v>0.24</v>
      </c>
      <c r="R63" s="67">
        <f>求节点($C$49:$C$54,G$49:G$54,投放验证!AF63)</f>
        <v>0.54</v>
      </c>
      <c r="S63" s="67">
        <f>求节点($C$49:$C$54,H$49:H$54,投放验证!AG63)</f>
        <v>0.61</v>
      </c>
      <c r="T63" s="75">
        <f>MAX(SUMPRODUCT(O63:S63,基础状态预期!T63:X63)/6,T62)</f>
        <v>0.59833333333333327</v>
      </c>
      <c r="V63" s="12">
        <v>58</v>
      </c>
      <c r="W63" s="12">
        <f t="shared" si="0"/>
        <v>0.2196874338354381</v>
      </c>
      <c r="X63" s="12">
        <f t="shared" si="1"/>
        <v>0.22147770957428198</v>
      </c>
      <c r="Y63" s="12">
        <f t="shared" si="2"/>
        <v>0.23019153088299577</v>
      </c>
      <c r="Z63" s="12">
        <f t="shared" si="3"/>
        <v>0.2490883978561092</v>
      </c>
      <c r="AA63" s="12">
        <f t="shared" si="4"/>
        <v>0.40236226107587669</v>
      </c>
    </row>
    <row r="64" spans="2:27" x14ac:dyDescent="0.15">
      <c r="B64" s="147"/>
      <c r="C64" s="53">
        <v>3</v>
      </c>
      <c r="D64" s="53"/>
      <c r="E64" s="53">
        <f>SUM(E$5:E8)</f>
        <v>8</v>
      </c>
      <c r="F64" s="53">
        <f>SUM(F$5:F8)</f>
        <v>8</v>
      </c>
      <c r="G64" s="53">
        <f>SUM(G$5:G8)</f>
        <v>5</v>
      </c>
      <c r="H64" s="53">
        <f>SUM(H$5:H8)</f>
        <v>4</v>
      </c>
      <c r="V64" s="12">
        <v>59</v>
      </c>
      <c r="W64" s="12">
        <f t="shared" si="0"/>
        <v>0.23776038358438567</v>
      </c>
      <c r="X64" s="12">
        <f t="shared" si="1"/>
        <v>0.23865552145380764</v>
      </c>
      <c r="Y64" s="12">
        <f t="shared" si="2"/>
        <v>0.24301243210816453</v>
      </c>
      <c r="Z64" s="12">
        <f t="shared" si="3"/>
        <v>0.25596609245402935</v>
      </c>
      <c r="AA64" s="12">
        <f t="shared" si="4"/>
        <v>0.42035788106935384</v>
      </c>
    </row>
    <row r="65" spans="2:27" x14ac:dyDescent="0.15">
      <c r="B65" s="147"/>
      <c r="C65" s="53">
        <v>4</v>
      </c>
      <c r="D65" s="53"/>
      <c r="E65" s="53">
        <f>SUM(E$5:E9)</f>
        <v>16</v>
      </c>
      <c r="F65" s="53">
        <f>SUM(F$5:F9)</f>
        <v>16</v>
      </c>
      <c r="G65" s="53">
        <f>SUM(G$5:G9)</f>
        <v>9</v>
      </c>
      <c r="H65" s="53">
        <f>SUM(H$5:H9)</f>
        <v>6</v>
      </c>
      <c r="V65" s="12">
        <v>60</v>
      </c>
      <c r="W65" s="12">
        <f t="shared" si="0"/>
        <v>0.2558333333333333</v>
      </c>
      <c r="X65" s="12">
        <f t="shared" si="1"/>
        <v>0.2558333333333333</v>
      </c>
      <c r="Y65" s="12">
        <f t="shared" si="2"/>
        <v>0.2558333333333333</v>
      </c>
      <c r="Z65" s="12">
        <f t="shared" si="3"/>
        <v>0.2628437870519495</v>
      </c>
      <c r="AA65" s="12">
        <f t="shared" si="4"/>
        <v>0.43835350106283094</v>
      </c>
    </row>
    <row r="66" spans="2:27" x14ac:dyDescent="0.15">
      <c r="B66" s="147"/>
      <c r="C66" s="53">
        <v>5</v>
      </c>
      <c r="D66" s="53"/>
      <c r="E66" s="53">
        <f>SUM(E$5:E10)</f>
        <v>32</v>
      </c>
      <c r="F66" s="53">
        <f>SUM(F$5:F10)</f>
        <v>32</v>
      </c>
      <c r="G66" s="53">
        <f>SUM(G$5:G10)</f>
        <v>17</v>
      </c>
      <c r="H66" s="53">
        <f>SUM(H$5:H10)</f>
        <v>10</v>
      </c>
      <c r="V66" s="12">
        <v>61</v>
      </c>
      <c r="W66" s="12">
        <f t="shared" si="0"/>
        <v>0.25818786608820227</v>
      </c>
      <c r="X66" s="12">
        <f t="shared" si="1"/>
        <v>0.26122205516146274</v>
      </c>
      <c r="Y66" s="12">
        <f t="shared" si="2"/>
        <v>0.26808858453547252</v>
      </c>
      <c r="Z66" s="12">
        <f t="shared" si="3"/>
        <v>0.28684929293286127</v>
      </c>
      <c r="AA66" s="12">
        <f t="shared" si="4"/>
        <v>0.4517323945701564</v>
      </c>
    </row>
    <row r="67" spans="2:27" x14ac:dyDescent="0.15">
      <c r="B67" s="147"/>
      <c r="C67" s="53"/>
      <c r="D67" s="60"/>
      <c r="E67" s="60"/>
      <c r="F67" s="60"/>
      <c r="G67" s="60"/>
      <c r="H67" s="60"/>
      <c r="N67" s="59" t="s">
        <v>281</v>
      </c>
      <c r="O67" s="142" t="s">
        <v>273</v>
      </c>
      <c r="P67" s="142"/>
      <c r="Q67" s="142"/>
      <c r="R67" s="142"/>
      <c r="S67" s="142"/>
      <c r="V67" s="12">
        <v>62</v>
      </c>
      <c r="W67" s="12">
        <f t="shared" si="0"/>
        <v>0.26054239884307118</v>
      </c>
      <c r="X67" s="12">
        <f t="shared" si="1"/>
        <v>0.26661077698959212</v>
      </c>
      <c r="Y67" s="12">
        <f t="shared" si="2"/>
        <v>0.28034383573761174</v>
      </c>
      <c r="Z67" s="12">
        <f t="shared" si="3"/>
        <v>0.31085479881377298</v>
      </c>
      <c r="AA67" s="12">
        <f t="shared" si="4"/>
        <v>0.46511128807748181</v>
      </c>
    </row>
    <row r="68" spans="2:27" x14ac:dyDescent="0.15">
      <c r="B68" s="147"/>
      <c r="C68" s="53"/>
      <c r="D68" s="60"/>
      <c r="E68" s="60"/>
      <c r="F68" s="60"/>
      <c r="G68" s="60"/>
      <c r="H68" s="60"/>
      <c r="N68" s="53" t="s">
        <v>161</v>
      </c>
      <c r="O68" s="58" t="s">
        <v>25</v>
      </c>
      <c r="P68" s="58" t="s">
        <v>1</v>
      </c>
      <c r="Q68" s="58" t="s">
        <v>2</v>
      </c>
      <c r="R68" s="58" t="s">
        <v>0</v>
      </c>
      <c r="S68" s="58" t="s">
        <v>217</v>
      </c>
      <c r="T68" s="75" t="s">
        <v>286</v>
      </c>
      <c r="V68" s="12">
        <v>63</v>
      </c>
      <c r="W68" s="12">
        <f t="shared" si="0"/>
        <v>0.26289693159794014</v>
      </c>
      <c r="X68" s="12">
        <f t="shared" si="1"/>
        <v>0.27199949881772156</v>
      </c>
      <c r="Y68" s="12">
        <f t="shared" si="2"/>
        <v>0.29259908693975095</v>
      </c>
      <c r="Z68" s="12">
        <f t="shared" si="3"/>
        <v>0.33486030469468475</v>
      </c>
      <c r="AA68" s="12">
        <f t="shared" si="4"/>
        <v>0.47849018158480727</v>
      </c>
    </row>
    <row r="69" spans="2:27" x14ac:dyDescent="0.15">
      <c r="B69" s="148"/>
      <c r="C69" s="53"/>
      <c r="D69" s="60"/>
      <c r="E69" s="60"/>
      <c r="F69" s="60"/>
      <c r="G69" s="60"/>
      <c r="H69" s="60"/>
      <c r="N69" s="53">
        <v>5</v>
      </c>
      <c r="O69" s="58"/>
      <c r="P69" s="67">
        <f>求节点($C$49:$C$54,E$49:E$54,投放验证!AD69)</f>
        <v>0.02</v>
      </c>
      <c r="Q69" s="67">
        <f>求节点($C$49:$C$54,F$49:F$54,投放验证!AE69)</f>
        <v>0.04</v>
      </c>
      <c r="R69" s="67">
        <f>求节点($C$49:$C$54,G$49:G$54,投放验证!AF69)</f>
        <v>0.24</v>
      </c>
      <c r="S69" s="67">
        <f>求节点($C$49:$C$54,H$49:H$54,投放验证!AG69)</f>
        <v>0.33500000000000002</v>
      </c>
      <c r="T69" s="76">
        <f>SUMPRODUCT(O69:S69,基础状态预期!Y69:AC69)/6</f>
        <v>0</v>
      </c>
      <c r="V69" s="12">
        <v>64</v>
      </c>
      <c r="W69" s="12">
        <f t="shared" si="0"/>
        <v>0.26525146435280911</v>
      </c>
      <c r="X69" s="12">
        <f t="shared" si="1"/>
        <v>0.277388220645851</v>
      </c>
      <c r="Y69" s="12">
        <f t="shared" si="2"/>
        <v>0.30485433814189017</v>
      </c>
      <c r="Z69" s="12">
        <f t="shared" si="3"/>
        <v>0.35886581057559652</v>
      </c>
      <c r="AA69" s="12">
        <f t="shared" si="4"/>
        <v>0.49186907509213273</v>
      </c>
    </row>
    <row r="70" spans="2:27" x14ac:dyDescent="0.15">
      <c r="N70" s="53">
        <v>10</v>
      </c>
      <c r="O70" s="58"/>
      <c r="P70" s="67">
        <f>求节点($C$49:$C$54,E$49:E$54,投放验证!AD70)</f>
        <v>0.02</v>
      </c>
      <c r="Q70" s="67">
        <f>求节点($C$49:$C$54,F$49:F$54,投放验证!AE70)</f>
        <v>0.04</v>
      </c>
      <c r="R70" s="67">
        <f>求节点($C$49:$C$54,G$49:G$54,投放验证!AF70)</f>
        <v>0.24</v>
      </c>
      <c r="S70" s="67">
        <f>求节点($C$49:$C$54,H$49:H$54,投放验证!AG70)</f>
        <v>0.33500000000000002</v>
      </c>
      <c r="T70" s="75">
        <f>MAX(SUMPRODUCT(O70:S70,基础状态预期!T70:X70)/6,T69)</f>
        <v>0</v>
      </c>
      <c r="V70" s="12">
        <v>65</v>
      </c>
      <c r="W70" s="12">
        <f t="shared" si="0"/>
        <v>0.26760599710767807</v>
      </c>
      <c r="X70" s="12">
        <f t="shared" si="1"/>
        <v>0.28277694247398044</v>
      </c>
      <c r="Y70" s="12">
        <f t="shared" si="2"/>
        <v>0.31710958934402944</v>
      </c>
      <c r="Z70" s="12">
        <f t="shared" si="3"/>
        <v>0.38287131645650829</v>
      </c>
      <c r="AA70" s="12">
        <f t="shared" si="4"/>
        <v>0.5052479685994582</v>
      </c>
    </row>
    <row r="71" spans="2:27" x14ac:dyDescent="0.15">
      <c r="N71" s="53">
        <v>15</v>
      </c>
      <c r="O71" s="58"/>
      <c r="P71" s="67">
        <f>求节点($C$49:$C$54,E$49:E$54,投放验证!AD71)</f>
        <v>0.02</v>
      </c>
      <c r="Q71" s="67">
        <f>求节点($C$49:$C$54,F$49:F$54,投放验证!AE71)</f>
        <v>0.04</v>
      </c>
      <c r="R71" s="67">
        <f>求节点($C$49:$C$54,G$49:G$54,投放验证!AF71)</f>
        <v>0.24</v>
      </c>
      <c r="S71" s="67">
        <f>求节点($C$49:$C$54,H$49:H$54,投放验证!AG71)</f>
        <v>0.33500000000000002</v>
      </c>
      <c r="T71" s="75">
        <f>MAX(SUMPRODUCT(O71:S71,基础状态预期!T71:X71)/6,T70)</f>
        <v>0</v>
      </c>
      <c r="V71" s="12">
        <v>66</v>
      </c>
      <c r="W71" s="12">
        <f t="shared" ref="W71:W134" si="5">求节点($N$17:$N$37,$T$17:$T$37,$V71)</f>
        <v>0.26996052986254698</v>
      </c>
      <c r="X71" s="12">
        <f t="shared" ref="X71:X134" si="6">求节点($N$43:$N$63,$T$43:$T$63,$V71)</f>
        <v>0.28816566430210983</v>
      </c>
      <c r="Y71" s="12">
        <f t="shared" ref="Y71:Y134" si="7">求节点($N$69:$N$89,$T$69:$T$89,$V71)</f>
        <v>0.32936484054616866</v>
      </c>
      <c r="Z71" s="12">
        <f t="shared" ref="Z71:Z134" si="8">求节点($N$95:$N$115,$T$95:$T$115,$V71)</f>
        <v>0.40687682233742001</v>
      </c>
      <c r="AA71" s="12">
        <f t="shared" ref="AA71:AA134" si="9">求节点($N$121:$N$141,$T$121:$T$141,$V71)</f>
        <v>0.51862686210678355</v>
      </c>
    </row>
    <row r="72" spans="2:27" x14ac:dyDescent="0.15">
      <c r="N72" s="53">
        <v>20</v>
      </c>
      <c r="O72" s="58"/>
      <c r="P72" s="67">
        <f>求节点($C$49:$C$54,E$49:E$54,投放验证!AD72)</f>
        <v>0.02</v>
      </c>
      <c r="Q72" s="67">
        <f>求节点($C$49:$C$54,F$49:F$54,投放验证!AE72)</f>
        <v>0.04</v>
      </c>
      <c r="R72" s="67">
        <f>求节点($C$49:$C$54,G$49:G$54,投放验证!AF72)</f>
        <v>0.24</v>
      </c>
      <c r="S72" s="67">
        <f>求节点($C$49:$C$54,H$49:H$54,投放验证!AG72)</f>
        <v>0.33500000000000002</v>
      </c>
      <c r="T72" s="75">
        <f>MAX(SUMPRODUCT(O72:S72,基础状态预期!T72:X72)/6,T71)</f>
        <v>0</v>
      </c>
      <c r="V72" s="12">
        <v>67</v>
      </c>
      <c r="W72" s="12">
        <f t="shared" si="5"/>
        <v>0.27231506261741595</v>
      </c>
      <c r="X72" s="12">
        <f t="shared" si="6"/>
        <v>0.29355438613023926</v>
      </c>
      <c r="Y72" s="12">
        <f t="shared" si="7"/>
        <v>0.34162009174830787</v>
      </c>
      <c r="Z72" s="12">
        <f t="shared" si="8"/>
        <v>0.43088232821833178</v>
      </c>
      <c r="AA72" s="12">
        <f t="shared" si="9"/>
        <v>0.53200575561410901</v>
      </c>
    </row>
    <row r="73" spans="2:27" x14ac:dyDescent="0.15">
      <c r="N73" s="53">
        <v>25</v>
      </c>
      <c r="O73" s="58"/>
      <c r="P73" s="67">
        <f>求节点($C$49:$C$54,E$49:E$54,投放验证!AD73)</f>
        <v>0.02</v>
      </c>
      <c r="Q73" s="67">
        <f>求节点($C$49:$C$54,F$49:F$54,投放验证!AE73)</f>
        <v>0.04</v>
      </c>
      <c r="R73" s="67">
        <f>求节点($C$49:$C$54,G$49:G$54,投放验证!AF73)</f>
        <v>0.24</v>
      </c>
      <c r="S73" s="67">
        <f>求节点($C$49:$C$54,H$49:H$54,投放验证!AG73)</f>
        <v>0.33500000000000002</v>
      </c>
      <c r="T73" s="75">
        <f>MAX(SUMPRODUCT(O73:S73,基础状态预期!T73:X73)/6,T72)</f>
        <v>0</v>
      </c>
      <c r="V73" s="12">
        <v>68</v>
      </c>
      <c r="W73" s="12">
        <f t="shared" si="5"/>
        <v>0.27466959537228491</v>
      </c>
      <c r="X73" s="12">
        <f t="shared" si="6"/>
        <v>0.2989431079583687</v>
      </c>
      <c r="Y73" s="12">
        <f t="shared" si="7"/>
        <v>0.35387534295044709</v>
      </c>
      <c r="Z73" s="12">
        <f t="shared" si="8"/>
        <v>0.45488783409924349</v>
      </c>
      <c r="AA73" s="12">
        <f t="shared" si="9"/>
        <v>0.54538464912143447</v>
      </c>
    </row>
    <row r="74" spans="2:27" x14ac:dyDescent="0.15">
      <c r="N74" s="53">
        <v>30</v>
      </c>
      <c r="O74" s="58"/>
      <c r="P74" s="67">
        <f>求节点($C$49:$C$54,E$49:E$54,投放验证!AD74)</f>
        <v>0.02</v>
      </c>
      <c r="Q74" s="67">
        <f>求节点($C$49:$C$54,F$49:F$54,投放验证!AE74)</f>
        <v>0.04</v>
      </c>
      <c r="R74" s="67">
        <f>求节点($C$49:$C$54,G$49:G$54,投放验证!AF74)</f>
        <v>0.24</v>
      </c>
      <c r="S74" s="67">
        <f>求节点($C$49:$C$54,H$49:H$54,投放验证!AG74)</f>
        <v>0.33500000000000002</v>
      </c>
      <c r="T74" s="75">
        <f>MAX(SUMPRODUCT(O74:S74,基础状态预期!T74:X74)/6,T73)</f>
        <v>0</v>
      </c>
      <c r="V74" s="12">
        <v>69</v>
      </c>
      <c r="W74" s="12">
        <f t="shared" si="5"/>
        <v>0.27702412812715382</v>
      </c>
      <c r="X74" s="12">
        <f t="shared" si="6"/>
        <v>0.30433182978649809</v>
      </c>
      <c r="Y74" s="12">
        <f t="shared" si="7"/>
        <v>0.36613059415258631</v>
      </c>
      <c r="Z74" s="12">
        <f t="shared" si="8"/>
        <v>0.47889333998015526</v>
      </c>
      <c r="AA74" s="12">
        <f t="shared" si="9"/>
        <v>0.55876354262875993</v>
      </c>
    </row>
    <row r="75" spans="2:27" x14ac:dyDescent="0.15">
      <c r="N75" s="53">
        <v>35</v>
      </c>
      <c r="O75" s="58"/>
      <c r="P75" s="67">
        <f>求节点($C$49:$C$54,E$49:E$54,投放验证!AD75)</f>
        <v>0.02</v>
      </c>
      <c r="Q75" s="67">
        <f>求节点($C$49:$C$54,F$49:F$54,投放验证!AE75)</f>
        <v>0.04</v>
      </c>
      <c r="R75" s="67">
        <f>求节点($C$49:$C$54,G$49:G$54,投放验证!AF75)</f>
        <v>0.24</v>
      </c>
      <c r="S75" s="67">
        <f>求节点($C$49:$C$54,H$49:H$54,投放验证!AG75)</f>
        <v>0.33500000000000002</v>
      </c>
      <c r="T75" s="75">
        <f>MAX(SUMPRODUCT(O75:S75,基础状态预期!T75:X75)/6,T74)</f>
        <v>0</v>
      </c>
      <c r="V75" s="12">
        <v>70</v>
      </c>
      <c r="W75" s="12">
        <f t="shared" si="5"/>
        <v>0.27937866088202279</v>
      </c>
      <c r="X75" s="12">
        <f t="shared" si="6"/>
        <v>0.30972055161462753</v>
      </c>
      <c r="Y75" s="12">
        <f t="shared" si="7"/>
        <v>0.37838584535472553</v>
      </c>
      <c r="Z75" s="12">
        <f t="shared" si="8"/>
        <v>0.50289884586106703</v>
      </c>
      <c r="AA75" s="12">
        <f t="shared" si="9"/>
        <v>0.5721424361360854</v>
      </c>
    </row>
    <row r="76" spans="2:27" x14ac:dyDescent="0.15">
      <c r="N76" s="53">
        <v>40</v>
      </c>
      <c r="O76" s="58"/>
      <c r="P76" s="67">
        <f>求节点($C$49:$C$54,E$49:E$54,投放验证!AD76)</f>
        <v>0.02</v>
      </c>
      <c r="Q76" s="67">
        <f>求节点($C$49:$C$54,F$49:F$54,投放验证!AE76)</f>
        <v>0.04</v>
      </c>
      <c r="R76" s="67">
        <f>求节点($C$49:$C$54,G$49:G$54,投放验证!AF76)</f>
        <v>0.24</v>
      </c>
      <c r="S76" s="67">
        <f>求节点($C$49:$C$54,H$49:H$54,投放验证!AG76)</f>
        <v>0.33500000000000002</v>
      </c>
      <c r="T76" s="75">
        <f>MAX(SUMPRODUCT(O76:S76,基础状态预期!T76:X76)/6,T75)</f>
        <v>0.01</v>
      </c>
      <c r="V76" s="12">
        <v>71</v>
      </c>
      <c r="W76" s="12">
        <f t="shared" si="5"/>
        <v>0.29174480640986789</v>
      </c>
      <c r="X76" s="12">
        <f t="shared" si="6"/>
        <v>0.32380243645187118</v>
      </c>
      <c r="Y76" s="12">
        <f t="shared" si="7"/>
        <v>0.39119515783344316</v>
      </c>
      <c r="Z76" s="12">
        <f t="shared" si="8"/>
        <v>0.51055788148906567</v>
      </c>
      <c r="AA76" s="12">
        <f t="shared" si="9"/>
        <v>0.57334523671459547</v>
      </c>
    </row>
    <row r="77" spans="2:27" x14ac:dyDescent="0.15">
      <c r="N77" s="53">
        <v>45</v>
      </c>
      <c r="O77" s="58"/>
      <c r="P77" s="67">
        <f>求节点($C$49:$C$54,E$49:E$54,投放验证!AD77)</f>
        <v>5.5163376960168396E-2</v>
      </c>
      <c r="Q77" s="67">
        <f>求节点($C$49:$C$54,F$49:F$54,投放验证!AE77)</f>
        <v>0.04</v>
      </c>
      <c r="R77" s="67">
        <f>求节点($C$49:$C$54,G$49:G$54,投放验证!AF77)</f>
        <v>0.24</v>
      </c>
      <c r="S77" s="67">
        <f>求节点($C$49:$C$54,H$49:H$54,投放验证!AG77)</f>
        <v>0.33500000000000002</v>
      </c>
      <c r="T77" s="75">
        <f>MAX(SUMPRODUCT(O77:S77,基础状态预期!T77:X77)/6,T76)</f>
        <v>7.5860562826694733E-2</v>
      </c>
      <c r="V77" s="12">
        <v>72</v>
      </c>
      <c r="W77" s="12">
        <f t="shared" si="5"/>
        <v>0.30411095193771298</v>
      </c>
      <c r="X77" s="12">
        <f t="shared" si="6"/>
        <v>0.33788432128911489</v>
      </c>
      <c r="Y77" s="12">
        <f t="shared" si="7"/>
        <v>0.4040044703121608</v>
      </c>
      <c r="Z77" s="12">
        <f t="shared" si="8"/>
        <v>0.5182169171170643</v>
      </c>
      <c r="AA77" s="12">
        <f t="shared" si="9"/>
        <v>0.57454803729310566</v>
      </c>
    </row>
    <row r="78" spans="2:27" x14ac:dyDescent="0.15">
      <c r="N78" s="53">
        <v>50</v>
      </c>
      <c r="O78" s="58"/>
      <c r="P78" s="67">
        <f>求节点($C$49:$C$54,E$49:E$54,投放验证!AD78)</f>
        <v>8.0386980795525753E-2</v>
      </c>
      <c r="Q78" s="67">
        <f>求节点($C$49:$C$54,F$49:F$54,投放验证!AE78)</f>
        <v>7.1436481622468573E-2</v>
      </c>
      <c r="R78" s="67">
        <f>求节点($C$49:$C$54,G$49:G$54,投放验证!AF78)</f>
        <v>0.24</v>
      </c>
      <c r="S78" s="67">
        <f>求节点($C$49:$C$54,H$49:H$54,投放验证!AG78)</f>
        <v>0.33500000000000002</v>
      </c>
      <c r="T78" s="75">
        <f>MAX(SUMPRODUCT(O78:S78,基础状态预期!T78:X78)/6,T77)</f>
        <v>0.1276243210816457</v>
      </c>
      <c r="V78" s="12">
        <v>73</v>
      </c>
      <c r="W78" s="12">
        <f t="shared" si="5"/>
        <v>0.31647709746555808</v>
      </c>
      <c r="X78" s="12">
        <f t="shared" si="6"/>
        <v>0.35196620612635854</v>
      </c>
      <c r="Y78" s="12">
        <f t="shared" si="7"/>
        <v>0.41681378279087844</v>
      </c>
      <c r="Z78" s="12">
        <f t="shared" si="8"/>
        <v>0.52587595274506294</v>
      </c>
      <c r="AA78" s="12">
        <f t="shared" si="9"/>
        <v>0.57575083787161574</v>
      </c>
    </row>
    <row r="79" spans="2:27" x14ac:dyDescent="0.15">
      <c r="N79" s="53">
        <v>60</v>
      </c>
      <c r="O79" s="58"/>
      <c r="P79" s="67">
        <f>求节点($C$49:$C$54,E$49:E$54,投放验证!AD79)</f>
        <v>0.11487547334783951</v>
      </c>
      <c r="Q79" s="67">
        <f>求节点($C$49:$C$54,F$49:F$54,投放验证!AE79)</f>
        <v>0.1573808396088304</v>
      </c>
      <c r="R79" s="67">
        <f>求节点($C$49:$C$54,G$49:G$54,投放验证!AF79)</f>
        <v>0.24</v>
      </c>
      <c r="S79" s="67">
        <f>求节点($C$49:$C$54,H$49:H$54,投放验证!AG79)</f>
        <v>0.33500000000000002</v>
      </c>
      <c r="T79" s="75">
        <f>MAX(SUMPRODUCT(O79:S79,基础状态预期!T79:X79)/6,T78)</f>
        <v>0.2558333333333333</v>
      </c>
      <c r="V79" s="12">
        <v>74</v>
      </c>
      <c r="W79" s="12">
        <f t="shared" si="5"/>
        <v>0.32884324299340317</v>
      </c>
      <c r="X79" s="12">
        <f t="shared" si="6"/>
        <v>0.36604809096360219</v>
      </c>
      <c r="Y79" s="12">
        <f t="shared" si="7"/>
        <v>0.42962309526959602</v>
      </c>
      <c r="Z79" s="12">
        <f t="shared" si="8"/>
        <v>0.53353498837306157</v>
      </c>
      <c r="AA79" s="12">
        <f t="shared" si="9"/>
        <v>0.57695363845012582</v>
      </c>
    </row>
    <row r="80" spans="2:27" x14ac:dyDescent="0.15">
      <c r="N80" s="53">
        <v>70</v>
      </c>
      <c r="O80" s="58"/>
      <c r="P80" s="67">
        <f>求节点($C$49:$C$54,E$49:E$54,投放验证!AD80)</f>
        <v>0.12</v>
      </c>
      <c r="Q80" s="67">
        <f>求节点($C$49:$C$54,F$49:F$54,投放验证!AE80)</f>
        <v>0.23302669503757442</v>
      </c>
      <c r="R80" s="67">
        <f>求节点($C$49:$C$54,G$49:G$54,投放验证!AF80)</f>
        <v>0.26923924051328424</v>
      </c>
      <c r="S80" s="67">
        <f>求节点($C$49:$C$54,H$49:H$54,投放验证!AG80)</f>
        <v>0.49473192248509024</v>
      </c>
      <c r="T80" s="75">
        <f>MAX(SUMPRODUCT(O80:S80,基础状态预期!T80:X80)/6,T79)</f>
        <v>0.37838584535472553</v>
      </c>
      <c r="V80" s="12">
        <v>75</v>
      </c>
      <c r="W80" s="12">
        <f t="shared" si="5"/>
        <v>0.34120938852124827</v>
      </c>
      <c r="X80" s="12">
        <f t="shared" si="6"/>
        <v>0.38012997580084584</v>
      </c>
      <c r="Y80" s="12">
        <f t="shared" si="7"/>
        <v>0.44243240774831366</v>
      </c>
      <c r="Z80" s="12">
        <f t="shared" si="8"/>
        <v>0.5411940240010602</v>
      </c>
      <c r="AA80" s="12">
        <f t="shared" si="9"/>
        <v>0.578156439028636</v>
      </c>
    </row>
    <row r="81" spans="14:27" x14ac:dyDescent="0.15">
      <c r="N81" s="53">
        <v>80</v>
      </c>
      <c r="O81" s="58"/>
      <c r="P81" s="67">
        <f>求节点($C$49:$C$54,E$49:E$54,投放验证!AD81)</f>
        <v>0.12</v>
      </c>
      <c r="Q81" s="67">
        <f>求节点($C$49:$C$54,F$49:F$54,投放验证!AE81)</f>
        <v>0.24</v>
      </c>
      <c r="R81" s="67">
        <f>求节点($C$49:$C$54,G$49:G$54,投放验证!AF81)</f>
        <v>0.34392938811787832</v>
      </c>
      <c r="S81" s="67">
        <f>求节点($C$49:$C$54,H$49:H$54,投放验证!AG81)</f>
        <v>0.57111377253966111</v>
      </c>
      <c r="T81" s="75">
        <f>MAX(SUMPRODUCT(O81:S81,基础状态预期!T81:X81)/6,T80)</f>
        <v>0.5064789701419018</v>
      </c>
      <c r="V81" s="12">
        <v>76</v>
      </c>
      <c r="W81" s="12">
        <f t="shared" si="5"/>
        <v>0.35357553404909337</v>
      </c>
      <c r="X81" s="12">
        <f t="shared" si="6"/>
        <v>0.39421186063808955</v>
      </c>
      <c r="Y81" s="12">
        <f t="shared" si="7"/>
        <v>0.4552417202270313</v>
      </c>
      <c r="Z81" s="12">
        <f t="shared" si="8"/>
        <v>0.54885305962905895</v>
      </c>
      <c r="AA81" s="12">
        <f t="shared" si="9"/>
        <v>0.57935923960714608</v>
      </c>
    </row>
    <row r="82" spans="14:27" x14ac:dyDescent="0.15">
      <c r="N82" s="53">
        <v>90</v>
      </c>
      <c r="O82" s="58"/>
      <c r="P82" s="67">
        <f>求节点($C$49:$C$54,E$49:E$54,投放验证!AD82)</f>
        <v>0.12</v>
      </c>
      <c r="Q82" s="67">
        <f>求节点($C$49:$C$54,F$49:F$54,投放验证!AE82)</f>
        <v>0.24</v>
      </c>
      <c r="R82" s="67">
        <f>求节点($C$49:$C$54,G$49:G$54,投放验证!AF82)</f>
        <v>0.42521917645236396</v>
      </c>
      <c r="S82" s="67">
        <f>求节点($C$49:$C$54,H$49:H$54,投放验证!AG82)</f>
        <v>0.61</v>
      </c>
      <c r="T82" s="75">
        <f>MAX(SUMPRODUCT(O82:S82,基础状态预期!T82:X82)/6,T81)</f>
        <v>0.57920319607539394</v>
      </c>
      <c r="V82" s="12">
        <v>77</v>
      </c>
      <c r="W82" s="12">
        <f t="shared" si="5"/>
        <v>0.36594167957693852</v>
      </c>
      <c r="X82" s="12">
        <f t="shared" si="6"/>
        <v>0.4082937454753332</v>
      </c>
      <c r="Y82" s="12">
        <f t="shared" si="7"/>
        <v>0.46805103270574894</v>
      </c>
      <c r="Z82" s="12">
        <f t="shared" si="8"/>
        <v>0.55651209525705758</v>
      </c>
      <c r="AA82" s="12">
        <f t="shared" si="9"/>
        <v>0.58056204018565616</v>
      </c>
    </row>
    <row r="83" spans="14:27" x14ac:dyDescent="0.15">
      <c r="N83" s="53">
        <v>100</v>
      </c>
      <c r="O83" s="58"/>
      <c r="P83" s="67">
        <f>求节点($C$49:$C$54,E$49:E$54,投放验证!AD83)</f>
        <v>0.12</v>
      </c>
      <c r="Q83" s="67">
        <f>求节点($C$49:$C$54,F$49:F$54,投放验证!AE83)</f>
        <v>0.24</v>
      </c>
      <c r="R83" s="67">
        <f>求节点($C$49:$C$54,G$49:G$54,投放验证!AF83)</f>
        <v>0.47309792921055449</v>
      </c>
      <c r="S83" s="67">
        <f>求节点($C$49:$C$54,H$49:H$54,投放验证!AG83)</f>
        <v>0.61</v>
      </c>
      <c r="T83" s="75">
        <f>MAX(SUMPRODUCT(O83:S83,基础状态预期!T83:X83)/6,T82)</f>
        <v>0.58718298820175907</v>
      </c>
      <c r="V83" s="12">
        <v>78</v>
      </c>
      <c r="W83" s="12">
        <f t="shared" si="5"/>
        <v>0.37830782510478361</v>
      </c>
      <c r="X83" s="12">
        <f t="shared" si="6"/>
        <v>0.42237563031257686</v>
      </c>
      <c r="Y83" s="12">
        <f t="shared" si="7"/>
        <v>0.48086034518446652</v>
      </c>
      <c r="Z83" s="12">
        <f t="shared" si="8"/>
        <v>0.56417113088505622</v>
      </c>
      <c r="AA83" s="12">
        <f t="shared" si="9"/>
        <v>0.58176484076416624</v>
      </c>
    </row>
    <row r="84" spans="14:27" x14ac:dyDescent="0.15">
      <c r="N84" s="53">
        <v>110</v>
      </c>
      <c r="O84" s="58"/>
      <c r="P84" s="67">
        <f>求节点($C$49:$C$54,E$49:E$54,投放验证!AD84)</f>
        <v>0.12</v>
      </c>
      <c r="Q84" s="67">
        <f>求节点($C$49:$C$54,F$49:F$54,投放验证!AE84)</f>
        <v>0.24</v>
      </c>
      <c r="R84" s="67">
        <f>求节点($C$49:$C$54,G$49:G$54,投放验证!AF84)</f>
        <v>0.50048834098437256</v>
      </c>
      <c r="S84" s="67">
        <f>求节点($C$49:$C$54,H$49:H$54,投放验证!AG84)</f>
        <v>0.61</v>
      </c>
      <c r="T84" s="75">
        <f>MAX(SUMPRODUCT(O84:S84,基础状态预期!T84:X84)/6,T83)</f>
        <v>0.59174805683072873</v>
      </c>
      <c r="V84" s="12">
        <v>79</v>
      </c>
      <c r="W84" s="12">
        <f t="shared" si="5"/>
        <v>0.39067397063262871</v>
      </c>
      <c r="X84" s="12">
        <f t="shared" si="6"/>
        <v>0.43645751514982056</v>
      </c>
      <c r="Y84" s="12">
        <f t="shared" si="7"/>
        <v>0.49366965766318416</v>
      </c>
      <c r="Z84" s="12">
        <f t="shared" si="8"/>
        <v>0.57183016651305485</v>
      </c>
      <c r="AA84" s="12">
        <f t="shared" si="9"/>
        <v>0.58296764134267642</v>
      </c>
    </row>
    <row r="85" spans="14:27" x14ac:dyDescent="0.15">
      <c r="N85" s="53">
        <v>120</v>
      </c>
      <c r="O85" s="58"/>
      <c r="P85" s="67">
        <f>求节点($C$49:$C$54,E$49:E$54,投放验证!AD85)</f>
        <v>0.12</v>
      </c>
      <c r="Q85" s="67">
        <f>求节点($C$49:$C$54,F$49:F$54,投放验证!AE85)</f>
        <v>0.24</v>
      </c>
      <c r="R85" s="67">
        <f>求节点($C$49:$C$54,G$49:G$54,投放验证!AF85)</f>
        <v>0.52442771736346772</v>
      </c>
      <c r="S85" s="67">
        <f>求节点($C$49:$C$54,H$49:H$54,投放验证!AG85)</f>
        <v>0.61</v>
      </c>
      <c r="T85" s="75">
        <f>MAX(SUMPRODUCT(O85:S85,基础状态预期!T85:X85)/6,T84)</f>
        <v>0.59573795289391118</v>
      </c>
      <c r="V85" s="12">
        <v>80</v>
      </c>
      <c r="W85" s="12">
        <f t="shared" si="5"/>
        <v>0.4030401161604738</v>
      </c>
      <c r="X85" s="12">
        <f t="shared" si="6"/>
        <v>0.45053939998706422</v>
      </c>
      <c r="Y85" s="12">
        <f t="shared" si="7"/>
        <v>0.5064789701419018</v>
      </c>
      <c r="Z85" s="12">
        <f t="shared" si="8"/>
        <v>0.57948920214105348</v>
      </c>
      <c r="AA85" s="12">
        <f t="shared" si="9"/>
        <v>0.5841704419211865</v>
      </c>
    </row>
    <row r="86" spans="14:27" x14ac:dyDescent="0.15">
      <c r="N86" s="53">
        <v>130</v>
      </c>
      <c r="O86" s="58"/>
      <c r="P86" s="67">
        <f>求节点($C$49:$C$54,E$49:E$54,投放验证!AD86)</f>
        <v>0.12</v>
      </c>
      <c r="Q86" s="67">
        <f>求节点($C$49:$C$54,F$49:F$54,投放验证!AE86)</f>
        <v>0.24</v>
      </c>
      <c r="R86" s="67">
        <f>求节点($C$49:$C$54,G$49:G$54,投放验证!AF86)</f>
        <v>0.54</v>
      </c>
      <c r="S86" s="67">
        <f>求节点($C$49:$C$54,H$49:H$54,投放验证!AG86)</f>
        <v>0.61</v>
      </c>
      <c r="T86" s="75">
        <f>MAX(SUMPRODUCT(O86:S86,基础状态预期!T86:X86)/6,T85)</f>
        <v>0.59833333333333327</v>
      </c>
      <c r="V86" s="12">
        <v>81</v>
      </c>
      <c r="W86" s="12">
        <f t="shared" si="5"/>
        <v>0.41585698948908295</v>
      </c>
      <c r="X86" s="12">
        <f t="shared" si="6"/>
        <v>0.46272951004003549</v>
      </c>
      <c r="Y86" s="12">
        <f t="shared" si="7"/>
        <v>0.51375139273525106</v>
      </c>
      <c r="Z86" s="12">
        <f t="shared" si="8"/>
        <v>0.58054882548157516</v>
      </c>
      <c r="AA86" s="12">
        <f t="shared" si="9"/>
        <v>0.58517082519429231</v>
      </c>
    </row>
    <row r="87" spans="14:27" x14ac:dyDescent="0.15">
      <c r="N87" s="53">
        <v>140</v>
      </c>
      <c r="O87" s="58"/>
      <c r="P87" s="67">
        <f>求节点($C$49:$C$54,E$49:E$54,投放验证!AD87)</f>
        <v>0.12</v>
      </c>
      <c r="Q87" s="67">
        <f>求节点($C$49:$C$54,F$49:F$54,投放验证!AE87)</f>
        <v>0.24</v>
      </c>
      <c r="R87" s="67">
        <f>求节点($C$49:$C$54,G$49:G$54,投放验证!AF87)</f>
        <v>0.54</v>
      </c>
      <c r="S87" s="67">
        <f>求节点($C$49:$C$54,H$49:H$54,投放验证!AG87)</f>
        <v>0.61</v>
      </c>
      <c r="T87" s="75">
        <f>MAX(SUMPRODUCT(O87:S87,基础状态预期!T87:X87)/6,T86)</f>
        <v>0.59833333333333327</v>
      </c>
      <c r="V87" s="12">
        <v>82</v>
      </c>
      <c r="W87" s="12">
        <f t="shared" si="5"/>
        <v>0.4286738628176921</v>
      </c>
      <c r="X87" s="12">
        <f t="shared" si="6"/>
        <v>0.47491962009300676</v>
      </c>
      <c r="Y87" s="12">
        <f t="shared" si="7"/>
        <v>0.5210238153286002</v>
      </c>
      <c r="Z87" s="12">
        <f t="shared" si="8"/>
        <v>0.58160844882209684</v>
      </c>
      <c r="AA87" s="12">
        <f t="shared" si="9"/>
        <v>0.58617120846739812</v>
      </c>
    </row>
    <row r="88" spans="14:27" x14ac:dyDescent="0.15">
      <c r="N88" s="53">
        <v>150</v>
      </c>
      <c r="O88" s="58"/>
      <c r="P88" s="67">
        <f>求节点($C$49:$C$54,E$49:E$54,投放验证!AD88)</f>
        <v>0.12</v>
      </c>
      <c r="Q88" s="67">
        <f>求节点($C$49:$C$54,F$49:F$54,投放验证!AE88)</f>
        <v>0.24</v>
      </c>
      <c r="R88" s="67">
        <f>求节点($C$49:$C$54,G$49:G$54,投放验证!AF88)</f>
        <v>0.54</v>
      </c>
      <c r="S88" s="67">
        <f>求节点($C$49:$C$54,H$49:H$54,投放验证!AG88)</f>
        <v>0.61</v>
      </c>
      <c r="T88" s="75">
        <f>MAX(SUMPRODUCT(O88:S88,基础状态预期!T88:X88)/6,T87)</f>
        <v>0.59833333333333327</v>
      </c>
      <c r="V88" s="12">
        <v>83</v>
      </c>
      <c r="W88" s="12">
        <f t="shared" si="5"/>
        <v>0.44149073614630124</v>
      </c>
      <c r="X88" s="12">
        <f t="shared" si="6"/>
        <v>0.48710973014597803</v>
      </c>
      <c r="Y88" s="12">
        <f t="shared" si="7"/>
        <v>0.52829623792194946</v>
      </c>
      <c r="Z88" s="12">
        <f t="shared" si="8"/>
        <v>0.58266807216261862</v>
      </c>
      <c r="AA88" s="12">
        <f t="shared" si="9"/>
        <v>0.58717159174050382</v>
      </c>
    </row>
    <row r="89" spans="14:27" x14ac:dyDescent="0.15">
      <c r="N89" s="53">
        <v>160</v>
      </c>
      <c r="O89" s="58"/>
      <c r="P89" s="67">
        <f>求节点($C$49:$C$54,E$49:E$54,投放验证!AD89)</f>
        <v>0.12</v>
      </c>
      <c r="Q89" s="67">
        <f>求节点($C$49:$C$54,F$49:F$54,投放验证!AE89)</f>
        <v>0.24</v>
      </c>
      <c r="R89" s="67">
        <f>求节点($C$49:$C$54,G$49:G$54,投放验证!AF89)</f>
        <v>0.54</v>
      </c>
      <c r="S89" s="67">
        <f>求节点($C$49:$C$54,H$49:H$54,投放验证!AG89)</f>
        <v>0.61</v>
      </c>
      <c r="T89" s="75">
        <f>MAX(SUMPRODUCT(O89:S89,基础状态预期!T89:X89)/6,T88)</f>
        <v>0.59833333333333327</v>
      </c>
      <c r="V89" s="12">
        <v>84</v>
      </c>
      <c r="W89" s="12">
        <f t="shared" si="5"/>
        <v>0.45430760947491039</v>
      </c>
      <c r="X89" s="12">
        <f t="shared" si="6"/>
        <v>0.4992998401989493</v>
      </c>
      <c r="Y89" s="12">
        <f t="shared" si="7"/>
        <v>0.53556866051529861</v>
      </c>
      <c r="Z89" s="12">
        <f t="shared" si="8"/>
        <v>0.5837276955031403</v>
      </c>
      <c r="AA89" s="12">
        <f t="shared" si="9"/>
        <v>0.58817197501360963</v>
      </c>
    </row>
    <row r="90" spans="14:27" x14ac:dyDescent="0.15">
      <c r="V90" s="12">
        <v>85</v>
      </c>
      <c r="W90" s="12">
        <f t="shared" si="5"/>
        <v>0.46712448280351948</v>
      </c>
      <c r="X90" s="12">
        <f t="shared" si="6"/>
        <v>0.51148995025192057</v>
      </c>
      <c r="Y90" s="12">
        <f t="shared" si="7"/>
        <v>0.54284108310864787</v>
      </c>
      <c r="Z90" s="12">
        <f t="shared" si="8"/>
        <v>0.58478731884366197</v>
      </c>
      <c r="AA90" s="12">
        <f t="shared" si="9"/>
        <v>0.58917235828671544</v>
      </c>
    </row>
    <row r="91" spans="14:27" x14ac:dyDescent="0.15">
      <c r="V91" s="12">
        <v>86</v>
      </c>
      <c r="W91" s="12">
        <f t="shared" si="5"/>
        <v>0.47994135613212863</v>
      </c>
      <c r="X91" s="12">
        <f t="shared" si="6"/>
        <v>0.52368006030489178</v>
      </c>
      <c r="Y91" s="12">
        <f t="shared" si="7"/>
        <v>0.55011350570199713</v>
      </c>
      <c r="Z91" s="12">
        <f t="shared" si="8"/>
        <v>0.58584694218418365</v>
      </c>
      <c r="AA91" s="12">
        <f t="shared" si="9"/>
        <v>0.59017274155982125</v>
      </c>
    </row>
    <row r="92" spans="14:27" x14ac:dyDescent="0.15">
      <c r="V92" s="12">
        <v>87</v>
      </c>
      <c r="W92" s="12">
        <f t="shared" si="5"/>
        <v>0.49275822946073777</v>
      </c>
      <c r="X92" s="12">
        <f t="shared" si="6"/>
        <v>0.53587017035786311</v>
      </c>
      <c r="Y92" s="12">
        <f t="shared" si="7"/>
        <v>0.55738592829534628</v>
      </c>
      <c r="Z92" s="12">
        <f t="shared" si="8"/>
        <v>0.58690656552470533</v>
      </c>
      <c r="AA92" s="12">
        <f t="shared" si="9"/>
        <v>0.59117312483292705</v>
      </c>
    </row>
    <row r="93" spans="14:27" x14ac:dyDescent="0.15">
      <c r="N93" s="59" t="s">
        <v>282</v>
      </c>
      <c r="O93" s="142" t="s">
        <v>273</v>
      </c>
      <c r="P93" s="142"/>
      <c r="Q93" s="142"/>
      <c r="R93" s="142"/>
      <c r="S93" s="142"/>
      <c r="V93" s="12">
        <v>88</v>
      </c>
      <c r="W93" s="12">
        <f t="shared" si="5"/>
        <v>0.50557510278934692</v>
      </c>
      <c r="X93" s="12">
        <f t="shared" si="6"/>
        <v>0.54806028041083432</v>
      </c>
      <c r="Y93" s="12">
        <f t="shared" si="7"/>
        <v>0.56465835088869554</v>
      </c>
      <c r="Z93" s="12">
        <f t="shared" si="8"/>
        <v>0.58796618886522711</v>
      </c>
      <c r="AA93" s="12">
        <f t="shared" si="9"/>
        <v>0.59217350810603275</v>
      </c>
    </row>
    <row r="94" spans="14:27" x14ac:dyDescent="0.15">
      <c r="N94" s="53" t="s">
        <v>161</v>
      </c>
      <c r="O94" s="58" t="s">
        <v>25</v>
      </c>
      <c r="P94" s="58" t="s">
        <v>1</v>
      </c>
      <c r="Q94" s="58" t="s">
        <v>2</v>
      </c>
      <c r="R94" s="58" t="s">
        <v>0</v>
      </c>
      <c r="S94" s="58" t="s">
        <v>217</v>
      </c>
      <c r="T94" s="75" t="s">
        <v>286</v>
      </c>
      <c r="V94" s="12">
        <v>89</v>
      </c>
      <c r="W94" s="12">
        <f t="shared" si="5"/>
        <v>0.51839197611795607</v>
      </c>
      <c r="X94" s="12">
        <f t="shared" si="6"/>
        <v>0.56025039046380565</v>
      </c>
      <c r="Y94" s="12">
        <f t="shared" si="7"/>
        <v>0.57193077348204469</v>
      </c>
      <c r="Z94" s="12">
        <f t="shared" si="8"/>
        <v>0.58902581220574879</v>
      </c>
      <c r="AA94" s="12">
        <f t="shared" si="9"/>
        <v>0.59317389137913856</v>
      </c>
    </row>
    <row r="95" spans="14:27" x14ac:dyDescent="0.15">
      <c r="N95" s="53">
        <v>5</v>
      </c>
      <c r="O95" s="58"/>
      <c r="P95" s="67">
        <f>求节点($C$49:$C$54,E$49:E$54,投放验证!AD95)</f>
        <v>0.02</v>
      </c>
      <c r="Q95" s="67">
        <f>求节点($C$49:$C$54,F$49:F$54,投放验证!AE95)</f>
        <v>0.04</v>
      </c>
      <c r="R95" s="67">
        <f>求节点($C$49:$C$54,G$49:G$54,投放验证!AF95)</f>
        <v>0.24</v>
      </c>
      <c r="S95" s="67">
        <f>求节点($C$49:$C$54,H$49:H$54,投放验证!AG95)</f>
        <v>0.33500000000000002</v>
      </c>
      <c r="T95" s="76">
        <f>SUMPRODUCT(O95:S95,基础状态预期!Y95:AC95)/6</f>
        <v>0</v>
      </c>
      <c r="V95" s="12">
        <v>90</v>
      </c>
      <c r="W95" s="12">
        <f t="shared" si="5"/>
        <v>0.53120884944656521</v>
      </c>
      <c r="X95" s="12">
        <f t="shared" si="6"/>
        <v>0.57244050051677686</v>
      </c>
      <c r="Y95" s="12">
        <f t="shared" si="7"/>
        <v>0.57920319607539394</v>
      </c>
      <c r="Z95" s="12">
        <f t="shared" si="8"/>
        <v>0.59008543554627046</v>
      </c>
      <c r="AA95" s="12">
        <f t="shared" si="9"/>
        <v>0.59417427465224437</v>
      </c>
    </row>
    <row r="96" spans="14:27" x14ac:dyDescent="0.15">
      <c r="N96" s="53">
        <v>10</v>
      </c>
      <c r="O96" s="58"/>
      <c r="P96" s="67">
        <f>求节点($C$49:$C$54,E$49:E$54,投放验证!AD96)</f>
        <v>0.02</v>
      </c>
      <c r="Q96" s="67">
        <f>求节点($C$49:$C$54,F$49:F$54,投放验证!AE96)</f>
        <v>0.04</v>
      </c>
      <c r="R96" s="67">
        <f>求节点($C$49:$C$54,G$49:G$54,投放验证!AF96)</f>
        <v>0.24</v>
      </c>
      <c r="S96" s="67">
        <f>求节点($C$49:$C$54,H$49:H$54,投放验证!AG96)</f>
        <v>0.33500000000000002</v>
      </c>
      <c r="T96" s="75">
        <f>MAX(SUMPRODUCT(O96:S96,基础状态预期!T96:X96)/6,T95)</f>
        <v>0</v>
      </c>
      <c r="V96" s="12">
        <v>91</v>
      </c>
      <c r="W96" s="12">
        <f t="shared" si="5"/>
        <v>0.53559370494549041</v>
      </c>
      <c r="X96" s="12">
        <f t="shared" si="6"/>
        <v>0.57327270451028245</v>
      </c>
      <c r="Y96" s="12">
        <f t="shared" si="7"/>
        <v>0.58000117528803041</v>
      </c>
      <c r="Z96" s="12">
        <f t="shared" si="8"/>
        <v>0.59091022532497672</v>
      </c>
      <c r="AA96" s="12">
        <f t="shared" si="9"/>
        <v>0.59459018052035328</v>
      </c>
    </row>
    <row r="97" spans="14:27" x14ac:dyDescent="0.15">
      <c r="N97" s="53">
        <v>15</v>
      </c>
      <c r="O97" s="58"/>
      <c r="P97" s="67">
        <f>求节点($C$49:$C$54,E$49:E$54,投放验证!AD97)</f>
        <v>0.02</v>
      </c>
      <c r="Q97" s="67">
        <f>求节点($C$49:$C$54,F$49:F$54,投放验证!AE97)</f>
        <v>0.04</v>
      </c>
      <c r="R97" s="67">
        <f>求节点($C$49:$C$54,G$49:G$54,投放验证!AF97)</f>
        <v>0.24</v>
      </c>
      <c r="S97" s="67">
        <f>求节点($C$49:$C$54,H$49:H$54,投放验证!AG97)</f>
        <v>0.33500000000000002</v>
      </c>
      <c r="T97" s="75">
        <f>MAX(SUMPRODUCT(O97:S97,基础状态预期!T97:X97)/6,T96)</f>
        <v>0</v>
      </c>
      <c r="V97" s="12">
        <v>92</v>
      </c>
      <c r="W97" s="12">
        <f t="shared" si="5"/>
        <v>0.53997856044441561</v>
      </c>
      <c r="X97" s="12">
        <f t="shared" si="6"/>
        <v>0.57410490850378804</v>
      </c>
      <c r="Y97" s="12">
        <f t="shared" si="7"/>
        <v>0.58079915450066699</v>
      </c>
      <c r="Z97" s="12">
        <f t="shared" si="8"/>
        <v>0.59173501510368298</v>
      </c>
      <c r="AA97" s="12">
        <f t="shared" si="9"/>
        <v>0.5950060863884622</v>
      </c>
    </row>
    <row r="98" spans="14:27" x14ac:dyDescent="0.15">
      <c r="N98" s="53">
        <v>20</v>
      </c>
      <c r="O98" s="58"/>
      <c r="P98" s="67">
        <f>求节点($C$49:$C$54,E$49:E$54,投放验证!AD98)</f>
        <v>0.02</v>
      </c>
      <c r="Q98" s="67">
        <f>求节点($C$49:$C$54,F$49:F$54,投放验证!AE98)</f>
        <v>0.04</v>
      </c>
      <c r="R98" s="67">
        <f>求节点($C$49:$C$54,G$49:G$54,投放验证!AF98)</f>
        <v>0.24</v>
      </c>
      <c r="S98" s="67">
        <f>求节点($C$49:$C$54,H$49:H$54,投放验证!AG98)</f>
        <v>0.33500000000000002</v>
      </c>
      <c r="T98" s="75">
        <f>MAX(SUMPRODUCT(O98:S98,基础状态预期!T98:X98)/6,T97)</f>
        <v>0</v>
      </c>
      <c r="V98" s="12">
        <v>93</v>
      </c>
      <c r="W98" s="12">
        <f t="shared" si="5"/>
        <v>0.54436341594334081</v>
      </c>
      <c r="X98" s="12">
        <f t="shared" si="6"/>
        <v>0.57493711249729362</v>
      </c>
      <c r="Y98" s="12">
        <f t="shared" si="7"/>
        <v>0.58159713371330346</v>
      </c>
      <c r="Z98" s="12">
        <f t="shared" si="8"/>
        <v>0.59255980488238935</v>
      </c>
      <c r="AA98" s="12">
        <f t="shared" si="9"/>
        <v>0.595421992256571</v>
      </c>
    </row>
    <row r="99" spans="14:27" x14ac:dyDescent="0.15">
      <c r="N99" s="53">
        <v>25</v>
      </c>
      <c r="O99" s="58"/>
      <c r="P99" s="67">
        <f>求节点($C$49:$C$54,E$49:E$54,投放验证!AD99)</f>
        <v>0.02</v>
      </c>
      <c r="Q99" s="67">
        <f>求节点($C$49:$C$54,F$49:F$54,投放验证!AE99)</f>
        <v>0.04</v>
      </c>
      <c r="R99" s="67">
        <f>求节点($C$49:$C$54,G$49:G$54,投放验证!AF99)</f>
        <v>0.24</v>
      </c>
      <c r="S99" s="67">
        <f>求节点($C$49:$C$54,H$49:H$54,投放验证!AG99)</f>
        <v>0.33500000000000002</v>
      </c>
      <c r="T99" s="75">
        <f>MAX(SUMPRODUCT(O99:S99,基础状态预期!T99:X99)/6,T98)</f>
        <v>0</v>
      </c>
      <c r="V99" s="12">
        <v>94</v>
      </c>
      <c r="W99" s="12">
        <f t="shared" si="5"/>
        <v>0.54874827144226601</v>
      </c>
      <c r="X99" s="12">
        <f t="shared" si="6"/>
        <v>0.57576931649079921</v>
      </c>
      <c r="Y99" s="12">
        <f t="shared" si="7"/>
        <v>0.58239511292594004</v>
      </c>
      <c r="Z99" s="12">
        <f t="shared" si="8"/>
        <v>0.59338459466109561</v>
      </c>
      <c r="AA99" s="12">
        <f t="shared" si="9"/>
        <v>0.59583789812467991</v>
      </c>
    </row>
    <row r="100" spans="14:27" x14ac:dyDescent="0.15">
      <c r="N100" s="53">
        <v>30</v>
      </c>
      <c r="O100" s="58"/>
      <c r="P100" s="67">
        <f>求节点($C$49:$C$54,E$49:E$54,投放验证!AD100)</f>
        <v>0.02</v>
      </c>
      <c r="Q100" s="67">
        <f>求节点($C$49:$C$54,F$49:F$54,投放验证!AE100)</f>
        <v>0.04</v>
      </c>
      <c r="R100" s="67">
        <f>求节点($C$49:$C$54,G$49:G$54,投放验证!AF100)</f>
        <v>0.24</v>
      </c>
      <c r="S100" s="67">
        <f>求节点($C$49:$C$54,H$49:H$54,投放验证!AG100)</f>
        <v>0.33500000000000002</v>
      </c>
      <c r="T100" s="75">
        <f>MAX(SUMPRODUCT(O100:S100,基础状态预期!T100:X100)/6,T99)</f>
        <v>0</v>
      </c>
      <c r="V100" s="12">
        <v>95</v>
      </c>
      <c r="W100" s="12">
        <f t="shared" si="5"/>
        <v>0.55313312694119121</v>
      </c>
      <c r="X100" s="12">
        <f t="shared" si="6"/>
        <v>0.57660152048430491</v>
      </c>
      <c r="Y100" s="12">
        <f t="shared" si="7"/>
        <v>0.58319309213857651</v>
      </c>
      <c r="Z100" s="12">
        <f t="shared" si="8"/>
        <v>0.59420938443980187</v>
      </c>
      <c r="AA100" s="12">
        <f t="shared" si="9"/>
        <v>0.59625380399278882</v>
      </c>
    </row>
    <row r="101" spans="14:27" x14ac:dyDescent="0.15">
      <c r="N101" s="53">
        <v>35</v>
      </c>
      <c r="O101" s="58"/>
      <c r="P101" s="67">
        <f>求节点($C$49:$C$54,E$49:E$54,投放验证!AD101)</f>
        <v>0.02</v>
      </c>
      <c r="Q101" s="67">
        <f>求节点($C$49:$C$54,F$49:F$54,投放验证!AE101)</f>
        <v>0.04</v>
      </c>
      <c r="R101" s="67">
        <f>求节点($C$49:$C$54,G$49:G$54,投放验证!AF101)</f>
        <v>0.24</v>
      </c>
      <c r="S101" s="67">
        <f>求节点($C$49:$C$54,H$49:H$54,投放验证!AG101)</f>
        <v>0.33500000000000002</v>
      </c>
      <c r="T101" s="75">
        <f>MAX(SUMPRODUCT(O101:S101,基础状态预期!T101:X101)/6,T100)</f>
        <v>3.3333333333333335E-3</v>
      </c>
      <c r="V101" s="12">
        <v>96</v>
      </c>
      <c r="W101" s="12">
        <f t="shared" si="5"/>
        <v>0.55751798244011652</v>
      </c>
      <c r="X101" s="12">
        <f t="shared" si="6"/>
        <v>0.57743372447781049</v>
      </c>
      <c r="Y101" s="12">
        <f t="shared" si="7"/>
        <v>0.58399107135121298</v>
      </c>
      <c r="Z101" s="12">
        <f t="shared" si="8"/>
        <v>0.59503417421850813</v>
      </c>
      <c r="AA101" s="12">
        <f t="shared" si="9"/>
        <v>0.59666970986089773</v>
      </c>
    </row>
    <row r="102" spans="14:27" x14ac:dyDescent="0.15">
      <c r="N102" s="53">
        <v>40</v>
      </c>
      <c r="O102" s="58"/>
      <c r="P102" s="67">
        <f>求节点($C$49:$C$54,E$49:E$54,投放验证!AD102)</f>
        <v>2.0768666878408282E-2</v>
      </c>
      <c r="Q102" s="67">
        <f>求节点($C$49:$C$54,F$49:F$54,投放验证!AE102)</f>
        <v>0.04</v>
      </c>
      <c r="R102" s="67">
        <f>求节点($C$49:$C$54,G$49:G$54,投放验证!AF102)</f>
        <v>0.24</v>
      </c>
      <c r="S102" s="67">
        <f>求节点($C$49:$C$54,H$49:H$54,投放验证!AG102)</f>
        <v>0.33500000000000002</v>
      </c>
      <c r="T102" s="75">
        <f>MAX(SUMPRODUCT(O102:S102,基础状态预期!T102:X102)/6,T101)</f>
        <v>1.3845777918938854E-2</v>
      </c>
      <c r="V102" s="12">
        <v>97</v>
      </c>
      <c r="W102" s="12">
        <f t="shared" si="5"/>
        <v>0.56190283793904172</v>
      </c>
      <c r="X102" s="12">
        <f t="shared" si="6"/>
        <v>0.57826592847131608</v>
      </c>
      <c r="Y102" s="12">
        <f t="shared" si="7"/>
        <v>0.58478905056384956</v>
      </c>
      <c r="Z102" s="12">
        <f t="shared" si="8"/>
        <v>0.59585896399721439</v>
      </c>
      <c r="AA102" s="12">
        <f t="shared" si="9"/>
        <v>0.59708561572900665</v>
      </c>
    </row>
    <row r="103" spans="14:27" x14ac:dyDescent="0.15">
      <c r="N103" s="53">
        <v>45</v>
      </c>
      <c r="O103" s="58"/>
      <c r="P103" s="67">
        <f>求节点($C$49:$C$54,E$49:E$54,投放验证!AD103)</f>
        <v>6.4668660718233836E-2</v>
      </c>
      <c r="Q103" s="67">
        <f>求节点($C$49:$C$54,F$49:F$54,投放验证!AE103)</f>
        <v>4.8916912968484834E-2</v>
      </c>
      <c r="R103" s="67">
        <f>求节点($C$49:$C$54,G$49:G$54,投放验证!AF103)</f>
        <v>0.24</v>
      </c>
      <c r="S103" s="67">
        <f>求节点($C$49:$C$54,H$49:H$54,投放验证!AG103)</f>
        <v>0.33500000000000002</v>
      </c>
      <c r="T103" s="75">
        <f>MAX(SUMPRODUCT(O103:S103,基础状态预期!T103:X103)/6,T102)</f>
        <v>8.076409414040403E-2</v>
      </c>
      <c r="V103" s="12">
        <v>98</v>
      </c>
      <c r="W103" s="12">
        <f t="shared" si="5"/>
        <v>0.56628769343796692</v>
      </c>
      <c r="X103" s="12">
        <f t="shared" si="6"/>
        <v>0.57909813246482167</v>
      </c>
      <c r="Y103" s="12">
        <f t="shared" si="7"/>
        <v>0.58558702977648602</v>
      </c>
      <c r="Z103" s="12">
        <f t="shared" si="8"/>
        <v>0.59668375377592076</v>
      </c>
      <c r="AA103" s="12">
        <f t="shared" si="9"/>
        <v>0.59750152159711545</v>
      </c>
    </row>
    <row r="104" spans="14:27" x14ac:dyDescent="0.15">
      <c r="N104" s="53">
        <v>50</v>
      </c>
      <c r="O104" s="58"/>
      <c r="P104" s="67">
        <f>求节点($C$49:$C$54,E$49:E$54,投放验证!AD104)</f>
        <v>8.8423656415108701E-2</v>
      </c>
      <c r="Q104" s="67">
        <f>求节点($C$49:$C$54,F$49:F$54,投放验证!AE104)</f>
        <v>0.10220052321824399</v>
      </c>
      <c r="R104" s="67">
        <f>求节点($C$49:$C$54,G$49:G$54,投放验证!AF104)</f>
        <v>0.24</v>
      </c>
      <c r="S104" s="67">
        <f>求节点($C$49:$C$54,H$49:H$54,投放验证!AG104)</f>
        <v>0.33500000000000002</v>
      </c>
      <c r="T104" s="75">
        <f>MAX(SUMPRODUCT(O104:S104,基础状态预期!T104:X104)/6,T103)</f>
        <v>0.19406684107274799</v>
      </c>
      <c r="V104" s="12">
        <v>99</v>
      </c>
      <c r="W104" s="12">
        <f t="shared" si="5"/>
        <v>0.57067254893689212</v>
      </c>
      <c r="X104" s="12">
        <f t="shared" si="6"/>
        <v>0.57993033645832726</v>
      </c>
      <c r="Y104" s="12">
        <f t="shared" si="7"/>
        <v>0.5863850089891226</v>
      </c>
      <c r="Z104" s="12">
        <f t="shared" si="8"/>
        <v>0.59750854355462701</v>
      </c>
      <c r="AA104" s="12">
        <f t="shared" si="9"/>
        <v>0.59791742746522436</v>
      </c>
    </row>
    <row r="105" spans="14:27" x14ac:dyDescent="0.15">
      <c r="N105" s="53">
        <v>60</v>
      </c>
      <c r="O105" s="58"/>
      <c r="P105" s="67">
        <f>求节点($C$49:$C$54,E$49:E$54,投放验证!AD105)</f>
        <v>0.12</v>
      </c>
      <c r="Q105" s="67">
        <f>求节点($C$49:$C$54,F$49:F$54,投放验证!AE105)</f>
        <v>0.18675560211238504</v>
      </c>
      <c r="R105" s="67">
        <f>求节点($C$49:$C$54,G$49:G$54,投放验证!AF105)</f>
        <v>0.24</v>
      </c>
      <c r="S105" s="67">
        <f>求节点($C$49:$C$54,H$49:H$54,投放验证!AG105)</f>
        <v>0.37706272231169685</v>
      </c>
      <c r="T105" s="75">
        <f>MAX(SUMPRODUCT(O105:S105,基础状态预期!T105:X105)/6,T104)</f>
        <v>0.2628437870519495</v>
      </c>
      <c r="V105" s="12">
        <v>100</v>
      </c>
      <c r="W105" s="12">
        <f t="shared" si="5"/>
        <v>0.57505740443581732</v>
      </c>
      <c r="X105" s="12">
        <f t="shared" si="6"/>
        <v>0.58076254045183284</v>
      </c>
      <c r="Y105" s="12">
        <f t="shared" si="7"/>
        <v>0.58718298820175907</v>
      </c>
      <c r="Z105" s="12">
        <f t="shared" si="8"/>
        <v>0.59833333333333327</v>
      </c>
      <c r="AA105" s="12">
        <f t="shared" si="9"/>
        <v>0.59833333333333327</v>
      </c>
    </row>
    <row r="106" spans="14:27" x14ac:dyDescent="0.15">
      <c r="N106" s="53">
        <v>70</v>
      </c>
      <c r="O106" s="58"/>
      <c r="P106" s="67">
        <f>求节点($C$49:$C$54,E$49:E$54,投放验证!AD106)</f>
        <v>0.12</v>
      </c>
      <c r="Q106" s="67">
        <f>求节点($C$49:$C$54,F$49:F$54,投放验证!AE106)</f>
        <v>0.24</v>
      </c>
      <c r="R106" s="67">
        <f>求节点($C$49:$C$54,G$49:G$54,投放验证!AF106)</f>
        <v>0.34972901607082185</v>
      </c>
      <c r="S106" s="67">
        <f>求节点($C$49:$C$54,H$49:H$54,投放验证!AG106)</f>
        <v>0.56730956757081064</v>
      </c>
      <c r="T106" s="75">
        <f>MAX(SUMPRODUCT(O106:S106,基础状态预期!T106:X106)/6,T105)</f>
        <v>0.50289884586106703</v>
      </c>
      <c r="V106" s="12">
        <v>101</v>
      </c>
      <c r="W106" s="12">
        <f t="shared" si="5"/>
        <v>0.57557279646769688</v>
      </c>
      <c r="X106" s="12">
        <f t="shared" si="6"/>
        <v>0.58130010280451061</v>
      </c>
      <c r="Y106" s="12">
        <f t="shared" si="7"/>
        <v>0.58763949506465607</v>
      </c>
      <c r="Z106" s="12">
        <f t="shared" si="8"/>
        <v>0.59833333333333327</v>
      </c>
      <c r="AA106" s="12">
        <f t="shared" si="9"/>
        <v>0.59833333333333327</v>
      </c>
    </row>
    <row r="107" spans="14:27" x14ac:dyDescent="0.15">
      <c r="N107" s="53">
        <v>80</v>
      </c>
      <c r="O107" s="58"/>
      <c r="P107" s="67">
        <f>求节点($C$49:$C$54,E$49:E$54,投放验证!AD107)</f>
        <v>0.12</v>
      </c>
      <c r="Q107" s="67">
        <f>求节点($C$49:$C$54,F$49:F$54,投放验证!AE107)</f>
        <v>0.24</v>
      </c>
      <c r="R107" s="67">
        <f>求节点($C$49:$C$54,G$49:G$54,投放验证!AF107)</f>
        <v>0.42693521284632086</v>
      </c>
      <c r="S107" s="67">
        <f>求节点($C$49:$C$54,H$49:H$54,投放验证!AG107)</f>
        <v>0.61</v>
      </c>
      <c r="T107" s="75">
        <f>MAX(SUMPRODUCT(O107:S107,基础状态预期!T107:X107)/6,T106)</f>
        <v>0.57948920214105348</v>
      </c>
      <c r="V107" s="12">
        <v>102</v>
      </c>
      <c r="W107" s="12">
        <f t="shared" si="5"/>
        <v>0.57608818849957644</v>
      </c>
      <c r="X107" s="12">
        <f t="shared" si="6"/>
        <v>0.58183766515718838</v>
      </c>
      <c r="Y107" s="12">
        <f t="shared" si="7"/>
        <v>0.58809600192755296</v>
      </c>
      <c r="Z107" s="12">
        <f t="shared" si="8"/>
        <v>0.59833333333333327</v>
      </c>
      <c r="AA107" s="12">
        <f t="shared" si="9"/>
        <v>0.59833333333333327</v>
      </c>
    </row>
    <row r="108" spans="14:27" x14ac:dyDescent="0.15">
      <c r="N108" s="53">
        <v>90</v>
      </c>
      <c r="O108" s="58"/>
      <c r="P108" s="67">
        <f>求节点($C$49:$C$54,E$49:E$54,投放验证!AD108)</f>
        <v>0.12</v>
      </c>
      <c r="Q108" s="67">
        <f>求节点($C$49:$C$54,F$49:F$54,投放验证!AE108)</f>
        <v>0.24</v>
      </c>
      <c r="R108" s="67">
        <f>求节点($C$49:$C$54,G$49:G$54,投放验证!AF108)</f>
        <v>0.49051261327762291</v>
      </c>
      <c r="S108" s="67">
        <f>求节点($C$49:$C$54,H$49:H$54,投放验证!AG108)</f>
        <v>0.61</v>
      </c>
      <c r="T108" s="75">
        <f>MAX(SUMPRODUCT(O108:S108,基础状态预期!T108:X108)/6,T107)</f>
        <v>0.59008543554627046</v>
      </c>
      <c r="V108" s="12">
        <v>103</v>
      </c>
      <c r="W108" s="12">
        <f t="shared" si="5"/>
        <v>0.57660358053145599</v>
      </c>
      <c r="X108" s="12">
        <f t="shared" si="6"/>
        <v>0.58237522750986614</v>
      </c>
      <c r="Y108" s="12">
        <f t="shared" si="7"/>
        <v>0.58855250879044996</v>
      </c>
      <c r="Z108" s="12">
        <f t="shared" si="8"/>
        <v>0.59833333333333327</v>
      </c>
      <c r="AA108" s="12">
        <f t="shared" si="9"/>
        <v>0.59833333333333327</v>
      </c>
    </row>
    <row r="109" spans="14:27" x14ac:dyDescent="0.15">
      <c r="N109" s="53">
        <v>100</v>
      </c>
      <c r="O109" s="58"/>
      <c r="P109" s="67">
        <f>求节点($C$49:$C$54,E$49:E$54,投放验证!AD109)</f>
        <v>0.12</v>
      </c>
      <c r="Q109" s="67">
        <f>求节点($C$49:$C$54,F$49:F$54,投放验证!AE109)</f>
        <v>0.24</v>
      </c>
      <c r="R109" s="67">
        <f>求节点($C$49:$C$54,G$49:G$54,投放验证!AF109)</f>
        <v>0.54</v>
      </c>
      <c r="S109" s="67">
        <f>求节点($C$49:$C$54,H$49:H$54,投放验证!AG109)</f>
        <v>0.61</v>
      </c>
      <c r="T109" s="75">
        <f>MAX(SUMPRODUCT(O109:S109,基础状态预期!T109:X109)/6,T108)</f>
        <v>0.59833333333333327</v>
      </c>
      <c r="V109" s="12">
        <v>104</v>
      </c>
      <c r="W109" s="12">
        <f t="shared" si="5"/>
        <v>0.57711897256333555</v>
      </c>
      <c r="X109" s="12">
        <f t="shared" si="6"/>
        <v>0.58291278986254391</v>
      </c>
      <c r="Y109" s="12">
        <f t="shared" si="7"/>
        <v>0.58900901565334696</v>
      </c>
      <c r="Z109" s="12">
        <f t="shared" si="8"/>
        <v>0.59833333333333327</v>
      </c>
      <c r="AA109" s="12">
        <f t="shared" si="9"/>
        <v>0.59833333333333327</v>
      </c>
    </row>
    <row r="110" spans="14:27" x14ac:dyDescent="0.15">
      <c r="N110" s="53">
        <v>110</v>
      </c>
      <c r="O110" s="58"/>
      <c r="P110" s="67">
        <f>求节点($C$49:$C$54,E$49:E$54,投放验证!AD110)</f>
        <v>0.12</v>
      </c>
      <c r="Q110" s="67">
        <f>求节点($C$49:$C$54,F$49:F$54,投放验证!AE110)</f>
        <v>0.24</v>
      </c>
      <c r="R110" s="67">
        <f>求节点($C$49:$C$54,G$49:G$54,投放验证!AF110)</f>
        <v>0.54</v>
      </c>
      <c r="S110" s="67">
        <f>求节点($C$49:$C$54,H$49:H$54,投放验证!AG110)</f>
        <v>0.61</v>
      </c>
      <c r="T110" s="75">
        <f>MAX(SUMPRODUCT(O110:S110,基础状态预期!T110:X110)/6,T109)</f>
        <v>0.59833333333333327</v>
      </c>
      <c r="V110" s="12">
        <v>105</v>
      </c>
      <c r="W110" s="12">
        <f t="shared" si="5"/>
        <v>0.57763436459521511</v>
      </c>
      <c r="X110" s="12">
        <f t="shared" si="6"/>
        <v>0.58345035221522168</v>
      </c>
      <c r="Y110" s="12">
        <f t="shared" si="7"/>
        <v>0.58946552251624396</v>
      </c>
      <c r="Z110" s="12">
        <f t="shared" si="8"/>
        <v>0.59833333333333327</v>
      </c>
      <c r="AA110" s="12">
        <f t="shared" si="9"/>
        <v>0.59833333333333327</v>
      </c>
    </row>
    <row r="111" spans="14:27" x14ac:dyDescent="0.15">
      <c r="N111" s="53">
        <v>120</v>
      </c>
      <c r="O111" s="58"/>
      <c r="P111" s="67">
        <f>求节点($C$49:$C$54,E$49:E$54,投放验证!AD111)</f>
        <v>0.12</v>
      </c>
      <c r="Q111" s="67">
        <f>求节点($C$49:$C$54,F$49:F$54,投放验证!AE111)</f>
        <v>0.24</v>
      </c>
      <c r="R111" s="67">
        <f>求节点($C$49:$C$54,G$49:G$54,投放验证!AF111)</f>
        <v>0.54</v>
      </c>
      <c r="S111" s="67">
        <f>求节点($C$49:$C$54,H$49:H$54,投放验证!AG111)</f>
        <v>0.61</v>
      </c>
      <c r="T111" s="75">
        <f>MAX(SUMPRODUCT(O111:S111,基础状态预期!T111:X111)/6,T110)</f>
        <v>0.59833333333333327</v>
      </c>
      <c r="V111" s="12">
        <v>106</v>
      </c>
      <c r="W111" s="12">
        <f t="shared" si="5"/>
        <v>0.57814975662709456</v>
      </c>
      <c r="X111" s="12">
        <f t="shared" si="6"/>
        <v>0.58398791456789956</v>
      </c>
      <c r="Y111" s="12">
        <f t="shared" si="7"/>
        <v>0.58992202937914084</v>
      </c>
      <c r="Z111" s="12">
        <f t="shared" si="8"/>
        <v>0.59833333333333327</v>
      </c>
      <c r="AA111" s="12">
        <f t="shared" si="9"/>
        <v>0.59833333333333327</v>
      </c>
    </row>
    <row r="112" spans="14:27" x14ac:dyDescent="0.15">
      <c r="N112" s="53">
        <v>130</v>
      </c>
      <c r="O112" s="58"/>
      <c r="P112" s="67">
        <f>求节点($C$49:$C$54,E$49:E$54,投放验证!AD112)</f>
        <v>0.12</v>
      </c>
      <c r="Q112" s="67">
        <f>求节点($C$49:$C$54,F$49:F$54,投放验证!AE112)</f>
        <v>0.24</v>
      </c>
      <c r="R112" s="67">
        <f>求节点($C$49:$C$54,G$49:G$54,投放验证!AF112)</f>
        <v>0.54</v>
      </c>
      <c r="S112" s="67">
        <f>求节点($C$49:$C$54,H$49:H$54,投放验证!AG112)</f>
        <v>0.61</v>
      </c>
      <c r="T112" s="75">
        <f>MAX(SUMPRODUCT(O112:S112,基础状态预期!T112:X112)/6,T111)</f>
        <v>0.59833333333333327</v>
      </c>
      <c r="V112" s="12">
        <v>107</v>
      </c>
      <c r="W112" s="12">
        <f t="shared" si="5"/>
        <v>0.57866514865897412</v>
      </c>
      <c r="X112" s="12">
        <f t="shared" si="6"/>
        <v>0.58452547692057732</v>
      </c>
      <c r="Y112" s="12">
        <f t="shared" si="7"/>
        <v>0.59037853624203784</v>
      </c>
      <c r="Z112" s="12">
        <f t="shared" si="8"/>
        <v>0.59833333333333327</v>
      </c>
      <c r="AA112" s="12">
        <f t="shared" si="9"/>
        <v>0.59833333333333327</v>
      </c>
    </row>
    <row r="113" spans="4:27" x14ac:dyDescent="0.15">
      <c r="N113" s="53">
        <v>140</v>
      </c>
      <c r="O113" s="58"/>
      <c r="P113" s="67">
        <f>求节点($C$49:$C$54,E$49:E$54,投放验证!AD113)</f>
        <v>0.12</v>
      </c>
      <c r="Q113" s="67">
        <f>求节点($C$49:$C$54,F$49:F$54,投放验证!AE113)</f>
        <v>0.24</v>
      </c>
      <c r="R113" s="67">
        <f>求节点($C$49:$C$54,G$49:G$54,投放验证!AF113)</f>
        <v>0.54</v>
      </c>
      <c r="S113" s="67">
        <f>求节点($C$49:$C$54,H$49:H$54,投放验证!AG113)</f>
        <v>0.61</v>
      </c>
      <c r="T113" s="75">
        <f>MAX(SUMPRODUCT(O113:S113,基础状态预期!T113:X113)/6,T112)</f>
        <v>0.59833333333333327</v>
      </c>
      <c r="V113" s="12">
        <v>108</v>
      </c>
      <c r="W113" s="12">
        <f t="shared" si="5"/>
        <v>0.57918054069085367</v>
      </c>
      <c r="X113" s="12">
        <f t="shared" si="6"/>
        <v>0.58506303927325509</v>
      </c>
      <c r="Y113" s="12">
        <f t="shared" si="7"/>
        <v>0.59083504310493484</v>
      </c>
      <c r="Z113" s="12">
        <f t="shared" si="8"/>
        <v>0.59833333333333327</v>
      </c>
      <c r="AA113" s="12">
        <f t="shared" si="9"/>
        <v>0.59833333333333327</v>
      </c>
    </row>
    <row r="114" spans="4:27" x14ac:dyDescent="0.15">
      <c r="N114" s="53">
        <v>150</v>
      </c>
      <c r="O114" s="58"/>
      <c r="P114" s="67">
        <f>求节点($C$49:$C$54,E$49:E$54,投放验证!AD114)</f>
        <v>0.12</v>
      </c>
      <c r="Q114" s="67">
        <f>求节点($C$49:$C$54,F$49:F$54,投放验证!AE114)</f>
        <v>0.24</v>
      </c>
      <c r="R114" s="67">
        <f>求节点($C$49:$C$54,G$49:G$54,投放验证!AF114)</f>
        <v>0.54</v>
      </c>
      <c r="S114" s="67">
        <f>求节点($C$49:$C$54,H$49:H$54,投放验证!AG114)</f>
        <v>0.61</v>
      </c>
      <c r="T114" s="75">
        <f>MAX(SUMPRODUCT(O114:S114,基础状态预期!T114:X114)/6,T113)</f>
        <v>0.59833333333333327</v>
      </c>
      <c r="V114" s="12">
        <v>109</v>
      </c>
      <c r="W114" s="12">
        <f t="shared" si="5"/>
        <v>0.57969593272273323</v>
      </c>
      <c r="X114" s="12">
        <f t="shared" si="6"/>
        <v>0.58560060162593286</v>
      </c>
      <c r="Y114" s="12">
        <f t="shared" si="7"/>
        <v>0.59129154996783173</v>
      </c>
      <c r="Z114" s="12">
        <f t="shared" si="8"/>
        <v>0.59833333333333327</v>
      </c>
      <c r="AA114" s="12">
        <f t="shared" si="9"/>
        <v>0.59833333333333327</v>
      </c>
    </row>
    <row r="115" spans="4:27" x14ac:dyDescent="0.15">
      <c r="N115" s="53">
        <v>160</v>
      </c>
      <c r="O115" s="58"/>
      <c r="P115" s="67">
        <f>求节点($C$49:$C$54,E$49:E$54,投放验证!AD115)</f>
        <v>0.12</v>
      </c>
      <c r="Q115" s="67">
        <f>求节点($C$49:$C$54,F$49:F$54,投放验证!AE115)</f>
        <v>0.24</v>
      </c>
      <c r="R115" s="67">
        <f>求节点($C$49:$C$54,G$49:G$54,投放验证!AF115)</f>
        <v>0.54</v>
      </c>
      <c r="S115" s="67">
        <f>求节点($C$49:$C$54,H$49:H$54,投放验证!AG115)</f>
        <v>0.61</v>
      </c>
      <c r="T115" s="75">
        <f>MAX(SUMPRODUCT(O115:S115,基础状态预期!T115:X115)/6,T114)</f>
        <v>0.59833333333333327</v>
      </c>
      <c r="V115" s="12">
        <v>110</v>
      </c>
      <c r="W115" s="12">
        <f t="shared" si="5"/>
        <v>0.58021132475461279</v>
      </c>
      <c r="X115" s="12">
        <f t="shared" si="6"/>
        <v>0.58613816397861063</v>
      </c>
      <c r="Y115" s="12">
        <f t="shared" si="7"/>
        <v>0.59174805683072873</v>
      </c>
      <c r="Z115" s="12">
        <f t="shared" si="8"/>
        <v>0.59833333333333327</v>
      </c>
      <c r="AA115" s="12">
        <f t="shared" si="9"/>
        <v>0.59833333333333327</v>
      </c>
    </row>
    <row r="116" spans="4:27" x14ac:dyDescent="0.15">
      <c r="V116" s="12">
        <v>111</v>
      </c>
      <c r="W116" s="12">
        <f t="shared" si="5"/>
        <v>0.5805629203416165</v>
      </c>
      <c r="X116" s="12">
        <f t="shared" si="6"/>
        <v>0.5865167036226856</v>
      </c>
      <c r="Y116" s="12">
        <f t="shared" si="7"/>
        <v>0.59214704643704696</v>
      </c>
      <c r="Z116" s="12">
        <f t="shared" si="8"/>
        <v>0.59833333333333327</v>
      </c>
      <c r="AA116" s="12">
        <f t="shared" si="9"/>
        <v>0.59833333333333327</v>
      </c>
    </row>
    <row r="117" spans="4:27" x14ac:dyDescent="0.15">
      <c r="V117" s="12">
        <v>112</v>
      </c>
      <c r="W117" s="12">
        <f t="shared" si="5"/>
        <v>0.58091451592862031</v>
      </c>
      <c r="X117" s="12">
        <f t="shared" si="6"/>
        <v>0.58689524326676068</v>
      </c>
      <c r="Y117" s="12">
        <f t="shared" si="7"/>
        <v>0.5925460360433652</v>
      </c>
      <c r="Z117" s="12">
        <f t="shared" si="8"/>
        <v>0.59833333333333327</v>
      </c>
      <c r="AA117" s="12">
        <f t="shared" si="9"/>
        <v>0.59833333333333327</v>
      </c>
    </row>
    <row r="118" spans="4:27" x14ac:dyDescent="0.15">
      <c r="V118" s="12">
        <v>113</v>
      </c>
      <c r="W118" s="12">
        <f t="shared" si="5"/>
        <v>0.58126611151562402</v>
      </c>
      <c r="X118" s="12">
        <f t="shared" si="6"/>
        <v>0.58727378291083565</v>
      </c>
      <c r="Y118" s="12">
        <f t="shared" si="7"/>
        <v>0.59294502564968343</v>
      </c>
      <c r="Z118" s="12">
        <f t="shared" si="8"/>
        <v>0.59833333333333327</v>
      </c>
      <c r="AA118" s="12">
        <f t="shared" si="9"/>
        <v>0.59833333333333327</v>
      </c>
    </row>
    <row r="119" spans="4:27" x14ac:dyDescent="0.15">
      <c r="N119" s="59" t="s">
        <v>283</v>
      </c>
      <c r="O119" s="142" t="s">
        <v>273</v>
      </c>
      <c r="P119" s="142"/>
      <c r="Q119" s="142"/>
      <c r="R119" s="142"/>
      <c r="S119" s="142"/>
      <c r="V119" s="12">
        <v>114</v>
      </c>
      <c r="W119" s="12">
        <f t="shared" si="5"/>
        <v>0.58161770710262783</v>
      </c>
      <c r="X119" s="12">
        <f t="shared" si="6"/>
        <v>0.58765232255491073</v>
      </c>
      <c r="Y119" s="12">
        <f t="shared" si="7"/>
        <v>0.59334401525600167</v>
      </c>
      <c r="Z119" s="12">
        <f t="shared" si="8"/>
        <v>0.59833333333333327</v>
      </c>
      <c r="AA119" s="12">
        <f t="shared" si="9"/>
        <v>0.59833333333333327</v>
      </c>
    </row>
    <row r="120" spans="4:27" x14ac:dyDescent="0.15">
      <c r="N120" s="53" t="s">
        <v>161</v>
      </c>
      <c r="O120" s="58" t="s">
        <v>25</v>
      </c>
      <c r="P120" s="58" t="s">
        <v>1</v>
      </c>
      <c r="Q120" s="58" t="s">
        <v>2</v>
      </c>
      <c r="R120" s="58" t="s">
        <v>0</v>
      </c>
      <c r="S120" s="58" t="s">
        <v>217</v>
      </c>
      <c r="T120" s="75" t="s">
        <v>286</v>
      </c>
      <c r="V120" s="12">
        <v>115</v>
      </c>
      <c r="W120" s="12">
        <f t="shared" si="5"/>
        <v>0.58196930268963154</v>
      </c>
      <c r="X120" s="12">
        <f t="shared" si="6"/>
        <v>0.5880308621989857</v>
      </c>
      <c r="Y120" s="12">
        <f t="shared" si="7"/>
        <v>0.59374300486232001</v>
      </c>
      <c r="Z120" s="12">
        <f t="shared" si="8"/>
        <v>0.59833333333333327</v>
      </c>
      <c r="AA120" s="12">
        <f t="shared" si="9"/>
        <v>0.59833333333333327</v>
      </c>
    </row>
    <row r="121" spans="4:27" x14ac:dyDescent="0.15">
      <c r="D121" s="41"/>
      <c r="E121" s="41"/>
      <c r="F121" s="41"/>
      <c r="G121" s="41"/>
      <c r="H121" s="41"/>
      <c r="N121" s="53">
        <v>5</v>
      </c>
      <c r="O121" s="58"/>
      <c r="P121" s="67">
        <f>求节点($C$49:$C$54,E$49:E$54,投放验证!AD121)</f>
        <v>0.02</v>
      </c>
      <c r="Q121" s="67">
        <f>求节点($C$49:$C$54,F$49:F$54,投放验证!AE121)</f>
        <v>0.04</v>
      </c>
      <c r="R121" s="67">
        <f>求节点($C$49:$C$54,G$49:G$54,投放验证!AF121)</f>
        <v>0.24</v>
      </c>
      <c r="S121" s="67">
        <f>求节点($C$49:$C$54,H$49:H$54,投放验证!AG121)</f>
        <v>0.33500000000000002</v>
      </c>
      <c r="T121" s="76">
        <f>SUMPRODUCT(O121:S121,基础状态预期!Y121:AC121)/6</f>
        <v>0</v>
      </c>
      <c r="V121" s="12">
        <v>116</v>
      </c>
      <c r="W121" s="12">
        <f t="shared" si="5"/>
        <v>0.58232089827663525</v>
      </c>
      <c r="X121" s="12">
        <f t="shared" si="6"/>
        <v>0.58840940184306068</v>
      </c>
      <c r="Y121" s="12">
        <f t="shared" si="7"/>
        <v>0.59414199446863825</v>
      </c>
      <c r="Z121" s="12">
        <f t="shared" si="8"/>
        <v>0.59833333333333327</v>
      </c>
      <c r="AA121" s="12">
        <f t="shared" si="9"/>
        <v>0.59833333333333327</v>
      </c>
    </row>
    <row r="122" spans="4:27" x14ac:dyDescent="0.15">
      <c r="D122" s="41"/>
      <c r="E122" s="41"/>
      <c r="F122" s="41"/>
      <c r="G122" s="41"/>
      <c r="H122" s="41"/>
      <c r="N122" s="53">
        <v>10</v>
      </c>
      <c r="O122" s="58"/>
      <c r="P122" s="67">
        <f>求节点($C$49:$C$54,E$49:E$54,投放验证!AD122)</f>
        <v>0.02</v>
      </c>
      <c r="Q122" s="67">
        <f>求节点($C$49:$C$54,F$49:F$54,投放验证!AE122)</f>
        <v>0.04</v>
      </c>
      <c r="R122" s="67">
        <f>求节点($C$49:$C$54,G$49:G$54,投放验证!AF122)</f>
        <v>0.24</v>
      </c>
      <c r="S122" s="67">
        <f>求节点($C$49:$C$54,H$49:H$54,投放验证!AG122)</f>
        <v>0.33500000000000002</v>
      </c>
      <c r="T122" s="75">
        <f>MAX(SUMPRODUCT(O122:S122,基础状态预期!T122:X122)/6,T121)</f>
        <v>0</v>
      </c>
      <c r="V122" s="12">
        <v>117</v>
      </c>
      <c r="W122" s="12">
        <f t="shared" si="5"/>
        <v>0.58267249386363906</v>
      </c>
      <c r="X122" s="12">
        <f t="shared" si="6"/>
        <v>0.58878794148713576</v>
      </c>
      <c r="Y122" s="12">
        <f t="shared" si="7"/>
        <v>0.59454098407495648</v>
      </c>
      <c r="Z122" s="12">
        <f t="shared" si="8"/>
        <v>0.59833333333333327</v>
      </c>
      <c r="AA122" s="12">
        <f t="shared" si="9"/>
        <v>0.59833333333333327</v>
      </c>
    </row>
    <row r="123" spans="4:27" x14ac:dyDescent="0.15">
      <c r="D123" s="41"/>
      <c r="E123" s="41"/>
      <c r="F123" s="41"/>
      <c r="G123" s="41"/>
      <c r="H123" s="41"/>
      <c r="N123" s="53">
        <v>15</v>
      </c>
      <c r="O123" s="58"/>
      <c r="P123" s="67">
        <f>求节点($C$49:$C$54,E$49:E$54,投放验证!AD123)</f>
        <v>0.02</v>
      </c>
      <c r="Q123" s="67">
        <f>求节点($C$49:$C$54,F$49:F$54,投放验证!AE123)</f>
        <v>0.04</v>
      </c>
      <c r="R123" s="67">
        <f>求节点($C$49:$C$54,G$49:G$54,投放验证!AF123)</f>
        <v>0.24</v>
      </c>
      <c r="S123" s="67">
        <f>求节点($C$49:$C$54,H$49:H$54,投放验证!AG123)</f>
        <v>0.33500000000000002</v>
      </c>
      <c r="T123" s="75">
        <f>MAX(SUMPRODUCT(O123:S123,基础状态预期!T123:X123)/6,T122)</f>
        <v>0</v>
      </c>
      <c r="V123" s="12">
        <v>118</v>
      </c>
      <c r="W123" s="12">
        <f t="shared" si="5"/>
        <v>0.58302408945064277</v>
      </c>
      <c r="X123" s="12">
        <f t="shared" si="6"/>
        <v>0.58916648113121073</v>
      </c>
      <c r="Y123" s="12">
        <f t="shared" si="7"/>
        <v>0.59493997368127471</v>
      </c>
      <c r="Z123" s="12">
        <f t="shared" si="8"/>
        <v>0.59833333333333327</v>
      </c>
      <c r="AA123" s="12">
        <f t="shared" si="9"/>
        <v>0.59833333333333327</v>
      </c>
    </row>
    <row r="124" spans="4:27" x14ac:dyDescent="0.15">
      <c r="N124" s="53">
        <v>20</v>
      </c>
      <c r="O124" s="58"/>
      <c r="P124" s="67">
        <f>求节点($C$49:$C$54,E$49:E$54,投放验证!AD124)</f>
        <v>0.02</v>
      </c>
      <c r="Q124" s="67">
        <f>求节点($C$49:$C$54,F$49:F$54,投放验证!AE124)</f>
        <v>0.04</v>
      </c>
      <c r="R124" s="67">
        <f>求节点($C$49:$C$54,G$49:G$54,投放验证!AF124)</f>
        <v>0.24</v>
      </c>
      <c r="S124" s="67">
        <f>求节点($C$49:$C$54,H$49:H$54,投放验证!AG124)</f>
        <v>0.33500000000000002</v>
      </c>
      <c r="T124" s="75">
        <f>MAX(SUMPRODUCT(O124:S124,基础状态预期!T124:X124)/6,T123)</f>
        <v>0</v>
      </c>
      <c r="V124" s="12">
        <v>119</v>
      </c>
      <c r="W124" s="12">
        <f t="shared" si="5"/>
        <v>0.58337568503764659</v>
      </c>
      <c r="X124" s="12">
        <f t="shared" si="6"/>
        <v>0.58954502077528581</v>
      </c>
      <c r="Y124" s="12">
        <f t="shared" si="7"/>
        <v>0.59533896328759295</v>
      </c>
      <c r="Z124" s="12">
        <f t="shared" si="8"/>
        <v>0.59833333333333327</v>
      </c>
      <c r="AA124" s="12">
        <f t="shared" si="9"/>
        <v>0.59833333333333327</v>
      </c>
    </row>
    <row r="125" spans="4:27" x14ac:dyDescent="0.15">
      <c r="N125" s="53">
        <v>25</v>
      </c>
      <c r="O125" s="58"/>
      <c r="P125" s="67">
        <f>求节点($C$49:$C$54,E$49:E$54,投放验证!AD125)</f>
        <v>0.02</v>
      </c>
      <c r="Q125" s="67">
        <f>求节点($C$49:$C$54,F$49:F$54,投放验证!AE125)</f>
        <v>0.04</v>
      </c>
      <c r="R125" s="67">
        <f>求节点($C$49:$C$54,G$49:G$54,投放验证!AF125)</f>
        <v>0.24</v>
      </c>
      <c r="S125" s="67">
        <f>求节点($C$49:$C$54,H$49:H$54,投放验证!AG125)</f>
        <v>0.33500000000000002</v>
      </c>
      <c r="T125" s="75">
        <f>MAX(SUMPRODUCT(O125:S125,基础状态预期!T125:X125)/6,T124)</f>
        <v>0</v>
      </c>
      <c r="V125" s="12">
        <v>120</v>
      </c>
      <c r="W125" s="12">
        <f t="shared" si="5"/>
        <v>0.58372728062465029</v>
      </c>
      <c r="X125" s="12">
        <f t="shared" si="6"/>
        <v>0.58992356041936078</v>
      </c>
      <c r="Y125" s="12">
        <f t="shared" si="7"/>
        <v>0.59573795289391118</v>
      </c>
      <c r="Z125" s="12">
        <f t="shared" si="8"/>
        <v>0.59833333333333327</v>
      </c>
      <c r="AA125" s="12">
        <f t="shared" si="9"/>
        <v>0.59833333333333327</v>
      </c>
    </row>
    <row r="126" spans="4:27" x14ac:dyDescent="0.15">
      <c r="N126" s="53">
        <v>30</v>
      </c>
      <c r="O126" s="58"/>
      <c r="P126" s="67">
        <f>求节点($C$49:$C$54,E$49:E$54,投放验证!AD126)</f>
        <v>0.02</v>
      </c>
      <c r="Q126" s="67">
        <f>求节点($C$49:$C$54,F$49:F$54,投放验证!AE126)</f>
        <v>0.04</v>
      </c>
      <c r="R126" s="67">
        <f>求节点($C$49:$C$54,G$49:G$54,投放验证!AF126)</f>
        <v>0.24</v>
      </c>
      <c r="S126" s="67">
        <f>求节点($C$49:$C$54,H$49:H$54,投放验证!AG126)</f>
        <v>0.33500000000000002</v>
      </c>
      <c r="T126" s="75">
        <f>MAX(SUMPRODUCT(O126:S126,基础状态预期!T126:X126)/6,T125)</f>
        <v>0</v>
      </c>
      <c r="V126" s="12">
        <v>121</v>
      </c>
      <c r="W126" s="12">
        <f t="shared" si="5"/>
        <v>0.584078876211654</v>
      </c>
      <c r="X126" s="12">
        <f t="shared" si="6"/>
        <v>0.59019234159569967</v>
      </c>
      <c r="Y126" s="12">
        <f t="shared" si="7"/>
        <v>0.59599749093785337</v>
      </c>
      <c r="Z126" s="12">
        <f t="shared" si="8"/>
        <v>0.59833333333333327</v>
      </c>
      <c r="AA126" s="12">
        <f t="shared" si="9"/>
        <v>0.59833333333333327</v>
      </c>
    </row>
    <row r="127" spans="4:27" x14ac:dyDescent="0.15">
      <c r="N127" s="53">
        <v>35</v>
      </c>
      <c r="O127" s="58"/>
      <c r="P127" s="67">
        <f>求节点($C$49:$C$54,E$49:E$54,投放验证!AD127)</f>
        <v>0.02</v>
      </c>
      <c r="Q127" s="67">
        <f>求节点($C$49:$C$54,F$49:F$54,投放验证!AE127)</f>
        <v>0.04</v>
      </c>
      <c r="R127" s="67">
        <f>求节点($C$49:$C$54,G$49:G$54,投放验证!AF127)</f>
        <v>0.24</v>
      </c>
      <c r="S127" s="67">
        <f>求节点($C$49:$C$54,H$49:H$54,投放验证!AG127)</f>
        <v>0.33500000000000002</v>
      </c>
      <c r="T127" s="75">
        <f>MAX(SUMPRODUCT(O127:S127,基础状态预期!T127:X127)/6,T126)</f>
        <v>3.3333333333333335E-3</v>
      </c>
      <c r="V127" s="12">
        <v>122</v>
      </c>
      <c r="W127" s="12">
        <f t="shared" si="5"/>
        <v>0.58443047179865781</v>
      </c>
      <c r="X127" s="12">
        <f t="shared" si="6"/>
        <v>0.59046112277203855</v>
      </c>
      <c r="Y127" s="12">
        <f t="shared" si="7"/>
        <v>0.59625702898179556</v>
      </c>
      <c r="Z127" s="12">
        <f t="shared" si="8"/>
        <v>0.59833333333333327</v>
      </c>
      <c r="AA127" s="12">
        <f t="shared" si="9"/>
        <v>0.59833333333333327</v>
      </c>
    </row>
    <row r="128" spans="4:27" x14ac:dyDescent="0.15">
      <c r="N128" s="53">
        <v>40</v>
      </c>
      <c r="O128" s="58"/>
      <c r="P128" s="67">
        <f>求节点($C$49:$C$54,E$49:E$54,投放验证!AD128)</f>
        <v>0.02</v>
      </c>
      <c r="Q128" s="67">
        <f>求节点($C$49:$C$54,F$49:F$54,投放验证!AE128)</f>
        <v>0.04</v>
      </c>
      <c r="R128" s="67">
        <f>求节点($C$49:$C$54,G$49:G$54,投放验证!AF128)</f>
        <v>0.24</v>
      </c>
      <c r="S128" s="67">
        <f>求节点($C$49:$C$54,H$49:H$54,投放验证!AG128)</f>
        <v>0.33500000000000002</v>
      </c>
      <c r="T128" s="75">
        <f>MAX(SUMPRODUCT(O128:S128,基础状态预期!T128:X128)/6,T127)</f>
        <v>0.01</v>
      </c>
      <c r="V128" s="12">
        <v>123</v>
      </c>
      <c r="W128" s="12">
        <f t="shared" si="5"/>
        <v>0.58478206738566152</v>
      </c>
      <c r="X128" s="12">
        <f t="shared" si="6"/>
        <v>0.59072990394837743</v>
      </c>
      <c r="Y128" s="12">
        <f t="shared" si="7"/>
        <v>0.59651656702573785</v>
      </c>
      <c r="Z128" s="12">
        <f t="shared" si="8"/>
        <v>0.59833333333333327</v>
      </c>
      <c r="AA128" s="12">
        <f t="shared" si="9"/>
        <v>0.59833333333333327</v>
      </c>
    </row>
    <row r="129" spans="14:27" x14ac:dyDescent="0.15">
      <c r="N129" s="53">
        <v>45</v>
      </c>
      <c r="O129" s="58"/>
      <c r="P129" s="67">
        <f>求节点($C$49:$C$54,E$49:E$54,投放验证!AD129)</f>
        <v>6.4752141524651294E-2</v>
      </c>
      <c r="Q129" s="67">
        <f>求节点($C$49:$C$54,F$49:F$54,投放验证!AE129)</f>
        <v>6.2435627997227156E-2</v>
      </c>
      <c r="R129" s="67">
        <f>求节点($C$49:$C$54,G$49:G$54,投放验证!AF129)</f>
        <v>0.24</v>
      </c>
      <c r="S129" s="67">
        <f>求节点($C$49:$C$54,H$49:H$54,投放验证!AG129)</f>
        <v>0.33500000000000002</v>
      </c>
      <c r="T129" s="75">
        <f>MAX(SUMPRODUCT(O129:S129,基础状态预期!T129:X129)/6,T128)</f>
        <v>0.12162375199815144</v>
      </c>
      <c r="V129" s="12">
        <v>124</v>
      </c>
      <c r="W129" s="12">
        <f t="shared" si="5"/>
        <v>0.58513366297266522</v>
      </c>
      <c r="X129" s="12">
        <f t="shared" si="6"/>
        <v>0.59099868512471632</v>
      </c>
      <c r="Y129" s="12">
        <f t="shared" si="7"/>
        <v>0.59677610506968004</v>
      </c>
      <c r="Z129" s="12">
        <f t="shared" si="8"/>
        <v>0.59833333333333327</v>
      </c>
      <c r="AA129" s="12">
        <f t="shared" si="9"/>
        <v>0.59833333333333327</v>
      </c>
    </row>
    <row r="130" spans="14:27" x14ac:dyDescent="0.15">
      <c r="N130" s="53">
        <v>50</v>
      </c>
      <c r="O130" s="58"/>
      <c r="P130" s="67">
        <f>求节点($C$49:$C$54,E$49:E$54,投放验证!AD130)</f>
        <v>8.9716403306311615E-2</v>
      </c>
      <c r="Q130" s="67">
        <f>求节点($C$49:$C$54,F$49:F$54,投放验证!AE130)</f>
        <v>0.12066332574297639</v>
      </c>
      <c r="R130" s="67">
        <f>求节点($C$49:$C$54,G$49:G$54,投放验证!AF130)</f>
        <v>0.24</v>
      </c>
      <c r="S130" s="67">
        <f>求节点($C$49:$C$54,H$49:H$54,投放验证!AG130)</f>
        <v>0.3503838067683589</v>
      </c>
      <c r="T130" s="75">
        <f>MAX(SUMPRODUCT(O130:S130,基础状态预期!T130:X130)/6,T129)</f>
        <v>0.25839730112805981</v>
      </c>
      <c r="V130" s="12">
        <v>125</v>
      </c>
      <c r="W130" s="12">
        <f t="shared" si="5"/>
        <v>0.58548525855966904</v>
      </c>
      <c r="X130" s="12">
        <f t="shared" si="6"/>
        <v>0.59126746630105531</v>
      </c>
      <c r="Y130" s="12">
        <f t="shared" si="7"/>
        <v>0.59703564311362223</v>
      </c>
      <c r="Z130" s="12">
        <f t="shared" si="8"/>
        <v>0.59833333333333327</v>
      </c>
      <c r="AA130" s="12">
        <f t="shared" si="9"/>
        <v>0.59833333333333327</v>
      </c>
    </row>
    <row r="131" spans="14:27" x14ac:dyDescent="0.15">
      <c r="N131" s="53">
        <v>60</v>
      </c>
      <c r="O131" s="58"/>
      <c r="P131" s="67">
        <f>求节点($C$49:$C$54,E$49:E$54,投放验证!AD131)</f>
        <v>0.12</v>
      </c>
      <c r="Q131" s="67">
        <f>求节点($C$49:$C$54,F$49:F$54,投放验证!AE131)</f>
        <v>0.20431515679458437</v>
      </c>
      <c r="R131" s="67">
        <f>求节点($C$49:$C$54,G$49:G$54,投放验证!AF131)</f>
        <v>0.24108041174701611</v>
      </c>
      <c r="S131" s="67">
        <f>求节点($C$49:$C$54,H$49:H$54,投放验证!AG131)</f>
        <v>0.54747293653527584</v>
      </c>
      <c r="T131" s="75">
        <f>MAX(SUMPRODUCT(O131:S131,基础状态预期!T131:X131)/6,T130)</f>
        <v>0.43835350106283094</v>
      </c>
      <c r="V131" s="12">
        <v>126</v>
      </c>
      <c r="W131" s="12">
        <f t="shared" si="5"/>
        <v>0.58583685414667275</v>
      </c>
      <c r="X131" s="12">
        <f t="shared" si="6"/>
        <v>0.59153624747739419</v>
      </c>
      <c r="Y131" s="12">
        <f t="shared" si="7"/>
        <v>0.59729518115756441</v>
      </c>
      <c r="Z131" s="12">
        <f t="shared" si="8"/>
        <v>0.59833333333333327</v>
      </c>
      <c r="AA131" s="12">
        <f t="shared" si="9"/>
        <v>0.59833333333333327</v>
      </c>
    </row>
    <row r="132" spans="14:27" x14ac:dyDescent="0.15">
      <c r="N132" s="53">
        <v>70</v>
      </c>
      <c r="O132" s="58"/>
      <c r="P132" s="67">
        <f>求节点($C$49:$C$54,E$49:E$54,投放验证!AD132)</f>
        <v>0.12</v>
      </c>
      <c r="Q132" s="67">
        <f>求节点($C$49:$C$54,F$49:F$54,投放验证!AE132)</f>
        <v>0.24</v>
      </c>
      <c r="R132" s="67">
        <f>求节点($C$49:$C$54,G$49:G$54,投放验证!AF132)</f>
        <v>0.38285461681651262</v>
      </c>
      <c r="S132" s="67">
        <f>求节点($C$49:$C$54,H$49:H$54,投放验证!AG132)</f>
        <v>0.61</v>
      </c>
      <c r="T132" s="75">
        <f>MAX(SUMPRODUCT(O132:S132,基础状态预期!T132:X132)/6,T131)</f>
        <v>0.5721424361360854</v>
      </c>
      <c r="V132" s="12">
        <v>127</v>
      </c>
      <c r="W132" s="12">
        <f t="shared" si="5"/>
        <v>0.58618844973367645</v>
      </c>
      <c r="X132" s="12">
        <f t="shared" si="6"/>
        <v>0.59180502865373308</v>
      </c>
      <c r="Y132" s="12">
        <f t="shared" si="7"/>
        <v>0.5975547192015066</v>
      </c>
      <c r="Z132" s="12">
        <f t="shared" si="8"/>
        <v>0.59833333333333327</v>
      </c>
      <c r="AA132" s="12">
        <f t="shared" si="9"/>
        <v>0.59833333333333327</v>
      </c>
    </row>
    <row r="133" spans="14:27" x14ac:dyDescent="0.15">
      <c r="N133" s="53">
        <v>80</v>
      </c>
      <c r="O133" s="58"/>
      <c r="P133" s="67">
        <f>求节点($C$49:$C$54,E$49:E$54,投放验证!AD133)</f>
        <v>0.12</v>
      </c>
      <c r="Q133" s="67">
        <f>求节点($C$49:$C$54,F$49:F$54,投放验证!AE133)</f>
        <v>0.24</v>
      </c>
      <c r="R133" s="67">
        <f>求节点($C$49:$C$54,G$49:G$54,投放验证!AF133)</f>
        <v>0.4550226515271194</v>
      </c>
      <c r="S133" s="67">
        <f>求节点($C$49:$C$54,H$49:H$54,投放验证!AG133)</f>
        <v>0.61</v>
      </c>
      <c r="T133" s="75">
        <f>MAX(SUMPRODUCT(O133:S133,基础状态预期!T133:X133)/6,T132)</f>
        <v>0.5841704419211865</v>
      </c>
      <c r="V133" s="12">
        <v>128</v>
      </c>
      <c r="W133" s="12">
        <f t="shared" si="5"/>
        <v>0.58654004532068016</v>
      </c>
      <c r="X133" s="12">
        <f t="shared" si="6"/>
        <v>0.59207380983007196</v>
      </c>
      <c r="Y133" s="12">
        <f t="shared" si="7"/>
        <v>0.5978142572454489</v>
      </c>
      <c r="Z133" s="12">
        <f t="shared" si="8"/>
        <v>0.59833333333333327</v>
      </c>
      <c r="AA133" s="12">
        <f t="shared" si="9"/>
        <v>0.59833333333333327</v>
      </c>
    </row>
    <row r="134" spans="14:27" x14ac:dyDescent="0.15">
      <c r="N134" s="53">
        <v>90</v>
      </c>
      <c r="O134" s="58"/>
      <c r="P134" s="67">
        <f>求节点($C$49:$C$54,E$49:E$54,投放验证!AD134)</f>
        <v>0.12</v>
      </c>
      <c r="Q134" s="67">
        <f>求节点($C$49:$C$54,F$49:F$54,投放验证!AE134)</f>
        <v>0.24</v>
      </c>
      <c r="R134" s="67">
        <f>求节点($C$49:$C$54,G$49:G$54,投放验证!AF134)</f>
        <v>0.51504564791346608</v>
      </c>
      <c r="S134" s="67">
        <f>求节点($C$49:$C$54,H$49:H$54,投放验证!AG134)</f>
        <v>0.61</v>
      </c>
      <c r="T134" s="75">
        <f>MAX(SUMPRODUCT(O134:S134,基础状态预期!T134:X134)/6,T133)</f>
        <v>0.59417427465224437</v>
      </c>
      <c r="V134" s="12">
        <v>129</v>
      </c>
      <c r="W134" s="12">
        <f t="shared" si="5"/>
        <v>0.58689164090768398</v>
      </c>
      <c r="X134" s="12">
        <f t="shared" si="6"/>
        <v>0.59234259100641085</v>
      </c>
      <c r="Y134" s="12">
        <f t="shared" si="7"/>
        <v>0.59807379528939109</v>
      </c>
      <c r="Z134" s="12">
        <f t="shared" si="8"/>
        <v>0.59833333333333327</v>
      </c>
      <c r="AA134" s="12">
        <f t="shared" si="9"/>
        <v>0.59833333333333327</v>
      </c>
    </row>
    <row r="135" spans="14:27" x14ac:dyDescent="0.15">
      <c r="N135" s="53">
        <v>100</v>
      </c>
      <c r="O135" s="58"/>
      <c r="P135" s="67">
        <f>求节点($C$49:$C$54,E$49:E$54,投放验证!AD135)</f>
        <v>0.12</v>
      </c>
      <c r="Q135" s="67">
        <f>求节点($C$49:$C$54,F$49:F$54,投放验证!AE135)</f>
        <v>0.24</v>
      </c>
      <c r="R135" s="67">
        <f>求节点($C$49:$C$54,G$49:G$54,投放验证!AF135)</f>
        <v>0.54</v>
      </c>
      <c r="S135" s="67">
        <f>求节点($C$49:$C$54,H$49:H$54,投放验证!AG135)</f>
        <v>0.61</v>
      </c>
      <c r="T135" s="75">
        <f>MAX(SUMPRODUCT(O135:S135,基础状态预期!T135:X135)/6,T134)</f>
        <v>0.59833333333333327</v>
      </c>
      <c r="V135" s="12">
        <v>130</v>
      </c>
      <c r="W135" s="12">
        <f t="shared" ref="W135:W165" si="10">求节点($N$17:$N$37,$T$17:$T$37,$V135)</f>
        <v>0.58724323649468768</v>
      </c>
      <c r="X135" s="12">
        <f t="shared" ref="X135:X165" si="11">求节点($N$43:$N$63,$T$43:$T$63,$V135)</f>
        <v>0.59261137218274973</v>
      </c>
      <c r="Y135" s="12">
        <f t="shared" ref="Y135:Y165" si="12">求节点($N$69:$N$89,$T$69:$T$89,$V135)</f>
        <v>0.59833333333333327</v>
      </c>
      <c r="Z135" s="12">
        <f t="shared" ref="Z135:Z165" si="13">求节点($N$95:$N$115,$T$95:$T$115,$V135)</f>
        <v>0.59833333333333327</v>
      </c>
      <c r="AA135" s="12">
        <f t="shared" ref="AA135:AA165" si="14">求节点($N$121:$N$141,$T$121:$T$141,$V135)</f>
        <v>0.59833333333333327</v>
      </c>
    </row>
    <row r="136" spans="14:27" x14ac:dyDescent="0.15">
      <c r="N136" s="53">
        <v>110</v>
      </c>
      <c r="O136" s="58"/>
      <c r="P136" s="67">
        <f>求节点($C$49:$C$54,E$49:E$54,投放验证!AD136)</f>
        <v>0.12</v>
      </c>
      <c r="Q136" s="67">
        <f>求节点($C$49:$C$54,F$49:F$54,投放验证!AE136)</f>
        <v>0.24</v>
      </c>
      <c r="R136" s="67">
        <f>求节点($C$49:$C$54,G$49:G$54,投放验证!AF136)</f>
        <v>0.54</v>
      </c>
      <c r="S136" s="67">
        <f>求节点($C$49:$C$54,H$49:H$54,投放验证!AG136)</f>
        <v>0.61</v>
      </c>
      <c r="T136" s="75">
        <f>MAX(SUMPRODUCT(O136:S136,基础状态预期!T136:X136)/6,T135)</f>
        <v>0.59833333333333327</v>
      </c>
      <c r="V136" s="12">
        <v>131</v>
      </c>
      <c r="W136" s="12">
        <f t="shared" si="10"/>
        <v>0.58747353913012179</v>
      </c>
      <c r="X136" s="12">
        <f t="shared" si="11"/>
        <v>0.59288015335908861</v>
      </c>
      <c r="Y136" s="12">
        <f t="shared" si="12"/>
        <v>0.59833333333333327</v>
      </c>
      <c r="Z136" s="12">
        <f t="shared" si="13"/>
        <v>0.59833333333333327</v>
      </c>
      <c r="AA136" s="12">
        <f t="shared" si="14"/>
        <v>0.59833333333333327</v>
      </c>
    </row>
    <row r="137" spans="14:27" x14ac:dyDescent="0.15">
      <c r="N137" s="53">
        <v>120</v>
      </c>
      <c r="O137" s="58"/>
      <c r="P137" s="67">
        <f>求节点($C$49:$C$54,E$49:E$54,投放验证!AD137)</f>
        <v>0.12</v>
      </c>
      <c r="Q137" s="67">
        <f>求节点($C$49:$C$54,F$49:F$54,投放验证!AE137)</f>
        <v>0.24</v>
      </c>
      <c r="R137" s="67">
        <f>求节点($C$49:$C$54,G$49:G$54,投放验证!AF137)</f>
        <v>0.54</v>
      </c>
      <c r="S137" s="67">
        <f>求节点($C$49:$C$54,H$49:H$54,投放验证!AG137)</f>
        <v>0.61</v>
      </c>
      <c r="T137" s="75">
        <f>MAX(SUMPRODUCT(O137:S137,基础状态预期!T137:X137)/6,T136)</f>
        <v>0.59833333333333327</v>
      </c>
      <c r="V137" s="12">
        <v>132</v>
      </c>
      <c r="W137" s="12">
        <f t="shared" si="10"/>
        <v>0.58770384176555601</v>
      </c>
      <c r="X137" s="12">
        <f t="shared" si="11"/>
        <v>0.5931489345354275</v>
      </c>
      <c r="Y137" s="12">
        <f t="shared" si="12"/>
        <v>0.59833333333333327</v>
      </c>
      <c r="Z137" s="12">
        <f t="shared" si="13"/>
        <v>0.59833333333333327</v>
      </c>
      <c r="AA137" s="12">
        <f t="shared" si="14"/>
        <v>0.59833333333333327</v>
      </c>
    </row>
    <row r="138" spans="14:27" x14ac:dyDescent="0.15">
      <c r="N138" s="53">
        <v>130</v>
      </c>
      <c r="O138" s="58"/>
      <c r="P138" s="67">
        <f>求节点($C$49:$C$54,E$49:E$54,投放验证!AD138)</f>
        <v>0.12</v>
      </c>
      <c r="Q138" s="67">
        <f>求节点($C$49:$C$54,F$49:F$54,投放验证!AE138)</f>
        <v>0.24</v>
      </c>
      <c r="R138" s="67">
        <f>求节点($C$49:$C$54,G$49:G$54,投放验证!AF138)</f>
        <v>0.54</v>
      </c>
      <c r="S138" s="67">
        <f>求节点($C$49:$C$54,H$49:H$54,投放验证!AG138)</f>
        <v>0.61</v>
      </c>
      <c r="T138" s="75">
        <f>MAX(SUMPRODUCT(O138:S138,基础状态预期!T138:X138)/6,T137)</f>
        <v>0.59833333333333327</v>
      </c>
      <c r="V138" s="12">
        <v>133</v>
      </c>
      <c r="W138" s="12">
        <f t="shared" si="10"/>
        <v>0.58793414440099012</v>
      </c>
      <c r="X138" s="12">
        <f t="shared" si="11"/>
        <v>0.59341771571176638</v>
      </c>
      <c r="Y138" s="12">
        <f t="shared" si="12"/>
        <v>0.59833333333333327</v>
      </c>
      <c r="Z138" s="12">
        <f t="shared" si="13"/>
        <v>0.59833333333333327</v>
      </c>
      <c r="AA138" s="12">
        <f t="shared" si="14"/>
        <v>0.59833333333333327</v>
      </c>
    </row>
    <row r="139" spans="14:27" x14ac:dyDescent="0.15">
      <c r="N139" s="53">
        <v>140</v>
      </c>
      <c r="O139" s="58"/>
      <c r="P139" s="67">
        <f>求节点($C$49:$C$54,E$49:E$54,投放验证!AD139)</f>
        <v>0.12</v>
      </c>
      <c r="Q139" s="67">
        <f>求节点($C$49:$C$54,F$49:F$54,投放验证!AE139)</f>
        <v>0.24</v>
      </c>
      <c r="R139" s="67">
        <f>求节点($C$49:$C$54,G$49:G$54,投放验证!AF139)</f>
        <v>0.54</v>
      </c>
      <c r="S139" s="67">
        <f>求节点($C$49:$C$54,H$49:H$54,投放验证!AG139)</f>
        <v>0.61</v>
      </c>
      <c r="T139" s="75">
        <f>MAX(SUMPRODUCT(O139:S139,基础状态预期!T139:X139)/6,T138)</f>
        <v>0.59833333333333327</v>
      </c>
      <c r="V139" s="12">
        <v>134</v>
      </c>
      <c r="W139" s="12">
        <f t="shared" si="10"/>
        <v>0.58816444703642434</v>
      </c>
      <c r="X139" s="12">
        <f t="shared" si="11"/>
        <v>0.59368649688810526</v>
      </c>
      <c r="Y139" s="12">
        <f t="shared" si="12"/>
        <v>0.59833333333333327</v>
      </c>
      <c r="Z139" s="12">
        <f t="shared" si="13"/>
        <v>0.59833333333333327</v>
      </c>
      <c r="AA139" s="12">
        <f t="shared" si="14"/>
        <v>0.59833333333333327</v>
      </c>
    </row>
    <row r="140" spans="14:27" x14ac:dyDescent="0.15">
      <c r="N140" s="53">
        <v>150</v>
      </c>
      <c r="O140" s="58"/>
      <c r="P140" s="67">
        <f>求节点($C$49:$C$54,E$49:E$54,投放验证!AD140)</f>
        <v>0.12</v>
      </c>
      <c r="Q140" s="67">
        <f>求节点($C$49:$C$54,F$49:F$54,投放验证!AE140)</f>
        <v>0.24</v>
      </c>
      <c r="R140" s="67">
        <f>求节点($C$49:$C$54,G$49:G$54,投放验证!AF140)</f>
        <v>0.54</v>
      </c>
      <c r="S140" s="67">
        <f>求节点($C$49:$C$54,H$49:H$54,投放验证!AG140)</f>
        <v>0.61</v>
      </c>
      <c r="T140" s="75">
        <f>MAX(SUMPRODUCT(O140:S140,基础状态预期!T140:X140)/6,T139)</f>
        <v>0.59833333333333327</v>
      </c>
      <c r="V140" s="12">
        <v>135</v>
      </c>
      <c r="W140" s="12">
        <f t="shared" si="10"/>
        <v>0.58839474967185845</v>
      </c>
      <c r="X140" s="12">
        <f t="shared" si="11"/>
        <v>0.59395527806444415</v>
      </c>
      <c r="Y140" s="12">
        <f t="shared" si="12"/>
        <v>0.59833333333333327</v>
      </c>
      <c r="Z140" s="12">
        <f t="shared" si="13"/>
        <v>0.59833333333333327</v>
      </c>
      <c r="AA140" s="12">
        <f t="shared" si="14"/>
        <v>0.59833333333333327</v>
      </c>
    </row>
    <row r="141" spans="14:27" x14ac:dyDescent="0.15">
      <c r="N141" s="53">
        <v>160</v>
      </c>
      <c r="O141" s="58"/>
      <c r="P141" s="67">
        <f>求节点($C$49:$C$54,E$49:E$54,投放验证!AD141)</f>
        <v>0.12</v>
      </c>
      <c r="Q141" s="67">
        <f>求节点($C$49:$C$54,F$49:F$54,投放验证!AE141)</f>
        <v>0.24</v>
      </c>
      <c r="R141" s="67">
        <f>求节点($C$49:$C$54,G$49:G$54,投放验证!AF141)</f>
        <v>0.54</v>
      </c>
      <c r="S141" s="67">
        <f>求节点($C$49:$C$54,H$49:H$54,投放验证!AG141)</f>
        <v>0.61</v>
      </c>
      <c r="T141" s="75">
        <f>MAX(SUMPRODUCT(O141:S141,基础状态预期!T141:X141)/6,T140)</f>
        <v>0.59833333333333327</v>
      </c>
      <c r="V141" s="12">
        <v>136</v>
      </c>
      <c r="W141" s="12">
        <f t="shared" si="10"/>
        <v>0.58862505230729256</v>
      </c>
      <c r="X141" s="12">
        <f t="shared" si="11"/>
        <v>0.59422405924078303</v>
      </c>
      <c r="Y141" s="12">
        <f t="shared" si="12"/>
        <v>0.59833333333333327</v>
      </c>
      <c r="Z141" s="12">
        <f t="shared" si="13"/>
        <v>0.59833333333333327</v>
      </c>
      <c r="AA141" s="12">
        <f t="shared" si="14"/>
        <v>0.59833333333333327</v>
      </c>
    </row>
    <row r="142" spans="14:27" x14ac:dyDescent="0.15">
      <c r="V142" s="12">
        <v>137</v>
      </c>
      <c r="W142" s="12">
        <f t="shared" si="10"/>
        <v>0.58885535494272678</v>
      </c>
      <c r="X142" s="12">
        <f t="shared" si="11"/>
        <v>0.59449284041712191</v>
      </c>
      <c r="Y142" s="12">
        <f t="shared" si="12"/>
        <v>0.59833333333333327</v>
      </c>
      <c r="Z142" s="12">
        <f t="shared" si="13"/>
        <v>0.59833333333333327</v>
      </c>
      <c r="AA142" s="12">
        <f t="shared" si="14"/>
        <v>0.59833333333333327</v>
      </c>
    </row>
    <row r="143" spans="14:27" x14ac:dyDescent="0.15">
      <c r="V143" s="12">
        <v>138</v>
      </c>
      <c r="W143" s="12">
        <f t="shared" si="10"/>
        <v>0.58908565757816089</v>
      </c>
      <c r="X143" s="12">
        <f t="shared" si="11"/>
        <v>0.5947616215934608</v>
      </c>
      <c r="Y143" s="12">
        <f t="shared" si="12"/>
        <v>0.59833333333333327</v>
      </c>
      <c r="Z143" s="12">
        <f t="shared" si="13"/>
        <v>0.59833333333333327</v>
      </c>
      <c r="AA143" s="12">
        <f t="shared" si="14"/>
        <v>0.59833333333333327</v>
      </c>
    </row>
    <row r="144" spans="14:27" x14ac:dyDescent="0.15">
      <c r="V144" s="12">
        <v>139</v>
      </c>
      <c r="W144" s="12">
        <f t="shared" si="10"/>
        <v>0.58931596021359511</v>
      </c>
      <c r="X144" s="12">
        <f t="shared" si="11"/>
        <v>0.59503040276979968</v>
      </c>
      <c r="Y144" s="12">
        <f t="shared" si="12"/>
        <v>0.59833333333333327</v>
      </c>
      <c r="Z144" s="12">
        <f t="shared" si="13"/>
        <v>0.59833333333333327</v>
      </c>
      <c r="AA144" s="12">
        <f t="shared" si="14"/>
        <v>0.59833333333333327</v>
      </c>
    </row>
    <row r="145" spans="22:27" x14ac:dyDescent="0.15">
      <c r="V145" s="12">
        <v>140</v>
      </c>
      <c r="W145" s="12">
        <f t="shared" si="10"/>
        <v>0.58954626284902922</v>
      </c>
      <c r="X145" s="12">
        <f t="shared" si="11"/>
        <v>0.59529918394613857</v>
      </c>
      <c r="Y145" s="12">
        <f t="shared" si="12"/>
        <v>0.59833333333333327</v>
      </c>
      <c r="Z145" s="12">
        <f t="shared" si="13"/>
        <v>0.59833333333333327</v>
      </c>
      <c r="AA145" s="12">
        <f t="shared" si="14"/>
        <v>0.59833333333333327</v>
      </c>
    </row>
    <row r="146" spans="22:27" x14ac:dyDescent="0.15">
      <c r="V146" s="12">
        <v>141</v>
      </c>
      <c r="W146" s="12">
        <f t="shared" si="10"/>
        <v>0.58972206064253108</v>
      </c>
      <c r="X146" s="12">
        <f t="shared" si="11"/>
        <v>0.59556796512247745</v>
      </c>
      <c r="Y146" s="12">
        <f t="shared" si="12"/>
        <v>0.59833333333333327</v>
      </c>
      <c r="Z146" s="12">
        <f t="shared" si="13"/>
        <v>0.59833333333333327</v>
      </c>
      <c r="AA146" s="12">
        <f t="shared" si="14"/>
        <v>0.59833333333333327</v>
      </c>
    </row>
    <row r="147" spans="22:27" x14ac:dyDescent="0.15">
      <c r="V147" s="12">
        <v>142</v>
      </c>
      <c r="W147" s="12">
        <f t="shared" si="10"/>
        <v>0.58989785843603293</v>
      </c>
      <c r="X147" s="12">
        <f t="shared" si="11"/>
        <v>0.59583674629881633</v>
      </c>
      <c r="Y147" s="12">
        <f t="shared" si="12"/>
        <v>0.59833333333333327</v>
      </c>
      <c r="Z147" s="12">
        <f t="shared" si="13"/>
        <v>0.59833333333333327</v>
      </c>
      <c r="AA147" s="12">
        <f t="shared" si="14"/>
        <v>0.59833333333333327</v>
      </c>
    </row>
    <row r="148" spans="22:27" x14ac:dyDescent="0.15">
      <c r="V148" s="12">
        <v>143</v>
      </c>
      <c r="W148" s="12">
        <f t="shared" si="10"/>
        <v>0.59007365622953489</v>
      </c>
      <c r="X148" s="12">
        <f t="shared" si="11"/>
        <v>0.59610552747515522</v>
      </c>
      <c r="Y148" s="12">
        <f t="shared" si="12"/>
        <v>0.59833333333333327</v>
      </c>
      <c r="Z148" s="12">
        <f t="shared" si="13"/>
        <v>0.59833333333333327</v>
      </c>
      <c r="AA148" s="12">
        <f t="shared" si="14"/>
        <v>0.59833333333333327</v>
      </c>
    </row>
    <row r="149" spans="22:27" x14ac:dyDescent="0.15">
      <c r="V149" s="12">
        <v>144</v>
      </c>
      <c r="W149" s="12">
        <f t="shared" si="10"/>
        <v>0.59024945402303675</v>
      </c>
      <c r="X149" s="12">
        <f t="shared" si="11"/>
        <v>0.5963743086514941</v>
      </c>
      <c r="Y149" s="12">
        <f t="shared" si="12"/>
        <v>0.59833333333333327</v>
      </c>
      <c r="Z149" s="12">
        <f t="shared" si="13"/>
        <v>0.59833333333333327</v>
      </c>
      <c r="AA149" s="12">
        <f t="shared" si="14"/>
        <v>0.59833333333333327</v>
      </c>
    </row>
    <row r="150" spans="22:27" x14ac:dyDescent="0.15">
      <c r="V150" s="12">
        <v>145</v>
      </c>
      <c r="W150" s="12">
        <f t="shared" si="10"/>
        <v>0.5904252518165386</v>
      </c>
      <c r="X150" s="12">
        <f t="shared" si="11"/>
        <v>0.59664308982783298</v>
      </c>
      <c r="Y150" s="12">
        <f t="shared" si="12"/>
        <v>0.59833333333333327</v>
      </c>
      <c r="Z150" s="12">
        <f t="shared" si="13"/>
        <v>0.59833333333333327</v>
      </c>
      <c r="AA150" s="12">
        <f t="shared" si="14"/>
        <v>0.59833333333333327</v>
      </c>
    </row>
    <row r="151" spans="22:27" x14ac:dyDescent="0.15">
      <c r="V151" s="12">
        <v>146</v>
      </c>
      <c r="W151" s="12">
        <f t="shared" si="10"/>
        <v>0.59060104961004045</v>
      </c>
      <c r="X151" s="12">
        <f t="shared" si="11"/>
        <v>0.59691187100417198</v>
      </c>
      <c r="Y151" s="12">
        <f t="shared" si="12"/>
        <v>0.59833333333333327</v>
      </c>
      <c r="Z151" s="12">
        <f t="shared" si="13"/>
        <v>0.59833333333333327</v>
      </c>
      <c r="AA151" s="12">
        <f t="shared" si="14"/>
        <v>0.59833333333333327</v>
      </c>
    </row>
    <row r="152" spans="22:27" x14ac:dyDescent="0.15">
      <c r="V152" s="12">
        <v>147</v>
      </c>
      <c r="W152" s="12">
        <f t="shared" si="10"/>
        <v>0.5907768474035423</v>
      </c>
      <c r="X152" s="12">
        <f t="shared" si="11"/>
        <v>0.59718065218051086</v>
      </c>
      <c r="Y152" s="12">
        <f t="shared" si="12"/>
        <v>0.59833333333333327</v>
      </c>
      <c r="Z152" s="12">
        <f t="shared" si="13"/>
        <v>0.59833333333333327</v>
      </c>
      <c r="AA152" s="12">
        <f t="shared" si="14"/>
        <v>0.59833333333333327</v>
      </c>
    </row>
    <row r="153" spans="22:27" x14ac:dyDescent="0.15">
      <c r="V153" s="12">
        <v>148</v>
      </c>
      <c r="W153" s="12">
        <f t="shared" si="10"/>
        <v>0.59095264519704427</v>
      </c>
      <c r="X153" s="12">
        <f t="shared" si="11"/>
        <v>0.59744943335684975</v>
      </c>
      <c r="Y153" s="12">
        <f t="shared" si="12"/>
        <v>0.59833333333333327</v>
      </c>
      <c r="Z153" s="12">
        <f t="shared" si="13"/>
        <v>0.59833333333333327</v>
      </c>
      <c r="AA153" s="12">
        <f t="shared" si="14"/>
        <v>0.59833333333333327</v>
      </c>
    </row>
    <row r="154" spans="22:27" x14ac:dyDescent="0.15">
      <c r="V154" s="12">
        <v>149</v>
      </c>
      <c r="W154" s="12">
        <f t="shared" si="10"/>
        <v>0.59112844299054612</v>
      </c>
      <c r="X154" s="12">
        <f t="shared" si="11"/>
        <v>0.59771821453318863</v>
      </c>
      <c r="Y154" s="12">
        <f t="shared" si="12"/>
        <v>0.59833333333333327</v>
      </c>
      <c r="Z154" s="12">
        <f t="shared" si="13"/>
        <v>0.59833333333333327</v>
      </c>
      <c r="AA154" s="12">
        <f t="shared" si="14"/>
        <v>0.59833333333333327</v>
      </c>
    </row>
    <row r="155" spans="22:27" x14ac:dyDescent="0.15">
      <c r="V155" s="12">
        <v>150</v>
      </c>
      <c r="W155" s="12">
        <f t="shared" si="10"/>
        <v>0.59130424078404797</v>
      </c>
      <c r="X155" s="12">
        <f t="shared" si="11"/>
        <v>0.59798699570952751</v>
      </c>
      <c r="Y155" s="12">
        <f t="shared" si="12"/>
        <v>0.59833333333333327</v>
      </c>
      <c r="Z155" s="12">
        <f t="shared" si="13"/>
        <v>0.59833333333333327</v>
      </c>
      <c r="AA155" s="12">
        <f t="shared" si="14"/>
        <v>0.59833333333333327</v>
      </c>
    </row>
    <row r="156" spans="22:27" x14ac:dyDescent="0.15">
      <c r="V156" s="12">
        <v>151</v>
      </c>
      <c r="W156" s="12">
        <f t="shared" si="10"/>
        <v>0.59148003857754983</v>
      </c>
      <c r="X156" s="12">
        <f t="shared" si="11"/>
        <v>0.59802162947190807</v>
      </c>
      <c r="Y156" s="12">
        <f t="shared" si="12"/>
        <v>0.59833333333333327</v>
      </c>
      <c r="Z156" s="12">
        <f t="shared" si="13"/>
        <v>0.59833333333333327</v>
      </c>
      <c r="AA156" s="12">
        <f t="shared" si="14"/>
        <v>0.59833333333333327</v>
      </c>
    </row>
    <row r="157" spans="22:27" x14ac:dyDescent="0.15">
      <c r="V157" s="12">
        <v>152</v>
      </c>
      <c r="W157" s="12">
        <f t="shared" si="10"/>
        <v>0.59165583637105168</v>
      </c>
      <c r="X157" s="12">
        <f t="shared" si="11"/>
        <v>0.59805626323428862</v>
      </c>
      <c r="Y157" s="12">
        <f t="shared" si="12"/>
        <v>0.59833333333333327</v>
      </c>
      <c r="Z157" s="12">
        <f t="shared" si="13"/>
        <v>0.59833333333333327</v>
      </c>
      <c r="AA157" s="12">
        <f t="shared" si="14"/>
        <v>0.59833333333333327</v>
      </c>
    </row>
    <row r="158" spans="22:27" x14ac:dyDescent="0.15">
      <c r="V158" s="12">
        <v>153</v>
      </c>
      <c r="W158" s="12">
        <f t="shared" si="10"/>
        <v>0.59183163416455364</v>
      </c>
      <c r="X158" s="12">
        <f t="shared" si="11"/>
        <v>0.59809089699666929</v>
      </c>
      <c r="Y158" s="12">
        <f t="shared" si="12"/>
        <v>0.59833333333333327</v>
      </c>
      <c r="Z158" s="12">
        <f t="shared" si="13"/>
        <v>0.59833333333333327</v>
      </c>
      <c r="AA158" s="12">
        <f t="shared" si="14"/>
        <v>0.59833333333333327</v>
      </c>
    </row>
    <row r="159" spans="22:27" x14ac:dyDescent="0.15">
      <c r="V159" s="12">
        <v>154</v>
      </c>
      <c r="W159" s="12">
        <f t="shared" si="10"/>
        <v>0.5920074319580555</v>
      </c>
      <c r="X159" s="12">
        <f t="shared" si="11"/>
        <v>0.59812553075904984</v>
      </c>
      <c r="Y159" s="12">
        <f t="shared" si="12"/>
        <v>0.59833333333333327</v>
      </c>
      <c r="Z159" s="12">
        <f t="shared" si="13"/>
        <v>0.59833333333333327</v>
      </c>
      <c r="AA159" s="12">
        <f t="shared" si="14"/>
        <v>0.59833333333333327</v>
      </c>
    </row>
    <row r="160" spans="22:27" x14ac:dyDescent="0.15">
      <c r="V160" s="12">
        <v>155</v>
      </c>
      <c r="W160" s="12">
        <f t="shared" si="10"/>
        <v>0.59218322975155735</v>
      </c>
      <c r="X160" s="12">
        <f t="shared" si="11"/>
        <v>0.59816016452143039</v>
      </c>
      <c r="Y160" s="12">
        <f t="shared" si="12"/>
        <v>0.59833333333333327</v>
      </c>
      <c r="Z160" s="12">
        <f t="shared" si="13"/>
        <v>0.59833333333333327</v>
      </c>
      <c r="AA160" s="12">
        <f t="shared" si="14"/>
        <v>0.59833333333333327</v>
      </c>
    </row>
    <row r="161" spans="22:27" x14ac:dyDescent="0.15">
      <c r="V161" s="12">
        <v>156</v>
      </c>
      <c r="W161" s="12">
        <f t="shared" si="10"/>
        <v>0.5923590275450592</v>
      </c>
      <c r="X161" s="12">
        <f t="shared" si="11"/>
        <v>0.59819479828381095</v>
      </c>
      <c r="Y161" s="12">
        <f t="shared" si="12"/>
        <v>0.59833333333333327</v>
      </c>
      <c r="Z161" s="12">
        <f t="shared" si="13"/>
        <v>0.59833333333333327</v>
      </c>
      <c r="AA161" s="12">
        <f t="shared" si="14"/>
        <v>0.59833333333333327</v>
      </c>
    </row>
    <row r="162" spans="22:27" x14ac:dyDescent="0.15">
      <c r="V162" s="12">
        <v>157</v>
      </c>
      <c r="W162" s="12">
        <f t="shared" si="10"/>
        <v>0.59253482533856106</v>
      </c>
      <c r="X162" s="12">
        <f t="shared" si="11"/>
        <v>0.5982294320461915</v>
      </c>
      <c r="Y162" s="12">
        <f t="shared" si="12"/>
        <v>0.59833333333333327</v>
      </c>
      <c r="Z162" s="12">
        <f t="shared" si="13"/>
        <v>0.59833333333333327</v>
      </c>
      <c r="AA162" s="12">
        <f t="shared" si="14"/>
        <v>0.59833333333333327</v>
      </c>
    </row>
    <row r="163" spans="22:27" x14ac:dyDescent="0.15">
      <c r="V163" s="12">
        <v>158</v>
      </c>
      <c r="W163" s="12">
        <f t="shared" si="10"/>
        <v>0.59271062313206302</v>
      </c>
      <c r="X163" s="12">
        <f t="shared" si="11"/>
        <v>0.59826406580857217</v>
      </c>
      <c r="Y163" s="12">
        <f t="shared" si="12"/>
        <v>0.59833333333333327</v>
      </c>
      <c r="Z163" s="12">
        <f t="shared" si="13"/>
        <v>0.59833333333333327</v>
      </c>
      <c r="AA163" s="12">
        <f t="shared" si="14"/>
        <v>0.59833333333333327</v>
      </c>
    </row>
    <row r="164" spans="22:27" x14ac:dyDescent="0.15">
      <c r="V164" s="12">
        <v>159</v>
      </c>
      <c r="W164" s="12">
        <f t="shared" si="10"/>
        <v>0.59288642092556487</v>
      </c>
      <c r="X164" s="12">
        <f t="shared" si="11"/>
        <v>0.59829869957095272</v>
      </c>
      <c r="Y164" s="12">
        <f t="shared" si="12"/>
        <v>0.59833333333333327</v>
      </c>
      <c r="Z164" s="12">
        <f t="shared" si="13"/>
        <v>0.59833333333333327</v>
      </c>
      <c r="AA164" s="12">
        <f t="shared" si="14"/>
        <v>0.59833333333333327</v>
      </c>
    </row>
    <row r="165" spans="22:27" x14ac:dyDescent="0.15">
      <c r="V165" s="12">
        <v>160</v>
      </c>
      <c r="W165" s="12">
        <f t="shared" si="10"/>
        <v>0.59306221871906672</v>
      </c>
      <c r="X165" s="12">
        <f t="shared" si="11"/>
        <v>0.59833333333333327</v>
      </c>
      <c r="Y165" s="12">
        <f t="shared" si="12"/>
        <v>0.59833333333333327</v>
      </c>
      <c r="Z165" s="12">
        <f t="shared" si="13"/>
        <v>0.59833333333333327</v>
      </c>
      <c r="AA165" s="12">
        <f t="shared" si="14"/>
        <v>0.59833333333333327</v>
      </c>
    </row>
  </sheetData>
  <mergeCells count="12">
    <mergeCell ref="W4:AA4"/>
    <mergeCell ref="B4:B13"/>
    <mergeCell ref="B14:C14"/>
    <mergeCell ref="O93:S93"/>
    <mergeCell ref="O119:S119"/>
    <mergeCell ref="O15:S15"/>
    <mergeCell ref="O41:S41"/>
    <mergeCell ref="O67:S67"/>
    <mergeCell ref="B48:B57"/>
    <mergeCell ref="B36:B45"/>
    <mergeCell ref="B60:B69"/>
    <mergeCell ref="B24:B3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21032-B999-4E2A-A3A4-B6F66456C51F}">
  <sheetPr codeName="Sheet12"/>
  <dimension ref="A1:AE30"/>
  <sheetViews>
    <sheetView workbookViewId="0">
      <selection activeCell="H36" sqref="A34:H36"/>
    </sheetView>
  </sheetViews>
  <sheetFormatPr defaultRowHeight="11.25" x14ac:dyDescent="0.15"/>
  <cols>
    <col min="1" max="1" width="9" style="39"/>
    <col min="2" max="2" width="9" style="54" customWidth="1"/>
    <col min="3" max="7" width="6.75" style="54" customWidth="1"/>
    <col min="8" max="13" width="9" style="54"/>
    <col min="14" max="19" width="9" style="69"/>
    <col min="20" max="24" width="9" style="54"/>
    <col min="25" max="25" width="9" style="102"/>
    <col min="26" max="26" width="9" style="111"/>
    <col min="27" max="29" width="9" style="69"/>
    <col min="30" max="16384" width="9" style="54"/>
  </cols>
  <sheetData>
    <row r="1" spans="1:31" x14ac:dyDescent="0.15">
      <c r="A1" s="39" t="s">
        <v>252</v>
      </c>
      <c r="K1" s="54" t="s">
        <v>313</v>
      </c>
      <c r="L1" s="54">
        <v>1</v>
      </c>
      <c r="M1" s="54">
        <v>2</v>
      </c>
      <c r="N1" s="69">
        <v>3</v>
      </c>
      <c r="O1" s="69">
        <v>4</v>
      </c>
      <c r="P1" s="69">
        <v>5</v>
      </c>
      <c r="Q1" s="69">
        <v>6</v>
      </c>
      <c r="R1" s="69">
        <v>7</v>
      </c>
      <c r="S1" s="69">
        <v>8</v>
      </c>
      <c r="T1" s="69">
        <v>9</v>
      </c>
      <c r="U1" s="69">
        <v>10</v>
      </c>
      <c r="V1" s="69">
        <v>11</v>
      </c>
      <c r="W1" s="69">
        <v>12</v>
      </c>
      <c r="X1" s="69">
        <v>13</v>
      </c>
      <c r="Y1" s="102">
        <v>14</v>
      </c>
      <c r="Z1" s="111">
        <v>15</v>
      </c>
      <c r="AA1" s="111">
        <v>16</v>
      </c>
      <c r="AB1" s="111">
        <v>17</v>
      </c>
      <c r="AC1" s="111">
        <v>18</v>
      </c>
    </row>
    <row r="2" spans="1:31" x14ac:dyDescent="0.15">
      <c r="A2" s="39" t="s">
        <v>253</v>
      </c>
    </row>
    <row r="3" spans="1:31" x14ac:dyDescent="0.15">
      <c r="A3" s="39" t="s">
        <v>254</v>
      </c>
    </row>
    <row r="5" spans="1:31" x14ac:dyDescent="0.15">
      <c r="J5" s="77" t="s">
        <v>296</v>
      </c>
    </row>
    <row r="7" spans="1:31" x14ac:dyDescent="0.15">
      <c r="B7" s="54" t="s">
        <v>255</v>
      </c>
      <c r="C7" s="54" t="s">
        <v>256</v>
      </c>
      <c r="D7" s="54" t="s">
        <v>257</v>
      </c>
      <c r="E7" s="54" t="s">
        <v>258</v>
      </c>
      <c r="F7" s="54" t="s">
        <v>259</v>
      </c>
      <c r="G7" s="54" t="s">
        <v>261</v>
      </c>
      <c r="J7" s="149" t="s">
        <v>269</v>
      </c>
      <c r="K7" s="149"/>
      <c r="L7" s="149" t="s">
        <v>262</v>
      </c>
      <c r="M7" s="149"/>
      <c r="N7" s="149"/>
      <c r="O7" s="149"/>
      <c r="P7" s="149"/>
      <c r="Q7" s="149"/>
      <c r="R7" s="149"/>
      <c r="S7" s="149"/>
      <c r="T7" s="149"/>
      <c r="U7" s="149"/>
      <c r="V7" s="149"/>
      <c r="W7" s="149"/>
      <c r="X7" s="149"/>
      <c r="Y7" s="149"/>
      <c r="Z7" s="149"/>
      <c r="AA7" s="149"/>
      <c r="AB7" s="149"/>
      <c r="AC7" s="149"/>
      <c r="AD7" s="149"/>
    </row>
    <row r="8" spans="1:31" x14ac:dyDescent="0.15">
      <c r="B8" s="54" t="s">
        <v>260</v>
      </c>
      <c r="D8" s="54">
        <v>1</v>
      </c>
      <c r="E8" s="54">
        <v>2</v>
      </c>
      <c r="F8" s="54">
        <v>3</v>
      </c>
      <c r="G8" s="54">
        <v>4</v>
      </c>
      <c r="J8" s="54" t="s">
        <v>255</v>
      </c>
      <c r="K8" s="54" t="s">
        <v>268</v>
      </c>
      <c r="L8" s="54" t="s">
        <v>270</v>
      </c>
      <c r="M8" s="54" t="s">
        <v>271</v>
      </c>
      <c r="N8" s="69" t="s">
        <v>294</v>
      </c>
      <c r="O8" s="69" t="s">
        <v>295</v>
      </c>
      <c r="P8" s="69" t="s">
        <v>298</v>
      </c>
      <c r="Q8" s="69" t="s">
        <v>299</v>
      </c>
      <c r="R8" s="69" t="s">
        <v>300</v>
      </c>
      <c r="S8" s="69" t="s">
        <v>301</v>
      </c>
      <c r="T8" s="54" t="s">
        <v>263</v>
      </c>
      <c r="U8" s="54" t="s">
        <v>264</v>
      </c>
      <c r="V8" s="54" t="s">
        <v>265</v>
      </c>
      <c r="W8" s="54" t="s">
        <v>266</v>
      </c>
      <c r="X8" s="54" t="s">
        <v>267</v>
      </c>
      <c r="Y8" s="102" t="s">
        <v>389</v>
      </c>
      <c r="Z8" s="111" t="s">
        <v>391</v>
      </c>
      <c r="AA8" s="69" t="s">
        <v>323</v>
      </c>
      <c r="AB8" s="69" t="s">
        <v>324</v>
      </c>
      <c r="AC8" s="69" t="s">
        <v>325</v>
      </c>
      <c r="AE8" s="54" t="s">
        <v>297</v>
      </c>
    </row>
    <row r="9" spans="1:31" x14ac:dyDescent="0.15">
      <c r="J9" s="54" t="s">
        <v>257</v>
      </c>
      <c r="K9" s="54" t="s">
        <v>310</v>
      </c>
      <c r="N9" s="69">
        <v>1</v>
      </c>
      <c r="O9" s="69">
        <v>1</v>
      </c>
      <c r="T9" s="69">
        <v>1</v>
      </c>
      <c r="AE9" s="54">
        <f>IF(J9="","",SUM(L9:AD9))</f>
        <v>3</v>
      </c>
    </row>
    <row r="10" spans="1:31" x14ac:dyDescent="0.15">
      <c r="AE10" s="69" t="str">
        <f t="shared" ref="AE10:AE22" si="0">IF(J10="","",SUM(L10:AD10))</f>
        <v/>
      </c>
    </row>
    <row r="11" spans="1:31" x14ac:dyDescent="0.15">
      <c r="J11" s="54" t="s">
        <v>258</v>
      </c>
      <c r="K11" s="54" t="s">
        <v>304</v>
      </c>
      <c r="N11" s="69">
        <v>1</v>
      </c>
      <c r="P11" s="69">
        <v>1</v>
      </c>
      <c r="R11" s="69">
        <v>1</v>
      </c>
      <c r="U11" s="54">
        <v>1</v>
      </c>
      <c r="V11" s="69">
        <v>1</v>
      </c>
      <c r="W11" s="69">
        <v>1</v>
      </c>
      <c r="X11" s="69">
        <v>1</v>
      </c>
      <c r="AE11" s="69">
        <f t="shared" si="0"/>
        <v>7</v>
      </c>
    </row>
    <row r="12" spans="1:31" x14ac:dyDescent="0.15">
      <c r="J12" s="54" t="s">
        <v>258</v>
      </c>
      <c r="K12" s="54" t="s">
        <v>305</v>
      </c>
      <c r="O12" s="69">
        <v>1</v>
      </c>
      <c r="Q12" s="69">
        <v>1</v>
      </c>
      <c r="S12" s="69">
        <v>1</v>
      </c>
      <c r="T12" s="54">
        <v>1</v>
      </c>
      <c r="U12" s="69">
        <v>1</v>
      </c>
      <c r="V12" s="69">
        <v>1</v>
      </c>
      <c r="W12" s="69">
        <v>1</v>
      </c>
      <c r="X12" s="69">
        <v>1</v>
      </c>
      <c r="AE12" s="69">
        <f t="shared" si="0"/>
        <v>8</v>
      </c>
    </row>
    <row r="13" spans="1:31" x14ac:dyDescent="0.15">
      <c r="AE13" s="69" t="str">
        <f t="shared" si="0"/>
        <v/>
      </c>
    </row>
    <row r="14" spans="1:31" x14ac:dyDescent="0.15">
      <c r="J14" s="54" t="s">
        <v>259</v>
      </c>
      <c r="K14" s="54" t="s">
        <v>304</v>
      </c>
      <c r="L14" s="54">
        <v>1</v>
      </c>
      <c r="P14" s="69">
        <v>1</v>
      </c>
      <c r="R14" s="69">
        <v>1</v>
      </c>
      <c r="U14" s="54">
        <v>1</v>
      </c>
      <c r="V14" s="69">
        <v>1</v>
      </c>
      <c r="W14" s="69">
        <v>1</v>
      </c>
      <c r="X14" s="69">
        <v>1</v>
      </c>
      <c r="AA14" s="69">
        <v>1</v>
      </c>
      <c r="AB14" s="69">
        <v>1</v>
      </c>
      <c r="AC14" s="69">
        <v>1</v>
      </c>
      <c r="AE14" s="69">
        <f t="shared" si="0"/>
        <v>10</v>
      </c>
    </row>
    <row r="15" spans="1:31" x14ac:dyDescent="0.15">
      <c r="J15" s="54" t="s">
        <v>259</v>
      </c>
      <c r="K15" s="54" t="s">
        <v>305</v>
      </c>
      <c r="M15" s="54">
        <v>1</v>
      </c>
      <c r="Q15" s="69">
        <v>1</v>
      </c>
      <c r="S15" s="69">
        <v>1</v>
      </c>
      <c r="T15" s="54">
        <v>1</v>
      </c>
      <c r="U15" s="69">
        <v>1</v>
      </c>
      <c r="V15" s="69">
        <v>1</v>
      </c>
      <c r="W15" s="69">
        <v>1</v>
      </c>
      <c r="X15" s="69">
        <v>1</v>
      </c>
      <c r="AA15" s="69">
        <v>1</v>
      </c>
      <c r="AB15" s="69">
        <v>1</v>
      </c>
      <c r="AC15" s="69">
        <v>1</v>
      </c>
      <c r="AE15" s="69">
        <f t="shared" si="0"/>
        <v>11</v>
      </c>
    </row>
    <row r="16" spans="1:31" x14ac:dyDescent="0.15">
      <c r="J16" s="69" t="s">
        <v>0</v>
      </c>
      <c r="K16" s="69" t="s">
        <v>308</v>
      </c>
      <c r="L16" s="69">
        <v>1</v>
      </c>
      <c r="M16" s="69">
        <v>1</v>
      </c>
      <c r="P16" s="69">
        <v>1</v>
      </c>
      <c r="Q16" s="69">
        <v>1</v>
      </c>
      <c r="T16" s="69">
        <v>1</v>
      </c>
      <c r="U16" s="69">
        <v>1</v>
      </c>
      <c r="V16" s="69">
        <v>1</v>
      </c>
      <c r="W16" s="69">
        <v>1</v>
      </c>
      <c r="X16" s="69">
        <v>1</v>
      </c>
      <c r="AA16" s="69">
        <v>1</v>
      </c>
      <c r="AB16" s="69">
        <v>1</v>
      </c>
      <c r="AD16" s="69"/>
      <c r="AE16" s="69">
        <f t="shared" si="0"/>
        <v>11</v>
      </c>
    </row>
    <row r="17" spans="10:31" x14ac:dyDescent="0.15">
      <c r="J17" s="69" t="s">
        <v>0</v>
      </c>
      <c r="K17" s="69" t="s">
        <v>309</v>
      </c>
      <c r="L17" s="69">
        <v>1</v>
      </c>
      <c r="M17" s="69">
        <v>1</v>
      </c>
      <c r="R17" s="69">
        <v>1</v>
      </c>
      <c r="S17" s="69">
        <v>1</v>
      </c>
      <c r="T17" s="69">
        <v>1</v>
      </c>
      <c r="U17" s="69">
        <v>1</v>
      </c>
      <c r="V17" s="69">
        <v>1</v>
      </c>
      <c r="W17" s="69">
        <v>1</v>
      </c>
      <c r="X17" s="69">
        <v>1</v>
      </c>
      <c r="AA17" s="69">
        <v>1</v>
      </c>
      <c r="AC17" s="69">
        <v>1</v>
      </c>
      <c r="AD17" s="69"/>
      <c r="AE17" s="69">
        <f t="shared" si="0"/>
        <v>11</v>
      </c>
    </row>
    <row r="18" spans="10:31" x14ac:dyDescent="0.15">
      <c r="J18" s="69" t="s">
        <v>0</v>
      </c>
      <c r="K18" s="69" t="s">
        <v>302</v>
      </c>
      <c r="L18" s="69"/>
      <c r="M18" s="69"/>
      <c r="N18" s="69">
        <v>1</v>
      </c>
      <c r="P18" s="69">
        <v>1</v>
      </c>
      <c r="R18" s="69">
        <v>1</v>
      </c>
      <c r="T18" s="69"/>
      <c r="U18" s="69">
        <v>1</v>
      </c>
      <c r="V18" s="69">
        <v>1</v>
      </c>
      <c r="W18" s="69">
        <v>1</v>
      </c>
      <c r="X18" s="69">
        <v>1</v>
      </c>
      <c r="AA18" s="69">
        <v>1</v>
      </c>
      <c r="AB18" s="69">
        <v>1</v>
      </c>
      <c r="AC18" s="69">
        <v>1</v>
      </c>
      <c r="AD18" s="69"/>
      <c r="AE18" s="69">
        <f t="shared" si="0"/>
        <v>10</v>
      </c>
    </row>
    <row r="19" spans="10:31" x14ac:dyDescent="0.15">
      <c r="J19" s="69" t="s">
        <v>0</v>
      </c>
      <c r="K19" s="69" t="s">
        <v>303</v>
      </c>
      <c r="L19" s="69"/>
      <c r="M19" s="69"/>
      <c r="O19" s="69">
        <v>1</v>
      </c>
      <c r="Q19" s="69">
        <v>1</v>
      </c>
      <c r="S19" s="69">
        <v>1</v>
      </c>
      <c r="T19" s="69">
        <v>1</v>
      </c>
      <c r="U19" s="69">
        <v>1</v>
      </c>
      <c r="V19" s="69">
        <v>1</v>
      </c>
      <c r="W19" s="69">
        <v>1</v>
      </c>
      <c r="X19" s="69">
        <v>1</v>
      </c>
      <c r="AA19" s="69">
        <v>1</v>
      </c>
      <c r="AB19" s="69">
        <v>1</v>
      </c>
      <c r="AC19" s="69">
        <v>1</v>
      </c>
      <c r="AD19" s="69"/>
      <c r="AE19" s="69">
        <f t="shared" si="0"/>
        <v>11</v>
      </c>
    </row>
    <row r="20" spans="10:31" x14ac:dyDescent="0.15">
      <c r="J20" s="69" t="s">
        <v>0</v>
      </c>
      <c r="K20" s="69" t="s">
        <v>306</v>
      </c>
      <c r="L20" s="69">
        <v>1</v>
      </c>
      <c r="M20" s="69">
        <v>1</v>
      </c>
      <c r="P20" s="69">
        <v>1</v>
      </c>
      <c r="Q20" s="69">
        <v>1</v>
      </c>
      <c r="R20" s="69">
        <v>1</v>
      </c>
      <c r="S20" s="69">
        <v>1</v>
      </c>
      <c r="T20" s="69">
        <v>1</v>
      </c>
      <c r="U20" s="69">
        <v>1</v>
      </c>
      <c r="V20" s="69">
        <v>1</v>
      </c>
      <c r="W20" s="69"/>
      <c r="X20" s="69"/>
      <c r="AA20" s="69">
        <v>1</v>
      </c>
      <c r="AB20" s="69">
        <v>1</v>
      </c>
      <c r="AC20" s="69">
        <v>1</v>
      </c>
      <c r="AD20" s="69"/>
      <c r="AE20" s="69">
        <f t="shared" si="0"/>
        <v>12</v>
      </c>
    </row>
    <row r="21" spans="10:31" x14ac:dyDescent="0.15">
      <c r="J21" s="69" t="s">
        <v>0</v>
      </c>
      <c r="K21" s="69" t="s">
        <v>307</v>
      </c>
      <c r="L21" s="69">
        <v>1</v>
      </c>
      <c r="M21" s="69">
        <v>1</v>
      </c>
      <c r="P21" s="69">
        <v>1</v>
      </c>
      <c r="Q21" s="69">
        <v>1</v>
      </c>
      <c r="R21" s="69">
        <v>1</v>
      </c>
      <c r="S21" s="69">
        <v>1</v>
      </c>
      <c r="T21" s="69">
        <v>1</v>
      </c>
      <c r="U21" s="69"/>
      <c r="V21" s="69"/>
      <c r="W21" s="69">
        <v>1</v>
      </c>
      <c r="X21" s="69">
        <v>1</v>
      </c>
      <c r="AA21" s="69">
        <v>1</v>
      </c>
      <c r="AB21" s="69">
        <v>1</v>
      </c>
      <c r="AC21" s="69">
        <v>1</v>
      </c>
      <c r="AD21" s="69"/>
      <c r="AE21" s="69">
        <f t="shared" si="0"/>
        <v>12</v>
      </c>
    </row>
    <row r="22" spans="10:31" x14ac:dyDescent="0.15">
      <c r="AE22" s="69" t="str">
        <f t="shared" si="0"/>
        <v/>
      </c>
    </row>
    <row r="23" spans="10:31" x14ac:dyDescent="0.15">
      <c r="J23" s="54" t="s">
        <v>261</v>
      </c>
      <c r="K23" s="69" t="s">
        <v>304</v>
      </c>
      <c r="L23" s="69">
        <v>1</v>
      </c>
      <c r="M23" s="69"/>
      <c r="P23" s="69">
        <v>1</v>
      </c>
      <c r="R23" s="69">
        <v>1</v>
      </c>
      <c r="T23" s="69"/>
      <c r="U23" s="69">
        <v>1</v>
      </c>
      <c r="V23" s="69">
        <v>1</v>
      </c>
      <c r="W23" s="69">
        <v>1</v>
      </c>
      <c r="X23" s="69">
        <v>1</v>
      </c>
      <c r="AA23" s="69">
        <v>1</v>
      </c>
      <c r="AB23" s="69">
        <v>1</v>
      </c>
      <c r="AC23" s="69">
        <v>1</v>
      </c>
      <c r="AD23" s="69"/>
      <c r="AE23" s="69">
        <f t="shared" ref="AE23:AE30" si="1">IF(J23="","",SUM(L23:AD23))</f>
        <v>10</v>
      </c>
    </row>
    <row r="24" spans="10:31" x14ac:dyDescent="0.15">
      <c r="J24" s="54" t="s">
        <v>261</v>
      </c>
      <c r="K24" s="69" t="s">
        <v>305</v>
      </c>
      <c r="L24" s="69"/>
      <c r="M24" s="69">
        <v>1</v>
      </c>
      <c r="Q24" s="69">
        <v>1</v>
      </c>
      <c r="S24" s="69">
        <v>1</v>
      </c>
      <c r="T24" s="69">
        <v>1</v>
      </c>
      <c r="U24" s="69">
        <v>1</v>
      </c>
      <c r="V24" s="69">
        <v>1</v>
      </c>
      <c r="W24" s="69">
        <v>1</v>
      </c>
      <c r="X24" s="69">
        <v>1</v>
      </c>
      <c r="AA24" s="69">
        <v>1</v>
      </c>
      <c r="AB24" s="69">
        <v>1</v>
      </c>
      <c r="AC24" s="69">
        <v>1</v>
      </c>
      <c r="AD24" s="69"/>
      <c r="AE24" s="69">
        <f t="shared" si="1"/>
        <v>11</v>
      </c>
    </row>
    <row r="25" spans="10:31" x14ac:dyDescent="0.15">
      <c r="J25" s="69" t="s">
        <v>167</v>
      </c>
      <c r="K25" s="69" t="s">
        <v>308</v>
      </c>
      <c r="L25" s="69">
        <v>1</v>
      </c>
      <c r="M25" s="69">
        <v>1</v>
      </c>
      <c r="P25" s="69">
        <v>1</v>
      </c>
      <c r="Q25" s="69">
        <v>1</v>
      </c>
      <c r="T25" s="69">
        <v>1</v>
      </c>
      <c r="U25" s="69">
        <v>1</v>
      </c>
      <c r="V25" s="69">
        <v>1</v>
      </c>
      <c r="W25" s="69">
        <v>1</v>
      </c>
      <c r="X25" s="69">
        <v>1</v>
      </c>
      <c r="AA25" s="69">
        <v>1</v>
      </c>
      <c r="AB25" s="69">
        <v>1</v>
      </c>
      <c r="AD25" s="69"/>
      <c r="AE25" s="69">
        <f t="shared" si="1"/>
        <v>11</v>
      </c>
    </row>
    <row r="26" spans="10:31" x14ac:dyDescent="0.15">
      <c r="J26" s="69" t="s">
        <v>167</v>
      </c>
      <c r="K26" s="69" t="s">
        <v>309</v>
      </c>
      <c r="L26" s="69">
        <v>1</v>
      </c>
      <c r="M26" s="69">
        <v>1</v>
      </c>
      <c r="R26" s="69">
        <v>1</v>
      </c>
      <c r="S26" s="69">
        <v>1</v>
      </c>
      <c r="T26" s="69">
        <v>1</v>
      </c>
      <c r="U26" s="69">
        <v>1</v>
      </c>
      <c r="V26" s="69">
        <v>1</v>
      </c>
      <c r="W26" s="69">
        <v>1</v>
      </c>
      <c r="X26" s="69">
        <v>1</v>
      </c>
      <c r="AA26" s="69">
        <v>1</v>
      </c>
      <c r="AC26" s="69">
        <v>1</v>
      </c>
      <c r="AD26" s="69"/>
      <c r="AE26" s="69">
        <f t="shared" si="1"/>
        <v>11</v>
      </c>
    </row>
    <row r="27" spans="10:31" x14ac:dyDescent="0.15">
      <c r="J27" s="69" t="s">
        <v>167</v>
      </c>
      <c r="K27" s="69" t="s">
        <v>302</v>
      </c>
      <c r="L27" s="69"/>
      <c r="M27" s="69"/>
      <c r="N27" s="69">
        <v>1</v>
      </c>
      <c r="P27" s="69">
        <v>1</v>
      </c>
      <c r="R27" s="69">
        <v>1</v>
      </c>
      <c r="T27" s="69"/>
      <c r="U27" s="69">
        <v>1</v>
      </c>
      <c r="V27" s="69">
        <v>1</v>
      </c>
      <c r="W27" s="69">
        <v>1</v>
      </c>
      <c r="X27" s="69">
        <v>1</v>
      </c>
      <c r="AA27" s="69">
        <v>1</v>
      </c>
      <c r="AB27" s="69">
        <v>1</v>
      </c>
      <c r="AC27" s="69">
        <v>1</v>
      </c>
      <c r="AD27" s="69"/>
      <c r="AE27" s="69">
        <f t="shared" si="1"/>
        <v>10</v>
      </c>
    </row>
    <row r="28" spans="10:31" x14ac:dyDescent="0.15">
      <c r="J28" s="69" t="s">
        <v>167</v>
      </c>
      <c r="K28" s="69" t="s">
        <v>303</v>
      </c>
      <c r="L28" s="69"/>
      <c r="M28" s="69"/>
      <c r="O28" s="69">
        <v>1</v>
      </c>
      <c r="Q28" s="69">
        <v>1</v>
      </c>
      <c r="S28" s="69">
        <v>1</v>
      </c>
      <c r="T28" s="69">
        <v>1</v>
      </c>
      <c r="U28" s="69">
        <v>1</v>
      </c>
      <c r="V28" s="69">
        <v>1</v>
      </c>
      <c r="W28" s="69">
        <v>1</v>
      </c>
      <c r="X28" s="69">
        <v>1</v>
      </c>
      <c r="AA28" s="69">
        <v>1</v>
      </c>
      <c r="AB28" s="69">
        <v>1</v>
      </c>
      <c r="AC28" s="69">
        <v>1</v>
      </c>
      <c r="AD28" s="69"/>
      <c r="AE28" s="69">
        <f t="shared" si="1"/>
        <v>11</v>
      </c>
    </row>
    <row r="29" spans="10:31" x14ac:dyDescent="0.15">
      <c r="J29" s="69" t="s">
        <v>167</v>
      </c>
      <c r="K29" s="69" t="s">
        <v>306</v>
      </c>
      <c r="L29" s="69">
        <v>1</v>
      </c>
      <c r="M29" s="69">
        <v>1</v>
      </c>
      <c r="P29" s="69">
        <v>1</v>
      </c>
      <c r="Q29" s="69">
        <v>1</v>
      </c>
      <c r="R29" s="69">
        <v>1</v>
      </c>
      <c r="S29" s="69">
        <v>1</v>
      </c>
      <c r="T29" s="69">
        <v>1</v>
      </c>
      <c r="U29" s="69">
        <v>1</v>
      </c>
      <c r="V29" s="69">
        <v>1</v>
      </c>
      <c r="W29" s="69"/>
      <c r="X29" s="69"/>
      <c r="AA29" s="69">
        <v>1</v>
      </c>
      <c r="AB29" s="69">
        <v>1</v>
      </c>
      <c r="AC29" s="69">
        <v>1</v>
      </c>
      <c r="AD29" s="69"/>
      <c r="AE29" s="69">
        <f t="shared" si="1"/>
        <v>12</v>
      </c>
    </row>
    <row r="30" spans="10:31" x14ac:dyDescent="0.15">
      <c r="J30" s="69" t="s">
        <v>167</v>
      </c>
      <c r="K30" s="69" t="s">
        <v>307</v>
      </c>
      <c r="L30" s="69">
        <v>1</v>
      </c>
      <c r="M30" s="69">
        <v>1</v>
      </c>
      <c r="P30" s="69">
        <v>1</v>
      </c>
      <c r="Q30" s="69">
        <v>1</v>
      </c>
      <c r="R30" s="69">
        <v>1</v>
      </c>
      <c r="S30" s="69">
        <v>1</v>
      </c>
      <c r="T30" s="69">
        <v>1</v>
      </c>
      <c r="U30" s="69"/>
      <c r="V30" s="69"/>
      <c r="W30" s="69">
        <v>1</v>
      </c>
      <c r="X30" s="69">
        <v>1</v>
      </c>
      <c r="AA30" s="69">
        <v>1</v>
      </c>
      <c r="AB30" s="69">
        <v>1</v>
      </c>
      <c r="AC30" s="69">
        <v>1</v>
      </c>
      <c r="AD30" s="69"/>
      <c r="AE30" s="69">
        <f t="shared" si="1"/>
        <v>12</v>
      </c>
    </row>
  </sheetData>
  <mergeCells count="2">
    <mergeCell ref="L7:AD7"/>
    <mergeCell ref="J7:K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B8315-2E01-47A0-BC5F-FF3661C547A3}">
  <sheetPr codeName="Sheet13"/>
  <dimension ref="C1:AS165"/>
  <sheetViews>
    <sheetView topLeftCell="N1" workbookViewId="0">
      <selection activeCell="O28" sqref="O28"/>
    </sheetView>
  </sheetViews>
  <sheetFormatPr defaultRowHeight="11.25" x14ac:dyDescent="0.15"/>
  <cols>
    <col min="1" max="2" width="9" style="66"/>
    <col min="3" max="3" width="10.75" style="66" customWidth="1"/>
    <col min="4" max="5" width="10.875" style="66" customWidth="1"/>
    <col min="6" max="6" width="9" style="66"/>
    <col min="7" max="10" width="9" style="78"/>
    <col min="11" max="12" width="9" style="66"/>
    <col min="13" max="13" width="9" style="21"/>
    <col min="14" max="14" width="9" style="66"/>
    <col min="15" max="15" width="18.875" style="66" bestFit="1" customWidth="1"/>
    <col min="16" max="16" width="9" style="66"/>
    <col min="17" max="17" width="9.25" style="66" customWidth="1"/>
    <col min="18" max="20" width="9.75" style="66" bestFit="1" customWidth="1"/>
    <col min="21" max="30" width="9" style="66"/>
    <col min="31" max="31" width="9" style="70"/>
    <col min="32" max="37" width="9" style="66"/>
    <col min="38" max="38" width="12.25" style="70" bestFit="1" customWidth="1"/>
    <col min="39" max="39" width="8.25" style="70" customWidth="1"/>
    <col min="40" max="40" width="9" style="70"/>
    <col min="41" max="45" width="9" style="122"/>
    <col min="46" max="16384" width="9" style="66"/>
  </cols>
  <sheetData>
    <row r="1" spans="3:45" x14ac:dyDescent="0.15">
      <c r="N1" s="79" t="s">
        <v>349</v>
      </c>
    </row>
    <row r="2" spans="3:45" x14ac:dyDescent="0.15">
      <c r="Y2" s="92" t="s">
        <v>380</v>
      </c>
      <c r="Z2" s="92" t="s">
        <v>381</v>
      </c>
      <c r="AA2" s="92" t="s">
        <v>382</v>
      </c>
      <c r="AB2" s="92" t="s">
        <v>383</v>
      </c>
    </row>
    <row r="4" spans="3:45" x14ac:dyDescent="0.15">
      <c r="C4" s="150" t="s">
        <v>30</v>
      </c>
      <c r="D4" s="151"/>
      <c r="E4" s="152"/>
      <c r="F4" s="68" t="s">
        <v>25</v>
      </c>
      <c r="G4" s="63" t="s">
        <v>1</v>
      </c>
      <c r="H4" s="63" t="s">
        <v>2</v>
      </c>
      <c r="I4" s="63" t="s">
        <v>0</v>
      </c>
      <c r="J4" s="63" t="s">
        <v>217</v>
      </c>
      <c r="O4" s="66" t="s">
        <v>326</v>
      </c>
      <c r="P4" s="66" t="s">
        <v>82</v>
      </c>
      <c r="Q4" s="66" t="s">
        <v>79</v>
      </c>
      <c r="R4" s="66" t="s">
        <v>80</v>
      </c>
      <c r="S4" s="66" t="s">
        <v>81</v>
      </c>
      <c r="T4" s="66" t="s">
        <v>217</v>
      </c>
      <c r="X4" s="139" t="s">
        <v>372</v>
      </c>
      <c r="Y4" s="139"/>
      <c r="Z4" s="139"/>
      <c r="AA4" s="139"/>
      <c r="AB4" s="139"/>
      <c r="AF4" s="139" t="s">
        <v>374</v>
      </c>
      <c r="AG4" s="139"/>
      <c r="AH4" s="139"/>
      <c r="AI4" s="139"/>
      <c r="AJ4" s="139"/>
      <c r="AL4" s="139" t="s">
        <v>376</v>
      </c>
      <c r="AM4" s="139"/>
      <c r="AO4" s="122" t="s">
        <v>398</v>
      </c>
    </row>
    <row r="5" spans="3:45" x14ac:dyDescent="0.15">
      <c r="C5" s="150" t="s">
        <v>251</v>
      </c>
      <c r="D5" s="151"/>
      <c r="E5" s="152"/>
      <c r="F5" s="63"/>
      <c r="G5" s="63">
        <v>0.06</v>
      </c>
      <c r="H5" s="63">
        <v>0.12</v>
      </c>
      <c r="I5" s="63">
        <v>0.18</v>
      </c>
      <c r="J5" s="63">
        <v>0.21</v>
      </c>
      <c r="O5" s="70" t="s">
        <v>357</v>
      </c>
      <c r="P5" s="70"/>
      <c r="Q5" s="70">
        <f>G6</f>
        <v>1</v>
      </c>
      <c r="R5" s="70">
        <f t="shared" ref="R5:T5" si="0">H6</f>
        <v>2</v>
      </c>
      <c r="S5" s="70">
        <f t="shared" si="0"/>
        <v>3</v>
      </c>
      <c r="T5" s="70">
        <f t="shared" si="0"/>
        <v>3</v>
      </c>
      <c r="W5" s="66" t="s">
        <v>371</v>
      </c>
      <c r="X5" s="66" t="s">
        <v>287</v>
      </c>
      <c r="Y5" s="66" t="s">
        <v>288</v>
      </c>
      <c r="Z5" s="66" t="s">
        <v>289</v>
      </c>
      <c r="AA5" s="66" t="s">
        <v>290</v>
      </c>
      <c r="AB5" s="66" t="s">
        <v>291</v>
      </c>
      <c r="AE5" s="70" t="s">
        <v>371</v>
      </c>
      <c r="AF5" s="70" t="s">
        <v>287</v>
      </c>
      <c r="AG5" s="70" t="s">
        <v>288</v>
      </c>
      <c r="AH5" s="70" t="s">
        <v>289</v>
      </c>
      <c r="AI5" s="70" t="s">
        <v>290</v>
      </c>
      <c r="AJ5" s="70" t="s">
        <v>291</v>
      </c>
      <c r="AL5" s="70" t="s">
        <v>377</v>
      </c>
      <c r="AO5" s="122" t="s">
        <v>287</v>
      </c>
      <c r="AP5" s="122" t="s">
        <v>288</v>
      </c>
      <c r="AQ5" s="122" t="s">
        <v>289</v>
      </c>
      <c r="AR5" s="122" t="s">
        <v>290</v>
      </c>
      <c r="AS5" s="122" t="s">
        <v>291</v>
      </c>
    </row>
    <row r="6" spans="3:45" x14ac:dyDescent="0.15">
      <c r="C6" s="150" t="s">
        <v>318</v>
      </c>
      <c r="D6" s="151"/>
      <c r="E6" s="152"/>
      <c r="F6" s="63"/>
      <c r="G6" s="67">
        <v>1</v>
      </c>
      <c r="H6" s="67">
        <v>2</v>
      </c>
      <c r="I6" s="67">
        <v>3</v>
      </c>
      <c r="J6" s="67">
        <v>3</v>
      </c>
      <c r="K6" s="57"/>
      <c r="O6" s="66" t="s">
        <v>327</v>
      </c>
      <c r="Q6" s="66">
        <v>5</v>
      </c>
      <c r="R6" s="66">
        <v>20</v>
      </c>
      <c r="S6" s="66">
        <v>100</v>
      </c>
      <c r="T6" s="66">
        <v>200</v>
      </c>
      <c r="W6" s="66">
        <v>1</v>
      </c>
      <c r="X6" s="66">
        <f>求节点(基础状态预期!$C$17:$C$37,基础状态预期!$O$17:$O$37,$W6)*P$66*INDEX($P$57:$T$57,MATCH($O$66,$P$4:$T$4,0))*求节点(基础状态预期!$C$17:$C$37,基础状态预期!$Y$17:$Y$37,$W6)+
求节点(基础状态预期!$C$17:$C$37,基础状态预期!$P$17:$P$37,$W6)*P$67*INDEX($P$57:$T$57,MATCH($O$67,$P$4:$T$4,0))*求节点(基础状态预期!$C$17:$C$37,基础状态预期!$Z$17:$Z$37,$W6)+
求节点(基础状态预期!$C$17:$C$37,基础状态预期!$Q$17:$Q$37,$W6)*P$68*INDEX($P$57:$T$57,MATCH($O$68,$P$4:$T$4,0))*求节点(基础状态预期!$C$17:$C$37,基础状态预期!$AA$17:$AA$37,$W6)+
求节点(基础状态预期!$C$17:$C$37,基础状态预期!$R$17:$R$37,$W6)*P$69*INDEX($P$57:$T$57,MATCH($O$69,$P$4:$T$4,0))*求节点(基础状态预期!$C$17:$C$37,基础状态预期!$AB$17:$AB$37,$W6)+
求节点(基础状态预期!$C$17:$C$37,基础状态预期!$S$17:$S$37,$W6)*P$70*INDEX($P$57:$T$57,MATCH($O$70,$P$4:$T$4,0))*求节点(基础状态预期!$C$17:$C$37,基础状态预期!$AC$17:$AC$37,$W6)</f>
        <v>0</v>
      </c>
      <c r="Y6" s="92">
        <f>求节点(基础状态预期!$C$43:$C$63,基础状态预期!$O$43:$O$63,$W6)*Q$66*INDEX($P$57:$T$57,MATCH($O$66,$P$4:$T$4,0))*求节点(基础状态预期!$C$43:$C$63,基础状态预期!$Y$43:$Y$63,$W6)+
求节点(基础状态预期!$C$43:$C$63,基础状态预期!$P$43:$P$63,$W6)*Q$67*INDEX($P$57:$T$57,MATCH($O$67,$P$4:$T$4,0))*求节点(基础状态预期!$C$43:$C$63,基础状态预期!$Z$43:$Z$63,$W6)+
求节点(基础状态预期!$C$43:$C$63,基础状态预期!$Q$43:$Q$63,$W6)*Q$68*INDEX($P$57:$T$57,MATCH($O$68,$P$4:$T$4,0))*求节点(基础状态预期!$C$43:$C$63,基础状态预期!$AA$43:$AA$63,$W6)+
求节点(基础状态预期!$C$43:$C$63,基础状态预期!$R$43:$R$63,$W6)*Q$69*INDEX($P$57:$T$57,MATCH($O$69,$P$4:$T$4,0))*求节点(基础状态预期!$C$43:$C$63,基础状态预期!$AB$43:$AB$63,$W6)+
求节点(基础状态预期!$C$43:$C$63,基础状态预期!$S$43:$S$63,$W6)*Q$70*INDEX($P$57:$T$57,MATCH($O$70,$P$4:$T$4,0))*求节点(基础状态预期!$C$43:$C$63,基础状态预期!$AC$43:$AC$63,$W6)</f>
        <v>0</v>
      </c>
      <c r="Z6" s="92">
        <f>求节点(基础状态预期!$C$69:$C$89,基础状态预期!$O$69:$O$89,$W6)*R$66*INDEX($P$57:$T$57,MATCH($O$66,$P$4:$T$4,0))*求节点(基础状态预期!$C$69:$C$89,基础状态预期!AA17:AA37,$W6)+
求节点(基础状态预期!$C$69:$C$89,基础状态预期!$P$69:$P$89,$W6)*R$67*INDEX($P$57:$T$57,MATCH($O$67,$P$4:$T$4,0))*求节点(基础状态预期!$C$69:$C$89,基础状态预期!$Z$69:$Z$89,$W6)+
求节点(基础状态预期!$C$69:$C$89,基础状态预期!$Q$69:$Q$89,$W6)*R$68*INDEX($P$57:$T$57,MATCH($O$68,$P$4:$T$4,0))*求节点(基础状态预期!$C$69:$C$89,基础状态预期!$AA$69:$AA$89,$W6)+
求节点(基础状态预期!$C$69:$C$89,基础状态预期!$R$69:$R$89,$W6)*R$69*INDEX($P$57:$T$57,MATCH($O$69,$P$4:$T$4,0))*求节点(基础状态预期!$C$69:$C$89,基础状态预期!$AB$69:$AB$89,$W6)+
求节点(基础状态预期!$C$69:$C$89,基础状态预期!$S$69:$S$89,$W6)*R$70*INDEX($P$57:$T$57,MATCH($O$70,$P$4:$T$4,0))*求节点(基础状态预期!$C$69:$C$89,基础状态预期!$AC$69:$AC$89,$W6)</f>
        <v>0</v>
      </c>
      <c r="AA6" s="92">
        <f>求节点(基础状态预期!$C$95:$C$115,基础状态预期!$O$95:$O$115,$W6)*S$66*INDEX($P$57:$T$57,MATCH($O$66,$P$4:$T$4,0))*求节点(基础状态预期!$C$95:$C$115,基础状态预期!$Y$95:$Y$115,$W6)+
求节点(基础状态预期!$C$95:$C$115,基础状态预期!$P$95:$P$115,$W6)*S$67*INDEX($P$57:$T$57,MATCH($O$67,$P$4:$T$4,0))*求节点(基础状态预期!$C$95:$C$115,基础状态预期!$Z$95:$Z$115,$W6)+
求节点(基础状态预期!$C$95:$C$115,基础状态预期!$Q$95:$Q$115,$W6)*S$68*INDEX($P$57:$T$57,MATCH($O$68,$P$4:$T$4,0))*求节点(基础状态预期!$C$95:$C$115,基础状态预期!$AA$95:$AA$115,$W6)+
求节点(基础状态预期!$C$95:$C$115,基础状态预期!$R$95:$R$115,$W6)*S$69*INDEX($P$57:$T$57,MATCH($O$69,$P$4:$T$4,0))*求节点(基础状态预期!$C$95:$C$115,基础状态预期!$AB$95:$AB$115,$W6)+
求节点(基础状态预期!$C$95:$C$115,基础状态预期!$S$95:$S$115,$W6)*S$70*INDEX($P$57:$T$57,MATCH($O$70,$P$4:$T$4,0))*求节点(基础状态预期!$C$95:$C$115,基础状态预期!$AC$95:$AC$115,$W6)</f>
        <v>0</v>
      </c>
      <c r="AB6" s="92">
        <f>求节点(基础状态预期!$C$121:$C$141,基础状态预期!$O$121:$O$141,$W6)*T$66*INDEX($P$57:$T$57,MATCH($O$66,$P$4:$T$4,0))*求节点(基础状态预期!$C$121:$C$141,基础状态预期!$Y$121:$Y$141,$W6)+
求节点(基础状态预期!$C$121:$C$141,基础状态预期!$P$121:$P$141,$W6)*T$67*INDEX($P$57:$T$57,MATCH($O$67,$P$4:$T$4,0))*求节点(基础状态预期!$C$121:$C$141,基础状态预期!$Z$121:$Z$141,$W6)+
求节点(基础状态预期!$C$121:$C$141,基础状态预期!$Q$121:$Q$141,$W6)*T$68*INDEX($P$57:$T$57,MATCH($O$68,$P$4:$T$4,0))*求节点(基础状态预期!$C$121:$C$141,基础状态预期!$AA$121:$AA$141,$W6)+
求节点(基础状态预期!$C$121:$C$141,基础状态预期!$R$121:$R$141,$W6)*T$69*INDEX($P$57:$T$57,MATCH($O$69,$P$4:$T$4,0))*求节点(基础状态预期!$C$121:$C$141,基础状态预期!$AB$121:$AB$141,$W6)+
求节点(基础状态预期!$C$121:$C$141,基础状态预期!$S$121:$S$141,$W6)*T$70*INDEX($P$57:$T$57,MATCH($O$70,$P$4:$T$4,0))*求节点(基础状态预期!$C$121:$C$141,基础状态预期!$AC$121:$AC$141,$W6)</f>
        <v>0</v>
      </c>
      <c r="AE6" s="70">
        <v>1</v>
      </c>
      <c r="AF6" s="66">
        <f>盗宝贼!AI5</f>
        <v>0.16639959554414196</v>
      </c>
      <c r="AG6" s="113">
        <f>盗宝贼!AJ5</f>
        <v>0.20188973536769797</v>
      </c>
      <c r="AH6" s="113">
        <f>盗宝贼!AK5</f>
        <v>0.21452778464927555</v>
      </c>
      <c r="AI6" s="113">
        <f>盗宝贼!AL5</f>
        <v>0.16915604101815582</v>
      </c>
      <c r="AJ6" s="113">
        <f>盗宝贼!AM5</f>
        <v>8.8452960655749299E-2</v>
      </c>
      <c r="AL6" s="78">
        <f>盗宝贼!AI5/AF6</f>
        <v>1</v>
      </c>
      <c r="AM6" s="78"/>
      <c r="AO6" s="123" t="e">
        <f>AF6/X6</f>
        <v>#DIV/0!</v>
      </c>
      <c r="AP6" s="123" t="e">
        <f t="shared" ref="AP6:AS6" si="1">AG6/Y6</f>
        <v>#DIV/0!</v>
      </c>
      <c r="AQ6" s="123" t="e">
        <f t="shared" si="1"/>
        <v>#DIV/0!</v>
      </c>
      <c r="AR6" s="123" t="e">
        <f t="shared" si="1"/>
        <v>#DIV/0!</v>
      </c>
      <c r="AS6" s="123" t="e">
        <f t="shared" si="1"/>
        <v>#DIV/0!</v>
      </c>
    </row>
    <row r="7" spans="3:45" x14ac:dyDescent="0.15">
      <c r="C7" s="150" t="s">
        <v>319</v>
      </c>
      <c r="D7" s="151"/>
      <c r="E7" s="152"/>
      <c r="F7" s="63"/>
      <c r="G7" s="67">
        <v>35</v>
      </c>
      <c r="H7" s="67">
        <v>45</v>
      </c>
      <c r="I7" s="67">
        <v>60</v>
      </c>
      <c r="J7" s="67">
        <v>60</v>
      </c>
      <c r="W7" s="66">
        <v>2</v>
      </c>
      <c r="X7" s="113">
        <f>求节点(基础状态预期!$C$17:$C$37,基础状态预期!$O$17:$O$37,$W7)*P$66*INDEX($P$57:$T$57,MATCH($O$66,$P$4:$T$4,0))*求节点(基础状态预期!$C$17:$C$37,基础状态预期!$Y$17:$Y$37,$W7)+
求节点(基础状态预期!$C$17:$C$37,基础状态预期!$P$17:$P$37,$W7)*P$67*INDEX($P$57:$T$57,MATCH($O$67,$P$4:$T$4,0))*求节点(基础状态预期!$C$17:$C$37,基础状态预期!$Z$17:$Z$37,$W7)+
求节点(基础状态预期!$C$17:$C$37,基础状态预期!$Q$17:$Q$37,$W7)*P$68*INDEX($P$57:$T$57,MATCH($O$68,$P$4:$T$4,0))*求节点(基础状态预期!$C$17:$C$37,基础状态预期!$AA$17:$AA$37,$W7)+
求节点(基础状态预期!$C$17:$C$37,基础状态预期!$R$17:$R$37,$W7)*P$69*INDEX($P$57:$T$57,MATCH($O$69,$P$4:$T$4,0))*求节点(基础状态预期!$C$17:$C$37,基础状态预期!$AB$17:$AB$37,$W7)+
求节点(基础状态预期!$C$17:$C$37,基础状态预期!$S$17:$S$37,$W7)*P$70*INDEX($P$57:$T$57,MATCH($O$70,$P$4:$T$4,0))*求节点(基础状态预期!$C$17:$C$37,基础状态预期!$AC$17:$AC$37,$W7)</f>
        <v>0</v>
      </c>
      <c r="Y7" s="113">
        <f>求节点(基础状态预期!$C$43:$C$63,基础状态预期!$O$43:$O$63,$W7)*Q$66*INDEX($P$57:$T$57,MATCH($O$66,$P$4:$T$4,0))*求节点(基础状态预期!$C$43:$C$63,基础状态预期!$Y$43:$Y$63,$W7)+
求节点(基础状态预期!$C$43:$C$63,基础状态预期!$P$43:$P$63,$W7)*Q$67*INDEX($P$57:$T$57,MATCH($O$67,$P$4:$T$4,0))*求节点(基础状态预期!$C$43:$C$63,基础状态预期!$Z$43:$Z$63,$W7)+
求节点(基础状态预期!$C$43:$C$63,基础状态预期!$Q$43:$Q$63,$W7)*Q$68*INDEX($P$57:$T$57,MATCH($O$68,$P$4:$T$4,0))*求节点(基础状态预期!$C$43:$C$63,基础状态预期!$AA$43:$AA$63,$W7)+
求节点(基础状态预期!$C$43:$C$63,基础状态预期!$R$43:$R$63,$W7)*Q$69*INDEX($P$57:$T$57,MATCH($O$69,$P$4:$T$4,0))*求节点(基础状态预期!$C$43:$C$63,基础状态预期!$AB$43:$AB$63,$W7)+
求节点(基础状态预期!$C$43:$C$63,基础状态预期!$S$43:$S$63,$W7)*Q$70*INDEX($P$57:$T$57,MATCH($O$70,$P$4:$T$4,0))*求节点(基础状态预期!$C$43:$C$63,基础状态预期!$AC$43:$AC$63,$W7)</f>
        <v>0</v>
      </c>
      <c r="Z7" s="113">
        <f>求节点(基础状态预期!$C$69:$C$89,基础状态预期!$O$69:$O$89,$W7)*R$66*INDEX($P$57:$T$57,MATCH($O$66,$P$4:$T$4,0))*求节点(基础状态预期!$C$69:$C$89,基础状态预期!AA18:AA38,$W7)+
求节点(基础状态预期!$C$69:$C$89,基础状态预期!$P$69:$P$89,$W7)*R$67*INDEX($P$57:$T$57,MATCH($O$67,$P$4:$T$4,0))*求节点(基础状态预期!$C$69:$C$89,基础状态预期!$Z$69:$Z$89,$W7)+
求节点(基础状态预期!$C$69:$C$89,基础状态预期!$Q$69:$Q$89,$W7)*R$68*INDEX($P$57:$T$57,MATCH($O$68,$P$4:$T$4,0))*求节点(基础状态预期!$C$69:$C$89,基础状态预期!$AA$69:$AA$89,$W7)+
求节点(基础状态预期!$C$69:$C$89,基础状态预期!$R$69:$R$89,$W7)*R$69*INDEX($P$57:$T$57,MATCH($O$69,$P$4:$T$4,0))*求节点(基础状态预期!$C$69:$C$89,基础状态预期!$AB$69:$AB$89,$W7)+
求节点(基础状态预期!$C$69:$C$89,基础状态预期!$S$69:$S$89,$W7)*R$70*INDEX($P$57:$T$57,MATCH($O$70,$P$4:$T$4,0))*求节点(基础状态预期!$C$69:$C$89,基础状态预期!$AC$69:$AC$89,$W7)</f>
        <v>0</v>
      </c>
      <c r="AA7" s="113">
        <f>求节点(基础状态预期!$C$95:$C$115,基础状态预期!$O$95:$O$115,$W7)*S$66*INDEX($P$57:$T$57,MATCH($O$66,$P$4:$T$4,0))*求节点(基础状态预期!$C$95:$C$115,基础状态预期!$Y$95:$Y$115,$W7)+
求节点(基础状态预期!$C$95:$C$115,基础状态预期!$P$95:$P$115,$W7)*S$67*INDEX($P$57:$T$57,MATCH($O$67,$P$4:$T$4,0))*求节点(基础状态预期!$C$95:$C$115,基础状态预期!$Z$95:$Z$115,$W7)+
求节点(基础状态预期!$C$95:$C$115,基础状态预期!$Q$95:$Q$115,$W7)*S$68*INDEX($P$57:$T$57,MATCH($O$68,$P$4:$T$4,0))*求节点(基础状态预期!$C$95:$C$115,基础状态预期!$AA$95:$AA$115,$W7)+
求节点(基础状态预期!$C$95:$C$115,基础状态预期!$R$95:$R$115,$W7)*S$69*INDEX($P$57:$T$57,MATCH($O$69,$P$4:$T$4,0))*求节点(基础状态预期!$C$95:$C$115,基础状态预期!$AB$95:$AB$115,$W7)+
求节点(基础状态预期!$C$95:$C$115,基础状态预期!$S$95:$S$115,$W7)*S$70*INDEX($P$57:$T$57,MATCH($O$70,$P$4:$T$4,0))*求节点(基础状态预期!$C$95:$C$115,基础状态预期!$AC$95:$AC$115,$W7)</f>
        <v>0</v>
      </c>
      <c r="AB7" s="113">
        <f>求节点(基础状态预期!$C$121:$C$141,基础状态预期!$O$121:$O$141,$W7)*T$66*INDEX($P$57:$T$57,MATCH($O$66,$P$4:$T$4,0))*求节点(基础状态预期!$C$121:$C$141,基础状态预期!$Y$121:$Y$141,$W7)+
求节点(基础状态预期!$C$121:$C$141,基础状态预期!$P$121:$P$141,$W7)*T$67*INDEX($P$57:$T$57,MATCH($O$67,$P$4:$T$4,0))*求节点(基础状态预期!$C$121:$C$141,基础状态预期!$Z$121:$Z$141,$W7)+
求节点(基础状态预期!$C$121:$C$141,基础状态预期!$Q$121:$Q$141,$W7)*T$68*INDEX($P$57:$T$57,MATCH($O$68,$P$4:$T$4,0))*求节点(基础状态预期!$C$121:$C$141,基础状态预期!$AA$121:$AA$141,$W7)+
求节点(基础状态预期!$C$121:$C$141,基础状态预期!$R$121:$R$141,$W7)*T$69*INDEX($P$57:$T$57,MATCH($O$69,$P$4:$T$4,0))*求节点(基础状态预期!$C$121:$C$141,基础状态预期!$AB$121:$AB$141,$W7)+
求节点(基础状态预期!$C$121:$C$141,基础状态预期!$S$121:$S$141,$W7)*T$70*INDEX($P$57:$T$57,MATCH($O$70,$P$4:$T$4,0))*求节点(基础状态预期!$C$121:$C$141,基础状态预期!$AC$121:$AC$141,$W7)</f>
        <v>0</v>
      </c>
      <c r="AE7" s="70">
        <v>2</v>
      </c>
      <c r="AF7" s="113">
        <f>盗宝贼!AI6</f>
        <v>0.35365939975917537</v>
      </c>
      <c r="AG7" s="113">
        <f>盗宝贼!AJ6</f>
        <v>0.43330664581284428</v>
      </c>
      <c r="AH7" s="113">
        <f>盗宝贼!AK6</f>
        <v>0.46525839588890228</v>
      </c>
      <c r="AI7" s="113">
        <f>盗宝贼!AL6</f>
        <v>0.37216194170820904</v>
      </c>
      <c r="AJ7" s="113">
        <f>盗宝贼!AM6</f>
        <v>0.19772080191083208</v>
      </c>
      <c r="AL7" s="78">
        <f>盗宝贼!AI6/AF7</f>
        <v>1</v>
      </c>
      <c r="AM7" s="118"/>
      <c r="AO7" s="123" t="e">
        <f t="shared" ref="AO7:AO70" si="2">AF7/X7</f>
        <v>#DIV/0!</v>
      </c>
      <c r="AP7" s="123" t="e">
        <f t="shared" ref="AP7:AP70" si="3">AG7/Y7</f>
        <v>#DIV/0!</v>
      </c>
      <c r="AQ7" s="123" t="e">
        <f t="shared" ref="AQ7:AQ70" si="4">AH7/Z7</f>
        <v>#DIV/0!</v>
      </c>
      <c r="AR7" s="123" t="e">
        <f t="shared" ref="AR7:AR70" si="5">AI7/AA7</f>
        <v>#DIV/0!</v>
      </c>
      <c r="AS7" s="123" t="e">
        <f t="shared" ref="AS7:AS70" si="6">AJ7/AB7</f>
        <v>#DIV/0!</v>
      </c>
    </row>
    <row r="8" spans="3:45" x14ac:dyDescent="0.15">
      <c r="C8" s="150" t="s">
        <v>320</v>
      </c>
      <c r="D8" s="151"/>
      <c r="E8" s="152"/>
      <c r="F8" s="63"/>
      <c r="G8" s="67">
        <v>125</v>
      </c>
      <c r="H8" s="67">
        <v>145</v>
      </c>
      <c r="I8" s="67">
        <v>175</v>
      </c>
      <c r="J8" s="67">
        <v>175</v>
      </c>
      <c r="W8" s="70">
        <v>3</v>
      </c>
      <c r="X8" s="113">
        <f>求节点(基础状态预期!$C$17:$C$37,基础状态预期!$O$17:$O$37,$W8)*P$66*INDEX($P$57:$T$57,MATCH($O$66,$P$4:$T$4,0))*求节点(基础状态预期!$C$17:$C$37,基础状态预期!$Y$17:$Y$37,$W8)+
求节点(基础状态预期!$C$17:$C$37,基础状态预期!$P$17:$P$37,$W8)*P$67*INDEX($P$57:$T$57,MATCH($O$67,$P$4:$T$4,0))*求节点(基础状态预期!$C$17:$C$37,基础状态预期!$Z$17:$Z$37,$W8)+
求节点(基础状态预期!$C$17:$C$37,基础状态预期!$Q$17:$Q$37,$W8)*P$68*INDEX($P$57:$T$57,MATCH($O$68,$P$4:$T$4,0))*求节点(基础状态预期!$C$17:$C$37,基础状态预期!$AA$17:$AA$37,$W8)+
求节点(基础状态预期!$C$17:$C$37,基础状态预期!$R$17:$R$37,$W8)*P$69*INDEX($P$57:$T$57,MATCH($O$69,$P$4:$T$4,0))*求节点(基础状态预期!$C$17:$C$37,基础状态预期!$AB$17:$AB$37,$W8)+
求节点(基础状态预期!$C$17:$C$37,基础状态预期!$S$17:$S$37,$W8)*P$70*INDEX($P$57:$T$57,MATCH($O$70,$P$4:$T$4,0))*求节点(基础状态预期!$C$17:$C$37,基础状态预期!$AC$17:$AC$37,$W8)</f>
        <v>0</v>
      </c>
      <c r="Y8" s="113">
        <f>求节点(基础状态预期!$C$43:$C$63,基础状态预期!$O$43:$O$63,$W8)*Q$66*INDEX($P$57:$T$57,MATCH($O$66,$P$4:$T$4,0))*求节点(基础状态预期!$C$43:$C$63,基础状态预期!$Y$43:$Y$63,$W8)+
求节点(基础状态预期!$C$43:$C$63,基础状态预期!$P$43:$P$63,$W8)*Q$67*INDEX($P$57:$T$57,MATCH($O$67,$P$4:$T$4,0))*求节点(基础状态预期!$C$43:$C$63,基础状态预期!$Z$43:$Z$63,$W8)+
求节点(基础状态预期!$C$43:$C$63,基础状态预期!$Q$43:$Q$63,$W8)*Q$68*INDEX($P$57:$T$57,MATCH($O$68,$P$4:$T$4,0))*求节点(基础状态预期!$C$43:$C$63,基础状态预期!$AA$43:$AA$63,$W8)+
求节点(基础状态预期!$C$43:$C$63,基础状态预期!$R$43:$R$63,$W8)*Q$69*INDEX($P$57:$T$57,MATCH($O$69,$P$4:$T$4,0))*求节点(基础状态预期!$C$43:$C$63,基础状态预期!$AB$43:$AB$63,$W8)+
求节点(基础状态预期!$C$43:$C$63,基础状态预期!$S$43:$S$63,$W8)*Q$70*INDEX($P$57:$T$57,MATCH($O$70,$P$4:$T$4,0))*求节点(基础状态预期!$C$43:$C$63,基础状态预期!$AC$43:$AC$63,$W8)</f>
        <v>0</v>
      </c>
      <c r="Z8" s="113">
        <f>求节点(基础状态预期!$C$69:$C$89,基础状态预期!$O$69:$O$89,$W8)*R$66*INDEX($P$57:$T$57,MATCH($O$66,$P$4:$T$4,0))*求节点(基础状态预期!$C$69:$C$89,基础状态预期!AA19:AA39,$W8)+
求节点(基础状态预期!$C$69:$C$89,基础状态预期!$P$69:$P$89,$W8)*R$67*INDEX($P$57:$T$57,MATCH($O$67,$P$4:$T$4,0))*求节点(基础状态预期!$C$69:$C$89,基础状态预期!$Z$69:$Z$89,$W8)+
求节点(基础状态预期!$C$69:$C$89,基础状态预期!$Q$69:$Q$89,$W8)*R$68*INDEX($P$57:$T$57,MATCH($O$68,$P$4:$T$4,0))*求节点(基础状态预期!$C$69:$C$89,基础状态预期!$AA$69:$AA$89,$W8)+
求节点(基础状态预期!$C$69:$C$89,基础状态预期!$R$69:$R$89,$W8)*R$69*INDEX($P$57:$T$57,MATCH($O$69,$P$4:$T$4,0))*求节点(基础状态预期!$C$69:$C$89,基础状态预期!$AB$69:$AB$89,$W8)+
求节点(基础状态预期!$C$69:$C$89,基础状态预期!$S$69:$S$89,$W8)*R$70*INDEX($P$57:$T$57,MATCH($O$70,$P$4:$T$4,0))*求节点(基础状态预期!$C$69:$C$89,基础状态预期!$AC$69:$AC$89,$W8)</f>
        <v>0</v>
      </c>
      <c r="AA8" s="113">
        <f>求节点(基础状态预期!$C$95:$C$115,基础状态预期!$O$95:$O$115,$W8)*S$66*INDEX($P$57:$T$57,MATCH($O$66,$P$4:$T$4,0))*求节点(基础状态预期!$C$95:$C$115,基础状态预期!$Y$95:$Y$115,$W8)+
求节点(基础状态预期!$C$95:$C$115,基础状态预期!$P$95:$P$115,$W8)*S$67*INDEX($P$57:$T$57,MATCH($O$67,$P$4:$T$4,0))*求节点(基础状态预期!$C$95:$C$115,基础状态预期!$Z$95:$Z$115,$W8)+
求节点(基础状态预期!$C$95:$C$115,基础状态预期!$Q$95:$Q$115,$W8)*S$68*INDEX($P$57:$T$57,MATCH($O$68,$P$4:$T$4,0))*求节点(基础状态预期!$C$95:$C$115,基础状态预期!$AA$95:$AA$115,$W8)+
求节点(基础状态预期!$C$95:$C$115,基础状态预期!$R$95:$R$115,$W8)*S$69*INDEX($P$57:$T$57,MATCH($O$69,$P$4:$T$4,0))*求节点(基础状态预期!$C$95:$C$115,基础状态预期!$AB$95:$AB$115,$W8)+
求节点(基础状态预期!$C$95:$C$115,基础状态预期!$S$95:$S$115,$W8)*S$70*INDEX($P$57:$T$57,MATCH($O$70,$P$4:$T$4,0))*求节点(基础状态预期!$C$95:$C$115,基础状态预期!$AC$95:$AC$115,$W8)</f>
        <v>0</v>
      </c>
      <c r="AB8" s="113">
        <f>求节点(基础状态预期!$C$121:$C$141,基础状态预期!$O$121:$O$141,$W8)*T$66*INDEX($P$57:$T$57,MATCH($O$66,$P$4:$T$4,0))*求节点(基础状态预期!$C$121:$C$141,基础状态预期!$Y$121:$Y$141,$W8)+
求节点(基础状态预期!$C$121:$C$141,基础状态预期!$P$121:$P$141,$W8)*T$67*INDEX($P$57:$T$57,MATCH($O$67,$P$4:$T$4,0))*求节点(基础状态预期!$C$121:$C$141,基础状态预期!$Z$121:$Z$141,$W8)+
求节点(基础状态预期!$C$121:$C$141,基础状态预期!$Q$121:$Q$141,$W8)*T$68*INDEX($P$57:$T$57,MATCH($O$68,$P$4:$T$4,0))*求节点(基础状态预期!$C$121:$C$141,基础状态预期!$AA$121:$AA$141,$W8)+
求节点(基础状态预期!$C$121:$C$141,基础状态预期!$R$121:$R$141,$W8)*T$69*INDEX($P$57:$T$57,MATCH($O$69,$P$4:$T$4,0))*求节点(基础状态预期!$C$121:$C$141,基础状态预期!$AB$121:$AB$141,$W8)+
求节点(基础状态预期!$C$121:$C$141,基础状态预期!$S$121:$S$141,$W8)*T$70*INDEX($P$57:$T$57,MATCH($O$70,$P$4:$T$4,0))*求节点(基础状态预期!$C$121:$C$141,基础状态预期!$AC$121:$AC$141,$W8)</f>
        <v>0</v>
      </c>
      <c r="AE8" s="70">
        <v>3</v>
      </c>
      <c r="AF8" s="113">
        <f>盗宝贼!AI7</f>
        <v>0.5643944929544602</v>
      </c>
      <c r="AG8" s="113">
        <f>盗宝贼!AJ7</f>
        <v>0.69677869363807088</v>
      </c>
      <c r="AH8" s="113">
        <f>盗宝贼!AK7</f>
        <v>0.75510424261714326</v>
      </c>
      <c r="AI8" s="113">
        <f>盗宝贼!AL7</f>
        <v>0.60896242208750906</v>
      </c>
      <c r="AJ8" s="113">
        <f>盗宝贼!AM7</f>
        <v>0.32532533679646086</v>
      </c>
      <c r="AL8" s="78">
        <f>盗宝贼!AI7/AF8</f>
        <v>1</v>
      </c>
      <c r="AM8" s="118"/>
      <c r="AO8" s="123" t="e">
        <f t="shared" si="2"/>
        <v>#DIV/0!</v>
      </c>
      <c r="AP8" s="123" t="e">
        <f t="shared" si="3"/>
        <v>#DIV/0!</v>
      </c>
      <c r="AQ8" s="123" t="e">
        <f t="shared" si="4"/>
        <v>#DIV/0!</v>
      </c>
      <c r="AR8" s="123" t="e">
        <f t="shared" si="5"/>
        <v>#DIV/0!</v>
      </c>
      <c r="AS8" s="123" t="e">
        <f t="shared" si="6"/>
        <v>#DIV/0!</v>
      </c>
    </row>
    <row r="9" spans="3:45" x14ac:dyDescent="0.15">
      <c r="C9" s="150" t="s">
        <v>321</v>
      </c>
      <c r="D9" s="151"/>
      <c r="E9" s="152"/>
      <c r="F9" s="68"/>
      <c r="G9" s="67">
        <v>4800</v>
      </c>
      <c r="H9" s="67">
        <v>6500</v>
      </c>
      <c r="I9" s="67">
        <v>10000</v>
      </c>
      <c r="J9" s="67">
        <v>10000</v>
      </c>
      <c r="O9" s="80" t="s">
        <v>350</v>
      </c>
      <c r="P9" s="81"/>
      <c r="Q9" s="82">
        <v>0.25</v>
      </c>
      <c r="R9" s="82">
        <v>0.25</v>
      </c>
      <c r="S9" s="82">
        <v>0.25</v>
      </c>
      <c r="T9" s="83">
        <v>0.25</v>
      </c>
      <c r="W9" s="70">
        <v>4</v>
      </c>
      <c r="X9" s="113">
        <f>求节点(基础状态预期!$C$17:$C$37,基础状态预期!$O$17:$O$37,$W9)*P$66*INDEX($P$57:$T$57,MATCH($O$66,$P$4:$T$4,0))*求节点(基础状态预期!$C$17:$C$37,基础状态预期!$Y$17:$Y$37,$W9)+
求节点(基础状态预期!$C$17:$C$37,基础状态预期!$P$17:$P$37,$W9)*P$67*INDEX($P$57:$T$57,MATCH($O$67,$P$4:$T$4,0))*求节点(基础状态预期!$C$17:$C$37,基础状态预期!$Z$17:$Z$37,$W9)+
求节点(基础状态预期!$C$17:$C$37,基础状态预期!$Q$17:$Q$37,$W9)*P$68*INDEX($P$57:$T$57,MATCH($O$68,$P$4:$T$4,0))*求节点(基础状态预期!$C$17:$C$37,基础状态预期!$AA$17:$AA$37,$W9)+
求节点(基础状态预期!$C$17:$C$37,基础状态预期!$R$17:$R$37,$W9)*P$69*INDEX($P$57:$T$57,MATCH($O$69,$P$4:$T$4,0))*求节点(基础状态预期!$C$17:$C$37,基础状态预期!$AB$17:$AB$37,$W9)+
求节点(基础状态预期!$C$17:$C$37,基础状态预期!$S$17:$S$37,$W9)*P$70*INDEX($P$57:$T$57,MATCH($O$70,$P$4:$T$4,0))*求节点(基础状态预期!$C$17:$C$37,基础状态预期!$AC$17:$AC$37,$W9)</f>
        <v>0</v>
      </c>
      <c r="Y9" s="113">
        <f>求节点(基础状态预期!$C$43:$C$63,基础状态预期!$O$43:$O$63,$W9)*Q$66*INDEX($P$57:$T$57,MATCH($O$66,$P$4:$T$4,0))*求节点(基础状态预期!$C$43:$C$63,基础状态预期!$Y$43:$Y$63,$W9)+
求节点(基础状态预期!$C$43:$C$63,基础状态预期!$P$43:$P$63,$W9)*Q$67*INDEX($P$57:$T$57,MATCH($O$67,$P$4:$T$4,0))*求节点(基础状态预期!$C$43:$C$63,基础状态预期!$Z$43:$Z$63,$W9)+
求节点(基础状态预期!$C$43:$C$63,基础状态预期!$Q$43:$Q$63,$W9)*Q$68*INDEX($P$57:$T$57,MATCH($O$68,$P$4:$T$4,0))*求节点(基础状态预期!$C$43:$C$63,基础状态预期!$AA$43:$AA$63,$W9)+
求节点(基础状态预期!$C$43:$C$63,基础状态预期!$R$43:$R$63,$W9)*Q$69*INDEX($P$57:$T$57,MATCH($O$69,$P$4:$T$4,0))*求节点(基础状态预期!$C$43:$C$63,基础状态预期!$AB$43:$AB$63,$W9)+
求节点(基础状态预期!$C$43:$C$63,基础状态预期!$S$43:$S$63,$W9)*Q$70*INDEX($P$57:$T$57,MATCH($O$70,$P$4:$T$4,0))*求节点(基础状态预期!$C$43:$C$63,基础状态预期!$AC$43:$AC$63,$W9)</f>
        <v>0</v>
      </c>
      <c r="Z9" s="113">
        <f>求节点(基础状态预期!$C$69:$C$89,基础状态预期!$O$69:$O$89,$W9)*R$66*INDEX($P$57:$T$57,MATCH($O$66,$P$4:$T$4,0))*求节点(基础状态预期!$C$69:$C$89,基础状态预期!AA20:AA40,$W9)+
求节点(基础状态预期!$C$69:$C$89,基础状态预期!$P$69:$P$89,$W9)*R$67*INDEX($P$57:$T$57,MATCH($O$67,$P$4:$T$4,0))*求节点(基础状态预期!$C$69:$C$89,基础状态预期!$Z$69:$Z$89,$W9)+
求节点(基础状态预期!$C$69:$C$89,基础状态预期!$Q$69:$Q$89,$W9)*R$68*INDEX($P$57:$T$57,MATCH($O$68,$P$4:$T$4,0))*求节点(基础状态预期!$C$69:$C$89,基础状态预期!$AA$69:$AA$89,$W9)+
求节点(基础状态预期!$C$69:$C$89,基础状态预期!$R$69:$R$89,$W9)*R$69*INDEX($P$57:$T$57,MATCH($O$69,$P$4:$T$4,0))*求节点(基础状态预期!$C$69:$C$89,基础状态预期!$AB$69:$AB$89,$W9)+
求节点(基础状态预期!$C$69:$C$89,基础状态预期!$S$69:$S$89,$W9)*R$70*INDEX($P$57:$T$57,MATCH($O$70,$P$4:$T$4,0))*求节点(基础状态预期!$C$69:$C$89,基础状态预期!$AC$69:$AC$89,$W9)</f>
        <v>0</v>
      </c>
      <c r="AA9" s="113">
        <f>求节点(基础状态预期!$C$95:$C$115,基础状态预期!$O$95:$O$115,$W9)*S$66*INDEX($P$57:$T$57,MATCH($O$66,$P$4:$T$4,0))*求节点(基础状态预期!$C$95:$C$115,基础状态预期!$Y$95:$Y$115,$W9)+
求节点(基础状态预期!$C$95:$C$115,基础状态预期!$P$95:$P$115,$W9)*S$67*INDEX($P$57:$T$57,MATCH($O$67,$P$4:$T$4,0))*求节点(基础状态预期!$C$95:$C$115,基础状态预期!$Z$95:$Z$115,$W9)+
求节点(基础状态预期!$C$95:$C$115,基础状态预期!$Q$95:$Q$115,$W9)*S$68*INDEX($P$57:$T$57,MATCH($O$68,$P$4:$T$4,0))*求节点(基础状态预期!$C$95:$C$115,基础状态预期!$AA$95:$AA$115,$W9)+
求节点(基础状态预期!$C$95:$C$115,基础状态预期!$R$95:$R$115,$W9)*S$69*INDEX($P$57:$T$57,MATCH($O$69,$P$4:$T$4,0))*求节点(基础状态预期!$C$95:$C$115,基础状态预期!$AB$95:$AB$115,$W9)+
求节点(基础状态预期!$C$95:$C$115,基础状态预期!$S$95:$S$115,$W9)*S$70*INDEX($P$57:$T$57,MATCH($O$70,$P$4:$T$4,0))*求节点(基础状态预期!$C$95:$C$115,基础状态预期!$AC$95:$AC$115,$W9)</f>
        <v>0</v>
      </c>
      <c r="AB9" s="113">
        <f>求节点(基础状态预期!$C$121:$C$141,基础状态预期!$O$121:$O$141,$W9)*T$66*INDEX($P$57:$T$57,MATCH($O$66,$P$4:$T$4,0))*求节点(基础状态预期!$C$121:$C$141,基础状态预期!$Y$121:$Y$141,$W9)+
求节点(基础状态预期!$C$121:$C$141,基础状态预期!$P$121:$P$141,$W9)*T$67*INDEX($P$57:$T$57,MATCH($O$67,$P$4:$T$4,0))*求节点(基础状态预期!$C$121:$C$141,基础状态预期!$Z$121:$Z$141,$W9)+
求节点(基础状态预期!$C$121:$C$141,基础状态预期!$Q$121:$Q$141,$W9)*T$68*INDEX($P$57:$T$57,MATCH($O$68,$P$4:$T$4,0))*求节点(基础状态预期!$C$121:$C$141,基础状态预期!$AA$121:$AA$141,$W9)+
求节点(基础状态预期!$C$121:$C$141,基础状态预期!$R$121:$R$141,$W9)*T$69*INDEX($P$57:$T$57,MATCH($O$69,$P$4:$T$4,0))*求节点(基础状态预期!$C$121:$C$141,基础状态预期!$AB$121:$AB$141,$W9)+
求节点(基础状态预期!$C$121:$C$141,基础状态预期!$S$121:$S$141,$W9)*T$70*INDEX($P$57:$T$57,MATCH($O$70,$P$4:$T$4,0))*求节点(基础状态预期!$C$121:$C$141,基础状态预期!$AC$121:$AC$141,$W9)</f>
        <v>0</v>
      </c>
      <c r="AE9" s="70">
        <v>4</v>
      </c>
      <c r="AF9" s="113">
        <f>盗宝贼!AI8</f>
        <v>0.80154778749187006</v>
      </c>
      <c r="AG9" s="113">
        <f>盗宝贼!AJ8</f>
        <v>0.99441352301378971</v>
      </c>
      <c r="AH9" s="113">
        <f>盗宝贼!AK8</f>
        <v>1.0842766021993349</v>
      </c>
      <c r="AI9" s="113">
        <f>盗宝贼!AL8</f>
        <v>0.87864330245339528</v>
      </c>
      <c r="AJ9" s="113">
        <f>盗宝贼!AM8</f>
        <v>0.47364808487747001</v>
      </c>
      <c r="AL9" s="78">
        <f>盗宝贼!AI8/AF9</f>
        <v>1</v>
      </c>
      <c r="AM9" s="118"/>
      <c r="AO9" s="123" t="e">
        <f t="shared" si="2"/>
        <v>#DIV/0!</v>
      </c>
      <c r="AP9" s="123" t="e">
        <f t="shared" si="3"/>
        <v>#DIV/0!</v>
      </c>
      <c r="AQ9" s="123" t="e">
        <f t="shared" si="4"/>
        <v>#DIV/0!</v>
      </c>
      <c r="AR9" s="123" t="e">
        <f t="shared" si="5"/>
        <v>#DIV/0!</v>
      </c>
      <c r="AS9" s="123" t="e">
        <f t="shared" si="6"/>
        <v>#DIV/0!</v>
      </c>
    </row>
    <row r="10" spans="3:45" x14ac:dyDescent="0.15">
      <c r="C10" s="150" t="s">
        <v>390</v>
      </c>
      <c r="D10" s="151"/>
      <c r="E10" s="152"/>
      <c r="F10" s="100"/>
      <c r="G10" s="101">
        <v>4000</v>
      </c>
      <c r="H10" s="101">
        <v>4500</v>
      </c>
      <c r="I10" s="101">
        <v>5500</v>
      </c>
      <c r="J10" s="101">
        <v>5500</v>
      </c>
      <c r="O10" s="84"/>
      <c r="P10" s="73"/>
      <c r="Q10" s="85"/>
      <c r="R10" s="85"/>
      <c r="S10" s="85"/>
      <c r="T10" s="86"/>
      <c r="W10" s="70">
        <v>5</v>
      </c>
      <c r="X10" s="113">
        <f>求节点(基础状态预期!$C$17:$C$37,基础状态预期!$O$17:$O$37,$W10)*P$66*INDEX($P$57:$T$57,MATCH($O$66,$P$4:$T$4,0))*求节点(基础状态预期!$C$17:$C$37,基础状态预期!$Y$17:$Y$37,$W10)+
求节点(基础状态预期!$C$17:$C$37,基础状态预期!$P$17:$P$37,$W10)*P$67*INDEX($P$57:$T$57,MATCH($O$67,$P$4:$T$4,0))*求节点(基础状态预期!$C$17:$C$37,基础状态预期!$Z$17:$Z$37,$W10)+
求节点(基础状态预期!$C$17:$C$37,基础状态预期!$Q$17:$Q$37,$W10)*P$68*INDEX($P$57:$T$57,MATCH($O$68,$P$4:$T$4,0))*求节点(基础状态预期!$C$17:$C$37,基础状态预期!$AA$17:$AA$37,$W10)+
求节点(基础状态预期!$C$17:$C$37,基础状态预期!$R$17:$R$37,$W10)*P$69*INDEX($P$57:$T$57,MATCH($O$69,$P$4:$T$4,0))*求节点(基础状态预期!$C$17:$C$37,基础状态预期!$AB$17:$AB$37,$W10)+
求节点(基础状态预期!$C$17:$C$37,基础状态预期!$S$17:$S$37,$W10)*P$70*INDEX($P$57:$T$57,MATCH($O$70,$P$4:$T$4,0))*求节点(基础状态预期!$C$17:$C$37,基础状态预期!$AC$17:$AC$37,$W10)</f>
        <v>0</v>
      </c>
      <c r="Y10" s="113">
        <f>求节点(基础状态预期!$C$43:$C$63,基础状态预期!$O$43:$O$63,$W10)*Q$66*INDEX($P$57:$T$57,MATCH($O$66,$P$4:$T$4,0))*求节点(基础状态预期!$C$43:$C$63,基础状态预期!$Y$43:$Y$63,$W10)+
求节点(基础状态预期!$C$43:$C$63,基础状态预期!$P$43:$P$63,$W10)*Q$67*INDEX($P$57:$T$57,MATCH($O$67,$P$4:$T$4,0))*求节点(基础状态预期!$C$43:$C$63,基础状态预期!$Z$43:$Z$63,$W10)+
求节点(基础状态预期!$C$43:$C$63,基础状态预期!$Q$43:$Q$63,$W10)*Q$68*INDEX($P$57:$T$57,MATCH($O$68,$P$4:$T$4,0))*求节点(基础状态预期!$C$43:$C$63,基础状态预期!$AA$43:$AA$63,$W10)+
求节点(基础状态预期!$C$43:$C$63,基础状态预期!$R$43:$R$63,$W10)*Q$69*INDEX($P$57:$T$57,MATCH($O$69,$P$4:$T$4,0))*求节点(基础状态预期!$C$43:$C$63,基础状态预期!$AB$43:$AB$63,$W10)+
求节点(基础状态预期!$C$43:$C$63,基础状态预期!$S$43:$S$63,$W10)*Q$70*INDEX($P$57:$T$57,MATCH($O$70,$P$4:$T$4,0))*求节点(基础状态预期!$C$43:$C$63,基础状态预期!$AC$43:$AC$63,$W10)</f>
        <v>0</v>
      </c>
      <c r="Z10" s="113">
        <f>求节点(基础状态预期!$C$69:$C$89,基础状态预期!$O$69:$O$89,$W10)*R$66*INDEX($P$57:$T$57,MATCH($O$66,$P$4:$T$4,0))*求节点(基础状态预期!$C$69:$C$89,基础状态预期!AA21:AA41,$W10)+
求节点(基础状态预期!$C$69:$C$89,基础状态预期!$P$69:$P$89,$W10)*R$67*INDEX($P$57:$T$57,MATCH($O$67,$P$4:$T$4,0))*求节点(基础状态预期!$C$69:$C$89,基础状态预期!$Z$69:$Z$89,$W10)+
求节点(基础状态预期!$C$69:$C$89,基础状态预期!$Q$69:$Q$89,$W10)*R$68*INDEX($P$57:$T$57,MATCH($O$68,$P$4:$T$4,0))*求节点(基础状态预期!$C$69:$C$89,基础状态预期!$AA$69:$AA$89,$W10)+
求节点(基础状态预期!$C$69:$C$89,基础状态预期!$R$69:$R$89,$W10)*R$69*INDEX($P$57:$T$57,MATCH($O$69,$P$4:$T$4,0))*求节点(基础状态预期!$C$69:$C$89,基础状态预期!$AB$69:$AB$89,$W10)+
求节点(基础状态预期!$C$69:$C$89,基础状态预期!$S$69:$S$89,$W10)*R$70*INDEX($P$57:$T$57,MATCH($O$70,$P$4:$T$4,0))*求节点(基础状态预期!$C$69:$C$89,基础状态预期!$AC$69:$AC$89,$W10)</f>
        <v>0</v>
      </c>
      <c r="AA10" s="113">
        <f>求节点(基础状态预期!$C$95:$C$115,基础状态预期!$O$95:$O$115,$W10)*S$66*INDEX($P$57:$T$57,MATCH($O$66,$P$4:$T$4,0))*求节点(基础状态预期!$C$95:$C$115,基础状态预期!$Y$95:$Y$115,$W10)+
求节点(基础状态预期!$C$95:$C$115,基础状态预期!$P$95:$P$115,$W10)*S$67*INDEX($P$57:$T$57,MATCH($O$67,$P$4:$T$4,0))*求节点(基础状态预期!$C$95:$C$115,基础状态预期!$Z$95:$Z$115,$W10)+
求节点(基础状态预期!$C$95:$C$115,基础状态预期!$Q$95:$Q$115,$W10)*S$68*INDEX($P$57:$T$57,MATCH($O$68,$P$4:$T$4,0))*求节点(基础状态预期!$C$95:$C$115,基础状态预期!$AA$95:$AA$115,$W10)+
求节点(基础状态预期!$C$95:$C$115,基础状态预期!$R$95:$R$115,$W10)*S$69*INDEX($P$57:$T$57,MATCH($O$69,$P$4:$T$4,0))*求节点(基础状态预期!$C$95:$C$115,基础状态预期!$AB$95:$AB$115,$W10)+
求节点(基础状态预期!$C$95:$C$115,基础状态预期!$S$95:$S$115,$W10)*S$70*INDEX($P$57:$T$57,MATCH($O$70,$P$4:$T$4,0))*求节点(基础状态预期!$C$95:$C$115,基础状态预期!$AC$95:$AC$115,$W10)</f>
        <v>0</v>
      </c>
      <c r="AB10" s="113">
        <f>求节点(基础状态预期!$C$121:$C$141,基础状态预期!$O$121:$O$141,$W10)*T$66*INDEX($P$57:$T$57,MATCH($O$66,$P$4:$T$4,0))*求节点(基础状态预期!$C$121:$C$141,基础状态预期!$Y$121:$Y$141,$W10)+
求节点(基础状态预期!$C$121:$C$141,基础状态预期!$P$121:$P$141,$W10)*T$67*INDEX($P$57:$T$57,MATCH($O$67,$P$4:$T$4,0))*求节点(基础状态预期!$C$121:$C$141,基础状态预期!$Z$121:$Z$141,$W10)+
求节点(基础状态预期!$C$121:$C$141,基础状态预期!$Q$121:$Q$141,$W10)*T$68*INDEX($P$57:$T$57,MATCH($O$68,$P$4:$T$4,0))*求节点(基础状态预期!$C$121:$C$141,基础状态预期!$AA$121:$AA$141,$W10)+
求节点(基础状态预期!$C$121:$C$141,基础状态预期!$R$121:$R$141,$W10)*T$69*INDEX($P$57:$T$57,MATCH($O$69,$P$4:$T$4,0))*求节点(基础状态预期!$C$121:$C$141,基础状态预期!$AB$121:$AB$141,$W10)+
求节点(基础状态预期!$C$121:$C$141,基础状态预期!$S$121:$S$141,$W10)*T$70*INDEX($P$57:$T$57,MATCH($O$70,$P$4:$T$4,0))*求节点(基础状态预期!$C$121:$C$141,基础状态预期!$AC$121:$AC$141,$W10)</f>
        <v>0</v>
      </c>
      <c r="AE10" s="70">
        <v>5</v>
      </c>
      <c r="AF10" s="113">
        <f>盗宝贼!AI9</f>
        <v>1.0684311255120322</v>
      </c>
      <c r="AG10" s="113">
        <f>盗宝贼!AJ9</f>
        <v>1.3246131053767396</v>
      </c>
      <c r="AH10" s="113">
        <f>盗宝贼!AK9</f>
        <v>1.4466183370801149</v>
      </c>
      <c r="AI10" s="113">
        <f>盗宝贼!AL9</f>
        <v>1.1744848504793548</v>
      </c>
      <c r="AJ10" s="113">
        <f>盗宝贼!AM9</f>
        <v>0.6342708799871446</v>
      </c>
      <c r="AL10" s="78">
        <f>盗宝贼!AI9/AF10</f>
        <v>1</v>
      </c>
      <c r="AM10" s="118"/>
      <c r="AO10" s="123" t="e">
        <f t="shared" si="2"/>
        <v>#DIV/0!</v>
      </c>
      <c r="AP10" s="123" t="e">
        <f t="shared" si="3"/>
        <v>#DIV/0!</v>
      </c>
      <c r="AQ10" s="123" t="e">
        <f t="shared" si="4"/>
        <v>#DIV/0!</v>
      </c>
      <c r="AR10" s="123" t="e">
        <f t="shared" si="5"/>
        <v>#DIV/0!</v>
      </c>
      <c r="AS10" s="123" t="e">
        <f t="shared" si="6"/>
        <v>#DIV/0!</v>
      </c>
    </row>
    <row r="11" spans="3:45" x14ac:dyDescent="0.15">
      <c r="C11" s="150" t="s">
        <v>392</v>
      </c>
      <c r="D11" s="151"/>
      <c r="E11" s="152"/>
      <c r="F11" s="109"/>
      <c r="G11" s="110">
        <v>850</v>
      </c>
      <c r="H11" s="110">
        <v>1000</v>
      </c>
      <c r="I11" s="110">
        <v>1350</v>
      </c>
      <c r="J11" s="110">
        <v>1350</v>
      </c>
      <c r="O11" s="84" t="s">
        <v>337</v>
      </c>
      <c r="P11" s="73"/>
      <c r="Q11" s="85">
        <v>2.5000000000000001E-2</v>
      </c>
      <c r="R11" s="85">
        <v>2.5000000000000001E-2</v>
      </c>
      <c r="S11" s="85">
        <v>2.5000000000000001E-2</v>
      </c>
      <c r="T11" s="86">
        <v>2.5000000000000001E-2</v>
      </c>
      <c r="W11" s="70">
        <v>6</v>
      </c>
      <c r="X11" s="113">
        <f>求节点(基础状态预期!$C$17:$C$37,基础状态预期!$O$17:$O$37,$W11)*P$66*INDEX($P$57:$T$57,MATCH($O$66,$P$4:$T$4,0))*求节点(基础状态预期!$C$17:$C$37,基础状态预期!$Y$17:$Y$37,$W11)+
求节点(基础状态预期!$C$17:$C$37,基础状态预期!$P$17:$P$37,$W11)*P$67*INDEX($P$57:$T$57,MATCH($O$67,$P$4:$T$4,0))*求节点(基础状态预期!$C$17:$C$37,基础状态预期!$Z$17:$Z$37,$W11)+
求节点(基础状态预期!$C$17:$C$37,基础状态预期!$Q$17:$Q$37,$W11)*P$68*INDEX($P$57:$T$57,MATCH($O$68,$P$4:$T$4,0))*求节点(基础状态预期!$C$17:$C$37,基础状态预期!$AA$17:$AA$37,$W11)+
求节点(基础状态预期!$C$17:$C$37,基础状态预期!$R$17:$R$37,$W11)*P$69*INDEX($P$57:$T$57,MATCH($O$69,$P$4:$T$4,0))*求节点(基础状态预期!$C$17:$C$37,基础状态预期!$AB$17:$AB$37,$W11)+
求节点(基础状态预期!$C$17:$C$37,基础状态预期!$S$17:$S$37,$W11)*P$70*INDEX($P$57:$T$57,MATCH($O$70,$P$4:$T$4,0))*求节点(基础状态预期!$C$17:$C$37,基础状态预期!$AC$17:$AC$37,$W11)</f>
        <v>0</v>
      </c>
      <c r="Y11" s="113">
        <f>求节点(基础状态预期!$C$43:$C$63,基础状态预期!$O$43:$O$63,$W11)*Q$66*INDEX($P$57:$T$57,MATCH($O$66,$P$4:$T$4,0))*求节点(基础状态预期!$C$43:$C$63,基础状态预期!$Y$43:$Y$63,$W11)+
求节点(基础状态预期!$C$43:$C$63,基础状态预期!$P$43:$P$63,$W11)*Q$67*INDEX($P$57:$T$57,MATCH($O$67,$P$4:$T$4,0))*求节点(基础状态预期!$C$43:$C$63,基础状态预期!$Z$43:$Z$63,$W11)+
求节点(基础状态预期!$C$43:$C$63,基础状态预期!$Q$43:$Q$63,$W11)*Q$68*INDEX($P$57:$T$57,MATCH($O$68,$P$4:$T$4,0))*求节点(基础状态预期!$C$43:$C$63,基础状态预期!$AA$43:$AA$63,$W11)+
求节点(基础状态预期!$C$43:$C$63,基础状态预期!$R$43:$R$63,$W11)*Q$69*INDEX($P$57:$T$57,MATCH($O$69,$P$4:$T$4,0))*求节点(基础状态预期!$C$43:$C$63,基础状态预期!$AB$43:$AB$63,$W11)+
求节点(基础状态预期!$C$43:$C$63,基础状态预期!$S$43:$S$63,$W11)*Q$70*INDEX($P$57:$T$57,MATCH($O$70,$P$4:$T$4,0))*求节点(基础状态预期!$C$43:$C$63,基础状态预期!$AC$43:$AC$63,$W11)</f>
        <v>0</v>
      </c>
      <c r="Z11" s="113">
        <f>求节点(基础状态预期!$C$69:$C$89,基础状态预期!$O$69:$O$89,$W11)*R$66*INDEX($P$57:$T$57,MATCH($O$66,$P$4:$T$4,0))*求节点(基础状态预期!$C$69:$C$89,基础状态预期!AA22:AA42,$W11)+
求节点(基础状态预期!$C$69:$C$89,基础状态预期!$P$69:$P$89,$W11)*R$67*INDEX($P$57:$T$57,MATCH($O$67,$P$4:$T$4,0))*求节点(基础状态预期!$C$69:$C$89,基础状态预期!$Z$69:$Z$89,$W11)+
求节点(基础状态预期!$C$69:$C$89,基础状态预期!$Q$69:$Q$89,$W11)*R$68*INDEX($P$57:$T$57,MATCH($O$68,$P$4:$T$4,0))*求节点(基础状态预期!$C$69:$C$89,基础状态预期!$AA$69:$AA$89,$W11)+
求节点(基础状态预期!$C$69:$C$89,基础状态预期!$R$69:$R$89,$W11)*R$69*INDEX($P$57:$T$57,MATCH($O$69,$P$4:$T$4,0))*求节点(基础状态预期!$C$69:$C$89,基础状态预期!$AB$69:$AB$89,$W11)+
求节点(基础状态预期!$C$69:$C$89,基础状态预期!$S$69:$S$89,$W11)*R$70*INDEX($P$57:$T$57,MATCH($O$70,$P$4:$T$4,0))*求节点(基础状态预期!$C$69:$C$89,基础状态预期!$AC$69:$AC$89,$W11)</f>
        <v>0</v>
      </c>
      <c r="AA11" s="113">
        <f>求节点(基础状态预期!$C$95:$C$115,基础状态预期!$O$95:$O$115,$W11)*S$66*INDEX($P$57:$T$57,MATCH($O$66,$P$4:$T$4,0))*求节点(基础状态预期!$C$95:$C$115,基础状态预期!$Y$95:$Y$115,$W11)+
求节点(基础状态预期!$C$95:$C$115,基础状态预期!$P$95:$P$115,$W11)*S$67*INDEX($P$57:$T$57,MATCH($O$67,$P$4:$T$4,0))*求节点(基础状态预期!$C$95:$C$115,基础状态预期!$Z$95:$Z$115,$W11)+
求节点(基础状态预期!$C$95:$C$115,基础状态预期!$Q$95:$Q$115,$W11)*S$68*INDEX($P$57:$T$57,MATCH($O$68,$P$4:$T$4,0))*求节点(基础状态预期!$C$95:$C$115,基础状态预期!$AA$95:$AA$115,$W11)+
求节点(基础状态预期!$C$95:$C$115,基础状态预期!$R$95:$R$115,$W11)*S$69*INDEX($P$57:$T$57,MATCH($O$69,$P$4:$T$4,0))*求节点(基础状态预期!$C$95:$C$115,基础状态预期!$AB$95:$AB$115,$W11)+
求节点(基础状态预期!$C$95:$C$115,基础状态预期!$S$95:$S$115,$W11)*S$70*INDEX($P$57:$T$57,MATCH($O$70,$P$4:$T$4,0))*求节点(基础状态预期!$C$95:$C$115,基础状态预期!$AC$95:$AC$115,$W11)</f>
        <v>0</v>
      </c>
      <c r="AB11" s="113">
        <f>求节点(基础状态预期!$C$121:$C$141,基础状态预期!$O$121:$O$141,$W11)*T$66*INDEX($P$57:$T$57,MATCH($O$66,$P$4:$T$4,0))*求节点(基础状态预期!$C$121:$C$141,基础状态预期!$Y$121:$Y$141,$W11)+
求节点(基础状态预期!$C$121:$C$141,基础状态预期!$P$121:$P$141,$W11)*T$67*INDEX($P$57:$T$57,MATCH($O$67,$P$4:$T$4,0))*求节点(基础状态预期!$C$121:$C$141,基础状态预期!$Z$121:$Z$141,$W11)+
求节点(基础状态预期!$C$121:$C$141,基础状态预期!$Q$121:$Q$141,$W11)*T$68*INDEX($P$57:$T$57,MATCH($O$68,$P$4:$T$4,0))*求节点(基础状态预期!$C$121:$C$141,基础状态预期!$AA$121:$AA$141,$W11)+
求节点(基础状态预期!$C$121:$C$141,基础状态预期!$R$121:$R$141,$W11)*T$69*INDEX($P$57:$T$57,MATCH($O$69,$P$4:$T$4,0))*求节点(基础状态预期!$C$121:$C$141,基础状态预期!$AB$121:$AB$141,$W11)+
求节点(基础状态预期!$C$121:$C$141,基础状态预期!$S$121:$S$141,$W11)*T$70*INDEX($P$57:$T$57,MATCH($O$70,$P$4:$T$4,0))*求节点(基础状态预期!$C$121:$C$141,基础状态预期!$AC$121:$AC$141,$W11)</f>
        <v>0</v>
      </c>
      <c r="AE11" s="70">
        <v>6</v>
      </c>
      <c r="AF11" s="113">
        <f>盗宝贼!AI10</f>
        <v>1.3687715287593001</v>
      </c>
      <c r="AG11" s="113">
        <f>盗宝贼!AJ10</f>
        <v>1.6994646746059698</v>
      </c>
      <c r="AH11" s="113">
        <f>盗宝贼!AK10</f>
        <v>1.8576104430733551</v>
      </c>
      <c r="AI11" s="113">
        <f>盗宝贼!AL10</f>
        <v>1.5152860960379919</v>
      </c>
      <c r="AJ11" s="113">
        <f>盗宝贼!AM10</f>
        <v>0.82540593104712146</v>
      </c>
      <c r="AL11" s="78">
        <f>盗宝贼!AI10/AF11</f>
        <v>1</v>
      </c>
      <c r="AM11" s="118"/>
      <c r="AO11" s="123" t="e">
        <f t="shared" si="2"/>
        <v>#DIV/0!</v>
      </c>
      <c r="AP11" s="123" t="e">
        <f t="shared" si="3"/>
        <v>#DIV/0!</v>
      </c>
      <c r="AQ11" s="123" t="e">
        <f t="shared" si="4"/>
        <v>#DIV/0!</v>
      </c>
      <c r="AR11" s="123" t="e">
        <f t="shared" si="5"/>
        <v>#DIV/0!</v>
      </c>
      <c r="AS11" s="123" t="e">
        <f t="shared" si="6"/>
        <v>#DIV/0!</v>
      </c>
    </row>
    <row r="12" spans="3:45" x14ac:dyDescent="0.15">
      <c r="O12" s="84" t="s">
        <v>338</v>
      </c>
      <c r="P12" s="73"/>
      <c r="Q12" s="85">
        <v>0.05</v>
      </c>
      <c r="R12" s="85">
        <v>0.05</v>
      </c>
      <c r="S12" s="85">
        <v>0.05</v>
      </c>
      <c r="T12" s="86">
        <v>0.05</v>
      </c>
      <c r="W12" s="70">
        <v>7</v>
      </c>
      <c r="X12" s="113">
        <f>求节点(基础状态预期!$C$17:$C$37,基础状态预期!$O$17:$O$37,$W12)*P$66*INDEX($P$57:$T$57,MATCH($O$66,$P$4:$T$4,0))*求节点(基础状态预期!$C$17:$C$37,基础状态预期!$Y$17:$Y$37,$W12)+
求节点(基础状态预期!$C$17:$C$37,基础状态预期!$P$17:$P$37,$W12)*P$67*INDEX($P$57:$T$57,MATCH($O$67,$P$4:$T$4,0))*求节点(基础状态预期!$C$17:$C$37,基础状态预期!$Z$17:$Z$37,$W12)+
求节点(基础状态预期!$C$17:$C$37,基础状态预期!$Q$17:$Q$37,$W12)*P$68*INDEX($P$57:$T$57,MATCH($O$68,$P$4:$T$4,0))*求节点(基础状态预期!$C$17:$C$37,基础状态预期!$AA$17:$AA$37,$W12)+
求节点(基础状态预期!$C$17:$C$37,基础状态预期!$R$17:$R$37,$W12)*P$69*INDEX($P$57:$T$57,MATCH($O$69,$P$4:$T$4,0))*求节点(基础状态预期!$C$17:$C$37,基础状态预期!$AB$17:$AB$37,$W12)+
求节点(基础状态预期!$C$17:$C$37,基础状态预期!$S$17:$S$37,$W12)*P$70*INDEX($P$57:$T$57,MATCH($O$70,$P$4:$T$4,0))*求节点(基础状态预期!$C$17:$C$37,基础状态预期!$AC$17:$AC$37,$W12)</f>
        <v>0</v>
      </c>
      <c r="Y12" s="113">
        <f>求节点(基础状态预期!$C$43:$C$63,基础状态预期!$O$43:$O$63,$W12)*Q$66*INDEX($P$57:$T$57,MATCH($O$66,$P$4:$T$4,0))*求节点(基础状态预期!$C$43:$C$63,基础状态预期!$Y$43:$Y$63,$W12)+
求节点(基础状态预期!$C$43:$C$63,基础状态预期!$P$43:$P$63,$W12)*Q$67*INDEX($P$57:$T$57,MATCH($O$67,$P$4:$T$4,0))*求节点(基础状态预期!$C$43:$C$63,基础状态预期!$Z$43:$Z$63,$W12)+
求节点(基础状态预期!$C$43:$C$63,基础状态预期!$Q$43:$Q$63,$W12)*Q$68*INDEX($P$57:$T$57,MATCH($O$68,$P$4:$T$4,0))*求节点(基础状态预期!$C$43:$C$63,基础状态预期!$AA$43:$AA$63,$W12)+
求节点(基础状态预期!$C$43:$C$63,基础状态预期!$R$43:$R$63,$W12)*Q$69*INDEX($P$57:$T$57,MATCH($O$69,$P$4:$T$4,0))*求节点(基础状态预期!$C$43:$C$63,基础状态预期!$AB$43:$AB$63,$W12)+
求节点(基础状态预期!$C$43:$C$63,基础状态预期!$S$43:$S$63,$W12)*Q$70*INDEX($P$57:$T$57,MATCH($O$70,$P$4:$T$4,0))*求节点(基础状态预期!$C$43:$C$63,基础状态预期!$AC$43:$AC$63,$W12)</f>
        <v>0</v>
      </c>
      <c r="Z12" s="113">
        <f>求节点(基础状态预期!$C$69:$C$89,基础状态预期!$O$69:$O$89,$W12)*R$66*INDEX($P$57:$T$57,MATCH($O$66,$P$4:$T$4,0))*求节点(基础状态预期!$C$69:$C$89,基础状态预期!AA23:AA43,$W12)+
求节点(基础状态预期!$C$69:$C$89,基础状态预期!$P$69:$P$89,$W12)*R$67*INDEX($P$57:$T$57,MATCH($O$67,$P$4:$T$4,0))*求节点(基础状态预期!$C$69:$C$89,基础状态预期!$Z$69:$Z$89,$W12)+
求节点(基础状态预期!$C$69:$C$89,基础状态预期!$Q$69:$Q$89,$W12)*R$68*INDEX($P$57:$T$57,MATCH($O$68,$P$4:$T$4,0))*求节点(基础状态预期!$C$69:$C$89,基础状态预期!$AA$69:$AA$89,$W12)+
求节点(基础状态预期!$C$69:$C$89,基础状态预期!$R$69:$R$89,$W12)*R$69*INDEX($P$57:$T$57,MATCH($O$69,$P$4:$T$4,0))*求节点(基础状态预期!$C$69:$C$89,基础状态预期!$AB$69:$AB$89,$W12)+
求节点(基础状态预期!$C$69:$C$89,基础状态预期!$S$69:$S$89,$W12)*R$70*INDEX($P$57:$T$57,MATCH($O$70,$P$4:$T$4,0))*求节点(基础状态预期!$C$69:$C$89,基础状态预期!$AC$69:$AC$89,$W12)</f>
        <v>0</v>
      </c>
      <c r="AA12" s="113">
        <f>求节点(基础状态预期!$C$95:$C$115,基础状态预期!$O$95:$O$115,$W12)*S$66*INDEX($P$57:$T$57,MATCH($O$66,$P$4:$T$4,0))*求节点(基础状态预期!$C$95:$C$115,基础状态预期!$Y$95:$Y$115,$W12)+
求节点(基础状态预期!$C$95:$C$115,基础状态预期!$P$95:$P$115,$W12)*S$67*INDEX($P$57:$T$57,MATCH($O$67,$P$4:$T$4,0))*求节点(基础状态预期!$C$95:$C$115,基础状态预期!$Z$95:$Z$115,$W12)+
求节点(基础状态预期!$C$95:$C$115,基础状态预期!$Q$95:$Q$115,$W12)*S$68*INDEX($P$57:$T$57,MATCH($O$68,$P$4:$T$4,0))*求节点(基础状态预期!$C$95:$C$115,基础状态预期!$AA$95:$AA$115,$W12)+
求节点(基础状态预期!$C$95:$C$115,基础状态预期!$R$95:$R$115,$W12)*S$69*INDEX($P$57:$T$57,MATCH($O$69,$P$4:$T$4,0))*求节点(基础状态预期!$C$95:$C$115,基础状态预期!$AB$95:$AB$115,$W12)+
求节点(基础状态预期!$C$95:$C$115,基础状态预期!$S$95:$S$115,$W12)*S$70*INDEX($P$57:$T$57,MATCH($O$70,$P$4:$T$4,0))*求节点(基础状态预期!$C$95:$C$115,基础状态预期!$AC$95:$AC$115,$W12)</f>
        <v>0</v>
      </c>
      <c r="AB12" s="113">
        <f>求节点(基础状态预期!$C$121:$C$141,基础状态预期!$O$121:$O$141,$W12)*T$66*INDEX($P$57:$T$57,MATCH($O$66,$P$4:$T$4,0))*求节点(基础状态预期!$C$121:$C$141,基础状态预期!$Y$121:$Y$141,$W12)+
求节点(基础状态预期!$C$121:$C$141,基础状态预期!$P$121:$P$141,$W12)*T$67*INDEX($P$57:$T$57,MATCH($O$67,$P$4:$T$4,0))*求节点(基础状态预期!$C$121:$C$141,基础状态预期!$Z$121:$Z$141,$W12)+
求节点(基础状态预期!$C$121:$C$141,基础状态预期!$Q$121:$Q$141,$W12)*T$68*INDEX($P$57:$T$57,MATCH($O$68,$P$4:$T$4,0))*求节点(基础状态预期!$C$121:$C$141,基础状态预期!$AA$121:$AA$141,$W12)+
求节点(基础状态预期!$C$121:$C$141,基础状态预期!$R$121:$R$141,$W12)*T$69*INDEX($P$57:$T$57,MATCH($O$69,$P$4:$T$4,0))*求节点(基础状态预期!$C$121:$C$141,基础状态预期!$AB$121:$AB$141,$W12)+
求节点(基础状态预期!$C$121:$C$141,基础状态预期!$S$121:$S$141,$W12)*T$70*INDEX($P$57:$T$57,MATCH($O$70,$P$4:$T$4,0))*求节点(基础状态预期!$C$121:$C$141,基础状态预期!$AC$121:$AC$141,$W12)</f>
        <v>0</v>
      </c>
      <c r="AE12" s="70">
        <v>7</v>
      </c>
      <c r="AF12" s="113">
        <f>盗宝贼!AI11</f>
        <v>1.7067632463835651</v>
      </c>
      <c r="AG12" s="113">
        <f>盗宝贼!AJ11</f>
        <v>2.1282236029223034</v>
      </c>
      <c r="AH12" s="113">
        <f>盗宝贼!AK11</f>
        <v>2.3330322181083099</v>
      </c>
      <c r="AI12" s="113">
        <f>盗宝贼!AL11</f>
        <v>1.8986115955065637</v>
      </c>
      <c r="AJ12" s="113">
        <f>盗宝贼!AM11</f>
        <v>1.02454734870259</v>
      </c>
      <c r="AL12" s="78">
        <f>盗宝贼!AI11/AF12</f>
        <v>1</v>
      </c>
      <c r="AM12" s="118"/>
      <c r="AO12" s="123" t="e">
        <f t="shared" si="2"/>
        <v>#DIV/0!</v>
      </c>
      <c r="AP12" s="123" t="e">
        <f t="shared" si="3"/>
        <v>#DIV/0!</v>
      </c>
      <c r="AQ12" s="123" t="e">
        <f t="shared" si="4"/>
        <v>#DIV/0!</v>
      </c>
      <c r="AR12" s="123" t="e">
        <f t="shared" si="5"/>
        <v>#DIV/0!</v>
      </c>
      <c r="AS12" s="123" t="e">
        <f t="shared" si="6"/>
        <v>#DIV/0!</v>
      </c>
    </row>
    <row r="13" spans="3:45" x14ac:dyDescent="0.15">
      <c r="F13" s="139" t="s">
        <v>314</v>
      </c>
      <c r="G13" s="139"/>
      <c r="H13" s="139"/>
      <c r="I13" s="139"/>
      <c r="J13" s="139"/>
      <c r="O13" s="84" t="s">
        <v>328</v>
      </c>
      <c r="P13" s="73"/>
      <c r="Q13" s="85">
        <v>0.8</v>
      </c>
      <c r="R13" s="85">
        <v>0.7</v>
      </c>
      <c r="S13" s="85">
        <v>0.6</v>
      </c>
      <c r="T13" s="86">
        <v>0.5</v>
      </c>
      <c r="W13" s="70">
        <v>8</v>
      </c>
      <c r="X13" s="113">
        <f>求节点(基础状态预期!$C$17:$C$37,基础状态预期!$O$17:$O$37,$W13)*P$66*INDEX($P$57:$T$57,MATCH($O$66,$P$4:$T$4,0))*求节点(基础状态预期!$C$17:$C$37,基础状态预期!$Y$17:$Y$37,$W13)+
求节点(基础状态预期!$C$17:$C$37,基础状态预期!$P$17:$P$37,$W13)*P$67*INDEX($P$57:$T$57,MATCH($O$67,$P$4:$T$4,0))*求节点(基础状态预期!$C$17:$C$37,基础状态预期!$Z$17:$Z$37,$W13)+
求节点(基础状态预期!$C$17:$C$37,基础状态预期!$Q$17:$Q$37,$W13)*P$68*INDEX($P$57:$T$57,MATCH($O$68,$P$4:$T$4,0))*求节点(基础状态预期!$C$17:$C$37,基础状态预期!$AA$17:$AA$37,$W13)+
求节点(基础状态预期!$C$17:$C$37,基础状态预期!$R$17:$R$37,$W13)*P$69*INDEX($P$57:$T$57,MATCH($O$69,$P$4:$T$4,0))*求节点(基础状态预期!$C$17:$C$37,基础状态预期!$AB$17:$AB$37,$W13)+
求节点(基础状态预期!$C$17:$C$37,基础状态预期!$S$17:$S$37,$W13)*P$70*INDEX($P$57:$T$57,MATCH($O$70,$P$4:$T$4,0))*求节点(基础状态预期!$C$17:$C$37,基础状态预期!$AC$17:$AC$37,$W13)</f>
        <v>0</v>
      </c>
      <c r="Y13" s="113">
        <f>求节点(基础状态预期!$C$43:$C$63,基础状态预期!$O$43:$O$63,$W13)*Q$66*INDEX($P$57:$T$57,MATCH($O$66,$P$4:$T$4,0))*求节点(基础状态预期!$C$43:$C$63,基础状态预期!$Y$43:$Y$63,$W13)+
求节点(基础状态预期!$C$43:$C$63,基础状态预期!$P$43:$P$63,$W13)*Q$67*INDEX($P$57:$T$57,MATCH($O$67,$P$4:$T$4,0))*求节点(基础状态预期!$C$43:$C$63,基础状态预期!$Z$43:$Z$63,$W13)+
求节点(基础状态预期!$C$43:$C$63,基础状态预期!$Q$43:$Q$63,$W13)*Q$68*INDEX($P$57:$T$57,MATCH($O$68,$P$4:$T$4,0))*求节点(基础状态预期!$C$43:$C$63,基础状态预期!$AA$43:$AA$63,$W13)+
求节点(基础状态预期!$C$43:$C$63,基础状态预期!$R$43:$R$63,$W13)*Q$69*INDEX($P$57:$T$57,MATCH($O$69,$P$4:$T$4,0))*求节点(基础状态预期!$C$43:$C$63,基础状态预期!$AB$43:$AB$63,$W13)+
求节点(基础状态预期!$C$43:$C$63,基础状态预期!$S$43:$S$63,$W13)*Q$70*INDEX($P$57:$T$57,MATCH($O$70,$P$4:$T$4,0))*求节点(基础状态预期!$C$43:$C$63,基础状态预期!$AC$43:$AC$63,$W13)</f>
        <v>0</v>
      </c>
      <c r="Z13" s="113">
        <f>求节点(基础状态预期!$C$69:$C$89,基础状态预期!$O$69:$O$89,$W13)*R$66*INDEX($P$57:$T$57,MATCH($O$66,$P$4:$T$4,0))*求节点(基础状态预期!$C$69:$C$89,基础状态预期!AA24:AA44,$W13)+
求节点(基础状态预期!$C$69:$C$89,基础状态预期!$P$69:$P$89,$W13)*R$67*INDEX($P$57:$T$57,MATCH($O$67,$P$4:$T$4,0))*求节点(基础状态预期!$C$69:$C$89,基础状态预期!$Z$69:$Z$89,$W13)+
求节点(基础状态预期!$C$69:$C$89,基础状态预期!$Q$69:$Q$89,$W13)*R$68*INDEX($P$57:$T$57,MATCH($O$68,$P$4:$T$4,0))*求节点(基础状态预期!$C$69:$C$89,基础状态预期!$AA$69:$AA$89,$W13)+
求节点(基础状态预期!$C$69:$C$89,基础状态预期!$R$69:$R$89,$W13)*R$69*INDEX($P$57:$T$57,MATCH($O$69,$P$4:$T$4,0))*求节点(基础状态预期!$C$69:$C$89,基础状态预期!$AB$69:$AB$89,$W13)+
求节点(基础状态预期!$C$69:$C$89,基础状态预期!$S$69:$S$89,$W13)*R$70*INDEX($P$57:$T$57,MATCH($O$70,$P$4:$T$4,0))*求节点(基础状态预期!$C$69:$C$89,基础状态预期!$AC$69:$AC$89,$W13)</f>
        <v>0</v>
      </c>
      <c r="AA13" s="113">
        <f>求节点(基础状态预期!$C$95:$C$115,基础状态预期!$O$95:$O$115,$W13)*S$66*INDEX($P$57:$T$57,MATCH($O$66,$P$4:$T$4,0))*求节点(基础状态预期!$C$95:$C$115,基础状态预期!$Y$95:$Y$115,$W13)+
求节点(基础状态预期!$C$95:$C$115,基础状态预期!$P$95:$P$115,$W13)*S$67*INDEX($P$57:$T$57,MATCH($O$67,$P$4:$T$4,0))*求节点(基础状态预期!$C$95:$C$115,基础状态预期!$Z$95:$Z$115,$W13)+
求节点(基础状态预期!$C$95:$C$115,基础状态预期!$Q$95:$Q$115,$W13)*S$68*INDEX($P$57:$T$57,MATCH($O$68,$P$4:$T$4,0))*求节点(基础状态预期!$C$95:$C$115,基础状态预期!$AA$95:$AA$115,$W13)+
求节点(基础状态预期!$C$95:$C$115,基础状态预期!$R$95:$R$115,$W13)*S$69*INDEX($P$57:$T$57,MATCH($O$69,$P$4:$T$4,0))*求节点(基础状态预期!$C$95:$C$115,基础状态预期!$AB$95:$AB$115,$W13)+
求节点(基础状态预期!$C$95:$C$115,基础状态预期!$S$95:$S$115,$W13)*S$70*INDEX($P$57:$T$57,MATCH($O$70,$P$4:$T$4,0))*求节点(基础状态预期!$C$95:$C$115,基础状态预期!$AC$95:$AC$115,$W13)</f>
        <v>0</v>
      </c>
      <c r="AB13" s="113">
        <f>求节点(基础状态预期!$C$121:$C$141,基础状态预期!$O$121:$O$141,$W13)*T$66*INDEX($P$57:$T$57,MATCH($O$66,$P$4:$T$4,0))*求节点(基础状态预期!$C$121:$C$141,基础状态预期!$Y$121:$Y$141,$W13)+
求节点(基础状态预期!$C$121:$C$141,基础状态预期!$P$121:$P$141,$W13)*T$67*INDEX($P$57:$T$57,MATCH($O$67,$P$4:$T$4,0))*求节点(基础状态预期!$C$121:$C$141,基础状态预期!$Z$121:$Z$141,$W13)+
求节点(基础状态预期!$C$121:$C$141,基础状态预期!$Q$121:$Q$141,$W13)*T$68*INDEX($P$57:$T$57,MATCH($O$68,$P$4:$T$4,0))*求节点(基础状态预期!$C$121:$C$141,基础状态预期!$AA$121:$AA$141,$W13)+
求节点(基础状态预期!$C$121:$C$141,基础状态预期!$R$121:$R$141,$W13)*T$69*INDEX($P$57:$T$57,MATCH($O$69,$P$4:$T$4,0))*求节点(基础状态预期!$C$121:$C$141,基础状态预期!$AB$121:$AB$141,$W13)+
求节点(基础状态预期!$C$121:$C$141,基础状态预期!$S$121:$S$141,$W13)*T$70*INDEX($P$57:$T$57,MATCH($O$70,$P$4:$T$4,0))*求节点(基础状态预期!$C$121:$C$141,基础状态预期!$AC$121:$AC$141,$W13)</f>
        <v>0</v>
      </c>
      <c r="AE13" s="70">
        <v>8</v>
      </c>
      <c r="AF13" s="113">
        <f>盗宝贼!AI12</f>
        <v>2.0871263275656506</v>
      </c>
      <c r="AG13" s="113">
        <f>盗宝贼!AJ12</f>
        <v>2.5879805143115702</v>
      </c>
      <c r="AH13" s="113">
        <f>盗宝贼!AK12</f>
        <v>2.8156534532455177</v>
      </c>
      <c r="AI13" s="113">
        <f>盗宝贼!AL12</f>
        <v>2.2817289691501683</v>
      </c>
      <c r="AJ13" s="113">
        <f>盗宝贼!AM12</f>
        <v>1.2349643745752461</v>
      </c>
      <c r="AL13" s="78">
        <f>盗宝贼!AI12/AF13</f>
        <v>1</v>
      </c>
      <c r="AM13" s="118"/>
      <c r="AO13" s="123" t="e">
        <f t="shared" si="2"/>
        <v>#DIV/0!</v>
      </c>
      <c r="AP13" s="123" t="e">
        <f t="shared" si="3"/>
        <v>#DIV/0!</v>
      </c>
      <c r="AQ13" s="123" t="e">
        <f t="shared" si="4"/>
        <v>#DIV/0!</v>
      </c>
      <c r="AR13" s="123" t="e">
        <f t="shared" si="5"/>
        <v>#DIV/0!</v>
      </c>
      <c r="AS13" s="123" t="e">
        <f t="shared" si="6"/>
        <v>#DIV/0!</v>
      </c>
    </row>
    <row r="14" spans="3:45" x14ac:dyDescent="0.15">
      <c r="C14" s="66" t="s">
        <v>312</v>
      </c>
      <c r="D14" s="66" t="s">
        <v>311</v>
      </c>
      <c r="E14" s="66" t="s">
        <v>322</v>
      </c>
      <c r="F14" s="66" t="s">
        <v>82</v>
      </c>
      <c r="G14" s="78" t="s">
        <v>79</v>
      </c>
      <c r="H14" s="78" t="s">
        <v>80</v>
      </c>
      <c r="I14" s="78" t="s">
        <v>81</v>
      </c>
      <c r="J14" s="78" t="s">
        <v>217</v>
      </c>
      <c r="O14" s="84"/>
      <c r="P14" s="73"/>
      <c r="Q14" s="85"/>
      <c r="R14" s="85"/>
      <c r="S14" s="85"/>
      <c r="T14" s="86"/>
      <c r="W14" s="70">
        <v>9</v>
      </c>
      <c r="X14" s="113">
        <f>求节点(基础状态预期!$C$17:$C$37,基础状态预期!$O$17:$O$37,$W14)*P$66*INDEX($P$57:$T$57,MATCH($O$66,$P$4:$T$4,0))*求节点(基础状态预期!$C$17:$C$37,基础状态预期!$Y$17:$Y$37,$W14)+
求节点(基础状态预期!$C$17:$C$37,基础状态预期!$P$17:$P$37,$W14)*P$67*INDEX($P$57:$T$57,MATCH($O$67,$P$4:$T$4,0))*求节点(基础状态预期!$C$17:$C$37,基础状态预期!$Z$17:$Z$37,$W14)+
求节点(基础状态预期!$C$17:$C$37,基础状态预期!$Q$17:$Q$37,$W14)*P$68*INDEX($P$57:$T$57,MATCH($O$68,$P$4:$T$4,0))*求节点(基础状态预期!$C$17:$C$37,基础状态预期!$AA$17:$AA$37,$W14)+
求节点(基础状态预期!$C$17:$C$37,基础状态预期!$R$17:$R$37,$W14)*P$69*INDEX($P$57:$T$57,MATCH($O$69,$P$4:$T$4,0))*求节点(基础状态预期!$C$17:$C$37,基础状态预期!$AB$17:$AB$37,$W14)+
求节点(基础状态预期!$C$17:$C$37,基础状态预期!$S$17:$S$37,$W14)*P$70*INDEX($P$57:$T$57,MATCH($O$70,$P$4:$T$4,0))*求节点(基础状态预期!$C$17:$C$37,基础状态预期!$AC$17:$AC$37,$W14)</f>
        <v>0</v>
      </c>
      <c r="Y14" s="113">
        <f>求节点(基础状态预期!$C$43:$C$63,基础状态预期!$O$43:$O$63,$W14)*Q$66*INDEX($P$57:$T$57,MATCH($O$66,$P$4:$T$4,0))*求节点(基础状态预期!$C$43:$C$63,基础状态预期!$Y$43:$Y$63,$W14)+
求节点(基础状态预期!$C$43:$C$63,基础状态预期!$P$43:$P$63,$W14)*Q$67*INDEX($P$57:$T$57,MATCH($O$67,$P$4:$T$4,0))*求节点(基础状态预期!$C$43:$C$63,基础状态预期!$Z$43:$Z$63,$W14)+
求节点(基础状态预期!$C$43:$C$63,基础状态预期!$Q$43:$Q$63,$W14)*Q$68*INDEX($P$57:$T$57,MATCH($O$68,$P$4:$T$4,0))*求节点(基础状态预期!$C$43:$C$63,基础状态预期!$AA$43:$AA$63,$W14)+
求节点(基础状态预期!$C$43:$C$63,基础状态预期!$R$43:$R$63,$W14)*Q$69*INDEX($P$57:$T$57,MATCH($O$69,$P$4:$T$4,0))*求节点(基础状态预期!$C$43:$C$63,基础状态预期!$AB$43:$AB$63,$W14)+
求节点(基础状态预期!$C$43:$C$63,基础状态预期!$S$43:$S$63,$W14)*Q$70*INDEX($P$57:$T$57,MATCH($O$70,$P$4:$T$4,0))*求节点(基础状态预期!$C$43:$C$63,基础状态预期!$AC$43:$AC$63,$W14)</f>
        <v>0</v>
      </c>
      <c r="Z14" s="113">
        <f>求节点(基础状态预期!$C$69:$C$89,基础状态预期!$O$69:$O$89,$W14)*R$66*INDEX($P$57:$T$57,MATCH($O$66,$P$4:$T$4,0))*求节点(基础状态预期!$C$69:$C$89,基础状态预期!AA25:AA45,$W14)+
求节点(基础状态预期!$C$69:$C$89,基础状态预期!$P$69:$P$89,$W14)*R$67*INDEX($P$57:$T$57,MATCH($O$67,$P$4:$T$4,0))*求节点(基础状态预期!$C$69:$C$89,基础状态预期!$Z$69:$Z$89,$W14)+
求节点(基础状态预期!$C$69:$C$89,基础状态预期!$Q$69:$Q$89,$W14)*R$68*INDEX($P$57:$T$57,MATCH($O$68,$P$4:$T$4,0))*求节点(基础状态预期!$C$69:$C$89,基础状态预期!$AA$69:$AA$89,$W14)+
求节点(基础状态预期!$C$69:$C$89,基础状态预期!$R$69:$R$89,$W14)*R$69*INDEX($P$57:$T$57,MATCH($O$69,$P$4:$T$4,0))*求节点(基础状态预期!$C$69:$C$89,基础状态预期!$AB$69:$AB$89,$W14)+
求节点(基础状态预期!$C$69:$C$89,基础状态预期!$S$69:$S$89,$W14)*R$70*INDEX($P$57:$T$57,MATCH($O$70,$P$4:$T$4,0))*求节点(基础状态预期!$C$69:$C$89,基础状态预期!$AC$69:$AC$89,$W14)</f>
        <v>0</v>
      </c>
      <c r="AA14" s="113">
        <f>求节点(基础状态预期!$C$95:$C$115,基础状态预期!$O$95:$O$115,$W14)*S$66*INDEX($P$57:$T$57,MATCH($O$66,$P$4:$T$4,0))*求节点(基础状态预期!$C$95:$C$115,基础状态预期!$Y$95:$Y$115,$W14)+
求节点(基础状态预期!$C$95:$C$115,基础状态预期!$P$95:$P$115,$W14)*S$67*INDEX($P$57:$T$57,MATCH($O$67,$P$4:$T$4,0))*求节点(基础状态预期!$C$95:$C$115,基础状态预期!$Z$95:$Z$115,$W14)+
求节点(基础状态预期!$C$95:$C$115,基础状态预期!$Q$95:$Q$115,$W14)*S$68*INDEX($P$57:$T$57,MATCH($O$68,$P$4:$T$4,0))*求节点(基础状态预期!$C$95:$C$115,基础状态预期!$AA$95:$AA$115,$W14)+
求节点(基础状态预期!$C$95:$C$115,基础状态预期!$R$95:$R$115,$W14)*S$69*INDEX($P$57:$T$57,MATCH($O$69,$P$4:$T$4,0))*求节点(基础状态预期!$C$95:$C$115,基础状态预期!$AB$95:$AB$115,$W14)+
求节点(基础状态预期!$C$95:$C$115,基础状态预期!$S$95:$S$115,$W14)*S$70*INDEX($P$57:$T$57,MATCH($O$70,$P$4:$T$4,0))*求节点(基础状态预期!$C$95:$C$115,基础状态预期!$AC$95:$AC$115,$W14)</f>
        <v>0</v>
      </c>
      <c r="AB14" s="113">
        <f>求节点(基础状态预期!$C$121:$C$141,基础状态预期!$O$121:$O$141,$W14)*T$66*INDEX($P$57:$T$57,MATCH($O$66,$P$4:$T$4,0))*求节点(基础状态预期!$C$121:$C$141,基础状态预期!$Y$121:$Y$141,$W14)+
求节点(基础状态预期!$C$121:$C$141,基础状态预期!$P$121:$P$141,$W14)*T$67*INDEX($P$57:$T$57,MATCH($O$67,$P$4:$T$4,0))*求节点(基础状态预期!$C$121:$C$141,基础状态预期!$Z$121:$Z$141,$W14)+
求节点(基础状态预期!$C$121:$C$141,基础状态预期!$Q$121:$Q$141,$W14)*T$68*INDEX($P$57:$T$57,MATCH($O$68,$P$4:$T$4,0))*求节点(基础状态预期!$C$121:$C$141,基础状态预期!$AA$121:$AA$141,$W14)+
求节点(基础状态预期!$C$121:$C$141,基础状态预期!$R$121:$R$141,$W14)*T$69*INDEX($P$57:$T$57,MATCH($O$69,$P$4:$T$4,0))*求节点(基础状态预期!$C$121:$C$141,基础状态预期!$AB$121:$AB$141,$W14)+
求节点(基础状态预期!$C$121:$C$141,基础状态预期!$S$121:$S$141,$W14)*T$70*INDEX($P$57:$T$57,MATCH($O$70,$P$4:$T$4,0))*求节点(基础状态预期!$C$121:$C$141,基础状态预期!$AC$121:$AC$141,$W14)</f>
        <v>0</v>
      </c>
      <c r="AE14" s="70">
        <v>9</v>
      </c>
      <c r="AF14" s="113">
        <f>盗宝贼!AI13</f>
        <v>2.5151725369321221</v>
      </c>
      <c r="AG14" s="113">
        <f>盗宝贼!AJ13</f>
        <v>3.117434568859053</v>
      </c>
      <c r="AH14" s="113">
        <f>盗宝贼!AK13</f>
        <v>3.4073316417855564</v>
      </c>
      <c r="AI14" s="113">
        <f>盗宝贼!AL13</f>
        <v>2.7857062113711404</v>
      </c>
      <c r="AJ14" s="113">
        <f>盗宝贼!AM13</f>
        <v>1.512100293216573</v>
      </c>
      <c r="AL14" s="78">
        <f>盗宝贼!AI13/AF14</f>
        <v>1</v>
      </c>
      <c r="AM14" s="118"/>
      <c r="AO14" s="123" t="e">
        <f t="shared" si="2"/>
        <v>#DIV/0!</v>
      </c>
      <c r="AP14" s="123" t="e">
        <f t="shared" si="3"/>
        <v>#DIV/0!</v>
      </c>
      <c r="AQ14" s="123" t="e">
        <f t="shared" si="4"/>
        <v>#DIV/0!</v>
      </c>
      <c r="AR14" s="123" t="e">
        <f t="shared" si="5"/>
        <v>#DIV/0!</v>
      </c>
      <c r="AS14" s="123" t="e">
        <f t="shared" si="6"/>
        <v>#DIV/0!</v>
      </c>
    </row>
    <row r="15" spans="3:45" x14ac:dyDescent="0.15">
      <c r="C15" s="66">
        <v>1</v>
      </c>
      <c r="D15" s="66" t="str">
        <f>INDEX(宝物鉴赏!$L$8:$AC$8,MATCH(C15,宝物鉴赏!$L$1:$AC$1,0))</f>
        <v>武将攻击%</v>
      </c>
      <c r="E15" s="66">
        <v>2</v>
      </c>
      <c r="G15" s="78">
        <f>G$5*$E15/G$6</f>
        <v>0.12</v>
      </c>
      <c r="H15" s="78">
        <f t="shared" ref="H15:J16" si="7">H$5*$E15/H$6</f>
        <v>0.12</v>
      </c>
      <c r="I15" s="78">
        <f t="shared" si="7"/>
        <v>0.12</v>
      </c>
      <c r="J15" s="78">
        <f t="shared" si="7"/>
        <v>0.13999999999999999</v>
      </c>
      <c r="O15" s="84" t="s">
        <v>329</v>
      </c>
      <c r="P15" s="73"/>
      <c r="Q15" s="85">
        <v>0</v>
      </c>
      <c r="R15" s="85">
        <v>2.5000000000000001E-2</v>
      </c>
      <c r="S15" s="85">
        <v>0.05</v>
      </c>
      <c r="T15" s="86">
        <v>0.1</v>
      </c>
      <c r="W15" s="70">
        <v>10</v>
      </c>
      <c r="X15" s="113">
        <f>求节点(基础状态预期!$C$17:$C$37,基础状态预期!$O$17:$O$37,$W15)*P$66*INDEX($P$57:$T$57,MATCH($O$66,$P$4:$T$4,0))*求节点(基础状态预期!$C$17:$C$37,基础状态预期!$Y$17:$Y$37,$W15)+
求节点(基础状态预期!$C$17:$C$37,基础状态预期!$P$17:$P$37,$W15)*P$67*INDEX($P$57:$T$57,MATCH($O$67,$P$4:$T$4,0))*求节点(基础状态预期!$C$17:$C$37,基础状态预期!$Z$17:$Z$37,$W15)+
求节点(基础状态预期!$C$17:$C$37,基础状态预期!$Q$17:$Q$37,$W15)*P$68*INDEX($P$57:$T$57,MATCH($O$68,$P$4:$T$4,0))*求节点(基础状态预期!$C$17:$C$37,基础状态预期!$AA$17:$AA$37,$W15)+
求节点(基础状态预期!$C$17:$C$37,基础状态预期!$R$17:$R$37,$W15)*P$69*INDEX($P$57:$T$57,MATCH($O$69,$P$4:$T$4,0))*求节点(基础状态预期!$C$17:$C$37,基础状态预期!$AB$17:$AB$37,$W15)+
求节点(基础状态预期!$C$17:$C$37,基础状态预期!$S$17:$S$37,$W15)*P$70*INDEX($P$57:$T$57,MATCH($O$70,$P$4:$T$4,0))*求节点(基础状态预期!$C$17:$C$37,基础状态预期!$AC$17:$AC$37,$W15)</f>
        <v>0</v>
      </c>
      <c r="Y15" s="113">
        <f>求节点(基础状态预期!$C$43:$C$63,基础状态预期!$O$43:$O$63,$W15)*Q$66*INDEX($P$57:$T$57,MATCH($O$66,$P$4:$T$4,0))*求节点(基础状态预期!$C$43:$C$63,基础状态预期!$Y$43:$Y$63,$W15)+
求节点(基础状态预期!$C$43:$C$63,基础状态预期!$P$43:$P$63,$W15)*Q$67*INDEX($P$57:$T$57,MATCH($O$67,$P$4:$T$4,0))*求节点(基础状态预期!$C$43:$C$63,基础状态预期!$Z$43:$Z$63,$W15)+
求节点(基础状态预期!$C$43:$C$63,基础状态预期!$Q$43:$Q$63,$W15)*Q$68*INDEX($P$57:$T$57,MATCH($O$68,$P$4:$T$4,0))*求节点(基础状态预期!$C$43:$C$63,基础状态预期!$AA$43:$AA$63,$W15)+
求节点(基础状态预期!$C$43:$C$63,基础状态预期!$R$43:$R$63,$W15)*Q$69*INDEX($P$57:$T$57,MATCH($O$69,$P$4:$T$4,0))*求节点(基础状态预期!$C$43:$C$63,基础状态预期!$AB$43:$AB$63,$W15)+
求节点(基础状态预期!$C$43:$C$63,基础状态预期!$S$43:$S$63,$W15)*Q$70*INDEX($P$57:$T$57,MATCH($O$70,$P$4:$T$4,0))*求节点(基础状态预期!$C$43:$C$63,基础状态预期!$AC$43:$AC$63,$W15)</f>
        <v>0</v>
      </c>
      <c r="Z15" s="113">
        <f>求节点(基础状态预期!$C$69:$C$89,基础状态预期!$O$69:$O$89,$W15)*R$66*INDEX($P$57:$T$57,MATCH($O$66,$P$4:$T$4,0))*求节点(基础状态预期!$C$69:$C$89,基础状态预期!AA26:AA46,$W15)+
求节点(基础状态预期!$C$69:$C$89,基础状态预期!$P$69:$P$89,$W15)*R$67*INDEX($P$57:$T$57,MATCH($O$67,$P$4:$T$4,0))*求节点(基础状态预期!$C$69:$C$89,基础状态预期!$Z$69:$Z$89,$W15)+
求节点(基础状态预期!$C$69:$C$89,基础状态预期!$Q$69:$Q$89,$W15)*R$68*INDEX($P$57:$T$57,MATCH($O$68,$P$4:$T$4,0))*求节点(基础状态预期!$C$69:$C$89,基础状态预期!$AA$69:$AA$89,$W15)+
求节点(基础状态预期!$C$69:$C$89,基础状态预期!$R$69:$R$89,$W15)*R$69*INDEX($P$57:$T$57,MATCH($O$69,$P$4:$T$4,0))*求节点(基础状态预期!$C$69:$C$89,基础状态预期!$AB$69:$AB$89,$W15)+
求节点(基础状态预期!$C$69:$C$89,基础状态预期!$S$69:$S$89,$W15)*R$70*INDEX($P$57:$T$57,MATCH($O$70,$P$4:$T$4,0))*求节点(基础状态预期!$C$69:$C$89,基础状态预期!$AC$69:$AC$89,$W15)</f>
        <v>0</v>
      </c>
      <c r="AA15" s="113">
        <f>求节点(基础状态预期!$C$95:$C$115,基础状态预期!$O$95:$O$115,$W15)*S$66*INDEX($P$57:$T$57,MATCH($O$66,$P$4:$T$4,0))*求节点(基础状态预期!$C$95:$C$115,基础状态预期!$Y$95:$Y$115,$W15)+
求节点(基础状态预期!$C$95:$C$115,基础状态预期!$P$95:$P$115,$W15)*S$67*INDEX($P$57:$T$57,MATCH($O$67,$P$4:$T$4,0))*求节点(基础状态预期!$C$95:$C$115,基础状态预期!$Z$95:$Z$115,$W15)+
求节点(基础状态预期!$C$95:$C$115,基础状态预期!$Q$95:$Q$115,$W15)*S$68*INDEX($P$57:$T$57,MATCH($O$68,$P$4:$T$4,0))*求节点(基础状态预期!$C$95:$C$115,基础状态预期!$AA$95:$AA$115,$W15)+
求节点(基础状态预期!$C$95:$C$115,基础状态预期!$R$95:$R$115,$W15)*S$69*INDEX($P$57:$T$57,MATCH($O$69,$P$4:$T$4,0))*求节点(基础状态预期!$C$95:$C$115,基础状态预期!$AB$95:$AB$115,$W15)+
求节点(基础状态预期!$C$95:$C$115,基础状态预期!$S$95:$S$115,$W15)*S$70*INDEX($P$57:$T$57,MATCH($O$70,$P$4:$T$4,0))*求节点(基础状态预期!$C$95:$C$115,基础状态预期!$AC$95:$AC$115,$W15)</f>
        <v>0</v>
      </c>
      <c r="AB15" s="113">
        <f>求节点(基础状态预期!$C$121:$C$141,基础状态预期!$O$121:$O$141,$W15)*T$66*INDEX($P$57:$T$57,MATCH($O$66,$P$4:$T$4,0))*求节点(基础状态预期!$C$121:$C$141,基础状态预期!$Y$121:$Y$141,$W15)+
求节点(基础状态预期!$C$121:$C$141,基础状态预期!$P$121:$P$141,$W15)*T$67*INDEX($P$57:$T$57,MATCH($O$67,$P$4:$T$4,0))*求节点(基础状态预期!$C$121:$C$141,基础状态预期!$Z$121:$Z$141,$W15)+
求节点(基础状态预期!$C$121:$C$141,基础状态预期!$Q$121:$Q$141,$W15)*T$68*INDEX($P$57:$T$57,MATCH($O$68,$P$4:$T$4,0))*求节点(基础状态预期!$C$121:$C$141,基础状态预期!$AA$121:$AA$141,$W15)+
求节点(基础状态预期!$C$121:$C$141,基础状态预期!$R$121:$R$141,$W15)*T$69*INDEX($P$57:$T$57,MATCH($O$69,$P$4:$T$4,0))*求节点(基础状态预期!$C$121:$C$141,基础状态预期!$AB$121:$AB$141,$W15)+
求节点(基础状态预期!$C$121:$C$141,基础状态预期!$S$121:$S$141,$W15)*T$70*INDEX($P$57:$T$57,MATCH($O$70,$P$4:$T$4,0))*求节点(基础状态预期!$C$121:$C$141,基础状态预期!$AC$121:$AC$141,$W15)</f>
        <v>0</v>
      </c>
      <c r="AE15" s="70">
        <v>10</v>
      </c>
      <c r="AF15" s="113">
        <f>盗宝贼!AI14</f>
        <v>2.996879533267272</v>
      </c>
      <c r="AG15" s="113">
        <f>盗宝贼!AJ14</f>
        <v>3.7344167862713933</v>
      </c>
      <c r="AH15" s="113">
        <f>盗宝贼!AK14</f>
        <v>4.0951955688739048</v>
      </c>
      <c r="AI15" s="113">
        <f>盗宝贼!AL14</f>
        <v>3.3666407899146624</v>
      </c>
      <c r="AJ15" s="113">
        <f>盗宝贼!AM14</f>
        <v>1.8444382348111872</v>
      </c>
      <c r="AL15" s="78">
        <f>盗宝贼!AI14/AF15</f>
        <v>1</v>
      </c>
      <c r="AM15" s="118"/>
      <c r="AO15" s="123" t="e">
        <f t="shared" si="2"/>
        <v>#DIV/0!</v>
      </c>
      <c r="AP15" s="123" t="e">
        <f t="shared" si="3"/>
        <v>#DIV/0!</v>
      </c>
      <c r="AQ15" s="123" t="e">
        <f t="shared" si="4"/>
        <v>#DIV/0!</v>
      </c>
      <c r="AR15" s="123" t="e">
        <f t="shared" si="5"/>
        <v>#DIV/0!</v>
      </c>
      <c r="AS15" s="123" t="e">
        <f t="shared" si="6"/>
        <v>#DIV/0!</v>
      </c>
    </row>
    <row r="16" spans="3:45" x14ac:dyDescent="0.15">
      <c r="C16" s="66">
        <v>2</v>
      </c>
      <c r="D16" s="66" t="str">
        <f>INDEX(宝物鉴赏!$L$8:$AC$8,MATCH(C16,宝物鉴赏!$L$1:$AC$1,0))</f>
        <v>武将生命%</v>
      </c>
      <c r="E16" s="66">
        <v>2</v>
      </c>
      <c r="G16" s="78">
        <f>G$5*$E16/G$6</f>
        <v>0.12</v>
      </c>
      <c r="H16" s="78">
        <f t="shared" si="7"/>
        <v>0.12</v>
      </c>
      <c r="I16" s="78">
        <f t="shared" si="7"/>
        <v>0.12</v>
      </c>
      <c r="J16" s="78">
        <f t="shared" si="7"/>
        <v>0.13999999999999999</v>
      </c>
      <c r="O16" s="84"/>
      <c r="P16" s="73"/>
      <c r="Q16" s="85"/>
      <c r="R16" s="85"/>
      <c r="S16" s="85"/>
      <c r="T16" s="86"/>
      <c r="W16" s="70">
        <v>11</v>
      </c>
      <c r="X16" s="113">
        <f>求节点(基础状态预期!$C$17:$C$37,基础状态预期!$O$17:$O$37,$W16)*P$66*INDEX($P$57:$T$57,MATCH($O$66,$P$4:$T$4,0))*求节点(基础状态预期!$C$17:$C$37,基础状态预期!$Y$17:$Y$37,$W16)+
求节点(基础状态预期!$C$17:$C$37,基础状态预期!$P$17:$P$37,$W16)*P$67*INDEX($P$57:$T$57,MATCH($O$67,$P$4:$T$4,0))*求节点(基础状态预期!$C$17:$C$37,基础状态预期!$Z$17:$Z$37,$W16)+
求节点(基础状态预期!$C$17:$C$37,基础状态预期!$Q$17:$Q$37,$W16)*P$68*INDEX($P$57:$T$57,MATCH($O$68,$P$4:$T$4,0))*求节点(基础状态预期!$C$17:$C$37,基础状态预期!$AA$17:$AA$37,$W16)+
求节点(基础状态预期!$C$17:$C$37,基础状态预期!$R$17:$R$37,$W16)*P$69*INDEX($P$57:$T$57,MATCH($O$69,$P$4:$T$4,0))*求节点(基础状态预期!$C$17:$C$37,基础状态预期!$AB$17:$AB$37,$W16)+
求节点(基础状态预期!$C$17:$C$37,基础状态预期!$S$17:$S$37,$W16)*P$70*INDEX($P$57:$T$57,MATCH($O$70,$P$4:$T$4,0))*求节点(基础状态预期!$C$17:$C$37,基础状态预期!$AC$17:$AC$37,$W16)</f>
        <v>0</v>
      </c>
      <c r="Y16" s="113">
        <f>求节点(基础状态预期!$C$43:$C$63,基础状态预期!$O$43:$O$63,$W16)*Q$66*INDEX($P$57:$T$57,MATCH($O$66,$P$4:$T$4,0))*求节点(基础状态预期!$C$43:$C$63,基础状态预期!$Y$43:$Y$63,$W16)+
求节点(基础状态预期!$C$43:$C$63,基础状态预期!$P$43:$P$63,$W16)*Q$67*INDEX($P$57:$T$57,MATCH($O$67,$P$4:$T$4,0))*求节点(基础状态预期!$C$43:$C$63,基础状态预期!$Z$43:$Z$63,$W16)+
求节点(基础状态预期!$C$43:$C$63,基础状态预期!$Q$43:$Q$63,$W16)*Q$68*INDEX($P$57:$T$57,MATCH($O$68,$P$4:$T$4,0))*求节点(基础状态预期!$C$43:$C$63,基础状态预期!$AA$43:$AA$63,$W16)+
求节点(基础状态预期!$C$43:$C$63,基础状态预期!$R$43:$R$63,$W16)*Q$69*INDEX($P$57:$T$57,MATCH($O$69,$P$4:$T$4,0))*求节点(基础状态预期!$C$43:$C$63,基础状态预期!$AB$43:$AB$63,$W16)+
求节点(基础状态预期!$C$43:$C$63,基础状态预期!$S$43:$S$63,$W16)*Q$70*INDEX($P$57:$T$57,MATCH($O$70,$P$4:$T$4,0))*求节点(基础状态预期!$C$43:$C$63,基础状态预期!$AC$43:$AC$63,$W16)</f>
        <v>0</v>
      </c>
      <c r="Z16" s="113">
        <f>求节点(基础状态预期!$C$69:$C$89,基础状态预期!$O$69:$O$89,$W16)*R$66*INDEX($P$57:$T$57,MATCH($O$66,$P$4:$T$4,0))*求节点(基础状态预期!$C$69:$C$89,基础状态预期!AA27:AA47,$W16)+
求节点(基础状态预期!$C$69:$C$89,基础状态预期!$P$69:$P$89,$W16)*R$67*INDEX($P$57:$T$57,MATCH($O$67,$P$4:$T$4,0))*求节点(基础状态预期!$C$69:$C$89,基础状态预期!$Z$69:$Z$89,$W16)+
求节点(基础状态预期!$C$69:$C$89,基础状态预期!$Q$69:$Q$89,$W16)*R$68*INDEX($P$57:$T$57,MATCH($O$68,$P$4:$T$4,0))*求节点(基础状态预期!$C$69:$C$89,基础状态预期!$AA$69:$AA$89,$W16)+
求节点(基础状态预期!$C$69:$C$89,基础状态预期!$R$69:$R$89,$W16)*R$69*INDEX($P$57:$T$57,MATCH($O$69,$P$4:$T$4,0))*求节点(基础状态预期!$C$69:$C$89,基础状态预期!$AB$69:$AB$89,$W16)+
求节点(基础状态预期!$C$69:$C$89,基础状态预期!$S$69:$S$89,$W16)*R$70*INDEX($P$57:$T$57,MATCH($O$70,$P$4:$T$4,0))*求节点(基础状态预期!$C$69:$C$89,基础状态预期!$AC$69:$AC$89,$W16)</f>
        <v>0</v>
      </c>
      <c r="AA16" s="113">
        <f>求节点(基础状态预期!$C$95:$C$115,基础状态预期!$O$95:$O$115,$W16)*S$66*INDEX($P$57:$T$57,MATCH($O$66,$P$4:$T$4,0))*求节点(基础状态预期!$C$95:$C$115,基础状态预期!$Y$95:$Y$115,$W16)+
求节点(基础状态预期!$C$95:$C$115,基础状态预期!$P$95:$P$115,$W16)*S$67*INDEX($P$57:$T$57,MATCH($O$67,$P$4:$T$4,0))*求节点(基础状态预期!$C$95:$C$115,基础状态预期!$Z$95:$Z$115,$W16)+
求节点(基础状态预期!$C$95:$C$115,基础状态预期!$Q$95:$Q$115,$W16)*S$68*INDEX($P$57:$T$57,MATCH($O$68,$P$4:$T$4,0))*求节点(基础状态预期!$C$95:$C$115,基础状态预期!$AA$95:$AA$115,$W16)+
求节点(基础状态预期!$C$95:$C$115,基础状态预期!$R$95:$R$115,$W16)*S$69*INDEX($P$57:$T$57,MATCH($O$69,$P$4:$T$4,0))*求节点(基础状态预期!$C$95:$C$115,基础状态预期!$AB$95:$AB$115,$W16)+
求节点(基础状态预期!$C$95:$C$115,基础状态预期!$S$95:$S$115,$W16)*S$70*INDEX($P$57:$T$57,MATCH($O$70,$P$4:$T$4,0))*求节点(基础状态预期!$C$95:$C$115,基础状态预期!$AC$95:$AC$115,$W16)</f>
        <v>0</v>
      </c>
      <c r="AB16" s="113">
        <f>求节点(基础状态预期!$C$121:$C$141,基础状态预期!$O$121:$O$141,$W16)*T$66*INDEX($P$57:$T$57,MATCH($O$66,$P$4:$T$4,0))*求节点(基础状态预期!$C$121:$C$141,基础状态预期!$Y$121:$Y$141,$W16)+
求节点(基础状态预期!$C$121:$C$141,基础状态预期!$P$121:$P$141,$W16)*T$67*INDEX($P$57:$T$57,MATCH($O$67,$P$4:$T$4,0))*求节点(基础状态预期!$C$121:$C$141,基础状态预期!$Z$121:$Z$141,$W16)+
求节点(基础状态预期!$C$121:$C$141,基础状态预期!$Q$121:$Q$141,$W16)*T$68*INDEX($P$57:$T$57,MATCH($O$68,$P$4:$T$4,0))*求节点(基础状态预期!$C$121:$C$141,基础状态预期!$AA$121:$AA$141,$W16)+
求节点(基础状态预期!$C$121:$C$141,基础状态预期!$R$121:$R$141,$W16)*T$69*INDEX($P$57:$T$57,MATCH($O$69,$P$4:$T$4,0))*求节点(基础状态预期!$C$121:$C$141,基础状态预期!$AB$121:$AB$141,$W16)+
求节点(基础状态预期!$C$121:$C$141,基础状态预期!$S$121:$S$141,$W16)*T$70*INDEX($P$57:$T$57,MATCH($O$70,$P$4:$T$4,0))*求节点(基础状态预期!$C$121:$C$141,基础状态预期!$AC$121:$AC$141,$W16)</f>
        <v>0</v>
      </c>
      <c r="AE16" s="70">
        <v>11</v>
      </c>
      <c r="AF16" s="113">
        <f>盗宝贼!AI15</f>
        <v>3.5389743474268571</v>
      </c>
      <c r="AG16" s="113">
        <f>盗宝贼!AJ15</f>
        <v>4.425068746014861</v>
      </c>
      <c r="AH16" s="113">
        <f>盗宝贼!AK15</f>
        <v>4.8798975742784156</v>
      </c>
      <c r="AI16" s="113">
        <f>盗宝贼!AL15</f>
        <v>4.0090865576753147</v>
      </c>
      <c r="AJ16" s="113">
        <f>盗宝贼!AM15</f>
        <v>2.2205349295742955</v>
      </c>
      <c r="AL16" s="78">
        <f>盗宝贼!AI15/AF16</f>
        <v>1</v>
      </c>
      <c r="AM16" s="118"/>
      <c r="AO16" s="123" t="e">
        <f t="shared" si="2"/>
        <v>#DIV/0!</v>
      </c>
      <c r="AP16" s="123" t="e">
        <f t="shared" si="3"/>
        <v>#DIV/0!</v>
      </c>
      <c r="AQ16" s="123" t="e">
        <f t="shared" si="4"/>
        <v>#DIV/0!</v>
      </c>
      <c r="AR16" s="123" t="e">
        <f t="shared" si="5"/>
        <v>#DIV/0!</v>
      </c>
      <c r="AS16" s="123" t="e">
        <f t="shared" si="6"/>
        <v>#DIV/0!</v>
      </c>
    </row>
    <row r="17" spans="3:45" x14ac:dyDescent="0.15">
      <c r="C17" s="66">
        <v>3</v>
      </c>
      <c r="D17" s="66" t="str">
        <f>INDEX(宝物鉴赏!$L$8:$AC$8,MATCH(C17,宝物鉴赏!$L$1:$AC$1,0))</f>
        <v>武将攻击</v>
      </c>
      <c r="E17" s="66">
        <v>2</v>
      </c>
      <c r="G17" s="57">
        <f>ROUND(G$9*G$5*$E17/G$6,-2)</f>
        <v>600</v>
      </c>
      <c r="H17" s="57">
        <f t="shared" ref="H17:J18" si="8">ROUND(H$9*H$5*$E17/H$6,-2)</f>
        <v>800</v>
      </c>
      <c r="I17" s="57">
        <f t="shared" si="8"/>
        <v>1200</v>
      </c>
      <c r="J17" s="57">
        <f t="shared" si="8"/>
        <v>1400</v>
      </c>
      <c r="O17" s="84" t="s">
        <v>339</v>
      </c>
      <c r="P17" s="73"/>
      <c r="Q17" s="85">
        <v>5.0000000000000001E-3</v>
      </c>
      <c r="R17" s="85">
        <v>5.0000000000000001E-3</v>
      </c>
      <c r="S17" s="85">
        <v>5.0000000000000001E-3</v>
      </c>
      <c r="T17" s="86">
        <v>5.0000000000000001E-3</v>
      </c>
      <c r="W17" s="70">
        <v>12</v>
      </c>
      <c r="X17" s="113">
        <f>求节点(基础状态预期!$C$17:$C$37,基础状态预期!$O$17:$O$37,$W17)*P$66*INDEX($P$57:$T$57,MATCH($O$66,$P$4:$T$4,0))*求节点(基础状态预期!$C$17:$C$37,基础状态预期!$Y$17:$Y$37,$W17)+
求节点(基础状态预期!$C$17:$C$37,基础状态预期!$P$17:$P$37,$W17)*P$67*INDEX($P$57:$T$57,MATCH($O$67,$P$4:$T$4,0))*求节点(基础状态预期!$C$17:$C$37,基础状态预期!$Z$17:$Z$37,$W17)+
求节点(基础状态预期!$C$17:$C$37,基础状态预期!$Q$17:$Q$37,$W17)*P$68*INDEX($P$57:$T$57,MATCH($O$68,$P$4:$T$4,0))*求节点(基础状态预期!$C$17:$C$37,基础状态预期!$AA$17:$AA$37,$W17)+
求节点(基础状态预期!$C$17:$C$37,基础状态预期!$R$17:$R$37,$W17)*P$69*INDEX($P$57:$T$57,MATCH($O$69,$P$4:$T$4,0))*求节点(基础状态预期!$C$17:$C$37,基础状态预期!$AB$17:$AB$37,$W17)+
求节点(基础状态预期!$C$17:$C$37,基础状态预期!$S$17:$S$37,$W17)*P$70*INDEX($P$57:$T$57,MATCH($O$70,$P$4:$T$4,0))*求节点(基础状态预期!$C$17:$C$37,基础状态预期!$AC$17:$AC$37,$W17)</f>
        <v>0</v>
      </c>
      <c r="Y17" s="113">
        <f>求节点(基础状态预期!$C$43:$C$63,基础状态预期!$O$43:$O$63,$W17)*Q$66*INDEX($P$57:$T$57,MATCH($O$66,$P$4:$T$4,0))*求节点(基础状态预期!$C$43:$C$63,基础状态预期!$Y$43:$Y$63,$W17)+
求节点(基础状态预期!$C$43:$C$63,基础状态预期!$P$43:$P$63,$W17)*Q$67*INDEX($P$57:$T$57,MATCH($O$67,$P$4:$T$4,0))*求节点(基础状态预期!$C$43:$C$63,基础状态预期!$Z$43:$Z$63,$W17)+
求节点(基础状态预期!$C$43:$C$63,基础状态预期!$Q$43:$Q$63,$W17)*Q$68*INDEX($P$57:$T$57,MATCH($O$68,$P$4:$T$4,0))*求节点(基础状态预期!$C$43:$C$63,基础状态预期!$AA$43:$AA$63,$W17)+
求节点(基础状态预期!$C$43:$C$63,基础状态预期!$R$43:$R$63,$W17)*Q$69*INDEX($P$57:$T$57,MATCH($O$69,$P$4:$T$4,0))*求节点(基础状态预期!$C$43:$C$63,基础状态预期!$AB$43:$AB$63,$W17)+
求节点(基础状态预期!$C$43:$C$63,基础状态预期!$S$43:$S$63,$W17)*Q$70*INDEX($P$57:$T$57,MATCH($O$70,$P$4:$T$4,0))*求节点(基础状态预期!$C$43:$C$63,基础状态预期!$AC$43:$AC$63,$W17)</f>
        <v>0</v>
      </c>
      <c r="Z17" s="113">
        <f>求节点(基础状态预期!$C$69:$C$89,基础状态预期!$O$69:$O$89,$W17)*R$66*INDEX($P$57:$T$57,MATCH($O$66,$P$4:$T$4,0))*求节点(基础状态预期!$C$69:$C$89,基础状态预期!AA28:AA48,$W17)+
求节点(基础状态预期!$C$69:$C$89,基础状态预期!$P$69:$P$89,$W17)*R$67*INDEX($P$57:$T$57,MATCH($O$67,$P$4:$T$4,0))*求节点(基础状态预期!$C$69:$C$89,基础状态预期!$Z$69:$Z$89,$W17)+
求节点(基础状态预期!$C$69:$C$89,基础状态预期!$Q$69:$Q$89,$W17)*R$68*INDEX($P$57:$T$57,MATCH($O$68,$P$4:$T$4,0))*求节点(基础状态预期!$C$69:$C$89,基础状态预期!$AA$69:$AA$89,$W17)+
求节点(基础状态预期!$C$69:$C$89,基础状态预期!$R$69:$R$89,$W17)*R$69*INDEX($P$57:$T$57,MATCH($O$69,$P$4:$T$4,0))*求节点(基础状态预期!$C$69:$C$89,基础状态预期!$AB$69:$AB$89,$W17)+
求节点(基础状态预期!$C$69:$C$89,基础状态预期!$S$69:$S$89,$W17)*R$70*INDEX($P$57:$T$57,MATCH($O$70,$P$4:$T$4,0))*求节点(基础状态预期!$C$69:$C$89,基础状态预期!$AC$69:$AC$89,$W17)</f>
        <v>0</v>
      </c>
      <c r="AA17" s="113">
        <f>求节点(基础状态预期!$C$95:$C$115,基础状态预期!$O$95:$O$115,$W17)*S$66*INDEX($P$57:$T$57,MATCH($O$66,$P$4:$T$4,0))*求节点(基础状态预期!$C$95:$C$115,基础状态预期!$Y$95:$Y$115,$W17)+
求节点(基础状态预期!$C$95:$C$115,基础状态预期!$P$95:$P$115,$W17)*S$67*INDEX($P$57:$T$57,MATCH($O$67,$P$4:$T$4,0))*求节点(基础状态预期!$C$95:$C$115,基础状态预期!$Z$95:$Z$115,$W17)+
求节点(基础状态预期!$C$95:$C$115,基础状态预期!$Q$95:$Q$115,$W17)*S$68*INDEX($P$57:$T$57,MATCH($O$68,$P$4:$T$4,0))*求节点(基础状态预期!$C$95:$C$115,基础状态预期!$AA$95:$AA$115,$W17)+
求节点(基础状态预期!$C$95:$C$115,基础状态预期!$R$95:$R$115,$W17)*S$69*INDEX($P$57:$T$57,MATCH($O$69,$P$4:$T$4,0))*求节点(基础状态预期!$C$95:$C$115,基础状态预期!$AB$95:$AB$115,$W17)+
求节点(基础状态预期!$C$95:$C$115,基础状态预期!$S$95:$S$115,$W17)*S$70*INDEX($P$57:$T$57,MATCH($O$70,$P$4:$T$4,0))*求节点(基础状态预期!$C$95:$C$115,基础状态预期!$AC$95:$AC$115,$W17)</f>
        <v>0</v>
      </c>
      <c r="AB17" s="113">
        <f>求节点(基础状态预期!$C$121:$C$141,基础状态预期!$O$121:$O$141,$W17)*T$66*INDEX($P$57:$T$57,MATCH($O$66,$P$4:$T$4,0))*求节点(基础状态预期!$C$121:$C$141,基础状态预期!$Y$121:$Y$141,$W17)+
求节点(基础状态预期!$C$121:$C$141,基础状态预期!$P$121:$P$141,$W17)*T$67*INDEX($P$57:$T$57,MATCH($O$67,$P$4:$T$4,0))*求节点(基础状态预期!$C$121:$C$141,基础状态预期!$Z$121:$Z$141,$W17)+
求节点(基础状态预期!$C$121:$C$141,基础状态预期!$Q$121:$Q$141,$W17)*T$68*INDEX($P$57:$T$57,MATCH($O$68,$P$4:$T$4,0))*求节点(基础状态预期!$C$121:$C$141,基础状态预期!$AA$121:$AA$141,$W17)+
求节点(基础状态预期!$C$121:$C$141,基础状态预期!$R$121:$R$141,$W17)*T$69*INDEX($P$57:$T$57,MATCH($O$69,$P$4:$T$4,0))*求节点(基础状态预期!$C$121:$C$141,基础状态预期!$AB$121:$AB$141,$W17)+
求节点(基础状态预期!$C$121:$C$141,基础状态预期!$S$121:$S$141,$W17)*T$70*INDEX($P$57:$T$57,MATCH($O$70,$P$4:$T$4,0))*求节点(基础状态预期!$C$121:$C$141,基础状态预期!$AC$121:$AC$141,$W17)</f>
        <v>0</v>
      </c>
      <c r="AE17" s="70">
        <v>12</v>
      </c>
      <c r="AF17" s="113">
        <f>盗宝贼!AI16</f>
        <v>4.1490273252213843</v>
      </c>
      <c r="AG17" s="113">
        <f>盗宝贼!AJ16</f>
        <v>5.1890752354317753</v>
      </c>
      <c r="AH17" s="113">
        <f>盗宝贼!AK16</f>
        <v>5.7530151164001468</v>
      </c>
      <c r="AI17" s="113">
        <f>盗宝贼!AL16</f>
        <v>4.7763441870360079</v>
      </c>
      <c r="AJ17" s="113">
        <f>盗宝贼!AM16</f>
        <v>2.6460833042403764</v>
      </c>
      <c r="AL17" s="78">
        <f>盗宝贼!AI16/AF17</f>
        <v>1</v>
      </c>
      <c r="AM17" s="118"/>
      <c r="AO17" s="123" t="e">
        <f t="shared" si="2"/>
        <v>#DIV/0!</v>
      </c>
      <c r="AP17" s="123" t="e">
        <f t="shared" si="3"/>
        <v>#DIV/0!</v>
      </c>
      <c r="AQ17" s="123" t="e">
        <f t="shared" si="4"/>
        <v>#DIV/0!</v>
      </c>
      <c r="AR17" s="123" t="e">
        <f t="shared" si="5"/>
        <v>#DIV/0!</v>
      </c>
      <c r="AS17" s="123" t="e">
        <f t="shared" si="6"/>
        <v>#DIV/0!</v>
      </c>
    </row>
    <row r="18" spans="3:45" x14ac:dyDescent="0.15">
      <c r="C18" s="66">
        <v>4</v>
      </c>
      <c r="D18" s="66" t="str">
        <f>INDEX(宝物鉴赏!$L$8:$AC$8,MATCH(C18,宝物鉴赏!$L$1:$AC$1,0))</f>
        <v>武将生命</v>
      </c>
      <c r="E18" s="66">
        <v>2</v>
      </c>
      <c r="G18" s="57">
        <f>ROUND(G$9*G$5*$E18/G$6,-2)</f>
        <v>600</v>
      </c>
      <c r="H18" s="57">
        <f t="shared" si="8"/>
        <v>800</v>
      </c>
      <c r="I18" s="57">
        <f t="shared" si="8"/>
        <v>1200</v>
      </c>
      <c r="J18" s="57">
        <f t="shared" si="8"/>
        <v>1400</v>
      </c>
      <c r="O18" s="84" t="s">
        <v>340</v>
      </c>
      <c r="P18" s="73"/>
      <c r="Q18" s="85">
        <v>0.01</v>
      </c>
      <c r="R18" s="85">
        <v>0.01</v>
      </c>
      <c r="S18" s="85">
        <v>0.01</v>
      </c>
      <c r="T18" s="86">
        <v>0.01</v>
      </c>
      <c r="W18" s="70">
        <v>13</v>
      </c>
      <c r="X18" s="113">
        <f>求节点(基础状态预期!$C$17:$C$37,基础状态预期!$O$17:$O$37,$W18)*P$66*INDEX($P$57:$T$57,MATCH($O$66,$P$4:$T$4,0))*求节点(基础状态预期!$C$17:$C$37,基础状态预期!$Y$17:$Y$37,$W18)+
求节点(基础状态预期!$C$17:$C$37,基础状态预期!$P$17:$P$37,$W18)*P$67*INDEX($P$57:$T$57,MATCH($O$67,$P$4:$T$4,0))*求节点(基础状态预期!$C$17:$C$37,基础状态预期!$Z$17:$Z$37,$W18)+
求节点(基础状态预期!$C$17:$C$37,基础状态预期!$Q$17:$Q$37,$W18)*P$68*INDEX($P$57:$T$57,MATCH($O$68,$P$4:$T$4,0))*求节点(基础状态预期!$C$17:$C$37,基础状态预期!$AA$17:$AA$37,$W18)+
求节点(基础状态预期!$C$17:$C$37,基础状态预期!$R$17:$R$37,$W18)*P$69*INDEX($P$57:$T$57,MATCH($O$69,$P$4:$T$4,0))*求节点(基础状态预期!$C$17:$C$37,基础状态预期!$AB$17:$AB$37,$W18)+
求节点(基础状态预期!$C$17:$C$37,基础状态预期!$S$17:$S$37,$W18)*P$70*INDEX($P$57:$T$57,MATCH($O$70,$P$4:$T$4,0))*求节点(基础状态预期!$C$17:$C$37,基础状态预期!$AC$17:$AC$37,$W18)</f>
        <v>0</v>
      </c>
      <c r="Y18" s="113">
        <f>求节点(基础状态预期!$C$43:$C$63,基础状态预期!$O$43:$O$63,$W18)*Q$66*INDEX($P$57:$T$57,MATCH($O$66,$P$4:$T$4,0))*求节点(基础状态预期!$C$43:$C$63,基础状态预期!$Y$43:$Y$63,$W18)+
求节点(基础状态预期!$C$43:$C$63,基础状态预期!$P$43:$P$63,$W18)*Q$67*INDEX($P$57:$T$57,MATCH($O$67,$P$4:$T$4,0))*求节点(基础状态预期!$C$43:$C$63,基础状态预期!$Z$43:$Z$63,$W18)+
求节点(基础状态预期!$C$43:$C$63,基础状态预期!$Q$43:$Q$63,$W18)*Q$68*INDEX($P$57:$T$57,MATCH($O$68,$P$4:$T$4,0))*求节点(基础状态预期!$C$43:$C$63,基础状态预期!$AA$43:$AA$63,$W18)+
求节点(基础状态预期!$C$43:$C$63,基础状态预期!$R$43:$R$63,$W18)*Q$69*INDEX($P$57:$T$57,MATCH($O$69,$P$4:$T$4,0))*求节点(基础状态预期!$C$43:$C$63,基础状态预期!$AB$43:$AB$63,$W18)+
求节点(基础状态预期!$C$43:$C$63,基础状态预期!$S$43:$S$63,$W18)*Q$70*INDEX($P$57:$T$57,MATCH($O$70,$P$4:$T$4,0))*求节点(基础状态预期!$C$43:$C$63,基础状态预期!$AC$43:$AC$63,$W18)</f>
        <v>0</v>
      </c>
      <c r="Z18" s="113">
        <f>求节点(基础状态预期!$C$69:$C$89,基础状态预期!$O$69:$O$89,$W18)*R$66*INDEX($P$57:$T$57,MATCH($O$66,$P$4:$T$4,0))*求节点(基础状态预期!$C$69:$C$89,基础状态预期!AA29:AA49,$W18)+
求节点(基础状态预期!$C$69:$C$89,基础状态预期!$P$69:$P$89,$W18)*R$67*INDEX($P$57:$T$57,MATCH($O$67,$P$4:$T$4,0))*求节点(基础状态预期!$C$69:$C$89,基础状态预期!$Z$69:$Z$89,$W18)+
求节点(基础状态预期!$C$69:$C$89,基础状态预期!$Q$69:$Q$89,$W18)*R$68*INDEX($P$57:$T$57,MATCH($O$68,$P$4:$T$4,0))*求节点(基础状态预期!$C$69:$C$89,基础状态预期!$AA$69:$AA$89,$W18)+
求节点(基础状态预期!$C$69:$C$89,基础状态预期!$R$69:$R$89,$W18)*R$69*INDEX($P$57:$T$57,MATCH($O$69,$P$4:$T$4,0))*求节点(基础状态预期!$C$69:$C$89,基础状态预期!$AB$69:$AB$89,$W18)+
求节点(基础状态预期!$C$69:$C$89,基础状态预期!$S$69:$S$89,$W18)*R$70*INDEX($P$57:$T$57,MATCH($O$70,$P$4:$T$4,0))*求节点(基础状态预期!$C$69:$C$89,基础状态预期!$AC$69:$AC$89,$W18)</f>
        <v>0</v>
      </c>
      <c r="AA18" s="113">
        <f>求节点(基础状态预期!$C$95:$C$115,基础状态预期!$O$95:$O$115,$W18)*S$66*INDEX($P$57:$T$57,MATCH($O$66,$P$4:$T$4,0))*求节点(基础状态预期!$C$95:$C$115,基础状态预期!$Y$95:$Y$115,$W18)+
求节点(基础状态预期!$C$95:$C$115,基础状态预期!$P$95:$P$115,$W18)*S$67*INDEX($P$57:$T$57,MATCH($O$67,$P$4:$T$4,0))*求节点(基础状态预期!$C$95:$C$115,基础状态预期!$Z$95:$Z$115,$W18)+
求节点(基础状态预期!$C$95:$C$115,基础状态预期!$Q$95:$Q$115,$W18)*S$68*INDEX($P$57:$T$57,MATCH($O$68,$P$4:$T$4,0))*求节点(基础状态预期!$C$95:$C$115,基础状态预期!$AA$95:$AA$115,$W18)+
求节点(基础状态预期!$C$95:$C$115,基础状态预期!$R$95:$R$115,$W18)*S$69*INDEX($P$57:$T$57,MATCH($O$69,$P$4:$T$4,0))*求节点(基础状态预期!$C$95:$C$115,基础状态预期!$AB$95:$AB$115,$W18)+
求节点(基础状态预期!$C$95:$C$115,基础状态预期!$S$95:$S$115,$W18)*S$70*INDEX($P$57:$T$57,MATCH($O$70,$P$4:$T$4,0))*求节点(基础状态预期!$C$95:$C$115,基础状态预期!$AC$95:$AC$115,$W18)</f>
        <v>0</v>
      </c>
      <c r="AB18" s="113">
        <f>求节点(基础状态预期!$C$121:$C$141,基础状态预期!$O$121:$O$141,$W18)*T$66*INDEX($P$57:$T$57,MATCH($O$66,$P$4:$T$4,0))*求节点(基础状态预期!$C$121:$C$141,基础状态预期!$Y$121:$Y$141,$W18)+
求节点(基础状态预期!$C$121:$C$141,基础状态预期!$P$121:$P$141,$W18)*T$67*INDEX($P$57:$T$57,MATCH($O$67,$P$4:$T$4,0))*求节点(基础状态预期!$C$121:$C$141,基础状态预期!$Z$121:$Z$141,$W18)+
求节点(基础状态预期!$C$121:$C$141,基础状态预期!$Q$121:$Q$141,$W18)*T$68*INDEX($P$57:$T$57,MATCH($O$68,$P$4:$T$4,0))*求节点(基础状态预期!$C$121:$C$141,基础状态预期!$AA$121:$AA$141,$W18)+
求节点(基础状态预期!$C$121:$C$141,基础状态预期!$R$121:$R$141,$W18)*T$69*INDEX($P$57:$T$57,MATCH($O$69,$P$4:$T$4,0))*求节点(基础状态预期!$C$121:$C$141,基础状态预期!$AB$121:$AB$141,$W18)+
求节点(基础状态预期!$C$121:$C$141,基础状态预期!$S$121:$S$141,$W18)*T$70*INDEX($P$57:$T$57,MATCH($O$70,$P$4:$T$4,0))*求节点(基础状态预期!$C$121:$C$141,基础状态预期!$AC$121:$AC$141,$W18)</f>
        <v>0</v>
      </c>
      <c r="AE18" s="70">
        <v>13</v>
      </c>
      <c r="AF18" s="113">
        <f>盗宝贼!AI17</f>
        <v>4.8355578471798708</v>
      </c>
      <c r="AG18" s="113">
        <f>盗宝贼!AJ17</f>
        <v>6.0998355545685898</v>
      </c>
      <c r="AH18" s="113">
        <f>盗宝贼!AK17</f>
        <v>6.7711221521145593</v>
      </c>
      <c r="AI18" s="113">
        <f>盗宝贼!AL17</f>
        <v>5.6468312442745949</v>
      </c>
      <c r="AJ18" s="113">
        <f>盗宝贼!AM17</f>
        <v>3.140620935822152</v>
      </c>
      <c r="AL18" s="78">
        <f>盗宝贼!AI17/AF18</f>
        <v>1</v>
      </c>
      <c r="AM18" s="118"/>
      <c r="AO18" s="123" t="e">
        <f t="shared" si="2"/>
        <v>#DIV/0!</v>
      </c>
      <c r="AP18" s="123" t="e">
        <f t="shared" si="3"/>
        <v>#DIV/0!</v>
      </c>
      <c r="AQ18" s="123" t="e">
        <f t="shared" si="4"/>
        <v>#DIV/0!</v>
      </c>
      <c r="AR18" s="123" t="e">
        <f t="shared" si="5"/>
        <v>#DIV/0!</v>
      </c>
      <c r="AS18" s="123" t="e">
        <f t="shared" si="6"/>
        <v>#DIV/0!</v>
      </c>
    </row>
    <row r="19" spans="3:45" x14ac:dyDescent="0.15">
      <c r="C19" s="66">
        <v>5</v>
      </c>
      <c r="D19" s="66" t="str">
        <f>INDEX(宝物鉴赏!$L$8:$AC$8,MATCH(C19,宝物鉴赏!$L$1:$AC$1,0))</f>
        <v>武力伤害</v>
      </c>
      <c r="E19" s="66">
        <v>2</v>
      </c>
      <c r="G19" s="78">
        <f>G$5*$E19/G$6</f>
        <v>0.12</v>
      </c>
      <c r="H19" s="78">
        <f t="shared" ref="H19:J27" si="9">H$5*$E19/H$6</f>
        <v>0.12</v>
      </c>
      <c r="I19" s="78">
        <f t="shared" si="9"/>
        <v>0.12</v>
      </c>
      <c r="J19" s="78">
        <f t="shared" si="9"/>
        <v>0.13999999999999999</v>
      </c>
      <c r="O19" s="87" t="s">
        <v>330</v>
      </c>
      <c r="P19" s="88"/>
      <c r="Q19" s="89">
        <v>0.2</v>
      </c>
      <c r="R19" s="89">
        <v>0.27500000000000002</v>
      </c>
      <c r="S19" s="89">
        <v>0.35</v>
      </c>
      <c r="T19" s="90">
        <v>0.4</v>
      </c>
      <c r="W19" s="70">
        <v>14</v>
      </c>
      <c r="X19" s="113">
        <f>求节点(基础状态预期!$C$17:$C$37,基础状态预期!$O$17:$O$37,$W19)*P$66*INDEX($P$57:$T$57,MATCH($O$66,$P$4:$T$4,0))*求节点(基础状态预期!$C$17:$C$37,基础状态预期!$Y$17:$Y$37,$W19)+
求节点(基础状态预期!$C$17:$C$37,基础状态预期!$P$17:$P$37,$W19)*P$67*INDEX($P$57:$T$57,MATCH($O$67,$P$4:$T$4,0))*求节点(基础状态预期!$C$17:$C$37,基础状态预期!$Z$17:$Z$37,$W19)+
求节点(基础状态预期!$C$17:$C$37,基础状态预期!$Q$17:$Q$37,$W19)*P$68*INDEX($P$57:$T$57,MATCH($O$68,$P$4:$T$4,0))*求节点(基础状态预期!$C$17:$C$37,基础状态预期!$AA$17:$AA$37,$W19)+
求节点(基础状态预期!$C$17:$C$37,基础状态预期!$R$17:$R$37,$W19)*P$69*INDEX($P$57:$T$57,MATCH($O$69,$P$4:$T$4,0))*求节点(基础状态预期!$C$17:$C$37,基础状态预期!$AB$17:$AB$37,$W19)+
求节点(基础状态预期!$C$17:$C$37,基础状态预期!$S$17:$S$37,$W19)*P$70*INDEX($P$57:$T$57,MATCH($O$70,$P$4:$T$4,0))*求节点(基础状态预期!$C$17:$C$37,基础状态预期!$AC$17:$AC$37,$W19)</f>
        <v>0</v>
      </c>
      <c r="Y19" s="113">
        <f>求节点(基础状态预期!$C$43:$C$63,基础状态预期!$O$43:$O$63,$W19)*Q$66*INDEX($P$57:$T$57,MATCH($O$66,$P$4:$T$4,0))*求节点(基础状态预期!$C$43:$C$63,基础状态预期!$Y$43:$Y$63,$W19)+
求节点(基础状态预期!$C$43:$C$63,基础状态预期!$P$43:$P$63,$W19)*Q$67*INDEX($P$57:$T$57,MATCH($O$67,$P$4:$T$4,0))*求节点(基础状态预期!$C$43:$C$63,基础状态预期!$Z$43:$Z$63,$W19)+
求节点(基础状态预期!$C$43:$C$63,基础状态预期!$Q$43:$Q$63,$W19)*Q$68*INDEX($P$57:$T$57,MATCH($O$68,$P$4:$T$4,0))*求节点(基础状态预期!$C$43:$C$63,基础状态预期!$AA$43:$AA$63,$W19)+
求节点(基础状态预期!$C$43:$C$63,基础状态预期!$R$43:$R$63,$W19)*Q$69*INDEX($P$57:$T$57,MATCH($O$69,$P$4:$T$4,0))*求节点(基础状态预期!$C$43:$C$63,基础状态预期!$AB$43:$AB$63,$W19)+
求节点(基础状态预期!$C$43:$C$63,基础状态预期!$S$43:$S$63,$W19)*Q$70*INDEX($P$57:$T$57,MATCH($O$70,$P$4:$T$4,0))*求节点(基础状态预期!$C$43:$C$63,基础状态预期!$AC$43:$AC$63,$W19)</f>
        <v>0</v>
      </c>
      <c r="Z19" s="113">
        <f>求节点(基础状态预期!$C$69:$C$89,基础状态预期!$O$69:$O$89,$W19)*R$66*INDEX($P$57:$T$57,MATCH($O$66,$P$4:$T$4,0))*求节点(基础状态预期!$C$69:$C$89,基础状态预期!AA30:AA50,$W19)+
求节点(基础状态预期!$C$69:$C$89,基础状态预期!$P$69:$P$89,$W19)*R$67*INDEX($P$57:$T$57,MATCH($O$67,$P$4:$T$4,0))*求节点(基础状态预期!$C$69:$C$89,基础状态预期!$Z$69:$Z$89,$W19)+
求节点(基础状态预期!$C$69:$C$89,基础状态预期!$Q$69:$Q$89,$W19)*R$68*INDEX($P$57:$T$57,MATCH($O$68,$P$4:$T$4,0))*求节点(基础状态预期!$C$69:$C$89,基础状态预期!$AA$69:$AA$89,$W19)+
求节点(基础状态预期!$C$69:$C$89,基础状态预期!$R$69:$R$89,$W19)*R$69*INDEX($P$57:$T$57,MATCH($O$69,$P$4:$T$4,0))*求节点(基础状态预期!$C$69:$C$89,基础状态预期!$AB$69:$AB$89,$W19)+
求节点(基础状态预期!$C$69:$C$89,基础状态预期!$S$69:$S$89,$W19)*R$70*INDEX($P$57:$T$57,MATCH($O$70,$P$4:$T$4,0))*求节点(基础状态预期!$C$69:$C$89,基础状态预期!$AC$69:$AC$89,$W19)</f>
        <v>0</v>
      </c>
      <c r="AA19" s="113">
        <f>求节点(基础状态预期!$C$95:$C$115,基础状态预期!$O$95:$O$115,$W19)*S$66*INDEX($P$57:$T$57,MATCH($O$66,$P$4:$T$4,0))*求节点(基础状态预期!$C$95:$C$115,基础状态预期!$Y$95:$Y$115,$W19)+
求节点(基础状态预期!$C$95:$C$115,基础状态预期!$P$95:$P$115,$W19)*S$67*INDEX($P$57:$T$57,MATCH($O$67,$P$4:$T$4,0))*求节点(基础状态预期!$C$95:$C$115,基础状态预期!$Z$95:$Z$115,$W19)+
求节点(基础状态预期!$C$95:$C$115,基础状态预期!$Q$95:$Q$115,$W19)*S$68*INDEX($P$57:$T$57,MATCH($O$68,$P$4:$T$4,0))*求节点(基础状态预期!$C$95:$C$115,基础状态预期!$AA$95:$AA$115,$W19)+
求节点(基础状态预期!$C$95:$C$115,基础状态预期!$R$95:$R$115,$W19)*S$69*INDEX($P$57:$T$57,MATCH($O$69,$P$4:$T$4,0))*求节点(基础状态预期!$C$95:$C$115,基础状态预期!$AB$95:$AB$115,$W19)+
求节点(基础状态预期!$C$95:$C$115,基础状态预期!$S$95:$S$115,$W19)*S$70*INDEX($P$57:$T$57,MATCH($O$70,$P$4:$T$4,0))*求节点(基础状态预期!$C$95:$C$115,基础状态预期!$AC$95:$AC$115,$W19)</f>
        <v>0</v>
      </c>
      <c r="AB19" s="113">
        <f>求节点(基础状态预期!$C$121:$C$141,基础状态预期!$O$121:$O$141,$W19)*T$66*INDEX($P$57:$T$57,MATCH($O$66,$P$4:$T$4,0))*求节点(基础状态预期!$C$121:$C$141,基础状态预期!$Y$121:$Y$141,$W19)+
求节点(基础状态预期!$C$121:$C$141,基础状态预期!$P$121:$P$141,$W19)*T$67*INDEX($P$57:$T$57,MATCH($O$67,$P$4:$T$4,0))*求节点(基础状态预期!$C$121:$C$141,基础状态预期!$Z$121:$Z$141,$W19)+
求节点(基础状态预期!$C$121:$C$141,基础状态预期!$Q$121:$Q$141,$W19)*T$68*INDEX($P$57:$T$57,MATCH($O$68,$P$4:$T$4,0))*求节点(基础状态预期!$C$121:$C$141,基础状态预期!$AA$121:$AA$141,$W19)+
求节点(基础状态预期!$C$121:$C$141,基础状态预期!$R$121:$R$141,$W19)*T$69*INDEX($P$57:$T$57,MATCH($O$69,$P$4:$T$4,0))*求节点(基础状态预期!$C$121:$C$141,基础状态预期!$AB$121:$AB$141,$W19)+
求节点(基础状态预期!$C$121:$C$141,基础状态预期!$S$121:$S$141,$W19)*T$70*INDEX($P$57:$T$57,MATCH($O$70,$P$4:$T$4,0))*求节点(基础状态预期!$C$121:$C$141,基础状态预期!$AC$121:$AC$141,$W19)</f>
        <v>0</v>
      </c>
      <c r="AE19" s="70">
        <v>14</v>
      </c>
      <c r="AF19" s="113">
        <f>盗宝贼!AI18</f>
        <v>5.6081533015689802</v>
      </c>
      <c r="AG19" s="113">
        <f>盗宝贼!AJ18</f>
        <v>7.0601664219329976</v>
      </c>
      <c r="AH19" s="113">
        <f>盗宝贼!AK18</f>
        <v>7.8527823895716491</v>
      </c>
      <c r="AI19" s="113">
        <f>盗宝贼!AL18</f>
        <v>6.5326702893068465</v>
      </c>
      <c r="AJ19" s="113">
        <f>盗宝贼!AM18</f>
        <v>3.6246725513879055</v>
      </c>
      <c r="AL19" s="78">
        <f>盗宝贼!AI18/AF19</f>
        <v>1</v>
      </c>
      <c r="AM19" s="118"/>
      <c r="AO19" s="123" t="e">
        <f t="shared" si="2"/>
        <v>#DIV/0!</v>
      </c>
      <c r="AP19" s="123" t="e">
        <f t="shared" si="3"/>
        <v>#DIV/0!</v>
      </c>
      <c r="AQ19" s="123" t="e">
        <f t="shared" si="4"/>
        <v>#DIV/0!</v>
      </c>
      <c r="AR19" s="123" t="e">
        <f t="shared" si="5"/>
        <v>#DIV/0!</v>
      </c>
      <c r="AS19" s="123" t="e">
        <f t="shared" si="6"/>
        <v>#DIV/0!</v>
      </c>
    </row>
    <row r="20" spans="3:45" x14ac:dyDescent="0.15">
      <c r="C20" s="66">
        <v>6</v>
      </c>
      <c r="D20" s="66" t="str">
        <f>INDEX(宝物鉴赏!$L$8:$AC$8,MATCH(C20,宝物鉴赏!$L$1:$AC$1,0))</f>
        <v>武力免伤</v>
      </c>
      <c r="E20" s="66">
        <v>1.5</v>
      </c>
      <c r="G20" s="78">
        <f>G$5*$E20/G$6</f>
        <v>0.09</v>
      </c>
      <c r="H20" s="78">
        <f t="shared" si="9"/>
        <v>0.09</v>
      </c>
      <c r="I20" s="78">
        <f t="shared" si="9"/>
        <v>9.0000000000000011E-2</v>
      </c>
      <c r="J20" s="78">
        <f t="shared" si="9"/>
        <v>0.105</v>
      </c>
      <c r="Q20" s="78"/>
      <c r="R20" s="78"/>
      <c r="S20" s="78"/>
      <c r="T20" s="78"/>
      <c r="W20" s="70">
        <v>15</v>
      </c>
      <c r="X20" s="113">
        <f>求节点(基础状态预期!$C$17:$C$37,基础状态预期!$O$17:$O$37,$W20)*P$66*INDEX($P$57:$T$57,MATCH($O$66,$P$4:$T$4,0))*求节点(基础状态预期!$C$17:$C$37,基础状态预期!$Y$17:$Y$37,$W20)+
求节点(基础状态预期!$C$17:$C$37,基础状态预期!$P$17:$P$37,$W20)*P$67*INDEX($P$57:$T$57,MATCH($O$67,$P$4:$T$4,0))*求节点(基础状态预期!$C$17:$C$37,基础状态预期!$Z$17:$Z$37,$W20)+
求节点(基础状态预期!$C$17:$C$37,基础状态预期!$Q$17:$Q$37,$W20)*P$68*INDEX($P$57:$T$57,MATCH($O$68,$P$4:$T$4,0))*求节点(基础状态预期!$C$17:$C$37,基础状态预期!$AA$17:$AA$37,$W20)+
求节点(基础状态预期!$C$17:$C$37,基础状态预期!$R$17:$R$37,$W20)*P$69*INDEX($P$57:$T$57,MATCH($O$69,$P$4:$T$4,0))*求节点(基础状态预期!$C$17:$C$37,基础状态预期!$AB$17:$AB$37,$W20)+
求节点(基础状态预期!$C$17:$C$37,基础状态预期!$S$17:$S$37,$W20)*P$70*INDEX($P$57:$T$57,MATCH($O$70,$P$4:$T$4,0))*求节点(基础状态预期!$C$17:$C$37,基础状态预期!$AC$17:$AC$37,$W20)</f>
        <v>0</v>
      </c>
      <c r="Y20" s="113">
        <f>求节点(基础状态预期!$C$43:$C$63,基础状态预期!$O$43:$O$63,$W20)*Q$66*INDEX($P$57:$T$57,MATCH($O$66,$P$4:$T$4,0))*求节点(基础状态预期!$C$43:$C$63,基础状态预期!$Y$43:$Y$63,$W20)+
求节点(基础状态预期!$C$43:$C$63,基础状态预期!$P$43:$P$63,$W20)*Q$67*INDEX($P$57:$T$57,MATCH($O$67,$P$4:$T$4,0))*求节点(基础状态预期!$C$43:$C$63,基础状态预期!$Z$43:$Z$63,$W20)+
求节点(基础状态预期!$C$43:$C$63,基础状态预期!$Q$43:$Q$63,$W20)*Q$68*INDEX($P$57:$T$57,MATCH($O$68,$P$4:$T$4,0))*求节点(基础状态预期!$C$43:$C$63,基础状态预期!$AA$43:$AA$63,$W20)+
求节点(基础状态预期!$C$43:$C$63,基础状态预期!$R$43:$R$63,$W20)*Q$69*INDEX($P$57:$T$57,MATCH($O$69,$P$4:$T$4,0))*求节点(基础状态预期!$C$43:$C$63,基础状态预期!$AB$43:$AB$63,$W20)+
求节点(基础状态预期!$C$43:$C$63,基础状态预期!$S$43:$S$63,$W20)*Q$70*INDEX($P$57:$T$57,MATCH($O$70,$P$4:$T$4,0))*求节点(基础状态预期!$C$43:$C$63,基础状态预期!$AC$43:$AC$63,$W20)</f>
        <v>0</v>
      </c>
      <c r="Z20" s="113">
        <f>求节点(基础状态预期!$C$69:$C$89,基础状态预期!$O$69:$O$89,$W20)*R$66*INDEX($P$57:$T$57,MATCH($O$66,$P$4:$T$4,0))*求节点(基础状态预期!$C$69:$C$89,基础状态预期!AA31:AA51,$W20)+
求节点(基础状态预期!$C$69:$C$89,基础状态预期!$P$69:$P$89,$W20)*R$67*INDEX($P$57:$T$57,MATCH($O$67,$P$4:$T$4,0))*求节点(基础状态预期!$C$69:$C$89,基础状态预期!$Z$69:$Z$89,$W20)+
求节点(基础状态预期!$C$69:$C$89,基础状态预期!$Q$69:$Q$89,$W20)*R$68*INDEX($P$57:$T$57,MATCH($O$68,$P$4:$T$4,0))*求节点(基础状态预期!$C$69:$C$89,基础状态预期!$AA$69:$AA$89,$W20)+
求节点(基础状态预期!$C$69:$C$89,基础状态预期!$R$69:$R$89,$W20)*R$69*INDEX($P$57:$T$57,MATCH($O$69,$P$4:$T$4,0))*求节点(基础状态预期!$C$69:$C$89,基础状态预期!$AB$69:$AB$89,$W20)+
求节点(基础状态预期!$C$69:$C$89,基础状态预期!$S$69:$S$89,$W20)*R$70*INDEX($P$57:$T$57,MATCH($O$70,$P$4:$T$4,0))*求节点(基础状态预期!$C$69:$C$89,基础状态预期!$AC$69:$AC$89,$W20)</f>
        <v>0</v>
      </c>
      <c r="AA20" s="113">
        <f>求节点(基础状态预期!$C$95:$C$115,基础状态预期!$O$95:$O$115,$W20)*S$66*INDEX($P$57:$T$57,MATCH($O$66,$P$4:$T$4,0))*求节点(基础状态预期!$C$95:$C$115,基础状态预期!$Y$95:$Y$115,$W20)+
求节点(基础状态预期!$C$95:$C$115,基础状态预期!$P$95:$P$115,$W20)*S$67*INDEX($P$57:$T$57,MATCH($O$67,$P$4:$T$4,0))*求节点(基础状态预期!$C$95:$C$115,基础状态预期!$Z$95:$Z$115,$W20)+
求节点(基础状态预期!$C$95:$C$115,基础状态预期!$Q$95:$Q$115,$W20)*S$68*INDEX($P$57:$T$57,MATCH($O$68,$P$4:$T$4,0))*求节点(基础状态预期!$C$95:$C$115,基础状态预期!$AA$95:$AA$115,$W20)+
求节点(基础状态预期!$C$95:$C$115,基础状态预期!$R$95:$R$115,$W20)*S$69*INDEX($P$57:$T$57,MATCH($O$69,$P$4:$T$4,0))*求节点(基础状态预期!$C$95:$C$115,基础状态预期!$AB$95:$AB$115,$W20)+
求节点(基础状态预期!$C$95:$C$115,基础状态预期!$S$95:$S$115,$W20)*S$70*INDEX($P$57:$T$57,MATCH($O$70,$P$4:$T$4,0))*求节点(基础状态预期!$C$95:$C$115,基础状态预期!$AC$95:$AC$115,$W20)</f>
        <v>0</v>
      </c>
      <c r="AB20" s="113">
        <f>求节点(基础状态预期!$C$121:$C$141,基础状态预期!$O$121:$O$141,$W20)*T$66*INDEX($P$57:$T$57,MATCH($O$66,$P$4:$T$4,0))*求节点(基础状态预期!$C$121:$C$141,基础状态预期!$Y$121:$Y$141,$W20)+
求节点(基础状态预期!$C$121:$C$141,基础状态预期!$P$121:$P$141,$W20)*T$67*INDEX($P$57:$T$57,MATCH($O$67,$P$4:$T$4,0))*求节点(基础状态预期!$C$121:$C$141,基础状态预期!$Z$121:$Z$141,$W20)+
求节点(基础状态预期!$C$121:$C$141,基础状态预期!$Q$121:$Q$141,$W20)*T$68*INDEX($P$57:$T$57,MATCH($O$68,$P$4:$T$4,0))*求节点(基础状态预期!$C$121:$C$141,基础状态预期!$AA$121:$AA$141,$W20)+
求节点(基础状态预期!$C$121:$C$141,基础状态预期!$R$121:$R$141,$W20)*T$69*INDEX($P$57:$T$57,MATCH($O$69,$P$4:$T$4,0))*求节点(基础状态预期!$C$121:$C$141,基础状态预期!$AB$121:$AB$141,$W20)+
求节点(基础状态预期!$C$121:$C$141,基础状态预期!$S$121:$S$141,$W20)*T$70*INDEX($P$57:$T$57,MATCH($O$70,$P$4:$T$4,0))*求节点(基础状态预期!$C$121:$C$141,基础状态预期!$AC$121:$AC$141,$W20)</f>
        <v>0</v>
      </c>
      <c r="AE20" s="70">
        <v>15</v>
      </c>
      <c r="AF20" s="113">
        <f>盗宝贼!AI19</f>
        <v>6.4776029721239183</v>
      </c>
      <c r="AG20" s="113">
        <f>盗宝贼!AJ19</f>
        <v>8.1683044965583704</v>
      </c>
      <c r="AH20" s="113">
        <f>盗宝贼!AK19</f>
        <v>9.1091786277114597</v>
      </c>
      <c r="AI20" s="113">
        <f>盗宝贼!AL19</f>
        <v>7.5902345786607368</v>
      </c>
      <c r="AJ20" s="113">
        <f>盗宝贼!AM19</f>
        <v>4.2314228758824477</v>
      </c>
      <c r="AL20" s="78">
        <f>盗宝贼!AI19/AF20</f>
        <v>1</v>
      </c>
      <c r="AM20" s="118"/>
      <c r="AO20" s="123" t="e">
        <f t="shared" si="2"/>
        <v>#DIV/0!</v>
      </c>
      <c r="AP20" s="123" t="e">
        <f t="shared" si="3"/>
        <v>#DIV/0!</v>
      </c>
      <c r="AQ20" s="123" t="e">
        <f t="shared" si="4"/>
        <v>#DIV/0!</v>
      </c>
      <c r="AR20" s="123" t="e">
        <f t="shared" si="5"/>
        <v>#DIV/0!</v>
      </c>
      <c r="AS20" s="123" t="e">
        <f t="shared" si="6"/>
        <v>#DIV/0!</v>
      </c>
    </row>
    <row r="21" spans="3:45" x14ac:dyDescent="0.15">
      <c r="C21" s="66">
        <v>7</v>
      </c>
      <c r="D21" s="66" t="str">
        <f>INDEX(宝物鉴赏!$L$8:$AC$8,MATCH(C21,宝物鉴赏!$L$1:$AC$1,0))</f>
        <v>策略伤害</v>
      </c>
      <c r="E21" s="66">
        <v>2</v>
      </c>
      <c r="G21" s="78">
        <f>G$5*$E21/G$6</f>
        <v>0.12</v>
      </c>
      <c r="H21" s="78">
        <f t="shared" si="9"/>
        <v>0.12</v>
      </c>
      <c r="I21" s="78">
        <f t="shared" si="9"/>
        <v>0.12</v>
      </c>
      <c r="J21" s="78">
        <f t="shared" si="9"/>
        <v>0.13999999999999999</v>
      </c>
      <c r="O21" s="92" t="s">
        <v>379</v>
      </c>
      <c r="P21" s="92"/>
      <c r="Q21" s="97">
        <f>Q13^Q$5*AVERAGE(Q11:Q12)*Q$5+IF(Q$5-1&gt;Q$5/2,Q13^(Q$5-1)*(1-Q13)*AVERAGE(Q11:Q12)*(Q$5-1)-Q13^(Q$5-1)*(Q19)*AVERAGE(Q17:Q18)*1,0)+IF(Q$5-2&gt;Q$5/2,Q13^(Q$5-2)*(1-Q13)^2*AVERAGE(Q11:Q12)*(Q$5-2)-Q13^(Q$5-2)*(Q19^2+Q19*Q15*2)*AVERAGE(Q17:Q18)*2,0)</f>
        <v>3.0000000000000006E-2</v>
      </c>
      <c r="R21" s="97">
        <f t="shared" ref="R21:T21" si="10">R13^R$5*AVERAGE(R11:R12)*R$5+IF(R$5-1&gt;R$5/2,R13^(R$5-1)*(1-R13)*AVERAGE(R11:R12)*(R$5-1)-R13^(R$5-1)*(R19)*AVERAGE(R17:R18)*1,0)+IF(R$5-2&gt;R$5/2,R13^(R$5-2)*(1-R13)^2*AVERAGE(R11:R12)*(R$5-2)-R13^(R$5-2)*(R19^2+R19*R15*2)*AVERAGE(R17:R18)*2,0)</f>
        <v>3.6749999999999998E-2</v>
      </c>
      <c r="S21" s="97">
        <f t="shared" si="10"/>
        <v>3.4155000000000005E-2</v>
      </c>
      <c r="T21" s="97">
        <f t="shared" si="10"/>
        <v>2.2687500000000003E-2</v>
      </c>
      <c r="W21" s="70">
        <v>16</v>
      </c>
      <c r="X21" s="113">
        <f>求节点(基础状态预期!$C$17:$C$37,基础状态预期!$O$17:$O$37,$W21)*P$66*INDEX($P$57:$T$57,MATCH($O$66,$P$4:$T$4,0))*求节点(基础状态预期!$C$17:$C$37,基础状态预期!$Y$17:$Y$37,$W21)+
求节点(基础状态预期!$C$17:$C$37,基础状态预期!$P$17:$P$37,$W21)*P$67*INDEX($P$57:$T$57,MATCH($O$67,$P$4:$T$4,0))*求节点(基础状态预期!$C$17:$C$37,基础状态预期!$Z$17:$Z$37,$W21)+
求节点(基础状态预期!$C$17:$C$37,基础状态预期!$Q$17:$Q$37,$W21)*P$68*INDEX($P$57:$T$57,MATCH($O$68,$P$4:$T$4,0))*求节点(基础状态预期!$C$17:$C$37,基础状态预期!$AA$17:$AA$37,$W21)+
求节点(基础状态预期!$C$17:$C$37,基础状态预期!$R$17:$R$37,$W21)*P$69*INDEX($P$57:$T$57,MATCH($O$69,$P$4:$T$4,0))*求节点(基础状态预期!$C$17:$C$37,基础状态预期!$AB$17:$AB$37,$W21)+
求节点(基础状态预期!$C$17:$C$37,基础状态预期!$S$17:$S$37,$W21)*P$70*INDEX($P$57:$T$57,MATCH($O$70,$P$4:$T$4,0))*求节点(基础状态预期!$C$17:$C$37,基础状态预期!$AC$17:$AC$37,$W21)</f>
        <v>0</v>
      </c>
      <c r="Y21" s="113">
        <f>求节点(基础状态预期!$C$43:$C$63,基础状态预期!$O$43:$O$63,$W21)*Q$66*INDEX($P$57:$T$57,MATCH($O$66,$P$4:$T$4,0))*求节点(基础状态预期!$C$43:$C$63,基础状态预期!$Y$43:$Y$63,$W21)+
求节点(基础状态预期!$C$43:$C$63,基础状态预期!$P$43:$P$63,$W21)*Q$67*INDEX($P$57:$T$57,MATCH($O$67,$P$4:$T$4,0))*求节点(基础状态预期!$C$43:$C$63,基础状态预期!$Z$43:$Z$63,$W21)+
求节点(基础状态预期!$C$43:$C$63,基础状态预期!$Q$43:$Q$63,$W21)*Q$68*INDEX($P$57:$T$57,MATCH($O$68,$P$4:$T$4,0))*求节点(基础状态预期!$C$43:$C$63,基础状态预期!$AA$43:$AA$63,$W21)+
求节点(基础状态预期!$C$43:$C$63,基础状态预期!$R$43:$R$63,$W21)*Q$69*INDEX($P$57:$T$57,MATCH($O$69,$P$4:$T$4,0))*求节点(基础状态预期!$C$43:$C$63,基础状态预期!$AB$43:$AB$63,$W21)+
求节点(基础状态预期!$C$43:$C$63,基础状态预期!$S$43:$S$63,$W21)*Q$70*INDEX($P$57:$T$57,MATCH($O$70,$P$4:$T$4,0))*求节点(基础状态预期!$C$43:$C$63,基础状态预期!$AC$43:$AC$63,$W21)</f>
        <v>0</v>
      </c>
      <c r="Z21" s="113">
        <f>求节点(基础状态预期!$C$69:$C$89,基础状态预期!$O$69:$O$89,$W21)*R$66*INDEX($P$57:$T$57,MATCH($O$66,$P$4:$T$4,0))*求节点(基础状态预期!$C$69:$C$89,基础状态预期!AA32:AA52,$W21)+
求节点(基础状态预期!$C$69:$C$89,基础状态预期!$P$69:$P$89,$W21)*R$67*INDEX($P$57:$T$57,MATCH($O$67,$P$4:$T$4,0))*求节点(基础状态预期!$C$69:$C$89,基础状态预期!$Z$69:$Z$89,$W21)+
求节点(基础状态预期!$C$69:$C$89,基础状态预期!$Q$69:$Q$89,$W21)*R$68*INDEX($P$57:$T$57,MATCH($O$68,$P$4:$T$4,0))*求节点(基础状态预期!$C$69:$C$89,基础状态预期!$AA$69:$AA$89,$W21)+
求节点(基础状态预期!$C$69:$C$89,基础状态预期!$R$69:$R$89,$W21)*R$69*INDEX($P$57:$T$57,MATCH($O$69,$P$4:$T$4,0))*求节点(基础状态预期!$C$69:$C$89,基础状态预期!$AB$69:$AB$89,$W21)+
求节点(基础状态预期!$C$69:$C$89,基础状态预期!$S$69:$S$89,$W21)*R$70*INDEX($P$57:$T$57,MATCH($O$70,$P$4:$T$4,0))*求节点(基础状态预期!$C$69:$C$89,基础状态预期!$AC$69:$AC$89,$W21)</f>
        <v>0</v>
      </c>
      <c r="AA21" s="113">
        <f>求节点(基础状态预期!$C$95:$C$115,基础状态预期!$O$95:$O$115,$W21)*S$66*INDEX($P$57:$T$57,MATCH($O$66,$P$4:$T$4,0))*求节点(基础状态预期!$C$95:$C$115,基础状态预期!$Y$95:$Y$115,$W21)+
求节点(基础状态预期!$C$95:$C$115,基础状态预期!$P$95:$P$115,$W21)*S$67*INDEX($P$57:$T$57,MATCH($O$67,$P$4:$T$4,0))*求节点(基础状态预期!$C$95:$C$115,基础状态预期!$Z$95:$Z$115,$W21)+
求节点(基础状态预期!$C$95:$C$115,基础状态预期!$Q$95:$Q$115,$W21)*S$68*INDEX($P$57:$T$57,MATCH($O$68,$P$4:$T$4,0))*求节点(基础状态预期!$C$95:$C$115,基础状态预期!$AA$95:$AA$115,$W21)+
求节点(基础状态预期!$C$95:$C$115,基础状态预期!$R$95:$R$115,$W21)*S$69*INDEX($P$57:$T$57,MATCH($O$69,$P$4:$T$4,0))*求节点(基础状态预期!$C$95:$C$115,基础状态预期!$AB$95:$AB$115,$W21)+
求节点(基础状态预期!$C$95:$C$115,基础状态预期!$S$95:$S$115,$W21)*S$70*INDEX($P$57:$T$57,MATCH($O$70,$P$4:$T$4,0))*求节点(基础状态预期!$C$95:$C$115,基础状态预期!$AC$95:$AC$115,$W21)</f>
        <v>0</v>
      </c>
      <c r="AB21" s="113">
        <f>求节点(基础状态预期!$C$121:$C$141,基础状态预期!$O$121:$O$141,$W21)*T$66*INDEX($P$57:$T$57,MATCH($O$66,$P$4:$T$4,0))*求节点(基础状态预期!$C$121:$C$141,基础状态预期!$Y$121:$Y$141,$W21)+
求节点(基础状态预期!$C$121:$C$141,基础状态预期!$P$121:$P$141,$W21)*T$67*INDEX($P$57:$T$57,MATCH($O$67,$P$4:$T$4,0))*求节点(基础状态预期!$C$121:$C$141,基础状态预期!$Z$121:$Z$141,$W21)+
求节点(基础状态预期!$C$121:$C$141,基础状态预期!$Q$121:$Q$141,$W21)*T$68*INDEX($P$57:$T$57,MATCH($O$68,$P$4:$T$4,0))*求节点(基础状态预期!$C$121:$C$141,基础状态预期!$AA$121:$AA$141,$W21)+
求节点(基础状态预期!$C$121:$C$141,基础状态预期!$R$121:$R$141,$W21)*T$69*INDEX($P$57:$T$57,MATCH($O$69,$P$4:$T$4,0))*求节点(基础状态预期!$C$121:$C$141,基础状态预期!$AB$121:$AB$141,$W21)+
求节点(基础状态预期!$C$121:$C$141,基础状态预期!$S$121:$S$141,$W21)*T$70*INDEX($P$57:$T$57,MATCH($O$70,$P$4:$T$4,0))*求节点(基础状态预期!$C$121:$C$141,基础状态预期!$AC$121:$AC$141,$W21)</f>
        <v>0</v>
      </c>
      <c r="AE21" s="70">
        <v>16</v>
      </c>
      <c r="AF21" s="113">
        <f>盗宝贼!AI20</f>
        <v>7.4560487102312099</v>
      </c>
      <c r="AG21" s="113">
        <f>盗宝贼!AJ20</f>
        <v>9.4264253571341658</v>
      </c>
      <c r="AH21" s="113">
        <f>盗宝贼!AK20</f>
        <v>10.510783989469784</v>
      </c>
      <c r="AI21" s="113">
        <f>盗宝贼!AL20</f>
        <v>8.8084118086023793</v>
      </c>
      <c r="AJ21" s="113">
        <f>盗宝贼!AM20</f>
        <v>4.9595133894718346</v>
      </c>
      <c r="AL21" s="78">
        <f>盗宝贼!AI20/AF21</f>
        <v>1</v>
      </c>
      <c r="AM21" s="118"/>
      <c r="AO21" s="123" t="e">
        <f t="shared" si="2"/>
        <v>#DIV/0!</v>
      </c>
      <c r="AP21" s="123" t="e">
        <f t="shared" si="3"/>
        <v>#DIV/0!</v>
      </c>
      <c r="AQ21" s="123" t="e">
        <f t="shared" si="4"/>
        <v>#DIV/0!</v>
      </c>
      <c r="AR21" s="123" t="e">
        <f t="shared" si="5"/>
        <v>#DIV/0!</v>
      </c>
      <c r="AS21" s="123" t="e">
        <f t="shared" si="6"/>
        <v>#DIV/0!</v>
      </c>
    </row>
    <row r="22" spans="3:45" x14ac:dyDescent="0.15">
      <c r="C22" s="66">
        <v>8</v>
      </c>
      <c r="D22" s="66" t="str">
        <f>INDEX(宝物鉴赏!$L$8:$AC$8,MATCH(C22,宝物鉴赏!$L$1:$AC$1,0))</f>
        <v>策略免伤</v>
      </c>
      <c r="E22" s="66">
        <v>1.5</v>
      </c>
      <c r="G22" s="78">
        <f>G$5*$E22/G$6</f>
        <v>0.09</v>
      </c>
      <c r="H22" s="78">
        <f t="shared" si="9"/>
        <v>0.09</v>
      </c>
      <c r="I22" s="78">
        <f t="shared" si="9"/>
        <v>9.0000000000000011E-2</v>
      </c>
      <c r="J22" s="78">
        <f t="shared" si="9"/>
        <v>0.105</v>
      </c>
      <c r="O22" s="70" t="s">
        <v>358</v>
      </c>
      <c r="P22" s="70"/>
      <c r="Q22" s="95">
        <f>Q9*Q5/Q21</f>
        <v>8.3333333333333321</v>
      </c>
      <c r="R22" s="95">
        <f t="shared" ref="R22:T22" si="11">R9*R5/R21</f>
        <v>13.605442176870749</v>
      </c>
      <c r="S22" s="95">
        <f t="shared" si="11"/>
        <v>21.958717610891522</v>
      </c>
      <c r="T22" s="95">
        <f t="shared" si="11"/>
        <v>33.057851239669418</v>
      </c>
      <c r="W22" s="70">
        <v>17</v>
      </c>
      <c r="X22" s="113">
        <f>求节点(基础状态预期!$C$17:$C$37,基础状态预期!$O$17:$O$37,$W22)*P$66*INDEX($P$57:$T$57,MATCH($O$66,$P$4:$T$4,0))*求节点(基础状态预期!$C$17:$C$37,基础状态预期!$Y$17:$Y$37,$W22)+
求节点(基础状态预期!$C$17:$C$37,基础状态预期!$P$17:$P$37,$W22)*P$67*INDEX($P$57:$T$57,MATCH($O$67,$P$4:$T$4,0))*求节点(基础状态预期!$C$17:$C$37,基础状态预期!$Z$17:$Z$37,$W22)+
求节点(基础状态预期!$C$17:$C$37,基础状态预期!$Q$17:$Q$37,$W22)*P$68*INDEX($P$57:$T$57,MATCH($O$68,$P$4:$T$4,0))*求节点(基础状态预期!$C$17:$C$37,基础状态预期!$AA$17:$AA$37,$W22)+
求节点(基础状态预期!$C$17:$C$37,基础状态预期!$R$17:$R$37,$W22)*P$69*INDEX($P$57:$T$57,MATCH($O$69,$P$4:$T$4,0))*求节点(基础状态预期!$C$17:$C$37,基础状态预期!$AB$17:$AB$37,$W22)+
求节点(基础状态预期!$C$17:$C$37,基础状态预期!$S$17:$S$37,$W22)*P$70*INDEX($P$57:$T$57,MATCH($O$70,$P$4:$T$4,0))*求节点(基础状态预期!$C$17:$C$37,基础状态预期!$AC$17:$AC$37,$W22)</f>
        <v>0</v>
      </c>
      <c r="Y22" s="113">
        <f>求节点(基础状态预期!$C$43:$C$63,基础状态预期!$O$43:$O$63,$W22)*Q$66*INDEX($P$57:$T$57,MATCH($O$66,$P$4:$T$4,0))*求节点(基础状态预期!$C$43:$C$63,基础状态预期!$Y$43:$Y$63,$W22)+
求节点(基础状态预期!$C$43:$C$63,基础状态预期!$P$43:$P$63,$W22)*Q$67*INDEX($P$57:$T$57,MATCH($O$67,$P$4:$T$4,0))*求节点(基础状态预期!$C$43:$C$63,基础状态预期!$Z$43:$Z$63,$W22)+
求节点(基础状态预期!$C$43:$C$63,基础状态预期!$Q$43:$Q$63,$W22)*Q$68*INDEX($P$57:$T$57,MATCH($O$68,$P$4:$T$4,0))*求节点(基础状态预期!$C$43:$C$63,基础状态预期!$AA$43:$AA$63,$W22)+
求节点(基础状态预期!$C$43:$C$63,基础状态预期!$R$43:$R$63,$W22)*Q$69*INDEX($P$57:$T$57,MATCH($O$69,$P$4:$T$4,0))*求节点(基础状态预期!$C$43:$C$63,基础状态预期!$AB$43:$AB$63,$W22)+
求节点(基础状态预期!$C$43:$C$63,基础状态预期!$S$43:$S$63,$W22)*Q$70*INDEX($P$57:$T$57,MATCH($O$70,$P$4:$T$4,0))*求节点(基础状态预期!$C$43:$C$63,基础状态预期!$AC$43:$AC$63,$W22)</f>
        <v>0</v>
      </c>
      <c r="Z22" s="113">
        <f>求节点(基础状态预期!$C$69:$C$89,基础状态预期!$O$69:$O$89,$W22)*R$66*INDEX($P$57:$T$57,MATCH($O$66,$P$4:$T$4,0))*求节点(基础状态预期!$C$69:$C$89,基础状态预期!AA33:AA53,$W22)+
求节点(基础状态预期!$C$69:$C$89,基础状态预期!$P$69:$P$89,$W22)*R$67*INDEX($P$57:$T$57,MATCH($O$67,$P$4:$T$4,0))*求节点(基础状态预期!$C$69:$C$89,基础状态预期!$Z$69:$Z$89,$W22)+
求节点(基础状态预期!$C$69:$C$89,基础状态预期!$Q$69:$Q$89,$W22)*R$68*INDEX($P$57:$T$57,MATCH($O$68,$P$4:$T$4,0))*求节点(基础状态预期!$C$69:$C$89,基础状态预期!$AA$69:$AA$89,$W22)+
求节点(基础状态预期!$C$69:$C$89,基础状态预期!$R$69:$R$89,$W22)*R$69*INDEX($P$57:$T$57,MATCH($O$69,$P$4:$T$4,0))*求节点(基础状态预期!$C$69:$C$89,基础状态预期!$AB$69:$AB$89,$W22)+
求节点(基础状态预期!$C$69:$C$89,基础状态预期!$S$69:$S$89,$W22)*R$70*INDEX($P$57:$T$57,MATCH($O$70,$P$4:$T$4,0))*求节点(基础状态预期!$C$69:$C$89,基础状态预期!$AC$69:$AC$89,$W22)</f>
        <v>0</v>
      </c>
      <c r="AA22" s="113">
        <f>求节点(基础状态预期!$C$95:$C$115,基础状态预期!$O$95:$O$115,$W22)*S$66*INDEX($P$57:$T$57,MATCH($O$66,$P$4:$T$4,0))*求节点(基础状态预期!$C$95:$C$115,基础状态预期!$Y$95:$Y$115,$W22)+
求节点(基础状态预期!$C$95:$C$115,基础状态预期!$P$95:$P$115,$W22)*S$67*INDEX($P$57:$T$57,MATCH($O$67,$P$4:$T$4,0))*求节点(基础状态预期!$C$95:$C$115,基础状态预期!$Z$95:$Z$115,$W22)+
求节点(基础状态预期!$C$95:$C$115,基础状态预期!$Q$95:$Q$115,$W22)*S$68*INDEX($P$57:$T$57,MATCH($O$68,$P$4:$T$4,0))*求节点(基础状态预期!$C$95:$C$115,基础状态预期!$AA$95:$AA$115,$W22)+
求节点(基础状态预期!$C$95:$C$115,基础状态预期!$R$95:$R$115,$W22)*S$69*INDEX($P$57:$T$57,MATCH($O$69,$P$4:$T$4,0))*求节点(基础状态预期!$C$95:$C$115,基础状态预期!$AB$95:$AB$115,$W22)+
求节点(基础状态预期!$C$95:$C$115,基础状态预期!$S$95:$S$115,$W22)*S$70*INDEX($P$57:$T$57,MATCH($O$70,$P$4:$T$4,0))*求节点(基础状态预期!$C$95:$C$115,基础状态预期!$AC$95:$AC$115,$W22)</f>
        <v>0</v>
      </c>
      <c r="AB22" s="113">
        <f>求节点(基础状态预期!$C$121:$C$141,基础状态预期!$O$121:$O$141,$W22)*T$66*INDEX($P$57:$T$57,MATCH($O$66,$P$4:$T$4,0))*求节点(基础状态预期!$C$121:$C$141,基础状态预期!$Y$121:$Y$141,$W22)+
求节点(基础状态预期!$C$121:$C$141,基础状态预期!$P$121:$P$141,$W22)*T$67*INDEX($P$57:$T$57,MATCH($O$67,$P$4:$T$4,0))*求节点(基础状态预期!$C$121:$C$141,基础状态预期!$Z$121:$Z$141,$W22)+
求节点(基础状态预期!$C$121:$C$141,基础状态预期!$Q$121:$Q$141,$W22)*T$68*INDEX($P$57:$T$57,MATCH($O$68,$P$4:$T$4,0))*求节点(基础状态预期!$C$121:$C$141,基础状态预期!$AA$121:$AA$141,$W22)+
求节点(基础状态预期!$C$121:$C$141,基础状态预期!$R$121:$R$141,$W22)*T$69*INDEX($P$57:$T$57,MATCH($O$69,$P$4:$T$4,0))*求节点(基础状态预期!$C$121:$C$141,基础状态预期!$AB$121:$AB$141,$W22)+
求节点(基础状态预期!$C$121:$C$141,基础状态预期!$S$121:$S$141,$W22)*T$70*INDEX($P$57:$T$57,MATCH($O$70,$P$4:$T$4,0))*求节点(基础状态预期!$C$121:$C$141,基础状态预期!$AC$121:$AC$141,$W22)</f>
        <v>0</v>
      </c>
      <c r="AE22" s="70">
        <v>17</v>
      </c>
      <c r="AF22" s="113">
        <f>盗宝贼!AI21</f>
        <v>8.5571544956980983</v>
      </c>
      <c r="AG22" s="113">
        <f>盗宝贼!AJ21</f>
        <v>10.788297220055117</v>
      </c>
      <c r="AH22" s="113">
        <f>盗宝贼!AK21</f>
        <v>12.018719282288677</v>
      </c>
      <c r="AI22" s="113">
        <f>盗宝贼!AL21</f>
        <v>10.081847725599223</v>
      </c>
      <c r="AJ22" s="113">
        <f>盗宝贼!AM21</f>
        <v>5.6225550062513179</v>
      </c>
      <c r="AL22" s="78">
        <f>盗宝贼!AI21/AF22</f>
        <v>1</v>
      </c>
      <c r="AM22" s="118"/>
      <c r="AO22" s="123" t="e">
        <f t="shared" si="2"/>
        <v>#DIV/0!</v>
      </c>
      <c r="AP22" s="123" t="e">
        <f t="shared" si="3"/>
        <v>#DIV/0!</v>
      </c>
      <c r="AQ22" s="123" t="e">
        <f t="shared" si="4"/>
        <v>#DIV/0!</v>
      </c>
      <c r="AR22" s="123" t="e">
        <f t="shared" si="5"/>
        <v>#DIV/0!</v>
      </c>
      <c r="AS22" s="123" t="e">
        <f t="shared" si="6"/>
        <v>#DIV/0!</v>
      </c>
    </row>
    <row r="23" spans="3:45" x14ac:dyDescent="0.15">
      <c r="C23" s="66">
        <v>9</v>
      </c>
      <c r="D23" s="66" t="str">
        <f>INDEX(宝物鉴赏!$L$8:$AC$8,MATCH(C23,宝物鉴赏!$L$1:$AC$1,0))</f>
        <v>武将护甲</v>
      </c>
      <c r="E23" s="66">
        <v>2</v>
      </c>
      <c r="G23" s="57">
        <f>ROUND(((1/(1/1.6*(1-G$5*$E23/G$6)))*1000-1000)-600,-2)</f>
        <v>200</v>
      </c>
      <c r="H23" s="57">
        <f t="shared" ref="H23:J23" si="12">ROUND(((1/(1/1.6*(1-H$5*$E23/H$6)))*1000-1000)-600,-2)</f>
        <v>200</v>
      </c>
      <c r="I23" s="57">
        <f t="shared" si="12"/>
        <v>200</v>
      </c>
      <c r="J23" s="57">
        <f t="shared" si="12"/>
        <v>300</v>
      </c>
      <c r="O23" s="70" t="s">
        <v>359</v>
      </c>
      <c r="P23" s="70"/>
      <c r="Q23" s="47">
        <f>Q22*Q$6</f>
        <v>41.666666666666657</v>
      </c>
      <c r="R23" s="47">
        <f t="shared" ref="R23" si="13">R22*R$6</f>
        <v>272.108843537415</v>
      </c>
      <c r="S23" s="47">
        <f t="shared" ref="S23" si="14">S22*S$6</f>
        <v>2195.8717610891522</v>
      </c>
      <c r="T23" s="47">
        <f t="shared" ref="T23" si="15">T22*T$6</f>
        <v>6611.5702479338834</v>
      </c>
      <c r="W23" s="70">
        <v>18</v>
      </c>
      <c r="X23" s="113">
        <f>求节点(基础状态预期!$C$17:$C$37,基础状态预期!$O$17:$O$37,$W23)*P$66*INDEX($P$57:$T$57,MATCH($O$66,$P$4:$T$4,0))*求节点(基础状态预期!$C$17:$C$37,基础状态预期!$Y$17:$Y$37,$W23)+
求节点(基础状态预期!$C$17:$C$37,基础状态预期!$P$17:$P$37,$W23)*P$67*INDEX($P$57:$T$57,MATCH($O$67,$P$4:$T$4,0))*求节点(基础状态预期!$C$17:$C$37,基础状态预期!$Z$17:$Z$37,$W23)+
求节点(基础状态预期!$C$17:$C$37,基础状态预期!$Q$17:$Q$37,$W23)*P$68*INDEX($P$57:$T$57,MATCH($O$68,$P$4:$T$4,0))*求节点(基础状态预期!$C$17:$C$37,基础状态预期!$AA$17:$AA$37,$W23)+
求节点(基础状态预期!$C$17:$C$37,基础状态预期!$R$17:$R$37,$W23)*P$69*INDEX($P$57:$T$57,MATCH($O$69,$P$4:$T$4,0))*求节点(基础状态预期!$C$17:$C$37,基础状态预期!$AB$17:$AB$37,$W23)+
求节点(基础状态预期!$C$17:$C$37,基础状态预期!$S$17:$S$37,$W23)*P$70*INDEX($P$57:$T$57,MATCH($O$70,$P$4:$T$4,0))*求节点(基础状态预期!$C$17:$C$37,基础状态预期!$AC$17:$AC$37,$W23)</f>
        <v>0</v>
      </c>
      <c r="Y23" s="113">
        <f>求节点(基础状态预期!$C$43:$C$63,基础状态预期!$O$43:$O$63,$W23)*Q$66*INDEX($P$57:$T$57,MATCH($O$66,$P$4:$T$4,0))*求节点(基础状态预期!$C$43:$C$63,基础状态预期!$Y$43:$Y$63,$W23)+
求节点(基础状态预期!$C$43:$C$63,基础状态预期!$P$43:$P$63,$W23)*Q$67*INDEX($P$57:$T$57,MATCH($O$67,$P$4:$T$4,0))*求节点(基础状态预期!$C$43:$C$63,基础状态预期!$Z$43:$Z$63,$W23)+
求节点(基础状态预期!$C$43:$C$63,基础状态预期!$Q$43:$Q$63,$W23)*Q$68*INDEX($P$57:$T$57,MATCH($O$68,$P$4:$T$4,0))*求节点(基础状态预期!$C$43:$C$63,基础状态预期!$AA$43:$AA$63,$W23)+
求节点(基础状态预期!$C$43:$C$63,基础状态预期!$R$43:$R$63,$W23)*Q$69*INDEX($P$57:$T$57,MATCH($O$69,$P$4:$T$4,0))*求节点(基础状态预期!$C$43:$C$63,基础状态预期!$AB$43:$AB$63,$W23)+
求节点(基础状态预期!$C$43:$C$63,基础状态预期!$S$43:$S$63,$W23)*Q$70*INDEX($P$57:$T$57,MATCH($O$70,$P$4:$T$4,0))*求节点(基础状态预期!$C$43:$C$63,基础状态预期!$AC$43:$AC$63,$W23)</f>
        <v>0</v>
      </c>
      <c r="Z23" s="113">
        <f>求节点(基础状态预期!$C$69:$C$89,基础状态预期!$O$69:$O$89,$W23)*R$66*INDEX($P$57:$T$57,MATCH($O$66,$P$4:$T$4,0))*求节点(基础状态预期!$C$69:$C$89,基础状态预期!AA34:AA54,$W23)+
求节点(基础状态预期!$C$69:$C$89,基础状态预期!$P$69:$P$89,$W23)*R$67*INDEX($P$57:$T$57,MATCH($O$67,$P$4:$T$4,0))*求节点(基础状态预期!$C$69:$C$89,基础状态预期!$Z$69:$Z$89,$W23)+
求节点(基础状态预期!$C$69:$C$89,基础状态预期!$Q$69:$Q$89,$W23)*R$68*INDEX($P$57:$T$57,MATCH($O$68,$P$4:$T$4,0))*求节点(基础状态预期!$C$69:$C$89,基础状态预期!$AA$69:$AA$89,$W23)+
求节点(基础状态预期!$C$69:$C$89,基础状态预期!$R$69:$R$89,$W23)*R$69*INDEX($P$57:$T$57,MATCH($O$69,$P$4:$T$4,0))*求节点(基础状态预期!$C$69:$C$89,基础状态预期!$AB$69:$AB$89,$W23)+
求节点(基础状态预期!$C$69:$C$89,基础状态预期!$S$69:$S$89,$W23)*R$70*INDEX($P$57:$T$57,MATCH($O$70,$P$4:$T$4,0))*求节点(基础状态预期!$C$69:$C$89,基础状态预期!$AC$69:$AC$89,$W23)</f>
        <v>0</v>
      </c>
      <c r="AA23" s="113">
        <f>求节点(基础状态预期!$C$95:$C$115,基础状态预期!$O$95:$O$115,$W23)*S$66*INDEX($P$57:$T$57,MATCH($O$66,$P$4:$T$4,0))*求节点(基础状态预期!$C$95:$C$115,基础状态预期!$Y$95:$Y$115,$W23)+
求节点(基础状态预期!$C$95:$C$115,基础状态预期!$P$95:$P$115,$W23)*S$67*INDEX($P$57:$T$57,MATCH($O$67,$P$4:$T$4,0))*求节点(基础状态预期!$C$95:$C$115,基础状态预期!$Z$95:$Z$115,$W23)+
求节点(基础状态预期!$C$95:$C$115,基础状态预期!$Q$95:$Q$115,$W23)*S$68*INDEX($P$57:$T$57,MATCH($O$68,$P$4:$T$4,0))*求节点(基础状态预期!$C$95:$C$115,基础状态预期!$AA$95:$AA$115,$W23)+
求节点(基础状态预期!$C$95:$C$115,基础状态预期!$R$95:$R$115,$W23)*S$69*INDEX($P$57:$T$57,MATCH($O$69,$P$4:$T$4,0))*求节点(基础状态预期!$C$95:$C$115,基础状态预期!$AB$95:$AB$115,$W23)+
求节点(基础状态预期!$C$95:$C$115,基础状态预期!$S$95:$S$115,$W23)*S$70*INDEX($P$57:$T$57,MATCH($O$70,$P$4:$T$4,0))*求节点(基础状态预期!$C$95:$C$115,基础状态预期!$AC$95:$AC$115,$W23)</f>
        <v>0</v>
      </c>
      <c r="AB23" s="113">
        <f>求节点(基础状态预期!$C$121:$C$141,基础状态预期!$O$121:$O$141,$W23)*T$66*INDEX($P$57:$T$57,MATCH($O$66,$P$4:$T$4,0))*求节点(基础状态预期!$C$121:$C$141,基础状态预期!$Y$121:$Y$141,$W23)+
求节点(基础状态预期!$C$121:$C$141,基础状态预期!$P$121:$P$141,$W23)*T$67*INDEX($P$57:$T$57,MATCH($O$67,$P$4:$T$4,0))*求节点(基础状态预期!$C$121:$C$141,基础状态预期!$Z$121:$Z$141,$W23)+
求节点(基础状态预期!$C$121:$C$141,基础状态预期!$Q$121:$Q$141,$W23)*T$68*INDEX($P$57:$T$57,MATCH($O$68,$P$4:$T$4,0))*求节点(基础状态预期!$C$121:$C$141,基础状态预期!$AA$121:$AA$141,$W23)+
求节点(基础状态预期!$C$121:$C$141,基础状态预期!$R$121:$R$141,$W23)*T$69*INDEX($P$57:$T$57,MATCH($O$69,$P$4:$T$4,0))*求节点(基础状态预期!$C$121:$C$141,基础状态预期!$AB$121:$AB$141,$W23)+
求节点(基础状态预期!$C$121:$C$141,基础状态预期!$S$121:$S$141,$W23)*T$70*INDEX($P$57:$T$57,MATCH($O$70,$P$4:$T$4,0))*求节点(基础状态预期!$C$121:$C$141,基础状态预期!$AC$121:$AC$141,$W23)</f>
        <v>0</v>
      </c>
      <c r="AE23" s="70">
        <v>18</v>
      </c>
      <c r="AF23" s="113">
        <f>盗宝贼!AI22</f>
        <v>9.796297254022118</v>
      </c>
      <c r="AG23" s="113">
        <f>盗宝贼!AJ22</f>
        <v>12.399729019615286</v>
      </c>
      <c r="AH23" s="113">
        <f>盗宝贼!AK22</f>
        <v>13.895824872249875</v>
      </c>
      <c r="AI23" s="113">
        <f>盗宝贼!AL22</f>
        <v>11.657463983696251</v>
      </c>
      <c r="AJ23" s="113">
        <f>盗宝贼!AM22</f>
        <v>6.4844141991389153</v>
      </c>
      <c r="AL23" s="78">
        <f>盗宝贼!AI22/AF23</f>
        <v>1</v>
      </c>
      <c r="AM23" s="118"/>
      <c r="AO23" s="123" t="e">
        <f t="shared" si="2"/>
        <v>#DIV/0!</v>
      </c>
      <c r="AP23" s="123" t="e">
        <f t="shared" si="3"/>
        <v>#DIV/0!</v>
      </c>
      <c r="AQ23" s="123" t="e">
        <f t="shared" si="4"/>
        <v>#DIV/0!</v>
      </c>
      <c r="AR23" s="123" t="e">
        <f t="shared" si="5"/>
        <v>#DIV/0!</v>
      </c>
      <c r="AS23" s="123" t="e">
        <f t="shared" si="6"/>
        <v>#DIV/0!</v>
      </c>
    </row>
    <row r="24" spans="3:45" x14ac:dyDescent="0.15">
      <c r="C24" s="66">
        <v>10</v>
      </c>
      <c r="D24" s="66" t="str">
        <f>INDEX(宝物鉴赏!$L$8:$AC$8,MATCH(C24,宝物鉴赏!$L$1:$AC$1,0))</f>
        <v>武将暴击</v>
      </c>
      <c r="E24" s="66">
        <v>4</v>
      </c>
      <c r="G24" s="78">
        <f>G$5*$E24/G$6</f>
        <v>0.24</v>
      </c>
      <c r="H24" s="78">
        <f t="shared" si="9"/>
        <v>0.24</v>
      </c>
      <c r="I24" s="78">
        <f t="shared" si="9"/>
        <v>0.24</v>
      </c>
      <c r="J24" s="78">
        <f t="shared" si="9"/>
        <v>0.27999999999999997</v>
      </c>
      <c r="O24" s="70"/>
      <c r="P24" s="70"/>
      <c r="Q24" s="78"/>
      <c r="R24" s="78"/>
      <c r="S24" s="78"/>
      <c r="T24" s="78"/>
      <c r="W24" s="70">
        <v>19</v>
      </c>
      <c r="X24" s="113">
        <f>求节点(基础状态预期!$C$17:$C$37,基础状态预期!$O$17:$O$37,$W24)*P$66*INDEX($P$57:$T$57,MATCH($O$66,$P$4:$T$4,0))*求节点(基础状态预期!$C$17:$C$37,基础状态预期!$Y$17:$Y$37,$W24)+
求节点(基础状态预期!$C$17:$C$37,基础状态预期!$P$17:$P$37,$W24)*P$67*INDEX($P$57:$T$57,MATCH($O$67,$P$4:$T$4,0))*求节点(基础状态预期!$C$17:$C$37,基础状态预期!$Z$17:$Z$37,$W24)+
求节点(基础状态预期!$C$17:$C$37,基础状态预期!$Q$17:$Q$37,$W24)*P$68*INDEX($P$57:$T$57,MATCH($O$68,$P$4:$T$4,0))*求节点(基础状态预期!$C$17:$C$37,基础状态预期!$AA$17:$AA$37,$W24)+
求节点(基础状态预期!$C$17:$C$37,基础状态预期!$R$17:$R$37,$W24)*P$69*INDEX($P$57:$T$57,MATCH($O$69,$P$4:$T$4,0))*求节点(基础状态预期!$C$17:$C$37,基础状态预期!$AB$17:$AB$37,$W24)+
求节点(基础状态预期!$C$17:$C$37,基础状态预期!$S$17:$S$37,$W24)*P$70*INDEX($P$57:$T$57,MATCH($O$70,$P$4:$T$4,0))*求节点(基础状态预期!$C$17:$C$37,基础状态预期!$AC$17:$AC$37,$W24)</f>
        <v>0</v>
      </c>
      <c r="Y24" s="113">
        <f>求节点(基础状态预期!$C$43:$C$63,基础状态预期!$O$43:$O$63,$W24)*Q$66*INDEX($P$57:$T$57,MATCH($O$66,$P$4:$T$4,0))*求节点(基础状态预期!$C$43:$C$63,基础状态预期!$Y$43:$Y$63,$W24)+
求节点(基础状态预期!$C$43:$C$63,基础状态预期!$P$43:$P$63,$W24)*Q$67*INDEX($P$57:$T$57,MATCH($O$67,$P$4:$T$4,0))*求节点(基础状态预期!$C$43:$C$63,基础状态预期!$Z$43:$Z$63,$W24)+
求节点(基础状态预期!$C$43:$C$63,基础状态预期!$Q$43:$Q$63,$W24)*Q$68*INDEX($P$57:$T$57,MATCH($O$68,$P$4:$T$4,0))*求节点(基础状态预期!$C$43:$C$63,基础状态预期!$AA$43:$AA$63,$W24)+
求节点(基础状态预期!$C$43:$C$63,基础状态预期!$R$43:$R$63,$W24)*Q$69*INDEX($P$57:$T$57,MATCH($O$69,$P$4:$T$4,0))*求节点(基础状态预期!$C$43:$C$63,基础状态预期!$AB$43:$AB$63,$W24)+
求节点(基础状态预期!$C$43:$C$63,基础状态预期!$S$43:$S$63,$W24)*Q$70*INDEX($P$57:$T$57,MATCH($O$70,$P$4:$T$4,0))*求节点(基础状态预期!$C$43:$C$63,基础状态预期!$AC$43:$AC$63,$W24)</f>
        <v>0</v>
      </c>
      <c r="Z24" s="113">
        <f>求节点(基础状态预期!$C$69:$C$89,基础状态预期!$O$69:$O$89,$W24)*R$66*INDEX($P$57:$T$57,MATCH($O$66,$P$4:$T$4,0))*求节点(基础状态预期!$C$69:$C$89,基础状态预期!AA35:AA55,$W24)+
求节点(基础状态预期!$C$69:$C$89,基础状态预期!$P$69:$P$89,$W24)*R$67*INDEX($P$57:$T$57,MATCH($O$67,$P$4:$T$4,0))*求节点(基础状态预期!$C$69:$C$89,基础状态预期!$Z$69:$Z$89,$W24)+
求节点(基础状态预期!$C$69:$C$89,基础状态预期!$Q$69:$Q$89,$W24)*R$68*INDEX($P$57:$T$57,MATCH($O$68,$P$4:$T$4,0))*求节点(基础状态预期!$C$69:$C$89,基础状态预期!$AA$69:$AA$89,$W24)+
求节点(基础状态预期!$C$69:$C$89,基础状态预期!$R$69:$R$89,$W24)*R$69*INDEX($P$57:$T$57,MATCH($O$69,$P$4:$T$4,0))*求节点(基础状态预期!$C$69:$C$89,基础状态预期!$AB$69:$AB$89,$W24)+
求节点(基础状态预期!$C$69:$C$89,基础状态预期!$S$69:$S$89,$W24)*R$70*INDEX($P$57:$T$57,MATCH($O$70,$P$4:$T$4,0))*求节点(基础状态预期!$C$69:$C$89,基础状态预期!$AC$69:$AC$89,$W24)</f>
        <v>0</v>
      </c>
      <c r="AA24" s="113">
        <f>求节点(基础状态预期!$C$95:$C$115,基础状态预期!$O$95:$O$115,$W24)*S$66*INDEX($P$57:$T$57,MATCH($O$66,$P$4:$T$4,0))*求节点(基础状态预期!$C$95:$C$115,基础状态预期!$Y$95:$Y$115,$W24)+
求节点(基础状态预期!$C$95:$C$115,基础状态预期!$P$95:$P$115,$W24)*S$67*INDEX($P$57:$T$57,MATCH($O$67,$P$4:$T$4,0))*求节点(基础状态预期!$C$95:$C$115,基础状态预期!$Z$95:$Z$115,$W24)+
求节点(基础状态预期!$C$95:$C$115,基础状态预期!$Q$95:$Q$115,$W24)*S$68*INDEX($P$57:$T$57,MATCH($O$68,$P$4:$T$4,0))*求节点(基础状态预期!$C$95:$C$115,基础状态预期!$AA$95:$AA$115,$W24)+
求节点(基础状态预期!$C$95:$C$115,基础状态预期!$R$95:$R$115,$W24)*S$69*INDEX($P$57:$T$57,MATCH($O$69,$P$4:$T$4,0))*求节点(基础状态预期!$C$95:$C$115,基础状态预期!$AB$95:$AB$115,$W24)+
求节点(基础状态预期!$C$95:$C$115,基础状态预期!$S$95:$S$115,$W24)*S$70*INDEX($P$57:$T$57,MATCH($O$70,$P$4:$T$4,0))*求节点(基础状态预期!$C$95:$C$115,基础状态预期!$AC$95:$AC$115,$W24)</f>
        <v>0</v>
      </c>
      <c r="AB24" s="113">
        <f>求节点(基础状态预期!$C$121:$C$141,基础状态预期!$O$121:$O$141,$W24)*T$66*INDEX($P$57:$T$57,MATCH($O$66,$P$4:$T$4,0))*求节点(基础状态预期!$C$121:$C$141,基础状态预期!$Y$121:$Y$141,$W24)+
求节点(基础状态预期!$C$121:$C$141,基础状态预期!$P$121:$P$141,$W24)*T$67*INDEX($P$57:$T$57,MATCH($O$67,$P$4:$T$4,0))*求节点(基础状态预期!$C$121:$C$141,基础状态预期!$Z$121:$Z$141,$W24)+
求节点(基础状态预期!$C$121:$C$141,基础状态预期!$Q$121:$Q$141,$W24)*T$68*INDEX($P$57:$T$57,MATCH($O$68,$P$4:$T$4,0))*求节点(基础状态预期!$C$121:$C$141,基础状态预期!$AA$121:$AA$141,$W24)+
求节点(基础状态预期!$C$121:$C$141,基础状态预期!$R$121:$R$141,$W24)*T$69*INDEX($P$57:$T$57,MATCH($O$69,$P$4:$T$4,0))*求节点(基础状态预期!$C$121:$C$141,基础状态预期!$AB$121:$AB$141,$W24)+
求节点(基础状态预期!$C$121:$C$141,基础状态预期!$S$121:$S$141,$W24)*T$70*INDEX($P$57:$T$57,MATCH($O$70,$P$4:$T$4,0))*求节点(基础状态预期!$C$121:$C$141,基础状态预期!$AC$121:$AC$141,$W24)</f>
        <v>0</v>
      </c>
      <c r="AE24" s="70">
        <v>19</v>
      </c>
      <c r="AF24" s="113">
        <f>盗宝贼!AI23</f>
        <v>11.190781594921113</v>
      </c>
      <c r="AG24" s="113">
        <f>盗宝贼!AJ23</f>
        <v>14.202469654699524</v>
      </c>
      <c r="AH24" s="113">
        <f>盗宝贼!AK23</f>
        <v>15.904136543734275</v>
      </c>
      <c r="AI24" s="113">
        <f>盗宝贼!AL23</f>
        <v>13.318178954031684</v>
      </c>
      <c r="AJ24" s="113">
        <f>盗宝贼!AM23</f>
        <v>7.4483009465538936</v>
      </c>
      <c r="AL24" s="78">
        <f>盗宝贼!AI23/AF24</f>
        <v>1</v>
      </c>
      <c r="AM24" s="118"/>
      <c r="AO24" s="123" t="e">
        <f t="shared" si="2"/>
        <v>#DIV/0!</v>
      </c>
      <c r="AP24" s="123" t="e">
        <f t="shared" si="3"/>
        <v>#DIV/0!</v>
      </c>
      <c r="AQ24" s="123" t="e">
        <f t="shared" si="4"/>
        <v>#DIV/0!</v>
      </c>
      <c r="AR24" s="123" t="e">
        <f t="shared" si="5"/>
        <v>#DIV/0!</v>
      </c>
      <c r="AS24" s="123" t="e">
        <f t="shared" si="6"/>
        <v>#DIV/0!</v>
      </c>
    </row>
    <row r="25" spans="3:45" x14ac:dyDescent="0.15">
      <c r="C25" s="66">
        <v>11</v>
      </c>
      <c r="D25" s="66" t="str">
        <f>INDEX(宝物鉴赏!$L$8:$AC$8,MATCH(C25,宝物鉴赏!$L$1:$AC$1,0))</f>
        <v>武将韧性</v>
      </c>
      <c r="E25" s="66">
        <v>8</v>
      </c>
      <c r="G25" s="78">
        <f>G$5*$E25/G$6</f>
        <v>0.48</v>
      </c>
      <c r="H25" s="78">
        <f t="shared" si="9"/>
        <v>0.48</v>
      </c>
      <c r="I25" s="78">
        <f t="shared" si="9"/>
        <v>0.48</v>
      </c>
      <c r="J25" s="78">
        <f t="shared" si="9"/>
        <v>0.55999999999999994</v>
      </c>
      <c r="Q25" s="78"/>
      <c r="R25" s="78"/>
      <c r="S25" s="78"/>
      <c r="T25" s="78"/>
      <c r="W25" s="70">
        <v>20</v>
      </c>
      <c r="X25" s="113">
        <f>求节点(基础状态预期!$C$17:$C$37,基础状态预期!$O$17:$O$37,$W25)*P$66*INDEX($P$57:$T$57,MATCH($O$66,$P$4:$T$4,0))*求节点(基础状态预期!$C$17:$C$37,基础状态预期!$Y$17:$Y$37,$W25)+
求节点(基础状态预期!$C$17:$C$37,基础状态预期!$P$17:$P$37,$W25)*P$67*INDEX($P$57:$T$57,MATCH($O$67,$P$4:$T$4,0))*求节点(基础状态预期!$C$17:$C$37,基础状态预期!$Z$17:$Z$37,$W25)+
求节点(基础状态预期!$C$17:$C$37,基础状态预期!$Q$17:$Q$37,$W25)*P$68*INDEX($P$57:$T$57,MATCH($O$68,$P$4:$T$4,0))*求节点(基础状态预期!$C$17:$C$37,基础状态预期!$AA$17:$AA$37,$W25)+
求节点(基础状态预期!$C$17:$C$37,基础状态预期!$R$17:$R$37,$W25)*P$69*INDEX($P$57:$T$57,MATCH($O$69,$P$4:$T$4,0))*求节点(基础状态预期!$C$17:$C$37,基础状态预期!$AB$17:$AB$37,$W25)+
求节点(基础状态预期!$C$17:$C$37,基础状态预期!$S$17:$S$37,$W25)*P$70*INDEX($P$57:$T$57,MATCH($O$70,$P$4:$T$4,0))*求节点(基础状态预期!$C$17:$C$37,基础状态预期!$AC$17:$AC$37,$W25)</f>
        <v>0</v>
      </c>
      <c r="Y25" s="113">
        <f>求节点(基础状态预期!$C$43:$C$63,基础状态预期!$O$43:$O$63,$W25)*Q$66*INDEX($P$57:$T$57,MATCH($O$66,$P$4:$T$4,0))*求节点(基础状态预期!$C$43:$C$63,基础状态预期!$Y$43:$Y$63,$W25)+
求节点(基础状态预期!$C$43:$C$63,基础状态预期!$P$43:$P$63,$W25)*Q$67*INDEX($P$57:$T$57,MATCH($O$67,$P$4:$T$4,0))*求节点(基础状态预期!$C$43:$C$63,基础状态预期!$Z$43:$Z$63,$W25)+
求节点(基础状态预期!$C$43:$C$63,基础状态预期!$Q$43:$Q$63,$W25)*Q$68*INDEX($P$57:$T$57,MATCH($O$68,$P$4:$T$4,0))*求节点(基础状态预期!$C$43:$C$63,基础状态预期!$AA$43:$AA$63,$W25)+
求节点(基础状态预期!$C$43:$C$63,基础状态预期!$R$43:$R$63,$W25)*Q$69*INDEX($P$57:$T$57,MATCH($O$69,$P$4:$T$4,0))*求节点(基础状态预期!$C$43:$C$63,基础状态预期!$AB$43:$AB$63,$W25)+
求节点(基础状态预期!$C$43:$C$63,基础状态预期!$S$43:$S$63,$W25)*Q$70*INDEX($P$57:$T$57,MATCH($O$70,$P$4:$T$4,0))*求节点(基础状态预期!$C$43:$C$63,基础状态预期!$AC$43:$AC$63,$W25)</f>
        <v>0</v>
      </c>
      <c r="Z25" s="113">
        <f>求节点(基础状态预期!$C$69:$C$89,基础状态预期!$O$69:$O$89,$W25)*R$66*INDEX($P$57:$T$57,MATCH($O$66,$P$4:$T$4,0))*求节点(基础状态预期!$C$69:$C$89,基础状态预期!AA36:AA56,$W25)+
求节点(基础状态预期!$C$69:$C$89,基础状态预期!$P$69:$P$89,$W25)*R$67*INDEX($P$57:$T$57,MATCH($O$67,$P$4:$T$4,0))*求节点(基础状态预期!$C$69:$C$89,基础状态预期!$Z$69:$Z$89,$W25)+
求节点(基础状态预期!$C$69:$C$89,基础状态预期!$Q$69:$Q$89,$W25)*R$68*INDEX($P$57:$T$57,MATCH($O$68,$P$4:$T$4,0))*求节点(基础状态预期!$C$69:$C$89,基础状态预期!$AA$69:$AA$89,$W25)+
求节点(基础状态预期!$C$69:$C$89,基础状态预期!$R$69:$R$89,$W25)*R$69*INDEX($P$57:$T$57,MATCH($O$69,$P$4:$T$4,0))*求节点(基础状态预期!$C$69:$C$89,基础状态预期!$AB$69:$AB$89,$W25)+
求节点(基础状态预期!$C$69:$C$89,基础状态预期!$S$69:$S$89,$W25)*R$70*INDEX($P$57:$T$57,MATCH($O$70,$P$4:$T$4,0))*求节点(基础状态预期!$C$69:$C$89,基础状态预期!$AC$69:$AC$89,$W25)</f>
        <v>0</v>
      </c>
      <c r="AA25" s="113">
        <f>求节点(基础状态预期!$C$95:$C$115,基础状态预期!$O$95:$O$115,$W25)*S$66*INDEX($P$57:$T$57,MATCH($O$66,$P$4:$T$4,0))*求节点(基础状态预期!$C$95:$C$115,基础状态预期!$Y$95:$Y$115,$W25)+
求节点(基础状态预期!$C$95:$C$115,基础状态预期!$P$95:$P$115,$W25)*S$67*INDEX($P$57:$T$57,MATCH($O$67,$P$4:$T$4,0))*求节点(基础状态预期!$C$95:$C$115,基础状态预期!$Z$95:$Z$115,$W25)+
求节点(基础状态预期!$C$95:$C$115,基础状态预期!$Q$95:$Q$115,$W25)*S$68*INDEX($P$57:$T$57,MATCH($O$68,$P$4:$T$4,0))*求节点(基础状态预期!$C$95:$C$115,基础状态预期!$AA$95:$AA$115,$W25)+
求节点(基础状态预期!$C$95:$C$115,基础状态预期!$R$95:$R$115,$W25)*S$69*INDEX($P$57:$T$57,MATCH($O$69,$P$4:$T$4,0))*求节点(基础状态预期!$C$95:$C$115,基础状态预期!$AB$95:$AB$115,$W25)+
求节点(基础状态预期!$C$95:$C$115,基础状态预期!$S$95:$S$115,$W25)*S$70*INDEX($P$57:$T$57,MATCH($O$70,$P$4:$T$4,0))*求节点(基础状态预期!$C$95:$C$115,基础状态预期!$AC$95:$AC$115,$W25)</f>
        <v>0</v>
      </c>
      <c r="AB25" s="113">
        <f>求节点(基础状态预期!$C$121:$C$141,基础状态预期!$O$121:$O$141,$W25)*T$66*INDEX($P$57:$T$57,MATCH($O$66,$P$4:$T$4,0))*求节点(基础状态预期!$C$121:$C$141,基础状态预期!$Y$121:$Y$141,$W25)+
求节点(基础状态预期!$C$121:$C$141,基础状态预期!$P$121:$P$141,$W25)*T$67*INDEX($P$57:$T$57,MATCH($O$67,$P$4:$T$4,0))*求节点(基础状态预期!$C$121:$C$141,基础状态预期!$Z$121:$Z$141,$W25)+
求节点(基础状态预期!$C$121:$C$141,基础状态预期!$Q$121:$Q$141,$W25)*T$68*INDEX($P$57:$T$57,MATCH($O$68,$P$4:$T$4,0))*求节点(基础状态预期!$C$121:$C$141,基础状态预期!$AA$121:$AA$141,$W25)+
求节点(基础状态预期!$C$121:$C$141,基础状态预期!$R$121:$R$141,$W25)*T$69*INDEX($P$57:$T$57,MATCH($O$69,$P$4:$T$4,0))*求节点(基础状态预期!$C$121:$C$141,基础状态预期!$AB$121:$AB$141,$W25)+
求节点(基础状态预期!$C$121:$C$141,基础状态预期!$S$121:$S$141,$W25)*T$70*INDEX($P$57:$T$57,MATCH($O$70,$P$4:$T$4,0))*求节点(基础状态预期!$C$121:$C$141,基础状态预期!$AC$121:$AC$141,$W25)</f>
        <v>0</v>
      </c>
      <c r="AE25" s="70">
        <v>20</v>
      </c>
      <c r="AF25" s="113">
        <f>盗宝贼!AI24</f>
        <v>12.760081470943966</v>
      </c>
      <c r="AG25" s="113">
        <f>盗宝贼!AJ24</f>
        <v>16.167594871130625</v>
      </c>
      <c r="AH25" s="113">
        <f>盗宝贼!AK24</f>
        <v>18.061941969537635</v>
      </c>
      <c r="AI25" s="113">
        <f>盗宝贼!AL24</f>
        <v>15.161764793929432</v>
      </c>
      <c r="AJ25" s="113">
        <f>盗宝贼!AM24</f>
        <v>8.4609982487785853</v>
      </c>
      <c r="AL25" s="78">
        <f>盗宝贼!AI24/AF25</f>
        <v>1</v>
      </c>
      <c r="AM25" s="118"/>
      <c r="AO25" s="123" t="e">
        <f t="shared" si="2"/>
        <v>#DIV/0!</v>
      </c>
      <c r="AP25" s="123" t="e">
        <f t="shared" si="3"/>
        <v>#DIV/0!</v>
      </c>
      <c r="AQ25" s="123" t="e">
        <f t="shared" si="4"/>
        <v>#DIV/0!</v>
      </c>
      <c r="AR25" s="123" t="e">
        <f t="shared" si="5"/>
        <v>#DIV/0!</v>
      </c>
      <c r="AS25" s="123" t="e">
        <f t="shared" si="6"/>
        <v>#DIV/0!</v>
      </c>
    </row>
    <row r="26" spans="3:45" x14ac:dyDescent="0.15">
      <c r="C26" s="66">
        <v>12</v>
      </c>
      <c r="D26" s="66" t="str">
        <f>INDEX(宝物鉴赏!$L$8:$AC$8,MATCH(C26,宝物鉴赏!$L$1:$AC$1,0))</f>
        <v>武将命中</v>
      </c>
      <c r="E26" s="66">
        <v>4</v>
      </c>
      <c r="G26" s="78">
        <f>G$5*$E26/G$6</f>
        <v>0.24</v>
      </c>
      <c r="H26" s="78">
        <f t="shared" si="9"/>
        <v>0.24</v>
      </c>
      <c r="I26" s="78">
        <f t="shared" si="9"/>
        <v>0.24</v>
      </c>
      <c r="J26" s="78">
        <f t="shared" si="9"/>
        <v>0.27999999999999997</v>
      </c>
      <c r="O26" s="80" t="s">
        <v>351</v>
      </c>
      <c r="P26" s="81"/>
      <c r="Q26" s="82">
        <v>0.6</v>
      </c>
      <c r="R26" s="82">
        <v>0.6</v>
      </c>
      <c r="S26" s="82">
        <v>0.6</v>
      </c>
      <c r="T26" s="83">
        <v>0.6</v>
      </c>
      <c r="W26" s="70">
        <v>21</v>
      </c>
      <c r="X26" s="113">
        <f>求节点(基础状态预期!$C$17:$C$37,基础状态预期!$O$17:$O$37,$W26)*P$66*INDEX($P$57:$T$57,MATCH($O$66,$P$4:$T$4,0))*求节点(基础状态预期!$C$17:$C$37,基础状态预期!$Y$17:$Y$37,$W26)+
求节点(基础状态预期!$C$17:$C$37,基础状态预期!$P$17:$P$37,$W26)*P$67*INDEX($P$57:$T$57,MATCH($O$67,$P$4:$T$4,0))*求节点(基础状态预期!$C$17:$C$37,基础状态预期!$Z$17:$Z$37,$W26)+
求节点(基础状态预期!$C$17:$C$37,基础状态预期!$Q$17:$Q$37,$W26)*P$68*INDEX($P$57:$T$57,MATCH($O$68,$P$4:$T$4,0))*求节点(基础状态预期!$C$17:$C$37,基础状态预期!$AA$17:$AA$37,$W26)+
求节点(基础状态预期!$C$17:$C$37,基础状态预期!$R$17:$R$37,$W26)*P$69*INDEX($P$57:$T$57,MATCH($O$69,$P$4:$T$4,0))*求节点(基础状态预期!$C$17:$C$37,基础状态预期!$AB$17:$AB$37,$W26)+
求节点(基础状态预期!$C$17:$C$37,基础状态预期!$S$17:$S$37,$W26)*P$70*INDEX($P$57:$T$57,MATCH($O$70,$P$4:$T$4,0))*求节点(基础状态预期!$C$17:$C$37,基础状态预期!$AC$17:$AC$37,$W26)</f>
        <v>0</v>
      </c>
      <c r="Y26" s="113">
        <f>求节点(基础状态预期!$C$43:$C$63,基础状态预期!$O$43:$O$63,$W26)*Q$66*INDEX($P$57:$T$57,MATCH($O$66,$P$4:$T$4,0))*求节点(基础状态预期!$C$43:$C$63,基础状态预期!$Y$43:$Y$63,$W26)+
求节点(基础状态预期!$C$43:$C$63,基础状态预期!$P$43:$P$63,$W26)*Q$67*INDEX($P$57:$T$57,MATCH($O$67,$P$4:$T$4,0))*求节点(基础状态预期!$C$43:$C$63,基础状态预期!$Z$43:$Z$63,$W26)+
求节点(基础状态预期!$C$43:$C$63,基础状态预期!$Q$43:$Q$63,$W26)*Q$68*INDEX($P$57:$T$57,MATCH($O$68,$P$4:$T$4,0))*求节点(基础状态预期!$C$43:$C$63,基础状态预期!$AA$43:$AA$63,$W26)+
求节点(基础状态预期!$C$43:$C$63,基础状态预期!$R$43:$R$63,$W26)*Q$69*INDEX($P$57:$T$57,MATCH($O$69,$P$4:$T$4,0))*求节点(基础状态预期!$C$43:$C$63,基础状态预期!$AB$43:$AB$63,$W26)+
求节点(基础状态预期!$C$43:$C$63,基础状态预期!$S$43:$S$63,$W26)*Q$70*INDEX($P$57:$T$57,MATCH($O$70,$P$4:$T$4,0))*求节点(基础状态预期!$C$43:$C$63,基础状态预期!$AC$43:$AC$63,$W26)</f>
        <v>0</v>
      </c>
      <c r="Z26" s="113">
        <f>求节点(基础状态预期!$C$69:$C$89,基础状态预期!$O$69:$O$89,$W26)*R$66*INDEX($P$57:$T$57,MATCH($O$66,$P$4:$T$4,0))*求节点(基础状态预期!$C$69:$C$89,基础状态预期!AA37:AA57,$W26)+
求节点(基础状态预期!$C$69:$C$89,基础状态预期!$P$69:$P$89,$W26)*R$67*INDEX($P$57:$T$57,MATCH($O$67,$P$4:$T$4,0))*求节点(基础状态预期!$C$69:$C$89,基础状态预期!$Z$69:$Z$89,$W26)+
求节点(基础状态预期!$C$69:$C$89,基础状态预期!$Q$69:$Q$89,$W26)*R$68*INDEX($P$57:$T$57,MATCH($O$68,$P$4:$T$4,0))*求节点(基础状态预期!$C$69:$C$89,基础状态预期!$AA$69:$AA$89,$W26)+
求节点(基础状态预期!$C$69:$C$89,基础状态预期!$R$69:$R$89,$W26)*R$69*INDEX($P$57:$T$57,MATCH($O$69,$P$4:$T$4,0))*求节点(基础状态预期!$C$69:$C$89,基础状态预期!$AB$69:$AB$89,$W26)+
求节点(基础状态预期!$C$69:$C$89,基础状态预期!$S$69:$S$89,$W26)*R$70*INDEX($P$57:$T$57,MATCH($O$70,$P$4:$T$4,0))*求节点(基础状态预期!$C$69:$C$89,基础状态预期!$AC$69:$AC$89,$W26)</f>
        <v>0</v>
      </c>
      <c r="AA26" s="113">
        <f>求节点(基础状态预期!$C$95:$C$115,基础状态预期!$O$95:$O$115,$W26)*S$66*INDEX($P$57:$T$57,MATCH($O$66,$P$4:$T$4,0))*求节点(基础状态预期!$C$95:$C$115,基础状态预期!$Y$95:$Y$115,$W26)+
求节点(基础状态预期!$C$95:$C$115,基础状态预期!$P$95:$P$115,$W26)*S$67*INDEX($P$57:$T$57,MATCH($O$67,$P$4:$T$4,0))*求节点(基础状态预期!$C$95:$C$115,基础状态预期!$Z$95:$Z$115,$W26)+
求节点(基础状态预期!$C$95:$C$115,基础状态预期!$Q$95:$Q$115,$W26)*S$68*INDEX($P$57:$T$57,MATCH($O$68,$P$4:$T$4,0))*求节点(基础状态预期!$C$95:$C$115,基础状态预期!$AA$95:$AA$115,$W26)+
求节点(基础状态预期!$C$95:$C$115,基础状态预期!$R$95:$R$115,$W26)*S$69*INDEX($P$57:$T$57,MATCH($O$69,$P$4:$T$4,0))*求节点(基础状态预期!$C$95:$C$115,基础状态预期!$AB$95:$AB$115,$W26)+
求节点(基础状态预期!$C$95:$C$115,基础状态预期!$S$95:$S$115,$W26)*S$70*INDEX($P$57:$T$57,MATCH($O$70,$P$4:$T$4,0))*求节点(基础状态预期!$C$95:$C$115,基础状态预期!$AC$95:$AC$115,$W26)</f>
        <v>0</v>
      </c>
      <c r="AB26" s="113">
        <f>求节点(基础状态预期!$C$121:$C$141,基础状态预期!$O$121:$O$141,$W26)*T$66*INDEX($P$57:$T$57,MATCH($O$66,$P$4:$T$4,0))*求节点(基础状态预期!$C$121:$C$141,基础状态预期!$Y$121:$Y$141,$W26)+
求节点(基础状态预期!$C$121:$C$141,基础状态预期!$P$121:$P$141,$W26)*T$67*INDEX($P$57:$T$57,MATCH($O$67,$P$4:$T$4,0))*求节点(基础状态预期!$C$121:$C$141,基础状态预期!$Z$121:$Z$141,$W26)+
求节点(基础状态预期!$C$121:$C$141,基础状态预期!$Q$121:$Q$141,$W26)*T$68*INDEX($P$57:$T$57,MATCH($O$68,$P$4:$T$4,0))*求节点(基础状态预期!$C$121:$C$141,基础状态预期!$AA$121:$AA$141,$W26)+
求节点(基础状态预期!$C$121:$C$141,基础状态预期!$R$121:$R$141,$W26)*T$69*INDEX($P$57:$T$57,MATCH($O$69,$P$4:$T$4,0))*求节点(基础状态预期!$C$121:$C$141,基础状态预期!$AB$121:$AB$141,$W26)+
求节点(基础状态预期!$C$121:$C$141,基础状态预期!$S$121:$S$141,$W26)*T$70*INDEX($P$57:$T$57,MATCH($O$70,$P$4:$T$4,0))*求节点(基础状态预期!$C$121:$C$141,基础状态预期!$AC$121:$AC$141,$W26)</f>
        <v>0</v>
      </c>
      <c r="AE26" s="70">
        <v>21</v>
      </c>
      <c r="AF26" s="113">
        <f>盗宝贼!AI25</f>
        <v>14.526112130920895</v>
      </c>
      <c r="AG26" s="113">
        <f>盗宝贼!AJ25</f>
        <v>18.391225734050941</v>
      </c>
      <c r="AH26" s="113">
        <f>盗宝贼!AK25</f>
        <v>20.610833398526204</v>
      </c>
      <c r="AI26" s="113">
        <f>盗宝贼!AL25</f>
        <v>17.316974284997784</v>
      </c>
      <c r="AJ26" s="113">
        <f>盗宝贼!AM25</f>
        <v>9.7249501208587166</v>
      </c>
      <c r="AL26" s="78">
        <f>盗宝贼!AI25/AF26</f>
        <v>1</v>
      </c>
      <c r="AM26" s="118"/>
      <c r="AO26" s="123" t="e">
        <f t="shared" si="2"/>
        <v>#DIV/0!</v>
      </c>
      <c r="AP26" s="123" t="e">
        <f t="shared" si="3"/>
        <v>#DIV/0!</v>
      </c>
      <c r="AQ26" s="123" t="e">
        <f t="shared" si="4"/>
        <v>#DIV/0!</v>
      </c>
      <c r="AR26" s="123" t="e">
        <f t="shared" si="5"/>
        <v>#DIV/0!</v>
      </c>
      <c r="AS26" s="123" t="e">
        <f t="shared" si="6"/>
        <v>#DIV/0!</v>
      </c>
    </row>
    <row r="27" spans="3:45" x14ac:dyDescent="0.15">
      <c r="C27" s="66">
        <v>13</v>
      </c>
      <c r="D27" s="66" t="str">
        <f>INDEX(宝物鉴赏!$L$8:$AC$8,MATCH(C27,宝物鉴赏!$L$1:$AC$1,0))</f>
        <v>武将闪避</v>
      </c>
      <c r="E27" s="66">
        <v>2</v>
      </c>
      <c r="G27" s="78">
        <f>G$5*$E27/G$6</f>
        <v>0.12</v>
      </c>
      <c r="H27" s="78">
        <f t="shared" si="9"/>
        <v>0.12</v>
      </c>
      <c r="I27" s="78">
        <f t="shared" si="9"/>
        <v>0.12</v>
      </c>
      <c r="J27" s="78">
        <f t="shared" si="9"/>
        <v>0.13999999999999999</v>
      </c>
      <c r="O27" s="84"/>
      <c r="P27" s="73"/>
      <c r="Q27" s="85"/>
      <c r="R27" s="85"/>
      <c r="S27" s="85"/>
      <c r="T27" s="86"/>
      <c r="W27" s="70">
        <v>22</v>
      </c>
      <c r="X27" s="113">
        <f>求节点(基础状态预期!$C$17:$C$37,基础状态预期!$O$17:$O$37,$W27)*P$66*INDEX($P$57:$T$57,MATCH($O$66,$P$4:$T$4,0))*求节点(基础状态预期!$C$17:$C$37,基础状态预期!$Y$17:$Y$37,$W27)+
求节点(基础状态预期!$C$17:$C$37,基础状态预期!$P$17:$P$37,$W27)*P$67*INDEX($P$57:$T$57,MATCH($O$67,$P$4:$T$4,0))*求节点(基础状态预期!$C$17:$C$37,基础状态预期!$Z$17:$Z$37,$W27)+
求节点(基础状态预期!$C$17:$C$37,基础状态预期!$Q$17:$Q$37,$W27)*P$68*INDEX($P$57:$T$57,MATCH($O$68,$P$4:$T$4,0))*求节点(基础状态预期!$C$17:$C$37,基础状态预期!$AA$17:$AA$37,$W27)+
求节点(基础状态预期!$C$17:$C$37,基础状态预期!$R$17:$R$37,$W27)*P$69*INDEX($P$57:$T$57,MATCH($O$69,$P$4:$T$4,0))*求节点(基础状态预期!$C$17:$C$37,基础状态预期!$AB$17:$AB$37,$W27)+
求节点(基础状态预期!$C$17:$C$37,基础状态预期!$S$17:$S$37,$W27)*P$70*INDEX($P$57:$T$57,MATCH($O$70,$P$4:$T$4,0))*求节点(基础状态预期!$C$17:$C$37,基础状态预期!$AC$17:$AC$37,$W27)</f>
        <v>0</v>
      </c>
      <c r="Y27" s="113">
        <f>求节点(基础状态预期!$C$43:$C$63,基础状态预期!$O$43:$O$63,$W27)*Q$66*INDEX($P$57:$T$57,MATCH($O$66,$P$4:$T$4,0))*求节点(基础状态预期!$C$43:$C$63,基础状态预期!$Y$43:$Y$63,$W27)+
求节点(基础状态预期!$C$43:$C$63,基础状态预期!$P$43:$P$63,$W27)*Q$67*INDEX($P$57:$T$57,MATCH($O$67,$P$4:$T$4,0))*求节点(基础状态预期!$C$43:$C$63,基础状态预期!$Z$43:$Z$63,$W27)+
求节点(基础状态预期!$C$43:$C$63,基础状态预期!$Q$43:$Q$63,$W27)*Q$68*INDEX($P$57:$T$57,MATCH($O$68,$P$4:$T$4,0))*求节点(基础状态预期!$C$43:$C$63,基础状态预期!$AA$43:$AA$63,$W27)+
求节点(基础状态预期!$C$43:$C$63,基础状态预期!$R$43:$R$63,$W27)*Q$69*INDEX($P$57:$T$57,MATCH($O$69,$P$4:$T$4,0))*求节点(基础状态预期!$C$43:$C$63,基础状态预期!$AB$43:$AB$63,$W27)+
求节点(基础状态预期!$C$43:$C$63,基础状态预期!$S$43:$S$63,$W27)*Q$70*INDEX($P$57:$T$57,MATCH($O$70,$P$4:$T$4,0))*求节点(基础状态预期!$C$43:$C$63,基础状态预期!$AC$43:$AC$63,$W27)</f>
        <v>0</v>
      </c>
      <c r="Z27" s="113">
        <f>求节点(基础状态预期!$C$69:$C$89,基础状态预期!$O$69:$O$89,$W27)*R$66*INDEX($P$57:$T$57,MATCH($O$66,$P$4:$T$4,0))*求节点(基础状态预期!$C$69:$C$89,基础状态预期!AA38:AA58,$W27)+
求节点(基础状态预期!$C$69:$C$89,基础状态预期!$P$69:$P$89,$W27)*R$67*INDEX($P$57:$T$57,MATCH($O$67,$P$4:$T$4,0))*求节点(基础状态预期!$C$69:$C$89,基础状态预期!$Z$69:$Z$89,$W27)+
求节点(基础状态预期!$C$69:$C$89,基础状态预期!$Q$69:$Q$89,$W27)*R$68*INDEX($P$57:$T$57,MATCH($O$68,$P$4:$T$4,0))*求节点(基础状态预期!$C$69:$C$89,基础状态预期!$AA$69:$AA$89,$W27)+
求节点(基础状态预期!$C$69:$C$89,基础状态预期!$R$69:$R$89,$W27)*R$69*INDEX($P$57:$T$57,MATCH($O$69,$P$4:$T$4,0))*求节点(基础状态预期!$C$69:$C$89,基础状态预期!$AB$69:$AB$89,$W27)+
求节点(基础状态预期!$C$69:$C$89,基础状态预期!$S$69:$S$89,$W27)*R$70*INDEX($P$57:$T$57,MATCH($O$70,$P$4:$T$4,0))*求节点(基础状态预期!$C$69:$C$89,基础状态预期!$AC$69:$AC$89,$W27)</f>
        <v>0</v>
      </c>
      <c r="AA27" s="113">
        <f>求节点(基础状态预期!$C$95:$C$115,基础状态预期!$O$95:$O$115,$W27)*S$66*INDEX($P$57:$T$57,MATCH($O$66,$P$4:$T$4,0))*求节点(基础状态预期!$C$95:$C$115,基础状态预期!$Y$95:$Y$115,$W27)+
求节点(基础状态预期!$C$95:$C$115,基础状态预期!$P$95:$P$115,$W27)*S$67*INDEX($P$57:$T$57,MATCH($O$67,$P$4:$T$4,0))*求节点(基础状态预期!$C$95:$C$115,基础状态预期!$Z$95:$Z$115,$W27)+
求节点(基础状态预期!$C$95:$C$115,基础状态预期!$Q$95:$Q$115,$W27)*S$68*INDEX($P$57:$T$57,MATCH($O$68,$P$4:$T$4,0))*求节点(基础状态预期!$C$95:$C$115,基础状态预期!$AA$95:$AA$115,$W27)+
求节点(基础状态预期!$C$95:$C$115,基础状态预期!$R$95:$R$115,$W27)*S$69*INDEX($P$57:$T$57,MATCH($O$69,$P$4:$T$4,0))*求节点(基础状态预期!$C$95:$C$115,基础状态预期!$AB$95:$AB$115,$W27)+
求节点(基础状态预期!$C$95:$C$115,基础状态预期!$S$95:$S$115,$W27)*S$70*INDEX($P$57:$T$57,MATCH($O$70,$P$4:$T$4,0))*求节点(基础状态预期!$C$95:$C$115,基础状态预期!$AC$95:$AC$115,$W27)</f>
        <v>0</v>
      </c>
      <c r="AB27" s="113">
        <f>求节点(基础状态预期!$C$121:$C$141,基础状态预期!$O$121:$O$141,$W27)*T$66*INDEX($P$57:$T$57,MATCH($O$66,$P$4:$T$4,0))*求节点(基础状态预期!$C$121:$C$141,基础状态预期!$Y$121:$Y$141,$W27)+
求节点(基础状态预期!$C$121:$C$141,基础状态预期!$P$121:$P$141,$W27)*T$67*INDEX($P$57:$T$57,MATCH($O$67,$P$4:$T$4,0))*求节点(基础状态预期!$C$121:$C$141,基础状态预期!$Z$121:$Z$141,$W27)+
求节点(基础状态预期!$C$121:$C$141,基础状态预期!$Q$121:$Q$141,$W27)*T$68*INDEX($P$57:$T$57,MATCH($O$68,$P$4:$T$4,0))*求节点(基础状态预期!$C$121:$C$141,基础状态预期!$AA$121:$AA$141,$W27)+
求节点(基础状态预期!$C$121:$C$141,基础状态预期!$R$121:$R$141,$W27)*T$69*INDEX($P$57:$T$57,MATCH($O$69,$P$4:$T$4,0))*求节点(基础状态预期!$C$121:$C$141,基础状态预期!$AB$121:$AB$141,$W27)+
求节点(基础状态预期!$C$121:$C$141,基础状态预期!$S$121:$S$141,$W27)*T$70*INDEX($P$57:$T$57,MATCH($O$70,$P$4:$T$4,0))*求节点(基础状态预期!$C$121:$C$141,基础状态预期!$AC$121:$AC$141,$W27)</f>
        <v>0</v>
      </c>
      <c r="AE27" s="70">
        <v>22</v>
      </c>
      <c r="AF27" s="113">
        <f>盗宝贼!AI26</f>
        <v>16.513536166079056</v>
      </c>
      <c r="AG27" s="113">
        <f>盗宝贼!AJ26</f>
        <v>20.953418057742766</v>
      </c>
      <c r="AH27" s="113">
        <f>盗宝贼!AK26</f>
        <v>23.527871748973691</v>
      </c>
      <c r="AI27" s="113">
        <f>盗宝贼!AL26</f>
        <v>19.792738168191011</v>
      </c>
      <c r="AJ27" s="113">
        <f>盗宝贼!AM26</f>
        <v>11.128782589302933</v>
      </c>
      <c r="AL27" s="78">
        <f>盗宝贼!AI26/AF27</f>
        <v>1</v>
      </c>
      <c r="AM27" s="118"/>
      <c r="AO27" s="123" t="e">
        <f t="shared" si="2"/>
        <v>#DIV/0!</v>
      </c>
      <c r="AP27" s="123" t="e">
        <f t="shared" si="3"/>
        <v>#DIV/0!</v>
      </c>
      <c r="AQ27" s="123" t="e">
        <f t="shared" si="4"/>
        <v>#DIV/0!</v>
      </c>
      <c r="AR27" s="123" t="e">
        <f t="shared" si="5"/>
        <v>#DIV/0!</v>
      </c>
      <c r="AS27" s="123" t="e">
        <f t="shared" si="6"/>
        <v>#DIV/0!</v>
      </c>
    </row>
    <row r="28" spans="3:45" x14ac:dyDescent="0.15">
      <c r="C28" s="99">
        <v>14</v>
      </c>
      <c r="D28" s="99" t="str">
        <f>INDEX(宝物鉴赏!$L$8:$AC$8,MATCH(C28,宝物鉴赏!$L$1:$AC$1,0))</f>
        <v>带兵数</v>
      </c>
      <c r="E28" s="99">
        <v>1</v>
      </c>
      <c r="F28" s="99"/>
      <c r="G28" s="57">
        <f>ROUND(G$5*$E28*G10/G$6/100,0)*100</f>
        <v>200</v>
      </c>
      <c r="H28" s="57">
        <f t="shared" ref="H28:J28" si="16">ROUND(H$5*$E28*H10/H$6/100,0)*100</f>
        <v>300</v>
      </c>
      <c r="I28" s="57">
        <f t="shared" si="16"/>
        <v>300</v>
      </c>
      <c r="J28" s="57">
        <f t="shared" si="16"/>
        <v>400</v>
      </c>
      <c r="O28" s="84" t="s">
        <v>341</v>
      </c>
      <c r="P28" s="73"/>
      <c r="Q28" s="85">
        <v>0.01</v>
      </c>
      <c r="R28" s="85">
        <v>0.01</v>
      </c>
      <c r="S28" s="85">
        <v>0.01</v>
      </c>
      <c r="T28" s="86">
        <v>0.01</v>
      </c>
      <c r="W28" s="70">
        <v>23</v>
      </c>
      <c r="X28" s="113">
        <f>求节点(基础状态预期!$C$17:$C$37,基础状态预期!$O$17:$O$37,$W28)*P$66*INDEX($P$57:$T$57,MATCH($O$66,$P$4:$T$4,0))*求节点(基础状态预期!$C$17:$C$37,基础状态预期!$Y$17:$Y$37,$W28)+
求节点(基础状态预期!$C$17:$C$37,基础状态预期!$P$17:$P$37,$W28)*P$67*INDEX($P$57:$T$57,MATCH($O$67,$P$4:$T$4,0))*求节点(基础状态预期!$C$17:$C$37,基础状态预期!$Z$17:$Z$37,$W28)+
求节点(基础状态预期!$C$17:$C$37,基础状态预期!$Q$17:$Q$37,$W28)*P$68*INDEX($P$57:$T$57,MATCH($O$68,$P$4:$T$4,0))*求节点(基础状态预期!$C$17:$C$37,基础状态预期!$AA$17:$AA$37,$W28)+
求节点(基础状态预期!$C$17:$C$37,基础状态预期!$R$17:$R$37,$W28)*P$69*INDEX($P$57:$T$57,MATCH($O$69,$P$4:$T$4,0))*求节点(基础状态预期!$C$17:$C$37,基础状态预期!$AB$17:$AB$37,$W28)+
求节点(基础状态预期!$C$17:$C$37,基础状态预期!$S$17:$S$37,$W28)*P$70*INDEX($P$57:$T$57,MATCH($O$70,$P$4:$T$4,0))*求节点(基础状态预期!$C$17:$C$37,基础状态预期!$AC$17:$AC$37,$W28)</f>
        <v>0</v>
      </c>
      <c r="Y28" s="113">
        <f>求节点(基础状态预期!$C$43:$C$63,基础状态预期!$O$43:$O$63,$W28)*Q$66*INDEX($P$57:$T$57,MATCH($O$66,$P$4:$T$4,0))*求节点(基础状态预期!$C$43:$C$63,基础状态预期!$Y$43:$Y$63,$W28)+
求节点(基础状态预期!$C$43:$C$63,基础状态预期!$P$43:$P$63,$W28)*Q$67*INDEX($P$57:$T$57,MATCH($O$67,$P$4:$T$4,0))*求节点(基础状态预期!$C$43:$C$63,基础状态预期!$Z$43:$Z$63,$W28)+
求节点(基础状态预期!$C$43:$C$63,基础状态预期!$Q$43:$Q$63,$W28)*Q$68*INDEX($P$57:$T$57,MATCH($O$68,$P$4:$T$4,0))*求节点(基础状态预期!$C$43:$C$63,基础状态预期!$AA$43:$AA$63,$W28)+
求节点(基础状态预期!$C$43:$C$63,基础状态预期!$R$43:$R$63,$W28)*Q$69*INDEX($P$57:$T$57,MATCH($O$69,$P$4:$T$4,0))*求节点(基础状态预期!$C$43:$C$63,基础状态预期!$AB$43:$AB$63,$W28)+
求节点(基础状态预期!$C$43:$C$63,基础状态预期!$S$43:$S$63,$W28)*Q$70*INDEX($P$57:$T$57,MATCH($O$70,$P$4:$T$4,0))*求节点(基础状态预期!$C$43:$C$63,基础状态预期!$AC$43:$AC$63,$W28)</f>
        <v>0</v>
      </c>
      <c r="Z28" s="113">
        <f>求节点(基础状态预期!$C$69:$C$89,基础状态预期!$O$69:$O$89,$W28)*R$66*INDEX($P$57:$T$57,MATCH($O$66,$P$4:$T$4,0))*求节点(基础状态预期!$C$69:$C$89,基础状态预期!AA39:AA59,$W28)+
求节点(基础状态预期!$C$69:$C$89,基础状态预期!$P$69:$P$89,$W28)*R$67*INDEX($P$57:$T$57,MATCH($O$67,$P$4:$T$4,0))*求节点(基础状态预期!$C$69:$C$89,基础状态预期!$Z$69:$Z$89,$W28)+
求节点(基础状态预期!$C$69:$C$89,基础状态预期!$Q$69:$Q$89,$W28)*R$68*INDEX($P$57:$T$57,MATCH($O$68,$P$4:$T$4,0))*求节点(基础状态预期!$C$69:$C$89,基础状态预期!$AA$69:$AA$89,$W28)+
求节点(基础状态预期!$C$69:$C$89,基础状态预期!$R$69:$R$89,$W28)*R$69*INDEX($P$57:$T$57,MATCH($O$69,$P$4:$T$4,0))*求节点(基础状态预期!$C$69:$C$89,基础状态预期!$AB$69:$AB$89,$W28)+
求节点(基础状态预期!$C$69:$C$89,基础状态预期!$S$69:$S$89,$W28)*R$70*INDEX($P$57:$T$57,MATCH($O$70,$P$4:$T$4,0))*求节点(基础状态预期!$C$69:$C$89,基础状态预期!$AC$69:$AC$89,$W28)</f>
        <v>0</v>
      </c>
      <c r="AA28" s="113">
        <f>求节点(基础状态预期!$C$95:$C$115,基础状态预期!$O$95:$O$115,$W28)*S$66*INDEX($P$57:$T$57,MATCH($O$66,$P$4:$T$4,0))*求节点(基础状态预期!$C$95:$C$115,基础状态预期!$Y$95:$Y$115,$W28)+
求节点(基础状态预期!$C$95:$C$115,基础状态预期!$P$95:$P$115,$W28)*S$67*INDEX($P$57:$T$57,MATCH($O$67,$P$4:$T$4,0))*求节点(基础状态预期!$C$95:$C$115,基础状态预期!$Z$95:$Z$115,$W28)+
求节点(基础状态预期!$C$95:$C$115,基础状态预期!$Q$95:$Q$115,$W28)*S$68*INDEX($P$57:$T$57,MATCH($O$68,$P$4:$T$4,0))*求节点(基础状态预期!$C$95:$C$115,基础状态预期!$AA$95:$AA$115,$W28)+
求节点(基础状态预期!$C$95:$C$115,基础状态预期!$R$95:$R$115,$W28)*S$69*INDEX($P$57:$T$57,MATCH($O$69,$P$4:$T$4,0))*求节点(基础状态预期!$C$95:$C$115,基础状态预期!$AB$95:$AB$115,$W28)+
求节点(基础状态预期!$C$95:$C$115,基础状态预期!$S$95:$S$115,$W28)*S$70*INDEX($P$57:$T$57,MATCH($O$70,$P$4:$T$4,0))*求节点(基础状态预期!$C$95:$C$115,基础状态预期!$AC$95:$AC$115,$W28)</f>
        <v>0</v>
      </c>
      <c r="AB28" s="113">
        <f>求节点(基础状态预期!$C$121:$C$141,基础状态预期!$O$121:$O$141,$W28)*T$66*INDEX($P$57:$T$57,MATCH($O$66,$P$4:$T$4,0))*求节点(基础状态预期!$C$121:$C$141,基础状态预期!$Y$121:$Y$141,$W28)+
求节点(基础状态预期!$C$121:$C$141,基础状态预期!$P$121:$P$141,$W28)*T$67*INDEX($P$57:$T$57,MATCH($O$67,$P$4:$T$4,0))*求节点(基础状态预期!$C$121:$C$141,基础状态预期!$Z$121:$Z$141,$W28)+
求节点(基础状态预期!$C$121:$C$141,基础状态预期!$Q$121:$Q$141,$W28)*T$68*INDEX($P$57:$T$57,MATCH($O$68,$P$4:$T$4,0))*求节点(基础状态预期!$C$121:$C$141,基础状态预期!$AA$121:$AA$141,$W28)+
求节点(基础状态预期!$C$121:$C$141,基础状态预期!$R$121:$R$141,$W28)*T$69*INDEX($P$57:$T$57,MATCH($O$69,$P$4:$T$4,0))*求节点(基础状态预期!$C$121:$C$141,基础状态预期!$AB$121:$AB$141,$W28)+
求节点(基础状态预期!$C$121:$C$141,基础状态预期!$S$121:$S$141,$W28)*T$70*INDEX($P$57:$T$57,MATCH($O$70,$P$4:$T$4,0))*求节点(基础状态预期!$C$121:$C$141,基础状态预期!$AC$121:$AC$141,$W28)</f>
        <v>0</v>
      </c>
      <c r="AE28" s="70">
        <v>23</v>
      </c>
      <c r="AF28" s="113">
        <f>盗宝贼!AI27</f>
        <v>18.750107922752839</v>
      </c>
      <c r="AG28" s="113">
        <f>盗宝贼!AJ27</f>
        <v>23.75747464792099</v>
      </c>
      <c r="AH28" s="113">
        <f>盗宝贼!AK27</f>
        <v>26.633972617039401</v>
      </c>
      <c r="AI28" s="113">
        <f>盗宝贼!AL27</f>
        <v>22.402793277627357</v>
      </c>
      <c r="AJ28" s="113">
        <f>盗宝贼!AM27</f>
        <v>12.528258142589397</v>
      </c>
      <c r="AL28" s="78">
        <f>盗宝贼!AI27/AF28</f>
        <v>1</v>
      </c>
      <c r="AM28" s="118"/>
      <c r="AO28" s="123" t="e">
        <f t="shared" si="2"/>
        <v>#DIV/0!</v>
      </c>
      <c r="AP28" s="123" t="e">
        <f t="shared" si="3"/>
        <v>#DIV/0!</v>
      </c>
      <c r="AQ28" s="123" t="e">
        <f t="shared" si="4"/>
        <v>#DIV/0!</v>
      </c>
      <c r="AR28" s="123" t="e">
        <f t="shared" si="5"/>
        <v>#DIV/0!</v>
      </c>
      <c r="AS28" s="123" t="e">
        <f t="shared" si="6"/>
        <v>#DIV/0!</v>
      </c>
    </row>
    <row r="29" spans="3:45" x14ac:dyDescent="0.15">
      <c r="C29" s="99">
        <v>15</v>
      </c>
      <c r="D29" s="99" t="str">
        <f>INDEX(宝物鉴赏!$L$8:$AC$8,MATCH(C29,宝物鉴赏!$L$1:$AC$1,0))</f>
        <v>攻城值</v>
      </c>
      <c r="E29" s="66">
        <v>4</v>
      </c>
      <c r="G29" s="57">
        <f>ROUND(G$11*G$5*$E29/G$6,-2)</f>
        <v>200</v>
      </c>
      <c r="H29" s="57">
        <f t="shared" ref="H29:J29" si="17">ROUND(H$11*H$5*$E29/H$6,-2)</f>
        <v>200</v>
      </c>
      <c r="I29" s="57">
        <f t="shared" si="17"/>
        <v>300</v>
      </c>
      <c r="J29" s="57">
        <f t="shared" si="17"/>
        <v>400</v>
      </c>
      <c r="O29" s="84" t="s">
        <v>342</v>
      </c>
      <c r="P29" s="73"/>
      <c r="Q29" s="85">
        <v>0.03</v>
      </c>
      <c r="R29" s="85">
        <v>0.03</v>
      </c>
      <c r="S29" s="85">
        <v>0.03</v>
      </c>
      <c r="T29" s="86">
        <v>0.03</v>
      </c>
      <c r="W29" s="70">
        <v>24</v>
      </c>
      <c r="X29" s="113">
        <f>求节点(基础状态预期!$C$17:$C$37,基础状态预期!$O$17:$O$37,$W29)*P$66*INDEX($P$57:$T$57,MATCH($O$66,$P$4:$T$4,0))*求节点(基础状态预期!$C$17:$C$37,基础状态预期!$Y$17:$Y$37,$W29)+
求节点(基础状态预期!$C$17:$C$37,基础状态预期!$P$17:$P$37,$W29)*P$67*INDEX($P$57:$T$57,MATCH($O$67,$P$4:$T$4,0))*求节点(基础状态预期!$C$17:$C$37,基础状态预期!$Z$17:$Z$37,$W29)+
求节点(基础状态预期!$C$17:$C$37,基础状态预期!$Q$17:$Q$37,$W29)*P$68*INDEX($P$57:$T$57,MATCH($O$68,$P$4:$T$4,0))*求节点(基础状态预期!$C$17:$C$37,基础状态预期!$AA$17:$AA$37,$W29)+
求节点(基础状态预期!$C$17:$C$37,基础状态预期!$R$17:$R$37,$W29)*P$69*INDEX($P$57:$T$57,MATCH($O$69,$P$4:$T$4,0))*求节点(基础状态预期!$C$17:$C$37,基础状态预期!$AB$17:$AB$37,$W29)+
求节点(基础状态预期!$C$17:$C$37,基础状态预期!$S$17:$S$37,$W29)*P$70*INDEX($P$57:$T$57,MATCH($O$70,$P$4:$T$4,0))*求节点(基础状态预期!$C$17:$C$37,基础状态预期!$AC$17:$AC$37,$W29)</f>
        <v>0</v>
      </c>
      <c r="Y29" s="113">
        <f>求节点(基础状态预期!$C$43:$C$63,基础状态预期!$O$43:$O$63,$W29)*Q$66*INDEX($P$57:$T$57,MATCH($O$66,$P$4:$T$4,0))*求节点(基础状态预期!$C$43:$C$63,基础状态预期!$Y$43:$Y$63,$W29)+
求节点(基础状态预期!$C$43:$C$63,基础状态预期!$P$43:$P$63,$W29)*Q$67*INDEX($P$57:$T$57,MATCH($O$67,$P$4:$T$4,0))*求节点(基础状态预期!$C$43:$C$63,基础状态预期!$Z$43:$Z$63,$W29)+
求节点(基础状态预期!$C$43:$C$63,基础状态预期!$Q$43:$Q$63,$W29)*Q$68*INDEX($P$57:$T$57,MATCH($O$68,$P$4:$T$4,0))*求节点(基础状态预期!$C$43:$C$63,基础状态预期!$AA$43:$AA$63,$W29)+
求节点(基础状态预期!$C$43:$C$63,基础状态预期!$R$43:$R$63,$W29)*Q$69*INDEX($P$57:$T$57,MATCH($O$69,$P$4:$T$4,0))*求节点(基础状态预期!$C$43:$C$63,基础状态预期!$AB$43:$AB$63,$W29)+
求节点(基础状态预期!$C$43:$C$63,基础状态预期!$S$43:$S$63,$W29)*Q$70*INDEX($P$57:$T$57,MATCH($O$70,$P$4:$T$4,0))*求节点(基础状态预期!$C$43:$C$63,基础状态预期!$AC$43:$AC$63,$W29)</f>
        <v>0</v>
      </c>
      <c r="Z29" s="113">
        <f>求节点(基础状态预期!$C$69:$C$89,基础状态预期!$O$69:$O$89,$W29)*R$66*INDEX($P$57:$T$57,MATCH($O$66,$P$4:$T$4,0))*求节点(基础状态预期!$C$69:$C$89,基础状态预期!AA40:AA60,$W29)+
求节点(基础状态预期!$C$69:$C$89,基础状态预期!$P$69:$P$89,$W29)*R$67*INDEX($P$57:$T$57,MATCH($O$67,$P$4:$T$4,0))*求节点(基础状态预期!$C$69:$C$89,基础状态预期!$Z$69:$Z$89,$W29)+
求节点(基础状态预期!$C$69:$C$89,基础状态预期!$Q$69:$Q$89,$W29)*R$68*INDEX($P$57:$T$57,MATCH($O$68,$P$4:$T$4,0))*求节点(基础状态预期!$C$69:$C$89,基础状态预期!$AA$69:$AA$89,$W29)+
求节点(基础状态预期!$C$69:$C$89,基础状态预期!$R$69:$R$89,$W29)*R$69*INDEX($P$57:$T$57,MATCH($O$69,$P$4:$T$4,0))*求节点(基础状态预期!$C$69:$C$89,基础状态预期!$AB$69:$AB$89,$W29)+
求节点(基础状态预期!$C$69:$C$89,基础状态预期!$S$69:$S$89,$W29)*R$70*INDEX($P$57:$T$57,MATCH($O$70,$P$4:$T$4,0))*求节点(基础状态预期!$C$69:$C$89,基础状态预期!$AC$69:$AC$89,$W29)</f>
        <v>0</v>
      </c>
      <c r="AA29" s="113">
        <f>求节点(基础状态预期!$C$95:$C$115,基础状态预期!$O$95:$O$115,$W29)*S$66*INDEX($P$57:$T$57,MATCH($O$66,$P$4:$T$4,0))*求节点(基础状态预期!$C$95:$C$115,基础状态预期!$Y$95:$Y$115,$W29)+
求节点(基础状态预期!$C$95:$C$115,基础状态预期!$P$95:$P$115,$W29)*S$67*INDEX($P$57:$T$57,MATCH($O$67,$P$4:$T$4,0))*求节点(基础状态预期!$C$95:$C$115,基础状态预期!$Z$95:$Z$115,$W29)+
求节点(基础状态预期!$C$95:$C$115,基础状态预期!$Q$95:$Q$115,$W29)*S$68*INDEX($P$57:$T$57,MATCH($O$68,$P$4:$T$4,0))*求节点(基础状态预期!$C$95:$C$115,基础状态预期!$AA$95:$AA$115,$W29)+
求节点(基础状态预期!$C$95:$C$115,基础状态预期!$R$95:$R$115,$W29)*S$69*INDEX($P$57:$T$57,MATCH($O$69,$P$4:$T$4,0))*求节点(基础状态预期!$C$95:$C$115,基础状态预期!$AB$95:$AB$115,$W29)+
求节点(基础状态预期!$C$95:$C$115,基础状态预期!$S$95:$S$115,$W29)*S$70*INDEX($P$57:$T$57,MATCH($O$70,$P$4:$T$4,0))*求节点(基础状态预期!$C$95:$C$115,基础状态预期!$AC$95:$AC$115,$W29)</f>
        <v>0</v>
      </c>
      <c r="AB29" s="113">
        <f>求节点(基础状态预期!$C$121:$C$141,基础状态预期!$O$121:$O$141,$W29)*T$66*INDEX($P$57:$T$57,MATCH($O$66,$P$4:$T$4,0))*求节点(基础状态预期!$C$121:$C$141,基础状态预期!$Y$121:$Y$141,$W29)+
求节点(基础状态预期!$C$121:$C$141,基础状态预期!$P$121:$P$141,$W29)*T$67*INDEX($P$57:$T$57,MATCH($O$67,$P$4:$T$4,0))*求节点(基础状态预期!$C$121:$C$141,基础状态预期!$Z$121:$Z$141,$W29)+
求节点(基础状态预期!$C$121:$C$141,基础状态预期!$Q$121:$Q$141,$W29)*T$68*INDEX($P$57:$T$57,MATCH($O$68,$P$4:$T$4,0))*求节点(基础状态预期!$C$121:$C$141,基础状态预期!$AA$121:$AA$141,$W29)+
求节点(基础状态预期!$C$121:$C$141,基础状态预期!$R$121:$R$141,$W29)*T$69*INDEX($P$57:$T$57,MATCH($O$69,$P$4:$T$4,0))*求节点(基础状态预期!$C$121:$C$141,基础状态预期!$AB$121:$AB$141,$W29)+
求节点(基础状态预期!$C$121:$C$141,基础状态预期!$S$121:$S$141,$W29)*T$70*INDEX($P$57:$T$57,MATCH($O$70,$P$4:$T$4,0))*求节点(基础状态预期!$C$121:$C$141,基础状态预期!$AC$121:$AC$141,$W29)</f>
        <v>0</v>
      </c>
      <c r="AE29" s="70">
        <v>24</v>
      </c>
      <c r="AF29" s="113">
        <f>盗宝贼!AI28</f>
        <v>21.267061091407037</v>
      </c>
      <c r="AG29" s="113">
        <f>盗宝贼!AJ28</f>
        <v>27.007583560426394</v>
      </c>
      <c r="AH29" s="113">
        <f>盗宝贼!AK28</f>
        <v>30.345255469706551</v>
      </c>
      <c r="AI29" s="113">
        <f>盗宝贼!AL28</f>
        <v>25.505158208414215</v>
      </c>
      <c r="AJ29" s="113">
        <f>盗宝贼!AM28</f>
        <v>14.256715257824865</v>
      </c>
      <c r="AL29" s="78">
        <f>盗宝贼!AI28/AF29</f>
        <v>1</v>
      </c>
      <c r="AM29" s="118"/>
      <c r="AO29" s="123" t="e">
        <f t="shared" si="2"/>
        <v>#DIV/0!</v>
      </c>
      <c r="AP29" s="123" t="e">
        <f t="shared" si="3"/>
        <v>#DIV/0!</v>
      </c>
      <c r="AQ29" s="123" t="e">
        <f t="shared" si="4"/>
        <v>#DIV/0!</v>
      </c>
      <c r="AR29" s="123" t="e">
        <f t="shared" si="5"/>
        <v>#DIV/0!</v>
      </c>
      <c r="AS29" s="123" t="e">
        <f t="shared" si="6"/>
        <v>#DIV/0!</v>
      </c>
    </row>
    <row r="30" spans="3:45" x14ac:dyDescent="0.15">
      <c r="C30" s="99">
        <v>16</v>
      </c>
      <c r="D30" s="99" t="str">
        <f>INDEX(宝物鉴赏!$L$8:$AC$8,MATCH(C30,宝物鉴赏!$L$1:$AC$1,0))</f>
        <v>统率</v>
      </c>
      <c r="E30" s="66">
        <v>1</v>
      </c>
      <c r="G30" s="57">
        <f t="shared" ref="G30:G31" si="18">ROUND((((1+G$5*$E30/G$6)*G$8)/(2-(1+G$5*$E30/G$6))-G$8)/2,0)*2</f>
        <v>16</v>
      </c>
      <c r="H30" s="57">
        <f t="shared" ref="H30:J32" si="19">ROUND((((1+H$5*$E30/H$6)*H$8)/(2-(1+H$5*$E30/H$6))-H$8)/2,0)*2</f>
        <v>18</v>
      </c>
      <c r="I30" s="57">
        <f t="shared" si="19"/>
        <v>22</v>
      </c>
      <c r="J30" s="57">
        <f t="shared" si="19"/>
        <v>26</v>
      </c>
      <c r="O30" s="84" t="s">
        <v>331</v>
      </c>
      <c r="P30" s="73"/>
      <c r="Q30" s="85">
        <v>0.6</v>
      </c>
      <c r="R30" s="85">
        <v>0.5</v>
      </c>
      <c r="S30" s="85">
        <v>0.4</v>
      </c>
      <c r="T30" s="86">
        <v>0.3</v>
      </c>
      <c r="W30" s="70">
        <v>25</v>
      </c>
      <c r="X30" s="113">
        <f>求节点(基础状态预期!$C$17:$C$37,基础状态预期!$O$17:$O$37,$W30)*P$66*INDEX($P$57:$T$57,MATCH($O$66,$P$4:$T$4,0))*求节点(基础状态预期!$C$17:$C$37,基础状态预期!$Y$17:$Y$37,$W30)+
求节点(基础状态预期!$C$17:$C$37,基础状态预期!$P$17:$P$37,$W30)*P$67*INDEX($P$57:$T$57,MATCH($O$67,$P$4:$T$4,0))*求节点(基础状态预期!$C$17:$C$37,基础状态预期!$Z$17:$Z$37,$W30)+
求节点(基础状态预期!$C$17:$C$37,基础状态预期!$Q$17:$Q$37,$W30)*P$68*INDEX($P$57:$T$57,MATCH($O$68,$P$4:$T$4,0))*求节点(基础状态预期!$C$17:$C$37,基础状态预期!$AA$17:$AA$37,$W30)+
求节点(基础状态预期!$C$17:$C$37,基础状态预期!$R$17:$R$37,$W30)*P$69*INDEX($P$57:$T$57,MATCH($O$69,$P$4:$T$4,0))*求节点(基础状态预期!$C$17:$C$37,基础状态预期!$AB$17:$AB$37,$W30)+
求节点(基础状态预期!$C$17:$C$37,基础状态预期!$S$17:$S$37,$W30)*P$70*INDEX($P$57:$T$57,MATCH($O$70,$P$4:$T$4,0))*求节点(基础状态预期!$C$17:$C$37,基础状态预期!$AC$17:$AC$37,$W30)</f>
        <v>0</v>
      </c>
      <c r="Y30" s="113">
        <f>求节点(基础状态预期!$C$43:$C$63,基础状态预期!$O$43:$O$63,$W30)*Q$66*INDEX($P$57:$T$57,MATCH($O$66,$P$4:$T$4,0))*求节点(基础状态预期!$C$43:$C$63,基础状态预期!$Y$43:$Y$63,$W30)+
求节点(基础状态预期!$C$43:$C$63,基础状态预期!$P$43:$P$63,$W30)*Q$67*INDEX($P$57:$T$57,MATCH($O$67,$P$4:$T$4,0))*求节点(基础状态预期!$C$43:$C$63,基础状态预期!$Z$43:$Z$63,$W30)+
求节点(基础状态预期!$C$43:$C$63,基础状态预期!$Q$43:$Q$63,$W30)*Q$68*INDEX($P$57:$T$57,MATCH($O$68,$P$4:$T$4,0))*求节点(基础状态预期!$C$43:$C$63,基础状态预期!$AA$43:$AA$63,$W30)+
求节点(基础状态预期!$C$43:$C$63,基础状态预期!$R$43:$R$63,$W30)*Q$69*INDEX($P$57:$T$57,MATCH($O$69,$P$4:$T$4,0))*求节点(基础状态预期!$C$43:$C$63,基础状态预期!$AB$43:$AB$63,$W30)+
求节点(基础状态预期!$C$43:$C$63,基础状态预期!$S$43:$S$63,$W30)*Q$70*INDEX($P$57:$T$57,MATCH($O$70,$P$4:$T$4,0))*求节点(基础状态预期!$C$43:$C$63,基础状态预期!$AC$43:$AC$63,$W30)</f>
        <v>0</v>
      </c>
      <c r="Z30" s="113">
        <f>求节点(基础状态预期!$C$69:$C$89,基础状态预期!$O$69:$O$89,$W30)*R$66*INDEX($P$57:$T$57,MATCH($O$66,$P$4:$T$4,0))*求节点(基础状态预期!$C$69:$C$89,基础状态预期!AA41:AA61,$W30)+
求节点(基础状态预期!$C$69:$C$89,基础状态预期!$P$69:$P$89,$W30)*R$67*INDEX($P$57:$T$57,MATCH($O$67,$P$4:$T$4,0))*求节点(基础状态预期!$C$69:$C$89,基础状态预期!$Z$69:$Z$89,$W30)+
求节点(基础状态预期!$C$69:$C$89,基础状态预期!$Q$69:$Q$89,$W30)*R$68*INDEX($P$57:$T$57,MATCH($O$68,$P$4:$T$4,0))*求节点(基础状态预期!$C$69:$C$89,基础状态预期!$AA$69:$AA$89,$W30)+
求节点(基础状态预期!$C$69:$C$89,基础状态预期!$R$69:$R$89,$W30)*R$69*INDEX($P$57:$T$57,MATCH($O$69,$P$4:$T$4,0))*求节点(基础状态预期!$C$69:$C$89,基础状态预期!$AB$69:$AB$89,$W30)+
求节点(基础状态预期!$C$69:$C$89,基础状态预期!$S$69:$S$89,$W30)*R$70*INDEX($P$57:$T$57,MATCH($O$70,$P$4:$T$4,0))*求节点(基础状态预期!$C$69:$C$89,基础状态预期!$AC$69:$AC$89,$W30)</f>
        <v>0</v>
      </c>
      <c r="AA30" s="113">
        <f>求节点(基础状态预期!$C$95:$C$115,基础状态预期!$O$95:$O$115,$W30)*S$66*INDEX($P$57:$T$57,MATCH($O$66,$P$4:$T$4,0))*求节点(基础状态预期!$C$95:$C$115,基础状态预期!$Y$95:$Y$115,$W30)+
求节点(基础状态预期!$C$95:$C$115,基础状态预期!$P$95:$P$115,$W30)*S$67*INDEX($P$57:$T$57,MATCH($O$67,$P$4:$T$4,0))*求节点(基础状态预期!$C$95:$C$115,基础状态预期!$Z$95:$Z$115,$W30)+
求节点(基础状态预期!$C$95:$C$115,基础状态预期!$Q$95:$Q$115,$W30)*S$68*INDEX($P$57:$T$57,MATCH($O$68,$P$4:$T$4,0))*求节点(基础状态预期!$C$95:$C$115,基础状态预期!$AA$95:$AA$115,$W30)+
求节点(基础状态预期!$C$95:$C$115,基础状态预期!$R$95:$R$115,$W30)*S$69*INDEX($P$57:$T$57,MATCH($O$69,$P$4:$T$4,0))*求节点(基础状态预期!$C$95:$C$115,基础状态预期!$AB$95:$AB$115,$W30)+
求节点(基础状态预期!$C$95:$C$115,基础状态预期!$S$95:$S$115,$W30)*S$70*INDEX($P$57:$T$57,MATCH($O$70,$P$4:$T$4,0))*求节点(基础状态预期!$C$95:$C$115,基础状态预期!$AC$95:$AC$115,$W30)</f>
        <v>0</v>
      </c>
      <c r="AB30" s="113">
        <f>求节点(基础状态预期!$C$121:$C$141,基础状态预期!$O$121:$O$141,$W30)*T$66*INDEX($P$57:$T$57,MATCH($O$66,$P$4:$T$4,0))*求节点(基础状态预期!$C$121:$C$141,基础状态预期!$Y$121:$Y$141,$W30)+
求节点(基础状态预期!$C$121:$C$141,基础状态预期!$P$121:$P$141,$W30)*T$67*INDEX($P$57:$T$57,MATCH($O$67,$P$4:$T$4,0))*求节点(基础状态预期!$C$121:$C$141,基础状态预期!$Z$121:$Z$141,$W30)+
求节点(基础状态预期!$C$121:$C$141,基础状态预期!$Q$121:$Q$141,$W30)*T$68*INDEX($P$57:$T$57,MATCH($O$68,$P$4:$T$4,0))*求节点(基础状态预期!$C$121:$C$141,基础状态预期!$AA$121:$AA$141,$W30)+
求节点(基础状态预期!$C$121:$C$141,基础状态预期!$R$121:$R$141,$W30)*T$69*INDEX($P$57:$T$57,MATCH($O$69,$P$4:$T$4,0))*求节点(基础状态预期!$C$121:$C$141,基础状态预期!$AB$121:$AB$141,$W30)+
求节点(基础状态预期!$C$121:$C$141,基础状态预期!$S$121:$S$141,$W30)*T$70*INDEX($P$57:$T$57,MATCH($O$70,$P$4:$T$4,0))*求节点(基础状态预期!$C$121:$C$141,基础状态预期!$AC$121:$AC$141,$W30)</f>
        <v>0</v>
      </c>
      <c r="AE30" s="70">
        <v>25</v>
      </c>
      <c r="AF30" s="113">
        <f>盗宝贼!AI29</f>
        <v>24.099544884647759</v>
      </c>
      <c r="AG30" s="113">
        <f>盗宝贼!AJ29</f>
        <v>30.631921461773931</v>
      </c>
      <c r="AH30" s="113">
        <f>盗宝贼!AK29</f>
        <v>34.407578853259849</v>
      </c>
      <c r="AI30" s="113">
        <f>盗宝贼!AL29</f>
        <v>28.9235046634508</v>
      </c>
      <c r="AJ30" s="113">
        <f>盗宝贼!AM29</f>
        <v>16.115086155760576</v>
      </c>
      <c r="AL30" s="78">
        <f>盗宝贼!AI29/AF30</f>
        <v>1</v>
      </c>
      <c r="AM30" s="118"/>
      <c r="AO30" s="123" t="e">
        <f t="shared" si="2"/>
        <v>#DIV/0!</v>
      </c>
      <c r="AP30" s="123" t="e">
        <f t="shared" si="3"/>
        <v>#DIV/0!</v>
      </c>
      <c r="AQ30" s="123" t="e">
        <f t="shared" si="4"/>
        <v>#DIV/0!</v>
      </c>
      <c r="AR30" s="123" t="e">
        <f t="shared" si="5"/>
        <v>#DIV/0!</v>
      </c>
      <c r="AS30" s="123" t="e">
        <f t="shared" si="6"/>
        <v>#DIV/0!</v>
      </c>
    </row>
    <row r="31" spans="3:45" x14ac:dyDescent="0.15">
      <c r="C31" s="99">
        <v>17</v>
      </c>
      <c r="D31" s="99" t="str">
        <f>INDEX(宝物鉴赏!$L$8:$AC$8,MATCH(C31,宝物鉴赏!$L$1:$AC$1,0))</f>
        <v>武力</v>
      </c>
      <c r="E31" s="66">
        <v>1</v>
      </c>
      <c r="G31" s="57">
        <f t="shared" si="18"/>
        <v>16</v>
      </c>
      <c r="H31" s="57">
        <f t="shared" si="19"/>
        <v>18</v>
      </c>
      <c r="I31" s="57">
        <f t="shared" si="19"/>
        <v>22</v>
      </c>
      <c r="J31" s="57">
        <f t="shared" si="19"/>
        <v>26</v>
      </c>
      <c r="O31" s="84"/>
      <c r="P31" s="73"/>
      <c r="Q31" s="85"/>
      <c r="R31" s="85"/>
      <c r="S31" s="85"/>
      <c r="T31" s="86"/>
      <c r="W31" s="70">
        <v>26</v>
      </c>
      <c r="X31" s="113">
        <f>求节点(基础状态预期!$C$17:$C$37,基础状态预期!$O$17:$O$37,$W31)*P$66*INDEX($P$57:$T$57,MATCH($O$66,$P$4:$T$4,0))*求节点(基础状态预期!$C$17:$C$37,基础状态预期!$Y$17:$Y$37,$W31)+
求节点(基础状态预期!$C$17:$C$37,基础状态预期!$P$17:$P$37,$W31)*P$67*INDEX($P$57:$T$57,MATCH($O$67,$P$4:$T$4,0))*求节点(基础状态预期!$C$17:$C$37,基础状态预期!$Z$17:$Z$37,$W31)+
求节点(基础状态预期!$C$17:$C$37,基础状态预期!$Q$17:$Q$37,$W31)*P$68*INDEX($P$57:$T$57,MATCH($O$68,$P$4:$T$4,0))*求节点(基础状态预期!$C$17:$C$37,基础状态预期!$AA$17:$AA$37,$W31)+
求节点(基础状态预期!$C$17:$C$37,基础状态预期!$R$17:$R$37,$W31)*P$69*INDEX($P$57:$T$57,MATCH($O$69,$P$4:$T$4,0))*求节点(基础状态预期!$C$17:$C$37,基础状态预期!$AB$17:$AB$37,$W31)+
求节点(基础状态预期!$C$17:$C$37,基础状态预期!$S$17:$S$37,$W31)*P$70*INDEX($P$57:$T$57,MATCH($O$70,$P$4:$T$4,0))*求节点(基础状态预期!$C$17:$C$37,基础状态预期!$AC$17:$AC$37,$W31)</f>
        <v>0</v>
      </c>
      <c r="Y31" s="113">
        <f>求节点(基础状态预期!$C$43:$C$63,基础状态预期!$O$43:$O$63,$W31)*Q$66*INDEX($P$57:$T$57,MATCH($O$66,$P$4:$T$4,0))*求节点(基础状态预期!$C$43:$C$63,基础状态预期!$Y$43:$Y$63,$W31)+
求节点(基础状态预期!$C$43:$C$63,基础状态预期!$P$43:$P$63,$W31)*Q$67*INDEX($P$57:$T$57,MATCH($O$67,$P$4:$T$4,0))*求节点(基础状态预期!$C$43:$C$63,基础状态预期!$Z$43:$Z$63,$W31)+
求节点(基础状态预期!$C$43:$C$63,基础状态预期!$Q$43:$Q$63,$W31)*Q$68*INDEX($P$57:$T$57,MATCH($O$68,$P$4:$T$4,0))*求节点(基础状态预期!$C$43:$C$63,基础状态预期!$AA$43:$AA$63,$W31)+
求节点(基础状态预期!$C$43:$C$63,基础状态预期!$R$43:$R$63,$W31)*Q$69*INDEX($P$57:$T$57,MATCH($O$69,$P$4:$T$4,0))*求节点(基础状态预期!$C$43:$C$63,基础状态预期!$AB$43:$AB$63,$W31)+
求节点(基础状态预期!$C$43:$C$63,基础状态预期!$S$43:$S$63,$W31)*Q$70*INDEX($P$57:$T$57,MATCH($O$70,$P$4:$T$4,0))*求节点(基础状态预期!$C$43:$C$63,基础状态预期!$AC$43:$AC$63,$W31)</f>
        <v>0</v>
      </c>
      <c r="Z31" s="113">
        <f>求节点(基础状态预期!$C$69:$C$89,基础状态预期!$O$69:$O$89,$W31)*R$66*INDEX($P$57:$T$57,MATCH($O$66,$P$4:$T$4,0))*求节点(基础状态预期!$C$69:$C$89,基础状态预期!AA42:AA62,$W31)+
求节点(基础状态预期!$C$69:$C$89,基础状态预期!$P$69:$P$89,$W31)*R$67*INDEX($P$57:$T$57,MATCH($O$67,$P$4:$T$4,0))*求节点(基础状态预期!$C$69:$C$89,基础状态预期!$Z$69:$Z$89,$W31)+
求节点(基础状态预期!$C$69:$C$89,基础状态预期!$Q$69:$Q$89,$W31)*R$68*INDEX($P$57:$T$57,MATCH($O$68,$P$4:$T$4,0))*求节点(基础状态预期!$C$69:$C$89,基础状态预期!$AA$69:$AA$89,$W31)+
求节点(基础状态预期!$C$69:$C$89,基础状态预期!$R$69:$R$89,$W31)*R$69*INDEX($P$57:$T$57,MATCH($O$69,$P$4:$T$4,0))*求节点(基础状态预期!$C$69:$C$89,基础状态预期!$AB$69:$AB$89,$W31)+
求节点(基础状态预期!$C$69:$C$89,基础状态预期!$S$69:$S$89,$W31)*R$70*INDEX($P$57:$T$57,MATCH($O$70,$P$4:$T$4,0))*求节点(基础状态预期!$C$69:$C$89,基础状态预期!$AC$69:$AC$89,$W31)</f>
        <v>0</v>
      </c>
      <c r="AA31" s="113">
        <f>求节点(基础状态预期!$C$95:$C$115,基础状态预期!$O$95:$O$115,$W31)*S$66*INDEX($P$57:$T$57,MATCH($O$66,$P$4:$T$4,0))*求节点(基础状态预期!$C$95:$C$115,基础状态预期!$Y$95:$Y$115,$W31)+
求节点(基础状态预期!$C$95:$C$115,基础状态预期!$P$95:$P$115,$W31)*S$67*INDEX($P$57:$T$57,MATCH($O$67,$P$4:$T$4,0))*求节点(基础状态预期!$C$95:$C$115,基础状态预期!$Z$95:$Z$115,$W31)+
求节点(基础状态预期!$C$95:$C$115,基础状态预期!$Q$95:$Q$115,$W31)*S$68*INDEX($P$57:$T$57,MATCH($O$68,$P$4:$T$4,0))*求节点(基础状态预期!$C$95:$C$115,基础状态预期!$AA$95:$AA$115,$W31)+
求节点(基础状态预期!$C$95:$C$115,基础状态预期!$R$95:$R$115,$W31)*S$69*INDEX($P$57:$T$57,MATCH($O$69,$P$4:$T$4,0))*求节点(基础状态预期!$C$95:$C$115,基础状态预期!$AB$95:$AB$115,$W31)+
求节点(基础状态预期!$C$95:$C$115,基础状态预期!$S$95:$S$115,$W31)*S$70*INDEX($P$57:$T$57,MATCH($O$70,$P$4:$T$4,0))*求节点(基础状态预期!$C$95:$C$115,基础状态预期!$AC$95:$AC$115,$W31)</f>
        <v>0</v>
      </c>
      <c r="AB31" s="113">
        <f>求节点(基础状态预期!$C$121:$C$141,基础状态预期!$O$121:$O$141,$W31)*T$66*INDEX($P$57:$T$57,MATCH($O$66,$P$4:$T$4,0))*求节点(基础状态预期!$C$121:$C$141,基础状态预期!$Y$121:$Y$141,$W31)+
求节点(基础状态预期!$C$121:$C$141,基础状态预期!$P$121:$P$141,$W31)*T$67*INDEX($P$57:$T$57,MATCH($O$67,$P$4:$T$4,0))*求节点(基础状态预期!$C$121:$C$141,基础状态预期!$Z$121:$Z$141,$W31)+
求节点(基础状态预期!$C$121:$C$141,基础状态预期!$Q$121:$Q$141,$W31)*T$68*INDEX($P$57:$T$57,MATCH($O$68,$P$4:$T$4,0))*求节点(基础状态预期!$C$121:$C$141,基础状态预期!$AA$121:$AA$141,$W31)+
求节点(基础状态预期!$C$121:$C$141,基础状态预期!$R$121:$R$141,$W31)*T$69*INDEX($P$57:$T$57,MATCH($O$69,$P$4:$T$4,0))*求节点(基础状态预期!$C$121:$C$141,基础状态预期!$AB$121:$AB$141,$W31)+
求节点(基础状态预期!$C$121:$C$141,基础状态预期!$S$121:$S$141,$W31)*T$70*INDEX($P$57:$T$57,MATCH($O$70,$P$4:$T$4,0))*求节点(基础状态预期!$C$121:$C$141,基础状态预期!$AC$121:$AC$141,$W31)</f>
        <v>0</v>
      </c>
      <c r="AE31" s="70">
        <v>26</v>
      </c>
      <c r="AF31" s="113">
        <f>盗宝贼!AI30</f>
        <v>27.287114895440261</v>
      </c>
      <c r="AG31" s="113">
        <f>盗宝贼!AJ30</f>
        <v>34.68549150351943</v>
      </c>
      <c r="AH31" s="113">
        <f>盗宝贼!AK30</f>
        <v>38.952163203332049</v>
      </c>
      <c r="AI31" s="113">
        <f>盗宝贼!AL30</f>
        <v>32.668620151079452</v>
      </c>
      <c r="AJ31" s="113">
        <f>盗宝贼!AM30</f>
        <v>18.212806802845869</v>
      </c>
      <c r="AL31" s="78">
        <f>盗宝贼!AI30/AF31</f>
        <v>1</v>
      </c>
      <c r="AM31" s="118"/>
      <c r="AO31" s="123" t="e">
        <f t="shared" si="2"/>
        <v>#DIV/0!</v>
      </c>
      <c r="AP31" s="123" t="e">
        <f t="shared" si="3"/>
        <v>#DIV/0!</v>
      </c>
      <c r="AQ31" s="123" t="e">
        <f t="shared" si="4"/>
        <v>#DIV/0!</v>
      </c>
      <c r="AR31" s="123" t="e">
        <f t="shared" si="5"/>
        <v>#DIV/0!</v>
      </c>
      <c r="AS31" s="123" t="e">
        <f t="shared" si="6"/>
        <v>#DIV/0!</v>
      </c>
    </row>
    <row r="32" spans="3:45" x14ac:dyDescent="0.15">
      <c r="C32" s="66">
        <v>18</v>
      </c>
      <c r="D32" s="108" t="str">
        <f>INDEX(宝物鉴赏!$L$8:$AC$8,MATCH(C32,宝物鉴赏!$L$1:$AC$1,0))</f>
        <v>智力</v>
      </c>
      <c r="E32" s="108">
        <v>1</v>
      </c>
      <c r="G32" s="57">
        <f>ROUND((((1+G$5*$E32/G$6)*G$8)/(2-(1+G$5*$E32/G$6))-G$8)/2,0)*2</f>
        <v>16</v>
      </c>
      <c r="H32" s="57">
        <f t="shared" si="19"/>
        <v>18</v>
      </c>
      <c r="I32" s="57">
        <f t="shared" si="19"/>
        <v>22</v>
      </c>
      <c r="J32" s="57">
        <f t="shared" si="19"/>
        <v>26</v>
      </c>
      <c r="O32" s="84" t="s">
        <v>332</v>
      </c>
      <c r="P32" s="73"/>
      <c r="Q32" s="85">
        <v>0.05</v>
      </c>
      <c r="R32" s="85">
        <v>7.4999999999999997E-2</v>
      </c>
      <c r="S32" s="85">
        <v>0.1</v>
      </c>
      <c r="T32" s="86">
        <v>0.1</v>
      </c>
      <c r="W32" s="70">
        <v>27</v>
      </c>
      <c r="X32" s="113">
        <f>求节点(基础状态预期!$C$17:$C$37,基础状态预期!$O$17:$O$37,$W32)*P$66*INDEX($P$57:$T$57,MATCH($O$66,$P$4:$T$4,0))*求节点(基础状态预期!$C$17:$C$37,基础状态预期!$Y$17:$Y$37,$W32)+
求节点(基础状态预期!$C$17:$C$37,基础状态预期!$P$17:$P$37,$W32)*P$67*INDEX($P$57:$T$57,MATCH($O$67,$P$4:$T$4,0))*求节点(基础状态预期!$C$17:$C$37,基础状态预期!$Z$17:$Z$37,$W32)+
求节点(基础状态预期!$C$17:$C$37,基础状态预期!$Q$17:$Q$37,$W32)*P$68*INDEX($P$57:$T$57,MATCH($O$68,$P$4:$T$4,0))*求节点(基础状态预期!$C$17:$C$37,基础状态预期!$AA$17:$AA$37,$W32)+
求节点(基础状态预期!$C$17:$C$37,基础状态预期!$R$17:$R$37,$W32)*P$69*INDEX($P$57:$T$57,MATCH($O$69,$P$4:$T$4,0))*求节点(基础状态预期!$C$17:$C$37,基础状态预期!$AB$17:$AB$37,$W32)+
求节点(基础状态预期!$C$17:$C$37,基础状态预期!$S$17:$S$37,$W32)*P$70*INDEX($P$57:$T$57,MATCH($O$70,$P$4:$T$4,0))*求节点(基础状态预期!$C$17:$C$37,基础状态预期!$AC$17:$AC$37,$W32)</f>
        <v>0</v>
      </c>
      <c r="Y32" s="113">
        <f>求节点(基础状态预期!$C$43:$C$63,基础状态预期!$O$43:$O$63,$W32)*Q$66*INDEX($P$57:$T$57,MATCH($O$66,$P$4:$T$4,0))*求节点(基础状态预期!$C$43:$C$63,基础状态预期!$Y$43:$Y$63,$W32)+
求节点(基础状态预期!$C$43:$C$63,基础状态预期!$P$43:$P$63,$W32)*Q$67*INDEX($P$57:$T$57,MATCH($O$67,$P$4:$T$4,0))*求节点(基础状态预期!$C$43:$C$63,基础状态预期!$Z$43:$Z$63,$W32)+
求节点(基础状态预期!$C$43:$C$63,基础状态预期!$Q$43:$Q$63,$W32)*Q$68*INDEX($P$57:$T$57,MATCH($O$68,$P$4:$T$4,0))*求节点(基础状态预期!$C$43:$C$63,基础状态预期!$AA$43:$AA$63,$W32)+
求节点(基础状态预期!$C$43:$C$63,基础状态预期!$R$43:$R$63,$W32)*Q$69*INDEX($P$57:$T$57,MATCH($O$69,$P$4:$T$4,0))*求节点(基础状态预期!$C$43:$C$63,基础状态预期!$AB$43:$AB$63,$W32)+
求节点(基础状态预期!$C$43:$C$63,基础状态预期!$S$43:$S$63,$W32)*Q$70*INDEX($P$57:$T$57,MATCH($O$70,$P$4:$T$4,0))*求节点(基础状态预期!$C$43:$C$63,基础状态预期!$AC$43:$AC$63,$W32)</f>
        <v>0</v>
      </c>
      <c r="Z32" s="113">
        <f>求节点(基础状态预期!$C$69:$C$89,基础状态预期!$O$69:$O$89,$W32)*R$66*INDEX($P$57:$T$57,MATCH($O$66,$P$4:$T$4,0))*求节点(基础状态预期!$C$69:$C$89,基础状态预期!AA43:AA63,$W32)+
求节点(基础状态预期!$C$69:$C$89,基础状态预期!$P$69:$P$89,$W32)*R$67*INDEX($P$57:$T$57,MATCH($O$67,$P$4:$T$4,0))*求节点(基础状态预期!$C$69:$C$89,基础状态预期!$Z$69:$Z$89,$W32)+
求节点(基础状态预期!$C$69:$C$89,基础状态预期!$Q$69:$Q$89,$W32)*R$68*INDEX($P$57:$T$57,MATCH($O$68,$P$4:$T$4,0))*求节点(基础状态预期!$C$69:$C$89,基础状态预期!$AA$69:$AA$89,$W32)+
求节点(基础状态预期!$C$69:$C$89,基础状态预期!$R$69:$R$89,$W32)*R$69*INDEX($P$57:$T$57,MATCH($O$69,$P$4:$T$4,0))*求节点(基础状态预期!$C$69:$C$89,基础状态预期!$AB$69:$AB$89,$W32)+
求节点(基础状态预期!$C$69:$C$89,基础状态预期!$S$69:$S$89,$W32)*R$70*INDEX($P$57:$T$57,MATCH($O$70,$P$4:$T$4,0))*求节点(基础状态预期!$C$69:$C$89,基础状态预期!$AC$69:$AC$89,$W32)</f>
        <v>0</v>
      </c>
      <c r="AA32" s="113">
        <f>求节点(基础状态预期!$C$95:$C$115,基础状态预期!$O$95:$O$115,$W32)*S$66*INDEX($P$57:$T$57,MATCH($O$66,$P$4:$T$4,0))*求节点(基础状态预期!$C$95:$C$115,基础状态预期!$Y$95:$Y$115,$W32)+
求节点(基础状态预期!$C$95:$C$115,基础状态预期!$P$95:$P$115,$W32)*S$67*INDEX($P$57:$T$57,MATCH($O$67,$P$4:$T$4,0))*求节点(基础状态预期!$C$95:$C$115,基础状态预期!$Z$95:$Z$115,$W32)+
求节点(基础状态预期!$C$95:$C$115,基础状态预期!$Q$95:$Q$115,$W32)*S$68*INDEX($P$57:$T$57,MATCH($O$68,$P$4:$T$4,0))*求节点(基础状态预期!$C$95:$C$115,基础状态预期!$AA$95:$AA$115,$W32)+
求节点(基础状态预期!$C$95:$C$115,基础状态预期!$R$95:$R$115,$W32)*S$69*INDEX($P$57:$T$57,MATCH($O$69,$P$4:$T$4,0))*求节点(基础状态预期!$C$95:$C$115,基础状态预期!$AB$95:$AB$115,$W32)+
求节点(基础状态预期!$C$95:$C$115,基础状态预期!$S$95:$S$115,$W32)*S$70*INDEX($P$57:$T$57,MATCH($O$70,$P$4:$T$4,0))*求节点(基础状态预期!$C$95:$C$115,基础状态预期!$AC$95:$AC$115,$W32)</f>
        <v>0</v>
      </c>
      <c r="AB32" s="113">
        <f>求节点(基础状态预期!$C$121:$C$141,基础状态预期!$O$121:$O$141,$W32)*T$66*INDEX($P$57:$T$57,MATCH($O$66,$P$4:$T$4,0))*求节点(基础状态预期!$C$121:$C$141,基础状态预期!$Y$121:$Y$141,$W32)+
求节点(基础状态预期!$C$121:$C$141,基础状态预期!$P$121:$P$141,$W32)*T$67*INDEX($P$57:$T$57,MATCH($O$67,$P$4:$T$4,0))*求节点(基础状态预期!$C$121:$C$141,基础状态预期!$Z$121:$Z$141,$W32)+
求节点(基础状态预期!$C$121:$C$141,基础状态预期!$Q$121:$Q$141,$W32)*T$68*INDEX($P$57:$T$57,MATCH($O$68,$P$4:$T$4,0))*求节点(基础状态预期!$C$121:$C$141,基础状态预期!$AA$121:$AA$141,$W32)+
求节点(基础状态预期!$C$121:$C$141,基础状态预期!$R$121:$R$141,$W32)*T$69*INDEX($P$57:$T$57,MATCH($O$69,$P$4:$T$4,0))*求节点(基础状态预期!$C$121:$C$141,基础状态预期!$AB$121:$AB$141,$W32)+
求节点(基础状态预期!$C$121:$C$141,基础状态预期!$S$121:$S$141,$W32)*T$70*INDEX($P$57:$T$57,MATCH($O$70,$P$4:$T$4,0))*求节点(基础状态预期!$C$121:$C$141,基础状态预期!$AC$121:$AC$141,$W32)</f>
        <v>0</v>
      </c>
      <c r="AE32" s="70">
        <v>27</v>
      </c>
      <c r="AF32" s="113">
        <f>盗宝贼!AI31</f>
        <v>30.874285490361405</v>
      </c>
      <c r="AG32" s="113">
        <f>盗宝贼!AJ31</f>
        <v>39.241841695804837</v>
      </c>
      <c r="AH32" s="113">
        <f>盗宝贼!AK31</f>
        <v>44.041221642073751</v>
      </c>
      <c r="AI32" s="113">
        <f>盗宝贼!AL31</f>
        <v>36.897913859479331</v>
      </c>
      <c r="AJ32" s="113">
        <f>盗宝贼!AM31</f>
        <v>20.602075874330858</v>
      </c>
      <c r="AL32" s="78">
        <f>盗宝贼!AI31/AF32</f>
        <v>1</v>
      </c>
      <c r="AM32" s="118"/>
      <c r="AO32" s="123" t="e">
        <f t="shared" si="2"/>
        <v>#DIV/0!</v>
      </c>
      <c r="AP32" s="123" t="e">
        <f t="shared" si="3"/>
        <v>#DIV/0!</v>
      </c>
      <c r="AQ32" s="123" t="e">
        <f t="shared" si="4"/>
        <v>#DIV/0!</v>
      </c>
      <c r="AR32" s="123" t="e">
        <f t="shared" si="5"/>
        <v>#DIV/0!</v>
      </c>
      <c r="AS32" s="123" t="e">
        <f t="shared" si="6"/>
        <v>#DIV/0!</v>
      </c>
    </row>
    <row r="33" spans="15:45" x14ac:dyDescent="0.15">
      <c r="O33" s="84"/>
      <c r="P33" s="73"/>
      <c r="Q33" s="85"/>
      <c r="R33" s="85"/>
      <c r="S33" s="85"/>
      <c r="T33" s="86"/>
      <c r="W33" s="70">
        <v>28</v>
      </c>
      <c r="X33" s="113">
        <f>求节点(基础状态预期!$C$17:$C$37,基础状态预期!$O$17:$O$37,$W33)*P$66*INDEX($P$57:$T$57,MATCH($O$66,$P$4:$T$4,0))*求节点(基础状态预期!$C$17:$C$37,基础状态预期!$Y$17:$Y$37,$W33)+
求节点(基础状态预期!$C$17:$C$37,基础状态预期!$P$17:$P$37,$W33)*P$67*INDEX($P$57:$T$57,MATCH($O$67,$P$4:$T$4,0))*求节点(基础状态预期!$C$17:$C$37,基础状态预期!$Z$17:$Z$37,$W33)+
求节点(基础状态预期!$C$17:$C$37,基础状态预期!$Q$17:$Q$37,$W33)*P$68*INDEX($P$57:$T$57,MATCH($O$68,$P$4:$T$4,0))*求节点(基础状态预期!$C$17:$C$37,基础状态预期!$AA$17:$AA$37,$W33)+
求节点(基础状态预期!$C$17:$C$37,基础状态预期!$R$17:$R$37,$W33)*P$69*INDEX($P$57:$T$57,MATCH($O$69,$P$4:$T$4,0))*求节点(基础状态预期!$C$17:$C$37,基础状态预期!$AB$17:$AB$37,$W33)+
求节点(基础状态预期!$C$17:$C$37,基础状态预期!$S$17:$S$37,$W33)*P$70*INDEX($P$57:$T$57,MATCH($O$70,$P$4:$T$4,0))*求节点(基础状态预期!$C$17:$C$37,基础状态预期!$AC$17:$AC$37,$W33)</f>
        <v>0</v>
      </c>
      <c r="Y33" s="113">
        <f>求节点(基础状态预期!$C$43:$C$63,基础状态预期!$O$43:$O$63,$W33)*Q$66*INDEX($P$57:$T$57,MATCH($O$66,$P$4:$T$4,0))*求节点(基础状态预期!$C$43:$C$63,基础状态预期!$Y$43:$Y$63,$W33)+
求节点(基础状态预期!$C$43:$C$63,基础状态预期!$P$43:$P$63,$W33)*Q$67*INDEX($P$57:$T$57,MATCH($O$67,$P$4:$T$4,0))*求节点(基础状态预期!$C$43:$C$63,基础状态预期!$Z$43:$Z$63,$W33)+
求节点(基础状态预期!$C$43:$C$63,基础状态预期!$Q$43:$Q$63,$W33)*Q$68*INDEX($P$57:$T$57,MATCH($O$68,$P$4:$T$4,0))*求节点(基础状态预期!$C$43:$C$63,基础状态预期!$AA$43:$AA$63,$W33)+
求节点(基础状态预期!$C$43:$C$63,基础状态预期!$R$43:$R$63,$W33)*Q$69*INDEX($P$57:$T$57,MATCH($O$69,$P$4:$T$4,0))*求节点(基础状态预期!$C$43:$C$63,基础状态预期!$AB$43:$AB$63,$W33)+
求节点(基础状态预期!$C$43:$C$63,基础状态预期!$S$43:$S$63,$W33)*Q$70*INDEX($P$57:$T$57,MATCH($O$70,$P$4:$T$4,0))*求节点(基础状态预期!$C$43:$C$63,基础状态预期!$AC$43:$AC$63,$W33)</f>
        <v>0</v>
      </c>
      <c r="Z33" s="113">
        <f>求节点(基础状态预期!$C$69:$C$89,基础状态预期!$O$69:$O$89,$W33)*R$66*INDEX($P$57:$T$57,MATCH($O$66,$P$4:$T$4,0))*求节点(基础状态预期!$C$69:$C$89,基础状态预期!AA44:AA64,$W33)+
求节点(基础状态预期!$C$69:$C$89,基础状态预期!$P$69:$P$89,$W33)*R$67*INDEX($P$57:$T$57,MATCH($O$67,$P$4:$T$4,0))*求节点(基础状态预期!$C$69:$C$89,基础状态预期!$Z$69:$Z$89,$W33)+
求节点(基础状态预期!$C$69:$C$89,基础状态预期!$Q$69:$Q$89,$W33)*R$68*INDEX($P$57:$T$57,MATCH($O$68,$P$4:$T$4,0))*求节点(基础状态预期!$C$69:$C$89,基础状态预期!$AA$69:$AA$89,$W33)+
求节点(基础状态预期!$C$69:$C$89,基础状态预期!$R$69:$R$89,$W33)*R$69*INDEX($P$57:$T$57,MATCH($O$69,$P$4:$T$4,0))*求节点(基础状态预期!$C$69:$C$89,基础状态预期!$AB$69:$AB$89,$W33)+
求节点(基础状态预期!$C$69:$C$89,基础状态预期!$S$69:$S$89,$W33)*R$70*INDEX($P$57:$T$57,MATCH($O$70,$P$4:$T$4,0))*求节点(基础状态预期!$C$69:$C$89,基础状态预期!$AC$69:$AC$89,$W33)</f>
        <v>0</v>
      </c>
      <c r="AA33" s="113">
        <f>求节点(基础状态预期!$C$95:$C$115,基础状态预期!$O$95:$O$115,$W33)*S$66*INDEX($P$57:$T$57,MATCH($O$66,$P$4:$T$4,0))*求节点(基础状态预期!$C$95:$C$115,基础状态预期!$Y$95:$Y$115,$W33)+
求节点(基础状态预期!$C$95:$C$115,基础状态预期!$P$95:$P$115,$W33)*S$67*INDEX($P$57:$T$57,MATCH($O$67,$P$4:$T$4,0))*求节点(基础状态预期!$C$95:$C$115,基础状态预期!$Z$95:$Z$115,$W33)+
求节点(基础状态预期!$C$95:$C$115,基础状态预期!$Q$95:$Q$115,$W33)*S$68*INDEX($P$57:$T$57,MATCH($O$68,$P$4:$T$4,0))*求节点(基础状态预期!$C$95:$C$115,基础状态预期!$AA$95:$AA$115,$W33)+
求节点(基础状态预期!$C$95:$C$115,基础状态预期!$R$95:$R$115,$W33)*S$69*INDEX($P$57:$T$57,MATCH($O$69,$P$4:$T$4,0))*求节点(基础状态预期!$C$95:$C$115,基础状态预期!$AB$95:$AB$115,$W33)+
求节点(基础状态预期!$C$95:$C$115,基础状态预期!$S$95:$S$115,$W33)*S$70*INDEX($P$57:$T$57,MATCH($O$70,$P$4:$T$4,0))*求节点(基础状态预期!$C$95:$C$115,基础状态预期!$AC$95:$AC$115,$W33)</f>
        <v>0</v>
      </c>
      <c r="AB33" s="113">
        <f>求节点(基础状态预期!$C$121:$C$141,基础状态预期!$O$121:$O$141,$W33)*T$66*INDEX($P$57:$T$57,MATCH($O$66,$P$4:$T$4,0))*求节点(基础状态预期!$C$121:$C$141,基础状态预期!$Y$121:$Y$141,$W33)+
求节点(基础状态预期!$C$121:$C$141,基础状态预期!$P$121:$P$141,$W33)*T$67*INDEX($P$57:$T$57,MATCH($O$67,$P$4:$T$4,0))*求节点(基础状态预期!$C$121:$C$141,基础状态预期!$Z$121:$Z$141,$W33)+
求节点(基础状态预期!$C$121:$C$141,基础状态预期!$Q$121:$Q$141,$W33)*T$68*INDEX($P$57:$T$57,MATCH($O$68,$P$4:$T$4,0))*求节点(基础状态预期!$C$121:$C$141,基础状态预期!$AA$121:$AA$141,$W33)+
求节点(基础状态预期!$C$121:$C$141,基础状态预期!$R$121:$R$141,$W33)*T$69*INDEX($P$57:$T$57,MATCH($O$69,$P$4:$T$4,0))*求节点(基础状态预期!$C$121:$C$141,基础状态预期!$AB$121:$AB$141,$W33)+
求节点(基础状态预期!$C$121:$C$141,基础状态预期!$S$121:$S$141,$W33)*T$70*INDEX($P$57:$T$57,MATCH($O$70,$P$4:$T$4,0))*求节点(基础状态预期!$C$121:$C$141,基础状态预期!$AC$121:$AC$141,$W33)</f>
        <v>0</v>
      </c>
      <c r="AE33" s="70">
        <v>28</v>
      </c>
      <c r="AF33" s="113">
        <f>盗宝贼!AI32</f>
        <v>34.911151452049744</v>
      </c>
      <c r="AG33" s="113">
        <f>盗宝贼!AJ32</f>
        <v>44.32494771031196</v>
      </c>
      <c r="AH33" s="113">
        <f>盗宝贼!AK32</f>
        <v>49.624352885453831</v>
      </c>
      <c r="AI33" s="113">
        <f>盗宝贼!AL32</f>
        <v>41.641669128716003</v>
      </c>
      <c r="AJ33" s="113">
        <f>盗宝贼!AM32</f>
        <v>23.407508661517085</v>
      </c>
      <c r="AL33" s="78">
        <f>盗宝贼!AI32/AF33</f>
        <v>1</v>
      </c>
      <c r="AM33" s="118"/>
      <c r="AO33" s="123" t="e">
        <f t="shared" si="2"/>
        <v>#DIV/0!</v>
      </c>
      <c r="AP33" s="123" t="e">
        <f t="shared" si="3"/>
        <v>#DIV/0!</v>
      </c>
      <c r="AQ33" s="123" t="e">
        <f t="shared" si="4"/>
        <v>#DIV/0!</v>
      </c>
      <c r="AR33" s="123" t="e">
        <f t="shared" si="5"/>
        <v>#DIV/0!</v>
      </c>
      <c r="AS33" s="123" t="e">
        <f t="shared" si="6"/>
        <v>#DIV/0!</v>
      </c>
    </row>
    <row r="34" spans="15:45" x14ac:dyDescent="0.15">
      <c r="O34" s="84" t="s">
        <v>343</v>
      </c>
      <c r="P34" s="73"/>
      <c r="Q34" s="85">
        <v>5.0000000000000001E-3</v>
      </c>
      <c r="R34" s="85">
        <v>5.0000000000000001E-3</v>
      </c>
      <c r="S34" s="85">
        <v>5.0000000000000001E-3</v>
      </c>
      <c r="T34" s="86">
        <v>5.0000000000000001E-3</v>
      </c>
      <c r="W34" s="70">
        <v>29</v>
      </c>
      <c r="X34" s="113">
        <f>求节点(基础状态预期!$C$17:$C$37,基础状态预期!$O$17:$O$37,$W34)*P$66*INDEX($P$57:$T$57,MATCH($O$66,$P$4:$T$4,0))*求节点(基础状态预期!$C$17:$C$37,基础状态预期!$Y$17:$Y$37,$W34)+
求节点(基础状态预期!$C$17:$C$37,基础状态预期!$P$17:$P$37,$W34)*P$67*INDEX($P$57:$T$57,MATCH($O$67,$P$4:$T$4,0))*求节点(基础状态预期!$C$17:$C$37,基础状态预期!$Z$17:$Z$37,$W34)+
求节点(基础状态预期!$C$17:$C$37,基础状态预期!$Q$17:$Q$37,$W34)*P$68*INDEX($P$57:$T$57,MATCH($O$68,$P$4:$T$4,0))*求节点(基础状态预期!$C$17:$C$37,基础状态预期!$AA$17:$AA$37,$W34)+
求节点(基础状态预期!$C$17:$C$37,基础状态预期!$R$17:$R$37,$W34)*P$69*INDEX($P$57:$T$57,MATCH($O$69,$P$4:$T$4,0))*求节点(基础状态预期!$C$17:$C$37,基础状态预期!$AB$17:$AB$37,$W34)+
求节点(基础状态预期!$C$17:$C$37,基础状态预期!$S$17:$S$37,$W34)*P$70*INDEX($P$57:$T$57,MATCH($O$70,$P$4:$T$4,0))*求节点(基础状态预期!$C$17:$C$37,基础状态预期!$AC$17:$AC$37,$W34)</f>
        <v>0</v>
      </c>
      <c r="Y34" s="113">
        <f>求节点(基础状态预期!$C$43:$C$63,基础状态预期!$O$43:$O$63,$W34)*Q$66*INDEX($P$57:$T$57,MATCH($O$66,$P$4:$T$4,0))*求节点(基础状态预期!$C$43:$C$63,基础状态预期!$Y$43:$Y$63,$W34)+
求节点(基础状态预期!$C$43:$C$63,基础状态预期!$P$43:$P$63,$W34)*Q$67*INDEX($P$57:$T$57,MATCH($O$67,$P$4:$T$4,0))*求节点(基础状态预期!$C$43:$C$63,基础状态预期!$Z$43:$Z$63,$W34)+
求节点(基础状态预期!$C$43:$C$63,基础状态预期!$Q$43:$Q$63,$W34)*Q$68*INDEX($P$57:$T$57,MATCH($O$68,$P$4:$T$4,0))*求节点(基础状态预期!$C$43:$C$63,基础状态预期!$AA$43:$AA$63,$W34)+
求节点(基础状态预期!$C$43:$C$63,基础状态预期!$R$43:$R$63,$W34)*Q$69*INDEX($P$57:$T$57,MATCH($O$69,$P$4:$T$4,0))*求节点(基础状态预期!$C$43:$C$63,基础状态预期!$AB$43:$AB$63,$W34)+
求节点(基础状态预期!$C$43:$C$63,基础状态预期!$S$43:$S$63,$W34)*Q$70*INDEX($P$57:$T$57,MATCH($O$70,$P$4:$T$4,0))*求节点(基础状态预期!$C$43:$C$63,基础状态预期!$AC$43:$AC$63,$W34)</f>
        <v>0</v>
      </c>
      <c r="Z34" s="113">
        <f>求节点(基础状态预期!$C$69:$C$89,基础状态预期!$O$69:$O$89,$W34)*R$66*INDEX($P$57:$T$57,MATCH($O$66,$P$4:$T$4,0))*求节点(基础状态预期!$C$69:$C$89,基础状态预期!AA45:AA65,$W34)+
求节点(基础状态预期!$C$69:$C$89,基础状态预期!$P$69:$P$89,$W34)*R$67*INDEX($P$57:$T$57,MATCH($O$67,$P$4:$T$4,0))*求节点(基础状态预期!$C$69:$C$89,基础状态预期!$Z$69:$Z$89,$W34)+
求节点(基础状态预期!$C$69:$C$89,基础状态预期!$Q$69:$Q$89,$W34)*R$68*INDEX($P$57:$T$57,MATCH($O$68,$P$4:$T$4,0))*求节点(基础状态预期!$C$69:$C$89,基础状态预期!$AA$69:$AA$89,$W34)+
求节点(基础状态预期!$C$69:$C$89,基础状态预期!$R$69:$R$89,$W34)*R$69*INDEX($P$57:$T$57,MATCH($O$69,$P$4:$T$4,0))*求节点(基础状态预期!$C$69:$C$89,基础状态预期!$AB$69:$AB$89,$W34)+
求节点(基础状态预期!$C$69:$C$89,基础状态预期!$S$69:$S$89,$W34)*R$70*INDEX($P$57:$T$57,MATCH($O$70,$P$4:$T$4,0))*求节点(基础状态预期!$C$69:$C$89,基础状态预期!$AC$69:$AC$89,$W34)</f>
        <v>0</v>
      </c>
      <c r="AA34" s="113">
        <f>求节点(基础状态预期!$C$95:$C$115,基础状态预期!$O$95:$O$115,$W34)*S$66*INDEX($P$57:$T$57,MATCH($O$66,$P$4:$T$4,0))*求节点(基础状态预期!$C$95:$C$115,基础状态预期!$Y$95:$Y$115,$W34)+
求节点(基础状态预期!$C$95:$C$115,基础状态预期!$P$95:$P$115,$W34)*S$67*INDEX($P$57:$T$57,MATCH($O$67,$P$4:$T$4,0))*求节点(基础状态预期!$C$95:$C$115,基础状态预期!$Z$95:$Z$115,$W34)+
求节点(基础状态预期!$C$95:$C$115,基础状态预期!$Q$95:$Q$115,$W34)*S$68*INDEX($P$57:$T$57,MATCH($O$68,$P$4:$T$4,0))*求节点(基础状态预期!$C$95:$C$115,基础状态预期!$AA$95:$AA$115,$W34)+
求节点(基础状态预期!$C$95:$C$115,基础状态预期!$R$95:$R$115,$W34)*S$69*INDEX($P$57:$T$57,MATCH($O$69,$P$4:$T$4,0))*求节点(基础状态预期!$C$95:$C$115,基础状态预期!$AB$95:$AB$115,$W34)+
求节点(基础状态预期!$C$95:$C$115,基础状态预期!$S$95:$S$115,$W34)*S$70*INDEX($P$57:$T$57,MATCH($O$70,$P$4:$T$4,0))*求节点(基础状态预期!$C$95:$C$115,基础状态预期!$AC$95:$AC$115,$W34)</f>
        <v>0</v>
      </c>
      <c r="AB34" s="113">
        <f>求节点(基础状态预期!$C$121:$C$141,基础状态预期!$O$121:$O$141,$W34)*T$66*INDEX($P$57:$T$57,MATCH($O$66,$P$4:$T$4,0))*求节点(基础状态预期!$C$121:$C$141,基础状态预期!$Y$121:$Y$141,$W34)+
求节点(基础状态预期!$C$121:$C$141,基础状态预期!$P$121:$P$141,$W34)*T$67*INDEX($P$57:$T$57,MATCH($O$67,$P$4:$T$4,0))*求节点(基础状态预期!$C$121:$C$141,基础状态预期!$Z$121:$Z$141,$W34)+
求节点(基础状态预期!$C$121:$C$141,基础状态预期!$Q$121:$Q$141,$W34)*T$68*INDEX($P$57:$T$57,MATCH($O$68,$P$4:$T$4,0))*求节点(基础状态预期!$C$121:$C$141,基础状态预期!$AA$121:$AA$141,$W34)+
求节点(基础状态预期!$C$121:$C$141,基础状态预期!$R$121:$R$141,$W34)*T$69*INDEX($P$57:$T$57,MATCH($O$69,$P$4:$T$4,0))*求节点(基础状态预期!$C$121:$C$141,基础状态预期!$AB$121:$AB$141,$W34)+
求节点(基础状态预期!$C$121:$C$141,基础状态预期!$S$121:$S$141,$W34)*T$70*INDEX($P$57:$T$57,MATCH($O$70,$P$4:$T$4,0))*求节点(基础状态预期!$C$121:$C$141,基础状态预期!$AC$121:$AC$141,$W34)</f>
        <v>0</v>
      </c>
      <c r="AE34" s="70">
        <v>29</v>
      </c>
      <c r="AF34" s="113">
        <f>盗宝贼!AI33</f>
        <v>39.454087552081056</v>
      </c>
      <c r="AG34" s="113">
        <f>盗宝贼!AJ33</f>
        <v>50.161298157286318</v>
      </c>
      <c r="AH34" s="113">
        <f>盗宝贼!AK33</f>
        <v>56.380116878108566</v>
      </c>
      <c r="AI34" s="113">
        <f>盗宝贼!AL33</f>
        <v>47.500490868219913</v>
      </c>
      <c r="AJ34" s="113">
        <f>盗宝贼!AM33</f>
        <v>26.722136394336179</v>
      </c>
      <c r="AL34" s="78">
        <f>盗宝贼!AI33/AF34</f>
        <v>1</v>
      </c>
      <c r="AM34" s="118"/>
      <c r="AO34" s="123" t="e">
        <f t="shared" si="2"/>
        <v>#DIV/0!</v>
      </c>
      <c r="AP34" s="123" t="e">
        <f t="shared" si="3"/>
        <v>#DIV/0!</v>
      </c>
      <c r="AQ34" s="123" t="e">
        <f t="shared" si="4"/>
        <v>#DIV/0!</v>
      </c>
      <c r="AR34" s="123" t="e">
        <f t="shared" si="5"/>
        <v>#DIV/0!</v>
      </c>
      <c r="AS34" s="123" t="e">
        <f t="shared" si="6"/>
        <v>#DIV/0!</v>
      </c>
    </row>
    <row r="35" spans="15:45" x14ac:dyDescent="0.15">
      <c r="O35" s="84" t="s">
        <v>344</v>
      </c>
      <c r="P35" s="73"/>
      <c r="Q35" s="85">
        <v>0.02</v>
      </c>
      <c r="R35" s="85">
        <v>0.02</v>
      </c>
      <c r="S35" s="85">
        <v>0.02</v>
      </c>
      <c r="T35" s="86">
        <v>0.02</v>
      </c>
      <c r="W35" s="70">
        <v>30</v>
      </c>
      <c r="X35" s="113">
        <f>求节点(基础状态预期!$C$17:$C$37,基础状态预期!$O$17:$O$37,$W35)*P$66*INDEX($P$57:$T$57,MATCH($O$66,$P$4:$T$4,0))*求节点(基础状态预期!$C$17:$C$37,基础状态预期!$Y$17:$Y$37,$W35)+
求节点(基础状态预期!$C$17:$C$37,基础状态预期!$P$17:$P$37,$W35)*P$67*INDEX($P$57:$T$57,MATCH($O$67,$P$4:$T$4,0))*求节点(基础状态预期!$C$17:$C$37,基础状态预期!$Z$17:$Z$37,$W35)+
求节点(基础状态预期!$C$17:$C$37,基础状态预期!$Q$17:$Q$37,$W35)*P$68*INDEX($P$57:$T$57,MATCH($O$68,$P$4:$T$4,0))*求节点(基础状态预期!$C$17:$C$37,基础状态预期!$AA$17:$AA$37,$W35)+
求节点(基础状态预期!$C$17:$C$37,基础状态预期!$R$17:$R$37,$W35)*P$69*INDEX($P$57:$T$57,MATCH($O$69,$P$4:$T$4,0))*求节点(基础状态预期!$C$17:$C$37,基础状态预期!$AB$17:$AB$37,$W35)+
求节点(基础状态预期!$C$17:$C$37,基础状态预期!$S$17:$S$37,$W35)*P$70*INDEX($P$57:$T$57,MATCH($O$70,$P$4:$T$4,0))*求节点(基础状态预期!$C$17:$C$37,基础状态预期!$AC$17:$AC$37,$W35)</f>
        <v>0</v>
      </c>
      <c r="Y35" s="113">
        <f>求节点(基础状态预期!$C$43:$C$63,基础状态预期!$O$43:$O$63,$W35)*Q$66*INDEX($P$57:$T$57,MATCH($O$66,$P$4:$T$4,0))*求节点(基础状态预期!$C$43:$C$63,基础状态预期!$Y$43:$Y$63,$W35)+
求节点(基础状态预期!$C$43:$C$63,基础状态预期!$P$43:$P$63,$W35)*Q$67*INDEX($P$57:$T$57,MATCH($O$67,$P$4:$T$4,0))*求节点(基础状态预期!$C$43:$C$63,基础状态预期!$Z$43:$Z$63,$W35)+
求节点(基础状态预期!$C$43:$C$63,基础状态预期!$Q$43:$Q$63,$W35)*Q$68*INDEX($P$57:$T$57,MATCH($O$68,$P$4:$T$4,0))*求节点(基础状态预期!$C$43:$C$63,基础状态预期!$AA$43:$AA$63,$W35)+
求节点(基础状态预期!$C$43:$C$63,基础状态预期!$R$43:$R$63,$W35)*Q$69*INDEX($P$57:$T$57,MATCH($O$69,$P$4:$T$4,0))*求节点(基础状态预期!$C$43:$C$63,基础状态预期!$AB$43:$AB$63,$W35)+
求节点(基础状态预期!$C$43:$C$63,基础状态预期!$S$43:$S$63,$W35)*Q$70*INDEX($P$57:$T$57,MATCH($O$70,$P$4:$T$4,0))*求节点(基础状态预期!$C$43:$C$63,基础状态预期!$AC$43:$AC$63,$W35)</f>
        <v>0</v>
      </c>
      <c r="Z35" s="113">
        <f>求节点(基础状态预期!$C$69:$C$89,基础状态预期!$O$69:$O$89,$W35)*R$66*INDEX($P$57:$T$57,MATCH($O$66,$P$4:$T$4,0))*求节点(基础状态预期!$C$69:$C$89,基础状态预期!AA46:AA66,$W35)+
求节点(基础状态预期!$C$69:$C$89,基础状态预期!$P$69:$P$89,$W35)*R$67*INDEX($P$57:$T$57,MATCH($O$67,$P$4:$T$4,0))*求节点(基础状态预期!$C$69:$C$89,基础状态预期!$Z$69:$Z$89,$W35)+
求节点(基础状态预期!$C$69:$C$89,基础状态预期!$Q$69:$Q$89,$W35)*R$68*INDEX($P$57:$T$57,MATCH($O$68,$P$4:$T$4,0))*求节点(基础状态预期!$C$69:$C$89,基础状态预期!$AA$69:$AA$89,$W35)+
求节点(基础状态预期!$C$69:$C$89,基础状态预期!$R$69:$R$89,$W35)*R$69*INDEX($P$57:$T$57,MATCH($O$69,$P$4:$T$4,0))*求节点(基础状态预期!$C$69:$C$89,基础状态预期!$AB$69:$AB$89,$W35)+
求节点(基础状态预期!$C$69:$C$89,基础状态预期!$S$69:$S$89,$W35)*R$70*INDEX($P$57:$T$57,MATCH($O$70,$P$4:$T$4,0))*求节点(基础状态预期!$C$69:$C$89,基础状态预期!$AC$69:$AC$89,$W35)</f>
        <v>0</v>
      </c>
      <c r="AA35" s="113">
        <f>求节点(基础状态预期!$C$95:$C$115,基础状态预期!$O$95:$O$115,$W35)*S$66*INDEX($P$57:$T$57,MATCH($O$66,$P$4:$T$4,0))*求节点(基础状态预期!$C$95:$C$115,基础状态预期!$Y$95:$Y$115,$W35)+
求节点(基础状态预期!$C$95:$C$115,基础状态预期!$P$95:$P$115,$W35)*S$67*INDEX($P$57:$T$57,MATCH($O$67,$P$4:$T$4,0))*求节点(基础状态预期!$C$95:$C$115,基础状态预期!$Z$95:$Z$115,$W35)+
求节点(基础状态预期!$C$95:$C$115,基础状态预期!$Q$95:$Q$115,$W35)*S$68*INDEX($P$57:$T$57,MATCH($O$68,$P$4:$T$4,0))*求节点(基础状态预期!$C$95:$C$115,基础状态预期!$AA$95:$AA$115,$W35)+
求节点(基础状态预期!$C$95:$C$115,基础状态预期!$R$95:$R$115,$W35)*S$69*INDEX($P$57:$T$57,MATCH($O$69,$P$4:$T$4,0))*求节点(基础状态预期!$C$95:$C$115,基础状态预期!$AB$95:$AB$115,$W35)+
求节点(基础状态预期!$C$95:$C$115,基础状态预期!$S$95:$S$115,$W35)*S$70*INDEX($P$57:$T$57,MATCH($O$70,$P$4:$T$4,0))*求节点(基础状态预期!$C$95:$C$115,基础状态预期!$AC$95:$AC$115,$W35)</f>
        <v>0</v>
      </c>
      <c r="AB35" s="113">
        <f>求节点(基础状态预期!$C$121:$C$141,基础状态预期!$O$121:$O$141,$W35)*T$66*INDEX($P$57:$T$57,MATCH($O$66,$P$4:$T$4,0))*求节点(基础状态预期!$C$121:$C$141,基础状态预期!$Y$121:$Y$141,$W35)+
求节点(基础状态预期!$C$121:$C$141,基础状态预期!$P$121:$P$141,$W35)*T$67*INDEX($P$57:$T$57,MATCH($O$67,$P$4:$T$4,0))*求节点(基础状态预期!$C$121:$C$141,基础状态预期!$Z$121:$Z$141,$W35)+
求节点(基础状态预期!$C$121:$C$141,基础状态预期!$Q$121:$Q$141,$W35)*T$68*INDEX($P$57:$T$57,MATCH($O$68,$P$4:$T$4,0))*求节点(基础状态预期!$C$121:$C$141,基础状态预期!$AA$121:$AA$141,$W35)+
求节点(基础状态预期!$C$121:$C$141,基础状态预期!$R$121:$R$141,$W35)*T$69*INDEX($P$57:$T$57,MATCH($O$69,$P$4:$T$4,0))*求节点(基础状态预期!$C$121:$C$141,基础状态预期!$AB$121:$AB$141,$W35)+
求节点(基础状态预期!$C$121:$C$141,基础状态预期!$S$121:$S$141,$W35)*T$70*INDEX($P$57:$T$57,MATCH($O$70,$P$4:$T$4,0))*求节点(基础状态预期!$C$121:$C$141,基础状态预期!$AC$121:$AC$141,$W35)</f>
        <v>0</v>
      </c>
      <c r="AE35" s="70">
        <v>30</v>
      </c>
      <c r="AF35" s="113">
        <f>盗宝贼!AI34</f>
        <v>44.56653582379333</v>
      </c>
      <c r="AG35" s="113">
        <f>盗宝贼!AJ34</f>
        <v>56.697987332021334</v>
      </c>
      <c r="AH35" s="113">
        <f>盗宝贼!AK34</f>
        <v>63.76268274977226</v>
      </c>
      <c r="AI35" s="113">
        <f>盗宝贼!AL34</f>
        <v>53.690499417234214</v>
      </c>
      <c r="AJ35" s="113">
        <f>盗宝贼!AM34</f>
        <v>30.226575866220024</v>
      </c>
      <c r="AL35" s="78">
        <f>盗宝贼!AI34/AF35</f>
        <v>1</v>
      </c>
      <c r="AM35" s="118"/>
      <c r="AO35" s="123" t="e">
        <f t="shared" si="2"/>
        <v>#DIV/0!</v>
      </c>
      <c r="AP35" s="123" t="e">
        <f t="shared" si="3"/>
        <v>#DIV/0!</v>
      </c>
      <c r="AQ35" s="123" t="e">
        <f t="shared" si="4"/>
        <v>#DIV/0!</v>
      </c>
      <c r="AR35" s="123" t="e">
        <f t="shared" si="5"/>
        <v>#DIV/0!</v>
      </c>
      <c r="AS35" s="123" t="e">
        <f t="shared" si="6"/>
        <v>#DIV/0!</v>
      </c>
    </row>
    <row r="36" spans="15:45" x14ac:dyDescent="0.15">
      <c r="O36" s="87" t="s">
        <v>333</v>
      </c>
      <c r="P36" s="88"/>
      <c r="Q36" s="89">
        <v>0.35</v>
      </c>
      <c r="R36" s="89">
        <v>0.42499999999999999</v>
      </c>
      <c r="S36" s="89">
        <v>0.5</v>
      </c>
      <c r="T36" s="90">
        <v>0.6</v>
      </c>
      <c r="W36" s="70">
        <v>31</v>
      </c>
      <c r="X36" s="113">
        <f>求节点(基础状态预期!$C$17:$C$37,基础状态预期!$O$17:$O$37,$W36)*P$66*INDEX($P$57:$T$57,MATCH($O$66,$P$4:$T$4,0))*求节点(基础状态预期!$C$17:$C$37,基础状态预期!$Y$17:$Y$37,$W36)+
求节点(基础状态预期!$C$17:$C$37,基础状态预期!$P$17:$P$37,$W36)*P$67*INDEX($P$57:$T$57,MATCH($O$67,$P$4:$T$4,0))*求节点(基础状态预期!$C$17:$C$37,基础状态预期!$Z$17:$Z$37,$W36)+
求节点(基础状态预期!$C$17:$C$37,基础状态预期!$Q$17:$Q$37,$W36)*P$68*INDEX($P$57:$T$57,MATCH($O$68,$P$4:$T$4,0))*求节点(基础状态预期!$C$17:$C$37,基础状态预期!$AA$17:$AA$37,$W36)+
求节点(基础状态预期!$C$17:$C$37,基础状态预期!$R$17:$R$37,$W36)*P$69*INDEX($P$57:$T$57,MATCH($O$69,$P$4:$T$4,0))*求节点(基础状态预期!$C$17:$C$37,基础状态预期!$AB$17:$AB$37,$W36)+
求节点(基础状态预期!$C$17:$C$37,基础状态预期!$S$17:$S$37,$W36)*P$70*INDEX($P$57:$T$57,MATCH($O$70,$P$4:$T$4,0))*求节点(基础状态预期!$C$17:$C$37,基础状态预期!$AC$17:$AC$37,$W36)</f>
        <v>0</v>
      </c>
      <c r="Y36" s="113">
        <f>求节点(基础状态预期!$C$43:$C$63,基础状态预期!$O$43:$O$63,$W36)*Q$66*INDEX($P$57:$T$57,MATCH($O$66,$P$4:$T$4,0))*求节点(基础状态预期!$C$43:$C$63,基础状态预期!$Y$43:$Y$63,$W36)+
求节点(基础状态预期!$C$43:$C$63,基础状态预期!$P$43:$P$63,$W36)*Q$67*INDEX($P$57:$T$57,MATCH($O$67,$P$4:$T$4,0))*求节点(基础状态预期!$C$43:$C$63,基础状态预期!$Z$43:$Z$63,$W36)+
求节点(基础状态预期!$C$43:$C$63,基础状态预期!$Q$43:$Q$63,$W36)*Q$68*INDEX($P$57:$T$57,MATCH($O$68,$P$4:$T$4,0))*求节点(基础状态预期!$C$43:$C$63,基础状态预期!$AA$43:$AA$63,$W36)+
求节点(基础状态预期!$C$43:$C$63,基础状态预期!$R$43:$R$63,$W36)*Q$69*INDEX($P$57:$T$57,MATCH($O$69,$P$4:$T$4,0))*求节点(基础状态预期!$C$43:$C$63,基础状态预期!$AB$43:$AB$63,$W36)+
求节点(基础状态预期!$C$43:$C$63,基础状态预期!$S$43:$S$63,$W36)*Q$70*INDEX($P$57:$T$57,MATCH($O$70,$P$4:$T$4,0))*求节点(基础状态预期!$C$43:$C$63,基础状态预期!$AC$43:$AC$63,$W36)</f>
        <v>0</v>
      </c>
      <c r="Z36" s="113">
        <f>求节点(基础状态预期!$C$69:$C$89,基础状态预期!$O$69:$O$89,$W36)*R$66*INDEX($P$57:$T$57,MATCH($O$66,$P$4:$T$4,0))*求节点(基础状态预期!$C$69:$C$89,基础状态预期!AA47:AA67,$W36)+
求节点(基础状态预期!$C$69:$C$89,基础状态预期!$P$69:$P$89,$W36)*R$67*INDEX($P$57:$T$57,MATCH($O$67,$P$4:$T$4,0))*求节点(基础状态预期!$C$69:$C$89,基础状态预期!$Z$69:$Z$89,$W36)+
求节点(基础状态预期!$C$69:$C$89,基础状态预期!$Q$69:$Q$89,$W36)*R$68*INDEX($P$57:$T$57,MATCH($O$68,$P$4:$T$4,0))*求节点(基础状态预期!$C$69:$C$89,基础状态预期!$AA$69:$AA$89,$W36)+
求节点(基础状态预期!$C$69:$C$89,基础状态预期!$R$69:$R$89,$W36)*R$69*INDEX($P$57:$T$57,MATCH($O$69,$P$4:$T$4,0))*求节点(基础状态预期!$C$69:$C$89,基础状态预期!$AB$69:$AB$89,$W36)+
求节点(基础状态预期!$C$69:$C$89,基础状态预期!$S$69:$S$89,$W36)*R$70*INDEX($P$57:$T$57,MATCH($O$70,$P$4:$T$4,0))*求节点(基础状态预期!$C$69:$C$89,基础状态预期!$AC$69:$AC$89,$W36)</f>
        <v>0</v>
      </c>
      <c r="AA36" s="113">
        <f>求节点(基础状态预期!$C$95:$C$115,基础状态预期!$O$95:$O$115,$W36)*S$66*INDEX($P$57:$T$57,MATCH($O$66,$P$4:$T$4,0))*求节点(基础状态预期!$C$95:$C$115,基础状态预期!$Y$95:$Y$115,$W36)+
求节点(基础状态预期!$C$95:$C$115,基础状态预期!$P$95:$P$115,$W36)*S$67*INDEX($P$57:$T$57,MATCH($O$67,$P$4:$T$4,0))*求节点(基础状态预期!$C$95:$C$115,基础状态预期!$Z$95:$Z$115,$W36)+
求节点(基础状态预期!$C$95:$C$115,基础状态预期!$Q$95:$Q$115,$W36)*S$68*INDEX($P$57:$T$57,MATCH($O$68,$P$4:$T$4,0))*求节点(基础状态预期!$C$95:$C$115,基础状态预期!$AA$95:$AA$115,$W36)+
求节点(基础状态预期!$C$95:$C$115,基础状态预期!$R$95:$R$115,$W36)*S$69*INDEX($P$57:$T$57,MATCH($O$69,$P$4:$T$4,0))*求节点(基础状态预期!$C$95:$C$115,基础状态预期!$AB$95:$AB$115,$W36)+
求节点(基础状态预期!$C$95:$C$115,基础状态预期!$S$95:$S$115,$W36)*S$70*INDEX($P$57:$T$57,MATCH($O$70,$P$4:$T$4,0))*求节点(基础状态预期!$C$95:$C$115,基础状态预期!$AC$95:$AC$115,$W36)</f>
        <v>27.5</v>
      </c>
      <c r="AB36" s="113">
        <f>求节点(基础状态预期!$C$121:$C$141,基础状态预期!$O$121:$O$141,$W36)*T$66*INDEX($P$57:$T$57,MATCH($O$66,$P$4:$T$4,0))*求节点(基础状态预期!$C$121:$C$141,基础状态预期!$Y$121:$Y$141,$W36)+
求节点(基础状态预期!$C$121:$C$141,基础状态预期!$P$121:$P$141,$W36)*T$67*INDEX($P$57:$T$57,MATCH($O$67,$P$4:$T$4,0))*求节点(基础状态预期!$C$121:$C$141,基础状态预期!$Z$121:$Z$141,$W36)+
求节点(基础状态预期!$C$121:$C$141,基础状态预期!$Q$121:$Q$141,$W36)*T$68*INDEX($P$57:$T$57,MATCH($O$68,$P$4:$T$4,0))*求节点(基础状态预期!$C$121:$C$141,基础状态预期!$AA$121:$AA$141,$W36)+
求节点(基础状态预期!$C$121:$C$141,基础状态预期!$R$121:$R$141,$W36)*T$69*INDEX($P$57:$T$57,MATCH($O$69,$P$4:$T$4,0))*求节点(基础状态预期!$C$121:$C$141,基础状态预期!$AB$121:$AB$141,$W36)+
求节点(基础状态预期!$C$121:$C$141,基础状态预期!$S$121:$S$141,$W36)*T$70*INDEX($P$57:$T$57,MATCH($O$70,$P$4:$T$4,0))*求节点(基础状态预期!$C$121:$C$141,基础状态预期!$AC$121:$AC$141,$W36)</f>
        <v>27.5</v>
      </c>
      <c r="AE36" s="70">
        <v>31</v>
      </c>
      <c r="AF36" s="113">
        <f>盗宝贼!AI35</f>
        <v>50.319891529314582</v>
      </c>
      <c r="AG36" s="113">
        <f>盗宝贼!AJ35</f>
        <v>64.125167648321593</v>
      </c>
      <c r="AH36" s="113">
        <f>盗宝贼!AK35</f>
        <v>72.111013667201391</v>
      </c>
      <c r="AI36" s="113">
        <f>盗宝贼!AL35</f>
        <v>60.629760074839879</v>
      </c>
      <c r="AJ36" s="113">
        <f>盗宝贼!AM35</f>
        <v>34.211572765582389</v>
      </c>
      <c r="AL36" s="78">
        <f>盗宝贼!AI35/AF36</f>
        <v>1</v>
      </c>
      <c r="AM36" s="118"/>
      <c r="AO36" s="123" t="e">
        <f t="shared" si="2"/>
        <v>#DIV/0!</v>
      </c>
      <c r="AP36" s="123" t="e">
        <f t="shared" si="3"/>
        <v>#DIV/0!</v>
      </c>
      <c r="AQ36" s="123" t="e">
        <f t="shared" si="4"/>
        <v>#DIV/0!</v>
      </c>
      <c r="AR36" s="123">
        <f t="shared" si="5"/>
        <v>2.2047185481759954</v>
      </c>
      <c r="AS36" s="123">
        <f t="shared" si="6"/>
        <v>1.2440571914757232</v>
      </c>
    </row>
    <row r="37" spans="15:45" x14ac:dyDescent="0.15">
      <c r="Q37" s="78"/>
      <c r="T37" s="78"/>
      <c r="W37" s="70">
        <v>32</v>
      </c>
      <c r="X37" s="113">
        <f>求节点(基础状态预期!$C$17:$C$37,基础状态预期!$O$17:$O$37,$W37)*P$66*INDEX($P$57:$T$57,MATCH($O$66,$P$4:$T$4,0))*求节点(基础状态预期!$C$17:$C$37,基础状态预期!$Y$17:$Y$37,$W37)+
求节点(基础状态预期!$C$17:$C$37,基础状态预期!$P$17:$P$37,$W37)*P$67*INDEX($P$57:$T$57,MATCH($O$67,$P$4:$T$4,0))*求节点(基础状态预期!$C$17:$C$37,基础状态预期!$Z$17:$Z$37,$W37)+
求节点(基础状态预期!$C$17:$C$37,基础状态预期!$Q$17:$Q$37,$W37)*P$68*INDEX($P$57:$T$57,MATCH($O$68,$P$4:$T$4,0))*求节点(基础状态预期!$C$17:$C$37,基础状态预期!$AA$17:$AA$37,$W37)+
求节点(基础状态预期!$C$17:$C$37,基础状态预期!$R$17:$R$37,$W37)*P$69*INDEX($P$57:$T$57,MATCH($O$69,$P$4:$T$4,0))*求节点(基础状态预期!$C$17:$C$37,基础状态预期!$AB$17:$AB$37,$W37)+
求节点(基础状态预期!$C$17:$C$37,基础状态预期!$S$17:$S$37,$W37)*P$70*INDEX($P$57:$T$57,MATCH($O$70,$P$4:$T$4,0))*求节点(基础状态预期!$C$17:$C$37,基础状态预期!$AC$17:$AC$37,$W37)</f>
        <v>0</v>
      </c>
      <c r="Y37" s="113">
        <f>求节点(基础状态预期!$C$43:$C$63,基础状态预期!$O$43:$O$63,$W37)*Q$66*INDEX($P$57:$T$57,MATCH($O$66,$P$4:$T$4,0))*求节点(基础状态预期!$C$43:$C$63,基础状态预期!$Y$43:$Y$63,$W37)+
求节点(基础状态预期!$C$43:$C$63,基础状态预期!$P$43:$P$63,$W37)*Q$67*INDEX($P$57:$T$57,MATCH($O$67,$P$4:$T$4,0))*求节点(基础状态预期!$C$43:$C$63,基础状态预期!$Z$43:$Z$63,$W37)+
求节点(基础状态预期!$C$43:$C$63,基础状态预期!$Q$43:$Q$63,$W37)*Q$68*INDEX($P$57:$T$57,MATCH($O$68,$P$4:$T$4,0))*求节点(基础状态预期!$C$43:$C$63,基础状态预期!$AA$43:$AA$63,$W37)+
求节点(基础状态预期!$C$43:$C$63,基础状态预期!$R$43:$R$63,$W37)*Q$69*INDEX($P$57:$T$57,MATCH($O$69,$P$4:$T$4,0))*求节点(基础状态预期!$C$43:$C$63,基础状态预期!$AB$43:$AB$63,$W37)+
求节点(基础状态预期!$C$43:$C$63,基础状态预期!$S$43:$S$63,$W37)*Q$70*INDEX($P$57:$T$57,MATCH($O$70,$P$4:$T$4,0))*求节点(基础状态预期!$C$43:$C$63,基础状态预期!$AC$43:$AC$63,$W37)</f>
        <v>0</v>
      </c>
      <c r="Z37" s="113">
        <f>求节点(基础状态预期!$C$69:$C$89,基础状态预期!$O$69:$O$89,$W37)*R$66*INDEX($P$57:$T$57,MATCH($O$66,$P$4:$T$4,0))*求节点(基础状态预期!$C$69:$C$89,基础状态预期!AA48:AA68,$W37)+
求节点(基础状态预期!$C$69:$C$89,基础状态预期!$P$69:$P$89,$W37)*R$67*INDEX($P$57:$T$57,MATCH($O$67,$P$4:$T$4,0))*求节点(基础状态预期!$C$69:$C$89,基础状态预期!$Z$69:$Z$89,$W37)+
求节点(基础状态预期!$C$69:$C$89,基础状态预期!$Q$69:$Q$89,$W37)*R$68*INDEX($P$57:$T$57,MATCH($O$68,$P$4:$T$4,0))*求节点(基础状态预期!$C$69:$C$89,基础状态预期!$AA$69:$AA$89,$W37)+
求节点(基础状态预期!$C$69:$C$89,基础状态预期!$R$69:$R$89,$W37)*R$69*INDEX($P$57:$T$57,MATCH($O$69,$P$4:$T$4,0))*求节点(基础状态预期!$C$69:$C$89,基础状态预期!$AB$69:$AB$89,$W37)+
求节点(基础状态预期!$C$69:$C$89,基础状态预期!$S$69:$S$89,$W37)*R$70*INDEX($P$57:$T$57,MATCH($O$70,$P$4:$T$4,0))*求节点(基础状态预期!$C$69:$C$89,基础状态预期!$AC$69:$AC$89,$W37)</f>
        <v>0</v>
      </c>
      <c r="AA37" s="113">
        <f>求节点(基础状态预期!$C$95:$C$115,基础状态预期!$O$95:$O$115,$W37)*S$66*INDEX($P$57:$T$57,MATCH($O$66,$P$4:$T$4,0))*求节点(基础状态预期!$C$95:$C$115,基础状态预期!$Y$95:$Y$115,$W37)+
求节点(基础状态预期!$C$95:$C$115,基础状态预期!$P$95:$P$115,$W37)*S$67*INDEX($P$57:$T$57,MATCH($O$67,$P$4:$T$4,0))*求节点(基础状态预期!$C$95:$C$115,基础状态预期!$Z$95:$Z$115,$W37)+
求节点(基础状态预期!$C$95:$C$115,基础状态预期!$Q$95:$Q$115,$W37)*S$68*INDEX($P$57:$T$57,MATCH($O$68,$P$4:$T$4,0))*求节点(基础状态预期!$C$95:$C$115,基础状态预期!$AA$95:$AA$115,$W37)+
求节点(基础状态预期!$C$95:$C$115,基础状态预期!$R$95:$R$115,$W37)*S$69*INDEX($P$57:$T$57,MATCH($O$69,$P$4:$T$4,0))*求节点(基础状态预期!$C$95:$C$115,基础状态预期!$AB$95:$AB$115,$W37)+
求节点(基础状态预期!$C$95:$C$115,基础状态预期!$S$95:$S$115,$W37)*S$70*INDEX($P$57:$T$57,MATCH($O$70,$P$4:$T$4,0))*求节点(基础状态预期!$C$95:$C$115,基础状态预期!$AC$95:$AC$115,$W37)</f>
        <v>110</v>
      </c>
      <c r="AB37" s="113">
        <f>求节点(基础状态预期!$C$121:$C$141,基础状态预期!$O$121:$O$141,$W37)*T$66*INDEX($P$57:$T$57,MATCH($O$66,$P$4:$T$4,0))*求节点(基础状态预期!$C$121:$C$141,基础状态预期!$Y$121:$Y$141,$W37)+
求节点(基础状态预期!$C$121:$C$141,基础状态预期!$P$121:$P$141,$W37)*T$67*INDEX($P$57:$T$57,MATCH($O$67,$P$4:$T$4,0))*求节点(基础状态预期!$C$121:$C$141,基础状态预期!$Z$121:$Z$141,$W37)+
求节点(基础状态预期!$C$121:$C$141,基础状态预期!$Q$121:$Q$141,$W37)*T$68*INDEX($P$57:$T$57,MATCH($O$68,$P$4:$T$4,0))*求节点(基础状态预期!$C$121:$C$141,基础状态预期!$AA$121:$AA$141,$W37)+
求节点(基础状态预期!$C$121:$C$141,基础状态预期!$R$121:$R$141,$W37)*T$69*INDEX($P$57:$T$57,MATCH($O$69,$P$4:$T$4,0))*求节点(基础状态预期!$C$121:$C$141,基础状态预期!$AB$121:$AB$141,$W37)+
求节点(基础状态预期!$C$121:$C$141,基础状态预期!$S$121:$S$141,$W37)*T$70*INDEX($P$57:$T$57,MATCH($O$70,$P$4:$T$4,0))*求节点(基础状态预期!$C$121:$C$141,基础状态预期!$AC$121:$AC$141,$W37)</f>
        <v>110</v>
      </c>
      <c r="AE37" s="70">
        <v>32</v>
      </c>
      <c r="AF37" s="113">
        <f>盗宝贼!AI36</f>
        <v>56.794500193309553</v>
      </c>
      <c r="AG37" s="113">
        <f>盗宝贼!AJ36</f>
        <v>72.407170089550007</v>
      </c>
      <c r="AH37" s="113">
        <f>盗宝贼!AK36</f>
        <v>81.33271424341244</v>
      </c>
      <c r="AI37" s="113">
        <f>盗宝贼!AL36</f>
        <v>68.482383610825934</v>
      </c>
      <c r="AJ37" s="113">
        <f>盗宝贼!AM36</f>
        <v>38.611004599532905</v>
      </c>
      <c r="AL37" s="78">
        <f>盗宝贼!AI36/AF37</f>
        <v>1</v>
      </c>
      <c r="AM37" s="118"/>
      <c r="AO37" s="123" t="e">
        <f t="shared" si="2"/>
        <v>#DIV/0!</v>
      </c>
      <c r="AP37" s="123" t="e">
        <f t="shared" si="3"/>
        <v>#DIV/0!</v>
      </c>
      <c r="AQ37" s="123" t="e">
        <f t="shared" si="4"/>
        <v>#DIV/0!</v>
      </c>
      <c r="AR37" s="123">
        <f t="shared" si="5"/>
        <v>0.62256712373478118</v>
      </c>
      <c r="AS37" s="123">
        <f t="shared" si="6"/>
        <v>0.35100913272302642</v>
      </c>
    </row>
    <row r="38" spans="15:45" x14ac:dyDescent="0.15">
      <c r="O38" s="70" t="s">
        <v>379</v>
      </c>
      <c r="P38" s="70"/>
      <c r="Q38" s="97">
        <f>Q30^Q$5*AVERAGE(Q28:Q29)*Q$5+IF(Q$5-1&gt;Q$5/2,Q30^(Q$5-1)*(1-Q30)*AVERAGE(Q28:Q29)*(Q$5-1)-Q30^(Q$5-1)*(Q36)*AVERAGE(Q34:Q35)*1,0)+IF(Q$5-2&gt;Q$5/2,Q30^(Q$5-2)*(1-Q30)^2*AVERAGE(Q28:Q29)*(Q$5-2)-Q30^(Q$5-2)*(Q36^2+Q36*Q32*2)*AVERAGE(Q34:Q35)*2,0)</f>
        <v>1.2E-2</v>
      </c>
      <c r="R38" s="97">
        <f t="shared" ref="R38:T38" si="20">R30^R$5*AVERAGE(R28:R29)*R$5+IF(R$5-1&gt;R$5/2,R30^(R$5-1)*(1-R30)*AVERAGE(R28:R29)*(R$5-1)-R30^(R$5-1)*(R36)*AVERAGE(R34:R35)*1,0)+IF(R$5-2&gt;R$5/2,R30^(R$5-2)*(1-R30)^2*AVERAGE(R28:R29)*(R$5-2)-R30^(R$5-2)*(R36^2+R36*R32*2)*AVERAGE(R34:R35)*2,0)</f>
        <v>0.01</v>
      </c>
      <c r="S38" s="97">
        <f t="shared" si="20"/>
        <v>6.6800000000000019E-3</v>
      </c>
      <c r="T38" s="97">
        <f t="shared" si="20"/>
        <v>3.4650000000000002E-3</v>
      </c>
      <c r="W38" s="70">
        <v>33</v>
      </c>
      <c r="X38" s="113">
        <f>求节点(基础状态预期!$C$17:$C$37,基础状态预期!$O$17:$O$37,$W38)*P$66*INDEX($P$57:$T$57,MATCH($O$66,$P$4:$T$4,0))*求节点(基础状态预期!$C$17:$C$37,基础状态预期!$Y$17:$Y$37,$W38)+
求节点(基础状态预期!$C$17:$C$37,基础状态预期!$P$17:$P$37,$W38)*P$67*INDEX($P$57:$T$57,MATCH($O$67,$P$4:$T$4,0))*求节点(基础状态预期!$C$17:$C$37,基础状态预期!$Z$17:$Z$37,$W38)+
求节点(基础状态预期!$C$17:$C$37,基础状态预期!$Q$17:$Q$37,$W38)*P$68*INDEX($P$57:$T$57,MATCH($O$68,$P$4:$T$4,0))*求节点(基础状态预期!$C$17:$C$37,基础状态预期!$AA$17:$AA$37,$W38)+
求节点(基础状态预期!$C$17:$C$37,基础状态预期!$R$17:$R$37,$W38)*P$69*INDEX($P$57:$T$57,MATCH($O$69,$P$4:$T$4,0))*求节点(基础状态预期!$C$17:$C$37,基础状态预期!$AB$17:$AB$37,$W38)+
求节点(基础状态预期!$C$17:$C$37,基础状态预期!$S$17:$S$37,$W38)*P$70*INDEX($P$57:$T$57,MATCH($O$70,$P$4:$T$4,0))*求节点(基础状态预期!$C$17:$C$37,基础状态预期!$AC$17:$AC$37,$W38)</f>
        <v>0</v>
      </c>
      <c r="Y38" s="113">
        <f>求节点(基础状态预期!$C$43:$C$63,基础状态预期!$O$43:$O$63,$W38)*Q$66*INDEX($P$57:$T$57,MATCH($O$66,$P$4:$T$4,0))*求节点(基础状态预期!$C$43:$C$63,基础状态预期!$Y$43:$Y$63,$W38)+
求节点(基础状态预期!$C$43:$C$63,基础状态预期!$P$43:$P$63,$W38)*Q$67*INDEX($P$57:$T$57,MATCH($O$67,$P$4:$T$4,0))*求节点(基础状态预期!$C$43:$C$63,基础状态预期!$Z$43:$Z$63,$W38)+
求节点(基础状态预期!$C$43:$C$63,基础状态预期!$Q$43:$Q$63,$W38)*Q$68*INDEX($P$57:$T$57,MATCH($O$68,$P$4:$T$4,0))*求节点(基础状态预期!$C$43:$C$63,基础状态预期!$AA$43:$AA$63,$W38)+
求节点(基础状态预期!$C$43:$C$63,基础状态预期!$R$43:$R$63,$W38)*Q$69*INDEX($P$57:$T$57,MATCH($O$69,$P$4:$T$4,0))*求节点(基础状态预期!$C$43:$C$63,基础状态预期!$AB$43:$AB$63,$W38)+
求节点(基础状态预期!$C$43:$C$63,基础状态预期!$S$43:$S$63,$W38)*Q$70*INDEX($P$57:$T$57,MATCH($O$70,$P$4:$T$4,0))*求节点(基础状态预期!$C$43:$C$63,基础状态预期!$AC$43:$AC$63,$W38)</f>
        <v>0</v>
      </c>
      <c r="Z38" s="113">
        <f>求节点(基础状态预期!$C$69:$C$89,基础状态预期!$O$69:$O$89,$W38)*R$66*INDEX($P$57:$T$57,MATCH($O$66,$P$4:$T$4,0))*求节点(基础状态预期!$C$69:$C$89,基础状态预期!AA49:AA69,$W38)+
求节点(基础状态预期!$C$69:$C$89,基础状态预期!$P$69:$P$89,$W38)*R$67*INDEX($P$57:$T$57,MATCH($O$67,$P$4:$T$4,0))*求节点(基础状态预期!$C$69:$C$89,基础状态预期!$Z$69:$Z$89,$W38)+
求节点(基础状态预期!$C$69:$C$89,基础状态预期!$Q$69:$Q$89,$W38)*R$68*INDEX($P$57:$T$57,MATCH($O$68,$P$4:$T$4,0))*求节点(基础状态预期!$C$69:$C$89,基础状态预期!$AA$69:$AA$89,$W38)+
求节点(基础状态预期!$C$69:$C$89,基础状态预期!$R$69:$R$89,$W38)*R$69*INDEX($P$57:$T$57,MATCH($O$69,$P$4:$T$4,0))*求节点(基础状态预期!$C$69:$C$89,基础状态预期!$AB$69:$AB$89,$W38)+
求节点(基础状态预期!$C$69:$C$89,基础状态预期!$S$69:$S$89,$W38)*R$70*INDEX($P$57:$T$57,MATCH($O$70,$P$4:$T$4,0))*求节点(基础状态预期!$C$69:$C$89,基础状态预期!$AC$69:$AC$89,$W38)</f>
        <v>0</v>
      </c>
      <c r="AA38" s="113">
        <f>求节点(基础状态预期!$C$95:$C$115,基础状态预期!$O$95:$O$115,$W38)*S$66*INDEX($P$57:$T$57,MATCH($O$66,$P$4:$T$4,0))*求节点(基础状态预期!$C$95:$C$115,基础状态预期!$Y$95:$Y$115,$W38)+
求节点(基础状态预期!$C$95:$C$115,基础状态预期!$P$95:$P$115,$W38)*S$67*INDEX($P$57:$T$57,MATCH($O$67,$P$4:$T$4,0))*求节点(基础状态预期!$C$95:$C$115,基础状态预期!$Z$95:$Z$115,$W38)+
求节点(基础状态预期!$C$95:$C$115,基础状态预期!$Q$95:$Q$115,$W38)*S$68*INDEX($P$57:$T$57,MATCH($O$68,$P$4:$T$4,0))*求节点(基础状态预期!$C$95:$C$115,基础状态预期!$AA$95:$AA$115,$W38)+
求节点(基础状态预期!$C$95:$C$115,基础状态预期!$R$95:$R$115,$W38)*S$69*INDEX($P$57:$T$57,MATCH($O$69,$P$4:$T$4,0))*求节点(基础状态预期!$C$95:$C$115,基础状态预期!$AB$95:$AB$115,$W38)+
求节点(基础状态预期!$C$95:$C$115,基础状态预期!$S$95:$S$115,$W38)*S$70*INDEX($P$57:$T$57,MATCH($O$70,$P$4:$T$4,0))*求节点(基础状态预期!$C$95:$C$115,基础状态预期!$AC$95:$AC$115,$W38)</f>
        <v>247.50000000000006</v>
      </c>
      <c r="AB38" s="113">
        <f>求节点(基础状态预期!$C$121:$C$141,基础状态预期!$O$121:$O$141,$W38)*T$66*INDEX($P$57:$T$57,MATCH($O$66,$P$4:$T$4,0))*求节点(基础状态预期!$C$121:$C$141,基础状态预期!$Y$121:$Y$141,$W38)+
求节点(基础状态预期!$C$121:$C$141,基础状态预期!$P$121:$P$141,$W38)*T$67*INDEX($P$57:$T$57,MATCH($O$67,$P$4:$T$4,0))*求节点(基础状态预期!$C$121:$C$141,基础状态预期!$Z$121:$Z$141,$W38)+
求节点(基础状态预期!$C$121:$C$141,基础状态预期!$Q$121:$Q$141,$W38)*T$68*INDEX($P$57:$T$57,MATCH($O$68,$P$4:$T$4,0))*求节点(基础状态预期!$C$121:$C$141,基础状态预期!$AA$121:$AA$141,$W38)+
求节点(基础状态预期!$C$121:$C$141,基础状态预期!$R$121:$R$141,$W38)*T$69*INDEX($P$57:$T$57,MATCH($O$69,$P$4:$T$4,0))*求节点(基础状态预期!$C$121:$C$141,基础状态预期!$AB$121:$AB$141,$W38)+
求节点(基础状态预期!$C$121:$C$141,基础状态预期!$S$121:$S$141,$W38)*T$70*INDEX($P$57:$T$57,MATCH($O$70,$P$4:$T$4,0))*求节点(基础状态预期!$C$121:$C$141,基础状态预期!$AC$121:$AC$141,$W38)</f>
        <v>247.50000000000006</v>
      </c>
      <c r="AE38" s="70">
        <v>33</v>
      </c>
      <c r="AF38" s="113">
        <f>盗宝贼!AI37</f>
        <v>64.080779627005768</v>
      </c>
      <c r="AG38" s="113">
        <f>盗宝贼!AJ37</f>
        <v>81.418881684148573</v>
      </c>
      <c r="AH38" s="113">
        <f>盗宝贼!AK37</f>
        <v>91.457463190292287</v>
      </c>
      <c r="AI38" s="113">
        <f>盗宝贼!AL37</f>
        <v>77.153361459691965</v>
      </c>
      <c r="AJ38" s="113">
        <f>盗宝贼!AM37</f>
        <v>43.499909478604081</v>
      </c>
      <c r="AL38" s="78">
        <f>盗宝贼!AI37/AF38</f>
        <v>1</v>
      </c>
      <c r="AM38" s="118"/>
      <c r="AO38" s="123" t="e">
        <f t="shared" si="2"/>
        <v>#DIV/0!</v>
      </c>
      <c r="AP38" s="123" t="e">
        <f t="shared" si="3"/>
        <v>#DIV/0!</v>
      </c>
      <c r="AQ38" s="123" t="e">
        <f t="shared" si="4"/>
        <v>#DIV/0!</v>
      </c>
      <c r="AR38" s="123">
        <f t="shared" si="5"/>
        <v>0.31173075337249273</v>
      </c>
      <c r="AS38" s="123">
        <f t="shared" si="6"/>
        <v>0.1757572100145619</v>
      </c>
    </row>
    <row r="39" spans="15:45" x14ac:dyDescent="0.15">
      <c r="O39" s="66" t="s">
        <v>353</v>
      </c>
      <c r="Q39" s="47">
        <f>Q22+(Q26-Q9)*Q5/Q38</f>
        <v>37.5</v>
      </c>
      <c r="R39" s="47">
        <f t="shared" ref="R39:T39" si="21">R22+(R26-R9)*R5/R38</f>
        <v>83.605442176870753</v>
      </c>
      <c r="S39" s="47">
        <f t="shared" si="21"/>
        <v>179.14434635340641</v>
      </c>
      <c r="T39" s="47">
        <f t="shared" si="21"/>
        <v>336.08815426997239</v>
      </c>
      <c r="W39" s="70">
        <v>34</v>
      </c>
      <c r="X39" s="113">
        <f>求节点(基础状态预期!$C$17:$C$37,基础状态预期!$O$17:$O$37,$W39)*P$66*INDEX($P$57:$T$57,MATCH($O$66,$P$4:$T$4,0))*求节点(基础状态预期!$C$17:$C$37,基础状态预期!$Y$17:$Y$37,$W39)+
求节点(基础状态预期!$C$17:$C$37,基础状态预期!$P$17:$P$37,$W39)*P$67*INDEX($P$57:$T$57,MATCH($O$67,$P$4:$T$4,0))*求节点(基础状态预期!$C$17:$C$37,基础状态预期!$Z$17:$Z$37,$W39)+
求节点(基础状态预期!$C$17:$C$37,基础状态预期!$Q$17:$Q$37,$W39)*P$68*INDEX($P$57:$T$57,MATCH($O$68,$P$4:$T$4,0))*求节点(基础状态预期!$C$17:$C$37,基础状态预期!$AA$17:$AA$37,$W39)+
求节点(基础状态预期!$C$17:$C$37,基础状态预期!$R$17:$R$37,$W39)*P$69*INDEX($P$57:$T$57,MATCH($O$69,$P$4:$T$4,0))*求节点(基础状态预期!$C$17:$C$37,基础状态预期!$AB$17:$AB$37,$W39)+
求节点(基础状态预期!$C$17:$C$37,基础状态预期!$S$17:$S$37,$W39)*P$70*INDEX($P$57:$T$57,MATCH($O$70,$P$4:$T$4,0))*求节点(基础状态预期!$C$17:$C$37,基础状态预期!$AC$17:$AC$37,$W39)</f>
        <v>0</v>
      </c>
      <c r="Y39" s="113">
        <f>求节点(基础状态预期!$C$43:$C$63,基础状态预期!$O$43:$O$63,$W39)*Q$66*INDEX($P$57:$T$57,MATCH($O$66,$P$4:$T$4,0))*求节点(基础状态预期!$C$43:$C$63,基础状态预期!$Y$43:$Y$63,$W39)+
求节点(基础状态预期!$C$43:$C$63,基础状态预期!$P$43:$P$63,$W39)*Q$67*INDEX($P$57:$T$57,MATCH($O$67,$P$4:$T$4,0))*求节点(基础状态预期!$C$43:$C$63,基础状态预期!$Z$43:$Z$63,$W39)+
求节点(基础状态预期!$C$43:$C$63,基础状态预期!$Q$43:$Q$63,$W39)*Q$68*INDEX($P$57:$T$57,MATCH($O$68,$P$4:$T$4,0))*求节点(基础状态预期!$C$43:$C$63,基础状态预期!$AA$43:$AA$63,$W39)+
求节点(基础状态预期!$C$43:$C$63,基础状态预期!$R$43:$R$63,$W39)*Q$69*INDEX($P$57:$T$57,MATCH($O$69,$P$4:$T$4,0))*求节点(基础状态预期!$C$43:$C$63,基础状态预期!$AB$43:$AB$63,$W39)+
求节点(基础状态预期!$C$43:$C$63,基础状态预期!$S$43:$S$63,$W39)*Q$70*INDEX($P$57:$T$57,MATCH($O$70,$P$4:$T$4,0))*求节点(基础状态预期!$C$43:$C$63,基础状态预期!$AC$43:$AC$63,$W39)</f>
        <v>0</v>
      </c>
      <c r="Z39" s="113">
        <f>求节点(基础状态预期!$C$69:$C$89,基础状态预期!$O$69:$O$89,$W39)*R$66*INDEX($P$57:$T$57,MATCH($O$66,$P$4:$T$4,0))*求节点(基础状态预期!$C$69:$C$89,基础状态预期!AA50:AA70,$W39)+
求节点(基础状态预期!$C$69:$C$89,基础状态预期!$P$69:$P$89,$W39)*R$67*INDEX($P$57:$T$57,MATCH($O$67,$P$4:$T$4,0))*求节点(基础状态预期!$C$69:$C$89,基础状态预期!$Z$69:$Z$89,$W39)+
求节点(基础状态预期!$C$69:$C$89,基础状态预期!$Q$69:$Q$89,$W39)*R$68*INDEX($P$57:$T$57,MATCH($O$68,$P$4:$T$4,0))*求节点(基础状态预期!$C$69:$C$89,基础状态预期!$AA$69:$AA$89,$W39)+
求节点(基础状态预期!$C$69:$C$89,基础状态预期!$R$69:$R$89,$W39)*R$69*INDEX($P$57:$T$57,MATCH($O$69,$P$4:$T$4,0))*求节点(基础状态预期!$C$69:$C$89,基础状态预期!$AB$69:$AB$89,$W39)+
求节点(基础状态预期!$C$69:$C$89,基础状态预期!$S$69:$S$89,$W39)*R$70*INDEX($P$57:$T$57,MATCH($O$70,$P$4:$T$4,0))*求节点(基础状态预期!$C$69:$C$89,基础状态预期!$AC$69:$AC$89,$W39)</f>
        <v>0</v>
      </c>
      <c r="AA39" s="113">
        <f>求节点(基础状态预期!$C$95:$C$115,基础状态预期!$O$95:$O$115,$W39)*S$66*INDEX($P$57:$T$57,MATCH($O$66,$P$4:$T$4,0))*求节点(基础状态预期!$C$95:$C$115,基础状态预期!$Y$95:$Y$115,$W39)+
求节点(基础状态预期!$C$95:$C$115,基础状态预期!$P$95:$P$115,$W39)*S$67*INDEX($P$57:$T$57,MATCH($O$67,$P$4:$T$4,0))*求节点(基础状态预期!$C$95:$C$115,基础状态预期!$Z$95:$Z$115,$W39)+
求节点(基础状态预期!$C$95:$C$115,基础状态预期!$Q$95:$Q$115,$W39)*S$68*INDEX($P$57:$T$57,MATCH($O$68,$P$4:$T$4,0))*求节点(基础状态预期!$C$95:$C$115,基础状态预期!$AA$95:$AA$115,$W39)+
求节点(基础状态预期!$C$95:$C$115,基础状态预期!$R$95:$R$115,$W39)*S$69*INDEX($P$57:$T$57,MATCH($O$69,$P$4:$T$4,0))*求节点(基础状态预期!$C$95:$C$115,基础状态预期!$AB$95:$AB$115,$W39)+
求节点(基础状态预期!$C$95:$C$115,基础状态预期!$S$95:$S$115,$W39)*S$70*INDEX($P$57:$T$57,MATCH($O$70,$P$4:$T$4,0))*求节点(基础状态预期!$C$95:$C$115,基础状态预期!$AC$95:$AC$115,$W39)</f>
        <v>440</v>
      </c>
      <c r="AB39" s="113">
        <f>求节点(基础状态预期!$C$121:$C$141,基础状态预期!$O$121:$O$141,$W39)*T$66*INDEX($P$57:$T$57,MATCH($O$66,$P$4:$T$4,0))*求节点(基础状态预期!$C$121:$C$141,基础状态预期!$Y$121:$Y$141,$W39)+
求节点(基础状态预期!$C$121:$C$141,基础状态预期!$P$121:$P$141,$W39)*T$67*INDEX($P$57:$T$57,MATCH($O$67,$P$4:$T$4,0))*求节点(基础状态预期!$C$121:$C$141,基础状态预期!$Z$121:$Z$141,$W39)+
求节点(基础状态预期!$C$121:$C$141,基础状态预期!$Q$121:$Q$141,$W39)*T$68*INDEX($P$57:$T$57,MATCH($O$68,$P$4:$T$4,0))*求节点(基础状态预期!$C$121:$C$141,基础状态预期!$AA$121:$AA$141,$W39)+
求节点(基础状态预期!$C$121:$C$141,基础状态预期!$R$121:$R$141,$W39)*T$69*INDEX($P$57:$T$57,MATCH($O$69,$P$4:$T$4,0))*求节点(基础状态预期!$C$121:$C$141,基础状态预期!$AB$121:$AB$141,$W39)+
求节点(基础状态预期!$C$121:$C$141,基础状态预期!$S$121:$S$141,$W39)*T$70*INDEX($P$57:$T$57,MATCH($O$70,$P$4:$T$4,0))*求节点(基础状态预期!$C$121:$C$141,基础状态预期!$AC$121:$AC$141,$W39)</f>
        <v>440</v>
      </c>
      <c r="AE39" s="70">
        <v>34</v>
      </c>
      <c r="AF39" s="113">
        <f>盗宝贼!AI38</f>
        <v>72.280482611548308</v>
      </c>
      <c r="AG39" s="113">
        <f>盗宝贼!AJ38</f>
        <v>91.875680208336988</v>
      </c>
      <c r="AH39" s="113">
        <f>盗宝贼!AK38</f>
        <v>103.44043922723306</v>
      </c>
      <c r="AI39" s="113">
        <f>盗宝贼!AL38</f>
        <v>87.352035943912838</v>
      </c>
      <c r="AJ39" s="113">
        <f>盗宝贼!AM38</f>
        <v>49.173412227752273</v>
      </c>
      <c r="AL39" s="78">
        <f>盗宝贼!AI38/AF39</f>
        <v>1</v>
      </c>
      <c r="AM39" s="118"/>
      <c r="AO39" s="123" t="e">
        <f t="shared" si="2"/>
        <v>#DIV/0!</v>
      </c>
      <c r="AP39" s="123" t="e">
        <f t="shared" si="3"/>
        <v>#DIV/0!</v>
      </c>
      <c r="AQ39" s="123" t="e">
        <f t="shared" si="4"/>
        <v>#DIV/0!</v>
      </c>
      <c r="AR39" s="123">
        <f t="shared" si="5"/>
        <v>0.19852735441798372</v>
      </c>
      <c r="AS39" s="123">
        <f t="shared" si="6"/>
        <v>0.11175775506307335</v>
      </c>
    </row>
    <row r="40" spans="15:45" x14ac:dyDescent="0.15">
      <c r="O40" s="66" t="s">
        <v>354</v>
      </c>
      <c r="Q40" s="47">
        <f>Q39*Q$6</f>
        <v>187.5</v>
      </c>
      <c r="R40" s="47">
        <f t="shared" ref="R40" si="22">R39*R$6</f>
        <v>1672.1088435374149</v>
      </c>
      <c r="S40" s="47">
        <f t="shared" ref="S40" si="23">S39*S$6</f>
        <v>17914.43463534064</v>
      </c>
      <c r="T40" s="47">
        <f t="shared" ref="T40" si="24">T39*T$6</f>
        <v>67217.630853994473</v>
      </c>
      <c r="W40" s="70">
        <v>35</v>
      </c>
      <c r="X40" s="113">
        <f>求节点(基础状态预期!$C$17:$C$37,基础状态预期!$O$17:$O$37,$W40)*P$66*INDEX($P$57:$T$57,MATCH($O$66,$P$4:$T$4,0))*求节点(基础状态预期!$C$17:$C$37,基础状态预期!$Y$17:$Y$37,$W40)+
求节点(基础状态预期!$C$17:$C$37,基础状态预期!$P$17:$P$37,$W40)*P$67*INDEX($P$57:$T$57,MATCH($O$67,$P$4:$T$4,0))*求节点(基础状态预期!$C$17:$C$37,基础状态预期!$Z$17:$Z$37,$W40)+
求节点(基础状态预期!$C$17:$C$37,基础状态预期!$Q$17:$Q$37,$W40)*P$68*INDEX($P$57:$T$57,MATCH($O$68,$P$4:$T$4,0))*求节点(基础状态预期!$C$17:$C$37,基础状态预期!$AA$17:$AA$37,$W40)+
求节点(基础状态预期!$C$17:$C$37,基础状态预期!$R$17:$R$37,$W40)*P$69*INDEX($P$57:$T$57,MATCH($O$69,$P$4:$T$4,0))*求节点(基础状态预期!$C$17:$C$37,基础状态预期!$AB$17:$AB$37,$W40)+
求节点(基础状态预期!$C$17:$C$37,基础状态预期!$S$17:$S$37,$W40)*P$70*INDEX($P$57:$T$57,MATCH($O$70,$P$4:$T$4,0))*求节点(基础状态预期!$C$17:$C$37,基础状态预期!$AC$17:$AC$37,$W40)</f>
        <v>0</v>
      </c>
      <c r="Y40" s="113">
        <f>求节点(基础状态预期!$C$43:$C$63,基础状态预期!$O$43:$O$63,$W40)*Q$66*INDEX($P$57:$T$57,MATCH($O$66,$P$4:$T$4,0))*求节点(基础状态预期!$C$43:$C$63,基础状态预期!$Y$43:$Y$63,$W40)+
求节点(基础状态预期!$C$43:$C$63,基础状态预期!$P$43:$P$63,$W40)*Q$67*INDEX($P$57:$T$57,MATCH($O$67,$P$4:$T$4,0))*求节点(基础状态预期!$C$43:$C$63,基础状态预期!$Z$43:$Z$63,$W40)+
求节点(基础状态预期!$C$43:$C$63,基础状态预期!$Q$43:$Q$63,$W40)*Q$68*INDEX($P$57:$T$57,MATCH($O$68,$P$4:$T$4,0))*求节点(基础状态预期!$C$43:$C$63,基础状态预期!$AA$43:$AA$63,$W40)+
求节点(基础状态预期!$C$43:$C$63,基础状态预期!$R$43:$R$63,$W40)*Q$69*INDEX($P$57:$T$57,MATCH($O$69,$P$4:$T$4,0))*求节点(基础状态预期!$C$43:$C$63,基础状态预期!$AB$43:$AB$63,$W40)+
求节点(基础状态预期!$C$43:$C$63,基础状态预期!$S$43:$S$63,$W40)*Q$70*INDEX($P$57:$T$57,MATCH($O$70,$P$4:$T$4,0))*求节点(基础状态预期!$C$43:$C$63,基础状态预期!$AC$43:$AC$63,$W40)</f>
        <v>0</v>
      </c>
      <c r="Z40" s="113">
        <f>求节点(基础状态预期!$C$69:$C$89,基础状态预期!$O$69:$O$89,$W40)*R$66*INDEX($P$57:$T$57,MATCH($O$66,$P$4:$T$4,0))*求节点(基础状态预期!$C$69:$C$89,基础状态预期!AA51:AA71,$W40)+
求节点(基础状态预期!$C$69:$C$89,基础状态预期!$P$69:$P$89,$W40)*R$67*INDEX($P$57:$T$57,MATCH($O$67,$P$4:$T$4,0))*求节点(基础状态预期!$C$69:$C$89,基础状态预期!$Z$69:$Z$89,$W40)+
求节点(基础状态预期!$C$69:$C$89,基础状态预期!$Q$69:$Q$89,$W40)*R$68*INDEX($P$57:$T$57,MATCH($O$68,$P$4:$T$4,0))*求节点(基础状态预期!$C$69:$C$89,基础状态预期!$AA$69:$AA$89,$W40)+
求节点(基础状态预期!$C$69:$C$89,基础状态预期!$R$69:$R$89,$W40)*R$69*INDEX($P$57:$T$57,MATCH($O$69,$P$4:$T$4,0))*求节点(基础状态预期!$C$69:$C$89,基础状态预期!$AB$69:$AB$89,$W40)+
求节点(基础状态预期!$C$69:$C$89,基础状态预期!$S$69:$S$89,$W40)*R$70*INDEX($P$57:$T$57,MATCH($O$70,$P$4:$T$4,0))*求节点(基础状态预期!$C$69:$C$89,基础状态预期!$AC$69:$AC$89,$W40)</f>
        <v>0</v>
      </c>
      <c r="AA40" s="113">
        <f>求节点(基础状态预期!$C$95:$C$115,基础状态预期!$O$95:$O$115,$W40)*S$66*INDEX($P$57:$T$57,MATCH($O$66,$P$4:$T$4,0))*求节点(基础状态预期!$C$95:$C$115,基础状态预期!$Y$95:$Y$115,$W40)+
求节点(基础状态预期!$C$95:$C$115,基础状态预期!$P$95:$P$115,$W40)*S$67*INDEX($P$57:$T$57,MATCH($O$67,$P$4:$T$4,0))*求节点(基础状态预期!$C$95:$C$115,基础状态预期!$Z$95:$Z$115,$W40)+
求节点(基础状态预期!$C$95:$C$115,基础状态预期!$Q$95:$Q$115,$W40)*S$68*INDEX($P$57:$T$57,MATCH($O$68,$P$4:$T$4,0))*求节点(基础状态预期!$C$95:$C$115,基础状态预期!$AA$95:$AA$115,$W40)+
求节点(基础状态预期!$C$95:$C$115,基础状态预期!$R$95:$R$115,$W40)*S$69*INDEX($P$57:$T$57,MATCH($O$69,$P$4:$T$4,0))*求节点(基础状态预期!$C$95:$C$115,基础状态预期!$AB$95:$AB$115,$W40)+
求节点(基础状态预期!$C$95:$C$115,基础状态预期!$S$95:$S$115,$W40)*S$70*INDEX($P$57:$T$57,MATCH($O$70,$P$4:$T$4,0))*求节点(基础状态预期!$C$95:$C$115,基础状态预期!$AC$95:$AC$115,$W40)</f>
        <v>687.5</v>
      </c>
      <c r="AB40" s="113">
        <f>求节点(基础状态预期!$C$121:$C$141,基础状态预期!$O$121:$O$141,$W40)*T$66*INDEX($P$57:$T$57,MATCH($O$66,$P$4:$T$4,0))*求节点(基础状态预期!$C$121:$C$141,基础状态预期!$Y$121:$Y$141,$W40)+
求节点(基础状态预期!$C$121:$C$141,基础状态预期!$P$121:$P$141,$W40)*T$67*INDEX($P$57:$T$57,MATCH($O$67,$P$4:$T$4,0))*求节点(基础状态预期!$C$121:$C$141,基础状态预期!$Z$121:$Z$141,$W40)+
求节点(基础状态预期!$C$121:$C$141,基础状态预期!$Q$121:$Q$141,$W40)*T$68*INDEX($P$57:$T$57,MATCH($O$68,$P$4:$T$4,0))*求节点(基础状态预期!$C$121:$C$141,基础状态预期!$AA$121:$AA$141,$W40)+
求节点(基础状态预期!$C$121:$C$141,基础状态预期!$R$121:$R$141,$W40)*T$69*INDEX($P$57:$T$57,MATCH($O$69,$P$4:$T$4,0))*求节点(基础状态预期!$C$121:$C$141,基础状态预期!$AB$121:$AB$141,$W40)+
求节点(基础状态预期!$C$121:$C$141,基础状态预期!$S$121:$S$141,$W40)*T$70*INDEX($P$57:$T$57,MATCH($O$70,$P$4:$T$4,0))*求节点(基础状态预期!$C$121:$C$141,基础状态预期!$AC$121:$AC$141,$W40)</f>
        <v>687.5</v>
      </c>
      <c r="AE40" s="70">
        <v>35</v>
      </c>
      <c r="AF40" s="113">
        <f>盗宝贼!AI39</f>
        <v>81.508117874036287</v>
      </c>
      <c r="AG40" s="113">
        <f>盗宝贼!AJ39</f>
        <v>103.83073945868355</v>
      </c>
      <c r="AH40" s="113">
        <f>盗宝贼!AK39</f>
        <v>117.00330390459683</v>
      </c>
      <c r="AI40" s="113">
        <f>盗宝贼!AL39</f>
        <v>98.581899880656167</v>
      </c>
      <c r="AJ40" s="113">
        <f>盗宝贼!AM39</f>
        <v>55.431095433452263</v>
      </c>
      <c r="AL40" s="78">
        <f>盗宝贼!AI39/AF40</f>
        <v>1</v>
      </c>
      <c r="AM40" s="118"/>
      <c r="AO40" s="123" t="e">
        <f t="shared" si="2"/>
        <v>#DIV/0!</v>
      </c>
      <c r="AP40" s="123" t="e">
        <f t="shared" si="3"/>
        <v>#DIV/0!</v>
      </c>
      <c r="AQ40" s="123" t="e">
        <f t="shared" si="4"/>
        <v>#DIV/0!</v>
      </c>
      <c r="AR40" s="123">
        <f t="shared" si="5"/>
        <v>0.14339185437186353</v>
      </c>
      <c r="AS40" s="123">
        <f t="shared" si="6"/>
        <v>8.0627047903203297E-2</v>
      </c>
    </row>
    <row r="41" spans="15:45" x14ac:dyDescent="0.15">
      <c r="Q41" s="78"/>
      <c r="T41" s="78"/>
      <c r="W41" s="70">
        <v>36</v>
      </c>
      <c r="X41" s="113">
        <f>求节点(基础状态预期!$C$17:$C$37,基础状态预期!$O$17:$O$37,$W41)*P$66*INDEX($P$57:$T$57,MATCH($O$66,$P$4:$T$4,0))*求节点(基础状态预期!$C$17:$C$37,基础状态预期!$Y$17:$Y$37,$W41)+
求节点(基础状态预期!$C$17:$C$37,基础状态预期!$P$17:$P$37,$W41)*P$67*INDEX($P$57:$T$57,MATCH($O$67,$P$4:$T$4,0))*求节点(基础状态预期!$C$17:$C$37,基础状态预期!$Z$17:$Z$37,$W41)+
求节点(基础状态预期!$C$17:$C$37,基础状态预期!$Q$17:$Q$37,$W41)*P$68*INDEX($P$57:$T$57,MATCH($O$68,$P$4:$T$4,0))*求节点(基础状态预期!$C$17:$C$37,基础状态预期!$AA$17:$AA$37,$W41)+
求节点(基础状态预期!$C$17:$C$37,基础状态预期!$R$17:$R$37,$W41)*P$69*INDEX($P$57:$T$57,MATCH($O$69,$P$4:$T$4,0))*求节点(基础状态预期!$C$17:$C$37,基础状态预期!$AB$17:$AB$37,$W41)+
求节点(基础状态预期!$C$17:$C$37,基础状态预期!$S$17:$S$37,$W41)*P$70*INDEX($P$57:$T$57,MATCH($O$70,$P$4:$T$4,0))*求节点(基础状态预期!$C$17:$C$37,基础状态预期!$AC$17:$AC$37,$W41)</f>
        <v>6.875</v>
      </c>
      <c r="Y41" s="113">
        <f>求节点(基础状态预期!$C$43:$C$63,基础状态预期!$O$43:$O$63,$W41)*Q$66*INDEX($P$57:$T$57,MATCH($O$66,$P$4:$T$4,0))*求节点(基础状态预期!$C$43:$C$63,基础状态预期!$Y$43:$Y$63,$W41)+
求节点(基础状态预期!$C$43:$C$63,基础状态预期!$P$43:$P$63,$W41)*Q$67*INDEX($P$57:$T$57,MATCH($O$67,$P$4:$T$4,0))*求节点(基础状态预期!$C$43:$C$63,基础状态预期!$Z$43:$Z$63,$W41)+
求节点(基础状态预期!$C$43:$C$63,基础状态预期!$Q$43:$Q$63,$W41)*Q$68*INDEX($P$57:$T$57,MATCH($O$68,$P$4:$T$4,0))*求节点(基础状态预期!$C$43:$C$63,基础状态预期!$AA$43:$AA$63,$W41)+
求节点(基础状态预期!$C$43:$C$63,基础状态预期!$R$43:$R$63,$W41)*Q$69*INDEX($P$57:$T$57,MATCH($O$69,$P$4:$T$4,0))*求节点(基础状态预期!$C$43:$C$63,基础状态预期!$AB$43:$AB$63,$W41)+
求节点(基础状态预期!$C$43:$C$63,基础状态预期!$S$43:$S$63,$W41)*Q$70*INDEX($P$57:$T$57,MATCH($O$70,$P$4:$T$4,0))*求节点(基础状态预期!$C$43:$C$63,基础状态预期!$AC$43:$AC$63,$W41)</f>
        <v>13.75</v>
      </c>
      <c r="Z41" s="113">
        <f>求节点(基础状态预期!$C$69:$C$89,基础状态预期!$O$69:$O$89,$W41)*R$66*INDEX($P$57:$T$57,MATCH($O$66,$P$4:$T$4,0))*求节点(基础状态预期!$C$69:$C$89,基础状态预期!AA52:AA72,$W41)+
求节点(基础状态预期!$C$69:$C$89,基础状态预期!$P$69:$P$89,$W41)*R$67*INDEX($P$57:$T$57,MATCH($O$67,$P$4:$T$4,0))*求节点(基础状态预期!$C$69:$C$89,基础状态预期!$Z$69:$Z$89,$W41)+
求节点(基础状态预期!$C$69:$C$89,基础状态预期!$Q$69:$Q$89,$W41)*R$68*INDEX($P$57:$T$57,MATCH($O$68,$P$4:$T$4,0))*求节点(基础状态预期!$C$69:$C$89,基础状态预期!$AA$69:$AA$89,$W41)+
求节点(基础状态预期!$C$69:$C$89,基础状态预期!$R$69:$R$89,$W41)*R$69*INDEX($P$57:$T$57,MATCH($O$69,$P$4:$T$4,0))*求节点(基础状态预期!$C$69:$C$89,基础状态预期!$AB$69:$AB$89,$W41)+
求节点(基础状态预期!$C$69:$C$89,基础状态预期!$S$69:$S$89,$W41)*R$70*INDEX($P$57:$T$57,MATCH($O$70,$P$4:$T$4,0))*求节点(基础状态预期!$C$69:$C$89,基础状态预期!$AC$69:$AC$89,$W41)</f>
        <v>41.25</v>
      </c>
      <c r="AA41" s="113">
        <f>求节点(基础状态预期!$C$95:$C$115,基础状态预期!$O$95:$O$115,$W41)*S$66*INDEX($P$57:$T$57,MATCH($O$66,$P$4:$T$4,0))*求节点(基础状态预期!$C$95:$C$115,基础状态预期!$Y$95:$Y$115,$W41)+
求节点(基础状态预期!$C$95:$C$115,基础状态预期!$P$95:$P$115,$W41)*S$67*INDEX($P$57:$T$57,MATCH($O$67,$P$4:$T$4,0))*求节点(基础状态预期!$C$95:$C$115,基础状态预期!$Z$95:$Z$115,$W41)+
求节点(基础状态预期!$C$95:$C$115,基础状态预期!$Q$95:$Q$115,$W41)*S$68*INDEX($P$57:$T$57,MATCH($O$68,$P$4:$T$4,0))*求节点(基础状态预期!$C$95:$C$115,基础状态预期!$AA$95:$AA$115,$W41)+
求节点(基础状态预期!$C$95:$C$115,基础状态预期!$R$95:$R$115,$W41)*S$69*INDEX($P$57:$T$57,MATCH($O$69,$P$4:$T$4,0))*求节点(基础状态预期!$C$95:$C$115,基础状态预期!$AB$95:$AB$115,$W41)+
求节点(基础状态预期!$C$95:$C$115,基础状态预期!$S$95:$S$115,$W41)*S$70*INDEX($P$57:$T$57,MATCH($O$70,$P$4:$T$4,0))*求节点(基础状态预期!$C$95:$C$115,基础状态预期!$AC$95:$AC$115,$W41)</f>
        <v>1100</v>
      </c>
      <c r="AB41" s="113">
        <f>求节点(基础状态预期!$C$121:$C$141,基础状态预期!$O$121:$O$141,$W41)*T$66*INDEX($P$57:$T$57,MATCH($O$66,$P$4:$T$4,0))*求节点(基础状态预期!$C$121:$C$141,基础状态预期!$Y$121:$Y$141,$W41)+
求节点(基础状态预期!$C$121:$C$141,基础状态预期!$P$121:$P$141,$W41)*T$67*INDEX($P$57:$T$57,MATCH($O$67,$P$4:$T$4,0))*求节点(基础状态预期!$C$121:$C$141,基础状态预期!$Z$121:$Z$141,$W41)+
求节点(基础状态预期!$C$121:$C$141,基础状态预期!$Q$121:$Q$141,$W41)*T$68*INDEX($P$57:$T$57,MATCH($O$68,$P$4:$T$4,0))*求节点(基础状态预期!$C$121:$C$141,基础状态预期!$AA$121:$AA$141,$W41)+
求节点(基础状态预期!$C$121:$C$141,基础状态预期!$R$121:$R$141,$W41)*T$69*INDEX($P$57:$T$57,MATCH($O$69,$P$4:$T$4,0))*求节点(基础状态预期!$C$121:$C$141,基础状态预期!$AB$121:$AB$141,$W41)+
求节点(基础状态预期!$C$121:$C$141,基础状态预期!$S$121:$S$141,$W41)*T$70*INDEX($P$57:$T$57,MATCH($O$70,$P$4:$T$4,0))*求节点(基础状态预期!$C$121:$C$141,基础状态预期!$AC$121:$AC$141,$W41)</f>
        <v>962.49999999999989</v>
      </c>
      <c r="AE41" s="70">
        <v>36</v>
      </c>
      <c r="AF41" s="113">
        <f>盗宝贼!AI40</f>
        <v>91.892549200149958</v>
      </c>
      <c r="AG41" s="113">
        <f>盗宝贼!AJ40</f>
        <v>117.26446446827703</v>
      </c>
      <c r="AH41" s="113">
        <f>盗宝贼!AK40</f>
        <v>131.82372020416389</v>
      </c>
      <c r="AI41" s="113">
        <f>盗宝贼!AL40</f>
        <v>110.88177650734012</v>
      </c>
      <c r="AJ41" s="113">
        <f>盗宝贼!AM40</f>
        <v>61.966053986020327</v>
      </c>
      <c r="AL41" s="78">
        <f>盗宝贼!AI40/AF41</f>
        <v>1</v>
      </c>
      <c r="AM41" s="118"/>
      <c r="AO41" s="123">
        <f t="shared" si="2"/>
        <v>13.366188974567267</v>
      </c>
      <c r="AP41" s="123">
        <f t="shared" si="3"/>
        <v>8.5283246886019661</v>
      </c>
      <c r="AQ41" s="123">
        <f t="shared" si="4"/>
        <v>3.1957265504039731</v>
      </c>
      <c r="AR41" s="123">
        <f t="shared" si="5"/>
        <v>0.10080161500667284</v>
      </c>
      <c r="AS41" s="123">
        <f t="shared" si="6"/>
        <v>6.438031582963151E-2</v>
      </c>
    </row>
    <row r="42" spans="15:45" x14ac:dyDescent="0.15">
      <c r="Q42" s="78"/>
      <c r="T42" s="78"/>
      <c r="W42" s="70">
        <v>37</v>
      </c>
      <c r="X42" s="113">
        <f>求节点(基础状态预期!$C$17:$C$37,基础状态预期!$O$17:$O$37,$W42)*P$66*INDEX($P$57:$T$57,MATCH($O$66,$P$4:$T$4,0))*求节点(基础状态预期!$C$17:$C$37,基础状态预期!$Y$17:$Y$37,$W42)+
求节点(基础状态预期!$C$17:$C$37,基础状态预期!$P$17:$P$37,$W42)*P$67*INDEX($P$57:$T$57,MATCH($O$67,$P$4:$T$4,0))*求节点(基础状态预期!$C$17:$C$37,基础状态预期!$Z$17:$Z$37,$W42)+
求节点(基础状态预期!$C$17:$C$37,基础状态预期!$Q$17:$Q$37,$W42)*P$68*INDEX($P$57:$T$57,MATCH($O$68,$P$4:$T$4,0))*求节点(基础状态预期!$C$17:$C$37,基础状态预期!$AA$17:$AA$37,$W42)+
求节点(基础状态预期!$C$17:$C$37,基础状态预期!$R$17:$R$37,$W42)*P$69*INDEX($P$57:$T$57,MATCH($O$69,$P$4:$T$4,0))*求节点(基础状态预期!$C$17:$C$37,基础状态预期!$AB$17:$AB$37,$W42)+
求节点(基础状态预期!$C$17:$C$37,基础状态预期!$S$17:$S$37,$W42)*P$70*INDEX($P$57:$T$57,MATCH($O$70,$P$4:$T$4,0))*求节点(基础状态预期!$C$17:$C$37,基础状态预期!$AC$17:$AC$37,$W42)</f>
        <v>27.5</v>
      </c>
      <c r="Y42" s="113">
        <f>求节点(基础状态预期!$C$43:$C$63,基础状态预期!$O$43:$O$63,$W42)*Q$66*INDEX($P$57:$T$57,MATCH($O$66,$P$4:$T$4,0))*求节点(基础状态预期!$C$43:$C$63,基础状态预期!$Y$43:$Y$63,$W42)+
求节点(基础状态预期!$C$43:$C$63,基础状态预期!$P$43:$P$63,$W42)*Q$67*INDEX($P$57:$T$57,MATCH($O$67,$P$4:$T$4,0))*求节点(基础状态预期!$C$43:$C$63,基础状态预期!$Z$43:$Z$63,$W42)+
求节点(基础状态预期!$C$43:$C$63,基础状态预期!$Q$43:$Q$63,$W42)*Q$68*INDEX($P$57:$T$57,MATCH($O$68,$P$4:$T$4,0))*求节点(基础状态预期!$C$43:$C$63,基础状态预期!$AA$43:$AA$63,$W42)+
求节点(基础状态预期!$C$43:$C$63,基础状态预期!$R$43:$R$63,$W42)*Q$69*INDEX($P$57:$T$57,MATCH($O$69,$P$4:$T$4,0))*求节点(基础状态预期!$C$43:$C$63,基础状态预期!$AB$43:$AB$63,$W42)+
求节点(基础状态预期!$C$43:$C$63,基础状态预期!$S$43:$S$63,$W42)*Q$70*INDEX($P$57:$T$57,MATCH($O$70,$P$4:$T$4,0))*求节点(基础状态预期!$C$43:$C$63,基础状态预期!$AC$43:$AC$63,$W42)</f>
        <v>55</v>
      </c>
      <c r="Z42" s="113">
        <f>求节点(基础状态预期!$C$69:$C$89,基础状态预期!$O$69:$O$89,$W42)*R$66*INDEX($P$57:$T$57,MATCH($O$66,$P$4:$T$4,0))*求节点(基础状态预期!$C$69:$C$89,基础状态预期!AA53:AA73,$W42)+
求节点(基础状态预期!$C$69:$C$89,基础状态预期!$P$69:$P$89,$W42)*R$67*INDEX($P$57:$T$57,MATCH($O$67,$P$4:$T$4,0))*求节点(基础状态预期!$C$69:$C$89,基础状态预期!$Z$69:$Z$89,$W42)+
求节点(基础状态预期!$C$69:$C$89,基础状态预期!$Q$69:$Q$89,$W42)*R$68*INDEX($P$57:$T$57,MATCH($O$68,$P$4:$T$4,0))*求节点(基础状态预期!$C$69:$C$89,基础状态预期!$AA$69:$AA$89,$W42)+
求节点(基础状态预期!$C$69:$C$89,基础状态预期!$R$69:$R$89,$W42)*R$69*INDEX($P$57:$T$57,MATCH($O$69,$P$4:$T$4,0))*求节点(基础状态预期!$C$69:$C$89,基础状态预期!$AB$69:$AB$89,$W42)+
求节点(基础状态预期!$C$69:$C$89,基础状态预期!$S$69:$S$89,$W42)*R$70*INDEX($P$57:$T$57,MATCH($O$70,$P$4:$T$4,0))*求节点(基础状态预期!$C$69:$C$89,基础状态预期!$AC$69:$AC$89,$W42)</f>
        <v>165</v>
      </c>
      <c r="AA42" s="113">
        <f>求节点(基础状态预期!$C$95:$C$115,基础状态预期!$O$95:$O$115,$W42)*S$66*INDEX($P$57:$T$57,MATCH($O$66,$P$4:$T$4,0))*求节点(基础状态预期!$C$95:$C$115,基础状态预期!$Y$95:$Y$115,$W42)+
求节点(基础状态预期!$C$95:$C$115,基础状态预期!$P$95:$P$115,$W42)*S$67*INDEX($P$57:$T$57,MATCH($O$67,$P$4:$T$4,0))*求节点(基础状态预期!$C$95:$C$115,基础状态预期!$Z$95:$Z$115,$W42)+
求节点(基础状态预期!$C$95:$C$115,基础状态预期!$Q$95:$Q$115,$W42)*S$68*INDEX($P$57:$T$57,MATCH($O$68,$P$4:$T$4,0))*求节点(基础状态预期!$C$95:$C$115,基础状态预期!$AA$95:$AA$115,$W42)+
求节点(基础状态预期!$C$95:$C$115,基础状态预期!$R$95:$R$115,$W42)*S$69*INDEX($P$57:$T$57,MATCH($O$69,$P$4:$T$4,0))*求节点(基础状态预期!$C$95:$C$115,基础状态预期!$AB$95:$AB$115,$W42)+
求节点(基础状态预期!$C$95:$C$115,基础状态预期!$S$95:$S$115,$W42)*S$70*INDEX($P$57:$T$57,MATCH($O$70,$P$4:$T$4,0))*求节点(基础状态预期!$C$95:$C$115,基础状态预期!$AC$95:$AC$115,$W42)</f>
        <v>1512.5000000000002</v>
      </c>
      <c r="AB42" s="113">
        <f>求节点(基础状态预期!$C$121:$C$141,基础状态预期!$O$121:$O$141,$W42)*T$66*INDEX($P$57:$T$57,MATCH($O$66,$P$4:$T$4,0))*求节点(基础状态预期!$C$121:$C$141,基础状态预期!$Y$121:$Y$141,$W42)+
求节点(基础状态预期!$C$121:$C$141,基础状态预期!$P$121:$P$141,$W42)*T$67*INDEX($P$57:$T$57,MATCH($O$67,$P$4:$T$4,0))*求节点(基础状态预期!$C$121:$C$141,基础状态预期!$Z$121:$Z$141,$W42)+
求节点(基础状态预期!$C$121:$C$141,基础状态预期!$Q$121:$Q$141,$W42)*T$68*INDEX($P$57:$T$57,MATCH($O$68,$P$4:$T$4,0))*求节点(基础状态预期!$C$121:$C$141,基础状态预期!$AA$121:$AA$141,$W42)+
求节点(基础状态预期!$C$121:$C$141,基础状态预期!$R$121:$R$141,$W42)*T$69*INDEX($P$57:$T$57,MATCH($O$69,$P$4:$T$4,0))*求节点(基础状态预期!$C$121:$C$141,基础状态预期!$AB$121:$AB$141,$W42)+
求节点(基础状态预期!$C$121:$C$141,基础状态预期!$S$121:$S$141,$W42)*T$70*INDEX($P$57:$T$57,MATCH($O$70,$P$4:$T$4,0))*求节点(基础状态预期!$C$121:$C$141,基础状态预期!$AC$121:$AC$141,$W42)</f>
        <v>1237.5</v>
      </c>
      <c r="AE42" s="70">
        <v>37</v>
      </c>
      <c r="AF42" s="113">
        <f>盗宝贼!AI41</f>
        <v>103.57879501495212</v>
      </c>
      <c r="AG42" s="113">
        <f>盗宝贼!AJ41</f>
        <v>132.07407479211702</v>
      </c>
      <c r="AH42" s="113">
        <f>盗宝贼!AK41</f>
        <v>148.46768726308292</v>
      </c>
      <c r="AI42" s="113">
        <f>盗宝贼!AL41</f>
        <v>124.30985047628806</v>
      </c>
      <c r="AJ42" s="113">
        <f>盗宝贼!AM41</f>
        <v>69.818779290569879</v>
      </c>
      <c r="AL42" s="78">
        <f>盗宝贼!AI41/AF42</f>
        <v>1</v>
      </c>
      <c r="AM42" s="118"/>
      <c r="AO42" s="123">
        <f t="shared" si="2"/>
        <v>3.7665016369073498</v>
      </c>
      <c r="AP42" s="123">
        <f t="shared" si="3"/>
        <v>2.4013468144021277</v>
      </c>
      <c r="AQ42" s="123">
        <f t="shared" si="4"/>
        <v>0.89980416523080564</v>
      </c>
      <c r="AR42" s="123">
        <f t="shared" si="5"/>
        <v>8.2188330893413583E-2</v>
      </c>
      <c r="AS42" s="123">
        <f t="shared" si="6"/>
        <v>5.6419215588339296E-2</v>
      </c>
    </row>
    <row r="43" spans="15:45" x14ac:dyDescent="0.15">
      <c r="O43" s="80" t="s">
        <v>352</v>
      </c>
      <c r="P43" s="81"/>
      <c r="Q43" s="82">
        <v>1</v>
      </c>
      <c r="R43" s="82">
        <v>1</v>
      </c>
      <c r="S43" s="82">
        <v>1</v>
      </c>
      <c r="T43" s="83">
        <v>1</v>
      </c>
      <c r="W43" s="70">
        <v>38</v>
      </c>
      <c r="X43" s="113">
        <f>求节点(基础状态预期!$C$17:$C$37,基础状态预期!$O$17:$O$37,$W43)*P$66*INDEX($P$57:$T$57,MATCH($O$66,$P$4:$T$4,0))*求节点(基础状态预期!$C$17:$C$37,基础状态预期!$Y$17:$Y$37,$W43)+
求节点(基础状态预期!$C$17:$C$37,基础状态预期!$P$17:$P$37,$W43)*P$67*INDEX($P$57:$T$57,MATCH($O$67,$P$4:$T$4,0))*求节点(基础状态预期!$C$17:$C$37,基础状态预期!$Z$17:$Z$37,$W43)+
求节点(基础状态预期!$C$17:$C$37,基础状态预期!$Q$17:$Q$37,$W43)*P$68*INDEX($P$57:$T$57,MATCH($O$68,$P$4:$T$4,0))*求节点(基础状态预期!$C$17:$C$37,基础状态预期!$AA$17:$AA$37,$W43)+
求节点(基础状态预期!$C$17:$C$37,基础状态预期!$R$17:$R$37,$W43)*P$69*INDEX($P$57:$T$57,MATCH($O$69,$P$4:$T$4,0))*求节点(基础状态预期!$C$17:$C$37,基础状态预期!$AB$17:$AB$37,$W43)+
求节点(基础状态预期!$C$17:$C$37,基础状态预期!$S$17:$S$37,$W43)*P$70*INDEX($P$57:$T$57,MATCH($O$70,$P$4:$T$4,0))*求节点(基础状态预期!$C$17:$C$37,基础状态预期!$AC$17:$AC$37,$W43)</f>
        <v>61.875000000000014</v>
      </c>
      <c r="Y43" s="113">
        <f>求节点(基础状态预期!$C$43:$C$63,基础状态预期!$O$43:$O$63,$W43)*Q$66*INDEX($P$57:$T$57,MATCH($O$66,$P$4:$T$4,0))*求节点(基础状态预期!$C$43:$C$63,基础状态预期!$Y$43:$Y$63,$W43)+
求节点(基础状态预期!$C$43:$C$63,基础状态预期!$P$43:$P$63,$W43)*Q$67*INDEX($P$57:$T$57,MATCH($O$67,$P$4:$T$4,0))*求节点(基础状态预期!$C$43:$C$63,基础状态预期!$Z$43:$Z$63,$W43)+
求节点(基础状态预期!$C$43:$C$63,基础状态预期!$Q$43:$Q$63,$W43)*Q$68*INDEX($P$57:$T$57,MATCH($O$68,$P$4:$T$4,0))*求节点(基础状态预期!$C$43:$C$63,基础状态预期!$AA$43:$AA$63,$W43)+
求节点(基础状态预期!$C$43:$C$63,基础状态预期!$R$43:$R$63,$W43)*Q$69*INDEX($P$57:$T$57,MATCH($O$69,$P$4:$T$4,0))*求节点(基础状态预期!$C$43:$C$63,基础状态预期!$AB$43:$AB$63,$W43)+
求节点(基础状态预期!$C$43:$C$63,基础状态预期!$S$43:$S$63,$W43)*Q$70*INDEX($P$57:$T$57,MATCH($O$70,$P$4:$T$4,0))*求节点(基础状态预期!$C$43:$C$63,基础状态预期!$AC$43:$AC$63,$W43)</f>
        <v>123.75000000000003</v>
      </c>
      <c r="Z43" s="113">
        <f>求节点(基础状态预期!$C$69:$C$89,基础状态预期!$O$69:$O$89,$W43)*R$66*INDEX($P$57:$T$57,MATCH($O$66,$P$4:$T$4,0))*求节点(基础状态预期!$C$69:$C$89,基础状态预期!AA54:AA74,$W43)+
求节点(基础状态预期!$C$69:$C$89,基础状态预期!$P$69:$P$89,$W43)*R$67*INDEX($P$57:$T$57,MATCH($O$67,$P$4:$T$4,0))*求节点(基础状态预期!$C$69:$C$89,基础状态预期!$Z$69:$Z$89,$W43)+
求节点(基础状态预期!$C$69:$C$89,基础状态预期!$Q$69:$Q$89,$W43)*R$68*INDEX($P$57:$T$57,MATCH($O$68,$P$4:$T$4,0))*求节点(基础状态预期!$C$69:$C$89,基础状态预期!$AA$69:$AA$89,$W43)+
求节点(基础状态预期!$C$69:$C$89,基础状态预期!$R$69:$R$89,$W43)*R$69*INDEX($P$57:$T$57,MATCH($O$69,$P$4:$T$4,0))*求节点(基础状态预期!$C$69:$C$89,基础状态预期!$AB$69:$AB$89,$W43)+
求节点(基础状态预期!$C$69:$C$89,基础状态预期!$S$69:$S$89,$W43)*R$70*INDEX($P$57:$T$57,MATCH($O$70,$P$4:$T$4,0))*求节点(基础状态预期!$C$69:$C$89,基础状态预期!$AC$69:$AC$89,$W43)</f>
        <v>371.25</v>
      </c>
      <c r="AA43" s="113">
        <f>求节点(基础状态预期!$C$95:$C$115,基础状态预期!$O$95:$O$115,$W43)*S$66*INDEX($P$57:$T$57,MATCH($O$66,$P$4:$T$4,0))*求节点(基础状态预期!$C$95:$C$115,基础状态预期!$Y$95:$Y$115,$W43)+
求节点(基础状态预期!$C$95:$C$115,基础状态预期!$P$95:$P$115,$W43)*S$67*INDEX($P$57:$T$57,MATCH($O$67,$P$4:$T$4,0))*求节点(基础状态预期!$C$95:$C$115,基础状态预期!$Z$95:$Z$115,$W43)+
求节点(基础状态预期!$C$95:$C$115,基础状态预期!$Q$95:$Q$115,$W43)*S$68*INDEX($P$57:$T$57,MATCH($O$68,$P$4:$T$4,0))*求节点(基础状态预期!$C$95:$C$115,基础状态预期!$AA$95:$AA$115,$W43)+
求节点(基础状态预期!$C$95:$C$115,基础状态预期!$R$95:$R$115,$W43)*S$69*INDEX($P$57:$T$57,MATCH($O$69,$P$4:$T$4,0))*求节点(基础状态预期!$C$95:$C$115,基础状态预期!$AB$95:$AB$115,$W43)+
求节点(基础状态预期!$C$95:$C$115,基础状态预期!$S$95:$S$115,$W43)*S$70*INDEX($P$57:$T$57,MATCH($O$70,$P$4:$T$4,0))*求节点(基础状态预期!$C$95:$C$115,基础状态预期!$AC$95:$AC$115,$W43)</f>
        <v>1924.9999999999998</v>
      </c>
      <c r="AB43" s="113">
        <f>求节点(基础状态预期!$C$121:$C$141,基础状态预期!$O$121:$O$141,$W43)*T$66*INDEX($P$57:$T$57,MATCH($O$66,$P$4:$T$4,0))*求节点(基础状态预期!$C$121:$C$141,基础状态预期!$Y$121:$Y$141,$W43)+
求节点(基础状态预期!$C$121:$C$141,基础状态预期!$P$121:$P$141,$W43)*T$67*INDEX($P$57:$T$57,MATCH($O$67,$P$4:$T$4,0))*求节点(基础状态预期!$C$121:$C$141,基础状态预期!$Z$121:$Z$141,$W43)+
求节点(基础状态预期!$C$121:$C$141,基础状态预期!$Q$121:$Q$141,$W43)*T$68*INDEX($P$57:$T$57,MATCH($O$68,$P$4:$T$4,0))*求节点(基础状态预期!$C$121:$C$141,基础状态预期!$AA$121:$AA$141,$W43)+
求节点(基础状态预期!$C$121:$C$141,基础状态预期!$R$121:$R$141,$W43)*T$69*INDEX($P$57:$T$57,MATCH($O$69,$P$4:$T$4,0))*求节点(基础状态预期!$C$121:$C$141,基础状态预期!$AB$121:$AB$141,$W43)+
求节点(基础状态预期!$C$121:$C$141,基础状态预期!$S$121:$S$141,$W43)*T$70*INDEX($P$57:$T$57,MATCH($O$70,$P$4:$T$4,0))*求节点(基础状态预期!$C$121:$C$141,基础状态预期!$AC$121:$AC$141,$W43)</f>
        <v>1512.5000000000002</v>
      </c>
      <c r="AE43" s="70">
        <v>38</v>
      </c>
      <c r="AF43" s="113">
        <f>盗宝贼!AI42</f>
        <v>116.73005356298191</v>
      </c>
      <c r="AG43" s="113">
        <f>盗宝贼!AJ42</f>
        <v>148.68096037529278</v>
      </c>
      <c r="AH43" s="113">
        <f>盗宝贼!AK42</f>
        <v>166.65166292643676</v>
      </c>
      <c r="AI43" s="113">
        <f>盗宝贼!AL42</f>
        <v>139.44901592097497</v>
      </c>
      <c r="AJ43" s="113">
        <f>盗宝贼!AM42</f>
        <v>78.370227072256441</v>
      </c>
      <c r="AL43" s="78">
        <f>盗宝贼!AI42/AF43</f>
        <v>1</v>
      </c>
      <c r="AM43" s="118"/>
      <c r="AO43" s="123">
        <f t="shared" si="2"/>
        <v>1.8865463202098083</v>
      </c>
      <c r="AP43" s="123">
        <f t="shared" si="3"/>
        <v>1.2014623060629717</v>
      </c>
      <c r="AQ43" s="123">
        <f t="shared" si="4"/>
        <v>0.44889336815201819</v>
      </c>
      <c r="AR43" s="123">
        <f t="shared" si="5"/>
        <v>7.2441047231675312E-2</v>
      </c>
      <c r="AS43" s="123">
        <f t="shared" si="6"/>
        <v>5.1815026163475324E-2</v>
      </c>
    </row>
    <row r="44" spans="15:45" x14ac:dyDescent="0.15">
      <c r="O44" s="84"/>
      <c r="P44" s="73"/>
      <c r="Q44" s="85"/>
      <c r="R44" s="85"/>
      <c r="S44" s="85"/>
      <c r="T44" s="86"/>
      <c r="W44" s="70">
        <v>39</v>
      </c>
      <c r="X44" s="113">
        <f>求节点(基础状态预期!$C$17:$C$37,基础状态预期!$O$17:$O$37,$W44)*P$66*INDEX($P$57:$T$57,MATCH($O$66,$P$4:$T$4,0))*求节点(基础状态预期!$C$17:$C$37,基础状态预期!$Y$17:$Y$37,$W44)+
求节点(基础状态预期!$C$17:$C$37,基础状态预期!$P$17:$P$37,$W44)*P$67*INDEX($P$57:$T$57,MATCH($O$67,$P$4:$T$4,0))*求节点(基础状态预期!$C$17:$C$37,基础状态预期!$Z$17:$Z$37,$W44)+
求节点(基础状态预期!$C$17:$C$37,基础状态预期!$Q$17:$Q$37,$W44)*P$68*INDEX($P$57:$T$57,MATCH($O$68,$P$4:$T$4,0))*求节点(基础状态预期!$C$17:$C$37,基础状态预期!$AA$17:$AA$37,$W44)+
求节点(基础状态预期!$C$17:$C$37,基础状态预期!$R$17:$R$37,$W44)*P$69*INDEX($P$57:$T$57,MATCH($O$69,$P$4:$T$4,0))*求节点(基础状态预期!$C$17:$C$37,基础状态预期!$AB$17:$AB$37,$W44)+
求节点(基础状态预期!$C$17:$C$37,基础状态预期!$S$17:$S$37,$W44)*P$70*INDEX($P$57:$T$57,MATCH($O$70,$P$4:$T$4,0))*求节点(基础状态预期!$C$17:$C$37,基础状态预期!$AC$17:$AC$37,$W44)</f>
        <v>110</v>
      </c>
      <c r="Y44" s="113">
        <f>求节点(基础状态预期!$C$43:$C$63,基础状态预期!$O$43:$O$63,$W44)*Q$66*INDEX($P$57:$T$57,MATCH($O$66,$P$4:$T$4,0))*求节点(基础状态预期!$C$43:$C$63,基础状态预期!$Y$43:$Y$63,$W44)+
求节点(基础状态预期!$C$43:$C$63,基础状态预期!$P$43:$P$63,$W44)*Q$67*INDEX($P$57:$T$57,MATCH($O$67,$P$4:$T$4,0))*求节点(基础状态预期!$C$43:$C$63,基础状态预期!$Z$43:$Z$63,$W44)+
求节点(基础状态预期!$C$43:$C$63,基础状态预期!$Q$43:$Q$63,$W44)*Q$68*INDEX($P$57:$T$57,MATCH($O$68,$P$4:$T$4,0))*求节点(基础状态预期!$C$43:$C$63,基础状态预期!$AA$43:$AA$63,$W44)+
求节点(基础状态预期!$C$43:$C$63,基础状态预期!$R$43:$R$63,$W44)*Q$69*INDEX($P$57:$T$57,MATCH($O$69,$P$4:$T$4,0))*求节点(基础状态预期!$C$43:$C$63,基础状态预期!$AB$43:$AB$63,$W44)+
求节点(基础状态预期!$C$43:$C$63,基础状态预期!$S$43:$S$63,$W44)*Q$70*INDEX($P$57:$T$57,MATCH($O$70,$P$4:$T$4,0))*求节点(基础状态预期!$C$43:$C$63,基础状态预期!$AC$43:$AC$63,$W44)</f>
        <v>220</v>
      </c>
      <c r="Z44" s="113">
        <f>求节点(基础状态预期!$C$69:$C$89,基础状态预期!$O$69:$O$89,$W44)*R$66*INDEX($P$57:$T$57,MATCH($O$66,$P$4:$T$4,0))*求节点(基础状态预期!$C$69:$C$89,基础状态预期!AA55:AA75,$W44)+
求节点(基础状态预期!$C$69:$C$89,基础状态预期!$P$69:$P$89,$W44)*R$67*INDEX($P$57:$T$57,MATCH($O$67,$P$4:$T$4,0))*求节点(基础状态预期!$C$69:$C$89,基础状态预期!$Z$69:$Z$89,$W44)+
求节点(基础状态预期!$C$69:$C$89,基础状态预期!$Q$69:$Q$89,$W44)*R$68*INDEX($P$57:$T$57,MATCH($O$68,$P$4:$T$4,0))*求节点(基础状态预期!$C$69:$C$89,基础状态预期!$AA$69:$AA$89,$W44)+
求节点(基础状态预期!$C$69:$C$89,基础状态预期!$R$69:$R$89,$W44)*R$69*INDEX($P$57:$T$57,MATCH($O$69,$P$4:$T$4,0))*求节点(基础状态预期!$C$69:$C$89,基础状态预期!$AB$69:$AB$89,$W44)+
求节点(基础状态预期!$C$69:$C$89,基础状态预期!$S$69:$S$89,$W44)*R$70*INDEX($P$57:$T$57,MATCH($O$70,$P$4:$T$4,0))*求节点(基础状态预期!$C$69:$C$89,基础状态预期!$AC$69:$AC$89,$W44)</f>
        <v>660</v>
      </c>
      <c r="AA44" s="113">
        <f>求节点(基础状态预期!$C$95:$C$115,基础状态预期!$O$95:$O$115,$W44)*S$66*INDEX($P$57:$T$57,MATCH($O$66,$P$4:$T$4,0))*求节点(基础状态预期!$C$95:$C$115,基础状态预期!$Y$95:$Y$115,$W44)+
求节点(基础状态预期!$C$95:$C$115,基础状态预期!$P$95:$P$115,$W44)*S$67*INDEX($P$57:$T$57,MATCH($O$67,$P$4:$T$4,0))*求节点(基础状态预期!$C$95:$C$115,基础状态预期!$Z$95:$Z$115,$W44)+
求节点(基础状态预期!$C$95:$C$115,基础状态预期!$Q$95:$Q$115,$W44)*S$68*INDEX($P$57:$T$57,MATCH($O$68,$P$4:$T$4,0))*求节点(基础状态预期!$C$95:$C$115,基础状态预期!$AA$95:$AA$115,$W44)+
求节点(基础状态预期!$C$95:$C$115,基础状态预期!$R$95:$R$115,$W44)*S$69*INDEX($P$57:$T$57,MATCH($O$69,$P$4:$T$4,0))*求节点(基础状态预期!$C$95:$C$115,基础状态预期!$AB$95:$AB$115,$W44)+
求节点(基础状态预期!$C$95:$C$115,基础状态预期!$S$95:$S$115,$W44)*S$70*INDEX($P$57:$T$57,MATCH($O$70,$P$4:$T$4,0))*求节点(基础状态预期!$C$95:$C$115,基础状态预期!$AC$95:$AC$115,$W44)</f>
        <v>2337.5</v>
      </c>
      <c r="AB44" s="113">
        <f>求节点(基础状态预期!$C$121:$C$141,基础状态预期!$O$121:$O$141,$W44)*T$66*INDEX($P$57:$T$57,MATCH($O$66,$P$4:$T$4,0))*求节点(基础状态预期!$C$121:$C$141,基础状态预期!$Y$121:$Y$141,$W44)+
求节点(基础状态预期!$C$121:$C$141,基础状态预期!$P$121:$P$141,$W44)*T$67*INDEX($P$57:$T$57,MATCH($O$67,$P$4:$T$4,0))*求节点(基础状态预期!$C$121:$C$141,基础状态预期!$Z$121:$Z$141,$W44)+
求节点(基础状态预期!$C$121:$C$141,基础状态预期!$Q$121:$Q$141,$W44)*T$68*INDEX($P$57:$T$57,MATCH($O$68,$P$4:$T$4,0))*求节点(基础状态预期!$C$121:$C$141,基础状态预期!$AA$121:$AA$141,$W44)+
求节点(基础状态预期!$C$121:$C$141,基础状态预期!$R$121:$R$141,$W44)*T$69*INDEX($P$57:$T$57,MATCH($O$69,$P$4:$T$4,0))*求节点(基础状态预期!$C$121:$C$141,基础状态预期!$AB$121:$AB$141,$W44)+
求节点(基础状态预期!$C$121:$C$141,基础状态预期!$S$121:$S$141,$W44)*T$70*INDEX($P$57:$T$57,MATCH($O$70,$P$4:$T$4,0))*求节点(基础状态预期!$C$121:$C$141,基础状态预期!$AC$121:$AC$141,$W44)</f>
        <v>1787.5</v>
      </c>
      <c r="AE44" s="70">
        <v>39</v>
      </c>
      <c r="AF44" s="113">
        <f>盗宝贼!AI43</f>
        <v>131.52998196925046</v>
      </c>
      <c r="AG44" s="113">
        <f>盗宝贼!AJ43</f>
        <v>167.11790170663792</v>
      </c>
      <c r="AH44" s="113">
        <f>盗宝贼!AK43</f>
        <v>187.06187444005226</v>
      </c>
      <c r="AI44" s="113">
        <f>盗宝贼!AL43</f>
        <v>156.80214777296237</v>
      </c>
      <c r="AJ44" s="113">
        <f>盗宝贼!AM43</f>
        <v>88.29203472830406</v>
      </c>
      <c r="AL44" s="78">
        <f>盗宝贼!AI43/AF44</f>
        <v>1</v>
      </c>
      <c r="AM44" s="118"/>
      <c r="AO44" s="123">
        <f t="shared" si="2"/>
        <v>1.1957271088113679</v>
      </c>
      <c r="AP44" s="123">
        <f t="shared" si="3"/>
        <v>0.75962682593926334</v>
      </c>
      <c r="AQ44" s="123">
        <f t="shared" si="4"/>
        <v>0.28342708248492765</v>
      </c>
      <c r="AR44" s="123">
        <f t="shared" si="5"/>
        <v>6.7081132737096205E-2</v>
      </c>
      <c r="AS44" s="123">
        <f t="shared" si="6"/>
        <v>4.9394145302547723E-2</v>
      </c>
    </row>
    <row r="45" spans="15:45" x14ac:dyDescent="0.15">
      <c r="O45" s="84" t="s">
        <v>345</v>
      </c>
      <c r="P45" s="73"/>
      <c r="Q45" s="85">
        <v>5.0000000000000001E-3</v>
      </c>
      <c r="R45" s="85">
        <v>5.0000000000000001E-3</v>
      </c>
      <c r="S45" s="85">
        <v>5.0000000000000001E-3</v>
      </c>
      <c r="T45" s="86">
        <v>5.0000000000000001E-3</v>
      </c>
      <c r="W45" s="70">
        <v>40</v>
      </c>
      <c r="X45" s="113">
        <f>求节点(基础状态预期!$C$17:$C$37,基础状态预期!$O$17:$O$37,$W45)*P$66*INDEX($P$57:$T$57,MATCH($O$66,$P$4:$T$4,0))*求节点(基础状态预期!$C$17:$C$37,基础状态预期!$Y$17:$Y$37,$W45)+
求节点(基础状态预期!$C$17:$C$37,基础状态预期!$P$17:$P$37,$W45)*P$67*INDEX($P$57:$T$57,MATCH($O$67,$P$4:$T$4,0))*求节点(基础状态预期!$C$17:$C$37,基础状态预期!$Z$17:$Z$37,$W45)+
求节点(基础状态预期!$C$17:$C$37,基础状态预期!$Q$17:$Q$37,$W45)*P$68*INDEX($P$57:$T$57,MATCH($O$68,$P$4:$T$4,0))*求节点(基础状态预期!$C$17:$C$37,基础状态预期!$AA$17:$AA$37,$W45)+
求节点(基础状态预期!$C$17:$C$37,基础状态预期!$R$17:$R$37,$W45)*P$69*INDEX($P$57:$T$57,MATCH($O$69,$P$4:$T$4,0))*求节点(基础状态预期!$C$17:$C$37,基础状态预期!$AB$17:$AB$37,$W45)+
求节点(基础状态预期!$C$17:$C$37,基础状态预期!$S$17:$S$37,$W45)*P$70*INDEX($P$57:$T$57,MATCH($O$70,$P$4:$T$4,0))*求节点(基础状态预期!$C$17:$C$37,基础状态预期!$AC$17:$AC$37,$W45)</f>
        <v>171.875</v>
      </c>
      <c r="Y45" s="113">
        <f>求节点(基础状态预期!$C$43:$C$63,基础状态预期!$O$43:$O$63,$W45)*Q$66*INDEX($P$57:$T$57,MATCH($O$66,$P$4:$T$4,0))*求节点(基础状态预期!$C$43:$C$63,基础状态预期!$Y$43:$Y$63,$W45)+
求节点(基础状态预期!$C$43:$C$63,基础状态预期!$P$43:$P$63,$W45)*Q$67*INDEX($P$57:$T$57,MATCH($O$67,$P$4:$T$4,0))*求节点(基础状态预期!$C$43:$C$63,基础状态预期!$Z$43:$Z$63,$W45)+
求节点(基础状态预期!$C$43:$C$63,基础状态预期!$Q$43:$Q$63,$W45)*Q$68*INDEX($P$57:$T$57,MATCH($O$68,$P$4:$T$4,0))*求节点(基础状态预期!$C$43:$C$63,基础状态预期!$AA$43:$AA$63,$W45)+
求节点(基础状态预期!$C$43:$C$63,基础状态预期!$R$43:$R$63,$W45)*Q$69*INDEX($P$57:$T$57,MATCH($O$69,$P$4:$T$4,0))*求节点(基础状态预期!$C$43:$C$63,基础状态预期!$AB$43:$AB$63,$W45)+
求节点(基础状态预期!$C$43:$C$63,基础状态预期!$S$43:$S$63,$W45)*Q$70*INDEX($P$57:$T$57,MATCH($O$70,$P$4:$T$4,0))*求节点(基础状态预期!$C$43:$C$63,基础状态预期!$AC$43:$AC$63,$W45)</f>
        <v>343.75</v>
      </c>
      <c r="Z45" s="113">
        <f>求节点(基础状态预期!$C$69:$C$89,基础状态预期!$O$69:$O$89,$W45)*R$66*INDEX($P$57:$T$57,MATCH($O$66,$P$4:$T$4,0))*求节点(基础状态预期!$C$69:$C$89,基础状态预期!AA56:AA76,$W45)+
求节点(基础状态预期!$C$69:$C$89,基础状态预期!$P$69:$P$89,$W45)*R$67*INDEX($P$57:$T$57,MATCH($O$67,$P$4:$T$4,0))*求节点(基础状态预期!$C$69:$C$89,基础状态预期!$Z$69:$Z$89,$W45)+
求节点(基础状态预期!$C$69:$C$89,基础状态预期!$Q$69:$Q$89,$W45)*R$68*INDEX($P$57:$T$57,MATCH($O$68,$P$4:$T$4,0))*求节点(基础状态预期!$C$69:$C$89,基础状态预期!$AA$69:$AA$89,$W45)+
求节点(基础状态预期!$C$69:$C$89,基础状态预期!$R$69:$R$89,$W45)*R$69*INDEX($P$57:$T$57,MATCH($O$69,$P$4:$T$4,0))*求节点(基础状态预期!$C$69:$C$89,基础状态预期!$AB$69:$AB$89,$W45)+
求节点(基础状态预期!$C$69:$C$89,基础状态预期!$S$69:$S$89,$W45)*R$70*INDEX($P$57:$T$57,MATCH($O$70,$P$4:$T$4,0))*求节点(基础状态预期!$C$69:$C$89,基础状态预期!$AC$69:$AC$89,$W45)</f>
        <v>1031.25</v>
      </c>
      <c r="AA45" s="113">
        <f>求节点(基础状态预期!$C$95:$C$115,基础状态预期!$O$95:$O$115,$W45)*S$66*INDEX($P$57:$T$57,MATCH($O$66,$P$4:$T$4,0))*求节点(基础状态预期!$C$95:$C$115,基础状态预期!$Y$95:$Y$115,$W45)+
求节点(基础状态预期!$C$95:$C$115,基础状态预期!$P$95:$P$115,$W45)*S$67*INDEX($P$57:$T$57,MATCH($O$67,$P$4:$T$4,0))*求节点(基础状态预期!$C$95:$C$115,基础状态预期!$Z$95:$Z$115,$W45)+
求节点(基础状态预期!$C$95:$C$115,基础状态预期!$Q$95:$Q$115,$W45)*S$68*INDEX($P$57:$T$57,MATCH($O$68,$P$4:$T$4,0))*求节点(基础状态预期!$C$95:$C$115,基础状态预期!$AA$95:$AA$115,$W45)+
求节点(基础状态预期!$C$95:$C$115,基础状态预期!$R$95:$R$115,$W45)*S$69*INDEX($P$57:$T$57,MATCH($O$69,$P$4:$T$4,0))*求节点(基础状态预期!$C$95:$C$115,基础状态预期!$AB$95:$AB$115,$W45)+
求节点(基础状态预期!$C$95:$C$115,基础状态预期!$S$95:$S$115,$W45)*S$70*INDEX($P$57:$T$57,MATCH($O$70,$P$4:$T$4,0))*求节点(基础状态预期!$C$95:$C$115,基础状态预期!$AC$95:$AC$115,$W45)</f>
        <v>2750</v>
      </c>
      <c r="AB45" s="113">
        <f>求节点(基础状态预期!$C$121:$C$141,基础状态预期!$O$121:$O$141,$W45)*T$66*INDEX($P$57:$T$57,MATCH($O$66,$P$4:$T$4,0))*求节点(基础状态预期!$C$121:$C$141,基础状态预期!$Y$121:$Y$141,$W45)+
求节点(基础状态预期!$C$121:$C$141,基础状态预期!$P$121:$P$141,$W45)*T$67*INDEX($P$57:$T$57,MATCH($O$67,$P$4:$T$4,0))*求节点(基础状态预期!$C$121:$C$141,基础状态预期!$Z$121:$Z$141,$W45)+
求节点(基础状态预期!$C$121:$C$141,基础状态预期!$Q$121:$Q$141,$W45)*T$68*INDEX($P$57:$T$57,MATCH($O$68,$P$4:$T$4,0))*求节点(基础状态预期!$C$121:$C$141,基础状态预期!$AA$121:$AA$141,$W45)+
求节点(基础状态预期!$C$121:$C$141,基础状态预期!$R$121:$R$141,$W45)*T$69*INDEX($P$57:$T$57,MATCH($O$69,$P$4:$T$4,0))*求节点(基础状态预期!$C$121:$C$141,基础状态预期!$AB$121:$AB$141,$W45)+
求节点(基础状态预期!$C$121:$C$141,基础状态预期!$S$121:$S$141,$W45)*T$70*INDEX($P$57:$T$57,MATCH($O$70,$P$4:$T$4,0))*求节点(基础状态预期!$C$121:$C$141,基础状态预期!$AC$121:$AC$141,$W45)</f>
        <v>2062.5</v>
      </c>
      <c r="AE45" s="70">
        <v>40</v>
      </c>
      <c r="AF45" s="113">
        <f>盗宝贼!AI44</f>
        <v>148.18526100818994</v>
      </c>
      <c r="AG45" s="113">
        <f>盗宝贼!AJ44</f>
        <v>187.76456666561472</v>
      </c>
      <c r="AH45" s="113">
        <f>盗宝贼!AK44</f>
        <v>210.6167532757969</v>
      </c>
      <c r="AI45" s="113">
        <f>盗宝贼!AL44</f>
        <v>177.03377105473479</v>
      </c>
      <c r="AJ45" s="113">
        <f>盗宝贼!AM44</f>
        <v>99.7709127194871</v>
      </c>
      <c r="AL45" s="78">
        <f>盗宝贼!AI44/AF45</f>
        <v>1</v>
      </c>
      <c r="AM45" s="118"/>
      <c r="AO45" s="123">
        <f t="shared" si="2"/>
        <v>0.86216879132037783</v>
      </c>
      <c r="AP45" s="123">
        <f t="shared" si="3"/>
        <v>0.5462241939363337</v>
      </c>
      <c r="AQ45" s="123">
        <f t="shared" si="4"/>
        <v>0.20423442741895456</v>
      </c>
      <c r="AR45" s="123">
        <f t="shared" si="5"/>
        <v>6.4375916747176284E-2</v>
      </c>
      <c r="AS45" s="123">
        <f t="shared" si="6"/>
        <v>4.8373775863993745E-2</v>
      </c>
    </row>
    <row r="46" spans="15:45" x14ac:dyDescent="0.15">
      <c r="O46" s="84" t="s">
        <v>346</v>
      </c>
      <c r="P46" s="73"/>
      <c r="Q46" s="85">
        <v>1.4999999999999999E-2</v>
      </c>
      <c r="R46" s="85">
        <v>1.4999999999999999E-2</v>
      </c>
      <c r="S46" s="85">
        <v>1.4999999999999999E-2</v>
      </c>
      <c r="T46" s="86">
        <v>1.4999999999999999E-2</v>
      </c>
      <c r="W46" s="70">
        <v>41</v>
      </c>
      <c r="X46" s="113">
        <f>求节点(基础状态预期!$C$17:$C$37,基础状态预期!$O$17:$O$37,$W46)*P$66*INDEX($P$57:$T$57,MATCH($O$66,$P$4:$T$4,0))*求节点(基础状态预期!$C$17:$C$37,基础状态预期!$Y$17:$Y$37,$W46)+
求节点(基础状态预期!$C$17:$C$37,基础状态预期!$P$17:$P$37,$W46)*P$67*INDEX($P$57:$T$57,MATCH($O$67,$P$4:$T$4,0))*求节点(基础状态预期!$C$17:$C$37,基础状态预期!$Z$17:$Z$37,$W46)+
求节点(基础状态预期!$C$17:$C$37,基础状态预期!$Q$17:$Q$37,$W46)*P$68*INDEX($P$57:$T$57,MATCH($O$68,$P$4:$T$4,0))*求节点(基础状态预期!$C$17:$C$37,基础状态预期!$AA$17:$AA$37,$W46)+
求节点(基础状态预期!$C$17:$C$37,基础状态预期!$R$17:$R$37,$W46)*P$69*INDEX($P$57:$T$57,MATCH($O$69,$P$4:$T$4,0))*求节点(基础状态预期!$C$17:$C$37,基础状态预期!$AB$17:$AB$37,$W46)+
求节点(基础状态预期!$C$17:$C$37,基础状态预期!$S$17:$S$37,$W46)*P$70*INDEX($P$57:$T$57,MATCH($O$70,$P$4:$T$4,0))*求节点(基础状态预期!$C$17:$C$37,基础状态预期!$AC$17:$AC$37,$W46)</f>
        <v>516.05442176870747</v>
      </c>
      <c r="Y46" s="113">
        <f>求节点(基础状态预期!$C$43:$C$63,基础状态预期!$O$43:$O$63,$W46)*Q$66*INDEX($P$57:$T$57,MATCH($O$66,$P$4:$T$4,0))*求节点(基础状态预期!$C$43:$C$63,基础状态预期!$Y$43:$Y$63,$W46)+
求节点(基础状态预期!$C$43:$C$63,基础状态预期!$P$43:$P$63,$W46)*Q$67*INDEX($P$57:$T$57,MATCH($O$67,$P$4:$T$4,0))*求节点(基础状态预期!$C$43:$C$63,基础状态预期!$Z$43:$Z$63,$W46)+
求节点(基础状态预期!$C$43:$C$63,基础状态预期!$Q$43:$Q$63,$W46)*Q$68*INDEX($P$57:$T$57,MATCH($O$68,$P$4:$T$4,0))*求节点(基础状态预期!$C$43:$C$63,基础状态预期!$AA$43:$AA$63,$W46)+
求节点(基础状态预期!$C$43:$C$63,基础状态预期!$R$43:$R$63,$W46)*Q$69*INDEX($P$57:$T$57,MATCH($O$69,$P$4:$T$4,0))*求节点(基础状态预期!$C$43:$C$63,基础状态预期!$AB$43:$AB$63,$W46)+
求节点(基础状态预期!$C$43:$C$63,基础状态预期!$S$43:$S$63,$W46)*Q$70*INDEX($P$57:$T$57,MATCH($O$70,$P$4:$T$4,0))*求节点(基础状态预期!$C$43:$C$63,基础状态预期!$AC$43:$AC$63,$W46)</f>
        <v>1456.8480901279431</v>
      </c>
      <c r="Z46" s="113">
        <f>求节点(基础状态预期!$C$69:$C$89,基础状态预期!$O$69:$O$89,$W46)*R$66*INDEX($P$57:$T$57,MATCH($O$66,$P$4:$T$4,0))*求节点(基础状态预期!$C$69:$C$89,基础状态预期!AA57:AA77,$W46)+
求节点(基础状态预期!$C$69:$C$89,基础状态预期!$P$69:$P$89,$W46)*R$67*INDEX($P$57:$T$57,MATCH($O$67,$P$4:$T$4,0))*求节点(基础状态预期!$C$69:$C$89,基础状态预期!$Z$69:$Z$89,$W46)+
求节点(基础状态预期!$C$69:$C$89,基础状态预期!$Q$69:$Q$89,$W46)*R$68*INDEX($P$57:$T$57,MATCH($O$68,$P$4:$T$4,0))*求节点(基础状态预期!$C$69:$C$89,基础状态预期!$AA$69:$AA$89,$W46)+
求节点(基础状态预期!$C$69:$C$89,基础状态预期!$R$69:$R$89,$W46)*R$69*INDEX($P$57:$T$57,MATCH($O$69,$P$4:$T$4,0))*求节点(基础状态预期!$C$69:$C$89,基础状态预期!$AB$69:$AB$89,$W46)+
求节点(基础状态预期!$C$69:$C$89,基础状态预期!$S$69:$S$89,$W46)*R$70*INDEX($P$57:$T$57,MATCH($O$70,$P$4:$T$4,0))*求节点(基础状态预期!$C$69:$C$89,基础状态预期!$AC$69:$AC$89,$W46)</f>
        <v>2336.3753010122969</v>
      </c>
      <c r="AA46" s="113">
        <f>求节点(基础状态预期!$C$95:$C$115,基础状态预期!$O$95:$O$115,$W46)*S$66*INDEX($P$57:$T$57,MATCH($O$66,$P$4:$T$4,0))*求节点(基础状态预期!$C$95:$C$115,基础状态预期!$Y$95:$Y$115,$W46)+
求节点(基础状态预期!$C$95:$C$115,基础状态预期!$P$95:$P$115,$W46)*S$67*INDEX($P$57:$T$57,MATCH($O$67,$P$4:$T$4,0))*求节点(基础状态预期!$C$95:$C$115,基础状态预期!$Z$95:$Z$115,$W46)+
求节点(基础状态预期!$C$95:$C$115,基础状态预期!$Q$95:$Q$115,$W46)*S$68*INDEX($P$57:$T$57,MATCH($O$68,$P$4:$T$4,0))*求节点(基础状态预期!$C$95:$C$115,基础状态预期!$AA$95:$AA$115,$W46)+
求节点(基础状态预期!$C$95:$C$115,基础状态预期!$R$95:$R$115,$W46)*S$69*INDEX($P$57:$T$57,MATCH($O$69,$P$4:$T$4,0))*求节点(基础状态预期!$C$95:$C$115,基础状态预期!$AB$95:$AB$115,$W46)+
求节点(基础状态预期!$C$95:$C$115,基础状态预期!$S$95:$S$115,$W46)*S$70*INDEX($P$57:$T$57,MATCH($O$70,$P$4:$T$4,0))*求节点(基础状态预期!$C$95:$C$115,基础状态预期!$AC$95:$AC$115,$W46)</f>
        <v>5546.6939038993978</v>
      </c>
      <c r="AB46" s="113">
        <f>求节点(基础状态预期!$C$121:$C$141,基础状态预期!$O$121:$O$141,$W46)*T$66*INDEX($P$57:$T$57,MATCH($O$66,$P$4:$T$4,0))*求节点(基础状态预期!$C$121:$C$141,基础状态预期!$Y$121:$Y$141,$W46)+
求节点(基础状态预期!$C$121:$C$141,基础状态预期!$P$121:$P$141,$W46)*T$67*INDEX($P$57:$T$57,MATCH($O$67,$P$4:$T$4,0))*求节点(基础状态预期!$C$121:$C$141,基础状态预期!$Z$121:$Z$141,$W46)+
求节点(基础状态预期!$C$121:$C$141,基础状态预期!$Q$121:$Q$141,$W46)*T$68*INDEX($P$57:$T$57,MATCH($O$68,$P$4:$T$4,0))*求节点(基础状态预期!$C$121:$C$141,基础状态预期!$AA$121:$AA$141,$W46)+
求节点(基础状态预期!$C$121:$C$141,基础状态预期!$R$121:$R$141,$W46)*T$69*INDEX($P$57:$T$57,MATCH($O$69,$P$4:$T$4,0))*求节点(基础状态预期!$C$121:$C$141,基础状态预期!$AB$121:$AB$141,$W46)+
求节点(基础状态预期!$C$121:$C$141,基础状态预期!$S$121:$S$141,$W46)*T$70*INDEX($P$57:$T$57,MATCH($O$70,$P$4:$T$4,0))*求节点(基础状态预期!$C$121:$C$141,基础状态预期!$AC$121:$AC$141,$W46)</f>
        <v>11082.599948898482</v>
      </c>
      <c r="AE46" s="70">
        <v>41</v>
      </c>
      <c r="AF46" s="113">
        <f>盗宝贼!AI45</f>
        <v>166.92848139751572</v>
      </c>
      <c r="AG46" s="113">
        <f>盗宝贼!AJ45</f>
        <v>211.68542230064992</v>
      </c>
      <c r="AH46" s="113">
        <f>盗宝贼!AK45</f>
        <v>237.73838555445735</v>
      </c>
      <c r="AI46" s="113">
        <f>盗宝贼!AL45</f>
        <v>200.0099354291126</v>
      </c>
      <c r="AJ46" s="113">
        <f>盗宝贼!AM45</f>
        <v>112.95162564161558</v>
      </c>
      <c r="AL46" s="78">
        <f>盗宝贼!AI45/AF46</f>
        <v>1</v>
      </c>
      <c r="AM46" s="118"/>
      <c r="AO46" s="123">
        <f t="shared" si="2"/>
        <v>0.32347069292690234</v>
      </c>
      <c r="AP46" s="123">
        <f t="shared" si="3"/>
        <v>0.1453037030662952</v>
      </c>
      <c r="AQ46" s="123">
        <f t="shared" si="4"/>
        <v>0.10175522119731828</v>
      </c>
      <c r="AR46" s="123">
        <f t="shared" si="5"/>
        <v>3.6059306479577502E-2</v>
      </c>
      <c r="AS46" s="123">
        <f t="shared" si="6"/>
        <v>1.0191798509594495E-2</v>
      </c>
    </row>
    <row r="47" spans="15:45" x14ac:dyDescent="0.15">
      <c r="O47" s="84" t="s">
        <v>334</v>
      </c>
      <c r="P47" s="73"/>
      <c r="Q47" s="85">
        <v>0.4</v>
      </c>
      <c r="R47" s="85">
        <v>0.35</v>
      </c>
      <c r="S47" s="85">
        <v>0.3</v>
      </c>
      <c r="T47" s="86">
        <v>0.25</v>
      </c>
      <c r="W47" s="70">
        <v>42</v>
      </c>
      <c r="X47" s="113">
        <f>求节点(基础状态预期!$C$17:$C$37,基础状态预期!$O$17:$O$37,$W47)*P$66*INDEX($P$57:$T$57,MATCH($O$66,$P$4:$T$4,0))*求节点(基础状态预期!$C$17:$C$37,基础状态预期!$Y$17:$Y$37,$W47)+
求节点(基础状态预期!$C$17:$C$37,基础状态预期!$P$17:$P$37,$W47)*P$67*INDEX($P$57:$T$57,MATCH($O$67,$P$4:$T$4,0))*求节点(基础状态预期!$C$17:$C$37,基础状态预期!$Z$17:$Z$37,$W47)+
求节点(基础状态预期!$C$17:$C$37,基础状态预期!$Q$17:$Q$37,$W47)*P$68*INDEX($P$57:$T$57,MATCH($O$68,$P$4:$T$4,0))*求节点(基础状态预期!$C$17:$C$37,基础状态预期!$AA$17:$AA$37,$W47)+
求节点(基础状态预期!$C$17:$C$37,基础状态预期!$R$17:$R$37,$W47)*P$69*INDEX($P$57:$T$57,MATCH($O$69,$P$4:$T$4,0))*求节点(基础状态预期!$C$17:$C$37,基础状态预期!$AB$17:$AB$37,$W47)+
求节点(基础状态预期!$C$17:$C$37,基础状态预期!$S$17:$S$37,$W47)*P$70*INDEX($P$57:$T$57,MATCH($O$70,$P$4:$T$4,0))*求节点(基础状态预期!$C$17:$C$37,基础状态预期!$AC$17:$AC$37,$W47)</f>
        <v>1246.0926870748301</v>
      </c>
      <c r="Y47" s="113">
        <f>求节点(基础状态预期!$C$43:$C$63,基础状态预期!$O$43:$O$63,$W47)*Q$66*INDEX($P$57:$T$57,MATCH($O$66,$P$4:$T$4,0))*求节点(基础状态预期!$C$43:$C$63,基础状态预期!$Y$43:$Y$63,$W47)+
求节点(基础状态预期!$C$43:$C$63,基础状态预期!$P$43:$P$63,$W47)*Q$67*INDEX($P$57:$T$57,MATCH($O$67,$P$4:$T$4,0))*求节点(基础状态预期!$C$43:$C$63,基础状态预期!$Z$43:$Z$63,$W47)+
求节点(基础状态预期!$C$43:$C$63,基础状态预期!$Q$43:$Q$63,$W47)*Q$68*INDEX($P$57:$T$57,MATCH($O$68,$P$4:$T$4,0))*求节点(基础状态预期!$C$43:$C$63,基础状态预期!$AA$43:$AA$63,$W47)+
求节点(基础状态预期!$C$43:$C$63,基础状态预期!$R$43:$R$63,$W47)*Q$69*INDEX($P$57:$T$57,MATCH($O$69,$P$4:$T$4,0))*求节点(基础状态预期!$C$43:$C$63,基础状态预期!$AB$43:$AB$63,$W47)+
求节点(基础状态预期!$C$43:$C$63,基础状态预期!$S$43:$S$63,$W47)*Q$70*INDEX($P$57:$T$57,MATCH($O$70,$P$4:$T$4,0))*求节点(基础状态预期!$C$43:$C$63,基础状态预期!$AC$43:$AC$63,$W47)</f>
        <v>4603.6423605117734</v>
      </c>
      <c r="Z47" s="113">
        <f>求节点(基础状态预期!$C$69:$C$89,基础状态预期!$O$69:$O$89,$W47)*R$66*INDEX($P$57:$T$57,MATCH($O$66,$P$4:$T$4,0))*求节点(基础状态预期!$C$69:$C$89,基础状态预期!AA58:AA78,$W47)+
求节点(基础状态预期!$C$69:$C$89,基础状态预期!$P$69:$P$89,$W47)*R$67*INDEX($P$57:$T$57,MATCH($O$67,$P$4:$T$4,0))*求节点(基础状态预期!$C$69:$C$89,基础状态预期!$Z$69:$Z$89,$W47)+
求节点(基础状态预期!$C$69:$C$89,基础状态预期!$Q$69:$Q$89,$W47)*R$68*INDEX($P$57:$T$57,MATCH($O$68,$P$4:$T$4,0))*求节点(基础状态预期!$C$69:$C$89,基础状态预期!$AA$69:$AA$89,$W47)+
求节点(基础状态预期!$C$69:$C$89,基础状态预期!$R$69:$R$89,$W47)*R$69*INDEX($P$57:$T$57,MATCH($O$69,$P$4:$T$4,0))*求节点(基础状态预期!$C$69:$C$89,基础状态预期!$AB$69:$AB$89,$W47)+
求节点(基础状态预期!$C$69:$C$89,基础状态预期!$S$69:$S$89,$W47)*R$70*INDEX($P$57:$T$57,MATCH($O$70,$P$4:$T$4,0))*求节点(基础状态预期!$C$69:$C$89,基础状态预期!$AC$69:$AC$89,$W47)</f>
        <v>5839.2512040491874</v>
      </c>
      <c r="AA47" s="113">
        <f>求节点(基础状态预期!$C$95:$C$115,基础状态预期!$O$95:$O$115,$W47)*S$66*INDEX($P$57:$T$57,MATCH($O$66,$P$4:$T$4,0))*求节点(基础状态预期!$C$95:$C$115,基础状态预期!$Y$95:$Y$115,$W47)+
求节点(基础状态预期!$C$95:$C$115,基础状态预期!$P$95:$P$115,$W47)*S$67*INDEX($P$57:$T$57,MATCH($O$67,$P$4:$T$4,0))*求节点(基础状态预期!$C$95:$C$115,基础状态预期!$Z$95:$Z$115,$W47)+
求节点(基础状态预期!$C$95:$C$115,基础状态预期!$Q$95:$Q$115,$W47)*S$68*INDEX($P$57:$T$57,MATCH($O$68,$P$4:$T$4,0))*求节点(基础状态预期!$C$95:$C$115,基础状态预期!$AA$95:$AA$115,$W47)+
求节点(基础状态预期!$C$95:$C$115,基础状态预期!$R$95:$R$115,$W47)*S$69*INDEX($P$57:$T$57,MATCH($O$69,$P$4:$T$4,0))*求节点(基础状态预期!$C$95:$C$115,基础状态预期!$AB$95:$AB$115,$W47)+
求节点(基础状态预期!$C$95:$C$115,基础状态预期!$S$95:$S$115,$W47)*S$70*INDEX($P$57:$T$57,MATCH($O$70,$P$4:$T$4,0))*求节点(基础状态预期!$C$95:$C$115,基础状态预期!$AC$95:$AC$115,$W47)</f>
        <v>13936.775615597591</v>
      </c>
      <c r="AB47" s="113">
        <f>求节点(基础状态预期!$C$121:$C$141,基础状态预期!$O$121:$O$141,$W47)*T$66*INDEX($P$57:$T$57,MATCH($O$66,$P$4:$T$4,0))*求节点(基础状态预期!$C$121:$C$141,基础状态预期!$Y$121:$Y$141,$W47)+
求节点(基础状态预期!$C$121:$C$141,基础状态预期!$P$121:$P$141,$W47)*T$67*INDEX($P$57:$T$57,MATCH($O$67,$P$4:$T$4,0))*求节点(基础状态预期!$C$121:$C$141,基础状态预期!$Z$121:$Z$141,$W47)+
求节点(基础状态预期!$C$121:$C$141,基础状态预期!$Q$121:$Q$141,$W47)*T$68*INDEX($P$57:$T$57,MATCH($O$68,$P$4:$T$4,0))*求节点(基础状态预期!$C$121:$C$141,基础状态预期!$AA$121:$AA$141,$W47)+
求节点(基础状态预期!$C$121:$C$141,基础状态预期!$R$121:$R$141,$W47)*T$69*INDEX($P$57:$T$57,MATCH($O$69,$P$4:$T$4,0))*求节点(基础状态预期!$C$121:$C$141,基础状态预期!$AB$121:$AB$141,$W47)+
求节点(基础状态预期!$C$121:$C$141,基础状态预期!$S$121:$S$141,$W47)*T$70*INDEX($P$57:$T$57,MATCH($O$70,$P$4:$T$4,0))*求节点(基础状态预期!$C$121:$C$141,基础状态预期!$AC$121:$AC$141,$W47)</f>
        <v>38142.899795593927</v>
      </c>
      <c r="AE47" s="70">
        <v>42</v>
      </c>
      <c r="AF47" s="113">
        <f>盗宝贼!AI46</f>
        <v>188.02139192405193</v>
      </c>
      <c r="AG47" s="113">
        <f>盗宝贼!AJ46</f>
        <v>239.57242659408053</v>
      </c>
      <c r="AH47" s="113">
        <f>盗宝贼!AK46</f>
        <v>269.12466730143166</v>
      </c>
      <c r="AI47" s="113">
        <f>盗宝贼!AL46</f>
        <v>226.58332085252491</v>
      </c>
      <c r="AJ47" s="113">
        <f>盗宝贼!AM46</f>
        <v>127.83468484695395</v>
      </c>
      <c r="AL47" s="78">
        <f>盗宝贼!AI46/AF47</f>
        <v>1</v>
      </c>
      <c r="AM47" s="118"/>
      <c r="AO47" s="123">
        <f t="shared" si="2"/>
        <v>0.15088876924992412</v>
      </c>
      <c r="AP47" s="123">
        <f t="shared" si="3"/>
        <v>5.2039756313183277E-2</v>
      </c>
      <c r="AQ47" s="123">
        <f t="shared" si="4"/>
        <v>4.608890042524786E-2</v>
      </c>
      <c r="AR47" s="123">
        <f t="shared" si="5"/>
        <v>1.6257944240627663E-2</v>
      </c>
      <c r="AS47" s="123">
        <f t="shared" si="6"/>
        <v>3.351467390576339E-3</v>
      </c>
    </row>
    <row r="48" spans="15:45" x14ac:dyDescent="0.15">
      <c r="O48" s="84"/>
      <c r="P48" s="73"/>
      <c r="Q48" s="85"/>
      <c r="R48" s="85"/>
      <c r="S48" s="85"/>
      <c r="T48" s="86"/>
      <c r="W48" s="70">
        <v>43</v>
      </c>
      <c r="X48" s="113">
        <f>求节点(基础状态预期!$C$17:$C$37,基础状态预期!$O$17:$O$37,$W48)*P$66*INDEX($P$57:$T$57,MATCH($O$66,$P$4:$T$4,0))*求节点(基础状态预期!$C$17:$C$37,基础状态预期!$Y$17:$Y$37,$W48)+
求节点(基础状态预期!$C$17:$C$37,基础状态预期!$P$17:$P$37,$W48)*P$67*INDEX($P$57:$T$57,MATCH($O$67,$P$4:$T$4,0))*求节点(基础状态预期!$C$17:$C$37,基础状态预期!$Z$17:$Z$37,$W48)+
求节点(基础状态预期!$C$17:$C$37,基础状态预期!$Q$17:$Q$37,$W48)*P$68*INDEX($P$57:$T$57,MATCH($O$68,$P$4:$T$4,0))*求节点(基础状态预期!$C$17:$C$37,基础状态预期!$AA$17:$AA$37,$W48)+
求节点(基础状态预期!$C$17:$C$37,基础状态预期!$R$17:$R$37,$W48)*P$69*INDEX($P$57:$T$57,MATCH($O$69,$P$4:$T$4,0))*求节点(基础状态预期!$C$17:$C$37,基础状态预期!$AB$17:$AB$37,$W48)+
求节点(基础状态预期!$C$17:$C$37,基础状态预期!$S$17:$S$37,$W48)*P$70*INDEX($P$57:$T$57,MATCH($O$70,$P$4:$T$4,0))*求节点(基础状态预期!$C$17:$C$37,基础状态预期!$AC$17:$AC$37,$W48)</f>
        <v>2361.9897959183681</v>
      </c>
      <c r="Y48" s="113">
        <f>求节点(基础状态预期!$C$43:$C$63,基础状态预期!$O$43:$O$63,$W48)*Q$66*INDEX($P$57:$T$57,MATCH($O$66,$P$4:$T$4,0))*求节点(基础状态预期!$C$43:$C$63,基础状态预期!$Y$43:$Y$63,$W48)+
求节点(基础状态预期!$C$43:$C$63,基础状态预期!$P$43:$P$63,$W48)*Q$67*INDEX($P$57:$T$57,MATCH($O$67,$P$4:$T$4,0))*求节点(基础状态预期!$C$43:$C$63,基础状态预期!$Z$43:$Z$63,$W48)+
求节点(基础状态预期!$C$43:$C$63,基础状态预期!$Q$43:$Q$63,$W48)*Q$68*INDEX($P$57:$T$57,MATCH($O$68,$P$4:$T$4,0))*求节点(基础状态预期!$C$43:$C$63,基础状态预期!$AA$43:$AA$63,$W48)+
求节点(基础状态预期!$C$43:$C$63,基础状态预期!$R$43:$R$63,$W48)*Q$69*INDEX($P$57:$T$57,MATCH($O$69,$P$4:$T$4,0))*求节点(基础状态预期!$C$43:$C$63,基础状态预期!$AB$43:$AB$63,$W48)+
求节点(基础状态预期!$C$43:$C$63,基础状态预期!$S$43:$S$63,$W48)*Q$70*INDEX($P$57:$T$57,MATCH($O$70,$P$4:$T$4,0))*求节点(基础状态预期!$C$43:$C$63,基础状态预期!$AC$43:$AC$63,$W48)</f>
        <v>9784.1328111514904</v>
      </c>
      <c r="Z48" s="113">
        <f>求节点(基础状态预期!$C$69:$C$89,基础状态预期!$O$69:$O$89,$W48)*R$66*INDEX($P$57:$T$57,MATCH($O$66,$P$4:$T$4,0))*求节点(基础状态预期!$C$69:$C$89,基础状态预期!AA59:AA79,$W48)+
求节点(基础状态预期!$C$69:$C$89,基础状态预期!$P$69:$P$89,$W48)*R$67*INDEX($P$57:$T$57,MATCH($O$67,$P$4:$T$4,0))*求节点(基础状态预期!$C$69:$C$89,基础状态预期!$Z$69:$Z$89,$W48)+
求节点(基础状态预期!$C$69:$C$89,基础状态预期!$Q$69:$Q$89,$W48)*R$68*INDEX($P$57:$T$57,MATCH($O$68,$P$4:$T$4,0))*求节点(基础状态预期!$C$69:$C$89,基础状态预期!$AA$69:$AA$89,$W48)+
求节点(基础状态预期!$C$69:$C$89,基础状态预期!$R$69:$R$89,$W48)*R$69*INDEX($P$57:$T$57,MATCH($O$69,$P$4:$T$4,0))*求节点(基础状态预期!$C$69:$C$89,基础状态预期!$AB$69:$AB$89,$W48)+
求节点(基础状态预期!$C$69:$C$89,基础状态预期!$S$69:$S$89,$W48)*R$70*INDEX($P$57:$T$57,MATCH($O$70,$P$4:$T$4,0))*求节点(基础状态预期!$C$69:$C$89,基础状态预期!$AC$69:$AC$89,$W48)</f>
        <v>11539.877709110675</v>
      </c>
      <c r="AA48" s="113">
        <f>求节点(基础状态预期!$C$95:$C$115,基础状态预期!$O$95:$O$115,$W48)*S$66*INDEX($P$57:$T$57,MATCH($O$66,$P$4:$T$4,0))*求节点(基础状态预期!$C$95:$C$115,基础状态预期!$Y$95:$Y$115,$W48)+
求节点(基础状态预期!$C$95:$C$115,基础状态预期!$P$95:$P$115,$W48)*S$67*INDEX($P$57:$T$57,MATCH($O$67,$P$4:$T$4,0))*求节点(基础状态预期!$C$95:$C$115,基础状态预期!$Z$95:$Z$115,$W48)+
求节点(基础状态预期!$C$95:$C$115,基础状态预期!$Q$95:$Q$115,$W48)*S$68*INDEX($P$57:$T$57,MATCH($O$68,$P$4:$T$4,0))*求节点(基础状态预期!$C$95:$C$115,基础状态预期!$AA$95:$AA$115,$W48)+
求节点(基础状态预期!$C$95:$C$115,基础状态预期!$R$95:$R$115,$W48)*S$69*INDEX($P$57:$T$57,MATCH($O$69,$P$4:$T$4,0))*求节点(基础状态预期!$C$95:$C$115,基础状态预期!$AB$95:$AB$115,$W48)+
求节点(基础状态预期!$C$95:$C$115,基础状态预期!$S$95:$S$115,$W48)*S$70*INDEX($P$57:$T$57,MATCH($O$70,$P$4:$T$4,0))*求节点(基础状态预期!$C$95:$C$115,基础状态预期!$AC$95:$AC$115,$W48)</f>
        <v>27920.245135094585</v>
      </c>
      <c r="AB48" s="113">
        <f>求节点(基础状态预期!$C$121:$C$141,基础状态预期!$O$121:$O$141,$W48)*T$66*INDEX($P$57:$T$57,MATCH($O$66,$P$4:$T$4,0))*求节点(基础状态预期!$C$121:$C$141,基础状态预期!$Y$121:$Y$141,$W48)+
求节点(基础状态预期!$C$121:$C$141,基础状态预期!$P$121:$P$141,$W48)*T$67*INDEX($P$57:$T$57,MATCH($O$67,$P$4:$T$4,0))*求节点(基础状态预期!$C$121:$C$141,基础状态预期!$Z$121:$Z$141,$W48)+
求节点(基础状态预期!$C$121:$C$141,基础状态预期!$Q$121:$Q$141,$W48)*T$68*INDEX($P$57:$T$57,MATCH($O$68,$P$4:$T$4,0))*求节点(基础状态预期!$C$121:$C$141,基础状态预期!$AA$121:$AA$141,$W48)+
求节点(基础状态预期!$C$121:$C$141,基础状态预期!$R$121:$R$141,$W48)*T$69*INDEX($P$57:$T$57,MATCH($O$69,$P$4:$T$4,0))*求节点(基础状态预期!$C$121:$C$141,基础状态预期!$AB$121:$AB$141,$W48)+
求节点(基础状态预期!$C$121:$C$141,基础状态预期!$S$121:$S$141,$W48)*T$70*INDEX($P$57:$T$57,MATCH($O$70,$P$4:$T$4,0))*求节点(基础状态预期!$C$121:$C$141,基础状态预期!$AC$121:$AC$141,$W48)</f>
        <v>83243.399540086335</v>
      </c>
      <c r="AE48" s="70">
        <v>43</v>
      </c>
      <c r="AF48" s="113">
        <f>盗宝贼!AI47</f>
        <v>211.75855476154547</v>
      </c>
      <c r="AG48" s="113">
        <f>盗宝贼!AJ47</f>
        <v>269.87401944311529</v>
      </c>
      <c r="AH48" s="113">
        <f>盗宝贼!AK47</f>
        <v>303.36136903537692</v>
      </c>
      <c r="AI48" s="113">
        <f>盗宝贼!AL47</f>
        <v>254.71660897208261</v>
      </c>
      <c r="AJ48" s="113">
        <f>盗宝贼!AM47</f>
        <v>143.58481059455823</v>
      </c>
      <c r="AL48" s="78">
        <f>盗宝贼!AI47/AF48</f>
        <v>1</v>
      </c>
      <c r="AM48" s="118"/>
      <c r="AO48" s="123">
        <f t="shared" si="2"/>
        <v>8.9652612016984337E-2</v>
      </c>
      <c r="AP48" s="123">
        <f t="shared" si="3"/>
        <v>2.7582824625553497E-2</v>
      </c>
      <c r="AQ48" s="123">
        <f t="shared" si="4"/>
        <v>2.6288092186269416E-2</v>
      </c>
      <c r="AR48" s="123">
        <f t="shared" si="5"/>
        <v>9.123007614711607E-3</v>
      </c>
      <c r="AS48" s="123">
        <f t="shared" si="6"/>
        <v>1.7248792263152846E-3</v>
      </c>
    </row>
    <row r="49" spans="15:45" x14ac:dyDescent="0.15">
      <c r="O49" s="84" t="s">
        <v>335</v>
      </c>
      <c r="P49" s="73"/>
      <c r="Q49" s="85">
        <v>0.1</v>
      </c>
      <c r="R49" s="85">
        <v>0.1</v>
      </c>
      <c r="S49" s="85">
        <v>0.1</v>
      </c>
      <c r="T49" s="86">
        <v>0.1</v>
      </c>
      <c r="W49" s="70">
        <v>44</v>
      </c>
      <c r="X49" s="113">
        <f>求节点(基础状态预期!$C$17:$C$37,基础状态预期!$O$17:$O$37,$W49)*P$66*INDEX($P$57:$T$57,MATCH($O$66,$P$4:$T$4,0))*求节点(基础状态预期!$C$17:$C$37,基础状态预期!$Y$17:$Y$37,$W49)+
求节点(基础状态预期!$C$17:$C$37,基础状态预期!$P$17:$P$37,$W49)*P$67*INDEX($P$57:$T$57,MATCH($O$67,$P$4:$T$4,0))*求节点(基础状态预期!$C$17:$C$37,基础状态预期!$Z$17:$Z$37,$W49)+
求节点(基础状态预期!$C$17:$C$37,基础状态预期!$Q$17:$Q$37,$W49)*P$68*INDEX($P$57:$T$57,MATCH($O$68,$P$4:$T$4,0))*求节点(基础状态预期!$C$17:$C$37,基础状态预期!$AA$17:$AA$37,$W49)+
求节点(基础状态预期!$C$17:$C$37,基础状态预期!$R$17:$R$37,$W49)*P$69*INDEX($P$57:$T$57,MATCH($O$69,$P$4:$T$4,0))*求节点(基础状态预期!$C$17:$C$37,基础状态预期!$AB$17:$AB$37,$W49)+
求节点(基础状态预期!$C$17:$C$37,基础状态预期!$S$17:$S$37,$W49)*P$70*INDEX($P$57:$T$57,MATCH($O$70,$P$4:$T$4,0))*求节点(基础状态预期!$C$17:$C$37,基础状态预期!$AC$17:$AC$37,$W49)</f>
        <v>3863.7457482993204</v>
      </c>
      <c r="Y49" s="113">
        <f>求节点(基础状态预期!$C$43:$C$63,基础状态预期!$O$43:$O$63,$W49)*Q$66*INDEX($P$57:$T$57,MATCH($O$66,$P$4:$T$4,0))*求节点(基础状态预期!$C$43:$C$63,基础状态预期!$Y$43:$Y$63,$W49)+
求节点(基础状态预期!$C$43:$C$63,基础状态预期!$P$43:$P$63,$W49)*Q$67*INDEX($P$57:$T$57,MATCH($O$67,$P$4:$T$4,0))*求节点(基础状态预期!$C$43:$C$63,基础状态预期!$Z$43:$Z$63,$W49)+
求节点(基础状态预期!$C$43:$C$63,基础状态预期!$Q$43:$Q$63,$W49)*Q$68*INDEX($P$57:$T$57,MATCH($O$68,$P$4:$T$4,0))*求节点(基础状态预期!$C$43:$C$63,基础状态预期!$AA$43:$AA$63,$W49)+
求节点(基础状态预期!$C$43:$C$63,基础状态预期!$R$43:$R$63,$W49)*Q$69*INDEX($P$57:$T$57,MATCH($O$69,$P$4:$T$4,0))*求节点(基础状态预期!$C$43:$C$63,基础状态预期!$AB$43:$AB$63,$W49)+
求节点(基础状态预期!$C$43:$C$63,基础状态预期!$S$43:$S$63,$W49)*Q$70*INDEX($P$57:$T$57,MATCH($O$70,$P$4:$T$4,0))*求节点(基础状态预期!$C$43:$C$63,基础状态预期!$AC$43:$AC$63,$W49)</f>
        <v>16998.319442047094</v>
      </c>
      <c r="Z49" s="113">
        <f>求节点(基础状态预期!$C$69:$C$89,基础状态预期!$O$69:$O$89,$W49)*R$66*INDEX($P$57:$T$57,MATCH($O$66,$P$4:$T$4,0))*求节点(基础状态预期!$C$69:$C$89,基础状态预期!AA60:AA80,$W49)+
求节点(基础状态预期!$C$69:$C$89,基础状态预期!$P$69:$P$89,$W49)*R$67*INDEX($P$57:$T$57,MATCH($O$67,$P$4:$T$4,0))*求节点(基础状态预期!$C$69:$C$89,基础状态预期!$Z$69:$Z$89,$W49)+
求节点(基础状态预期!$C$69:$C$89,基础状态预期!$Q$69:$Q$89,$W49)*R$68*INDEX($P$57:$T$57,MATCH($O$68,$P$4:$T$4,0))*求节点(基础状态预期!$C$69:$C$89,基础状态预期!$AA$69:$AA$89,$W49)+
求节点(基础状态预期!$C$69:$C$89,基础状态预期!$R$69:$R$89,$W49)*R$69*INDEX($P$57:$T$57,MATCH($O$69,$P$4:$T$4,0))*求节点(基础状态预期!$C$69:$C$89,基础状态预期!$AB$69:$AB$89,$W49)+
求节点(基础状态预期!$C$69:$C$89,基础状态预期!$S$69:$S$89,$W49)*R$70*INDEX($P$57:$T$57,MATCH($O$70,$P$4:$T$4,0))*求节点(基础状态预期!$C$69:$C$89,基础状态预期!$AC$69:$AC$89,$W49)</f>
        <v>19438.254816196753</v>
      </c>
      <c r="AA49" s="113">
        <f>求节点(基础状态预期!$C$95:$C$115,基础状态预期!$O$95:$O$115,$W49)*S$66*INDEX($P$57:$T$57,MATCH($O$66,$P$4:$T$4,0))*求节点(基础状态预期!$C$95:$C$115,基础状态预期!$Y$95:$Y$115,$W49)+
求节点(基础状态预期!$C$95:$C$115,基础状态预期!$P$95:$P$115,$W49)*S$67*INDEX($P$57:$T$57,MATCH($O$67,$P$4:$T$4,0))*求节点(基础状态预期!$C$95:$C$115,基础状态预期!$Z$95:$Z$115,$W49)+
求节点(基础状态预期!$C$95:$C$115,基础状态预期!$Q$95:$Q$115,$W49)*S$68*INDEX($P$57:$T$57,MATCH($O$68,$P$4:$T$4,0))*求节点(基础状态预期!$C$95:$C$115,基础状态预期!$AA$95:$AA$115,$W49)+
求节点(基础状态预期!$C$95:$C$115,基础状态预期!$R$95:$R$115,$W49)*S$69*INDEX($P$57:$T$57,MATCH($O$69,$P$4:$T$4,0))*求节点(基础状态预期!$C$95:$C$115,基础状态预期!$AB$95:$AB$115,$W49)+
求节点(基础状态预期!$C$95:$C$115,基础状态预期!$S$95:$S$115,$W49)*S$70*INDEX($P$57:$T$57,MATCH($O$70,$P$4:$T$4,0))*求节点(基础状态预期!$C$95:$C$115,基础状态预期!$AC$95:$AC$115,$W49)</f>
        <v>47497.102462390365</v>
      </c>
      <c r="AB49" s="113">
        <f>求节点(基础状态预期!$C$121:$C$141,基础状态预期!$O$121:$O$141,$W49)*T$66*INDEX($P$57:$T$57,MATCH($O$66,$P$4:$T$4,0))*求节点(基础状态预期!$C$121:$C$141,基础状态预期!$Y$121:$Y$141,$W49)+
求节点(基础状态预期!$C$121:$C$141,基础状态预期!$P$121:$P$141,$W49)*T$67*INDEX($P$57:$T$57,MATCH($O$67,$P$4:$T$4,0))*求节点(基础状态预期!$C$121:$C$141,基础状态预期!$Z$121:$Z$141,$W49)+
求节点(基础状态预期!$C$121:$C$141,基础状态预期!$Q$121:$Q$141,$W49)*T$68*INDEX($P$57:$T$57,MATCH($O$68,$P$4:$T$4,0))*求节点(基础状态预期!$C$121:$C$141,基础状态预期!$AA$121:$AA$141,$W49)+
求节点(基础状态预期!$C$121:$C$141,基础状态预期!$R$121:$R$141,$W49)*T$69*INDEX($P$57:$T$57,MATCH($O$69,$P$4:$T$4,0))*求节点(基础状态预期!$C$121:$C$141,基础状态预期!$AB$121:$AB$141,$W49)+
求节点(基础状态预期!$C$121:$C$141,基础状态预期!$S$121:$S$141,$W49)*T$70*INDEX($P$57:$T$57,MATCH($O$70,$P$4:$T$4,0))*求节点(基础状态预期!$C$121:$C$141,基础状态预期!$AC$121:$AC$141,$W49)</f>
        <v>146384.09918237571</v>
      </c>
      <c r="AE49" s="70">
        <v>44</v>
      </c>
      <c r="AF49" s="113">
        <f>盗宝贼!AI48</f>
        <v>238.47145902693009</v>
      </c>
      <c r="AG49" s="113">
        <f>盗宝贼!AJ48</f>
        <v>303.87176498779434</v>
      </c>
      <c r="AH49" s="113">
        <f>盗宝贼!AK48</f>
        <v>341.16607705018555</v>
      </c>
      <c r="AI49" s="113">
        <f>盗宝贼!AL48</f>
        <v>286.34532109123637</v>
      </c>
      <c r="AJ49" s="113">
        <f>盗宝贼!AM48</f>
        <v>161.11409073536925</v>
      </c>
      <c r="AL49" s="78">
        <f>盗宝贼!AI48/AF49</f>
        <v>1</v>
      </c>
      <c r="AM49" s="118"/>
      <c r="AO49" s="123">
        <f t="shared" si="2"/>
        <v>6.1720277306522173E-2</v>
      </c>
      <c r="AP49" s="123">
        <f t="shared" si="3"/>
        <v>1.7876576918312067E-2</v>
      </c>
      <c r="AQ49" s="123">
        <f t="shared" si="4"/>
        <v>1.7551270948763978E-2</v>
      </c>
      <c r="AR49" s="123">
        <f t="shared" si="5"/>
        <v>6.0286903041711481E-3</v>
      </c>
      <c r="AS49" s="123">
        <f t="shared" si="6"/>
        <v>1.1006256255649861E-3</v>
      </c>
    </row>
    <row r="50" spans="15:45" x14ac:dyDescent="0.15">
      <c r="O50" s="84"/>
      <c r="P50" s="73"/>
      <c r="Q50" s="85"/>
      <c r="R50" s="85"/>
      <c r="S50" s="85"/>
      <c r="T50" s="86"/>
      <c r="W50" s="70">
        <v>45</v>
      </c>
      <c r="X50" s="113">
        <f>求节点(基础状态预期!$C$17:$C$37,基础状态预期!$O$17:$O$37,$W50)*P$66*INDEX($P$57:$T$57,MATCH($O$66,$P$4:$T$4,0))*求节点(基础状态预期!$C$17:$C$37,基础状态预期!$Y$17:$Y$37,$W50)+
求节点(基础状态预期!$C$17:$C$37,基础状态预期!$P$17:$P$37,$W50)*P$67*INDEX($P$57:$T$57,MATCH($O$67,$P$4:$T$4,0))*求节点(基础状态预期!$C$17:$C$37,基础状态预期!$Z$17:$Z$37,$W50)+
求节点(基础状态预期!$C$17:$C$37,基础状态预期!$Q$17:$Q$37,$W50)*P$68*INDEX($P$57:$T$57,MATCH($O$68,$P$4:$T$4,0))*求节点(基础状态预期!$C$17:$C$37,基础状态预期!$AA$17:$AA$37,$W50)+
求节点(基础状态预期!$C$17:$C$37,基础状态预期!$R$17:$R$37,$W50)*P$69*INDEX($P$57:$T$57,MATCH($O$69,$P$4:$T$4,0))*求节点(基础状态预期!$C$17:$C$37,基础状态预期!$AB$17:$AB$37,$W50)+
求节点(基础状态预期!$C$17:$C$37,基础状态预期!$S$17:$S$37,$W50)*P$70*INDEX($P$57:$T$57,MATCH($O$70,$P$4:$T$4,0))*求节点(基础状态预期!$C$17:$C$37,基础状态预期!$AC$17:$AC$37,$W50)</f>
        <v>5751.3605442176877</v>
      </c>
      <c r="Y50" s="113">
        <f>求节点(基础状态预期!$C$43:$C$63,基础状态预期!$O$43:$O$63,$W50)*Q$66*INDEX($P$57:$T$57,MATCH($O$66,$P$4:$T$4,0))*求节点(基础状态预期!$C$43:$C$63,基础状态预期!$Y$43:$Y$63,$W50)+
求节点(基础状态预期!$C$43:$C$63,基础状态预期!$P$43:$P$63,$W50)*Q$67*INDEX($P$57:$T$57,MATCH($O$67,$P$4:$T$4,0))*求节点(基础状态预期!$C$43:$C$63,基础状态预期!$Z$43:$Z$63,$W50)+
求节点(基础状态预期!$C$43:$C$63,基础状态预期!$Q$43:$Q$63,$W50)*Q$68*INDEX($P$57:$T$57,MATCH($O$68,$P$4:$T$4,0))*求节点(基础状态预期!$C$43:$C$63,基础状态预期!$AA$43:$AA$63,$W50)+
求节点(基础状态预期!$C$43:$C$63,基础状态预期!$R$43:$R$63,$W50)*Q$69*INDEX($P$57:$T$57,MATCH($O$69,$P$4:$T$4,0))*求节点(基础状态预期!$C$43:$C$63,基础状态预期!$AB$43:$AB$63,$W50)+
求节点(基础状态预期!$C$43:$C$63,基础状态预期!$S$43:$S$63,$W50)*Q$70*INDEX($P$57:$T$57,MATCH($O$70,$P$4:$T$4,0))*求节点(基础状态预期!$C$43:$C$63,基础状态预期!$AC$43:$AC$63,$W50)</f>
        <v>26246.202253198582</v>
      </c>
      <c r="Z50" s="113">
        <f>求节点(基础状态预期!$C$69:$C$89,基础状态预期!$O$69:$O$89,$W50)*R$66*INDEX($P$57:$T$57,MATCH($O$66,$P$4:$T$4,0))*求节点(基础状态预期!$C$69:$C$89,基础状态预期!AA61:AA81,$W50)+
求节点(基础状态预期!$C$69:$C$89,基础状态预期!$P$69:$P$89,$W50)*R$67*INDEX($P$57:$T$57,MATCH($O$67,$P$4:$T$4,0))*求节点(基础状态预期!$C$69:$C$89,基础状态预期!$Z$69:$Z$89,$W50)+
求节点(基础状态预期!$C$69:$C$89,基础状态预期!$Q$69:$Q$89,$W50)*R$68*INDEX($P$57:$T$57,MATCH($O$68,$P$4:$T$4,0))*求节点(基础状态预期!$C$69:$C$89,基础状态预期!$AA$69:$AA$89,$W50)+
求节点(基础状态预期!$C$69:$C$89,基础状态预期!$R$69:$R$89,$W50)*R$69*INDEX($P$57:$T$57,MATCH($O$69,$P$4:$T$4,0))*求节点(基础状态预期!$C$69:$C$89,基础状态预期!$AB$69:$AB$89,$W50)+
求节点(基础状态预期!$C$69:$C$89,基础状态预期!$S$69:$S$89,$W50)*R$70*INDEX($P$57:$T$57,MATCH($O$70,$P$4:$T$4,0))*求节点(基础状态预期!$C$69:$C$89,基础状态预期!$AC$69:$AC$89,$W50)</f>
        <v>29534.382525307425</v>
      </c>
      <c r="AA50" s="113">
        <f>求节点(基础状态预期!$C$95:$C$115,基础状态预期!$O$95:$O$115,$W50)*S$66*INDEX($P$57:$T$57,MATCH($O$66,$P$4:$T$4,0))*求节点(基础状态预期!$C$95:$C$115,基础状态预期!$Y$95:$Y$115,$W50)+
求节点(基础状态预期!$C$95:$C$115,基础状态预期!$P$95:$P$115,$W50)*S$67*INDEX($P$57:$T$57,MATCH($O$67,$P$4:$T$4,0))*求节点(基础状态预期!$C$95:$C$115,基础状态预期!$Z$95:$Z$115,$W50)+
求节点(基础状态预期!$C$95:$C$115,基础状态预期!$Q$95:$Q$115,$W50)*S$68*INDEX($P$57:$T$57,MATCH($O$68,$P$4:$T$4,0))*求节点(基础状态预期!$C$95:$C$115,基础状态预期!$AA$95:$AA$115,$W50)+
求节点(基础状态预期!$C$95:$C$115,基础状态预期!$R$95:$R$115,$W50)*S$69*INDEX($P$57:$T$57,MATCH($O$69,$P$4:$T$4,0))*求节点(基础状态预期!$C$95:$C$115,基础状态预期!$AB$95:$AB$115,$W50)+
求节点(基础状态预期!$C$95:$C$115,基础状态预期!$S$95:$S$115,$W50)*S$70*INDEX($P$57:$T$57,MATCH($O$70,$P$4:$T$4,0))*求节点(基础状态预期!$C$95:$C$115,基础状态预期!$AC$95:$AC$115,$W50)</f>
        <v>72667.347597484957</v>
      </c>
      <c r="AB50" s="113">
        <f>求节点(基础状态预期!$C$121:$C$141,基础状态预期!$O$121:$O$141,$W50)*T$66*INDEX($P$57:$T$57,MATCH($O$66,$P$4:$T$4,0))*求节点(基础状态预期!$C$121:$C$141,基础状态预期!$Y$121:$Y$141,$W50)+
求节点(基础状态预期!$C$121:$C$141,基础状态预期!$P$121:$P$141,$W50)*T$67*INDEX($P$57:$T$57,MATCH($O$67,$P$4:$T$4,0))*求节点(基础状态预期!$C$121:$C$141,基础状态预期!$Z$121:$Z$141,$W50)+
求节点(基础状态预期!$C$121:$C$141,基础状态预期!$Q$121:$Q$141,$W50)*T$68*INDEX($P$57:$T$57,MATCH($O$68,$P$4:$T$4,0))*求节点(基础状态预期!$C$121:$C$141,基础状态预期!$AA$121:$AA$141,$W50)+
求节点(基础状态预期!$C$121:$C$141,基础状态预期!$R$121:$R$141,$W50)*T$69*INDEX($P$57:$T$57,MATCH($O$69,$P$4:$T$4,0))*求节点(基础状态预期!$C$121:$C$141,基础状态预期!$AB$121:$AB$141,$W50)+
求节点(基础状态预期!$C$121:$C$141,基础状态预期!$S$121:$S$141,$W50)*T$70*INDEX($P$57:$T$57,MATCH($O$70,$P$4:$T$4,0))*求节点(基础状态预期!$C$121:$C$141,基础状态预期!$AC$121:$AC$141,$W50)</f>
        <v>227564.99872246201</v>
      </c>
      <c r="AE50" s="70">
        <v>45</v>
      </c>
      <c r="AF50" s="113">
        <f>盗宝贼!AI49</f>
        <v>268.5331500207875</v>
      </c>
      <c r="AG50" s="113">
        <f>盗宝贼!AJ49</f>
        <v>342.19403464099133</v>
      </c>
      <c r="AH50" s="113">
        <f>盗宝贼!AK49</f>
        <v>383.67892063726521</v>
      </c>
      <c r="AI50" s="113">
        <f>盗宝贼!AL49</f>
        <v>322.09597202845578</v>
      </c>
      <c r="AJ50" s="113">
        <f>盗宝贼!AM49</f>
        <v>180.89465170479565</v>
      </c>
      <c r="AL50" s="78">
        <f>盗宝贼!AI49/AF50</f>
        <v>1</v>
      </c>
      <c r="AM50" s="118"/>
      <c r="AO50" s="123">
        <f t="shared" si="2"/>
        <v>4.6690369688397612E-2</v>
      </c>
      <c r="AP50" s="123">
        <f t="shared" si="3"/>
        <v>1.3037849489226148E-2</v>
      </c>
      <c r="AQ50" s="123">
        <f t="shared" si="4"/>
        <v>1.2990924063115198E-2</v>
      </c>
      <c r="AR50" s="123">
        <f t="shared" si="5"/>
        <v>4.4324718415840961E-3</v>
      </c>
      <c r="AS50" s="123">
        <f t="shared" si="6"/>
        <v>7.9491421229243848E-4</v>
      </c>
    </row>
    <row r="51" spans="15:45" x14ac:dyDescent="0.15">
      <c r="O51" s="84" t="s">
        <v>347</v>
      </c>
      <c r="P51" s="73"/>
      <c r="Q51" s="85">
        <v>5.0000000000000001E-3</v>
      </c>
      <c r="R51" s="85">
        <v>5.0000000000000001E-3</v>
      </c>
      <c r="S51" s="85">
        <v>5.0000000000000001E-3</v>
      </c>
      <c r="T51" s="86">
        <v>5.0000000000000001E-3</v>
      </c>
      <c r="W51" s="70">
        <v>46</v>
      </c>
      <c r="X51" s="113">
        <f>求节点(基础状态预期!$C$17:$C$37,基础状态预期!$O$17:$O$37,$W51)*P$66*INDEX($P$57:$T$57,MATCH($O$66,$P$4:$T$4,0))*求节点(基础状态预期!$C$17:$C$37,基础状态预期!$Y$17:$Y$37,$W51)+
求节点(基础状态预期!$C$17:$C$37,基础状态预期!$P$17:$P$37,$W51)*P$67*INDEX($P$57:$T$57,MATCH($O$67,$P$4:$T$4,0))*求节点(基础状态预期!$C$17:$C$37,基础状态预期!$Z$17:$Z$37,$W51)+
求节点(基础状态预期!$C$17:$C$37,基础状态预期!$Q$17:$Q$37,$W51)*P$68*INDEX($P$57:$T$57,MATCH($O$68,$P$4:$T$4,0))*求节点(基础状态预期!$C$17:$C$37,基础状态预期!$AA$17:$AA$37,$W51)+
求节点(基础状态预期!$C$17:$C$37,基础状态预期!$R$17:$R$37,$W51)*P$69*INDEX($P$57:$T$57,MATCH($O$69,$P$4:$T$4,0))*求节点(基础状态预期!$C$17:$C$37,基础状态预期!$AB$17:$AB$37,$W51)+
求节点(基础状态预期!$C$17:$C$37,基础状态预期!$S$17:$S$37,$W51)*P$70*INDEX($P$57:$T$57,MATCH($O$70,$P$4:$T$4,0))*求节点(基础状态预期!$C$17:$C$37,基础状态预期!$AC$17:$AC$37,$W51)</f>
        <v>9080.0471743156722</v>
      </c>
      <c r="Y51" s="113">
        <f>求节点(基础状态预期!$C$43:$C$63,基础状态预期!$O$43:$O$63,$W51)*Q$66*INDEX($P$57:$T$57,MATCH($O$66,$P$4:$T$4,0))*求节点(基础状态预期!$C$43:$C$63,基础状态预期!$Y$43:$Y$63,$W51)+
求节点(基础状态预期!$C$43:$C$63,基础状态预期!$P$43:$P$63,$W51)*Q$67*INDEX($P$57:$T$57,MATCH($O$67,$P$4:$T$4,0))*求节点(基础状态预期!$C$43:$C$63,基础状态预期!$Z$43:$Z$63,$W51)+
求节点(基础状态预期!$C$43:$C$63,基础状态预期!$Q$43:$Q$63,$W51)*Q$68*INDEX($P$57:$T$57,MATCH($O$68,$P$4:$T$4,0))*求节点(基础状态预期!$C$43:$C$63,基础状态预期!$AA$43:$AA$63,$W51)+
求节点(基础状态预期!$C$43:$C$63,基础状态预期!$R$43:$R$63,$W51)*Q$69*INDEX($P$57:$T$57,MATCH($O$69,$P$4:$T$4,0))*求节点(基础状态预期!$C$43:$C$63,基础状态预期!$AB$43:$AB$63,$W51)+
求节点(基础状态预期!$C$43:$C$63,基础状态预期!$S$43:$S$63,$W51)*Q$70*INDEX($P$57:$T$57,MATCH($O$70,$P$4:$T$4,0))*求节点(基础状态预期!$C$43:$C$63,基础状态预期!$AC$43:$AC$63,$W51)</f>
        <v>32982.554268464148</v>
      </c>
      <c r="Z51" s="113">
        <f>求节点(基础状态预期!$C$69:$C$89,基础状态预期!$O$69:$O$89,$W51)*R$66*INDEX($P$57:$T$57,MATCH($O$66,$P$4:$T$4,0))*求节点(基础状态预期!$C$69:$C$89,基础状态预期!AA62:AA82,$W51)+
求节点(基础状态预期!$C$69:$C$89,基础状态预期!$P$69:$P$89,$W51)*R$67*INDEX($P$57:$T$57,MATCH($O$67,$P$4:$T$4,0))*求节点(基础状态预期!$C$69:$C$89,基础状态预期!$Z$69:$Z$89,$W51)+
求节点(基础状态预期!$C$69:$C$89,基础状态预期!$Q$69:$Q$89,$W51)*R$68*INDEX($P$57:$T$57,MATCH($O$68,$P$4:$T$4,0))*求节点(基础状态预期!$C$69:$C$89,基础状态预期!$AA$69:$AA$89,$W51)+
求节点(基础状态预期!$C$69:$C$89,基础状态预期!$R$69:$R$89,$W51)*R$69*INDEX($P$57:$T$57,MATCH($O$69,$P$4:$T$4,0))*求节点(基础状态预期!$C$69:$C$89,基础状态预期!$AB$69:$AB$89,$W51)+
求节点(基础状态预期!$C$69:$C$89,基础状态预期!$S$69:$S$89,$W51)*R$70*INDEX($P$57:$T$57,MATCH($O$70,$P$4:$T$4,0))*求节点(基础状态预期!$C$69:$C$89,基础状态预期!$AC$69:$AC$89,$W51)</f>
        <v>40309.575462293033</v>
      </c>
      <c r="AA51" s="113">
        <f>求节点(基础状态预期!$C$95:$C$115,基础状态预期!$O$95:$O$115,$W51)*S$66*INDEX($P$57:$T$57,MATCH($O$66,$P$4:$T$4,0))*求节点(基础状态预期!$C$95:$C$115,基础状态预期!$Y$95:$Y$115,$W51)+
求节点(基础状态预期!$C$95:$C$115,基础状态预期!$P$95:$P$115,$W51)*S$67*INDEX($P$57:$T$57,MATCH($O$67,$P$4:$T$4,0))*求节点(基础状态预期!$C$95:$C$115,基础状态预期!$Z$95:$Z$115,$W51)+
求节点(基础状态预期!$C$95:$C$115,基础状态预期!$Q$95:$Q$115,$W51)*S$68*INDEX($P$57:$T$57,MATCH($O$68,$P$4:$T$4,0))*求节点(基础状态预期!$C$95:$C$115,基础状态预期!$AA$95:$AA$115,$W51)+
求节点(基础状态预期!$C$95:$C$115,基础状态预期!$R$95:$R$115,$W51)*S$69*INDEX($P$57:$T$57,MATCH($O$69,$P$4:$T$4,0))*求节点(基础状态预期!$C$95:$C$115,基础状态预期!$AB$95:$AB$115,$W51)+
求节点(基础状态预期!$C$95:$C$115,基础状态预期!$S$95:$S$115,$W51)*S$70*INDEX($P$57:$T$57,MATCH($O$70,$P$4:$T$4,0))*求节点(基础状态预期!$C$95:$C$115,基础状态预期!$AC$95:$AC$115,$W51)</f>
        <v>99258.790380368388</v>
      </c>
      <c r="AB51" s="113">
        <f>求节点(基础状态预期!$C$121:$C$141,基础状态预期!$O$121:$O$141,$W51)*T$66*INDEX($P$57:$T$57,MATCH($O$66,$P$4:$T$4,0))*求节点(基础状态预期!$C$121:$C$141,基础状态预期!$Y$121:$Y$141,$W51)+
求节点(基础状态预期!$C$121:$C$141,基础状态预期!$P$121:$P$141,$W51)*T$67*INDEX($P$57:$T$57,MATCH($O$67,$P$4:$T$4,0))*求节点(基础状态预期!$C$121:$C$141,基础状态预期!$Z$121:$Z$141,$W51)+
求节点(基础状态预期!$C$121:$C$141,基础状态预期!$Q$121:$Q$141,$W51)*T$68*INDEX($P$57:$T$57,MATCH($O$68,$P$4:$T$4,0))*求节点(基础状态预期!$C$121:$C$141,基础状态预期!$AA$121:$AA$141,$W51)+
求节点(基础状态预期!$C$121:$C$141,基础状态预期!$R$121:$R$141,$W51)*T$69*INDEX($P$57:$T$57,MATCH($O$69,$P$4:$T$4,0))*求节点(基础状态预期!$C$121:$C$141,基础状态预期!$AB$121:$AB$141,$W51)+
求节点(基础状态预期!$C$121:$C$141,基础状态预期!$S$121:$S$141,$W51)*T$70*INDEX($P$57:$T$57,MATCH($O$70,$P$4:$T$4,0))*求节点(基础状态预期!$C$121:$C$141,基础状态预期!$AC$121:$AC$141,$W51)</f>
        <v>291516.83565015806</v>
      </c>
      <c r="AE51" s="70">
        <v>46</v>
      </c>
      <c r="AF51" s="113">
        <f>盗宝贼!AI50</f>
        <v>302.36343879927909</v>
      </c>
      <c r="AG51" s="113">
        <f>盗宝贼!AJ50</f>
        <v>384.97287967940247</v>
      </c>
      <c r="AH51" s="113">
        <f>盗宝贼!AK50</f>
        <v>431.1988739014331</v>
      </c>
      <c r="AI51" s="113">
        <f>盗宝贼!AL50</f>
        <v>361.87086449361919</v>
      </c>
      <c r="AJ51" s="113">
        <f>盗宝贼!AM50</f>
        <v>202.13933126340706</v>
      </c>
      <c r="AL51" s="78">
        <f>盗宝贼!AI50/AF51</f>
        <v>1</v>
      </c>
      <c r="AM51" s="118"/>
      <c r="AO51" s="123">
        <f t="shared" si="2"/>
        <v>3.3299765187846289E-2</v>
      </c>
      <c r="AP51" s="123">
        <f t="shared" si="3"/>
        <v>1.1672015349262668E-2</v>
      </c>
      <c r="AQ51" s="123">
        <f t="shared" si="4"/>
        <v>1.0697182219266769E-2</v>
      </c>
      <c r="AR51" s="123">
        <f t="shared" si="5"/>
        <v>3.6457311549626822E-3</v>
      </c>
      <c r="AS51" s="123">
        <f t="shared" si="6"/>
        <v>6.934053424824813E-4</v>
      </c>
    </row>
    <row r="52" spans="15:45" x14ac:dyDescent="0.15">
      <c r="O52" s="84" t="s">
        <v>348</v>
      </c>
      <c r="P52" s="73"/>
      <c r="Q52" s="85">
        <v>1.4999999999999999E-2</v>
      </c>
      <c r="R52" s="85">
        <v>1.4999999999999999E-2</v>
      </c>
      <c r="S52" s="85">
        <v>1.4999999999999999E-2</v>
      </c>
      <c r="T52" s="86">
        <v>1.4999999999999999E-2</v>
      </c>
      <c r="W52" s="70">
        <v>47</v>
      </c>
      <c r="X52" s="113">
        <f>求节点(基础状态预期!$C$17:$C$37,基础状态预期!$O$17:$O$37,$W52)*P$66*INDEX($P$57:$T$57,MATCH($O$66,$P$4:$T$4,0))*求节点(基础状态预期!$C$17:$C$37,基础状态预期!$Y$17:$Y$37,$W52)+
求节点(基础状态预期!$C$17:$C$37,基础状态预期!$P$17:$P$37,$W52)*P$67*INDEX($P$57:$T$57,MATCH($O$67,$P$4:$T$4,0))*求节点(基础状态预期!$C$17:$C$37,基础状态预期!$Z$17:$Z$37,$W52)+
求节点(基础状态预期!$C$17:$C$37,基础状态预期!$Q$17:$Q$37,$W52)*P$68*INDEX($P$57:$T$57,MATCH($O$68,$P$4:$T$4,0))*求节点(基础状态预期!$C$17:$C$37,基础状态预期!$AA$17:$AA$37,$W52)+
求节点(基础状态预期!$C$17:$C$37,基础状态预期!$R$17:$R$37,$W52)*P$69*INDEX($P$57:$T$57,MATCH($O$69,$P$4:$T$4,0))*求节点(基础状态预期!$C$17:$C$37,基础状态预期!$AB$17:$AB$37,$W52)+
求节点(基础状态预期!$C$17:$C$37,基础状态预期!$S$17:$S$37,$W52)*P$70*INDEX($P$57:$T$57,MATCH($O$70,$P$4:$T$4,0))*求节点(基础状态预期!$C$17:$C$37,基础状态预期!$AC$17:$AC$37,$W52)</f>
        <v>13868.528833317114</v>
      </c>
      <c r="Y52" s="113">
        <f>求节点(基础状态预期!$C$43:$C$63,基础状态预期!$O$43:$O$63,$W52)*Q$66*INDEX($P$57:$T$57,MATCH($O$66,$P$4:$T$4,0))*求节点(基础状态预期!$C$43:$C$63,基础状态预期!$Y$43:$Y$63,$W52)+
求节点(基础状态预期!$C$43:$C$63,基础状态预期!$P$43:$P$63,$W52)*Q$67*INDEX($P$57:$T$57,MATCH($O$67,$P$4:$T$4,0))*求节点(基础状态预期!$C$43:$C$63,基础状态预期!$Z$43:$Z$63,$W52)+
求节点(基础状态预期!$C$43:$C$63,基础状态预期!$Q$43:$Q$63,$W52)*Q$68*INDEX($P$57:$T$57,MATCH($O$68,$P$4:$T$4,0))*求节点(基础状态预期!$C$43:$C$63,基础状态预期!$AA$43:$AA$63,$W52)+
求节点(基础状态预期!$C$43:$C$63,基础状态预期!$R$43:$R$63,$W52)*Q$69*INDEX($P$57:$T$57,MATCH($O$69,$P$4:$T$4,0))*求节点(基础状态预期!$C$43:$C$63,基础状态预期!$AB$43:$AB$63,$W52)+
求节点(基础状态预期!$C$43:$C$63,基础状态预期!$S$43:$S$63,$W52)*Q$70*INDEX($P$57:$T$57,MATCH($O$70,$P$4:$T$4,0))*求节点(基础状态预期!$C$43:$C$63,基础状态预期!$AC$43:$AC$63,$W52)</f>
        <v>40178.2586646821</v>
      </c>
      <c r="Z52" s="113">
        <f>求节点(基础状态预期!$C$69:$C$89,基础状态预期!$O$69:$O$89,$W52)*R$66*INDEX($P$57:$T$57,MATCH($O$66,$P$4:$T$4,0))*求节点(基础状态预期!$C$69:$C$89,基础状态预期!AA63:AA83,$W52)+
求节点(基础状态预期!$C$69:$C$89,基础状态预期!$P$69:$P$89,$W52)*R$67*INDEX($P$57:$T$57,MATCH($O$67,$P$4:$T$4,0))*求节点(基础状态预期!$C$69:$C$89,基础状态预期!$Z$69:$Z$89,$W52)+
求节点(基础状态预期!$C$69:$C$89,基础状态预期!$Q$69:$Q$89,$W52)*R$68*INDEX($P$57:$T$57,MATCH($O$68,$P$4:$T$4,0))*求节点(基础状态预期!$C$69:$C$89,基础状态预期!$AA$69:$AA$89,$W52)+
求节点(基础状态预期!$C$69:$C$89,基础状态预期!$R$69:$R$89,$W52)*R$69*INDEX($P$57:$T$57,MATCH($O$69,$P$4:$T$4,0))*求节点(基础状态预期!$C$69:$C$89,基础状态预期!$AB$69:$AB$89,$W52)+
求节点(基础状态预期!$C$69:$C$89,基础状态预期!$S$69:$S$89,$W52)*R$70*INDEX($P$57:$T$57,MATCH($O$70,$P$4:$T$4,0))*求节点(基础状态预期!$C$69:$C$89,基础状态预期!$AC$69:$AC$89,$W52)</f>
        <v>52626.301314228403</v>
      </c>
      <c r="AA52" s="113">
        <f>求节点(基础状态预期!$C$95:$C$115,基础状态预期!$O$95:$O$115,$W52)*S$66*INDEX($P$57:$T$57,MATCH($O$66,$P$4:$T$4,0))*求节点(基础状态预期!$C$95:$C$115,基础状态预期!$Y$95:$Y$115,$W52)+
求节点(基础状态预期!$C$95:$C$115,基础状态预期!$P$95:$P$115,$W52)*S$67*INDEX($P$57:$T$57,MATCH($O$67,$P$4:$T$4,0))*求节点(基础状态预期!$C$95:$C$115,基础状态预期!$Z$95:$Z$115,$W52)+
求节点(基础状态预期!$C$95:$C$115,基础状态预期!$Q$95:$Q$115,$W52)*S$68*INDEX($P$57:$T$57,MATCH($O$68,$P$4:$T$4,0))*求节点(基础状态预期!$C$95:$C$115,基础状态预期!$AA$95:$AA$115,$W52)+
求节点(基础状态预期!$C$95:$C$115,基础状态预期!$R$95:$R$115,$W52)*S$69*INDEX($P$57:$T$57,MATCH($O$69,$P$4:$T$4,0))*求节点(基础状态预期!$C$95:$C$115,基础状态预期!$AB$95:$AB$115,$W52)+
求节点(基础状态预期!$C$95:$C$115,基础状态预期!$S$95:$S$115,$W52)*S$70*INDEX($P$57:$T$57,MATCH($O$70,$P$4:$T$4,0))*求节点(基础状态预期!$C$95:$C$115,基础状态预期!$AC$95:$AC$115,$W52)</f>
        <v>132787.13128052576</v>
      </c>
      <c r="AB52" s="113">
        <f>求节点(基础状态预期!$C$121:$C$141,基础状态预期!$O$121:$O$141,$W52)*T$66*INDEX($P$57:$T$57,MATCH($O$66,$P$4:$T$4,0))*求节点(基础状态预期!$C$121:$C$141,基础状态预期!$Y$121:$Y$141,$W52)+
求节点(基础状态预期!$C$121:$C$141,基础状态预期!$P$121:$P$141,$W52)*T$67*INDEX($P$57:$T$57,MATCH($O$67,$P$4:$T$4,0))*求节点(基础状态预期!$C$121:$C$141,基础状态预期!$Z$121:$Z$141,$W52)+
求节点(基础状态预期!$C$121:$C$141,基础状态预期!$Q$121:$Q$141,$W52)*T$68*INDEX($P$57:$T$57,MATCH($O$68,$P$4:$T$4,0))*求节点(基础状态预期!$C$121:$C$141,基础状态预期!$AA$121:$AA$141,$W52)+
求节点(基础状态预期!$C$121:$C$141,基础状态预期!$R$121:$R$141,$W52)*T$69*INDEX($P$57:$T$57,MATCH($O$69,$P$4:$T$4,0))*求节点(基础状态预期!$C$121:$C$141,基础状态预期!$AB$121:$AB$141,$W52)+
求节点(基础状态预期!$C$121:$C$141,基础状态预期!$S$121:$S$141,$W52)*T$70*INDEX($P$57:$T$57,MATCH($O$70,$P$4:$T$4,0))*求节点(基础状态预期!$C$121:$C$141,基础状态预期!$AC$121:$AC$141,$W52)</f>
        <v>367757.37781201384</v>
      </c>
      <c r="AE52" s="70">
        <v>47</v>
      </c>
      <c r="AF52" s="113">
        <f>盗宝贼!AI51</f>
        <v>340.43476482914252</v>
      </c>
      <c r="AG52" s="113">
        <f>盗宝贼!AJ51</f>
        <v>433.17109556103418</v>
      </c>
      <c r="AH52" s="113">
        <f>盗宝贼!AK51</f>
        <v>484.82957135425465</v>
      </c>
      <c r="AI52" s="113">
        <f>盗宝贼!AL51</f>
        <v>406.44749018064749</v>
      </c>
      <c r="AJ52" s="113">
        <f>盗宝贼!AM51</f>
        <v>226.04542173077323</v>
      </c>
      <c r="AL52" s="78">
        <f>盗宝贼!AI51/AF52</f>
        <v>1</v>
      </c>
      <c r="AM52" s="118"/>
      <c r="AO52" s="123">
        <f t="shared" si="2"/>
        <v>2.4547287525645674E-2</v>
      </c>
      <c r="AP52" s="123">
        <f t="shared" si="3"/>
        <v>1.0781231192127413E-2</v>
      </c>
      <c r="AQ52" s="123">
        <f t="shared" si="4"/>
        <v>9.2126856580584515E-3</v>
      </c>
      <c r="AR52" s="123">
        <f t="shared" si="5"/>
        <v>3.0608951805878503E-3</v>
      </c>
      <c r="AS52" s="123">
        <f t="shared" si="6"/>
        <v>6.1465910779448898E-4</v>
      </c>
    </row>
    <row r="53" spans="15:45" x14ac:dyDescent="0.15">
      <c r="O53" s="87" t="s">
        <v>336</v>
      </c>
      <c r="P53" s="88"/>
      <c r="Q53" s="89">
        <v>0.5</v>
      </c>
      <c r="R53" s="89">
        <v>0.55000000000000004</v>
      </c>
      <c r="S53" s="89">
        <v>0.6</v>
      </c>
      <c r="T53" s="90">
        <v>0.65</v>
      </c>
      <c r="W53" s="70">
        <v>48</v>
      </c>
      <c r="X53" s="113">
        <f>求节点(基础状态预期!$C$17:$C$37,基础状态预期!$O$17:$O$37,$W53)*P$66*INDEX($P$57:$T$57,MATCH($O$66,$P$4:$T$4,0))*求节点(基础状态预期!$C$17:$C$37,基础状态预期!$Y$17:$Y$37,$W53)+
求节点(基础状态预期!$C$17:$C$37,基础状态预期!$P$17:$P$37,$W53)*P$67*INDEX($P$57:$T$57,MATCH($O$67,$P$4:$T$4,0))*求节点(基础状态预期!$C$17:$C$37,基础状态预期!$Z$17:$Z$37,$W53)+
求节点(基础状态预期!$C$17:$C$37,基础状态预期!$Q$17:$Q$37,$W53)*P$68*INDEX($P$57:$T$57,MATCH($O$68,$P$4:$T$4,0))*求节点(基础状态预期!$C$17:$C$37,基础状态预期!$AA$17:$AA$37,$W53)+
求节点(基础状态预期!$C$17:$C$37,基础状态预期!$R$17:$R$37,$W53)*P$69*INDEX($P$57:$T$57,MATCH($O$69,$P$4:$T$4,0))*求节点(基础状态预期!$C$17:$C$37,基础状态预期!$AB$17:$AB$37,$W53)+
求节点(基础状态预期!$C$17:$C$37,基础状态预期!$S$17:$S$37,$W53)*P$70*INDEX($P$57:$T$57,MATCH($O$70,$P$4:$T$4,0))*求节点(基础状态预期!$C$17:$C$37,基础状态预期!$AC$17:$AC$37,$W53)</f>
        <v>20116.805521222002</v>
      </c>
      <c r="Y53" s="113">
        <f>求节点(基础状态预期!$C$43:$C$63,基础状态预期!$O$43:$O$63,$W53)*Q$66*INDEX($P$57:$T$57,MATCH($O$66,$P$4:$T$4,0))*求节点(基础状态预期!$C$43:$C$63,基础状态预期!$Y$43:$Y$63,$W53)+
求节点(基础状态预期!$C$43:$C$63,基础状态预期!$P$43:$P$63,$W53)*Q$67*INDEX($P$57:$T$57,MATCH($O$67,$P$4:$T$4,0))*求节点(基础状态预期!$C$43:$C$63,基础状态预期!$Z$43:$Z$63,$W53)+
求节点(基础状态预期!$C$43:$C$63,基础状态预期!$Q$43:$Q$63,$W53)*Q$68*INDEX($P$57:$T$57,MATCH($O$68,$P$4:$T$4,0))*求节点(基础状态预期!$C$43:$C$63,基础状态预期!$AA$43:$AA$63,$W53)+
求节点(基础状态预期!$C$43:$C$63,基础状态预期!$R$43:$R$63,$W53)*Q$69*INDEX($P$57:$T$57,MATCH($O$69,$P$4:$T$4,0))*求节点(基础状态预期!$C$43:$C$63,基础状态预期!$AB$43:$AB$63,$W53)+
求节点(基础状态预期!$C$43:$C$63,基础状态预期!$S$43:$S$63,$W53)*Q$70*INDEX($P$57:$T$57,MATCH($O$70,$P$4:$T$4,0))*求节点(基础状态预期!$C$43:$C$63,基础状态预期!$AC$43:$AC$63,$W53)</f>
        <v>47833.315441852421</v>
      </c>
      <c r="Z53" s="113">
        <f>求节点(基础状态预期!$C$69:$C$89,基础状态预期!$O$69:$O$89,$W53)*R$66*INDEX($P$57:$T$57,MATCH($O$66,$P$4:$T$4,0))*求节点(基础状态预期!$C$69:$C$89,基础状态预期!AA64:AA84,$W53)+
求节点(基础状态预期!$C$69:$C$89,基础状态预期!$P$69:$P$89,$W53)*R$67*INDEX($P$57:$T$57,MATCH($O$67,$P$4:$T$4,0))*求节点(基础状态预期!$C$69:$C$89,基础状态预期!$Z$69:$Z$89,$W53)+
求节点(基础状态预期!$C$69:$C$89,基础状态预期!$Q$69:$Q$89,$W53)*R$68*INDEX($P$57:$T$57,MATCH($O$68,$P$4:$T$4,0))*求节点(基础状态预期!$C$69:$C$89,基础状态预期!$AA$69:$AA$89,$W53)+
求节点(基础状态预期!$C$69:$C$89,基础状态预期!$R$69:$R$89,$W53)*R$69*INDEX($P$57:$T$57,MATCH($O$69,$P$4:$T$4,0))*求节点(基础状态预期!$C$69:$C$89,基础状态预期!$AB$69:$AB$89,$W53)+
求节点(基础状态预期!$C$69:$C$89,基础状态预期!$S$69:$S$89,$W53)*R$70*INDEX($P$57:$T$57,MATCH($O$70,$P$4:$T$4,0))*求节点(基础状态预期!$C$69:$C$89,基础状态预期!$AC$69:$AC$89,$W53)</f>
        <v>66484.560081113537</v>
      </c>
      <c r="AA53" s="113">
        <f>求节点(基础状态预期!$C$95:$C$115,基础状态预期!$O$95:$O$115,$W53)*S$66*INDEX($P$57:$T$57,MATCH($O$66,$P$4:$T$4,0))*求节点(基础状态预期!$C$95:$C$115,基础状态预期!$Y$95:$Y$115,$W53)+
求节点(基础状态预期!$C$95:$C$115,基础状态预期!$P$95:$P$115,$W53)*S$67*INDEX($P$57:$T$57,MATCH($O$67,$P$4:$T$4,0))*求节点(基础状态预期!$C$95:$C$115,基础状态预期!$Z$95:$Z$115,$W53)+
求节点(基础状态预期!$C$95:$C$115,基础状态预期!$Q$95:$Q$115,$W53)*S$68*INDEX($P$57:$T$57,MATCH($O$68,$P$4:$T$4,0))*求节点(基础状态预期!$C$95:$C$115,基础状态预期!$AA$95:$AA$115,$W53)+
求节点(基础状态预期!$C$95:$C$115,基础状态预期!$R$95:$R$115,$W53)*S$69*INDEX($P$57:$T$57,MATCH($O$69,$P$4:$T$4,0))*求节点(基础状态预期!$C$95:$C$115,基础状态预期!$AB$95:$AB$115,$W53)+
求节点(基础状态预期!$C$95:$C$115,基础状态预期!$S$95:$S$115,$W53)*S$70*INDEX($P$57:$T$57,MATCH($O$70,$P$4:$T$4,0))*求节点(基础状态预期!$C$95:$C$115,基础状态预期!$AC$95:$AC$115,$W53)</f>
        <v>173252.37029795704</v>
      </c>
      <c r="AB53" s="113">
        <f>求节点(基础状态预期!$C$121:$C$141,基础状态预期!$O$121:$O$141,$W53)*T$66*INDEX($P$57:$T$57,MATCH($O$66,$P$4:$T$4,0))*求节点(基础状态预期!$C$121:$C$141,基础状态预期!$Y$121:$Y$141,$W53)+
求节点(基础状态预期!$C$121:$C$141,基础状态预期!$P$121:$P$141,$W53)*T$67*INDEX($P$57:$T$57,MATCH($O$67,$P$4:$T$4,0))*求节点(基础状态预期!$C$121:$C$141,基础状态预期!$Z$121:$Z$141,$W53)+
求节点(基础状态预期!$C$121:$C$141,基础状态预期!$Q$121:$Q$141,$W53)*T$68*INDEX($P$57:$T$57,MATCH($O$68,$P$4:$T$4,0))*求节点(基础状态预期!$C$121:$C$141,基础状态预期!$AA$121:$AA$141,$W53)+
求节点(基础状态预期!$C$121:$C$141,基础状态预期!$R$121:$R$141,$W53)*T$69*INDEX($P$57:$T$57,MATCH($O$69,$P$4:$T$4,0))*求节点(基础状态预期!$C$121:$C$141,基础状态预期!$AB$121:$AB$141,$W53)+
求节点(基础状态预期!$C$121:$C$141,基础状态预期!$S$121:$S$141,$W53)*T$70*INDEX($P$57:$T$57,MATCH($O$70,$P$4:$T$4,0))*求节点(基础状态预期!$C$121:$C$141,基础状态预期!$AC$121:$AC$141,$W53)</f>
        <v>456286.62520802941</v>
      </c>
      <c r="AE53" s="70">
        <v>48</v>
      </c>
      <c r="AF53" s="113">
        <f>盗宝贼!AI52</f>
        <v>383.27879359763585</v>
      </c>
      <c r="AG53" s="113">
        <f>盗宝贼!AJ52</f>
        <v>486.76322127575281</v>
      </c>
      <c r="AH53" s="113">
        <f>盗宝贼!AK52</f>
        <v>545.37476012481636</v>
      </c>
      <c r="AI53" s="113">
        <f>盗宝贼!AL52</f>
        <v>454.46095319946943</v>
      </c>
      <c r="AJ53" s="113">
        <f>盗宝贼!AM52</f>
        <v>252.68080695950871</v>
      </c>
      <c r="AL53" s="78">
        <f>盗宝贼!AI52/AF53</f>
        <v>1</v>
      </c>
      <c r="AM53" s="118"/>
      <c r="AO53" s="123">
        <f t="shared" si="2"/>
        <v>1.9052666845802139E-2</v>
      </c>
      <c r="AP53" s="123">
        <f t="shared" si="3"/>
        <v>1.017623839742985E-2</v>
      </c>
      <c r="AQ53" s="123">
        <f t="shared" si="4"/>
        <v>8.2030287853215797E-3</v>
      </c>
      <c r="AR53" s="123">
        <f t="shared" si="5"/>
        <v>2.6231153571976752E-3</v>
      </c>
      <c r="AS53" s="123">
        <f t="shared" si="6"/>
        <v>5.5377649266906935E-4</v>
      </c>
    </row>
    <row r="54" spans="15:45" x14ac:dyDescent="0.15">
      <c r="W54" s="70">
        <v>49</v>
      </c>
      <c r="X54" s="113">
        <f>求节点(基础状态预期!$C$17:$C$37,基础状态预期!$O$17:$O$37,$W54)*P$66*INDEX($P$57:$T$57,MATCH($O$66,$P$4:$T$4,0))*求节点(基础状态预期!$C$17:$C$37,基础状态预期!$Y$17:$Y$37,$W54)+
求节点(基础状态预期!$C$17:$C$37,基础状态预期!$P$17:$P$37,$W54)*P$67*INDEX($P$57:$T$57,MATCH($O$67,$P$4:$T$4,0))*求节点(基础状态预期!$C$17:$C$37,基础状态预期!$Z$17:$Z$37,$W54)+
求节点(基础状态预期!$C$17:$C$37,基础状态预期!$Q$17:$Q$37,$W54)*P$68*INDEX($P$57:$T$57,MATCH($O$68,$P$4:$T$4,0))*求节点(基础状态预期!$C$17:$C$37,基础状态预期!$AA$17:$AA$37,$W54)+
求节点(基础状态预期!$C$17:$C$37,基础状态预期!$R$17:$R$37,$W54)*P$69*INDEX($P$57:$T$57,MATCH($O$69,$P$4:$T$4,0))*求节点(基础状态预期!$C$17:$C$37,基础状态预期!$AB$17:$AB$37,$W54)+
求节点(基础状态预期!$C$17:$C$37,基础状态预期!$S$17:$S$37,$W54)*P$70*INDEX($P$57:$T$57,MATCH($O$70,$P$4:$T$4,0))*求节点(基础状态预期!$C$17:$C$37,基础状态预期!$AC$17:$AC$37,$W54)</f>
        <v>27824.877238030353</v>
      </c>
      <c r="Y54" s="113">
        <f>求节点(基础状态预期!$C$43:$C$63,基础状态预期!$O$43:$O$63,$W54)*Q$66*INDEX($P$57:$T$57,MATCH($O$66,$P$4:$T$4,0))*求节点(基础状态预期!$C$43:$C$63,基础状态预期!$Y$43:$Y$63,$W54)+
求节点(基础状态预期!$C$43:$C$63,基础状态预期!$P$43:$P$63,$W54)*Q$67*INDEX($P$57:$T$57,MATCH($O$67,$P$4:$T$4,0))*求节点(基础状态预期!$C$43:$C$63,基础状态预期!$Z$43:$Z$63,$W54)+
求节点(基础状态预期!$C$43:$C$63,基础状态预期!$Q$43:$Q$63,$W54)*Q$68*INDEX($P$57:$T$57,MATCH($O$68,$P$4:$T$4,0))*求节点(基础状态预期!$C$43:$C$63,基础状态预期!$AA$43:$AA$63,$W54)+
求节点(基础状态预期!$C$43:$C$63,基础状态预期!$R$43:$R$63,$W54)*Q$69*INDEX($P$57:$T$57,MATCH($O$69,$P$4:$T$4,0))*求节点(基础状态预期!$C$43:$C$63,基础状态预期!$AB$43:$AB$63,$W54)+
求节点(基础状态预期!$C$43:$C$63,基础状态预期!$S$43:$S$63,$W54)*Q$70*INDEX($P$57:$T$57,MATCH($O$70,$P$4:$T$4,0))*求节点(基础状态预期!$C$43:$C$63,基础状态预期!$AC$43:$AC$63,$W54)</f>
        <v>55947.724599975132</v>
      </c>
      <c r="Z54" s="113">
        <f>求节点(基础状态预期!$C$69:$C$89,基础状态预期!$O$69:$O$89,$W54)*R$66*INDEX($P$57:$T$57,MATCH($O$66,$P$4:$T$4,0))*求节点(基础状态预期!$C$69:$C$89,基础状态预期!AA65:AA85,$W54)+
求节点(基础状态预期!$C$69:$C$89,基础状态预期!$P$69:$P$89,$W54)*R$67*INDEX($P$57:$T$57,MATCH($O$67,$P$4:$T$4,0))*求节点(基础状态预期!$C$69:$C$89,基础状态预期!$Z$69:$Z$89,$W54)+
求节点(基础状态预期!$C$69:$C$89,基础状态预期!$Q$69:$Q$89,$W54)*R$68*INDEX($P$57:$T$57,MATCH($O$68,$P$4:$T$4,0))*求节点(基础状态预期!$C$69:$C$89,基础状态预期!$AA$69:$AA$89,$W54)+
求节点(基础状态预期!$C$69:$C$89,基础状态预期!$R$69:$R$89,$W54)*R$69*INDEX($P$57:$T$57,MATCH($O$69,$P$4:$T$4,0))*求节点(基础状态预期!$C$69:$C$89,基础状态预期!$AB$69:$AB$89,$W54)+
求节点(基础状态预期!$C$69:$C$89,基础状态预期!$S$69:$S$89,$W54)*R$70*INDEX($P$57:$T$57,MATCH($O$70,$P$4:$T$4,0))*求节点(基础状态预期!$C$69:$C$89,基础状态预期!$AC$69:$AC$89,$W54)</f>
        <v>81884.351762948441</v>
      </c>
      <c r="AA54" s="113">
        <f>求节点(基础状态预期!$C$95:$C$115,基础状态预期!$O$95:$O$115,$W54)*S$66*INDEX($P$57:$T$57,MATCH($O$66,$P$4:$T$4,0))*求节点(基础状态预期!$C$95:$C$115,基础状态预期!$Y$95:$Y$115,$W54)+
求节点(基础状态预期!$C$95:$C$115,基础状态预期!$P$95:$P$115,$W54)*S$67*INDEX($P$57:$T$57,MATCH($O$67,$P$4:$T$4,0))*求节点(基础状态预期!$C$95:$C$115,基础状态预期!$Z$95:$Z$115,$W54)+
求节点(基础状态预期!$C$95:$C$115,基础状态预期!$Q$95:$Q$115,$W54)*S$68*INDEX($P$57:$T$57,MATCH($O$68,$P$4:$T$4,0))*求节点(基础状态预期!$C$95:$C$115,基础状态预期!$AA$95:$AA$115,$W54)+
求节点(基础状态预期!$C$95:$C$115,基础状态预期!$R$95:$R$115,$W54)*S$69*INDEX($P$57:$T$57,MATCH($O$69,$P$4:$T$4,0))*求节点(基础状态预期!$C$95:$C$115,基础状态预期!$AB$95:$AB$115,$W54)+
求节点(基础状态预期!$C$95:$C$115,基础状态预期!$S$95:$S$115,$W54)*S$70*INDEX($P$57:$T$57,MATCH($O$70,$P$4:$T$4,0))*求节点(基础状态预期!$C$95:$C$115,基础状态预期!$AC$95:$AC$115,$W54)</f>
        <v>220654.5074326623</v>
      </c>
      <c r="AB54" s="113">
        <f>求节点(基础状态预期!$C$121:$C$141,基础状态预期!$O$121:$O$141,$W54)*T$66*INDEX($P$57:$T$57,MATCH($O$66,$P$4:$T$4,0))*求节点(基础状态预期!$C$121:$C$141,基础状态预期!$Y$121:$Y$141,$W54)+
求节点(基础状态预期!$C$121:$C$141,基础状态预期!$P$121:$P$141,$W54)*T$67*INDEX($P$57:$T$57,MATCH($O$67,$P$4:$T$4,0))*求节点(基础状态预期!$C$121:$C$141,基础状态预期!$Z$121:$Z$141,$W54)+
求节点(基础状态预期!$C$121:$C$141,基础状态预期!$Q$121:$Q$141,$W54)*T$68*INDEX($P$57:$T$57,MATCH($O$68,$P$4:$T$4,0))*求节点(基础状态预期!$C$121:$C$141,基础状态预期!$AA$121:$AA$141,$W54)+
求节点(基础状态预期!$C$121:$C$141,基础状态预期!$R$121:$R$141,$W54)*T$69*INDEX($P$57:$T$57,MATCH($O$69,$P$4:$T$4,0))*求节点(基础状态预期!$C$121:$C$141,基础状态预期!$AB$121:$AB$141,$W54)+
求节点(基础状态预期!$C$121:$C$141,基础状态预期!$S$121:$S$141,$W54)*T$70*INDEX($P$57:$T$57,MATCH($O$70,$P$4:$T$4,0))*求节点(基础状态预期!$C$121:$C$141,基础状态预期!$AC$121:$AC$141,$W54)</f>
        <v>557104.5778382048</v>
      </c>
      <c r="AE54" s="70">
        <v>49</v>
      </c>
      <c r="AF54" s="113">
        <f>盗宝贼!AI53</f>
        <v>431.49384131295915</v>
      </c>
      <c r="AG54" s="113">
        <f>盗宝贼!AJ53</f>
        <v>547.91321508205874</v>
      </c>
      <c r="AH54" s="113">
        <f>盗宝贼!AK53</f>
        <v>611.68091026892887</v>
      </c>
      <c r="AI54" s="113">
        <f>盗宝贼!AL53</f>
        <v>508.39207941407676</v>
      </c>
      <c r="AJ54" s="113">
        <f>盗宝贼!AM53</f>
        <v>284.36845822041886</v>
      </c>
      <c r="AL54" s="78">
        <f>盗宝贼!AI53/AF54</f>
        <v>1</v>
      </c>
      <c r="AM54" s="118"/>
      <c r="AO54" s="123">
        <f t="shared" si="2"/>
        <v>1.5507484098553508E-2</v>
      </c>
      <c r="AP54" s="123">
        <f t="shared" si="3"/>
        <v>9.7933065017321956E-3</v>
      </c>
      <c r="AQ54" s="123">
        <f t="shared" si="4"/>
        <v>7.4700586510071899E-3</v>
      </c>
      <c r="AR54" s="123">
        <f t="shared" si="5"/>
        <v>2.3040185552032017E-3</v>
      </c>
      <c r="AS54" s="123">
        <f t="shared" si="6"/>
        <v>5.1043999552810278E-4</v>
      </c>
    </row>
    <row r="55" spans="15:45" x14ac:dyDescent="0.15">
      <c r="O55" s="66" t="s">
        <v>379</v>
      </c>
      <c r="Q55" s="97">
        <f>Q47^Q$5*AVERAGE(Q45:Q46)*Q$5+IF(Q$5-1&gt;Q$5/2,Q47^(Q$5-1)*(1-Q47)*AVERAGE(Q45:Q46)*(Q$5-1)-Q47^(Q$5-1)*(Q53)*AVERAGE(Q51:Q52)*1,0)+IF(Q$5-2&gt;Q$5/2,Q47^(Q$5-2)*(1-Q47)^2*AVERAGE(Q45:Q46)*(Q$5-2)-Q47^(Q$5-2)*(Q53^2+Q53*Q49*2)*AVERAGE(Q51:Q52)*2,0)</f>
        <v>4.0000000000000001E-3</v>
      </c>
      <c r="R55" s="97">
        <f t="shared" ref="R55:T55" si="25">R47^R$5*AVERAGE(R45:R46)*R$5+IF(R$5-1&gt;R$5/2,R47^(R$5-1)*(1-R47)*AVERAGE(R45:R46)*(R$5-1)-R47^(R$5-1)*(R53)*AVERAGE(R51:R52)*1,0)+IF(R$5-2&gt;R$5/2,R47^(R$5-2)*(1-R47)^2*AVERAGE(R45:R46)*(R$5-2)-R47^(R$5-2)*(R53^2+R53*R49*2)*AVERAGE(R51:R52)*2,0)</f>
        <v>2.4499999999999999E-3</v>
      </c>
      <c r="S55" s="97">
        <f t="shared" si="25"/>
        <v>1.5300000000000001E-3</v>
      </c>
      <c r="T55" s="97">
        <f t="shared" si="25"/>
        <v>1E-3</v>
      </c>
      <c r="W55" s="70">
        <v>50</v>
      </c>
      <c r="X55" s="113">
        <f>求节点(基础状态预期!$C$17:$C$37,基础状态预期!$O$17:$O$37,$W55)*P$66*INDEX($P$57:$T$57,MATCH($O$66,$P$4:$T$4,0))*求节点(基础状态预期!$C$17:$C$37,基础状态预期!$Y$17:$Y$37,$W55)+
求节点(基础状态预期!$C$17:$C$37,基础状态预期!$P$17:$P$37,$W55)*P$67*INDEX($P$57:$T$57,MATCH($O$67,$P$4:$T$4,0))*求节点(基础状态预期!$C$17:$C$37,基础状态预期!$Z$17:$Z$37,$W55)+
求节点(基础状态预期!$C$17:$C$37,基础状态预期!$Q$17:$Q$37,$W55)*P$68*INDEX($P$57:$T$57,MATCH($O$68,$P$4:$T$4,0))*求节点(基础状态预期!$C$17:$C$37,基础状态预期!$AA$17:$AA$37,$W55)+
求节点(基础状态预期!$C$17:$C$37,基础状态预期!$R$17:$R$37,$W55)*P$69*INDEX($P$57:$T$57,MATCH($O$69,$P$4:$T$4,0))*求节点(基础状态预期!$C$17:$C$37,基础状态预期!$AB$17:$AB$37,$W55)+
求节点(基础状态预期!$C$17:$C$37,基础状态预期!$S$17:$S$37,$W55)*P$70*INDEX($P$57:$T$57,MATCH($O$70,$P$4:$T$4,0))*求节点(基础状态预期!$C$17:$C$37,基础状态预期!$AC$17:$AC$37,$W55)</f>
        <v>36992.743983742148</v>
      </c>
      <c r="Y55" s="113">
        <f>求节点(基础状态预期!$C$43:$C$63,基础状态预期!$O$43:$O$63,$W55)*Q$66*INDEX($P$57:$T$57,MATCH($O$66,$P$4:$T$4,0))*求节点(基础状态预期!$C$43:$C$63,基础状态预期!$Y$43:$Y$63,$W55)+
求节点(基础状态预期!$C$43:$C$63,基础状态预期!$P$43:$P$63,$W55)*Q$67*INDEX($P$57:$T$57,MATCH($O$67,$P$4:$T$4,0))*求节点(基础状态预期!$C$43:$C$63,基础状态预期!$Z$43:$Z$63,$W55)+
求节点(基础状态预期!$C$43:$C$63,基础状态预期!$Q$43:$Q$63,$W55)*Q$68*INDEX($P$57:$T$57,MATCH($O$68,$P$4:$T$4,0))*求节点(基础状态预期!$C$43:$C$63,基础状态预期!$AA$43:$AA$63,$W55)+
求节点(基础状态预期!$C$43:$C$63,基础状态预期!$R$43:$R$63,$W55)*Q$69*INDEX($P$57:$T$57,MATCH($O$69,$P$4:$T$4,0))*求节点(基础状态预期!$C$43:$C$63,基础状态预期!$AB$43:$AB$63,$W55)+
求节点(基础状态预期!$C$43:$C$63,基础状态预期!$S$43:$S$63,$W55)*Q$70*INDEX($P$57:$T$57,MATCH($O$70,$P$4:$T$4,0))*求节点(基础状态预期!$C$43:$C$63,基础状态预期!$AC$43:$AC$63,$W55)</f>
        <v>64521.486139050226</v>
      </c>
      <c r="Z55" s="113">
        <f>求节点(基础状态预期!$C$69:$C$89,基础状态预期!$O$69:$O$89,$W55)*R$66*INDEX($P$57:$T$57,MATCH($O$66,$P$4:$T$4,0))*求节点(基础状态预期!$C$69:$C$89,基础状态预期!AA66:AA86,$W55)+
求节点(基础状态预期!$C$69:$C$89,基础状态预期!$P$69:$P$89,$W55)*R$67*INDEX($P$57:$T$57,MATCH($O$67,$P$4:$T$4,0))*求节点(基础状态预期!$C$69:$C$89,基础状态预期!$Z$69:$Z$89,$W55)+
求节点(基础状态预期!$C$69:$C$89,基础状态预期!$Q$69:$Q$89,$W55)*R$68*INDEX($P$57:$T$57,MATCH($O$68,$P$4:$T$4,0))*求节点(基础状态预期!$C$69:$C$89,基础状态预期!$AA$69:$AA$89,$W55)+
求节点(基础状态预期!$C$69:$C$89,基础状态预期!$R$69:$R$89,$W55)*R$69*INDEX($P$57:$T$57,MATCH($O$69,$P$4:$T$4,0))*求节点(基础状态预期!$C$69:$C$89,基础状态预期!$AB$69:$AB$89,$W55)+
求节点(基础状态预期!$C$69:$C$89,基础状态预期!$S$69:$S$89,$W55)*R$70*INDEX($P$57:$T$57,MATCH($O$70,$P$4:$T$4,0))*求节点(基础状态预期!$C$69:$C$89,基础状态预期!$AC$69:$AC$89,$W55)</f>
        <v>98825.676359733101</v>
      </c>
      <c r="AA55" s="113">
        <f>求节点(基础状态预期!$C$95:$C$115,基础状态预期!$O$95:$O$115,$W55)*S$66*INDEX($P$57:$T$57,MATCH($O$66,$P$4:$T$4,0))*求节点(基础状态预期!$C$95:$C$115,基础状态预期!$Y$95:$Y$115,$W55)+
求节点(基础状态预期!$C$95:$C$115,基础状态预期!$P$95:$P$115,$W55)*S$67*INDEX($P$57:$T$57,MATCH($O$67,$P$4:$T$4,0))*求节点(基础状态预期!$C$95:$C$115,基础状态预期!$Z$95:$Z$115,$W55)+
求节点(基础状态预期!$C$95:$C$115,基础状态预期!$Q$95:$Q$115,$W55)*S$68*INDEX($P$57:$T$57,MATCH($O$68,$P$4:$T$4,0))*求节点(基础状态预期!$C$95:$C$115,基础状态预期!$AA$95:$AA$115,$W55)+
求节点(基础状态预期!$C$95:$C$115,基础状态预期!$R$95:$R$115,$W55)*S$69*INDEX($P$57:$T$57,MATCH($O$69,$P$4:$T$4,0))*求节点(基础状态预期!$C$95:$C$115,基础状态预期!$AB$95:$AB$115,$W55)+
求节点(基础状态预期!$C$95:$C$115,基础状态预期!$S$95:$S$115,$W55)*S$70*INDEX($P$57:$T$57,MATCH($O$70,$P$4:$T$4,0))*求节点(基础状态预期!$C$95:$C$115,基础状态预期!$AC$95:$AC$115,$W55)</f>
        <v>274993.54268464149</v>
      </c>
      <c r="AB55" s="113">
        <f>求节点(基础状态预期!$C$121:$C$141,基础状态预期!$O$121:$O$141,$W55)*T$66*INDEX($P$57:$T$57,MATCH($O$66,$P$4:$T$4,0))*求节点(基础状态预期!$C$121:$C$141,基础状态预期!$Y$121:$Y$141,$W55)+
求节点(基础状态预期!$C$121:$C$141,基础状态预期!$P$121:$P$141,$W55)*T$67*INDEX($P$57:$T$57,MATCH($O$67,$P$4:$T$4,0))*求节点(基础状态预期!$C$121:$C$141,基础状态预期!$Z$121:$Z$141,$W55)+
求节点(基础状态预期!$C$121:$C$141,基础状态预期!$Q$121:$Q$141,$W55)*T$68*INDEX($P$57:$T$57,MATCH($O$68,$P$4:$T$4,0))*求节点(基础状态预期!$C$121:$C$141,基础状态预期!$AA$121:$AA$141,$W55)+
求节点(基础状态预期!$C$121:$C$141,基础状态预期!$R$121:$R$141,$W55)*T$69*INDEX($P$57:$T$57,MATCH($O$69,$P$4:$T$4,0))*求节点(基础状态预期!$C$121:$C$141,基础状态预期!$AB$121:$AB$141,$W55)+
求节点(基础状态预期!$C$121:$C$141,基础状态预期!$S$121:$S$141,$W55)*T$70*INDEX($P$57:$T$57,MATCH($O$70,$P$4:$T$4,0))*求节点(基础状态预期!$C$121:$C$141,基础状态预期!$AC$121:$AC$141,$W55)</f>
        <v>670211.23570254003</v>
      </c>
      <c r="AE55" s="70">
        <v>50</v>
      </c>
      <c r="AF55" s="113">
        <f>盗宝贼!AI54</f>
        <v>485.753230380974</v>
      </c>
      <c r="AG55" s="113">
        <f>盗宝贼!AJ54</f>
        <v>616.83526040415563</v>
      </c>
      <c r="AH55" s="113">
        <f>盗宝贼!AK54</f>
        <v>686.1107526410409</v>
      </c>
      <c r="AI55" s="113">
        <f>盗宝贼!AL54</f>
        <v>571.79570536970186</v>
      </c>
      <c r="AJ55" s="113">
        <f>盗宝贼!AM54</f>
        <v>320.7064443351897</v>
      </c>
      <c r="AL55" s="78">
        <f>盗宝贼!AI54/AF55</f>
        <v>1</v>
      </c>
      <c r="AM55" s="118"/>
      <c r="AO55" s="123">
        <f t="shared" si="2"/>
        <v>1.3131040795309927E-2</v>
      </c>
      <c r="AP55" s="123">
        <f t="shared" si="3"/>
        <v>9.5601527074998596E-3</v>
      </c>
      <c r="AQ55" s="123">
        <f t="shared" si="4"/>
        <v>6.9426365486591228E-3</v>
      </c>
      <c r="AR55" s="123">
        <f t="shared" si="5"/>
        <v>2.0793059349230925E-3</v>
      </c>
      <c r="AS55" s="123">
        <f t="shared" si="6"/>
        <v>4.7851546982648452E-4</v>
      </c>
    </row>
    <row r="56" spans="15:45" x14ac:dyDescent="0.15">
      <c r="O56" s="66" t="s">
        <v>355</v>
      </c>
      <c r="Q56" s="47">
        <f>Q39+(Q43-Q26)*Q5/Q55</f>
        <v>137.5</v>
      </c>
      <c r="R56" s="47">
        <f t="shared" ref="R56:T56" si="26">R39+(R43-R26)*R5/R55</f>
        <v>410.13605442176879</v>
      </c>
      <c r="S56" s="47">
        <f t="shared" si="26"/>
        <v>963.45807184360251</v>
      </c>
      <c r="T56" s="47">
        <f t="shared" si="26"/>
        <v>1536.0881542699726</v>
      </c>
      <c r="W56" s="70">
        <v>51</v>
      </c>
      <c r="X56" s="113">
        <f>求节点(基础状态预期!$C$17:$C$37,基础状态预期!$O$17:$O$37,$W56)*P$66*INDEX($P$57:$T$57,MATCH($O$66,$P$4:$T$4,0))*求节点(基础状态预期!$C$17:$C$37,基础状态预期!$Y$17:$Y$37,$W56)+
求节点(基础状态预期!$C$17:$C$37,基础状态预期!$P$17:$P$37,$W56)*P$67*INDEX($P$57:$T$57,MATCH($O$67,$P$4:$T$4,0))*求节点(基础状态预期!$C$17:$C$37,基础状态预期!$Z$17:$Z$37,$W56)+
求节点(基础状态预期!$C$17:$C$37,基础状态预期!$Q$17:$Q$37,$W56)*P$68*INDEX($P$57:$T$57,MATCH($O$68,$P$4:$T$4,0))*求节点(基础状态预期!$C$17:$C$37,基础状态预期!$AA$17:$AA$37,$W56)+
求节点(基础状态预期!$C$17:$C$37,基础状态预期!$R$17:$R$37,$W56)*P$69*INDEX($P$57:$T$57,MATCH($O$69,$P$4:$T$4,0))*求节点(基础状态预期!$C$17:$C$37,基础状态预期!$AB$17:$AB$37,$W56)+
求节点(基础状态预期!$C$17:$C$37,基础状态预期!$S$17:$S$37,$W56)*P$70*INDEX($P$57:$T$57,MATCH($O$70,$P$4:$T$4,0))*求节点(基础状态预期!$C$17:$C$37,基础状态预期!$AC$17:$AC$37,$W56)</f>
        <v>43835.961789384673</v>
      </c>
      <c r="Y56" s="113">
        <f>求节点(基础状态预期!$C$43:$C$63,基础状态预期!$O$43:$O$63,$W56)*Q$66*INDEX($P$57:$T$57,MATCH($O$66,$P$4:$T$4,0))*求节点(基础状态预期!$C$43:$C$63,基础状态预期!$Y$43:$Y$63,$W56)+
求节点(基础状态预期!$C$43:$C$63,基础状态预期!$P$43:$P$63,$W56)*Q$67*INDEX($P$57:$T$57,MATCH($O$67,$P$4:$T$4,0))*求节点(基础状态预期!$C$43:$C$63,基础状态预期!$Z$43:$Z$63,$W56)+
求节点(基础状态预期!$C$43:$C$63,基础状态预期!$Q$43:$Q$63,$W56)*Q$68*INDEX($P$57:$T$57,MATCH($O$68,$P$4:$T$4,0))*求节点(基础状态预期!$C$43:$C$63,基础状态预期!$AA$43:$AA$63,$W56)+
求节点(基础状态预期!$C$43:$C$63,基础状态预期!$R$43:$R$63,$W56)*Q$69*INDEX($P$57:$T$57,MATCH($O$69,$P$4:$T$4,0))*求节点(基础状态预期!$C$43:$C$63,基础状态预期!$AB$43:$AB$63,$W56)+
求节点(基础状态预期!$C$43:$C$63,基础状态预期!$S$43:$S$63,$W56)*Q$70*INDEX($P$57:$T$57,MATCH($O$70,$P$4:$T$4,0))*求节点(基础状态预期!$C$43:$C$63,基础状态预期!$AC$43:$AC$63,$W56)</f>
        <v>84275.042107397036</v>
      </c>
      <c r="Z56" s="113">
        <f>求节点(基础状态预期!$C$69:$C$89,基础状态预期!$O$69:$O$89,$W56)*R$66*INDEX($P$57:$T$57,MATCH($O$66,$P$4:$T$4,0))*求节点(基础状态预期!$C$69:$C$89,基础状态预期!AA67:AA87,$W56)+
求节点(基础状态预期!$C$69:$C$89,基础状态预期!$P$69:$P$89,$W56)*R$67*INDEX($P$57:$T$57,MATCH($O$67,$P$4:$T$4,0))*求节点(基础状态预期!$C$69:$C$89,基础状态预期!$Z$69:$Z$89,$W56)+
求节点(基础状态预期!$C$69:$C$89,基础状态预期!$Q$69:$Q$89,$W56)*R$68*INDEX($P$57:$T$57,MATCH($O$68,$P$4:$T$4,0))*求节点(基础状态预期!$C$69:$C$89,基础状态预期!$AA$69:$AA$89,$W56)+
求节点(基础状态预期!$C$69:$C$89,基础状态预期!$R$69:$R$89,$W56)*R$69*INDEX($P$57:$T$57,MATCH($O$69,$P$4:$T$4,0))*求节点(基础状态预期!$C$69:$C$89,基础状态预期!$AB$69:$AB$89,$W56)+
求节点(基础状态预期!$C$69:$C$89,基础状态预期!$S$69:$S$89,$W56)*R$70*INDEX($P$57:$T$57,MATCH($O$70,$P$4:$T$4,0))*求节点(基础状态预期!$C$69:$C$89,基础状态预期!$AC$69:$AC$89,$W56)</f>
        <v>116438.73335734056</v>
      </c>
      <c r="AA56" s="113">
        <f>求节点(基础状态预期!$C$95:$C$115,基础状态预期!$O$95:$O$115,$W56)*S$66*INDEX($P$57:$T$57,MATCH($O$66,$P$4:$T$4,0))*求节点(基础状态预期!$C$95:$C$115,基础状态预期!$Y$95:$Y$115,$W56)+
求节点(基础状态预期!$C$95:$C$115,基础状态预期!$P$95:$P$115,$W56)*S$67*INDEX($P$57:$T$57,MATCH($O$67,$P$4:$T$4,0))*求节点(基础状态预期!$C$95:$C$115,基础状态预期!$Z$95:$Z$115,$W56)+
求节点(基础状态预期!$C$95:$C$115,基础状态预期!$Q$95:$Q$115,$W56)*S$68*INDEX($P$57:$T$57,MATCH($O$68,$P$4:$T$4,0))*求节点(基础状态预期!$C$95:$C$115,基础状态预期!$AA$95:$AA$115,$W56)+
求节点(基础状态预期!$C$95:$C$115,基础状态预期!$R$95:$R$115,$W56)*S$69*INDEX($P$57:$T$57,MATCH($O$69,$P$4:$T$4,0))*求节点(基础状态预期!$C$95:$C$115,基础状态预期!$AB$95:$AB$115,$W56)+
求节点(基础状态预期!$C$95:$C$115,基础状态预期!$S$95:$S$115,$W56)*S$70*INDEX($P$57:$T$57,MATCH($O$70,$P$4:$T$4,0))*求节点(基础状态预期!$C$95:$C$115,基础状态预期!$AC$95:$AC$115,$W56)</f>
        <v>297189.43875564612</v>
      </c>
      <c r="AB56" s="113">
        <f>求节点(基础状态预期!$C$121:$C$141,基础状态预期!$O$121:$O$141,$W56)*T$66*INDEX($P$57:$T$57,MATCH($O$66,$P$4:$T$4,0))*求节点(基础状态预期!$C$121:$C$141,基础状态预期!$Y$121:$Y$141,$W56)+
求节点(基础状态预期!$C$121:$C$141,基础状态预期!$P$121:$P$141,$W56)*T$67*INDEX($P$57:$T$57,MATCH($O$67,$P$4:$T$4,0))*求节点(基础状态预期!$C$121:$C$141,基础状态预期!$Z$121:$Z$141,$W56)+
求节点(基础状态预期!$C$121:$C$141,基础状态预期!$Q$121:$Q$141,$W56)*T$68*INDEX($P$57:$T$57,MATCH($O$68,$P$4:$T$4,0))*求节点(基础状态预期!$C$121:$C$141,基础状态预期!$AA$121:$AA$141,$W56)+
求节点(基础状态预期!$C$121:$C$141,基础状态预期!$R$121:$R$141,$W56)*T$69*INDEX($P$57:$T$57,MATCH($O$69,$P$4:$T$4,0))*求节点(基础状态预期!$C$121:$C$141,基础状态预期!$AB$121:$AB$141,$W56)+
求节点(基础状态预期!$C$121:$C$141,基础状态预期!$S$121:$S$141,$W56)*T$70*INDEX($P$57:$T$57,MATCH($O$70,$P$4:$T$4,0))*求节点(基础状态预期!$C$121:$C$141,基础状态预期!$AC$121:$AC$141,$W56)</f>
        <v>733950.57973122864</v>
      </c>
      <c r="AE56" s="70">
        <v>51</v>
      </c>
      <c r="AF56" s="113">
        <f>盗宝贼!AI55</f>
        <v>546.81469234233032</v>
      </c>
      <c r="AG56" s="113">
        <f>盗宝贼!AJ55</f>
        <v>690.14265255223393</v>
      </c>
      <c r="AH56" s="113">
        <f>盗宝贼!AK55</f>
        <v>769.13414578122399</v>
      </c>
      <c r="AI56" s="113">
        <f>盗宝贼!AL55</f>
        <v>643.2754607851117</v>
      </c>
      <c r="AJ56" s="113">
        <f>盗宝贼!AM55</f>
        <v>359.8441104341855</v>
      </c>
      <c r="AL56" s="78">
        <f>盗宝贼!AI55/AF56</f>
        <v>1</v>
      </c>
      <c r="AM56" s="118"/>
      <c r="AO56" s="123">
        <f t="shared" si="2"/>
        <v>1.2474111894009978E-2</v>
      </c>
      <c r="AP56" s="123">
        <f t="shared" si="3"/>
        <v>8.1891700709296744E-3</v>
      </c>
      <c r="AQ56" s="123">
        <f t="shared" si="4"/>
        <v>6.605483618761265E-3</v>
      </c>
      <c r="AR56" s="123">
        <f t="shared" si="5"/>
        <v>2.1645300165394608E-3</v>
      </c>
      <c r="AS56" s="123">
        <f t="shared" si="6"/>
        <v>4.9028384249789642E-4</v>
      </c>
    </row>
    <row r="57" spans="15:45" x14ac:dyDescent="0.15">
      <c r="O57" s="66" t="s">
        <v>356</v>
      </c>
      <c r="Q57" s="47">
        <f>Q56*Q$6</f>
        <v>687.5</v>
      </c>
      <c r="R57" s="47">
        <f t="shared" ref="R57:T57" si="27">R56*R$6</f>
        <v>8202.7210884353753</v>
      </c>
      <c r="S57" s="47">
        <f t="shared" si="27"/>
        <v>96345.807184360252</v>
      </c>
      <c r="T57" s="47">
        <f t="shared" si="27"/>
        <v>307217.63085399452</v>
      </c>
      <c r="W57" s="70">
        <v>52</v>
      </c>
      <c r="X57" s="113">
        <f>求节点(基础状态预期!$C$17:$C$37,基础状态预期!$O$17:$O$37,$W57)*P$66*INDEX($P$57:$T$57,MATCH($O$66,$P$4:$T$4,0))*求节点(基础状态预期!$C$17:$C$37,基础状态预期!$Y$17:$Y$37,$W57)+
求节点(基础状态预期!$C$17:$C$37,基础状态预期!$P$17:$P$37,$W57)*P$67*INDEX($P$57:$T$57,MATCH($O$67,$P$4:$T$4,0))*求节点(基础状态预期!$C$17:$C$37,基础状态预期!$Z$17:$Z$37,$W57)+
求节点(基础状态预期!$C$17:$C$37,基础状态预期!$Q$17:$Q$37,$W57)*P$68*INDEX($P$57:$T$57,MATCH($O$68,$P$4:$T$4,0))*求节点(基础状态预期!$C$17:$C$37,基础状态预期!$AA$17:$AA$37,$W57)+
求节点(基础状态预期!$C$17:$C$37,基础状态预期!$R$17:$R$37,$W57)*P$69*INDEX($P$57:$T$57,MATCH($O$69,$P$4:$T$4,0))*求节点(基础状态预期!$C$17:$C$37,基础状态预期!$AB$17:$AB$37,$W57)+
求节点(基础状态预期!$C$17:$C$37,基础状态预期!$S$17:$S$37,$W57)*P$70*INDEX($P$57:$T$57,MATCH($O$70,$P$4:$T$4,0))*求节点(基础状态预期!$C$17:$C$37,基础状态预期!$AC$17:$AC$37,$W57)</f>
        <v>51449.946052502091</v>
      </c>
      <c r="Y57" s="113">
        <f>求节点(基础状态预期!$C$43:$C$63,基础状态预期!$O$43:$O$63,$W57)*Q$66*INDEX($P$57:$T$57,MATCH($O$66,$P$4:$T$4,0))*求节点(基础状态预期!$C$43:$C$63,基础状态预期!$Y$43:$Y$63,$W57)+
求节点(基础状态预期!$C$43:$C$63,基础状态预期!$P$43:$P$63,$W57)*Q$67*INDEX($P$57:$T$57,MATCH($O$67,$P$4:$T$4,0))*求节点(基础状态预期!$C$43:$C$63,基础状态预期!$Z$43:$Z$63,$W57)+
求节点(基础状态预期!$C$43:$C$63,基础状态预期!$Q$43:$Q$63,$W57)*Q$68*INDEX($P$57:$T$57,MATCH($O$68,$P$4:$T$4,0))*求节点(基础状态预期!$C$43:$C$63,基础状态预期!$AA$43:$AA$63,$W57)+
求节点(基础状态预期!$C$43:$C$63,基础状态预期!$R$43:$R$63,$W57)*Q$69*INDEX($P$57:$T$57,MATCH($O$69,$P$4:$T$4,0))*求节点(基础状态预期!$C$43:$C$63,基础状态预期!$AB$43:$AB$63,$W57)+
求节点(基础状态预期!$C$43:$C$63,基础状态预期!$S$43:$S$63,$W57)*Q$70*INDEX($P$57:$T$57,MATCH($O$70,$P$4:$T$4,0))*求节点(基础状态预期!$C$43:$C$63,基础状态预期!$AC$43:$AC$63,$W57)</f>
        <v>105570.13099069361</v>
      </c>
      <c r="Z57" s="113">
        <f>求节点(基础状态预期!$C$69:$C$89,基础状态预期!$O$69:$O$89,$W57)*R$66*INDEX($P$57:$T$57,MATCH($O$66,$P$4:$T$4,0))*求节点(基础状态预期!$C$69:$C$89,基础状态预期!AA68:AA88,$W57)+
求节点(基础状态预期!$C$69:$C$89,基础状态预期!$P$69:$P$89,$W57)*R$67*INDEX($P$57:$T$57,MATCH($O$67,$P$4:$T$4,0))*求节点(基础状态预期!$C$69:$C$89,基础状态预期!$Z$69:$Z$89,$W57)+
求节点(基础状态预期!$C$69:$C$89,基础状态预期!$Q$69:$Q$89,$W57)*R$68*INDEX($P$57:$T$57,MATCH($O$68,$P$4:$T$4,0))*求节点(基础状态预期!$C$69:$C$89,基础状态预期!$AA$69:$AA$89,$W57)+
求节点(基础状态预期!$C$69:$C$89,基础状态预期!$R$69:$R$89,$W57)*R$69*INDEX($P$57:$T$57,MATCH($O$69,$P$4:$T$4,0))*求节点(基础状态预期!$C$69:$C$89,基础状态预期!$AB$69:$AB$89,$W57)+
求节点(基础状态预期!$C$69:$C$89,基础状态预期!$S$69:$S$89,$W57)*R$70*INDEX($P$57:$T$57,MATCH($O$70,$P$4:$T$4,0))*求节点(基础状态预期!$C$69:$C$89,基础状态预期!$AC$69:$AC$89,$W57)</f>
        <v>135822.37530286834</v>
      </c>
      <c r="AA57" s="113">
        <f>求节点(基础状态预期!$C$95:$C$115,基础状态预期!$O$95:$O$115,$W57)*S$66*INDEX($P$57:$T$57,MATCH($O$66,$P$4:$T$4,0))*求节点(基础状态预期!$C$95:$C$115,基础状态预期!$Y$95:$Y$115,$W57)+
求节点(基础状态预期!$C$95:$C$115,基础状态预期!$P$95:$P$115,$W57)*S$67*INDEX($P$57:$T$57,MATCH($O$67,$P$4:$T$4,0))*求节点(基础状态预期!$C$95:$C$115,基础状态预期!$Z$95:$Z$115,$W57)+
求节点(基础状态预期!$C$95:$C$115,基础状态预期!$Q$95:$Q$115,$W57)*S$68*INDEX($P$57:$T$57,MATCH($O$68,$P$4:$T$4,0))*求节点(基础状态预期!$C$95:$C$115,基础状态预期!$AA$95:$AA$115,$W57)+
求节点(基础状态预期!$C$95:$C$115,基础状态预期!$R$95:$R$115,$W57)*S$69*INDEX($P$57:$T$57,MATCH($O$69,$P$4:$T$4,0))*求节点(基础状态预期!$C$95:$C$115,基础状态预期!$AB$95:$AB$115,$W57)+
求节点(基础状态预期!$C$95:$C$115,基础状态预期!$S$95:$S$115,$W57)*S$70*INDEX($P$57:$T$57,MATCH($O$70,$P$4:$T$4,0))*求节点(基础状态预期!$C$95:$C$115,基础状态预期!$AC$95:$AC$115,$W57)</f>
        <v>321384.97180754167</v>
      </c>
      <c r="AB57" s="113">
        <f>求节点(基础状态预期!$C$121:$C$141,基础状态预期!$O$121:$O$141,$W57)*T$66*INDEX($P$57:$T$57,MATCH($O$66,$P$4:$T$4,0))*求节点(基础状态预期!$C$121:$C$141,基础状态预期!$Y$121:$Y$141,$W57)+
求节点(基础状态预期!$C$121:$C$141,基础状态预期!$P$121:$P$141,$W57)*T$67*INDEX($P$57:$T$57,MATCH($O$67,$P$4:$T$4,0))*求节点(基础状态预期!$C$121:$C$141,基础状态预期!$Z$121:$Z$141,$W57)+
求节点(基础状态预期!$C$121:$C$141,基础状态预期!$Q$121:$Q$141,$W57)*T$68*INDEX($P$57:$T$57,MATCH($O$68,$P$4:$T$4,0))*求节点(基础状态预期!$C$121:$C$141,基础状态预期!$AA$121:$AA$141,$W57)+
求节点(基础状态预期!$C$121:$C$141,基础状态预期!$R$121:$R$141,$W57)*T$69*INDEX($P$57:$T$57,MATCH($O$69,$P$4:$T$4,0))*求节点(基础状态预期!$C$121:$C$141,基础状态预期!$AB$121:$AB$141,$W57)+
求节点(基础状态预期!$C$121:$C$141,基础状态预期!$S$121:$S$141,$W57)*T$70*INDEX($P$57:$T$57,MATCH($O$70,$P$4:$T$4,0))*求节点(基础状态预期!$C$121:$C$141,基础状态预期!$AC$121:$AC$141,$W57)</f>
        <v>806486.00784827885</v>
      </c>
      <c r="AE57" s="70">
        <v>52</v>
      </c>
      <c r="AF57" s="113">
        <f>盗宝贼!AI56</f>
        <v>615.53094958187478</v>
      </c>
      <c r="AG57" s="113">
        <f>盗宝贼!AJ56</f>
        <v>777.67956040087915</v>
      </c>
      <c r="AH57" s="113">
        <f>盗宝贼!AK56</f>
        <v>869.78962731735317</v>
      </c>
      <c r="AI57" s="113">
        <f>盗宝贼!AL56</f>
        <v>727.22891115753873</v>
      </c>
      <c r="AJ57" s="113">
        <f>盗宝贼!AM56</f>
        <v>405.11837998478182</v>
      </c>
      <c r="AL57" s="78">
        <f>盗宝贼!AI56/AF57</f>
        <v>1</v>
      </c>
      <c r="AM57" s="118"/>
      <c r="AO57" s="123">
        <f t="shared" si="2"/>
        <v>1.1963685033872655E-2</v>
      </c>
      <c r="AP57" s="123">
        <f t="shared" si="3"/>
        <v>7.3664733869605072E-3</v>
      </c>
      <c r="AQ57" s="123">
        <f t="shared" si="4"/>
        <v>6.403875836936454E-3</v>
      </c>
      <c r="AR57" s="123">
        <f t="shared" si="5"/>
        <v>2.2627968789811145E-3</v>
      </c>
      <c r="AS57" s="123">
        <f t="shared" si="6"/>
        <v>5.0232536713891158E-4</v>
      </c>
    </row>
    <row r="58" spans="15:45" x14ac:dyDescent="0.15">
      <c r="W58" s="70">
        <v>53</v>
      </c>
      <c r="X58" s="113">
        <f>求节点(基础状态预期!$C$17:$C$37,基础状态预期!$O$17:$O$37,$W58)*P$66*INDEX($P$57:$T$57,MATCH($O$66,$P$4:$T$4,0))*求节点(基础状态预期!$C$17:$C$37,基础状态预期!$Y$17:$Y$37,$W58)+
求节点(基础状态预期!$C$17:$C$37,基础状态预期!$P$17:$P$37,$W58)*P$67*INDEX($P$57:$T$57,MATCH($O$67,$P$4:$T$4,0))*求节点(基础状态预期!$C$17:$C$37,基础状态预期!$Z$17:$Z$37,$W58)+
求节点(基础状态预期!$C$17:$C$37,基础状态预期!$Q$17:$Q$37,$W58)*P$68*INDEX($P$57:$T$57,MATCH($O$68,$P$4:$T$4,0))*求节点(基础状态预期!$C$17:$C$37,基础状态预期!$AA$17:$AA$37,$W58)+
求节点(基础状态预期!$C$17:$C$37,基础状态预期!$R$17:$R$37,$W58)*P$69*INDEX($P$57:$T$57,MATCH($O$69,$P$4:$T$4,0))*求节点(基础状态预期!$C$17:$C$37,基础状态预期!$AB$17:$AB$37,$W58)+
求节点(基础状态预期!$C$17:$C$37,基础状态预期!$S$17:$S$37,$W58)*P$70*INDEX($P$57:$T$57,MATCH($O$70,$P$4:$T$4,0))*求节点(基础状态预期!$C$17:$C$37,基础状态预期!$AC$17:$AC$37,$W58)</f>
        <v>59834.696773094387</v>
      </c>
      <c r="Y58" s="113">
        <f>求节点(基础状态预期!$C$43:$C$63,基础状态预期!$O$43:$O$63,$W58)*Q$66*INDEX($P$57:$T$57,MATCH($O$66,$P$4:$T$4,0))*求节点(基础状态预期!$C$43:$C$63,基础状态预期!$Y$43:$Y$63,$W58)+
求节点(基础状态预期!$C$43:$C$63,基础状态预期!$P$43:$P$63,$W58)*Q$67*INDEX($P$57:$T$57,MATCH($O$67,$P$4:$T$4,0))*求节点(基础状态预期!$C$43:$C$63,基础状态预期!$Z$43:$Z$63,$W58)+
求节点(基础状态预期!$C$43:$C$63,基础状态预期!$Q$43:$Q$63,$W58)*Q$68*INDEX($P$57:$T$57,MATCH($O$68,$P$4:$T$4,0))*求节点(基础状态预期!$C$43:$C$63,基础状态预期!$AA$43:$AA$63,$W58)+
求节点(基础状态预期!$C$43:$C$63,基础状态预期!$R$43:$R$63,$W58)*Q$69*INDEX($P$57:$T$57,MATCH($O$69,$P$4:$T$4,0))*求节点(基础状态预期!$C$43:$C$63,基础状态预期!$AB$43:$AB$63,$W58)+
求节点(基础状态预期!$C$43:$C$63,基础状态预期!$S$43:$S$63,$W58)*Q$70*INDEX($P$57:$T$57,MATCH($O$70,$P$4:$T$4,0))*求节点(基础状态预期!$C$43:$C$63,基础状态预期!$AC$43:$AC$63,$W58)</f>
        <v>128406.75278893994</v>
      </c>
      <c r="Z58" s="113">
        <f>求节点(基础状态预期!$C$69:$C$89,基础状态预期!$O$69:$O$89,$W58)*R$66*INDEX($P$57:$T$57,MATCH($O$66,$P$4:$T$4,0))*求节点(基础状态预期!$C$69:$C$89,基础状态预期!AA69:AA89,$W58)+
求节点(基础状态预期!$C$69:$C$89,基础状态预期!$P$69:$P$89,$W58)*R$67*INDEX($P$57:$T$57,MATCH($O$67,$P$4:$T$4,0))*求节点(基础状态预期!$C$69:$C$89,基础状态预期!$Z$69:$Z$89,$W58)+
求节点(基础状态预期!$C$69:$C$89,基础状态预期!$Q$69:$Q$89,$W58)*R$68*INDEX($P$57:$T$57,MATCH($O$68,$P$4:$T$4,0))*求节点(基础状态预期!$C$69:$C$89,基础状态预期!$AA$69:$AA$89,$W58)+
求节点(基础状态预期!$C$69:$C$89,基础状态预期!$R$69:$R$89,$W58)*R$69*INDEX($P$57:$T$57,MATCH($O$69,$P$4:$T$4,0))*求节点(基础状态预期!$C$69:$C$89,基础状态预期!$AB$69:$AB$89,$W58)+
求节点(基础状态预期!$C$69:$C$89,基础状态预期!$S$69:$S$89,$W58)*R$70*INDEX($P$57:$T$57,MATCH($O$70,$P$4:$T$4,0))*求节点(基础状态预期!$C$69:$C$89,基础状态预期!$AC$69:$AC$89,$W58)</f>
        <v>156976.60219631641</v>
      </c>
      <c r="AA58" s="113">
        <f>求节点(基础状态预期!$C$95:$C$115,基础状态预期!$O$95:$O$115,$W58)*S$66*INDEX($P$57:$T$57,MATCH($O$66,$P$4:$T$4,0))*求节点(基础状态预期!$C$95:$C$115,基础状态预期!$Y$95:$Y$115,$W58)+
求节点(基础状态预期!$C$95:$C$115,基础状态预期!$P$95:$P$115,$W58)*S$67*INDEX($P$57:$T$57,MATCH($O$67,$P$4:$T$4,0))*求节点(基础状态预期!$C$95:$C$115,基础状态预期!$Z$95:$Z$115,$W58)+
求节点(基础状态预期!$C$95:$C$115,基础状态预期!$Q$95:$Q$115,$W58)*S$68*INDEX($P$57:$T$57,MATCH($O$68,$P$4:$T$4,0))*求节点(基础状态预期!$C$95:$C$115,基础状态预期!$AA$95:$AA$115,$W58)+
求节点(基础状态预期!$C$95:$C$115,基础状态预期!$R$95:$R$115,$W58)*S$69*INDEX($P$57:$T$57,MATCH($O$69,$P$4:$T$4,0))*求节点(基础状态预期!$C$95:$C$115,基础状态预期!$AB$95:$AB$115,$W58)+
求节点(基础状态预期!$C$95:$C$115,基础状态预期!$S$95:$S$115,$W58)*S$70*INDEX($P$57:$T$57,MATCH($O$70,$P$4:$T$4,0))*求节点(基础状态预期!$C$95:$C$115,基础状态预期!$AC$95:$AC$115,$W58)</f>
        <v>347580.14184032811</v>
      </c>
      <c r="AB58" s="113">
        <f>求节点(基础状态预期!$C$121:$C$141,基础状态预期!$O$121:$O$141,$W58)*T$66*INDEX($P$57:$T$57,MATCH($O$66,$P$4:$T$4,0))*求节点(基础状态预期!$C$121:$C$141,基础状态预期!$Y$121:$Y$141,$W58)+
求节点(基础状态预期!$C$121:$C$141,基础状态预期!$P$121:$P$141,$W58)*T$67*INDEX($P$57:$T$57,MATCH($O$67,$P$4:$T$4,0))*求节点(基础状态预期!$C$121:$C$141,基础状态预期!$Z$121:$Z$141,$W58)+
求节点(基础状态预期!$C$121:$C$141,基础状态预期!$Q$121:$Q$141,$W58)*T$68*INDEX($P$57:$T$57,MATCH($O$68,$P$4:$T$4,0))*求节点(基础状态预期!$C$121:$C$141,基础状态预期!$AA$121:$AA$141,$W58)+
求节点(基础状态预期!$C$121:$C$141,基础状态预期!$R$121:$R$141,$W58)*T$69*INDEX($P$57:$T$57,MATCH($O$69,$P$4:$T$4,0))*求节点(基础状态预期!$C$121:$C$141,基础状态预期!$AB$121:$AB$141,$W58)+
求节点(基础状态预期!$C$121:$C$141,基础状态预期!$S$121:$S$141,$W58)*T$70*INDEX($P$57:$T$57,MATCH($O$70,$P$4:$T$4,0))*求节点(基础状态预期!$C$121:$C$141,基础状态预期!$AC$121:$AC$141,$W58)</f>
        <v>887817.52005369077</v>
      </c>
      <c r="AE58" s="70">
        <v>53</v>
      </c>
      <c r="AF58" s="113">
        <f>盗宝贼!AI57</f>
        <v>692.86162358374304</v>
      </c>
      <c r="AG58" s="113">
        <f>盗宝贼!AJ57</f>
        <v>877.87579873222364</v>
      </c>
      <c r="AH58" s="113">
        <f>盗宝贼!AK57</f>
        <v>984.23692149842554</v>
      </c>
      <c r="AI58" s="113">
        <f>盗宝贼!AL57</f>
        <v>818.39235151044591</v>
      </c>
      <c r="AJ58" s="113">
        <f>盗宝贼!AM57</f>
        <v>455.5465378627751</v>
      </c>
      <c r="AL58" s="78">
        <f>盗宝贼!AI57/AF58</f>
        <v>1</v>
      </c>
      <c r="AM58" s="118"/>
      <c r="AO58" s="123">
        <f t="shared" si="2"/>
        <v>1.15795961365229E-2</v>
      </c>
      <c r="AP58" s="123">
        <f t="shared" si="3"/>
        <v>6.8366793775649299E-3</v>
      </c>
      <c r="AQ58" s="123">
        <f t="shared" si="4"/>
        <v>6.2699593934867417E-3</v>
      </c>
      <c r="AR58" s="123">
        <f t="shared" si="5"/>
        <v>2.3545428895256054E-3</v>
      </c>
      <c r="AS58" s="123">
        <f t="shared" si="6"/>
        <v>5.1310829936677298E-4</v>
      </c>
    </row>
    <row r="59" spans="15:45" x14ac:dyDescent="0.15">
      <c r="W59" s="70">
        <v>54</v>
      </c>
      <c r="X59" s="113">
        <f>求节点(基础状态预期!$C$17:$C$37,基础状态预期!$O$17:$O$37,$W59)*P$66*INDEX($P$57:$T$57,MATCH($O$66,$P$4:$T$4,0))*求节点(基础状态预期!$C$17:$C$37,基础状态预期!$Y$17:$Y$37,$W59)+
求节点(基础状态预期!$C$17:$C$37,基础状态预期!$P$17:$P$37,$W59)*P$67*INDEX($P$57:$T$57,MATCH($O$67,$P$4:$T$4,0))*求节点(基础状态预期!$C$17:$C$37,基础状态预期!$Z$17:$Z$37,$W59)+
求节点(基础状态预期!$C$17:$C$37,基础状态预期!$Q$17:$Q$37,$W59)*P$68*INDEX($P$57:$T$57,MATCH($O$68,$P$4:$T$4,0))*求节点(基础状态预期!$C$17:$C$37,基础状态预期!$AA$17:$AA$37,$W59)+
求节点(基础状态预期!$C$17:$C$37,基础状态预期!$R$17:$R$37,$W59)*P$69*INDEX($P$57:$T$57,MATCH($O$69,$P$4:$T$4,0))*求节点(基础状态预期!$C$17:$C$37,基础状态预期!$AB$17:$AB$37,$W59)+
求节点(基础状态预期!$C$17:$C$37,基础状态预期!$S$17:$S$37,$W59)*P$70*INDEX($P$57:$T$57,MATCH($O$70,$P$4:$T$4,0))*求节点(基础状态预期!$C$17:$C$37,基础状态预期!$AC$17:$AC$37,$W59)</f>
        <v>68990.213951161568</v>
      </c>
      <c r="Y59" s="113">
        <f>求节点(基础状态预期!$C$43:$C$63,基础状态预期!$O$43:$O$63,$W59)*Q$66*INDEX($P$57:$T$57,MATCH($O$66,$P$4:$T$4,0))*求节点(基础状态预期!$C$43:$C$63,基础状态预期!$Y$43:$Y$63,$W59)+
求节点(基础状态预期!$C$43:$C$63,基础状态预期!$P$43:$P$63,$W59)*Q$67*INDEX($P$57:$T$57,MATCH($O$67,$P$4:$T$4,0))*求节点(基础状态预期!$C$43:$C$63,基础状态预期!$Z$43:$Z$63,$W59)+
求节点(基础状态预期!$C$43:$C$63,基础状态预期!$Q$43:$Q$63,$W59)*Q$68*INDEX($P$57:$T$57,MATCH($O$68,$P$4:$T$4,0))*求节点(基础状态预期!$C$43:$C$63,基础状态预期!$AA$43:$AA$63,$W59)+
求节点(基础状态预期!$C$43:$C$63,基础状态预期!$R$43:$R$63,$W59)*Q$69*INDEX($P$57:$T$57,MATCH($O$69,$P$4:$T$4,0))*求节点(基础状态预期!$C$43:$C$63,基础状态预期!$AB$43:$AB$63,$W59)+
求节点(基础状态预期!$C$43:$C$63,基础状态预期!$S$43:$S$63,$W59)*Q$70*INDEX($P$57:$T$57,MATCH($O$70,$P$4:$T$4,0))*求节点(基础状态预期!$C$43:$C$63,基础状态预期!$AC$43:$AC$63,$W59)</f>
        <v>152784.90750213602</v>
      </c>
      <c r="Z59" s="113">
        <f>求节点(基础状态预期!$C$69:$C$89,基础状态预期!$O$69:$O$89,$W59)*R$66*INDEX($P$57:$T$57,MATCH($O$66,$P$4:$T$4,0))*求节点(基础状态预期!$C$69:$C$89,基础状态预期!AA70:AA90,$W59)+
求节点(基础状态预期!$C$69:$C$89,基础状态预期!$P$69:$P$89,$W59)*R$67*INDEX($P$57:$T$57,MATCH($O$67,$P$4:$T$4,0))*求节点(基础状态预期!$C$69:$C$89,基础状态预期!$Z$69:$Z$89,$W59)+
求节点(基础状态预期!$C$69:$C$89,基础状态预期!$Q$69:$Q$89,$W59)*R$68*INDEX($P$57:$T$57,MATCH($O$68,$P$4:$T$4,0))*求节点(基础状态预期!$C$69:$C$89,基础状态预期!$AA$69:$AA$89,$W59)+
求节点(基础状态预期!$C$69:$C$89,基础状态预期!$R$69:$R$89,$W59)*R$69*INDEX($P$57:$T$57,MATCH($O$69,$P$4:$T$4,0))*求节点(基础状态预期!$C$69:$C$89,基础状态预期!$AB$69:$AB$89,$W59)+
求节点(基础状态预期!$C$69:$C$89,基础状态预期!$S$69:$S$89,$W59)*R$70*INDEX($P$57:$T$57,MATCH($O$70,$P$4:$T$4,0))*求节点(基础状态预期!$C$69:$C$89,基础状态预期!$AC$69:$AC$89,$W59)</f>
        <v>179901.41403768479</v>
      </c>
      <c r="AA59" s="113">
        <f>求节点(基础状态预期!$C$95:$C$115,基础状态预期!$O$95:$O$115,$W59)*S$66*INDEX($P$57:$T$57,MATCH($O$66,$P$4:$T$4,0))*求节点(基础状态预期!$C$95:$C$115,基础状态预期!$Y$95:$Y$115,$W59)+
求节点(基础状态预期!$C$95:$C$115,基础状态预期!$P$95:$P$115,$W59)*S$67*INDEX($P$57:$T$57,MATCH($O$67,$P$4:$T$4,0))*求节点(基础状态预期!$C$95:$C$115,基础状态预期!$Z$95:$Z$115,$W59)+
求节点(基础状态预期!$C$95:$C$115,基础状态预期!$Q$95:$Q$115,$W59)*S$68*INDEX($P$57:$T$57,MATCH($O$68,$P$4:$T$4,0))*求节点(基础状态预期!$C$95:$C$115,基础状态预期!$AA$95:$AA$115,$W59)+
求节点(基础状态预期!$C$95:$C$115,基础状态预期!$R$95:$R$115,$W59)*S$69*INDEX($P$57:$T$57,MATCH($O$69,$P$4:$T$4,0))*求节点(基础状态预期!$C$95:$C$115,基础状态预期!$AB$95:$AB$115,$W59)+
求节点(基础状态预期!$C$95:$C$115,基础状态预期!$S$95:$S$115,$W59)*S$70*INDEX($P$57:$T$57,MATCH($O$70,$P$4:$T$4,0))*求节点(基础状态预期!$C$95:$C$115,基础状态预期!$AC$95:$AC$115,$W59)</f>
        <v>375774.94885400537</v>
      </c>
      <c r="AB59" s="113">
        <f>求节点(基础状态预期!$C$121:$C$141,基础状态预期!$O$121:$O$141,$W59)*T$66*INDEX($P$57:$T$57,MATCH($O$66,$P$4:$T$4,0))*求节点(基础状态预期!$C$121:$C$141,基础状态预期!$Y$121:$Y$141,$W59)+
求节点(基础状态预期!$C$121:$C$141,基础状态预期!$P$121:$P$141,$W59)*T$67*INDEX($P$57:$T$57,MATCH($O$67,$P$4:$T$4,0))*求节点(基础状态预期!$C$121:$C$141,基础状态预期!$Z$121:$Z$141,$W59)+
求节点(基础状态预期!$C$121:$C$141,基础状态预期!$Q$121:$Q$141,$W59)*T$68*INDEX($P$57:$T$57,MATCH($O$68,$P$4:$T$4,0))*求节点(基础状态预期!$C$121:$C$141,基础状态预期!$AA$121:$AA$141,$W59)+
求节点(基础状态预期!$C$121:$C$141,基础状态预期!$R$121:$R$141,$W59)*T$69*INDEX($P$57:$T$57,MATCH($O$69,$P$4:$T$4,0))*求节点(基础状态预期!$C$121:$C$141,基础状态预期!$AB$121:$AB$141,$W59)+
求节点(基础状态预期!$C$121:$C$141,基础状态预期!$S$121:$S$141,$W59)*T$70*INDEX($P$57:$T$57,MATCH($O$70,$P$4:$T$4,0))*求节点(基础状态预期!$C$121:$C$141,基础状态预期!$AC$121:$AC$141,$W59)</f>
        <v>977945.11634746427</v>
      </c>
      <c r="AE59" s="70">
        <v>54</v>
      </c>
      <c r="AF59" s="113">
        <f>盗宝贼!AI58</f>
        <v>779.88663603075395</v>
      </c>
      <c r="AG59" s="113">
        <f>盗宝贼!AJ58</f>
        <v>990.81481116686712</v>
      </c>
      <c r="AH59" s="113">
        <f>盗宝贼!AK58</f>
        <v>1104.3842705288573</v>
      </c>
      <c r="AI59" s="113">
        <f>盗宝贼!AL58</f>
        <v>917.81930241248108</v>
      </c>
      <c r="AJ59" s="113">
        <f>盗宝贼!AM58</f>
        <v>508.82747529535925</v>
      </c>
      <c r="AL59" s="78">
        <f>盗宝贼!AI58/AF59</f>
        <v>1</v>
      </c>
      <c r="AM59" s="118"/>
      <c r="AO59" s="123">
        <f t="shared" si="2"/>
        <v>1.1304308123799104E-2</v>
      </c>
      <c r="AP59" s="123">
        <f t="shared" si="3"/>
        <v>6.4850306706702356E-3</v>
      </c>
      <c r="AQ59" s="123">
        <f t="shared" si="4"/>
        <v>6.1388304057327578E-3</v>
      </c>
      <c r="AR59" s="123">
        <f t="shared" si="5"/>
        <v>2.4424707001132976E-3</v>
      </c>
      <c r="AS59" s="123">
        <f t="shared" si="6"/>
        <v>5.2030269060065809E-4</v>
      </c>
    </row>
    <row r="60" spans="15:45" x14ac:dyDescent="0.15">
      <c r="W60" s="70">
        <v>55</v>
      </c>
      <c r="X60" s="113">
        <f>求节点(基础状态预期!$C$17:$C$37,基础状态预期!$O$17:$O$37,$W60)*P$66*INDEX($P$57:$T$57,MATCH($O$66,$P$4:$T$4,0))*求节点(基础状态预期!$C$17:$C$37,基础状态预期!$Y$17:$Y$37,$W60)+
求节点(基础状态预期!$C$17:$C$37,基础状态预期!$P$17:$P$37,$W60)*P$67*INDEX($P$57:$T$57,MATCH($O$67,$P$4:$T$4,0))*求节点(基础状态预期!$C$17:$C$37,基础状态预期!$Z$17:$Z$37,$W60)+
求节点(基础状态预期!$C$17:$C$37,基础状态预期!$Q$17:$Q$37,$W60)*P$68*INDEX($P$57:$T$57,MATCH($O$68,$P$4:$T$4,0))*求节点(基础状态预期!$C$17:$C$37,基础状态预期!$AA$17:$AA$37,$W60)+
求节点(基础状态预期!$C$17:$C$37,基础状态预期!$R$17:$R$37,$W60)*P$69*INDEX($P$57:$T$57,MATCH($O$69,$P$4:$T$4,0))*求节点(基础状态预期!$C$17:$C$37,基础状态预期!$AB$17:$AB$37,$W60)+
求节点(基础状态预期!$C$17:$C$37,基础状态预期!$S$17:$S$37,$W60)*P$70*INDEX($P$57:$T$57,MATCH($O$70,$P$4:$T$4,0))*求节点(基础状态预期!$C$17:$C$37,基础状态预期!$AC$17:$AC$37,$W60)</f>
        <v>78916.497586703626</v>
      </c>
      <c r="Y60" s="113">
        <f>求节点(基础状态预期!$C$43:$C$63,基础状态预期!$O$43:$O$63,$W60)*Q$66*INDEX($P$57:$T$57,MATCH($O$66,$P$4:$T$4,0))*求节点(基础状态预期!$C$43:$C$63,基础状态预期!$Y$43:$Y$63,$W60)+
求节点(基础状态预期!$C$43:$C$63,基础状态预期!$P$43:$P$63,$W60)*Q$67*INDEX($P$57:$T$57,MATCH($O$67,$P$4:$T$4,0))*求节点(基础状态预期!$C$43:$C$63,基础状态预期!$Z$43:$Z$63,$W60)+
求节点(基础状态预期!$C$43:$C$63,基础状态预期!$Q$43:$Q$63,$W60)*Q$68*INDEX($P$57:$T$57,MATCH($O$68,$P$4:$T$4,0))*求节点(基础状态预期!$C$43:$C$63,基础状态预期!$AA$43:$AA$63,$W60)+
求节点(基础状态预期!$C$43:$C$63,基础状态预期!$R$43:$R$63,$W60)*Q$69*INDEX($P$57:$T$57,MATCH($O$69,$P$4:$T$4,0))*求节点(基础状态预期!$C$43:$C$63,基础状态预期!$AB$43:$AB$63,$W60)+
求节点(基础状态预期!$C$43:$C$63,基础状态预期!$S$43:$S$63,$W60)*Q$70*INDEX($P$57:$T$57,MATCH($O$70,$P$4:$T$4,0))*求节点(基础状态预期!$C$43:$C$63,基础状态预期!$AC$43:$AC$63,$W60)</f>
        <v>178704.5951302819</v>
      </c>
      <c r="Z60" s="113">
        <f>求节点(基础状态预期!$C$69:$C$89,基础状态预期!$O$69:$O$89,$W60)*R$66*INDEX($P$57:$T$57,MATCH($O$66,$P$4:$T$4,0))*求节点(基础状态预期!$C$69:$C$89,基础状态预期!AA71:AA91,$W60)+
求节点(基础状态预期!$C$69:$C$89,基础状态预期!$P$69:$P$89,$W60)*R$67*INDEX($P$57:$T$57,MATCH($O$67,$P$4:$T$4,0))*求节点(基础状态预期!$C$69:$C$89,基础状态预期!$Z$69:$Z$89,$W60)+
求节点(基础状态预期!$C$69:$C$89,基础状态预期!$Q$69:$Q$89,$W60)*R$68*INDEX($P$57:$T$57,MATCH($O$68,$P$4:$T$4,0))*求节点(基础状态预期!$C$69:$C$89,基础状态预期!$AA$69:$AA$89,$W60)+
求节点(基础状态预期!$C$69:$C$89,基础状态预期!$R$69:$R$89,$W60)*R$69*INDEX($P$57:$T$57,MATCH($O$69,$P$4:$T$4,0))*求节点(基础状态预期!$C$69:$C$89,基础状态预期!$AB$69:$AB$89,$W60)+
求节点(基础状态预期!$C$69:$C$89,基础状态预期!$S$69:$S$89,$W60)*R$70*INDEX($P$57:$T$57,MATCH($O$70,$P$4:$T$4,0))*求节点(基础状态预期!$C$69:$C$89,基础状态预期!$AC$69:$AC$89,$W60)</f>
        <v>204596.81082697349</v>
      </c>
      <c r="AA60" s="113">
        <f>求节点(基础状态预期!$C$95:$C$115,基础状态预期!$O$95:$O$115,$W60)*S$66*INDEX($P$57:$T$57,MATCH($O$66,$P$4:$T$4,0))*求节点(基础状态预期!$C$95:$C$115,基础状态预期!$Y$95:$Y$115,$W60)+
求节点(基础状态预期!$C$95:$C$115,基础状态预期!$P$95:$P$115,$W60)*S$67*INDEX($P$57:$T$57,MATCH($O$67,$P$4:$T$4,0))*求节点(基础状态预期!$C$95:$C$115,基础状态预期!$Z$95:$Z$115,$W60)+
求节点(基础状态预期!$C$95:$C$115,基础状态预期!$Q$95:$Q$115,$W60)*S$68*INDEX($P$57:$T$57,MATCH($O$68,$P$4:$T$4,0))*求节点(基础状态预期!$C$95:$C$115,基础状态预期!$AA$95:$AA$115,$W60)+
求节点(基础状态预期!$C$95:$C$115,基础状态预期!$R$95:$R$115,$W60)*S$69*INDEX($P$57:$T$57,MATCH($O$69,$P$4:$T$4,0))*求节点(基础状态预期!$C$95:$C$115,基础状态预期!$AB$95:$AB$115,$W60)+
求节点(基础状态预期!$C$95:$C$115,基础状态预期!$S$95:$S$115,$W60)*S$70*INDEX($P$57:$T$57,MATCH($O$70,$P$4:$T$4,0))*求节点(基础状态预期!$C$95:$C$115,基础状态预期!$AC$95:$AC$115,$W60)</f>
        <v>405969.39284857351</v>
      </c>
      <c r="AB60" s="113">
        <f>求节点(基础状态预期!$C$121:$C$141,基础状态预期!$O$121:$O$141,$W60)*T$66*INDEX($P$57:$T$57,MATCH($O$66,$P$4:$T$4,0))*求节点(基础状态预期!$C$121:$C$141,基础状态预期!$Y$121:$Y$141,$W60)+
求节点(基础状态预期!$C$121:$C$141,基础状态预期!$P$121:$P$141,$W60)*T$67*INDEX($P$57:$T$57,MATCH($O$67,$P$4:$T$4,0))*求节点(基础状态预期!$C$121:$C$141,基础状态预期!$Z$121:$Z$141,$W60)+
求节点(基础状态预期!$C$121:$C$141,基础状态预期!$Q$121:$Q$141,$W60)*T$68*INDEX($P$57:$T$57,MATCH($O$68,$P$4:$T$4,0))*求节点(基础状态预期!$C$121:$C$141,基础状态预期!$AA$121:$AA$141,$W60)+
求节点(基础状态预期!$C$121:$C$141,基础状态预期!$R$121:$R$141,$W60)*T$69*INDEX($P$57:$T$57,MATCH($O$69,$P$4:$T$4,0))*求节点(基础状态预期!$C$121:$C$141,基础状态预期!$AB$121:$AB$141,$W60)+
求节点(基础状态预期!$C$121:$C$141,基础状态预期!$S$121:$S$141,$W60)*T$70*INDEX($P$57:$T$57,MATCH($O$70,$P$4:$T$4,0))*求节点(基础状态预期!$C$121:$C$141,基础状态预期!$AC$121:$AC$141,$W60)</f>
        <v>1076868.7967295994</v>
      </c>
      <c r="AE60" s="70">
        <v>55</v>
      </c>
      <c r="AF60" s="113">
        <f>盗宝贼!AI59</f>
        <v>877.82128989423052</v>
      </c>
      <c r="AG60" s="113">
        <f>盗宝贼!AJ59</f>
        <v>1112.4924442708934</v>
      </c>
      <c r="AH60" s="113">
        <f>盗宝贼!AK59</f>
        <v>1237.9013165478943</v>
      </c>
      <c r="AI60" s="113">
        <f>盗宝贼!AL59</f>
        <v>1027.8176937532014</v>
      </c>
      <c r="AJ60" s="113">
        <f>盗宝贼!AM59</f>
        <v>569.09154520754748</v>
      </c>
      <c r="AL60" s="78">
        <f>盗宝贼!AI59/AF60</f>
        <v>1</v>
      </c>
      <c r="AM60" s="118"/>
      <c r="AO60" s="123">
        <f t="shared" si="2"/>
        <v>1.1123419268953107E-2</v>
      </c>
      <c r="AP60" s="123">
        <f t="shared" si="3"/>
        <v>6.2253152665707754E-3</v>
      </c>
      <c r="AQ60" s="123">
        <f t="shared" si="4"/>
        <v>6.0504428761344736E-3</v>
      </c>
      <c r="AR60" s="123">
        <f t="shared" si="5"/>
        <v>2.53176153635941E-3</v>
      </c>
      <c r="AS60" s="123">
        <f t="shared" si="6"/>
        <v>5.2846878555294033E-4</v>
      </c>
    </row>
    <row r="61" spans="15:45" x14ac:dyDescent="0.15">
      <c r="W61" s="70">
        <v>56</v>
      </c>
      <c r="X61" s="113">
        <f>求节点(基础状态预期!$C$17:$C$37,基础状态预期!$O$17:$O$37,$W61)*P$66*INDEX($P$57:$T$57,MATCH($O$66,$P$4:$T$4,0))*求节点(基础状态预期!$C$17:$C$37,基础状态预期!$Y$17:$Y$37,$W61)+
求节点(基础状态预期!$C$17:$C$37,基础状态预期!$P$17:$P$37,$W61)*P$67*INDEX($P$57:$T$57,MATCH($O$67,$P$4:$T$4,0))*求节点(基础状态预期!$C$17:$C$37,基础状态预期!$Z$17:$Z$37,$W61)+
求节点(基础状态预期!$C$17:$C$37,基础状态预期!$Q$17:$Q$37,$W61)*P$68*INDEX($P$57:$T$57,MATCH($O$68,$P$4:$T$4,0))*求节点(基础状态预期!$C$17:$C$37,基础状态预期!$AA$17:$AA$37,$W61)+
求节点(基础状态预期!$C$17:$C$37,基础状态预期!$R$17:$R$37,$W61)*P$69*INDEX($P$57:$T$57,MATCH($O$69,$P$4:$T$4,0))*求节点(基础状态预期!$C$17:$C$37,基础状态预期!$AB$17:$AB$37,$W61)+
求节点(基础状态预期!$C$17:$C$37,基础状态预期!$S$17:$S$37,$W61)*P$70*INDEX($P$57:$T$57,MATCH($O$70,$P$4:$T$4,0))*求节点(基础状态预期!$C$17:$C$37,基础状态预期!$AC$17:$AC$37,$W61)</f>
        <v>89613.547679720563</v>
      </c>
      <c r="Y61" s="113">
        <f>求节点(基础状态预期!$C$43:$C$63,基础状态预期!$O$43:$O$63,$W61)*Q$66*INDEX($P$57:$T$57,MATCH($O$66,$P$4:$T$4,0))*求节点(基础状态预期!$C$43:$C$63,基础状态预期!$Y$43:$Y$63,$W61)+
求节点(基础状态预期!$C$43:$C$63,基础状态预期!$P$43:$P$63,$W61)*Q$67*INDEX($P$57:$T$57,MATCH($O$67,$P$4:$T$4,0))*求节点(基础状态预期!$C$43:$C$63,基础状态预期!$Z$43:$Z$63,$W61)+
求节点(基础状态预期!$C$43:$C$63,基础状态预期!$Q$43:$Q$63,$W61)*Q$68*INDEX($P$57:$T$57,MATCH($O$68,$P$4:$T$4,0))*求节点(基础状态预期!$C$43:$C$63,基础状态预期!$AA$43:$AA$63,$W61)+
求节点(基础状态预期!$C$43:$C$63,基础状态预期!$R$43:$R$63,$W61)*Q$69*INDEX($P$57:$T$57,MATCH($O$69,$P$4:$T$4,0))*求节点(基础状态预期!$C$43:$C$63,基础状态预期!$AB$43:$AB$63,$W61)+
求节点(基础状态预期!$C$43:$C$63,基础状态预期!$S$43:$S$63,$W61)*Q$70*INDEX($P$57:$T$57,MATCH($O$70,$P$4:$T$4,0))*求节点(基础状态预期!$C$43:$C$63,基础状态预期!$AC$43:$AC$63,$W61)</f>
        <v>206165.81567337754</v>
      </c>
      <c r="Z61" s="113">
        <f>求节点(基础状态预期!$C$69:$C$89,基础状态预期!$O$69:$O$89,$W61)*R$66*INDEX($P$57:$T$57,MATCH($O$66,$P$4:$T$4,0))*求节点(基础状态预期!$C$69:$C$89,基础状态预期!AA72:AA92,$W61)+
求节点(基础状态预期!$C$69:$C$89,基础状态预期!$P$69:$P$89,$W61)*R$67*INDEX($P$57:$T$57,MATCH($O$67,$P$4:$T$4,0))*求节点(基础状态预期!$C$69:$C$89,基础状态预期!$Z$69:$Z$89,$W61)+
求节点(基础状态预期!$C$69:$C$89,基础状态预期!$Q$69:$Q$89,$W61)*R$68*INDEX($P$57:$T$57,MATCH($O$68,$P$4:$T$4,0))*求节点(基础状态预期!$C$69:$C$89,基础状态预期!$AA$69:$AA$89,$W61)+
求节点(基础状态预期!$C$69:$C$89,基础状态预期!$R$69:$R$89,$W61)*R$69*INDEX($P$57:$T$57,MATCH($O$69,$P$4:$T$4,0))*求节点(基础状态预期!$C$69:$C$89,基础状态预期!$AB$69:$AB$89,$W61)+
求节点(基础状态预期!$C$69:$C$89,基础状态预期!$S$69:$S$89,$W61)*R$70*INDEX($P$57:$T$57,MATCH($O$70,$P$4:$T$4,0))*求节点(基础状态预期!$C$69:$C$89,基础状态预期!$AC$69:$AC$89,$W61)</f>
        <v>231062.79256418254</v>
      </c>
      <c r="AA61" s="113">
        <f>求节点(基础状态预期!$C$95:$C$115,基础状态预期!$O$95:$O$115,$W61)*S$66*INDEX($P$57:$T$57,MATCH($O$66,$P$4:$T$4,0))*求节点(基础状态预期!$C$95:$C$115,基础状态预期!$Y$95:$Y$115,$W61)+
求节点(基础状态预期!$C$95:$C$115,基础状态预期!$P$95:$P$115,$W61)*S$67*INDEX($P$57:$T$57,MATCH($O$67,$P$4:$T$4,0))*求节点(基础状态预期!$C$95:$C$115,基础状态预期!$Z$95:$Z$115,$W61)+
求节点(基础状态预期!$C$95:$C$115,基础状态预期!$Q$95:$Q$115,$W61)*S$68*INDEX($P$57:$T$57,MATCH($O$68,$P$4:$T$4,0))*求节点(基础状态预期!$C$95:$C$115,基础状态预期!$AA$95:$AA$115,$W61)+
求节点(基础状态预期!$C$95:$C$115,基础状态预期!$R$95:$R$115,$W61)*S$69*INDEX($P$57:$T$57,MATCH($O$69,$P$4:$T$4,0))*求节点(基础状态预期!$C$95:$C$115,基础状态预期!$AB$95:$AB$115,$W61)+
求节点(基础状态预期!$C$95:$C$115,基础状态预期!$S$95:$S$115,$W61)*S$70*INDEX($P$57:$T$57,MATCH($O$70,$P$4:$T$4,0))*求节点(基础状态预期!$C$95:$C$115,基础状态预期!$AC$95:$AC$115,$W61)</f>
        <v>438163.47382403247</v>
      </c>
      <c r="AB61" s="113">
        <f>求节点(基础状态预期!$C$121:$C$141,基础状态预期!$O$121:$O$141,$W61)*T$66*INDEX($P$57:$T$57,MATCH($O$66,$P$4:$T$4,0))*求节点(基础状态预期!$C$121:$C$141,基础状态预期!$Y$121:$Y$141,$W61)+
求节点(基础状态预期!$C$121:$C$141,基础状态预期!$P$121:$P$141,$W61)*T$67*INDEX($P$57:$T$57,MATCH($O$67,$P$4:$T$4,0))*求节点(基础状态预期!$C$121:$C$141,基础状态预期!$Z$121:$Z$141,$W61)+
求节点(基础状态预期!$C$121:$C$141,基础状态预期!$Q$121:$Q$141,$W61)*T$68*INDEX($P$57:$T$57,MATCH($O$68,$P$4:$T$4,0))*求节点(基础状态预期!$C$121:$C$141,基础状态预期!$AA$121:$AA$141,$W61)+
求节点(基础状态预期!$C$121:$C$141,基础状态预期!$R$121:$R$141,$W61)*T$69*INDEX($P$57:$T$57,MATCH($O$69,$P$4:$T$4,0))*求节点(基础状态预期!$C$121:$C$141,基础状态预期!$AB$121:$AB$141,$W61)+
求节点(基础状态预期!$C$121:$C$141,基础状态预期!$S$121:$S$141,$W61)*T$70*INDEX($P$57:$T$57,MATCH($O$70,$P$4:$T$4,0))*求节点(基础状态预期!$C$121:$C$141,基础状态预期!$AC$121:$AC$141,$W61)</f>
        <v>1184588.5612000963</v>
      </c>
      <c r="AE61" s="70">
        <v>56</v>
      </c>
      <c r="AF61" s="113">
        <f>盗宝贼!AI60</f>
        <v>988.03324112145879</v>
      </c>
      <c r="AG61" s="113">
        <f>盗宝贼!AJ60</f>
        <v>1248.0367147128386</v>
      </c>
      <c r="AH61" s="113">
        <f>盗宝贼!AK60</f>
        <v>1388.689525859478</v>
      </c>
      <c r="AI61" s="113">
        <f>盗宝贼!AL60</f>
        <v>1151.512611274557</v>
      </c>
      <c r="AJ61" s="113">
        <f>盗宝贼!AM60</f>
        <v>636.94345656524911</v>
      </c>
      <c r="AL61" s="78">
        <f>盗宝贼!AI60/AF61</f>
        <v>1</v>
      </c>
      <c r="AM61" s="118"/>
      <c r="AO61" s="123">
        <f t="shared" si="2"/>
        <v>1.1025489635258012E-2</v>
      </c>
      <c r="AP61" s="123">
        <f t="shared" si="3"/>
        <v>6.0535579607924267E-3</v>
      </c>
      <c r="AQ61" s="123">
        <f t="shared" si="4"/>
        <v>6.0100092725822148E-3</v>
      </c>
      <c r="AR61" s="123">
        <f t="shared" si="5"/>
        <v>2.6280433675240746E-3</v>
      </c>
      <c r="AS61" s="123">
        <f t="shared" si="6"/>
        <v>5.3769171628668044E-4</v>
      </c>
    </row>
    <row r="62" spans="15:45" x14ac:dyDescent="0.15">
      <c r="W62" s="70">
        <v>57</v>
      </c>
      <c r="X62" s="113">
        <f>求节点(基础状态预期!$C$17:$C$37,基础状态预期!$O$17:$O$37,$W62)*P$66*INDEX($P$57:$T$57,MATCH($O$66,$P$4:$T$4,0))*求节点(基础状态预期!$C$17:$C$37,基础状态预期!$Y$17:$Y$37,$W62)+
求节点(基础状态预期!$C$17:$C$37,基础状态预期!$P$17:$P$37,$W62)*P$67*INDEX($P$57:$T$57,MATCH($O$67,$P$4:$T$4,0))*求节点(基础状态预期!$C$17:$C$37,基础状态预期!$Z$17:$Z$37,$W62)+
求节点(基础状态预期!$C$17:$C$37,基础状态预期!$Q$17:$Q$37,$W62)*P$68*INDEX($P$57:$T$57,MATCH($O$68,$P$4:$T$4,0))*求节点(基础状态预期!$C$17:$C$37,基础状态预期!$AA$17:$AA$37,$W62)+
求节点(基础状态预期!$C$17:$C$37,基础状态预期!$R$17:$R$37,$W62)*P$69*INDEX($P$57:$T$57,MATCH($O$69,$P$4:$T$4,0))*求节点(基础状态预期!$C$17:$C$37,基础状态预期!$AB$17:$AB$37,$W62)+
求节点(基础状态预期!$C$17:$C$37,基础状态预期!$S$17:$S$37,$W62)*P$70*INDEX($P$57:$T$57,MATCH($O$70,$P$4:$T$4,0))*求节点(基础状态预期!$C$17:$C$37,基础状态预期!$AC$17:$AC$37,$W62)</f>
        <v>101081.36423021238</v>
      </c>
      <c r="Y62" s="113">
        <f>求节点(基础状态预期!$C$43:$C$63,基础状态预期!$O$43:$O$63,$W62)*Q$66*INDEX($P$57:$T$57,MATCH($O$66,$P$4:$T$4,0))*求节点(基础状态预期!$C$43:$C$63,基础状态预期!$Y$43:$Y$63,$W62)+
求节点(基础状态预期!$C$43:$C$63,基础状态预期!$P$43:$P$63,$W62)*Q$67*INDEX($P$57:$T$57,MATCH($O$67,$P$4:$T$4,0))*求节点(基础状态预期!$C$43:$C$63,基础状态预期!$Z$43:$Z$63,$W62)+
求节点(基础状态预期!$C$43:$C$63,基础状态预期!$Q$43:$Q$63,$W62)*Q$68*INDEX($P$57:$T$57,MATCH($O$68,$P$4:$T$4,0))*求节点(基础状态预期!$C$43:$C$63,基础状态预期!$AA$43:$AA$63,$W62)+
求节点(基础状态预期!$C$43:$C$63,基础状态预期!$R$43:$R$63,$W62)*Q$69*INDEX($P$57:$T$57,MATCH($O$69,$P$4:$T$4,0))*求节点(基础状态预期!$C$43:$C$63,基础状态预期!$AB$43:$AB$63,$W62)+
求节点(基础状态预期!$C$43:$C$63,基础状态预期!$S$43:$S$63,$W62)*Q$70*INDEX($P$57:$T$57,MATCH($O$70,$P$4:$T$4,0))*求节点(基础状态预期!$C$43:$C$63,基础状态预期!$AC$43:$AC$63,$W62)</f>
        <v>235168.5691314229</v>
      </c>
      <c r="Z62" s="113">
        <f>求节点(基础状态预期!$C$69:$C$89,基础状态预期!$O$69:$O$89,$W62)*R$66*INDEX($P$57:$T$57,MATCH($O$66,$P$4:$T$4,0))*求节点(基础状态预期!$C$69:$C$89,基础状态预期!AA73:AA93,$W62)+
求节点(基础状态预期!$C$69:$C$89,基础状态预期!$P$69:$P$89,$W62)*R$67*INDEX($P$57:$T$57,MATCH($O$67,$P$4:$T$4,0))*求节点(基础状态预期!$C$69:$C$89,基础状态预期!$Z$69:$Z$89,$W62)+
求节点(基础状态预期!$C$69:$C$89,基础状态预期!$Q$69:$Q$89,$W62)*R$68*INDEX($P$57:$T$57,MATCH($O$68,$P$4:$T$4,0))*求节点(基础状态预期!$C$69:$C$89,基础状态预期!$AA$69:$AA$89,$W62)+
求节点(基础状态预期!$C$69:$C$89,基础状态预期!$R$69:$R$89,$W62)*R$69*INDEX($P$57:$T$57,MATCH($O$69,$P$4:$T$4,0))*求节点(基础状态预期!$C$69:$C$89,基础状态预期!$AB$69:$AB$89,$W62)+
求节点(基础状态预期!$C$69:$C$89,基础状态预期!$S$69:$S$89,$W62)*R$70*INDEX($P$57:$T$57,MATCH($O$70,$P$4:$T$4,0))*求节点(基础状态预期!$C$69:$C$89,基础状态预期!$AC$69:$AC$89,$W62)</f>
        <v>259299.35924931185</v>
      </c>
      <c r="AA62" s="113">
        <f>求节点(基础状态预期!$C$95:$C$115,基础状态预期!$O$95:$O$115,$W62)*S$66*INDEX($P$57:$T$57,MATCH($O$66,$P$4:$T$4,0))*求节点(基础状态预期!$C$95:$C$115,基础状态预期!$Y$95:$Y$115,$W62)+
求节点(基础状态预期!$C$95:$C$115,基础状态预期!$P$95:$P$115,$W62)*S$67*INDEX($P$57:$T$57,MATCH($O$67,$P$4:$T$4,0))*求节点(基础状态预期!$C$95:$C$115,基础状态预期!$Z$95:$Z$115,$W62)+
求节点(基础状态预期!$C$95:$C$115,基础状态预期!$Q$95:$Q$115,$W62)*S$68*INDEX($P$57:$T$57,MATCH($O$68,$P$4:$T$4,0))*求节点(基础状态预期!$C$95:$C$115,基础状态预期!$AA$95:$AA$115,$W62)+
求节点(基础状态预期!$C$95:$C$115,基础状态预期!$R$95:$R$115,$W62)*S$69*INDEX($P$57:$T$57,MATCH($O$69,$P$4:$T$4,0))*求节点(基础状态预期!$C$95:$C$115,基础状态预期!$AB$95:$AB$115,$W62)+
求节点(基础状态预期!$C$95:$C$115,基础状态预期!$S$95:$S$115,$W62)*S$70*INDEX($P$57:$T$57,MATCH($O$70,$P$4:$T$4,0))*求节点(基础状态预期!$C$95:$C$115,基础状态预期!$AC$95:$AC$115,$W62)</f>
        <v>472357.19178038236</v>
      </c>
      <c r="AB62" s="113">
        <f>求节点(基础状态预期!$C$121:$C$141,基础状态预期!$O$121:$O$141,$W62)*T$66*INDEX($P$57:$T$57,MATCH($O$66,$P$4:$T$4,0))*求节点(基础状态预期!$C$121:$C$141,基础状态预期!$Y$121:$Y$141,$W62)+
求节点(基础状态预期!$C$121:$C$141,基础状态预期!$P$121:$P$141,$W62)*T$67*INDEX($P$57:$T$57,MATCH($O$67,$P$4:$T$4,0))*求节点(基础状态预期!$C$121:$C$141,基础状态预期!$Z$121:$Z$141,$W62)+
求节点(基础状态预期!$C$121:$C$141,基础状态预期!$Q$121:$Q$141,$W62)*T$68*INDEX($P$57:$T$57,MATCH($O$68,$P$4:$T$4,0))*求节点(基础状态预期!$C$121:$C$141,基础状态预期!$AA$121:$AA$141,$W62)+
求节点(基础状态预期!$C$121:$C$141,基础状态预期!$R$121:$R$141,$W62)*T$69*INDEX($P$57:$T$57,MATCH($O$69,$P$4:$T$4,0))*求节点(基础状态预期!$C$121:$C$141,基础状态预期!$AB$121:$AB$141,$W62)+
求节点(基础状态预期!$C$121:$C$141,基础状态预期!$S$121:$S$141,$W62)*T$70*INDEX($P$57:$T$57,MATCH($O$70,$P$4:$T$4,0))*求节点(基础状态预期!$C$121:$C$141,基础状态预期!$AC$121:$AC$141,$W62)</f>
        <v>1301104.4097589545</v>
      </c>
      <c r="AE62" s="70">
        <v>57</v>
      </c>
      <c r="AF62" s="113">
        <f>盗宝贼!AI61</f>
        <v>1112.0615979301322</v>
      </c>
      <c r="AG62" s="113">
        <f>盗宝贼!AJ61</f>
        <v>1405.5326387955372</v>
      </c>
      <c r="AH62" s="113">
        <f>盗宝贼!AK61</f>
        <v>1559.7769061540894</v>
      </c>
      <c r="AI62" s="113">
        <f>盗宝贼!AL61</f>
        <v>1291.4525204310783</v>
      </c>
      <c r="AJ62" s="113">
        <f>盗宝贼!AM61</f>
        <v>714.99493709704529</v>
      </c>
      <c r="AL62" s="78">
        <f>盗宝贼!AI61/AF62</f>
        <v>1</v>
      </c>
      <c r="AM62" s="118"/>
      <c r="AO62" s="123">
        <f t="shared" si="2"/>
        <v>1.1001648092099515E-2</v>
      </c>
      <c r="AP62" s="123">
        <f t="shared" si="3"/>
        <v>5.9767027710665773E-3</v>
      </c>
      <c r="AQ62" s="123">
        <f t="shared" si="4"/>
        <v>6.0153519494600483E-3</v>
      </c>
      <c r="AR62" s="123">
        <f t="shared" si="5"/>
        <v>2.7340591884785484E-3</v>
      </c>
      <c r="AS62" s="123">
        <f t="shared" si="6"/>
        <v>5.4952925509606633E-4</v>
      </c>
    </row>
    <row r="63" spans="15:45" x14ac:dyDescent="0.15">
      <c r="O63" s="79" t="s">
        <v>373</v>
      </c>
      <c r="W63" s="70">
        <v>58</v>
      </c>
      <c r="X63" s="113">
        <f>求节点(基础状态预期!$C$17:$C$37,基础状态预期!$O$17:$O$37,$W63)*P$66*INDEX($P$57:$T$57,MATCH($O$66,$P$4:$T$4,0))*求节点(基础状态预期!$C$17:$C$37,基础状态预期!$Y$17:$Y$37,$W63)+
求节点(基础状态预期!$C$17:$C$37,基础状态预期!$P$17:$P$37,$W63)*P$67*INDEX($P$57:$T$57,MATCH($O$67,$P$4:$T$4,0))*求节点(基础状态预期!$C$17:$C$37,基础状态预期!$Z$17:$Z$37,$W63)+
求节点(基础状态预期!$C$17:$C$37,基础状态预期!$Q$17:$Q$37,$W63)*P$68*INDEX($P$57:$T$57,MATCH($O$68,$P$4:$T$4,0))*求节点(基础状态预期!$C$17:$C$37,基础状态预期!$AA$17:$AA$37,$W63)+
求节点(基础状态预期!$C$17:$C$37,基础状态预期!$R$17:$R$37,$W63)*P$69*INDEX($P$57:$T$57,MATCH($O$69,$P$4:$T$4,0))*求节点(基础状态预期!$C$17:$C$37,基础状态预期!$AB$17:$AB$37,$W63)+
求节点(基础状态预期!$C$17:$C$37,基础状态预期!$S$17:$S$37,$W63)*P$70*INDEX($P$57:$T$57,MATCH($O$70,$P$4:$T$4,0))*求节点(基础状态预期!$C$17:$C$37,基础状态预期!$AC$17:$AC$37,$W63)</f>
        <v>113319.94723817908</v>
      </c>
      <c r="Y63" s="113">
        <f>求节点(基础状态预期!$C$43:$C$63,基础状态预期!$O$43:$O$63,$W63)*Q$66*INDEX($P$57:$T$57,MATCH($O$66,$P$4:$T$4,0))*求节点(基础状态预期!$C$43:$C$63,基础状态预期!$Y$43:$Y$63,$W63)+
求节点(基础状态预期!$C$43:$C$63,基础状态预期!$P$43:$P$63,$W63)*Q$67*INDEX($P$57:$T$57,MATCH($O$67,$P$4:$T$4,0))*求节点(基础状态预期!$C$43:$C$63,基础状态预期!$Z$43:$Z$63,$W63)+
求节点(基础状态预期!$C$43:$C$63,基础状态预期!$Q$43:$Q$63,$W63)*Q$68*INDEX($P$57:$T$57,MATCH($O$68,$P$4:$T$4,0))*求节点(基础状态预期!$C$43:$C$63,基础状态预期!$AA$43:$AA$63,$W63)+
求节点(基础状态预期!$C$43:$C$63,基础状态预期!$R$43:$R$63,$W63)*Q$69*INDEX($P$57:$T$57,MATCH($O$69,$P$4:$T$4,0))*求节点(基础状态预期!$C$43:$C$63,基础状态预期!$AB$43:$AB$63,$W63)+
求节点(基础状态预期!$C$43:$C$63,基础状态预期!$S$43:$S$63,$W63)*Q$70*INDEX($P$57:$T$57,MATCH($O$70,$P$4:$T$4,0))*求节点(基础状态预期!$C$43:$C$63,基础状态预期!$AC$43:$AC$63,$W63)</f>
        <v>265712.85550441802</v>
      </c>
      <c r="Z63" s="113">
        <f>求节点(基础状态预期!$C$69:$C$89,基础状态预期!$O$69:$O$89,$W63)*R$66*INDEX($P$57:$T$57,MATCH($O$66,$P$4:$T$4,0))*求节点(基础状态预期!$C$69:$C$89,基础状态预期!AA74:AA94,$W63)+
求节点(基础状态预期!$C$69:$C$89,基础状态预期!$P$69:$P$89,$W63)*R$67*INDEX($P$57:$T$57,MATCH($O$67,$P$4:$T$4,0))*求节点(基础状态预期!$C$69:$C$89,基础状态预期!$Z$69:$Z$89,$W63)+
求节点(基础状态预期!$C$69:$C$89,基础状态预期!$Q$69:$Q$89,$W63)*R$68*INDEX($P$57:$T$57,MATCH($O$68,$P$4:$T$4,0))*求节点(基础状态预期!$C$69:$C$89,基础状态预期!$AA$69:$AA$89,$W63)+
求节点(基础状态预期!$C$69:$C$89,基础状态预期!$R$69:$R$89,$W63)*R$69*INDEX($P$57:$T$57,MATCH($O$69,$P$4:$T$4,0))*求节点(基础状态预期!$C$69:$C$89,基础状态预期!$AB$69:$AB$89,$W63)+
求节点(基础状态预期!$C$69:$C$89,基础状态预期!$S$69:$S$89,$W63)*R$70*INDEX($P$57:$T$57,MATCH($O$70,$P$4:$T$4,0))*求节点(基础状态预期!$C$69:$C$89,基础状态预期!$AC$69:$AC$89,$W63)</f>
        <v>289306.51088236156</v>
      </c>
      <c r="AA63" s="113">
        <f>求节点(基础状态预期!$C$95:$C$115,基础状态预期!$O$95:$O$115,$W63)*S$66*INDEX($P$57:$T$57,MATCH($O$66,$P$4:$T$4,0))*求节点(基础状态预期!$C$95:$C$115,基础状态预期!$Y$95:$Y$115,$W63)+
求节点(基础状态预期!$C$95:$C$115,基础状态预期!$P$95:$P$115,$W63)*S$67*INDEX($P$57:$T$57,MATCH($O$67,$P$4:$T$4,0))*求节点(基础状态预期!$C$95:$C$115,基础状态预期!$Z$95:$Z$115,$W63)+
求节点(基础状态预期!$C$95:$C$115,基础状态预期!$Q$95:$Q$115,$W63)*S$68*INDEX($P$57:$T$57,MATCH($O$68,$P$4:$T$4,0))*求节点(基础状态预期!$C$95:$C$115,基础状态预期!$AA$95:$AA$115,$W63)+
求节点(基础状态预期!$C$95:$C$115,基础状态预期!$R$95:$R$115,$W63)*S$69*INDEX($P$57:$T$57,MATCH($O$69,$P$4:$T$4,0))*求节点(基础状态预期!$C$95:$C$115,基础状态预期!$AB$95:$AB$115,$W63)+
求节点(基础状态预期!$C$95:$C$115,基础状态预期!$S$95:$S$115,$W63)*S$70*INDEX($P$57:$T$57,MATCH($O$70,$P$4:$T$4,0))*求节点(基础状态预期!$C$95:$C$115,基础状态预期!$AC$95:$AC$115,$W63)</f>
        <v>508550.54671762302</v>
      </c>
      <c r="AB63" s="113">
        <f>求节点(基础状态预期!$C$121:$C$141,基础状态预期!$O$121:$O$141,$W63)*T$66*INDEX($P$57:$T$57,MATCH($O$66,$P$4:$T$4,0))*求节点(基础状态预期!$C$121:$C$141,基础状态预期!$Y$121:$Y$141,$W63)+
求节点(基础状态预期!$C$121:$C$141,基础状态预期!$P$121:$P$141,$W63)*T$67*INDEX($P$57:$T$57,MATCH($O$67,$P$4:$T$4,0))*求节点(基础状态预期!$C$121:$C$141,基础状态预期!$Z$121:$Z$141,$W63)+
求节点(基础状态预期!$C$121:$C$141,基础状态预期!$Q$121:$Q$141,$W63)*T$68*INDEX($P$57:$T$57,MATCH($O$68,$P$4:$T$4,0))*求节点(基础状态预期!$C$121:$C$141,基础状态预期!$AA$121:$AA$141,$W63)+
求节点(基础状态预期!$C$121:$C$141,基础状态预期!$R$121:$R$141,$W63)*T$69*INDEX($P$57:$T$57,MATCH($O$69,$P$4:$T$4,0))*求节点(基础状态预期!$C$121:$C$141,基础状态预期!$AB$121:$AB$141,$W63)+
求节点(基础状态预期!$C$121:$C$141,基础状态预期!$S$121:$S$141,$W63)*T$70*INDEX($P$57:$T$57,MATCH($O$70,$P$4:$T$4,0))*求节点(基础状态预期!$C$121:$C$141,基础状态预期!$AC$121:$AC$141,$W63)</f>
        <v>1426416.3424061744</v>
      </c>
      <c r="AE63" s="70">
        <v>58</v>
      </c>
      <c r="AF63" s="113">
        <f>盗宝贼!AI62</f>
        <v>1251.6384144311248</v>
      </c>
      <c r="AG63" s="113">
        <f>盗宝贼!AJ62</f>
        <v>1577.1495860661323</v>
      </c>
      <c r="AH63" s="113">
        <f>盗宝贼!AK62</f>
        <v>1752.0025917707317</v>
      </c>
      <c r="AI63" s="113">
        <f>盗宝贼!AL62</f>
        <v>1451.2395383864116</v>
      </c>
      <c r="AJ63" s="113">
        <f>盗宝贼!AM62</f>
        <v>802.1498208796055</v>
      </c>
      <c r="AL63" s="78">
        <f>盗宝贼!AI62/AF63</f>
        <v>1</v>
      </c>
      <c r="AM63" s="118"/>
      <c r="AO63" s="123">
        <f t="shared" si="2"/>
        <v>1.1045172936768101E-2</v>
      </c>
      <c r="AP63" s="123">
        <f t="shared" si="3"/>
        <v>5.935541142983611E-3</v>
      </c>
      <c r="AQ63" s="123">
        <f t="shared" si="4"/>
        <v>6.0558699022267588E-3</v>
      </c>
      <c r="AR63" s="123">
        <f t="shared" si="5"/>
        <v>2.8536780616071674E-3</v>
      </c>
      <c r="AS63" s="123">
        <f t="shared" si="6"/>
        <v>5.6235321836434204E-4</v>
      </c>
    </row>
    <row r="64" spans="15:45" x14ac:dyDescent="0.15">
      <c r="O64" s="96"/>
      <c r="W64" s="70">
        <v>59</v>
      </c>
      <c r="X64" s="113">
        <f>求节点(基础状态预期!$C$17:$C$37,基础状态预期!$O$17:$O$37,$W64)*P$66*INDEX($P$57:$T$57,MATCH($O$66,$P$4:$T$4,0))*求节点(基础状态预期!$C$17:$C$37,基础状态预期!$Y$17:$Y$37,$W64)+
求节点(基础状态预期!$C$17:$C$37,基础状态预期!$P$17:$P$37,$W64)*P$67*INDEX($P$57:$T$57,MATCH($O$67,$P$4:$T$4,0))*求节点(基础状态预期!$C$17:$C$37,基础状态预期!$Z$17:$Z$37,$W64)+
求节点(基础状态预期!$C$17:$C$37,基础状态预期!$Q$17:$Q$37,$W64)*P$68*INDEX($P$57:$T$57,MATCH($O$68,$P$4:$T$4,0))*求节点(基础状态预期!$C$17:$C$37,基础状态预期!$AA$17:$AA$37,$W64)+
求节点(基础状态预期!$C$17:$C$37,基础状态预期!$R$17:$R$37,$W64)*P$69*INDEX($P$57:$T$57,MATCH($O$69,$P$4:$T$4,0))*求节点(基础状态预期!$C$17:$C$37,基础状态预期!$AB$17:$AB$37,$W64)+
求节点(基础状态预期!$C$17:$C$37,基础状态预期!$S$17:$S$37,$W64)*P$70*INDEX($P$57:$T$57,MATCH($O$70,$P$4:$T$4,0))*求节点(基础状态预期!$C$17:$C$37,基础状态预期!$AC$17:$AC$37,$W64)</f>
        <v>126329.29670362064</v>
      </c>
      <c r="Y64" s="113">
        <f>求节点(基础状态预期!$C$43:$C$63,基础状态预期!$O$43:$O$63,$W64)*Q$66*INDEX($P$57:$T$57,MATCH($O$66,$P$4:$T$4,0))*求节点(基础状态预期!$C$43:$C$63,基础状态预期!$Y$43:$Y$63,$W64)+
求节点(基础状态预期!$C$43:$C$63,基础状态预期!$P$43:$P$63,$W64)*Q$67*INDEX($P$57:$T$57,MATCH($O$67,$P$4:$T$4,0))*求节点(基础状态预期!$C$43:$C$63,基础状态预期!$Z$43:$Z$63,$W64)+
求节点(基础状态预期!$C$43:$C$63,基础状态预期!$Q$43:$Q$63,$W64)*Q$68*INDEX($P$57:$T$57,MATCH($O$68,$P$4:$T$4,0))*求节点(基础状态预期!$C$43:$C$63,基础状态预期!$AA$43:$AA$63,$W64)+
求节点(基础状态预期!$C$43:$C$63,基础状态预期!$R$43:$R$63,$W64)*Q$69*INDEX($P$57:$T$57,MATCH($O$69,$P$4:$T$4,0))*求节点(基础状态预期!$C$43:$C$63,基础状态预期!$AB$43:$AB$63,$W64)+
求节点(基础状态预期!$C$43:$C$63,基础状态预期!$S$43:$S$63,$W64)*Q$70*INDEX($P$57:$T$57,MATCH($O$70,$P$4:$T$4,0))*求节点(基础状态预期!$C$43:$C$63,基础状态预期!$AC$43:$AC$63,$W64)</f>
        <v>297798.6747923629</v>
      </c>
      <c r="Z64" s="113">
        <f>求节点(基础状态预期!$C$69:$C$89,基础状态预期!$O$69:$O$89,$W64)*R$66*INDEX($P$57:$T$57,MATCH($O$66,$P$4:$T$4,0))*求节点(基础状态预期!$C$69:$C$89,基础状态预期!AA75:AA95,$W64)+
求节点(基础状态预期!$C$69:$C$89,基础状态预期!$P$69:$P$89,$W64)*R$67*INDEX($P$57:$T$57,MATCH($O$67,$P$4:$T$4,0))*求节点(基础状态预期!$C$69:$C$89,基础状态预期!$Z$69:$Z$89,$W64)+
求节点(基础状态预期!$C$69:$C$89,基础状态预期!$Q$69:$Q$89,$W64)*R$68*INDEX($P$57:$T$57,MATCH($O$68,$P$4:$T$4,0))*求节点(基础状态预期!$C$69:$C$89,基础状态预期!$AA$69:$AA$89,$W64)+
求节点(基础状态预期!$C$69:$C$89,基础状态预期!$R$69:$R$89,$W64)*R$69*INDEX($P$57:$T$57,MATCH($O$69,$P$4:$T$4,0))*求节点(基础状态预期!$C$69:$C$89,基础状态预期!$AB$69:$AB$89,$W64)+
求节点(基础状态预期!$C$69:$C$89,基础状态预期!$S$69:$S$89,$W64)*R$70*INDEX($P$57:$T$57,MATCH($O$70,$P$4:$T$4,0))*求节点(基础状态预期!$C$69:$C$89,基础状态预期!$AC$69:$AC$89,$W64)</f>
        <v>321084.24746333138</v>
      </c>
      <c r="AA64" s="113">
        <f>求节点(基础状态预期!$C$95:$C$115,基础状态预期!$O$95:$O$115,$W64)*S$66*INDEX($P$57:$T$57,MATCH($O$66,$P$4:$T$4,0))*求节点(基础状态预期!$C$95:$C$115,基础状态预期!$Y$95:$Y$115,$W64)+
求节点(基础状态预期!$C$95:$C$115,基础状态预期!$P$95:$P$115,$W64)*S$67*INDEX($P$57:$T$57,MATCH($O$67,$P$4:$T$4,0))*求节点(基础状态预期!$C$95:$C$115,基础状态预期!$Z$95:$Z$115,$W64)+
求节点(基础状态预期!$C$95:$C$115,基础状态预期!$Q$95:$Q$115,$W64)*S$68*INDEX($P$57:$T$57,MATCH($O$68,$P$4:$T$4,0))*求节点(基础状态预期!$C$95:$C$115,基础状态预期!$AA$95:$AA$115,$W64)+
求节点(基础状态预期!$C$95:$C$115,基础状态预期!$R$95:$R$115,$W64)*S$69*INDEX($P$57:$T$57,MATCH($O$69,$P$4:$T$4,0))*求节点(基础状态预期!$C$95:$C$115,基础状态预期!$AB$95:$AB$115,$W64)+
求节点(基础状态预期!$C$95:$C$115,基础状态预期!$S$95:$S$115,$W64)*S$70*INDEX($P$57:$T$57,MATCH($O$70,$P$4:$T$4,0))*求节点(基础状态预期!$C$95:$C$115,基础状态预期!$AC$95:$AC$115,$W64)</f>
        <v>546743.53863575461</v>
      </c>
      <c r="AB64" s="113">
        <f>求节点(基础状态预期!$C$121:$C$141,基础状态预期!$O$121:$O$141,$W64)*T$66*INDEX($P$57:$T$57,MATCH($O$66,$P$4:$T$4,0))*求节点(基础状态预期!$C$121:$C$141,基础状态预期!$Y$121:$Y$141,$W64)+
求节点(基础状态预期!$C$121:$C$141,基础状态预期!$P$121:$P$141,$W64)*T$67*INDEX($P$57:$T$57,MATCH($O$67,$P$4:$T$4,0))*求节点(基础状态预期!$C$121:$C$141,基础状态预期!$Z$121:$Z$141,$W64)+
求节点(基础状态预期!$C$121:$C$141,基础状态预期!$Q$121:$Q$141,$W64)*T$68*INDEX($P$57:$T$57,MATCH($O$68,$P$4:$T$4,0))*求节点(基础状态预期!$C$121:$C$141,基础状态预期!$AA$121:$AA$141,$W64)+
求节点(基础状态预期!$C$121:$C$141,基础状态预期!$R$121:$R$141,$W64)*T$69*INDEX($P$57:$T$57,MATCH($O$69,$P$4:$T$4,0))*求节点(基础状态预期!$C$121:$C$141,基础状态预期!$AB$121:$AB$141,$W64)+
求节点(基础状态预期!$C$121:$C$141,基础状态预期!$S$121:$S$141,$W64)*T$70*INDEX($P$57:$T$57,MATCH($O$70,$P$4:$T$4,0))*求节点(基础状态预期!$C$121:$C$141,基础状态预期!$AC$121:$AC$141,$W64)</f>
        <v>1560524.3591417558</v>
      </c>
      <c r="AE64" s="70">
        <v>59</v>
      </c>
      <c r="AF64" s="113">
        <f>盗宝贼!AI63</f>
        <v>1408.712878737743</v>
      </c>
      <c r="AG64" s="113">
        <f>盗宝贼!AJ63</f>
        <v>1776.2672420407944</v>
      </c>
      <c r="AH64" s="113">
        <f>盗宝贼!AK63</f>
        <v>1970.7155998465128</v>
      </c>
      <c r="AI64" s="113">
        <f>盗宝贼!AL63</f>
        <v>1630.2549758782029</v>
      </c>
      <c r="AJ64" s="113">
        <f>盗宝贼!AM63</f>
        <v>903.04263276212225</v>
      </c>
      <c r="AL64" s="78">
        <f>盗宝贼!AI63/AF64</f>
        <v>1</v>
      </c>
      <c r="AM64" s="118"/>
      <c r="AO64" s="123">
        <f t="shared" si="2"/>
        <v>1.1151117876027634E-2</v>
      </c>
      <c r="AP64" s="123">
        <f t="shared" si="3"/>
        <v>5.9646579800238485E-3</v>
      </c>
      <c r="AQ64" s="123">
        <f t="shared" si="4"/>
        <v>6.137690077964891E-3</v>
      </c>
      <c r="AR64" s="123">
        <f t="shared" si="5"/>
        <v>2.9817544436758184E-3</v>
      </c>
      <c r="AS64" s="123">
        <f t="shared" si="6"/>
        <v>5.7867897253380274E-4</v>
      </c>
    </row>
    <row r="65" spans="15:45" x14ac:dyDescent="0.15">
      <c r="O65" s="66" t="s">
        <v>360</v>
      </c>
      <c r="P65" s="66" t="s">
        <v>361</v>
      </c>
      <c r="Q65" s="66" t="s">
        <v>362</v>
      </c>
      <c r="R65" s="66" t="s">
        <v>363</v>
      </c>
      <c r="S65" s="66" t="s">
        <v>364</v>
      </c>
      <c r="T65" s="66" t="s">
        <v>365</v>
      </c>
      <c r="W65" s="70">
        <v>60</v>
      </c>
      <c r="X65" s="113">
        <f>求节点(基础状态预期!$C$17:$C$37,基础状态预期!$O$17:$O$37,$W65)*P$66*INDEX($P$57:$T$57,MATCH($O$66,$P$4:$T$4,0))*求节点(基础状态预期!$C$17:$C$37,基础状态预期!$Y$17:$Y$37,$W65)+
求节点(基础状态预期!$C$17:$C$37,基础状态预期!$P$17:$P$37,$W65)*P$67*INDEX($P$57:$T$57,MATCH($O$67,$P$4:$T$4,0))*求节点(基础状态预期!$C$17:$C$37,基础状态预期!$Z$17:$Z$37,$W65)+
求节点(基础状态预期!$C$17:$C$37,基础状态预期!$Q$17:$Q$37,$W65)*P$68*INDEX($P$57:$T$57,MATCH($O$68,$P$4:$T$4,0))*求节点(基础状态预期!$C$17:$C$37,基础状态预期!$AA$17:$AA$37,$W65)+
求节点(基础状态预期!$C$17:$C$37,基础状态预期!$R$17:$R$37,$W65)*P$69*INDEX($P$57:$T$57,MATCH($O$69,$P$4:$T$4,0))*求节点(基础状态预期!$C$17:$C$37,基础状态预期!$AB$17:$AB$37,$W65)+
求节点(基础状态预期!$C$17:$C$37,基础状态预期!$S$17:$S$37,$W65)*P$70*INDEX($P$57:$T$57,MATCH($O$70,$P$4:$T$4,0))*求节点(基础状态预期!$C$17:$C$37,基础状态预期!$AC$17:$AC$37,$W65)</f>
        <v>140109.41262653715</v>
      </c>
      <c r="Y65" s="113">
        <f>求节点(基础状态预期!$C$43:$C$63,基础状态预期!$O$43:$O$63,$W65)*Q$66*INDEX($P$57:$T$57,MATCH($O$66,$P$4:$T$4,0))*求节点(基础状态预期!$C$43:$C$63,基础状态预期!$Y$43:$Y$63,$W65)+
求节点(基础状态预期!$C$43:$C$63,基础状态预期!$P$43:$P$63,$W65)*Q$67*INDEX($P$57:$T$57,MATCH($O$67,$P$4:$T$4,0))*求节点(基础状态预期!$C$43:$C$63,基础状态预期!$Z$43:$Z$63,$W65)+
求节点(基础状态预期!$C$43:$C$63,基础状态预期!$Q$43:$Q$63,$W65)*Q$68*INDEX($P$57:$T$57,MATCH($O$68,$P$4:$T$4,0))*求节点(基础状态预期!$C$43:$C$63,基础状态预期!$AA$43:$AA$63,$W65)+
求节点(基础状态预期!$C$43:$C$63,基础状态预期!$R$43:$R$63,$W65)*Q$69*INDEX($P$57:$T$57,MATCH($O$69,$P$4:$T$4,0))*求节点(基础状态预期!$C$43:$C$63,基础状态预期!$AB$43:$AB$63,$W65)+
求节点(基础状态预期!$C$43:$C$63,基础状态预期!$S$43:$S$63,$W65)*Q$70*INDEX($P$57:$T$57,MATCH($O$70,$P$4:$T$4,0))*求节点(基础状态预期!$C$43:$C$63,基础状态预期!$AC$43:$AC$63,$W65)</f>
        <v>331426.02699525759</v>
      </c>
      <c r="Z65" s="113">
        <f>求节点(基础状态预期!$C$69:$C$89,基础状态预期!$O$69:$O$89,$W65)*R$66*INDEX($P$57:$T$57,MATCH($O$66,$P$4:$T$4,0))*求节点(基础状态预期!$C$69:$C$89,基础状态预期!AA76:AA96,$W65)+
求节点(基础状态预期!$C$69:$C$89,基础状态预期!$P$69:$P$89,$W65)*R$67*INDEX($P$57:$T$57,MATCH($O$67,$P$4:$T$4,0))*求节点(基础状态预期!$C$69:$C$89,基础状态预期!$Z$69:$Z$89,$W65)+
求节点(基础状态预期!$C$69:$C$89,基础状态预期!$Q$69:$Q$89,$W65)*R$68*INDEX($P$57:$T$57,MATCH($O$68,$P$4:$T$4,0))*求节点(基础状态预期!$C$69:$C$89,基础状态预期!$AA$69:$AA$89,$W65)+
求节点(基础状态预期!$C$69:$C$89,基础状态预期!$R$69:$R$89,$W65)*R$69*INDEX($P$57:$T$57,MATCH($O$69,$P$4:$T$4,0))*求节点(基础状态预期!$C$69:$C$89,基础状态预期!$AB$69:$AB$89,$W65)+
求节点(基础状态预期!$C$69:$C$89,基础状态预期!$S$69:$S$89,$W65)*R$70*INDEX($P$57:$T$57,MATCH($O$70,$P$4:$T$4,0))*求节点(基础状态预期!$C$69:$C$89,基础状态预期!$AC$69:$AC$89,$W65)</f>
        <v>354632.56899222167</v>
      </c>
      <c r="AA65" s="113">
        <f>求节点(基础状态预期!$C$95:$C$115,基础状态预期!$O$95:$O$115,$W65)*S$66*INDEX($P$57:$T$57,MATCH($O$66,$P$4:$T$4,0))*求节点(基础状态预期!$C$95:$C$115,基础状态预期!$Y$95:$Y$115,$W65)+
求节点(基础状态预期!$C$95:$C$115,基础状态预期!$P$95:$P$115,$W65)*S$67*INDEX($P$57:$T$57,MATCH($O$67,$P$4:$T$4,0))*求节点(基础状态预期!$C$95:$C$115,基础状态预期!$Z$95:$Z$115,$W65)+
求节点(基础状态预期!$C$95:$C$115,基础状态预期!$Q$95:$Q$115,$W65)*S$68*INDEX($P$57:$T$57,MATCH($O$68,$P$4:$T$4,0))*求节点(基础状态预期!$C$95:$C$115,基础状态预期!$AA$95:$AA$115,$W65)+
求节点(基础状态预期!$C$95:$C$115,基础状态预期!$R$95:$R$115,$W65)*S$69*INDEX($P$57:$T$57,MATCH($O$69,$P$4:$T$4,0))*求节点(基础状态预期!$C$95:$C$115,基础状态预期!$AB$95:$AB$115,$W65)+
求节点(基础状态预期!$C$95:$C$115,基础状态预期!$S$95:$S$115,$W65)*S$70*INDEX($P$57:$T$57,MATCH($O$70,$P$4:$T$4,0))*求节点(基础状态预期!$C$95:$C$115,基础状态预期!$AC$95:$AC$115,$W65)</f>
        <v>586936.16753477708</v>
      </c>
      <c r="AB65" s="113">
        <f>求节点(基础状态预期!$C$121:$C$141,基础状态预期!$O$121:$O$141,$W65)*T$66*INDEX($P$57:$T$57,MATCH($O$66,$P$4:$T$4,0))*求节点(基础状态预期!$C$121:$C$141,基础状态预期!$Y$121:$Y$141,$W65)+
求节点(基础状态预期!$C$121:$C$141,基础状态预期!$P$121:$P$141,$W65)*T$67*INDEX($P$57:$T$57,MATCH($O$67,$P$4:$T$4,0))*求节点(基础状态预期!$C$121:$C$141,基础状态预期!$Z$121:$Z$141,$W65)+
求节点(基础状态预期!$C$121:$C$141,基础状态预期!$Q$121:$Q$141,$W65)*T$68*INDEX($P$57:$T$57,MATCH($O$68,$P$4:$T$4,0))*求节点(基础状态预期!$C$121:$C$141,基础状态预期!$AA$121:$AA$141,$W65)+
求节点(基础状态预期!$C$121:$C$141,基础状态预期!$R$121:$R$141,$W65)*T$69*INDEX($P$57:$T$57,MATCH($O$69,$P$4:$T$4,0))*求节点(基础状态预期!$C$121:$C$141,基础状态预期!$AB$121:$AB$141,$W65)+
求节点(基础状态预期!$C$121:$C$141,基础状态预期!$S$121:$S$141,$W65)*T$70*INDEX($P$57:$T$57,MATCH($O$70,$P$4:$T$4,0))*求节点(基础状态预期!$C$121:$C$141,基础状态预期!$AC$121:$AC$141,$W65)</f>
        <v>1703428.4599656991</v>
      </c>
      <c r="AE65" s="70">
        <v>60</v>
      </c>
      <c r="AF65" s="113">
        <f>盗宝贼!AI64</f>
        <v>1585.478533347974</v>
      </c>
      <c r="AG65" s="113">
        <f>盗宝贼!AJ64</f>
        <v>1995.4791492949212</v>
      </c>
      <c r="AH65" s="113">
        <f>盗宝贼!AK64</f>
        <v>2214.6130801637878</v>
      </c>
      <c r="AI65" s="113">
        <f>盗宝贼!AL64</f>
        <v>1833.6772016202367</v>
      </c>
      <c r="AJ65" s="113">
        <f>盗宝贼!AM64</f>
        <v>1020.5757274616958</v>
      </c>
      <c r="AL65" s="78">
        <f>盗宝贼!AI64/AF65</f>
        <v>1</v>
      </c>
      <c r="AM65" s="118"/>
      <c r="AO65" s="123">
        <f t="shared" si="2"/>
        <v>1.1316002998128905E-2</v>
      </c>
      <c r="AP65" s="123">
        <f t="shared" si="3"/>
        <v>6.0208884841849632E-3</v>
      </c>
      <c r="AQ65" s="123">
        <f t="shared" si="4"/>
        <v>6.2448101889151699E-3</v>
      </c>
      <c r="AR65" s="123">
        <f t="shared" si="5"/>
        <v>3.1241509776471356E-3</v>
      </c>
      <c r="AS65" s="123">
        <f t="shared" si="6"/>
        <v>5.9913037233289294E-4</v>
      </c>
    </row>
    <row r="66" spans="15:45" x14ac:dyDescent="0.15">
      <c r="O66" s="66" t="s">
        <v>366</v>
      </c>
      <c r="W66" s="70">
        <v>61</v>
      </c>
      <c r="X66" s="113">
        <f>求节点(基础状态预期!$C$17:$C$37,基础状态预期!$O$17:$O$37,$W66)*P$66*INDEX($P$57:$T$57,MATCH($O$66,$P$4:$T$4,0))*求节点(基础状态预期!$C$17:$C$37,基础状态预期!$Y$17:$Y$37,$W66)+
求节点(基础状态预期!$C$17:$C$37,基础状态预期!$P$17:$P$37,$W66)*P$67*INDEX($P$57:$T$57,MATCH($O$67,$P$4:$T$4,0))*求节点(基础状态预期!$C$17:$C$37,基础状态预期!$Z$17:$Z$37,$W66)+
求节点(基础状态预期!$C$17:$C$37,基础状态预期!$Q$17:$Q$37,$W66)*P$68*INDEX($P$57:$T$57,MATCH($O$68,$P$4:$T$4,0))*求节点(基础状态预期!$C$17:$C$37,基础状态预期!$AA$17:$AA$37,$W66)+
求节点(基础状态预期!$C$17:$C$37,基础状态预期!$R$17:$R$37,$W66)*P$69*INDEX($P$57:$T$57,MATCH($O$69,$P$4:$T$4,0))*求节点(基础状态预期!$C$17:$C$37,基础状态预期!$AB$17:$AB$37,$W66)+
求节点(基础状态预期!$C$17:$C$37,基础状态预期!$S$17:$S$37,$W66)*P$70*INDEX($P$57:$T$57,MATCH($O$70,$P$4:$T$4,0))*求节点(基础状态预期!$C$17:$C$37,基础状态预期!$AC$17:$AC$37,$W66)</f>
        <v>149743.99334497316</v>
      </c>
      <c r="Y66" s="113">
        <f>求节点(基础状态预期!$C$43:$C$63,基础状态预期!$O$43:$O$63,$W66)*Q$66*INDEX($P$57:$T$57,MATCH($O$66,$P$4:$T$4,0))*求节点(基础状态预期!$C$43:$C$63,基础状态预期!$Y$43:$Y$63,$W66)+
求节点(基础状态预期!$C$43:$C$63,基础状态预期!$P$43:$P$63,$W66)*Q$67*INDEX($P$57:$T$57,MATCH($O$67,$P$4:$T$4,0))*求节点(基础状态预期!$C$43:$C$63,基础状态预期!$Z$43:$Z$63,$W66)+
求节点(基础状态预期!$C$43:$C$63,基础状态预期!$Q$43:$Q$63,$W66)*Q$68*INDEX($P$57:$T$57,MATCH($O$68,$P$4:$T$4,0))*求节点(基础状态预期!$C$43:$C$63,基础状态预期!$AA$43:$AA$63,$W66)+
求节点(基础状态预期!$C$43:$C$63,基础状态预期!$R$43:$R$63,$W66)*Q$69*INDEX($P$57:$T$57,MATCH($O$69,$P$4:$T$4,0))*求节点(基础状态预期!$C$43:$C$63,基础状态预期!$AB$43:$AB$63,$W66)+
求节点(基础状态预期!$C$43:$C$63,基础状态预期!$S$43:$S$63,$W66)*Q$70*INDEX($P$57:$T$57,MATCH($O$70,$P$4:$T$4,0))*求节点(基础状态预期!$C$43:$C$63,基础状态预期!$AC$43:$AC$63,$W66)</f>
        <v>341060.60771369364</v>
      </c>
      <c r="Z66" s="113">
        <f>求节点(基础状态预期!$C$69:$C$89,基础状态预期!$O$69:$O$89,$W66)*R$66*INDEX($P$57:$T$57,MATCH($O$66,$P$4:$T$4,0))*求节点(基础状态预期!$C$69:$C$89,基础状态预期!AA77:AA97,$W66)+
求节点(基础状态预期!$C$69:$C$89,基础状态预期!$P$69:$P$89,$W66)*R$67*INDEX($P$57:$T$57,MATCH($O$67,$P$4:$T$4,0))*求节点(基础状态预期!$C$69:$C$89,基础状态预期!$Z$69:$Z$89,$W66)+
求节点(基础状态预期!$C$69:$C$89,基础状态预期!$Q$69:$Q$89,$W66)*R$68*INDEX($P$57:$T$57,MATCH($O$68,$P$4:$T$4,0))*求节点(基础状态预期!$C$69:$C$89,基础状态预期!$AA$69:$AA$89,$W66)+
求节点(基础状态预期!$C$69:$C$89,基础状态预期!$R$69:$R$89,$W66)*R$69*INDEX($P$57:$T$57,MATCH($O$69,$P$4:$T$4,0))*求节点(基础状态预期!$C$69:$C$89,基础状态预期!$AB$69:$AB$89,$W66)+
求节点(基础状态预期!$C$69:$C$89,基础状态预期!$S$69:$S$89,$W66)*R$70*INDEX($P$57:$T$57,MATCH($O$70,$P$4:$T$4,0))*求节点(基础状态预期!$C$69:$C$89,基础状态预期!$AC$69:$AC$89,$W66)</f>
        <v>373774.42463932838</v>
      </c>
      <c r="AA66" s="113">
        <f>求节点(基础状态预期!$C$95:$C$115,基础状态预期!$O$95:$O$115,$W66)*S$66*INDEX($P$57:$T$57,MATCH($O$66,$P$4:$T$4,0))*求节点(基础状态预期!$C$95:$C$115,基础状态预期!$Y$95:$Y$115,$W66)+
求节点(基础状态预期!$C$95:$C$115,基础状态预期!$P$95:$P$115,$W66)*S$67*INDEX($P$57:$T$57,MATCH($O$67,$P$4:$T$4,0))*求节点(基础状态预期!$C$95:$C$115,基础状态预期!$Z$95:$Z$115,$W66)+
求节点(基础状态预期!$C$95:$C$115,基础状态预期!$Q$95:$Q$115,$W66)*S$68*INDEX($P$57:$T$57,MATCH($O$68,$P$4:$T$4,0))*求节点(基础状态预期!$C$95:$C$115,基础状态预期!$AA$95:$AA$115,$W66)+
求节点(基础状态预期!$C$95:$C$115,基础状态预期!$R$95:$R$115,$W66)*S$69*INDEX($P$57:$T$57,MATCH($O$69,$P$4:$T$4,0))*求节点(基础状态预期!$C$95:$C$115,基础状态预期!$AB$95:$AB$115,$W66)+
求节点(基础状态预期!$C$95:$C$115,基础状态预期!$S$95:$S$115,$W66)*S$70*INDEX($P$57:$T$57,MATCH($O$70,$P$4:$T$4,0))*求节点(基础状态预期!$C$95:$C$115,基础状态预期!$AC$95:$AC$115,$W66)</f>
        <v>614869.57026259718</v>
      </c>
      <c r="AB66" s="113">
        <f>求节点(基础状态预期!$C$121:$C$141,基础状态预期!$O$121:$O$141,$W66)*T$66*INDEX($P$57:$T$57,MATCH($O$66,$P$4:$T$4,0))*求节点(基础状态预期!$C$121:$C$141,基础状态预期!$Y$121:$Y$141,$W66)+
求节点(基础状态预期!$C$121:$C$141,基础状态预期!$P$121:$P$141,$W66)*T$67*INDEX($P$57:$T$57,MATCH($O$67,$P$4:$T$4,0))*求节点(基础状态预期!$C$121:$C$141,基础状态预期!$Z$121:$Z$141,$W66)+
求节点(基础状态预期!$C$121:$C$141,基础状态预期!$Q$121:$Q$141,$W66)*T$68*INDEX($P$57:$T$57,MATCH($O$68,$P$4:$T$4,0))*求节点(基础状态预期!$C$121:$C$141,基础状态预期!$AA$121:$AA$141,$W66)+
求节点(基础状态预期!$C$121:$C$141,基础状态预期!$R$121:$R$141,$W66)*T$69*INDEX($P$57:$T$57,MATCH($O$69,$P$4:$T$4,0))*求节点(基础状态预期!$C$121:$C$141,基础状态预期!$AB$121:$AB$141,$W66)+
求节点(基础状态预期!$C$121:$C$141,基础状态预期!$S$121:$S$141,$W66)*T$70*INDEX($P$57:$T$57,MATCH($O$70,$P$4:$T$4,0))*求节点(基础状态预期!$C$121:$C$141,基础状态预期!$AC$121:$AC$141,$W66)</f>
        <v>1738354.6714236808</v>
      </c>
      <c r="AE66" s="70">
        <v>61</v>
      </c>
      <c r="AF66" s="113">
        <f>盗宝贼!AI65</f>
        <v>1784.403907932031</v>
      </c>
      <c r="AG66" s="113">
        <f>盗宝贼!AJ65</f>
        <v>2248.2435153475135</v>
      </c>
      <c r="AH66" s="113">
        <f>盗宝贼!AK65</f>
        <v>2493.9380369041896</v>
      </c>
      <c r="AI66" s="113">
        <f>盗宝贼!AL65</f>
        <v>2068.2736111265967</v>
      </c>
      <c r="AJ66" s="113">
        <f>盗宝贼!AM65</f>
        <v>1149.1365924455608</v>
      </c>
      <c r="AL66" s="78">
        <f>盗宝贼!AI65/AF66</f>
        <v>1</v>
      </c>
      <c r="AM66" s="118"/>
      <c r="AO66" s="123">
        <f t="shared" si="2"/>
        <v>1.1916363842529597E-2</v>
      </c>
      <c r="AP66" s="123">
        <f t="shared" si="3"/>
        <v>6.5919178717784421E-3</v>
      </c>
      <c r="AQ66" s="123">
        <f t="shared" si="4"/>
        <v>6.6723078747581554E-3</v>
      </c>
      <c r="AR66" s="123">
        <f t="shared" si="5"/>
        <v>3.3637599112983961E-3</v>
      </c>
      <c r="AS66" s="123">
        <f t="shared" si="6"/>
        <v>6.6104841050902393E-4</v>
      </c>
    </row>
    <row r="67" spans="15:45" x14ac:dyDescent="0.15">
      <c r="O67" s="66" t="s">
        <v>367</v>
      </c>
      <c r="P67" s="66">
        <v>1</v>
      </c>
      <c r="Q67" s="66">
        <v>1</v>
      </c>
      <c r="R67" s="66">
        <v>1</v>
      </c>
      <c r="S67" s="66">
        <v>1</v>
      </c>
      <c r="T67" s="66">
        <v>1</v>
      </c>
      <c r="W67" s="70">
        <v>62</v>
      </c>
      <c r="X67" s="113">
        <f>求节点(基础状态预期!$C$17:$C$37,基础状态预期!$O$17:$O$37,$W67)*P$66*INDEX($P$57:$T$57,MATCH($O$66,$P$4:$T$4,0))*求节点(基础状态预期!$C$17:$C$37,基础状态预期!$Y$17:$Y$37,$W67)+
求节点(基础状态预期!$C$17:$C$37,基础状态预期!$P$17:$P$37,$W67)*P$67*INDEX($P$57:$T$57,MATCH($O$67,$P$4:$T$4,0))*求节点(基础状态预期!$C$17:$C$37,基础状态预期!$Z$17:$Z$37,$W67)+
求节点(基础状态预期!$C$17:$C$37,基础状态预期!$Q$17:$Q$37,$W67)*P$68*INDEX($P$57:$T$57,MATCH($O$68,$P$4:$T$4,0))*求节点(基础状态预期!$C$17:$C$37,基础状态预期!$AA$17:$AA$37,$W67)+
求节点(基础状态预期!$C$17:$C$37,基础状态预期!$R$17:$R$37,$W67)*P$69*INDEX($P$57:$T$57,MATCH($O$69,$P$4:$T$4,0))*求节点(基础状态预期!$C$17:$C$37,基础状态预期!$AB$17:$AB$37,$W67)+
求节点(基础状态预期!$C$17:$C$37,基础状态预期!$S$17:$S$37,$W67)*P$70*INDEX($P$57:$T$57,MATCH($O$70,$P$4:$T$4,0))*求节点(基础状态预期!$C$17:$C$37,基础状态预期!$AC$17:$AC$37,$W67)</f>
        <v>159378.57406340918</v>
      </c>
      <c r="Y67" s="113">
        <f>求节点(基础状态预期!$C$43:$C$63,基础状态预期!$O$43:$O$63,$W67)*Q$66*INDEX($P$57:$T$57,MATCH($O$66,$P$4:$T$4,0))*求节点(基础状态预期!$C$43:$C$63,基础状态预期!$Y$43:$Y$63,$W67)+
求节点(基础状态预期!$C$43:$C$63,基础状态预期!$P$43:$P$63,$W67)*Q$67*INDEX($P$57:$T$57,MATCH($O$67,$P$4:$T$4,0))*求节点(基础状态预期!$C$43:$C$63,基础状态预期!$Z$43:$Z$63,$W67)+
求节点(基础状态预期!$C$43:$C$63,基础状态预期!$Q$43:$Q$63,$W67)*Q$68*INDEX($P$57:$T$57,MATCH($O$68,$P$4:$T$4,0))*求节点(基础状态预期!$C$43:$C$63,基础状态预期!$AA$43:$AA$63,$W67)+
求节点(基础状态预期!$C$43:$C$63,基础状态预期!$R$43:$R$63,$W67)*Q$69*INDEX($P$57:$T$57,MATCH($O$69,$P$4:$T$4,0))*求节点(基础状态预期!$C$43:$C$63,基础状态预期!$AB$43:$AB$63,$W67)+
求节点(基础状态预期!$C$43:$C$63,基础状态预期!$S$43:$S$63,$W67)*Q$70*INDEX($P$57:$T$57,MATCH($O$70,$P$4:$T$4,0))*求节点(基础状态预期!$C$43:$C$63,基础状态预期!$AC$43:$AC$63,$W67)</f>
        <v>350695.18843212968</v>
      </c>
      <c r="Z67" s="113">
        <f>求节点(基础状态预期!$C$69:$C$89,基础状态预期!$O$69:$O$89,$W67)*R$66*INDEX($P$57:$T$57,MATCH($O$66,$P$4:$T$4,0))*求节点(基础状态预期!$C$69:$C$89,基础状态预期!AA78:AA98,$W67)+
求节点(基础状态预期!$C$69:$C$89,基础状态预期!$P$69:$P$89,$W67)*R$67*INDEX($P$57:$T$57,MATCH($O$67,$P$4:$T$4,0))*求节点(基础状态预期!$C$69:$C$89,基础状态预期!$Z$69:$Z$89,$W67)+
求节点(基础状态预期!$C$69:$C$89,基础状态预期!$Q$69:$Q$89,$W67)*R$68*INDEX($P$57:$T$57,MATCH($O$68,$P$4:$T$4,0))*求节点(基础状态预期!$C$69:$C$89,基础状态预期!$AA$69:$AA$89,$W67)+
求节点(基础状态预期!$C$69:$C$89,基础状态预期!$R$69:$R$89,$W67)*R$69*INDEX($P$57:$T$57,MATCH($O$69,$P$4:$T$4,0))*求节点(基础状态预期!$C$69:$C$89,基础状态预期!$AB$69:$AB$89,$W67)+
求节点(基础状态预期!$C$69:$C$89,基础状态预期!$S$69:$S$89,$W67)*R$70*INDEX($P$57:$T$57,MATCH($O$70,$P$4:$T$4,0))*求节点(基础状态预期!$C$69:$C$89,基础状态预期!$AC$69:$AC$89,$W67)</f>
        <v>394086.29821736796</v>
      </c>
      <c r="AA67" s="113">
        <f>求节点(基础状态预期!$C$95:$C$115,基础状态预期!$O$95:$O$115,$W67)*S$66*INDEX($P$57:$T$57,MATCH($O$66,$P$4:$T$4,0))*求节点(基础状态预期!$C$95:$C$115,基础状态预期!$Y$95:$Y$115,$W67)+
求节点(基础状态预期!$C$95:$C$115,基础状态预期!$P$95:$P$115,$W67)*S$67*INDEX($P$57:$T$57,MATCH($O$67,$P$4:$T$4,0))*求节点(基础状态预期!$C$95:$C$115,基础状态预期!$Z$95:$Z$115,$W67)+
求节点(基础状态预期!$C$95:$C$115,基础状态预期!$Q$95:$Q$115,$W67)*S$68*INDEX($P$57:$T$57,MATCH($O$68,$P$4:$T$4,0))*求节点(基础状态预期!$C$95:$C$115,基础状态预期!$AA$95:$AA$115,$W67)+
求节点(基础状态预期!$C$95:$C$115,基础状态预期!$R$95:$R$115,$W67)*S$69*INDEX($P$57:$T$57,MATCH($O$69,$P$4:$T$4,0))*求节点(基础状态预期!$C$95:$C$115,基础状态预期!$AB$95:$AB$115,$W67)+
求节点(基础状态预期!$C$95:$C$115,基础状态预期!$S$95:$S$115,$W67)*S$70*INDEX($P$57:$T$57,MATCH($O$70,$P$4:$T$4,0))*求节点(基础状态预期!$C$95:$C$115,基础状态预期!$AC$95:$AC$115,$W67)</f>
        <v>646764.6184650975</v>
      </c>
      <c r="AB67" s="113">
        <f>求节点(基础状态预期!$C$121:$C$141,基础状态预期!$O$121:$O$141,$W67)*T$66*INDEX($P$57:$T$57,MATCH($O$66,$P$4:$T$4,0))*求节点(基础状态预期!$C$121:$C$141,基础状态预期!$Y$121:$Y$141,$W67)+
求节点(基础状态预期!$C$121:$C$141,基础状态预期!$P$121:$P$141,$W67)*T$67*INDEX($P$57:$T$57,MATCH($O$67,$P$4:$T$4,0))*求节点(基础状态预期!$C$121:$C$141,基础状态预期!$Z$121:$Z$141,$W67)+
求节点(基础状态预期!$C$121:$C$141,基础状态预期!$Q$121:$Q$141,$W67)*T$68*INDEX($P$57:$T$57,MATCH($O$68,$P$4:$T$4,0))*求节点(基础状态预期!$C$121:$C$141,基础状态预期!$AA$121:$AA$141,$W67)+
求节点(基础状态预期!$C$121:$C$141,基础状态预期!$R$121:$R$141,$W67)*T$69*INDEX($P$57:$T$57,MATCH($O$69,$P$4:$T$4,0))*求节点(基础状态预期!$C$121:$C$141,基础状态预期!$AB$121:$AB$141,$W67)+
求节点(基础状态预期!$C$121:$C$141,基础状态预期!$S$121:$S$141,$W67)*T$70*INDEX($P$57:$T$57,MATCH($O$70,$P$4:$T$4,0))*求节点(基础状态预期!$C$121:$C$141,基础状态预期!$AC$121:$AC$141,$W67)</f>
        <v>1773280.8828816626</v>
      </c>
      <c r="AE67" s="70">
        <v>62</v>
      </c>
      <c r="AF67" s="113">
        <f>盗宝贼!AI66</f>
        <v>2008.2669923115304</v>
      </c>
      <c r="AG67" s="113">
        <f>盗宝贼!AJ66</f>
        <v>2529.4653584754251</v>
      </c>
      <c r="AH67" s="113">
        <f>盗宝贼!AK66</f>
        <v>2811.541340321387</v>
      </c>
      <c r="AI67" s="113">
        <f>盗宝贼!AL66</f>
        <v>2334.6979567741305</v>
      </c>
      <c r="AJ67" s="113">
        <f>盗宝贼!AM66</f>
        <v>1304.0999446641815</v>
      </c>
      <c r="AL67" s="78">
        <f>盗宝贼!AI66/AF67</f>
        <v>1</v>
      </c>
      <c r="AM67" s="118"/>
      <c r="AO67" s="123">
        <f t="shared" si="2"/>
        <v>1.2600608357259718E-2</v>
      </c>
      <c r="AP67" s="123">
        <f t="shared" si="3"/>
        <v>7.2127176018126479E-3</v>
      </c>
      <c r="AQ67" s="123">
        <f t="shared" si="4"/>
        <v>7.1343290874086984E-3</v>
      </c>
      <c r="AR67" s="123">
        <f t="shared" si="5"/>
        <v>3.6098108803707262E-3</v>
      </c>
      <c r="AS67" s="123">
        <f t="shared" si="6"/>
        <v>7.3541645728733031E-4</v>
      </c>
    </row>
    <row r="68" spans="15:45" x14ac:dyDescent="0.15">
      <c r="O68" s="66" t="s">
        <v>368</v>
      </c>
      <c r="P68" s="66">
        <v>1</v>
      </c>
      <c r="Q68" s="66">
        <v>1</v>
      </c>
      <c r="R68" s="66">
        <v>1</v>
      </c>
      <c r="S68" s="66">
        <v>1</v>
      </c>
      <c r="T68" s="66">
        <v>1</v>
      </c>
      <c r="W68" s="70">
        <v>63</v>
      </c>
      <c r="X68" s="113">
        <f>求节点(基础状态预期!$C$17:$C$37,基础状态预期!$O$17:$O$37,$W68)*P$66*INDEX($P$57:$T$57,MATCH($O$66,$P$4:$T$4,0))*求节点(基础状态预期!$C$17:$C$37,基础状态预期!$Y$17:$Y$37,$W68)+
求节点(基础状态预期!$C$17:$C$37,基础状态预期!$P$17:$P$37,$W68)*P$67*INDEX($P$57:$T$57,MATCH($O$67,$P$4:$T$4,0))*求节点(基础状态预期!$C$17:$C$37,基础状态预期!$Z$17:$Z$37,$W68)+
求节点(基础状态预期!$C$17:$C$37,基础状态预期!$Q$17:$Q$37,$W68)*P$68*INDEX($P$57:$T$57,MATCH($O$68,$P$4:$T$4,0))*求节点(基础状态预期!$C$17:$C$37,基础状态预期!$AA$17:$AA$37,$W68)+
求节点(基础状态预期!$C$17:$C$37,基础状态预期!$R$17:$R$37,$W68)*P$69*INDEX($P$57:$T$57,MATCH($O$69,$P$4:$T$4,0))*求节点(基础状态预期!$C$17:$C$37,基础状态预期!$AB$17:$AB$37,$W68)+
求节点(基础状态预期!$C$17:$C$37,基础状态预期!$S$17:$S$37,$W68)*P$70*INDEX($P$57:$T$57,MATCH($O$70,$P$4:$T$4,0))*求节点(基础状态预期!$C$17:$C$37,基础状态预期!$AC$17:$AC$37,$W68)</f>
        <v>169013.15478184522</v>
      </c>
      <c r="Y68" s="113">
        <f>求节点(基础状态预期!$C$43:$C$63,基础状态预期!$O$43:$O$63,$W68)*Q$66*INDEX($P$57:$T$57,MATCH($O$66,$P$4:$T$4,0))*求节点(基础状态预期!$C$43:$C$63,基础状态预期!$Y$43:$Y$63,$W68)+
求节点(基础状态预期!$C$43:$C$63,基础状态预期!$P$43:$P$63,$W68)*Q$67*INDEX($P$57:$T$57,MATCH($O$67,$P$4:$T$4,0))*求节点(基础状态预期!$C$43:$C$63,基础状态预期!$Z$43:$Z$63,$W68)+
求节点(基础状态预期!$C$43:$C$63,基础状态预期!$Q$43:$Q$63,$W68)*Q$68*INDEX($P$57:$T$57,MATCH($O$68,$P$4:$T$4,0))*求节点(基础状态预期!$C$43:$C$63,基础状态预期!$AA$43:$AA$63,$W68)+
求节点(基础状态预期!$C$43:$C$63,基础状态预期!$R$43:$R$63,$W68)*Q$69*INDEX($P$57:$T$57,MATCH($O$69,$P$4:$T$4,0))*求节点(基础状态预期!$C$43:$C$63,基础状态预期!$AB$43:$AB$63,$W68)+
求节点(基础状态预期!$C$43:$C$63,基础状态预期!$S$43:$S$63,$W68)*Q$70*INDEX($P$57:$T$57,MATCH($O$70,$P$4:$T$4,0))*求节点(基础状态预期!$C$43:$C$63,基础状态预期!$AC$43:$AC$63,$W68)</f>
        <v>360329.76915056573</v>
      </c>
      <c r="Z68" s="113">
        <f>求节点(基础状态预期!$C$69:$C$89,基础状态预期!$O$69:$O$89,$W68)*R$66*INDEX($P$57:$T$57,MATCH($O$66,$P$4:$T$4,0))*求节点(基础状态预期!$C$69:$C$89,基础状态预期!AA79:AA99,$W68)+
求节点(基础状态预期!$C$69:$C$89,基础状态预期!$P$69:$P$89,$W68)*R$67*INDEX($P$57:$T$57,MATCH($O$67,$P$4:$T$4,0))*求节点(基础状态预期!$C$69:$C$89,基础状态预期!$Z$69:$Z$89,$W68)+
求节点(基础状态预期!$C$69:$C$89,基础状态预期!$Q$69:$Q$89,$W68)*R$68*INDEX($P$57:$T$57,MATCH($O$68,$P$4:$T$4,0))*求节点(基础状态预期!$C$69:$C$89,基础状态预期!$AA$69:$AA$89,$W68)+
求节点(基础状态预期!$C$69:$C$89,基础状态预期!$R$69:$R$89,$W68)*R$69*INDEX($P$57:$T$57,MATCH($O$69,$P$4:$T$4,0))*求节点(基础状态预期!$C$69:$C$89,基础状态预期!$AB$69:$AB$89,$W68)+
求节点(基础状态预期!$C$69:$C$89,基础状态预期!$S$69:$S$89,$W68)*R$70*INDEX($P$57:$T$57,MATCH($O$70,$P$4:$T$4,0))*求节点(基础状态预期!$C$69:$C$89,基础状态预期!$AC$69:$AC$89,$W68)</f>
        <v>415568.18972634035</v>
      </c>
      <c r="AA68" s="113">
        <f>求节点(基础状态预期!$C$95:$C$115,基础状态预期!$O$95:$O$115,$W68)*S$66*INDEX($P$57:$T$57,MATCH($O$66,$P$4:$T$4,0))*求节点(基础状态预期!$C$95:$C$115,基础状态预期!$Y$95:$Y$115,$W68)+
求节点(基础状态预期!$C$95:$C$115,基础状态预期!$P$95:$P$115,$W68)*S$67*INDEX($P$57:$T$57,MATCH($O$67,$P$4:$T$4,0))*求节点(基础状态预期!$C$95:$C$115,基础状态预期!$Z$95:$Z$115,$W68)+
求节点(基础状态预期!$C$95:$C$115,基础状态预期!$Q$95:$Q$115,$W68)*S$68*INDEX($P$57:$T$57,MATCH($O$68,$P$4:$T$4,0))*求节点(基础状态预期!$C$95:$C$115,基础状态预期!$AA$95:$AA$115,$W68)+
求节点(基础状态预期!$C$95:$C$115,基础状态预期!$R$95:$R$115,$W68)*S$69*INDEX($P$57:$T$57,MATCH($O$69,$P$4:$T$4,0))*求节点(基础状态预期!$C$95:$C$115,基础状态预期!$AB$95:$AB$115,$W68)+
求节点(基础状态预期!$C$95:$C$115,基础状态预期!$S$95:$S$115,$W68)*S$70*INDEX($P$57:$T$57,MATCH($O$70,$P$4:$T$4,0))*求节点(基础状态预期!$C$95:$C$115,基础状态预期!$AC$95:$AC$115,$W68)</f>
        <v>682621.31214227772</v>
      </c>
      <c r="AB68" s="113">
        <f>求节点(基础状态预期!$C$121:$C$141,基础状态预期!$O$121:$O$141,$W68)*T$66*INDEX($P$57:$T$57,MATCH($O$66,$P$4:$T$4,0))*求节点(基础状态预期!$C$121:$C$141,基础状态预期!$Y$121:$Y$141,$W68)+
求节点(基础状态预期!$C$121:$C$141,基础状态预期!$P$121:$P$141,$W68)*T$67*INDEX($P$57:$T$57,MATCH($O$67,$P$4:$T$4,0))*求节点(基础状态预期!$C$121:$C$141,基础状态预期!$Z$121:$Z$141,$W68)+
求节点(基础状态预期!$C$121:$C$141,基础状态预期!$Q$121:$Q$141,$W68)*T$68*INDEX($P$57:$T$57,MATCH($O$68,$P$4:$T$4,0))*求节点(基础状态预期!$C$121:$C$141,基础状态预期!$AA$121:$AA$141,$W68)+
求节点(基础状态预期!$C$121:$C$141,基础状态预期!$R$121:$R$141,$W68)*T$69*INDEX($P$57:$T$57,MATCH($O$69,$P$4:$T$4,0))*求节点(基础状态预期!$C$121:$C$141,基础状态预期!$AB$121:$AB$141,$W68)+
求节点(基础状态预期!$C$121:$C$141,基础状态预期!$S$121:$S$141,$W68)*T$70*INDEX($P$57:$T$57,MATCH($O$70,$P$4:$T$4,0))*求节点(基础状态预期!$C$121:$C$141,基础状态预期!$AC$121:$AC$141,$W68)</f>
        <v>1808207.0943396441</v>
      </c>
      <c r="AE68" s="70">
        <v>63</v>
      </c>
      <c r="AF68" s="113">
        <f>盗宝贼!AI67</f>
        <v>2260.1940310449745</v>
      </c>
      <c r="AG68" s="113">
        <f>盗宝贼!AJ67</f>
        <v>2851.240025634027</v>
      </c>
      <c r="AH68" s="113">
        <f>盗宝贼!AK67</f>
        <v>3167.7431140285616</v>
      </c>
      <c r="AI68" s="113">
        <f>盗宝贼!AL67</f>
        <v>2637.4170488571699</v>
      </c>
      <c r="AJ68" s="113">
        <f>盗宝贼!AM67</f>
        <v>1472.5798498238028</v>
      </c>
      <c r="AL68" s="78">
        <f>盗宝贼!AI67/AF68</f>
        <v>1</v>
      </c>
      <c r="AM68" s="118"/>
      <c r="AO68" s="123">
        <f t="shared" si="2"/>
        <v>1.3372888246257127E-2</v>
      </c>
      <c r="AP68" s="123">
        <f t="shared" si="3"/>
        <v>7.9128627988619537E-3</v>
      </c>
      <c r="AQ68" s="123">
        <f t="shared" si="4"/>
        <v>7.6226794839965532E-3</v>
      </c>
      <c r="AR68" s="123">
        <f t="shared" si="5"/>
        <v>3.8636605713058326E-3</v>
      </c>
      <c r="AS68" s="123">
        <f t="shared" si="6"/>
        <v>8.1438672286682288E-4</v>
      </c>
    </row>
    <row r="69" spans="15:45" x14ac:dyDescent="0.15">
      <c r="O69" s="66" t="s">
        <v>369</v>
      </c>
      <c r="P69" s="66">
        <v>1</v>
      </c>
      <c r="Q69" s="66">
        <v>1</v>
      </c>
      <c r="R69" s="66">
        <v>1</v>
      </c>
      <c r="S69" s="66">
        <v>1</v>
      </c>
      <c r="T69" s="66">
        <v>1</v>
      </c>
      <c r="W69" s="70">
        <v>64</v>
      </c>
      <c r="X69" s="113">
        <f>求节点(基础状态预期!$C$17:$C$37,基础状态预期!$O$17:$O$37,$W69)*P$66*INDEX($P$57:$T$57,MATCH($O$66,$P$4:$T$4,0))*求节点(基础状态预期!$C$17:$C$37,基础状态预期!$Y$17:$Y$37,$W69)+
求节点(基础状态预期!$C$17:$C$37,基础状态预期!$P$17:$P$37,$W69)*P$67*INDEX($P$57:$T$57,MATCH($O$67,$P$4:$T$4,0))*求节点(基础状态预期!$C$17:$C$37,基础状态预期!$Z$17:$Z$37,$W69)+
求节点(基础状态预期!$C$17:$C$37,基础状态预期!$Q$17:$Q$37,$W69)*P$68*INDEX($P$57:$T$57,MATCH($O$68,$P$4:$T$4,0))*求节点(基础状态预期!$C$17:$C$37,基础状态预期!$AA$17:$AA$37,$W69)+
求节点(基础状态预期!$C$17:$C$37,基础状态预期!$R$17:$R$37,$W69)*P$69*INDEX($P$57:$T$57,MATCH($O$69,$P$4:$T$4,0))*求节点(基础状态预期!$C$17:$C$37,基础状态预期!$AB$17:$AB$37,$W69)+
求节点(基础状态预期!$C$17:$C$37,基础状态预期!$S$17:$S$37,$W69)*P$70*INDEX($P$57:$T$57,MATCH($O$70,$P$4:$T$4,0))*求节点(基础状态预期!$C$17:$C$37,基础状态预期!$AC$17:$AC$37,$W69)</f>
        <v>178647.73550028127</v>
      </c>
      <c r="Y69" s="113">
        <f>求节点(基础状态预期!$C$43:$C$63,基础状态预期!$O$43:$O$63,$W69)*Q$66*INDEX($P$57:$T$57,MATCH($O$66,$P$4:$T$4,0))*求节点(基础状态预期!$C$43:$C$63,基础状态预期!$Y$43:$Y$63,$W69)+
求节点(基础状态预期!$C$43:$C$63,基础状态预期!$P$43:$P$63,$W69)*Q$67*INDEX($P$57:$T$57,MATCH($O$67,$P$4:$T$4,0))*求节点(基础状态预期!$C$43:$C$63,基础状态预期!$Z$43:$Z$63,$W69)+
求节点(基础状态预期!$C$43:$C$63,基础状态预期!$Q$43:$Q$63,$W69)*Q$68*INDEX($P$57:$T$57,MATCH($O$68,$P$4:$T$4,0))*求节点(基础状态预期!$C$43:$C$63,基础状态预期!$AA$43:$AA$63,$W69)+
求节点(基础状态预期!$C$43:$C$63,基础状态预期!$R$43:$R$63,$W69)*Q$69*INDEX($P$57:$T$57,MATCH($O$69,$P$4:$T$4,0))*求节点(基础状态预期!$C$43:$C$63,基础状态预期!$AB$43:$AB$63,$W69)+
求节点(基础状态预期!$C$43:$C$63,基础状态预期!$S$43:$S$63,$W69)*Q$70*INDEX($P$57:$T$57,MATCH($O$70,$P$4:$T$4,0))*求节点(基础状态预期!$C$43:$C$63,基础状态预期!$AC$43:$AC$63,$W69)</f>
        <v>369964.34986900177</v>
      </c>
      <c r="Z69" s="113">
        <f>求节点(基础状态预期!$C$69:$C$89,基础状态预期!$O$69:$O$89,$W69)*R$66*INDEX($P$57:$T$57,MATCH($O$66,$P$4:$T$4,0))*求节点(基础状态预期!$C$69:$C$89,基础状态预期!AA80:AA100,$W69)+
求节点(基础状态预期!$C$69:$C$89,基础状态预期!$P$69:$P$89,$W69)*R$67*INDEX($P$57:$T$57,MATCH($O$67,$P$4:$T$4,0))*求节点(基础状态预期!$C$69:$C$89,基础状态预期!$Z$69:$Z$89,$W69)+
求节点(基础状态预期!$C$69:$C$89,基础状态预期!$Q$69:$Q$89,$W69)*R$68*INDEX($P$57:$T$57,MATCH($O$68,$P$4:$T$4,0))*求节点(基础状态预期!$C$69:$C$89,基础状态预期!$AA$69:$AA$89,$W69)+
求节点(基础状态预期!$C$69:$C$89,基础状态预期!$R$69:$R$89,$W69)*R$69*INDEX($P$57:$T$57,MATCH($O$69,$P$4:$T$4,0))*求节点(基础状态预期!$C$69:$C$89,基础状态预期!$AB$69:$AB$89,$W69)+
求节点(基础状态预期!$C$69:$C$89,基础状态预期!$S$69:$S$89,$W69)*R$70*INDEX($P$57:$T$57,MATCH($O$70,$P$4:$T$4,0))*求节点(基础状态预期!$C$69:$C$89,基础状态预期!$AC$69:$AC$89,$W69)</f>
        <v>438220.09916624567</v>
      </c>
      <c r="AA69" s="113">
        <f>求节点(基础状态预期!$C$95:$C$115,基础状态预期!$O$95:$O$115,$W69)*S$66*INDEX($P$57:$T$57,MATCH($O$66,$P$4:$T$4,0))*求节点(基础状态预期!$C$95:$C$115,基础状态预期!$Y$95:$Y$115,$W69)+
求节点(基础状态预期!$C$95:$C$115,基础状态预期!$P$95:$P$115,$W69)*S$67*INDEX($P$57:$T$57,MATCH($O$67,$P$4:$T$4,0))*求节点(基础状态预期!$C$95:$C$115,基础状态预期!$Z$95:$Z$115,$W69)+
求节点(基础状态预期!$C$95:$C$115,基础状态预期!$Q$95:$Q$115,$W69)*S$68*INDEX($P$57:$T$57,MATCH($O$68,$P$4:$T$4,0))*求节点(基础状态预期!$C$95:$C$115,基础状态预期!$AA$95:$AA$115,$W69)+
求节点(基础状态预期!$C$95:$C$115,基础状态预期!$R$95:$R$115,$W69)*S$69*INDEX($P$57:$T$57,MATCH($O$69,$P$4:$T$4,0))*求节点(基础状态预期!$C$95:$C$115,基础状态预期!$AB$95:$AB$115,$W69)+
求节点(基础状态预期!$C$95:$C$115,基础状态预期!$S$95:$S$115,$W69)*S$70*INDEX($P$57:$T$57,MATCH($O$70,$P$4:$T$4,0))*求节点(基础状态预期!$C$95:$C$115,基础状态预期!$AC$95:$AC$115,$W69)</f>
        <v>722439.65129413805</v>
      </c>
      <c r="AB69" s="113">
        <f>求节点(基础状态预期!$C$121:$C$141,基础状态预期!$O$121:$O$141,$W69)*T$66*INDEX($P$57:$T$57,MATCH($O$66,$P$4:$T$4,0))*求节点(基础状态预期!$C$121:$C$141,基础状态预期!$Y$121:$Y$141,$W69)+
求节点(基础状态预期!$C$121:$C$141,基础状态预期!$P$121:$P$141,$W69)*T$67*INDEX($P$57:$T$57,MATCH($O$67,$P$4:$T$4,0))*求节点(基础状态预期!$C$121:$C$141,基础状态预期!$Z$121:$Z$141,$W69)+
求节点(基础状态预期!$C$121:$C$141,基础状态预期!$Q$121:$Q$141,$W69)*T$68*INDEX($P$57:$T$57,MATCH($O$68,$P$4:$T$4,0))*求节点(基础状态预期!$C$121:$C$141,基础状态预期!$AA$121:$AA$141,$W69)+
求节点(基础状态预期!$C$121:$C$141,基础状态预期!$R$121:$R$141,$W69)*T$69*INDEX($P$57:$T$57,MATCH($O$69,$P$4:$T$4,0))*求节点(基础状态预期!$C$121:$C$141,基础状态预期!$AB$121:$AB$141,$W69)+
求节点(基础状态预期!$C$121:$C$141,基础状态预期!$S$121:$S$141,$W69)*T$70*INDEX($P$57:$T$57,MATCH($O$70,$P$4:$T$4,0))*求节点(基础状态预期!$C$121:$C$141,基础状态预期!$AC$121:$AC$141,$W69)</f>
        <v>1843133.3057976258</v>
      </c>
      <c r="AE69" s="70">
        <v>64</v>
      </c>
      <c r="AF69" s="113">
        <f>盗宝贼!AI68</f>
        <v>2543.703181385325</v>
      </c>
      <c r="AG69" s="113">
        <f>盗宝贼!AJ68</f>
        <v>3211.2084726642524</v>
      </c>
      <c r="AH69" s="113">
        <f>盗宝贼!AK68</f>
        <v>3572.9074552611037</v>
      </c>
      <c r="AI69" s="113">
        <f>盗宝贼!AL68</f>
        <v>2978.7285235025201</v>
      </c>
      <c r="AJ69" s="113">
        <f>盗宝贼!AM68</f>
        <v>1656.881840287158</v>
      </c>
      <c r="AL69" s="78">
        <f>盗宝贼!AI68/AF69</f>
        <v>1</v>
      </c>
      <c r="AM69" s="118"/>
      <c r="AO69" s="123">
        <f t="shared" si="2"/>
        <v>1.4238653371463083E-2</v>
      </c>
      <c r="AP69" s="123">
        <f t="shared" si="3"/>
        <v>8.6797781294367625E-3</v>
      </c>
      <c r="AQ69" s="123">
        <f t="shared" si="4"/>
        <v>8.1532258836573019E-3</v>
      </c>
      <c r="AR69" s="123">
        <f t="shared" si="5"/>
        <v>4.1231520420655096E-3</v>
      </c>
      <c r="AS69" s="123">
        <f t="shared" si="6"/>
        <v>8.9894845645477253E-4</v>
      </c>
    </row>
    <row r="70" spans="15:45" x14ac:dyDescent="0.15">
      <c r="O70" s="66" t="s">
        <v>370</v>
      </c>
      <c r="R70" s="66">
        <v>1</v>
      </c>
      <c r="S70" s="66">
        <v>1</v>
      </c>
      <c r="T70" s="66">
        <v>1</v>
      </c>
      <c r="W70" s="70">
        <v>65</v>
      </c>
      <c r="X70" s="113">
        <f>求节点(基础状态预期!$C$17:$C$37,基础状态预期!$O$17:$O$37,$W70)*P$66*INDEX($P$57:$T$57,MATCH($O$66,$P$4:$T$4,0))*求节点(基础状态预期!$C$17:$C$37,基础状态预期!$Y$17:$Y$37,$W70)+
求节点(基础状态预期!$C$17:$C$37,基础状态预期!$P$17:$P$37,$W70)*P$67*INDEX($P$57:$T$57,MATCH($O$67,$P$4:$T$4,0))*求节点(基础状态预期!$C$17:$C$37,基础状态预期!$Z$17:$Z$37,$W70)+
求节点(基础状态预期!$C$17:$C$37,基础状态预期!$Q$17:$Q$37,$W70)*P$68*INDEX($P$57:$T$57,MATCH($O$68,$P$4:$T$4,0))*求节点(基础状态预期!$C$17:$C$37,基础状态预期!$AA$17:$AA$37,$W70)+
求节点(基础状态预期!$C$17:$C$37,基础状态预期!$R$17:$R$37,$W70)*P$69*INDEX($P$57:$T$57,MATCH($O$69,$P$4:$T$4,0))*求节点(基础状态预期!$C$17:$C$37,基础状态预期!$AB$17:$AB$37,$W70)+
求节点(基础状态预期!$C$17:$C$37,基础状态预期!$S$17:$S$37,$W70)*P$70*INDEX($P$57:$T$57,MATCH($O$70,$P$4:$T$4,0))*求节点(基础状态预期!$C$17:$C$37,基础状态预期!$AC$17:$AC$37,$W70)</f>
        <v>188282.31621871726</v>
      </c>
      <c r="Y70" s="113">
        <f>求节点(基础状态预期!$C$43:$C$63,基础状态预期!$O$43:$O$63,$W70)*Q$66*INDEX($P$57:$T$57,MATCH($O$66,$P$4:$T$4,0))*求节点(基础状态预期!$C$43:$C$63,基础状态预期!$Y$43:$Y$63,$W70)+
求节点(基础状态预期!$C$43:$C$63,基础状态预期!$P$43:$P$63,$W70)*Q$67*INDEX($P$57:$T$57,MATCH($O$67,$P$4:$T$4,0))*求节点(基础状态预期!$C$43:$C$63,基础状态预期!$Z$43:$Z$63,$W70)+
求节点(基础状态预期!$C$43:$C$63,基础状态预期!$Q$43:$Q$63,$W70)*Q$68*INDEX($P$57:$T$57,MATCH($O$68,$P$4:$T$4,0))*求节点(基础状态预期!$C$43:$C$63,基础状态预期!$AA$43:$AA$63,$W70)+
求节点(基础状态预期!$C$43:$C$63,基础状态预期!$R$43:$R$63,$W70)*Q$69*INDEX($P$57:$T$57,MATCH($O$69,$P$4:$T$4,0))*求节点(基础状态预期!$C$43:$C$63,基础状态预期!$AB$43:$AB$63,$W70)+
求节点(基础状态预期!$C$43:$C$63,基础状态预期!$S$43:$S$63,$W70)*Q$70*INDEX($P$57:$T$57,MATCH($O$70,$P$4:$T$4,0))*求节点(基础状态预期!$C$43:$C$63,基础状态预期!$AC$43:$AC$63,$W70)</f>
        <v>379598.93058743776</v>
      </c>
      <c r="Z70" s="113">
        <f>求节点(基础状态预期!$C$69:$C$89,基础状态预期!$O$69:$O$89,$W70)*R$66*INDEX($P$57:$T$57,MATCH($O$66,$P$4:$T$4,0))*求节点(基础状态预期!$C$69:$C$89,基础状态预期!AA81:AA101,$W70)+
求节点(基础状态预期!$C$69:$C$89,基础状态预期!$P$69:$P$89,$W70)*R$67*INDEX($P$57:$T$57,MATCH($O$67,$P$4:$T$4,0))*求节点(基础状态预期!$C$69:$C$89,基础状态预期!$Z$69:$Z$89,$W70)+
求节点(基础状态预期!$C$69:$C$89,基础状态预期!$Q$69:$Q$89,$W70)*R$68*INDEX($P$57:$T$57,MATCH($O$68,$P$4:$T$4,0))*求节点(基础状态预期!$C$69:$C$89,基础状态预期!$AA$69:$AA$89,$W70)+
求节点(基础状态预期!$C$69:$C$89,基础状态预期!$R$69:$R$89,$W70)*R$69*INDEX($P$57:$T$57,MATCH($O$69,$P$4:$T$4,0))*求节点(基础状态预期!$C$69:$C$89,基础状态预期!$AB$69:$AB$89,$W70)+
求节点(基础状态预期!$C$69:$C$89,基础状态预期!$S$69:$S$89,$W70)*R$70*INDEX($P$57:$T$57,MATCH($O$70,$P$4:$T$4,0))*求节点(基础状态预期!$C$69:$C$89,基础状态预期!$AC$69:$AC$89,$W70)</f>
        <v>462042.02653708379</v>
      </c>
      <c r="AA70" s="113">
        <f>求节点(基础状态预期!$C$95:$C$115,基础状态预期!$O$95:$O$115,$W70)*S$66*INDEX($P$57:$T$57,MATCH($O$66,$P$4:$T$4,0))*求节点(基础状态预期!$C$95:$C$115,基础状态预期!$Y$95:$Y$115,$W70)+
求节点(基础状态预期!$C$95:$C$115,基础状态预期!$P$95:$P$115,$W70)*S$67*INDEX($P$57:$T$57,MATCH($O$67,$P$4:$T$4,0))*求节点(基础状态预期!$C$95:$C$115,基础状态预期!$Z$95:$Z$115,$W70)+
求节点(基础状态预期!$C$95:$C$115,基础状态预期!$Q$95:$Q$115,$W70)*S$68*INDEX($P$57:$T$57,MATCH($O$68,$P$4:$T$4,0))*求节点(基础状态预期!$C$95:$C$115,基础状态预期!$AA$95:$AA$115,$W70)+
求节点(基础状态预期!$C$95:$C$115,基础状态预期!$R$95:$R$115,$W70)*S$69*INDEX($P$57:$T$57,MATCH($O$69,$P$4:$T$4,0))*求节点(基础状态预期!$C$95:$C$115,基础状态预期!$AB$95:$AB$115,$W70)+
求节点(基础状态预期!$C$95:$C$115,基础状态预期!$S$95:$S$115,$W70)*S$70*INDEX($P$57:$T$57,MATCH($O$70,$P$4:$T$4,0))*求节点(基础状态预期!$C$95:$C$115,基础状态预期!$AC$95:$AC$115,$W70)</f>
        <v>766219.6359206785</v>
      </c>
      <c r="AB70" s="113">
        <f>求节点(基础状态预期!$C$121:$C$141,基础状态预期!$O$121:$O$141,$W70)*T$66*INDEX($P$57:$T$57,MATCH($O$66,$P$4:$T$4,0))*求节点(基础状态预期!$C$121:$C$141,基础状态预期!$Y$121:$Y$141,$W70)+
求节点(基础状态预期!$C$121:$C$141,基础状态预期!$P$121:$P$141,$W70)*T$67*INDEX($P$57:$T$57,MATCH($O$67,$P$4:$T$4,0))*求节点(基础状态预期!$C$121:$C$141,基础状态预期!$Z$121:$Z$141,$W70)+
求节点(基础状态预期!$C$121:$C$141,基础状态预期!$Q$121:$Q$141,$W70)*T$68*INDEX($P$57:$T$57,MATCH($O$68,$P$4:$T$4,0))*求节点(基础状态预期!$C$121:$C$141,基础状态预期!$AA$121:$AA$141,$W70)+
求节点(基础状态预期!$C$121:$C$141,基础状态预期!$R$121:$R$141,$W70)*T$69*INDEX($P$57:$T$57,MATCH($O$69,$P$4:$T$4,0))*求节点(基础状态预期!$C$121:$C$141,基础状态预期!$AB$121:$AB$141,$W70)+
求节点(基础状态预期!$C$121:$C$141,基础状态预期!$S$121:$S$141,$W70)*T$70*INDEX($P$57:$T$57,MATCH($O$70,$P$4:$T$4,0))*求节点(基础状态预期!$C$121:$C$141,基础状态预期!$AC$121:$AC$141,$W70)</f>
        <v>1878059.5172556071</v>
      </c>
      <c r="AE70" s="70">
        <v>65</v>
      </c>
      <c r="AF70" s="113">
        <f>盗宝贼!AI69</f>
        <v>2862.7536442923765</v>
      </c>
      <c r="AG70" s="113">
        <f>盗宝贼!AJ69</f>
        <v>3613.6993440108463</v>
      </c>
      <c r="AH70" s="113">
        <f>盗宝贼!AK69</f>
        <v>4034.9675040841485</v>
      </c>
      <c r="AI70" s="113">
        <f>盗宝贼!AL69</f>
        <v>3357.2203830196572</v>
      </c>
      <c r="AJ70" s="113">
        <f>盗宝贼!AM69</f>
        <v>1851.556025050065</v>
      </c>
      <c r="AL70" s="78">
        <f>盗宝贼!AI69/AF70</f>
        <v>1</v>
      </c>
      <c r="AM70" s="118"/>
      <c r="AO70" s="123">
        <f t="shared" si="2"/>
        <v>1.5204580556396344E-2</v>
      </c>
      <c r="AP70" s="123">
        <f t="shared" si="3"/>
        <v>9.519782730732583E-3</v>
      </c>
      <c r="AQ70" s="123">
        <f t="shared" si="4"/>
        <v>8.7329014945360158E-3</v>
      </c>
      <c r="AR70" s="123">
        <f t="shared" si="5"/>
        <v>4.3815379111051744E-3</v>
      </c>
      <c r="AS70" s="123">
        <f t="shared" si="6"/>
        <v>9.8588783158253088E-4</v>
      </c>
    </row>
    <row r="71" spans="15:45" x14ac:dyDescent="0.15">
      <c r="W71" s="70">
        <v>66</v>
      </c>
      <c r="X71" s="113">
        <f>求节点(基础状态预期!$C$17:$C$37,基础状态预期!$O$17:$O$37,$W71)*P$66*INDEX($P$57:$T$57,MATCH($O$66,$P$4:$T$4,0))*求节点(基础状态预期!$C$17:$C$37,基础状态预期!$Y$17:$Y$37,$W71)+
求节点(基础状态预期!$C$17:$C$37,基础状态预期!$P$17:$P$37,$W71)*P$67*INDEX($P$57:$T$57,MATCH($O$67,$P$4:$T$4,0))*求节点(基础状态预期!$C$17:$C$37,基础状态预期!$Z$17:$Z$37,$W71)+
求节点(基础状态预期!$C$17:$C$37,基础状态预期!$Q$17:$Q$37,$W71)*P$68*INDEX($P$57:$T$57,MATCH($O$68,$P$4:$T$4,0))*求节点(基础状态预期!$C$17:$C$37,基础状态预期!$AA$17:$AA$37,$W71)+
求节点(基础状态预期!$C$17:$C$37,基础状态预期!$R$17:$R$37,$W71)*P$69*INDEX($P$57:$T$57,MATCH($O$69,$P$4:$T$4,0))*求节点(基础状态预期!$C$17:$C$37,基础状态预期!$AB$17:$AB$37,$W71)+
求节点(基础状态预期!$C$17:$C$37,基础状态预期!$S$17:$S$37,$W71)*P$70*INDEX($P$57:$T$57,MATCH($O$70,$P$4:$T$4,0))*求节点(基础状态预期!$C$17:$C$37,基础状态预期!$AC$17:$AC$37,$W71)</f>
        <v>197916.8969371533</v>
      </c>
      <c r="Y71" s="113">
        <f>求节点(基础状态预期!$C$43:$C$63,基础状态预期!$O$43:$O$63,$W71)*Q$66*INDEX($P$57:$T$57,MATCH($O$66,$P$4:$T$4,0))*求节点(基础状态预期!$C$43:$C$63,基础状态预期!$Y$43:$Y$63,$W71)+
求节点(基础状态预期!$C$43:$C$63,基础状态预期!$P$43:$P$63,$W71)*Q$67*INDEX($P$57:$T$57,MATCH($O$67,$P$4:$T$4,0))*求节点(基础状态预期!$C$43:$C$63,基础状态预期!$Z$43:$Z$63,$W71)+
求节点(基础状态预期!$C$43:$C$63,基础状态预期!$Q$43:$Q$63,$W71)*Q$68*INDEX($P$57:$T$57,MATCH($O$68,$P$4:$T$4,0))*求节点(基础状态预期!$C$43:$C$63,基础状态预期!$AA$43:$AA$63,$W71)+
求节点(基础状态预期!$C$43:$C$63,基础状态预期!$R$43:$R$63,$W71)*Q$69*INDEX($P$57:$T$57,MATCH($O$69,$P$4:$T$4,0))*求节点(基础状态预期!$C$43:$C$63,基础状态预期!$AB$43:$AB$63,$W71)+
求节点(基础状态预期!$C$43:$C$63,基础状态预期!$S$43:$S$63,$W71)*Q$70*INDEX($P$57:$T$57,MATCH($O$70,$P$4:$T$4,0))*求节点(基础状态预期!$C$43:$C$63,基础状态预期!$AC$43:$AC$63,$W71)</f>
        <v>389233.51130587381</v>
      </c>
      <c r="Z71" s="113">
        <f>求节点(基础状态预期!$C$69:$C$89,基础状态预期!$O$69:$O$89,$W71)*R$66*INDEX($P$57:$T$57,MATCH($O$66,$P$4:$T$4,0))*求节点(基础状态预期!$C$69:$C$89,基础状态预期!AA82:AA102,$W71)+
求节点(基础状态预期!$C$69:$C$89,基础状态预期!$P$69:$P$89,$W71)*R$67*INDEX($P$57:$T$57,MATCH($O$67,$P$4:$T$4,0))*求节点(基础状态预期!$C$69:$C$89,基础状态预期!$Z$69:$Z$89,$W71)+
求节点(基础状态预期!$C$69:$C$89,基础状态预期!$Q$69:$Q$89,$W71)*R$68*INDEX($P$57:$T$57,MATCH($O$68,$P$4:$T$4,0))*求节点(基础状态预期!$C$69:$C$89,基础状态预期!$AA$69:$AA$89,$W71)+
求节点(基础状态预期!$C$69:$C$89,基础状态预期!$R$69:$R$89,$W71)*R$69*INDEX($P$57:$T$57,MATCH($O$69,$P$4:$T$4,0))*求节点(基础状态预期!$C$69:$C$89,基础状态预期!$AB$69:$AB$89,$W71)+
求节点(基础状态预期!$C$69:$C$89,基础状态预期!$S$69:$S$89,$W71)*R$70*INDEX($P$57:$T$57,MATCH($O$70,$P$4:$T$4,0))*求节点(基础状态预期!$C$69:$C$89,基础状态预期!$AC$69:$AC$89,$W71)</f>
        <v>487033.97183885478</v>
      </c>
      <c r="AA71" s="113">
        <f>求节点(基础状态预期!$C$95:$C$115,基础状态预期!$O$95:$O$115,$W71)*S$66*INDEX($P$57:$T$57,MATCH($O$66,$P$4:$T$4,0))*求节点(基础状态预期!$C$95:$C$115,基础状态预期!$Y$95:$Y$115,$W71)+
求节点(基础状态预期!$C$95:$C$115,基础状态预期!$P$95:$P$115,$W71)*S$67*INDEX($P$57:$T$57,MATCH($O$67,$P$4:$T$4,0))*求节点(基础状态预期!$C$95:$C$115,基础状态预期!$Z$95:$Z$115,$W71)+
求节点(基础状态预期!$C$95:$C$115,基础状态预期!$Q$95:$Q$115,$W71)*S$68*INDEX($P$57:$T$57,MATCH($O$68,$P$4:$T$4,0))*求节点(基础状态预期!$C$95:$C$115,基础状态预期!$AA$95:$AA$115,$W71)+
求节点(基础状态预期!$C$95:$C$115,基础状态预期!$R$95:$R$115,$W71)*S$69*INDEX($P$57:$T$57,MATCH($O$69,$P$4:$T$4,0))*求节点(基础状态预期!$C$95:$C$115,基础状态预期!$AB$95:$AB$115,$W71)+
求节点(基础状态预期!$C$95:$C$115,基础状态预期!$S$95:$S$115,$W71)*S$70*INDEX($P$57:$T$57,MATCH($O$70,$P$4:$T$4,0))*求节点(基础状态预期!$C$95:$C$115,基础状态预期!$AC$95:$AC$115,$W71)</f>
        <v>813961.26602189895</v>
      </c>
      <c r="AB71" s="113">
        <f>求节点(基础状态预期!$C$121:$C$141,基础状态预期!$O$121:$O$141,$W71)*T$66*INDEX($P$57:$T$57,MATCH($O$66,$P$4:$T$4,0))*求节点(基础状态预期!$C$121:$C$141,基础状态预期!$Y$121:$Y$141,$W71)+
求节点(基础状态预期!$C$121:$C$141,基础状态预期!$P$121:$P$141,$W71)*T$67*INDEX($P$57:$T$57,MATCH($O$67,$P$4:$T$4,0))*求节点(基础状态预期!$C$121:$C$141,基础状态预期!$Z$121:$Z$141,$W71)+
求节点(基础状态预期!$C$121:$C$141,基础状态预期!$Q$121:$Q$141,$W71)*T$68*INDEX($P$57:$T$57,MATCH($O$68,$P$4:$T$4,0))*求节点(基础状态预期!$C$121:$C$141,基础状态预期!$AA$121:$AA$141,$W71)+
求节点(基础状态预期!$C$121:$C$141,基础状态预期!$R$121:$R$141,$W71)*T$69*INDEX($P$57:$T$57,MATCH($O$69,$P$4:$T$4,0))*求节点(基础状态预期!$C$121:$C$141,基础状态预期!$AB$121:$AB$141,$W71)+
求节点(基础状态预期!$C$121:$C$141,基础状态预期!$S$121:$S$141,$W71)*T$70*INDEX($P$57:$T$57,MATCH($O$70,$P$4:$T$4,0))*求节点(基础状态预期!$C$121:$C$141,基础状态预期!$AC$121:$AC$141,$W71)</f>
        <v>1912985.7287135888</v>
      </c>
      <c r="AE71" s="70">
        <v>66</v>
      </c>
      <c r="AF71" s="113">
        <f>盗宝贼!AI70</f>
        <v>3221.8009546137578</v>
      </c>
      <c r="AG71" s="113">
        <f>盗宝贼!AJ70</f>
        <v>4072.7774320236022</v>
      </c>
      <c r="AH71" s="113">
        <f>盗宝贼!AK70</f>
        <v>4547.5600067251344</v>
      </c>
      <c r="AI71" s="113">
        <f>盗宝贼!AL70</f>
        <v>3757.346704829637</v>
      </c>
      <c r="AJ71" s="113">
        <f>盗宝贼!AM70</f>
        <v>2081.4597578747534</v>
      </c>
      <c r="AL71" s="78">
        <f>盗宝贼!AI70/AF71</f>
        <v>1</v>
      </c>
      <c r="AM71" s="118"/>
      <c r="AO71" s="123">
        <f t="shared" ref="AO71:AO134" si="28">AF71/X71</f>
        <v>1.6278554304723216E-2</v>
      </c>
      <c r="AP71" s="123">
        <f t="shared" ref="AP71:AP134" si="29">AG71/Y71</f>
        <v>1.0463583719601845E-2</v>
      </c>
      <c r="AQ71" s="123">
        <f t="shared" ref="AQ71:AQ134" si="30">AH71/Z71</f>
        <v>9.3372542156664757E-3</v>
      </c>
      <c r="AR71" s="123">
        <f t="shared" ref="AR71:AR134" si="31">AI71/AA71</f>
        <v>4.616124699880435E-3</v>
      </c>
      <c r="AS71" s="123">
        <f t="shared" ref="AS71:AS134" si="32">AJ71/AB71</f>
        <v>1.0880686283396674E-3</v>
      </c>
    </row>
    <row r="72" spans="15:45" x14ac:dyDescent="0.15">
      <c r="W72" s="70">
        <v>67</v>
      </c>
      <c r="X72" s="113">
        <f>求节点(基础状态预期!$C$17:$C$37,基础状态预期!$O$17:$O$37,$W72)*P$66*INDEX($P$57:$T$57,MATCH($O$66,$P$4:$T$4,0))*求节点(基础状态预期!$C$17:$C$37,基础状态预期!$Y$17:$Y$37,$W72)+
求节点(基础状态预期!$C$17:$C$37,基础状态预期!$P$17:$P$37,$W72)*P$67*INDEX($P$57:$T$57,MATCH($O$67,$P$4:$T$4,0))*求节点(基础状态预期!$C$17:$C$37,基础状态预期!$Z$17:$Z$37,$W72)+
求节点(基础状态预期!$C$17:$C$37,基础状态预期!$Q$17:$Q$37,$W72)*P$68*INDEX($P$57:$T$57,MATCH($O$68,$P$4:$T$4,0))*求节点(基础状态预期!$C$17:$C$37,基础状态预期!$AA$17:$AA$37,$W72)+
求节点(基础状态预期!$C$17:$C$37,基础状态预期!$R$17:$R$37,$W72)*P$69*INDEX($P$57:$T$57,MATCH($O$69,$P$4:$T$4,0))*求节点(基础状态预期!$C$17:$C$37,基础状态预期!$AB$17:$AB$37,$W72)+
求节点(基础状态预期!$C$17:$C$37,基础状态预期!$S$17:$S$37,$W72)*P$70*INDEX($P$57:$T$57,MATCH($O$70,$P$4:$T$4,0))*求节点(基础状态预期!$C$17:$C$37,基础状态预期!$AC$17:$AC$37,$W72)</f>
        <v>207551.47765558935</v>
      </c>
      <c r="Y72" s="113">
        <f>求节点(基础状态预期!$C$43:$C$63,基础状态预期!$O$43:$O$63,$W72)*Q$66*INDEX($P$57:$T$57,MATCH($O$66,$P$4:$T$4,0))*求节点(基础状态预期!$C$43:$C$63,基础状态预期!$Y$43:$Y$63,$W72)+
求节点(基础状态预期!$C$43:$C$63,基础状态预期!$P$43:$P$63,$W72)*Q$67*INDEX($P$57:$T$57,MATCH($O$67,$P$4:$T$4,0))*求节点(基础状态预期!$C$43:$C$63,基础状态预期!$Z$43:$Z$63,$W72)+
求节点(基础状态预期!$C$43:$C$63,基础状态预期!$Q$43:$Q$63,$W72)*Q$68*INDEX($P$57:$T$57,MATCH($O$68,$P$4:$T$4,0))*求节点(基础状态预期!$C$43:$C$63,基础状态预期!$AA$43:$AA$63,$W72)+
求节点(基础状态预期!$C$43:$C$63,基础状态预期!$R$43:$R$63,$W72)*Q$69*INDEX($P$57:$T$57,MATCH($O$69,$P$4:$T$4,0))*求节点(基础状态预期!$C$43:$C$63,基础状态预期!$AB$43:$AB$63,$W72)+
求节点(基础状态预期!$C$43:$C$63,基础状态预期!$S$43:$S$63,$W72)*Q$70*INDEX($P$57:$T$57,MATCH($O$70,$P$4:$T$4,0))*求节点(基础状态预期!$C$43:$C$63,基础状态预期!$AC$43:$AC$63,$W72)</f>
        <v>398868.09202430985</v>
      </c>
      <c r="Z72" s="113">
        <f>求节点(基础状态预期!$C$69:$C$89,基础状态预期!$O$69:$O$89,$W72)*R$66*INDEX($P$57:$T$57,MATCH($O$66,$P$4:$T$4,0))*求节点(基础状态预期!$C$69:$C$89,基础状态预期!AA83:AA103,$W72)+
求节点(基础状态预期!$C$69:$C$89,基础状态预期!$P$69:$P$89,$W72)*R$67*INDEX($P$57:$T$57,MATCH($O$67,$P$4:$T$4,0))*求节点(基础状态预期!$C$69:$C$89,基础状态预期!$Z$69:$Z$89,$W72)+
求节点(基础状态预期!$C$69:$C$89,基础状态预期!$Q$69:$Q$89,$W72)*R$68*INDEX($P$57:$T$57,MATCH($O$68,$P$4:$T$4,0))*求节点(基础状态预期!$C$69:$C$89,基础状态预期!$AA$69:$AA$89,$W72)+
求节点(基础状态预期!$C$69:$C$89,基础状态预期!$R$69:$R$89,$W72)*R$69*INDEX($P$57:$T$57,MATCH($O$69,$P$4:$T$4,0))*求节点(基础状态预期!$C$69:$C$89,基础状态预期!$AB$69:$AB$89,$W72)+
求节点(基础状态预期!$C$69:$C$89,基础状态预期!$S$69:$S$89,$W72)*R$70*INDEX($P$57:$T$57,MATCH($O$70,$P$4:$T$4,0))*求节点(基础状态预期!$C$69:$C$89,基础状态预期!$AC$69:$AC$89,$W72)</f>
        <v>513195.93507155869</v>
      </c>
      <c r="AA72" s="113">
        <f>求节点(基础状态预期!$C$95:$C$115,基础状态预期!$O$95:$O$115,$W72)*S$66*INDEX($P$57:$T$57,MATCH($O$66,$P$4:$T$4,0))*求节点(基础状态预期!$C$95:$C$115,基础状态预期!$Y$95:$Y$115,$W72)+
求节点(基础状态预期!$C$95:$C$115,基础状态预期!$P$95:$P$115,$W72)*S$67*INDEX($P$57:$T$57,MATCH($O$67,$P$4:$T$4,0))*求节点(基础状态预期!$C$95:$C$115,基础状态预期!$Z$95:$Z$115,$W72)+
求节点(基础状态预期!$C$95:$C$115,基础状态预期!$Q$95:$Q$115,$W72)*S$68*INDEX($P$57:$T$57,MATCH($O$68,$P$4:$T$4,0))*求节点(基础状态预期!$C$95:$C$115,基础状态预期!$AA$95:$AA$115,$W72)+
求节点(基础状态预期!$C$95:$C$115,基础状态预期!$R$95:$R$115,$W72)*S$69*INDEX($P$57:$T$57,MATCH($O$69,$P$4:$T$4,0))*求节点(基础状态预期!$C$95:$C$115,基础状态预期!$AB$95:$AB$115,$W72)+
求节点(基础状态预期!$C$95:$C$115,基础状态预期!$S$95:$S$115,$W72)*S$70*INDEX($P$57:$T$57,MATCH($O$70,$P$4:$T$4,0))*求节点(基础状态预期!$C$95:$C$115,基础状态预期!$AC$95:$AC$115,$W72)</f>
        <v>865664.5415977994</v>
      </c>
      <c r="AB72" s="113">
        <f>求节点(基础状态预期!$C$121:$C$141,基础状态预期!$O$121:$O$141,$W72)*T$66*INDEX($P$57:$T$57,MATCH($O$66,$P$4:$T$4,0))*求节点(基础状态预期!$C$121:$C$141,基础状态预期!$Y$121:$Y$141,$W72)+
求节点(基础状态预期!$C$121:$C$141,基础状态预期!$P$121:$P$141,$W72)*T$67*INDEX($P$57:$T$57,MATCH($O$67,$P$4:$T$4,0))*求节点(基础状态预期!$C$121:$C$141,基础状态预期!$Z$121:$Z$141,$W72)+
求节点(基础状态预期!$C$121:$C$141,基础状态预期!$Q$121:$Q$141,$W72)*T$68*INDEX($P$57:$T$57,MATCH($O$68,$P$4:$T$4,0))*求节点(基础状态预期!$C$121:$C$141,基础状态预期!$AA$121:$AA$141,$W72)+
求节点(基础状态预期!$C$121:$C$141,基础状态预期!$R$121:$R$141,$W72)*T$69*INDEX($P$57:$T$57,MATCH($O$69,$P$4:$T$4,0))*求节点(基础状态预期!$C$121:$C$141,基础状态预期!$AB$121:$AB$141,$W72)+
求节点(基础状态预期!$C$121:$C$141,基础状态预期!$S$121:$S$141,$W72)*T$70*INDEX($P$57:$T$57,MATCH($O$70,$P$4:$T$4,0))*求节点(基础状态预期!$C$121:$C$141,基础状态预期!$AC$121:$AC$141,$W72)</f>
        <v>1947911.9401715703</v>
      </c>
      <c r="AE72" s="70">
        <v>67</v>
      </c>
      <c r="AF72" s="113">
        <f>盗宝贼!AI71</f>
        <v>3625.8592025611215</v>
      </c>
      <c r="AG72" s="113">
        <f>盗宝贼!AJ71</f>
        <v>4589.82274011343</v>
      </c>
      <c r="AH72" s="113">
        <f>盗宝贼!AK71</f>
        <v>5098.889644321438</v>
      </c>
      <c r="AI72" s="113">
        <f>盗宝贼!AL71</f>
        <v>4207.3264260975457</v>
      </c>
      <c r="AJ72" s="113">
        <f>盗宝贼!AM71</f>
        <v>2334.5583835273401</v>
      </c>
      <c r="AL72" s="78">
        <f>盗宝贼!AI71/AF72</f>
        <v>1</v>
      </c>
      <c r="AM72" s="118"/>
      <c r="AO72" s="123">
        <f t="shared" si="28"/>
        <v>1.7469686284661716E-2</v>
      </c>
      <c r="AP72" s="123">
        <f t="shared" si="29"/>
        <v>1.1507119350709291E-2</v>
      </c>
      <c r="AQ72" s="123">
        <f t="shared" si="30"/>
        <v>9.9355612464281547E-3</v>
      </c>
      <c r="AR72" s="123">
        <f t="shared" si="31"/>
        <v>4.8602272865790226E-3</v>
      </c>
      <c r="AS72" s="123">
        <f t="shared" si="32"/>
        <v>1.1984927734062323E-3</v>
      </c>
    </row>
    <row r="73" spans="15:45" x14ac:dyDescent="0.15">
      <c r="W73" s="70">
        <v>68</v>
      </c>
      <c r="X73" s="113">
        <f>求节点(基础状态预期!$C$17:$C$37,基础状态预期!$O$17:$O$37,$W73)*P$66*INDEX($P$57:$T$57,MATCH($O$66,$P$4:$T$4,0))*求节点(基础状态预期!$C$17:$C$37,基础状态预期!$Y$17:$Y$37,$W73)+
求节点(基础状态预期!$C$17:$C$37,基础状态预期!$P$17:$P$37,$W73)*P$67*INDEX($P$57:$T$57,MATCH($O$67,$P$4:$T$4,0))*求节点(基础状态预期!$C$17:$C$37,基础状态预期!$Z$17:$Z$37,$W73)+
求节点(基础状态预期!$C$17:$C$37,基础状态预期!$Q$17:$Q$37,$W73)*P$68*INDEX($P$57:$T$57,MATCH($O$68,$P$4:$T$4,0))*求节点(基础状态预期!$C$17:$C$37,基础状态预期!$AA$17:$AA$37,$W73)+
求节点(基础状态预期!$C$17:$C$37,基础状态预期!$R$17:$R$37,$W73)*P$69*INDEX($P$57:$T$57,MATCH($O$69,$P$4:$T$4,0))*求节点(基础状态预期!$C$17:$C$37,基础状态预期!$AB$17:$AB$37,$W73)+
求节点(基础状态预期!$C$17:$C$37,基础状态预期!$S$17:$S$37,$W73)*P$70*INDEX($P$57:$T$57,MATCH($O$70,$P$4:$T$4,0))*求节点(基础状态预期!$C$17:$C$37,基础状态预期!$AC$17:$AC$37,$W73)</f>
        <v>217186.05837402534</v>
      </c>
      <c r="Y73" s="113">
        <f>求节点(基础状态预期!$C$43:$C$63,基础状态预期!$O$43:$O$63,$W73)*Q$66*INDEX($P$57:$T$57,MATCH($O$66,$P$4:$T$4,0))*求节点(基础状态预期!$C$43:$C$63,基础状态预期!$Y$43:$Y$63,$W73)+
求节点(基础状态预期!$C$43:$C$63,基础状态预期!$P$43:$P$63,$W73)*Q$67*INDEX($P$57:$T$57,MATCH($O$67,$P$4:$T$4,0))*求节点(基础状态预期!$C$43:$C$63,基础状态预期!$Z$43:$Z$63,$W73)+
求节点(基础状态预期!$C$43:$C$63,基础状态预期!$Q$43:$Q$63,$W73)*Q$68*INDEX($P$57:$T$57,MATCH($O$68,$P$4:$T$4,0))*求节点(基础状态预期!$C$43:$C$63,基础状态预期!$AA$43:$AA$63,$W73)+
求节点(基础状态预期!$C$43:$C$63,基础状态预期!$R$43:$R$63,$W73)*Q$69*INDEX($P$57:$T$57,MATCH($O$69,$P$4:$T$4,0))*求节点(基础状态预期!$C$43:$C$63,基础状态预期!$AB$43:$AB$63,$W73)+
求节点(基础状态预期!$C$43:$C$63,基础状态预期!$S$43:$S$63,$W73)*Q$70*INDEX($P$57:$T$57,MATCH($O$70,$P$4:$T$4,0))*求节点(基础状态预期!$C$43:$C$63,基础状态预期!$AC$43:$AC$63,$W73)</f>
        <v>408502.67274274578</v>
      </c>
      <c r="Z73" s="113">
        <f>求节点(基础状态预期!$C$69:$C$89,基础状态预期!$O$69:$O$89,$W73)*R$66*INDEX($P$57:$T$57,MATCH($O$66,$P$4:$T$4,0))*求节点(基础状态预期!$C$69:$C$89,基础状态预期!AA84:AA104,$W73)+
求节点(基础状态预期!$C$69:$C$89,基础状态预期!$P$69:$P$89,$W73)*R$67*INDEX($P$57:$T$57,MATCH($O$67,$P$4:$T$4,0))*求节点(基础状态预期!$C$69:$C$89,基础状态预期!$Z$69:$Z$89,$W73)+
求节点(基础状态预期!$C$69:$C$89,基础状态预期!$Q$69:$Q$89,$W73)*R$68*INDEX($P$57:$T$57,MATCH($O$68,$P$4:$T$4,0))*求节点(基础状态预期!$C$69:$C$89,基础状态预期!$AA$69:$AA$89,$W73)+
求节点(基础状态预期!$C$69:$C$89,基础状态预期!$R$69:$R$89,$W73)*R$69*INDEX($P$57:$T$57,MATCH($O$69,$P$4:$T$4,0))*求节点(基础状态预期!$C$69:$C$89,基础状态预期!$AB$69:$AB$89,$W73)+
求节点(基础状态预期!$C$69:$C$89,基础状态预期!$S$69:$S$89,$W73)*R$70*INDEX($P$57:$T$57,MATCH($O$70,$P$4:$T$4,0))*求节点(基础状态预期!$C$69:$C$89,基础状态预期!$AC$69:$AC$89,$W73)</f>
        <v>540527.91623519524</v>
      </c>
      <c r="AA73" s="113">
        <f>求节点(基础状态预期!$C$95:$C$115,基础状态预期!$O$95:$O$115,$W73)*S$66*INDEX($P$57:$T$57,MATCH($O$66,$P$4:$T$4,0))*求节点(基础状态预期!$C$95:$C$115,基础状态预期!$Y$95:$Y$115,$W73)+
求节点(基础状态预期!$C$95:$C$115,基础状态预期!$P$95:$P$115,$W73)*S$67*INDEX($P$57:$T$57,MATCH($O$67,$P$4:$T$4,0))*求节点(基础状态预期!$C$95:$C$115,基础状态预期!$Z$95:$Z$115,$W73)+
求节点(基础状态预期!$C$95:$C$115,基础状态预期!$Q$95:$Q$115,$W73)*S$68*INDEX($P$57:$T$57,MATCH($O$68,$P$4:$T$4,0))*求节点(基础状态预期!$C$95:$C$115,基础状态预期!$AA$95:$AA$115,$W73)+
求节点(基础状态预期!$C$95:$C$115,基础状态预期!$R$95:$R$115,$W73)*S$69*INDEX($P$57:$T$57,MATCH($O$69,$P$4:$T$4,0))*求节点(基础状态预期!$C$95:$C$115,基础状态预期!$AB$95:$AB$115,$W73)+
求节点(基础状态预期!$C$95:$C$115,基础状态预期!$S$95:$S$115,$W73)*S$70*INDEX($P$57:$T$57,MATCH($O$70,$P$4:$T$4,0))*求节点(基础状态预期!$C$95:$C$115,基础状态预期!$AC$95:$AC$115,$W73)</f>
        <v>921329.46264837985</v>
      </c>
      <c r="AB73" s="113">
        <f>求节点(基础状态预期!$C$121:$C$141,基础状态预期!$O$121:$O$141,$W73)*T$66*INDEX($P$57:$T$57,MATCH($O$66,$P$4:$T$4,0))*求节点(基础状态预期!$C$121:$C$141,基础状态预期!$Y$121:$Y$141,$W73)+
求节点(基础状态预期!$C$121:$C$141,基础状态预期!$P$121:$P$141,$W73)*T$67*INDEX($P$57:$T$57,MATCH($O$67,$P$4:$T$4,0))*求节点(基础状态预期!$C$121:$C$141,基础状态预期!$Z$121:$Z$141,$W73)+
求节点(基础状态预期!$C$121:$C$141,基础状态预期!$Q$121:$Q$141,$W73)*T$68*INDEX($P$57:$T$57,MATCH($O$68,$P$4:$T$4,0))*求节点(基础状态预期!$C$121:$C$141,基础状态预期!$AA$121:$AA$141,$W73)+
求节点(基础状态预期!$C$121:$C$141,基础状态预期!$R$121:$R$141,$W73)*T$69*INDEX($P$57:$T$57,MATCH($O$69,$P$4:$T$4,0))*求节点(基础状态预期!$C$121:$C$141,基础状态预期!$AB$121:$AB$141,$W73)+
求节点(基础状态预期!$C$121:$C$141,基础状态预期!$S$121:$S$141,$W73)*T$70*INDEX($P$57:$T$57,MATCH($O$70,$P$4:$T$4,0))*求节点(基础状态预期!$C$121:$C$141,基础状态预期!$AC$121:$AC$141,$W73)</f>
        <v>1982838.151629552</v>
      </c>
      <c r="AE73" s="70">
        <v>68</v>
      </c>
      <c r="AF73" s="113">
        <f>盗宝贼!AI72</f>
        <v>4080.5710554034627</v>
      </c>
      <c r="AG73" s="113">
        <f>盗宝贼!AJ72</f>
        <v>5154.5119388199437</v>
      </c>
      <c r="AH73" s="113">
        <f>盗宝贼!AK72</f>
        <v>5696.5828088459339</v>
      </c>
      <c r="AI73" s="113">
        <f>盗宝贼!AL72</f>
        <v>4724.0230067472385</v>
      </c>
      <c r="AJ73" s="113">
        <f>盗宝贼!AM72</f>
        <v>2615.6529371549705</v>
      </c>
      <c r="AL73" s="78">
        <f>盗宝贼!AI72/AF73</f>
        <v>1</v>
      </c>
      <c r="AM73" s="118"/>
      <c r="AO73" s="123">
        <f t="shared" si="28"/>
        <v>1.8788365542212374E-2</v>
      </c>
      <c r="AP73" s="123">
        <f t="shared" si="29"/>
        <v>1.2618061723346405E-2</v>
      </c>
      <c r="AQ73" s="123">
        <f t="shared" si="30"/>
        <v>1.0538924332572731E-2</v>
      </c>
      <c r="AR73" s="123">
        <f t="shared" si="31"/>
        <v>5.1273981765089117E-3</v>
      </c>
      <c r="AS73" s="123">
        <f t="shared" si="32"/>
        <v>1.3191459600499181E-3</v>
      </c>
    </row>
    <row r="74" spans="15:45" x14ac:dyDescent="0.15">
      <c r="W74" s="70">
        <v>69</v>
      </c>
      <c r="X74" s="113">
        <f>求节点(基础状态预期!$C$17:$C$37,基础状态预期!$O$17:$O$37,$W74)*P$66*INDEX($P$57:$T$57,MATCH($O$66,$P$4:$T$4,0))*求节点(基础状态预期!$C$17:$C$37,基础状态预期!$Y$17:$Y$37,$W74)+
求节点(基础状态预期!$C$17:$C$37,基础状态预期!$P$17:$P$37,$W74)*P$67*INDEX($P$57:$T$57,MATCH($O$67,$P$4:$T$4,0))*求节点(基础状态预期!$C$17:$C$37,基础状态预期!$Z$17:$Z$37,$W74)+
求节点(基础状态预期!$C$17:$C$37,基础状态预期!$Q$17:$Q$37,$W74)*P$68*INDEX($P$57:$T$57,MATCH($O$68,$P$4:$T$4,0))*求节点(基础状态预期!$C$17:$C$37,基础状态预期!$AA$17:$AA$37,$W74)+
求节点(基础状态预期!$C$17:$C$37,基础状态预期!$R$17:$R$37,$W74)*P$69*INDEX($P$57:$T$57,MATCH($O$69,$P$4:$T$4,0))*求节点(基础状态预期!$C$17:$C$37,基础状态预期!$AB$17:$AB$37,$W74)+
求节点(基础状态预期!$C$17:$C$37,基础状态预期!$S$17:$S$37,$W74)*P$70*INDEX($P$57:$T$57,MATCH($O$70,$P$4:$T$4,0))*求节点(基础状态预期!$C$17:$C$37,基础状态预期!$AC$17:$AC$37,$W74)</f>
        <v>226820.63909246132</v>
      </c>
      <c r="Y74" s="113">
        <f>求节点(基础状态预期!$C$43:$C$63,基础状态预期!$O$43:$O$63,$W74)*Q$66*INDEX($P$57:$T$57,MATCH($O$66,$P$4:$T$4,0))*求节点(基础状态预期!$C$43:$C$63,基础状态预期!$Y$43:$Y$63,$W74)+
求节点(基础状态预期!$C$43:$C$63,基础状态预期!$P$43:$P$63,$W74)*Q$67*INDEX($P$57:$T$57,MATCH($O$67,$P$4:$T$4,0))*求节点(基础状态预期!$C$43:$C$63,基础状态预期!$Z$43:$Z$63,$W74)+
求节点(基础状态预期!$C$43:$C$63,基础状态预期!$Q$43:$Q$63,$W74)*Q$68*INDEX($P$57:$T$57,MATCH($O$68,$P$4:$T$4,0))*求节点(基础状态预期!$C$43:$C$63,基础状态预期!$AA$43:$AA$63,$W74)+
求节点(基础状态预期!$C$43:$C$63,基础状态预期!$R$43:$R$63,$W74)*Q$69*INDEX($P$57:$T$57,MATCH($O$69,$P$4:$T$4,0))*求节点(基础状态预期!$C$43:$C$63,基础状态预期!$AB$43:$AB$63,$W74)+
求节点(基础状态预期!$C$43:$C$63,基础状态预期!$S$43:$S$63,$W74)*Q$70*INDEX($P$57:$T$57,MATCH($O$70,$P$4:$T$4,0))*求节点(基础状态预期!$C$43:$C$63,基础状态预期!$AC$43:$AC$63,$W74)</f>
        <v>418137.25346118183</v>
      </c>
      <c r="Z74" s="113">
        <f>求节点(基础状态预期!$C$69:$C$89,基础状态预期!$O$69:$O$89,$W74)*R$66*INDEX($P$57:$T$57,MATCH($O$66,$P$4:$T$4,0))*求节点(基础状态预期!$C$69:$C$89,基础状态预期!AA85:AA105,$W74)+
求节点(基础状态预期!$C$69:$C$89,基础状态预期!$P$69:$P$89,$W74)*R$67*INDEX($P$57:$T$57,MATCH($O$67,$P$4:$T$4,0))*求节点(基础状态预期!$C$69:$C$89,基础状态预期!$Z$69:$Z$89,$W74)+
求节点(基础状态预期!$C$69:$C$89,基础状态预期!$Q$69:$Q$89,$W74)*R$68*INDEX($P$57:$T$57,MATCH($O$68,$P$4:$T$4,0))*求节点(基础状态预期!$C$69:$C$89,基础状态预期!$AA$69:$AA$89,$W74)+
求节点(基础状态预期!$C$69:$C$89,基础状态预期!$R$69:$R$89,$W74)*R$69*INDEX($P$57:$T$57,MATCH($O$69,$P$4:$T$4,0))*求节点(基础状态预期!$C$69:$C$89,基础状态预期!$AB$69:$AB$89,$W74)+
求节点(基础状态预期!$C$69:$C$89,基础状态预期!$S$69:$S$89,$W74)*R$70*INDEX($P$57:$T$57,MATCH($O$70,$P$4:$T$4,0))*求节点(基础状态预期!$C$69:$C$89,基础状态预期!$AC$69:$AC$89,$W74)</f>
        <v>569029.91532976483</v>
      </c>
      <c r="AA74" s="113">
        <f>求节点(基础状态预期!$C$95:$C$115,基础状态预期!$O$95:$O$115,$W74)*S$66*INDEX($P$57:$T$57,MATCH($O$66,$P$4:$T$4,0))*求节点(基础状态预期!$C$95:$C$115,基础状态预期!$Y$95:$Y$115,$W74)+
求节点(基础状态预期!$C$95:$C$115,基础状态预期!$P$95:$P$115,$W74)*S$67*INDEX($P$57:$T$57,MATCH($O$67,$P$4:$T$4,0))*求节点(基础状态预期!$C$95:$C$115,基础状态预期!$Z$95:$Z$115,$W74)+
求节点(基础状态预期!$C$95:$C$115,基础状态预期!$Q$95:$Q$115,$W74)*S$68*INDEX($P$57:$T$57,MATCH($O$68,$P$4:$T$4,0))*求节点(基础状态预期!$C$95:$C$115,基础状态预期!$AA$95:$AA$115,$W74)+
求节点(基础状态预期!$C$95:$C$115,基础状态预期!$R$95:$R$115,$W74)*S$69*INDEX($P$57:$T$57,MATCH($O$69,$P$4:$T$4,0))*求节点(基础状态预期!$C$95:$C$115,基础状态预期!$AB$95:$AB$115,$W74)+
求节点(基础状态预期!$C$95:$C$115,基础状态预期!$S$95:$S$115,$W74)*S$70*INDEX($P$57:$T$57,MATCH($O$70,$P$4:$T$4,0))*求节点(基础状态预期!$C$95:$C$115,基础状态预期!$AC$95:$AC$115,$W74)</f>
        <v>980956.02917364053</v>
      </c>
      <c r="AB74" s="113">
        <f>求节点(基础状态预期!$C$121:$C$141,基础状态预期!$O$121:$O$141,$W74)*T$66*INDEX($P$57:$T$57,MATCH($O$66,$P$4:$T$4,0))*求节点(基础状态预期!$C$121:$C$141,基础状态预期!$Y$121:$Y$141,$W74)+
求节点(基础状态预期!$C$121:$C$141,基础状态预期!$P$121:$P$141,$W74)*T$67*INDEX($P$57:$T$57,MATCH($O$67,$P$4:$T$4,0))*求节点(基础状态预期!$C$121:$C$141,基础状态预期!$Z$121:$Z$141,$W74)+
求节点(基础状态预期!$C$121:$C$141,基础状态预期!$Q$121:$Q$141,$W74)*T$68*INDEX($P$57:$T$57,MATCH($O$68,$P$4:$T$4,0))*求节点(基础状态预期!$C$121:$C$141,基础状态预期!$AA$121:$AA$141,$W74)+
求节点(基础状态预期!$C$121:$C$141,基础状态预期!$R$121:$R$141,$W74)*T$69*INDEX($P$57:$T$57,MATCH($O$69,$P$4:$T$4,0))*求节点(基础状态预期!$C$121:$C$141,基础状态预期!$AB$121:$AB$141,$W74)+
求节点(基础状态预期!$C$121:$C$141,基础状态预期!$S$121:$S$141,$W74)*T$70*INDEX($P$57:$T$57,MATCH($O$70,$P$4:$T$4,0))*求节点(基础状态预期!$C$121:$C$141,基础状态预期!$AC$121:$AC$141,$W74)</f>
        <v>2017764.3630875335</v>
      </c>
      <c r="AE74" s="70">
        <v>69</v>
      </c>
      <c r="AF74" s="113">
        <f>盗宝贼!AI73</f>
        <v>4592.2865572294468</v>
      </c>
      <c r="AG74" s="113">
        <f>盗宝贼!AJ73</f>
        <v>5777.0243741554641</v>
      </c>
      <c r="AH74" s="113">
        <f>盗宝贼!AK73</f>
        <v>6410.9053893306991</v>
      </c>
      <c r="AI74" s="113">
        <f>盗宝贼!AL73</f>
        <v>5314.6332733638919</v>
      </c>
      <c r="AJ74" s="113">
        <f>盗宝贼!AM73</f>
        <v>2930.9456320074819</v>
      </c>
      <c r="AL74" s="78">
        <f>盗宝贼!AI73/AF74</f>
        <v>1</v>
      </c>
      <c r="AM74" s="118"/>
      <c r="AO74" s="123">
        <f t="shared" si="28"/>
        <v>2.0246334617536475E-2</v>
      </c>
      <c r="AP74" s="123">
        <f t="shared" si="29"/>
        <v>1.3816095854496207E-2</v>
      </c>
      <c r="AQ74" s="123">
        <f t="shared" si="30"/>
        <v>1.1266376716970046E-2</v>
      </c>
      <c r="AR74" s="123">
        <f t="shared" si="31"/>
        <v>5.4178098867906956E-3</v>
      </c>
      <c r="AS74" s="123">
        <f t="shared" si="32"/>
        <v>1.4525708182905068E-3</v>
      </c>
    </row>
    <row r="75" spans="15:45" x14ac:dyDescent="0.15">
      <c r="W75" s="70">
        <v>70</v>
      </c>
      <c r="X75" s="113">
        <f>求节点(基础状态预期!$C$17:$C$37,基础状态预期!$O$17:$O$37,$W75)*P$66*INDEX($P$57:$T$57,MATCH($O$66,$P$4:$T$4,0))*求节点(基础状态预期!$C$17:$C$37,基础状态预期!$Y$17:$Y$37,$W75)+
求节点(基础状态预期!$C$17:$C$37,基础状态预期!$P$17:$P$37,$W75)*P$67*INDEX($P$57:$T$57,MATCH($O$67,$P$4:$T$4,0))*求节点(基础状态预期!$C$17:$C$37,基础状态预期!$Z$17:$Z$37,$W75)+
求节点(基础状态预期!$C$17:$C$37,基础状态预期!$Q$17:$Q$37,$W75)*P$68*INDEX($P$57:$T$57,MATCH($O$68,$P$4:$T$4,0))*求节点(基础状态预期!$C$17:$C$37,基础状态预期!$AA$17:$AA$37,$W75)+
求节点(基础状态预期!$C$17:$C$37,基础状态预期!$R$17:$R$37,$W75)*P$69*INDEX($P$57:$T$57,MATCH($O$69,$P$4:$T$4,0))*求节点(基础状态预期!$C$17:$C$37,基础状态预期!$AB$17:$AB$37,$W75)+
求节点(基础状态预期!$C$17:$C$37,基础状态预期!$S$17:$S$37,$W75)*P$70*INDEX($P$57:$T$57,MATCH($O$70,$P$4:$T$4,0))*求节点(基础状态预期!$C$17:$C$37,基础状态预期!$AC$17:$AC$37,$W75)</f>
        <v>236455.21981089737</v>
      </c>
      <c r="Y75" s="113">
        <f>求节点(基础状态预期!$C$43:$C$63,基础状态预期!$O$43:$O$63,$W75)*Q$66*INDEX($P$57:$T$57,MATCH($O$66,$P$4:$T$4,0))*求节点(基础状态预期!$C$43:$C$63,基础状态预期!$Y$43:$Y$63,$W75)+
求节点(基础状态预期!$C$43:$C$63,基础状态预期!$P$43:$P$63,$W75)*Q$67*INDEX($P$57:$T$57,MATCH($O$67,$P$4:$T$4,0))*求节点(基础状态预期!$C$43:$C$63,基础状态预期!$Z$43:$Z$63,$W75)+
求节点(基础状态预期!$C$43:$C$63,基础状态预期!$Q$43:$Q$63,$W75)*Q$68*INDEX($P$57:$T$57,MATCH($O$68,$P$4:$T$4,0))*求节点(基础状态预期!$C$43:$C$63,基础状态预期!$AA$43:$AA$63,$W75)+
求节点(基础状态预期!$C$43:$C$63,基础状态预期!$R$43:$R$63,$W75)*Q$69*INDEX($P$57:$T$57,MATCH($O$69,$P$4:$T$4,0))*求节点(基础状态预期!$C$43:$C$63,基础状态预期!$AB$43:$AB$63,$W75)+
求节点(基础状态预期!$C$43:$C$63,基础状态预期!$S$43:$S$63,$W75)*Q$70*INDEX($P$57:$T$57,MATCH($O$70,$P$4:$T$4,0))*求节点(基础状态预期!$C$43:$C$63,基础状态预期!$AC$43:$AC$63,$W75)</f>
        <v>427771.83417961787</v>
      </c>
      <c r="Z75" s="113">
        <f>求节点(基础状态预期!$C$69:$C$89,基础状态预期!$O$69:$O$89,$W75)*R$66*INDEX($P$57:$T$57,MATCH($O$66,$P$4:$T$4,0))*求节点(基础状态预期!$C$69:$C$89,基础状态预期!AA86:AA106,$W75)+
求节点(基础状态预期!$C$69:$C$89,基础状态预期!$P$69:$P$89,$W75)*R$67*INDEX($P$57:$T$57,MATCH($O$67,$P$4:$T$4,0))*求节点(基础状态预期!$C$69:$C$89,基础状态预期!$Z$69:$Z$89,$W75)+
求节点(基础状态预期!$C$69:$C$89,基础状态预期!$Q$69:$Q$89,$W75)*R$68*INDEX($P$57:$T$57,MATCH($O$68,$P$4:$T$4,0))*求节点(基础状态预期!$C$69:$C$89,基础状态预期!$AA$69:$AA$89,$W75)+
求节点(基础状态预期!$C$69:$C$89,基础状态预期!$R$69:$R$89,$W75)*R$69*INDEX($P$57:$T$57,MATCH($O$69,$P$4:$T$4,0))*求节点(基础状态预期!$C$69:$C$89,基础状态预期!$AB$69:$AB$89,$W75)+
求节点(基础状态预期!$C$69:$C$89,基础状态预期!$S$69:$S$89,$W75)*R$70*INDEX($P$57:$T$57,MATCH($O$70,$P$4:$T$4,0))*求节点(基础状态预期!$C$69:$C$89,基础状态预期!$AC$69:$AC$89,$W75)</f>
        <v>598701.93235526734</v>
      </c>
      <c r="AA75" s="113">
        <f>求节点(基础状态预期!$C$95:$C$115,基础状态预期!$O$95:$O$115,$W75)*S$66*INDEX($P$57:$T$57,MATCH($O$66,$P$4:$T$4,0))*求节点(基础状态预期!$C$95:$C$115,基础状态预期!$Y$95:$Y$115,$W75)+
求节点(基础状态预期!$C$95:$C$115,基础状态预期!$P$95:$P$115,$W75)*S$67*INDEX($P$57:$T$57,MATCH($O$67,$P$4:$T$4,0))*求节点(基础状态预期!$C$95:$C$115,基础状态预期!$Z$95:$Z$115,$W75)+
求节点(基础状态预期!$C$95:$C$115,基础状态预期!$Q$95:$Q$115,$W75)*S$68*INDEX($P$57:$T$57,MATCH($O$68,$P$4:$T$4,0))*求节点(基础状态预期!$C$95:$C$115,基础状态预期!$AA$95:$AA$115,$W75)+
求节点(基础状态预期!$C$95:$C$115,基础状态预期!$R$95:$R$115,$W75)*S$69*INDEX($P$57:$T$57,MATCH($O$69,$P$4:$T$4,0))*求节点(基础状态预期!$C$95:$C$115,基础状态预期!$AB$95:$AB$115,$W75)+
求节点(基础状态预期!$C$95:$C$115,基础状态预期!$S$95:$S$115,$W75)*S$70*INDEX($P$57:$T$57,MATCH($O$70,$P$4:$T$4,0))*求节点(基础状态预期!$C$95:$C$115,基础状态预期!$AC$95:$AC$115,$W75)</f>
        <v>1044544.2411735812</v>
      </c>
      <c r="AB75" s="113">
        <f>求节点(基础状态预期!$C$121:$C$141,基础状态预期!$O$121:$O$141,$W75)*T$66*INDEX($P$57:$T$57,MATCH($O$66,$P$4:$T$4,0))*求节点(基础状态预期!$C$121:$C$141,基础状态预期!$Y$121:$Y$141,$W75)+
求节点(基础状态预期!$C$121:$C$141,基础状态预期!$P$121:$P$141,$W75)*T$67*INDEX($P$57:$T$57,MATCH($O$67,$P$4:$T$4,0))*求节点(基础状态预期!$C$121:$C$141,基础状态预期!$Z$121:$Z$141,$W75)+
求节点(基础状态预期!$C$121:$C$141,基础状态预期!$Q$121:$Q$141,$W75)*T$68*INDEX($P$57:$T$57,MATCH($O$68,$P$4:$T$4,0))*求节点(基础状态预期!$C$121:$C$141,基础状态预期!$AA$121:$AA$141,$W75)+
求节点(基础状态预期!$C$121:$C$141,基础状态预期!$R$121:$R$141,$W75)*T$69*INDEX($P$57:$T$57,MATCH($O$69,$P$4:$T$4,0))*求节点(基础状态预期!$C$121:$C$141,基础状态预期!$AB$121:$AB$141,$W75)+
求节点(基础状态预期!$C$121:$C$141,基础状态预期!$S$121:$S$141,$W75)*T$70*INDEX($P$57:$T$57,MATCH($O$70,$P$4:$T$4,0))*求节点(基础状态预期!$C$121:$C$141,基础状态预期!$AC$121:$AC$141,$W75)</f>
        <v>2052690.5745455152</v>
      </c>
      <c r="AE75" s="70">
        <v>70</v>
      </c>
      <c r="AF75" s="113">
        <f>盗宝贼!AI74</f>
        <v>5168.1518072162571</v>
      </c>
      <c r="AG75" s="113">
        <f>盗宝贼!AJ74</f>
        <v>6506.7833889934791</v>
      </c>
      <c r="AH75" s="113">
        <f>盗宝贼!AK74</f>
        <v>7236.4894476176696</v>
      </c>
      <c r="AI75" s="113">
        <f>盗宝贼!AL74</f>
        <v>5975.0727566037049</v>
      </c>
      <c r="AJ75" s="113">
        <f>盗宝贼!AM74</f>
        <v>3297.9669529319208</v>
      </c>
      <c r="AL75" s="78">
        <f>盗宝贼!AI74/AF75</f>
        <v>1</v>
      </c>
      <c r="AM75" s="118"/>
      <c r="AO75" s="123">
        <f t="shared" si="28"/>
        <v>2.1856788830246308E-2</v>
      </c>
      <c r="AP75" s="123">
        <f t="shared" si="29"/>
        <v>1.5210873809567682E-2</v>
      </c>
      <c r="AQ75" s="123">
        <f t="shared" si="30"/>
        <v>1.2086965243538859E-2</v>
      </c>
      <c r="AR75" s="123">
        <f t="shared" si="31"/>
        <v>5.7202677695015634E-3</v>
      </c>
      <c r="AS75" s="123">
        <f t="shared" si="32"/>
        <v>1.6066556712582565E-3</v>
      </c>
    </row>
    <row r="76" spans="15:45" x14ac:dyDescent="0.15">
      <c r="W76" s="70">
        <v>71</v>
      </c>
      <c r="X76" s="113">
        <f>求节点(基础状态预期!$C$17:$C$37,基础状态预期!$O$17:$O$37,$W76)*P$66*INDEX($P$57:$T$57,MATCH($O$66,$P$4:$T$4,0))*求节点(基础状态预期!$C$17:$C$37,基础状态预期!$Y$17:$Y$37,$W76)+
求节点(基础状态预期!$C$17:$C$37,基础状态预期!$P$17:$P$37,$W76)*P$67*INDEX($P$57:$T$57,MATCH($O$67,$P$4:$T$4,0))*求节点(基础状态预期!$C$17:$C$37,基础状态预期!$Z$17:$Z$37,$W76)+
求节点(基础状态预期!$C$17:$C$37,基础状态预期!$Q$17:$Q$37,$W76)*P$68*INDEX($P$57:$T$57,MATCH($O$68,$P$4:$T$4,0))*求节点(基础状态预期!$C$17:$C$37,基础状态预期!$AA$17:$AA$37,$W76)+
求节点(基础状态预期!$C$17:$C$37,基础状态预期!$R$17:$R$37,$W76)*P$69*INDEX($P$57:$T$57,MATCH($O$69,$P$4:$T$4,0))*求节点(基础状态预期!$C$17:$C$37,基础状态预期!$AB$17:$AB$37,$W76)+
求节点(基础状态预期!$C$17:$C$37,基础状态预期!$S$17:$S$37,$W76)*P$70*INDEX($P$57:$T$57,MATCH($O$70,$P$4:$T$4,0))*求节点(基础状态预期!$C$17:$C$37,基础状态预期!$AC$17:$AC$37,$W76)</f>
        <v>246089.80052933341</v>
      </c>
      <c r="Y76" s="113">
        <f>求节点(基础状态预期!$C$43:$C$63,基础状态预期!$O$43:$O$63,$W76)*Q$66*INDEX($P$57:$T$57,MATCH($O$66,$P$4:$T$4,0))*求节点(基础状态预期!$C$43:$C$63,基础状态预期!$Y$43:$Y$63,$W76)+
求节点(基础状态预期!$C$43:$C$63,基础状态预期!$P$43:$P$63,$W76)*Q$67*INDEX($P$57:$T$57,MATCH($O$67,$P$4:$T$4,0))*求节点(基础状态预期!$C$43:$C$63,基础状态预期!$Z$43:$Z$63,$W76)+
求节点(基础状态预期!$C$43:$C$63,基础状态预期!$Q$43:$Q$63,$W76)*Q$68*INDEX($P$57:$T$57,MATCH($O$68,$P$4:$T$4,0))*求节点(基础状态预期!$C$43:$C$63,基础状态预期!$AA$43:$AA$63,$W76)+
求节点(基础状态预期!$C$43:$C$63,基础状态预期!$R$43:$R$63,$W76)*Q$69*INDEX($P$57:$T$57,MATCH($O$69,$P$4:$T$4,0))*求节点(基础状态预期!$C$43:$C$63,基础状态预期!$AB$43:$AB$63,$W76)+
求节点(基础状态预期!$C$43:$C$63,基础状态预期!$S$43:$S$63,$W76)*Q$70*INDEX($P$57:$T$57,MATCH($O$70,$P$4:$T$4,0))*求节点(基础状态预期!$C$43:$C$63,基础状态预期!$AC$43:$AC$63,$W76)</f>
        <v>437406.41489805392</v>
      </c>
      <c r="Z76" s="113">
        <f>求节点(基础状态预期!$C$69:$C$89,基础状态预期!$O$69:$O$89,$W76)*R$66*INDEX($P$57:$T$57,MATCH($O$66,$P$4:$T$4,0))*求节点(基础状态预期!$C$69:$C$89,基础状态预期!AA87:AA107,$W76)+
求节点(基础状态预期!$C$69:$C$89,基础状态预期!$P$69:$P$89,$W76)*R$67*INDEX($P$57:$T$57,MATCH($O$67,$P$4:$T$4,0))*求节点(基础状态预期!$C$69:$C$89,基础状态预期!$Z$69:$Z$89,$W76)+
求节点(基础状态预期!$C$69:$C$89,基础状态预期!$Q$69:$Q$89,$W76)*R$68*INDEX($P$57:$T$57,MATCH($O$68,$P$4:$T$4,0))*求节点(基础状态预期!$C$69:$C$89,基础状态预期!$AA$69:$AA$89,$W76)+
求节点(基础状态预期!$C$69:$C$89,基础状态预期!$R$69:$R$89,$W76)*R$69*INDEX($P$57:$T$57,MATCH($O$69,$P$4:$T$4,0))*求节点(基础状态预期!$C$69:$C$89,基础状态预期!$AB$69:$AB$89,$W76)+
求节点(基础状态预期!$C$69:$C$89,基础状态预期!$S$69:$S$89,$W76)*R$70*INDEX($P$57:$T$57,MATCH($O$70,$P$4:$T$4,0))*求节点(基础状态预期!$C$69:$C$89,基础状态预期!$AC$69:$AC$89,$W76)</f>
        <v>635567.38540571602</v>
      </c>
      <c r="AA76" s="113">
        <f>求节点(基础状态预期!$C$95:$C$115,基础状态预期!$O$95:$O$115,$W76)*S$66*INDEX($P$57:$T$57,MATCH($O$66,$P$4:$T$4,0))*求节点(基础状态预期!$C$95:$C$115,基础状态预期!$Y$95:$Y$115,$W76)+
求节点(基础状态预期!$C$95:$C$115,基础状态预期!$P$95:$P$115,$W76)*S$67*INDEX($P$57:$T$57,MATCH($O$67,$P$4:$T$4,0))*求节点(基础状态预期!$C$95:$C$115,基础状态预期!$Z$95:$Z$115,$W76)+
求节点(基础状态预期!$C$95:$C$115,基础状态预期!$Q$95:$Q$115,$W76)*S$68*INDEX($P$57:$T$57,MATCH($O$68,$P$4:$T$4,0))*求节点(基础状态预期!$C$95:$C$115,基础状态预期!$AA$95:$AA$115,$W76)+
求节点(基础状态预期!$C$95:$C$115,基础状态预期!$R$95:$R$115,$W76)*S$69*INDEX($P$57:$T$57,MATCH($O$69,$P$4:$T$4,0))*求节点(基础状态预期!$C$95:$C$115,基础状态预期!$AB$95:$AB$115,$W76)+
求节点(基础状态预期!$C$95:$C$115,基础状态预期!$S$95:$S$115,$W76)*S$70*INDEX($P$57:$T$57,MATCH($O$70,$P$4:$T$4,0))*求节点(基础状态预期!$C$95:$C$115,基础状态预期!$AC$95:$AC$115,$W76)</f>
        <v>1080512.1056633918</v>
      </c>
      <c r="AB76" s="113">
        <f>求节点(基础状态预期!$C$121:$C$141,基础状态预期!$O$121:$O$141,$W76)*T$66*INDEX($P$57:$T$57,MATCH($O$66,$P$4:$T$4,0))*求节点(基础状态预期!$C$121:$C$141,基础状态预期!$Y$121:$Y$141,$W76)+
求节点(基础状态预期!$C$121:$C$141,基础状态预期!$P$121:$P$141,$W76)*T$67*INDEX($P$57:$T$57,MATCH($O$67,$P$4:$T$4,0))*求节点(基础状态预期!$C$121:$C$141,基础状态预期!$Z$121:$Z$141,$W76)+
求节点(基础状态预期!$C$121:$C$141,基础状态预期!$Q$121:$Q$141,$W76)*T$68*INDEX($P$57:$T$57,MATCH($O$68,$P$4:$T$4,0))*求节点(基础状态预期!$C$121:$C$141,基础状态预期!$AA$121:$AA$141,$W76)+
求节点(基础状态预期!$C$121:$C$141,基础状态预期!$R$121:$R$141,$W76)*T$69*INDEX($P$57:$T$57,MATCH($O$69,$P$4:$T$4,0))*求节点(基础状态预期!$C$121:$C$141,基础状态预期!$AB$121:$AB$141,$W76)+
求节点(基础状态预期!$C$121:$C$141,基础状态预期!$S$121:$S$141,$W76)*T$70*INDEX($P$57:$T$57,MATCH($O$70,$P$4:$T$4,0))*求节点(基础状态预期!$C$121:$C$141,基础状态预期!$AC$121:$AC$141,$W76)</f>
        <v>2052690.5745455152</v>
      </c>
      <c r="AE76" s="70">
        <v>71</v>
      </c>
      <c r="AF76" s="113">
        <f>盗宝贼!AI75</f>
        <v>5816.2087547955789</v>
      </c>
      <c r="AG76" s="113">
        <f>盗宝贼!AJ75</f>
        <v>7335.3081330266759</v>
      </c>
      <c r="AH76" s="113">
        <f>盗宝贼!AK75</f>
        <v>8140.3853049331528</v>
      </c>
      <c r="AI76" s="113">
        <f>盗宝贼!AL75</f>
        <v>6715.424064535754</v>
      </c>
      <c r="AJ76" s="113">
        <f>盗宝贼!AM75</f>
        <v>3712.8574354441016</v>
      </c>
      <c r="AL76" s="78">
        <f>盗宝贼!AI75/AF76</f>
        <v>1</v>
      </c>
      <c r="AM76" s="118"/>
      <c r="AO76" s="123">
        <f t="shared" si="28"/>
        <v>2.3634497416329527E-2</v>
      </c>
      <c r="AP76" s="123">
        <f t="shared" si="29"/>
        <v>1.6770005841675442E-2</v>
      </c>
      <c r="AQ76" s="123">
        <f t="shared" si="30"/>
        <v>1.2808060155158398E-2</v>
      </c>
      <c r="AR76" s="123">
        <f t="shared" si="31"/>
        <v>6.2150382483801498E-3</v>
      </c>
      <c r="AS76" s="123">
        <f t="shared" si="32"/>
        <v>1.8087759945339852E-3</v>
      </c>
    </row>
    <row r="77" spans="15:45" x14ac:dyDescent="0.15">
      <c r="W77" s="70">
        <v>72</v>
      </c>
      <c r="X77" s="113">
        <f>求节点(基础状态预期!$C$17:$C$37,基础状态预期!$O$17:$O$37,$W77)*P$66*INDEX($P$57:$T$57,MATCH($O$66,$P$4:$T$4,0))*求节点(基础状态预期!$C$17:$C$37,基础状态预期!$Y$17:$Y$37,$W77)+
求节点(基础状态预期!$C$17:$C$37,基础状态预期!$P$17:$P$37,$W77)*P$67*INDEX($P$57:$T$57,MATCH($O$67,$P$4:$T$4,0))*求节点(基础状态预期!$C$17:$C$37,基础状态预期!$Z$17:$Z$37,$W77)+
求节点(基础状态预期!$C$17:$C$37,基础状态预期!$Q$17:$Q$37,$W77)*P$68*INDEX($P$57:$T$57,MATCH($O$68,$P$4:$T$4,0))*求节点(基础状态预期!$C$17:$C$37,基础状态预期!$AA$17:$AA$37,$W77)+
求节点(基础状态预期!$C$17:$C$37,基础状态预期!$R$17:$R$37,$W77)*P$69*INDEX($P$57:$T$57,MATCH($O$69,$P$4:$T$4,0))*求节点(基础状态预期!$C$17:$C$37,基础状态预期!$AB$17:$AB$37,$W77)+
求节点(基础状态预期!$C$17:$C$37,基础状态预期!$S$17:$S$37,$W77)*P$70*INDEX($P$57:$T$57,MATCH($O$70,$P$4:$T$4,0))*求节点(基础状态预期!$C$17:$C$37,基础状态预期!$AC$17:$AC$37,$W77)</f>
        <v>255724.38124776946</v>
      </c>
      <c r="Y77" s="113">
        <f>求节点(基础状态预期!$C$43:$C$63,基础状态预期!$O$43:$O$63,$W77)*Q$66*INDEX($P$57:$T$57,MATCH($O$66,$P$4:$T$4,0))*求节点(基础状态预期!$C$43:$C$63,基础状态预期!$Y$43:$Y$63,$W77)+
求节点(基础状态预期!$C$43:$C$63,基础状态预期!$P$43:$P$63,$W77)*Q$67*INDEX($P$57:$T$57,MATCH($O$67,$P$4:$T$4,0))*求节点(基础状态预期!$C$43:$C$63,基础状态预期!$Z$43:$Z$63,$W77)+
求节点(基础状态预期!$C$43:$C$63,基础状态预期!$Q$43:$Q$63,$W77)*Q$68*INDEX($P$57:$T$57,MATCH($O$68,$P$4:$T$4,0))*求节点(基础状态预期!$C$43:$C$63,基础状态预期!$AA$43:$AA$63,$W77)+
求节点(基础状态预期!$C$43:$C$63,基础状态预期!$R$43:$R$63,$W77)*Q$69*INDEX($P$57:$T$57,MATCH($O$69,$P$4:$T$4,0))*求节点(基础状态预期!$C$43:$C$63,基础状态预期!$AB$43:$AB$63,$W77)+
求节点(基础状态预期!$C$43:$C$63,基础状态预期!$S$43:$S$63,$W77)*Q$70*INDEX($P$57:$T$57,MATCH($O$70,$P$4:$T$4,0))*求节点(基础状态预期!$C$43:$C$63,基础状态预期!$AC$43:$AC$63,$W77)</f>
        <v>447040.99561648996</v>
      </c>
      <c r="Z77" s="113">
        <f>求节点(基础状态预期!$C$69:$C$89,基础状态预期!$O$69:$O$89,$W77)*R$66*INDEX($P$57:$T$57,MATCH($O$66,$P$4:$T$4,0))*求节点(基础状态预期!$C$69:$C$89,基础状态预期!AA88:AA108,$W77)+
求节点(基础状态预期!$C$69:$C$89,基础状态预期!$P$69:$P$89,$W77)*R$67*INDEX($P$57:$T$57,MATCH($O$67,$P$4:$T$4,0))*求节点(基础状态预期!$C$69:$C$89,基础状态预期!$Z$69:$Z$89,$W77)+
求节点(基础状态预期!$C$69:$C$89,基础状态预期!$Q$69:$Q$89,$W77)*R$68*INDEX($P$57:$T$57,MATCH($O$68,$P$4:$T$4,0))*求节点(基础状态预期!$C$69:$C$89,基础状态预期!$AA$69:$AA$89,$W77)+
求节点(基础状态预期!$C$69:$C$89,基础状态预期!$R$69:$R$89,$W77)*R$69*INDEX($P$57:$T$57,MATCH($O$69,$P$4:$T$4,0))*求节点(基础状态预期!$C$69:$C$89,基础状态预期!$AB$69:$AB$89,$W77)+
求节点(基础状态预期!$C$69:$C$89,基础状态预期!$S$69:$S$89,$W77)*R$70*INDEX($P$57:$T$57,MATCH($O$70,$P$4:$T$4,0))*求节点(基础状态预期!$C$69:$C$89,基础状态预期!$AC$69:$AC$89,$W77)</f>
        <v>674139.44580263807</v>
      </c>
      <c r="AA77" s="113">
        <f>求节点(基础状态预期!$C$95:$C$115,基础状态预期!$O$95:$O$115,$W77)*S$66*INDEX($P$57:$T$57,MATCH($O$66,$P$4:$T$4,0))*求节点(基础状态预期!$C$95:$C$115,基础状态预期!$Y$95:$Y$115,$W77)+
求节点(基础状态预期!$C$95:$C$115,基础状态预期!$P$95:$P$115,$W77)*S$67*INDEX($P$57:$T$57,MATCH($O$67,$P$4:$T$4,0))*求节点(基础状态预期!$C$95:$C$115,基础状态预期!$Z$95:$Z$115,$W77)+
求节点(基础状态预期!$C$95:$C$115,基础状态预期!$Q$95:$Q$115,$W77)*S$68*INDEX($P$57:$T$57,MATCH($O$68,$P$4:$T$4,0))*求节点(基础状态预期!$C$95:$C$115,基础状态预期!$AA$95:$AA$115,$W77)+
求节点(基础状态预期!$C$95:$C$115,基础状态预期!$R$95:$R$115,$W77)*S$69*INDEX($P$57:$T$57,MATCH($O$69,$P$4:$T$4,0))*求节点(基础状态预期!$C$95:$C$115,基础状态预期!$AB$95:$AB$115,$W77)+
求节点(基础状态预期!$C$95:$C$115,基础状态预期!$S$95:$S$115,$W77)*S$70*INDEX($P$57:$T$57,MATCH($O$70,$P$4:$T$4,0))*求节点(基础状态预期!$C$95:$C$115,基础状态预期!$AC$95:$AC$115,$W77)</f>
        <v>1117433.8067721864</v>
      </c>
      <c r="AB77" s="113">
        <f>求节点(基础状态预期!$C$121:$C$141,基础状态预期!$O$121:$O$141,$W77)*T$66*INDEX($P$57:$T$57,MATCH($O$66,$P$4:$T$4,0))*求节点(基础状态预期!$C$121:$C$141,基础状态预期!$Y$121:$Y$141,$W77)+
求节点(基础状态预期!$C$121:$C$141,基础状态预期!$P$121:$P$141,$W77)*T$67*INDEX($P$57:$T$57,MATCH($O$67,$P$4:$T$4,0))*求节点(基础状态预期!$C$121:$C$141,基础状态预期!$Z$121:$Z$141,$W77)+
求节点(基础状态预期!$C$121:$C$141,基础状态预期!$Q$121:$Q$141,$W77)*T$68*INDEX($P$57:$T$57,MATCH($O$68,$P$4:$T$4,0))*求节点(基础状态预期!$C$121:$C$141,基础状态预期!$AA$121:$AA$141,$W77)+
求节点(基础状态预期!$C$121:$C$141,基础状态预期!$R$121:$R$141,$W77)*T$69*INDEX($P$57:$T$57,MATCH($O$69,$P$4:$T$4,0))*求节点(基础状态预期!$C$121:$C$141,基础状态预期!$AB$121:$AB$141,$W77)+
求节点(基础状态预期!$C$121:$C$141,基础状态预期!$S$121:$S$141,$W77)*T$70*INDEX($P$57:$T$57,MATCH($O$70,$P$4:$T$4,0))*求节点(基础状态预期!$C$121:$C$141,基础状态预期!$AC$121:$AC$141,$W77)</f>
        <v>2052690.5745455152</v>
      </c>
      <c r="AE77" s="70">
        <v>72</v>
      </c>
      <c r="AF77" s="113">
        <f>盗宝贼!AI76</f>
        <v>6545.5075053547607</v>
      </c>
      <c r="AG77" s="113">
        <f>盗宝贼!AJ76</f>
        <v>8257.5265192716706</v>
      </c>
      <c r="AH77" s="113">
        <f>盗宝贼!AK76</f>
        <v>9127.2029102116703</v>
      </c>
      <c r="AI77" s="113">
        <f>盗宝贼!AL76</f>
        <v>7540.3346883624681</v>
      </c>
      <c r="AJ77" s="113">
        <f>盗宝贼!AM76</f>
        <v>4172.3292189277045</v>
      </c>
      <c r="AL77" s="78">
        <f>盗宝贼!AI76/AF77</f>
        <v>1</v>
      </c>
      <c r="AM77" s="118"/>
      <c r="AO77" s="123">
        <f t="shared" si="28"/>
        <v>2.5595946203552905E-2</v>
      </c>
      <c r="AP77" s="123">
        <f t="shared" si="29"/>
        <v>1.8471519615072807E-2</v>
      </c>
      <c r="AQ77" s="123">
        <f t="shared" si="30"/>
        <v>1.3539042948814127E-2</v>
      </c>
      <c r="AR77" s="123">
        <f t="shared" si="31"/>
        <v>6.7479027774749725E-3</v>
      </c>
      <c r="AS77" s="123">
        <f t="shared" si="32"/>
        <v>2.032614788934517E-3</v>
      </c>
    </row>
    <row r="78" spans="15:45" x14ac:dyDescent="0.15">
      <c r="W78" s="70">
        <v>73</v>
      </c>
      <c r="X78" s="113">
        <f>求节点(基础状态预期!$C$17:$C$37,基础状态预期!$O$17:$O$37,$W78)*P$66*INDEX($P$57:$T$57,MATCH($O$66,$P$4:$T$4,0))*求节点(基础状态预期!$C$17:$C$37,基础状态预期!$Y$17:$Y$37,$W78)+
求节点(基础状态预期!$C$17:$C$37,基础状态预期!$P$17:$P$37,$W78)*P$67*INDEX($P$57:$T$57,MATCH($O$67,$P$4:$T$4,0))*求节点(基础状态预期!$C$17:$C$37,基础状态预期!$Z$17:$Z$37,$W78)+
求节点(基础状态预期!$C$17:$C$37,基础状态预期!$Q$17:$Q$37,$W78)*P$68*INDEX($P$57:$T$57,MATCH($O$68,$P$4:$T$4,0))*求节点(基础状态预期!$C$17:$C$37,基础状态预期!$AA$17:$AA$37,$W78)+
求节点(基础状态预期!$C$17:$C$37,基础状态预期!$R$17:$R$37,$W78)*P$69*INDEX($P$57:$T$57,MATCH($O$69,$P$4:$T$4,0))*求节点(基础状态预期!$C$17:$C$37,基础状态预期!$AB$17:$AB$37,$W78)+
求节点(基础状态预期!$C$17:$C$37,基础状态预期!$S$17:$S$37,$W78)*P$70*INDEX($P$57:$T$57,MATCH($O$70,$P$4:$T$4,0))*求节点(基础状态预期!$C$17:$C$37,基础状态预期!$AC$17:$AC$37,$W78)</f>
        <v>265358.96196620545</v>
      </c>
      <c r="Y78" s="113">
        <f>求节点(基础状态预期!$C$43:$C$63,基础状态预期!$O$43:$O$63,$W78)*Q$66*INDEX($P$57:$T$57,MATCH($O$66,$P$4:$T$4,0))*求节点(基础状态预期!$C$43:$C$63,基础状态预期!$Y$43:$Y$63,$W78)+
求节点(基础状态预期!$C$43:$C$63,基础状态预期!$P$43:$P$63,$W78)*Q$67*INDEX($P$57:$T$57,MATCH($O$67,$P$4:$T$4,0))*求节点(基础状态预期!$C$43:$C$63,基础状态预期!$Z$43:$Z$63,$W78)+
求节点(基础状态预期!$C$43:$C$63,基础状态预期!$Q$43:$Q$63,$W78)*Q$68*INDEX($P$57:$T$57,MATCH($O$68,$P$4:$T$4,0))*求节点(基础状态预期!$C$43:$C$63,基础状态预期!$AA$43:$AA$63,$W78)+
求节点(基础状态预期!$C$43:$C$63,基础状态预期!$R$43:$R$63,$W78)*Q$69*INDEX($P$57:$T$57,MATCH($O$69,$P$4:$T$4,0))*求节点(基础状态预期!$C$43:$C$63,基础状态预期!$AB$43:$AB$63,$W78)+
求节点(基础状态预期!$C$43:$C$63,基础状态预期!$S$43:$S$63,$W78)*Q$70*INDEX($P$57:$T$57,MATCH($O$70,$P$4:$T$4,0))*求节点(基础状态预期!$C$43:$C$63,基础状态预期!$AC$43:$AC$63,$W78)</f>
        <v>456675.57633492595</v>
      </c>
      <c r="Z78" s="113">
        <f>求节点(基础状态预期!$C$69:$C$89,基础状态预期!$O$69:$O$89,$W78)*R$66*INDEX($P$57:$T$57,MATCH($O$66,$P$4:$T$4,0))*求节点(基础状态预期!$C$69:$C$89,基础状态预期!AA89:AA109,$W78)+
求节点(基础状态预期!$C$69:$C$89,基础状态预期!$P$69:$P$89,$W78)*R$67*INDEX($P$57:$T$57,MATCH($O$67,$P$4:$T$4,0))*求节点(基础状态预期!$C$69:$C$89,基础状态预期!$Z$69:$Z$89,$W78)+
求节点(基础状态预期!$C$69:$C$89,基础状态预期!$Q$69:$Q$89,$W78)*R$68*INDEX($P$57:$T$57,MATCH($O$68,$P$4:$T$4,0))*求节点(基础状态预期!$C$69:$C$89,基础状态预期!$AA$69:$AA$89,$W78)+
求节点(基础状态预期!$C$69:$C$89,基础状态预期!$R$69:$R$89,$W78)*R$69*INDEX($P$57:$T$57,MATCH($O$69,$P$4:$T$4,0))*求节点(基础状态预期!$C$69:$C$89,基础状态预期!$AB$69:$AB$89,$W78)+
求节点(基础状态预期!$C$69:$C$89,基础状态预期!$S$69:$S$89,$W78)*R$70*INDEX($P$57:$T$57,MATCH($O$70,$P$4:$T$4,0))*求节点(基础状态预期!$C$69:$C$89,基础状态预期!$AC$69:$AC$89,$W78)</f>
        <v>714418.11354603362</v>
      </c>
      <c r="AA78" s="113">
        <f>求节点(基础状态预期!$C$95:$C$115,基础状态预期!$O$95:$O$115,$W78)*S$66*INDEX($P$57:$T$57,MATCH($O$66,$P$4:$T$4,0))*求节点(基础状态预期!$C$95:$C$115,基础状态预期!$Y$95:$Y$115,$W78)+
求节点(基础状态预期!$C$95:$C$115,基础状态预期!$P$95:$P$115,$W78)*S$67*INDEX($P$57:$T$57,MATCH($O$67,$P$4:$T$4,0))*求节点(基础状态预期!$C$95:$C$115,基础状态预期!$Z$95:$Z$115,$W78)+
求节点(基础状态预期!$C$95:$C$115,基础状态预期!$Q$95:$Q$115,$W78)*S$68*INDEX($P$57:$T$57,MATCH($O$68,$P$4:$T$4,0))*求节点(基础状态预期!$C$95:$C$115,基础状态预期!$AA$95:$AA$115,$W78)+
求节点(基础状态预期!$C$95:$C$115,基础状态预期!$R$95:$R$115,$W78)*S$69*INDEX($P$57:$T$57,MATCH($O$69,$P$4:$T$4,0))*求节点(基础状态预期!$C$95:$C$115,基础状态预期!$AB$95:$AB$115,$W78)+
求节点(基础状态预期!$C$95:$C$115,基础状态预期!$S$95:$S$115,$W78)*S$70*INDEX($P$57:$T$57,MATCH($O$70,$P$4:$T$4,0))*求节点(基础状态预期!$C$95:$C$115,基础状态预期!$AC$95:$AC$115,$W78)</f>
        <v>1155309.3444999647</v>
      </c>
      <c r="AB78" s="113">
        <f>求节点(基础状态预期!$C$121:$C$141,基础状态预期!$O$121:$O$141,$W78)*T$66*INDEX($P$57:$T$57,MATCH($O$66,$P$4:$T$4,0))*求节点(基础状态预期!$C$121:$C$141,基础状态预期!$Y$121:$Y$141,$W78)+
求节点(基础状态预期!$C$121:$C$141,基础状态预期!$P$121:$P$141,$W78)*T$67*INDEX($P$57:$T$57,MATCH($O$67,$P$4:$T$4,0))*求节点(基础状态预期!$C$121:$C$141,基础状态预期!$Z$121:$Z$141,$W78)+
求节点(基础状态预期!$C$121:$C$141,基础状态预期!$Q$121:$Q$141,$W78)*T$68*INDEX($P$57:$T$57,MATCH($O$68,$P$4:$T$4,0))*求节点(基础状态预期!$C$121:$C$141,基础状态预期!$AA$121:$AA$141,$W78)+
求节点(基础状态预期!$C$121:$C$141,基础状态预期!$R$121:$R$141,$W78)*T$69*INDEX($P$57:$T$57,MATCH($O$69,$P$4:$T$4,0))*求节点(基础状态预期!$C$121:$C$141,基础状态预期!$AB$121:$AB$141,$W78)+
求节点(基础状态预期!$C$121:$C$141,基础状态预期!$S$121:$S$141,$W78)*T$70*INDEX($P$57:$T$57,MATCH($O$70,$P$4:$T$4,0))*求节点(基础状态预期!$C$121:$C$141,基础状态预期!$AC$121:$AC$141,$W78)</f>
        <v>2052690.5745455152</v>
      </c>
      <c r="AE78" s="70">
        <v>73</v>
      </c>
      <c r="AF78" s="113">
        <f>盗宝贼!AI77</f>
        <v>7366.2327048204825</v>
      </c>
      <c r="AG78" s="113">
        <f>盗宝贼!AJ77</f>
        <v>9258.2280550969899</v>
      </c>
      <c r="AH78" s="113">
        <f>盗宝贼!AK77</f>
        <v>10244.587591481926</v>
      </c>
      <c r="AI78" s="113">
        <f>盗宝贼!AL77</f>
        <v>8475.1730489684978</v>
      </c>
      <c r="AJ78" s="113">
        <f>盗宝贼!AM77</f>
        <v>4691.3880719440604</v>
      </c>
      <c r="AL78" s="78">
        <f>盗宝贼!AI77/AF78</f>
        <v>1</v>
      </c>
      <c r="AM78" s="118"/>
      <c r="AO78" s="123">
        <f t="shared" si="28"/>
        <v>2.7759502261538851E-2</v>
      </c>
      <c r="AP78" s="123">
        <f t="shared" si="29"/>
        <v>2.0273096558829334E-2</v>
      </c>
      <c r="AQ78" s="123">
        <f t="shared" si="30"/>
        <v>1.433976462415355E-2</v>
      </c>
      <c r="AR78" s="123">
        <f t="shared" si="31"/>
        <v>7.335847398201977E-3</v>
      </c>
      <c r="AS78" s="123">
        <f t="shared" si="32"/>
        <v>2.2854823469839226E-3</v>
      </c>
    </row>
    <row r="79" spans="15:45" x14ac:dyDescent="0.15">
      <c r="W79" s="70">
        <v>74</v>
      </c>
      <c r="X79" s="113">
        <f>求节点(基础状态预期!$C$17:$C$37,基础状态预期!$O$17:$O$37,$W79)*P$66*INDEX($P$57:$T$57,MATCH($O$66,$P$4:$T$4,0))*求节点(基础状态预期!$C$17:$C$37,基础状态预期!$Y$17:$Y$37,$W79)+
求节点(基础状态预期!$C$17:$C$37,基础状态预期!$P$17:$P$37,$W79)*P$67*INDEX($P$57:$T$57,MATCH($O$67,$P$4:$T$4,0))*求节点(基础状态预期!$C$17:$C$37,基础状态预期!$Z$17:$Z$37,$W79)+
求节点(基础状态预期!$C$17:$C$37,基础状态预期!$Q$17:$Q$37,$W79)*P$68*INDEX($P$57:$T$57,MATCH($O$68,$P$4:$T$4,0))*求节点(基础状态预期!$C$17:$C$37,基础状态预期!$AA$17:$AA$37,$W79)+
求节点(基础状态预期!$C$17:$C$37,基础状态预期!$R$17:$R$37,$W79)*P$69*INDEX($P$57:$T$57,MATCH($O$69,$P$4:$T$4,0))*求节点(基础状态预期!$C$17:$C$37,基础状态预期!$AB$17:$AB$37,$W79)+
求节点(基础状态预期!$C$17:$C$37,基础状态预期!$S$17:$S$37,$W79)*P$70*INDEX($P$57:$T$57,MATCH($O$70,$P$4:$T$4,0))*求节点(基础状态预期!$C$17:$C$37,基础状态预期!$AC$17:$AC$37,$W79)</f>
        <v>274993.54268464143</v>
      </c>
      <c r="Y79" s="113">
        <f>求节点(基础状态预期!$C$43:$C$63,基础状态预期!$O$43:$O$63,$W79)*Q$66*INDEX($P$57:$T$57,MATCH($O$66,$P$4:$T$4,0))*求节点(基础状态预期!$C$43:$C$63,基础状态预期!$Y$43:$Y$63,$W79)+
求节点(基础状态预期!$C$43:$C$63,基础状态预期!$P$43:$P$63,$W79)*Q$67*INDEX($P$57:$T$57,MATCH($O$67,$P$4:$T$4,0))*求节点(基础状态预期!$C$43:$C$63,基础状态预期!$Z$43:$Z$63,$W79)+
求节点(基础状态预期!$C$43:$C$63,基础状态预期!$Q$43:$Q$63,$W79)*Q$68*INDEX($P$57:$T$57,MATCH($O$68,$P$4:$T$4,0))*求节点(基础状态预期!$C$43:$C$63,基础状态预期!$AA$43:$AA$63,$W79)+
求节点(基础状态预期!$C$43:$C$63,基础状态预期!$R$43:$R$63,$W79)*Q$69*INDEX($P$57:$T$57,MATCH($O$69,$P$4:$T$4,0))*求节点(基础状态预期!$C$43:$C$63,基础状态预期!$AB$43:$AB$63,$W79)+
求节点(基础状态预期!$C$43:$C$63,基础状态预期!$S$43:$S$63,$W79)*Q$70*INDEX($P$57:$T$57,MATCH($O$70,$P$4:$T$4,0))*求节点(基础状态预期!$C$43:$C$63,基础状态预期!$AC$43:$AC$63,$W79)</f>
        <v>466310.157053362</v>
      </c>
      <c r="Z79" s="113">
        <f>求节点(基础状态预期!$C$69:$C$89,基础状态预期!$O$69:$O$89,$W79)*R$66*INDEX($P$57:$T$57,MATCH($O$66,$P$4:$T$4,0))*求节点(基础状态预期!$C$69:$C$89,基础状态预期!AA90:AA110,$W79)+
求节点(基础状态预期!$C$69:$C$89,基础状态预期!$P$69:$P$89,$W79)*R$67*INDEX($P$57:$T$57,MATCH($O$67,$P$4:$T$4,0))*求节点(基础状态预期!$C$69:$C$89,基础状态预期!$Z$69:$Z$89,$W79)+
求节点(基础状态预期!$C$69:$C$89,基础状态预期!$Q$69:$Q$89,$W79)*R$68*INDEX($P$57:$T$57,MATCH($O$68,$P$4:$T$4,0))*求节点(基础状态预期!$C$69:$C$89,基础状态预期!$AA$69:$AA$89,$W79)+
求节点(基础状态预期!$C$69:$C$89,基础状态预期!$R$69:$R$89,$W79)*R$69*INDEX($P$57:$T$57,MATCH($O$69,$P$4:$T$4,0))*求节点(基础状态预期!$C$69:$C$89,基础状态预期!$AB$69:$AB$89,$W79)+
求节点(基础状态预期!$C$69:$C$89,基础状态预期!$S$69:$S$89,$W79)*R$70*INDEX($P$57:$T$57,MATCH($O$70,$P$4:$T$4,0))*求节点(基础状态预期!$C$69:$C$89,基础状态预期!$AC$69:$AC$89,$W79)</f>
        <v>756403.38863590278</v>
      </c>
      <c r="AA79" s="113">
        <f>求节点(基础状态预期!$C$95:$C$115,基础状态预期!$O$95:$O$115,$W79)*S$66*INDEX($P$57:$T$57,MATCH($O$66,$P$4:$T$4,0))*求节点(基础状态预期!$C$95:$C$115,基础状态预期!$Y$95:$Y$115,$W79)+
求节点(基础状态预期!$C$95:$C$115,基础状态预期!$P$95:$P$115,$W79)*S$67*INDEX($P$57:$T$57,MATCH($O$67,$P$4:$T$4,0))*求节点(基础状态预期!$C$95:$C$115,基础状态预期!$Z$95:$Z$115,$W79)+
求节点(基础状态预期!$C$95:$C$115,基础状态预期!$Q$95:$Q$115,$W79)*S$68*INDEX($P$57:$T$57,MATCH($O$68,$P$4:$T$4,0))*求节点(基础状态预期!$C$95:$C$115,基础状态预期!$AA$95:$AA$115,$W79)+
求节点(基础状态预期!$C$95:$C$115,基础状态预期!$R$95:$R$115,$W79)*S$69*INDEX($P$57:$T$57,MATCH($O$69,$P$4:$T$4,0))*求节点(基础状态预期!$C$95:$C$115,基础状态预期!$AB$95:$AB$115,$W79)+
求节点(基础状态预期!$C$95:$C$115,基础状态预期!$S$95:$S$115,$W79)*S$70*INDEX($P$57:$T$57,MATCH($O$70,$P$4:$T$4,0))*求节点(基础状态预期!$C$95:$C$115,基础状态预期!$AC$95:$AC$115,$W79)</f>
        <v>1194138.7188467272</v>
      </c>
      <c r="AB79" s="113">
        <f>求节点(基础状态预期!$C$121:$C$141,基础状态预期!$O$121:$O$141,$W79)*T$66*INDEX($P$57:$T$57,MATCH($O$66,$P$4:$T$4,0))*求节点(基础状态预期!$C$121:$C$141,基础状态预期!$Y$121:$Y$141,$W79)+
求节点(基础状态预期!$C$121:$C$141,基础状态预期!$P$121:$P$141,$W79)*T$67*INDEX($P$57:$T$57,MATCH($O$67,$P$4:$T$4,0))*求节点(基础状态预期!$C$121:$C$141,基础状态预期!$Z$121:$Z$141,$W79)+
求节点(基础状态预期!$C$121:$C$141,基础状态预期!$Q$121:$Q$141,$W79)*T$68*INDEX($P$57:$T$57,MATCH($O$68,$P$4:$T$4,0))*求节点(基础状态预期!$C$121:$C$141,基础状态预期!$AA$121:$AA$141,$W79)+
求节点(基础状态预期!$C$121:$C$141,基础状态预期!$R$121:$R$141,$W79)*T$69*INDEX($P$57:$T$57,MATCH($O$69,$P$4:$T$4,0))*求节点(基础状态预期!$C$121:$C$141,基础状态预期!$AB$121:$AB$141,$W79)+
求节点(基础状态预期!$C$121:$C$141,基础状态预期!$S$121:$S$141,$W79)*T$70*INDEX($P$57:$T$57,MATCH($O$70,$P$4:$T$4,0))*求节点(基础状态预期!$C$121:$C$141,基础状态预期!$AC$121:$AC$141,$W79)</f>
        <v>2052690.5745455152</v>
      </c>
      <c r="AE79" s="70">
        <v>74</v>
      </c>
      <c r="AF79" s="113">
        <f>盗宝贼!AI78</f>
        <v>8289.8457680837528</v>
      </c>
      <c r="AG79" s="113">
        <f>盗宝贼!AJ78</f>
        <v>10417.617170053167</v>
      </c>
      <c r="AH79" s="113">
        <f>盗宝贼!AK78</f>
        <v>11556.617414092334</v>
      </c>
      <c r="AI79" s="113">
        <f>盗宝贼!AL78</f>
        <v>9556.6553917593192</v>
      </c>
      <c r="AJ79" s="113">
        <f>盗宝贼!AM78</f>
        <v>5293.3125134077163</v>
      </c>
      <c r="AL79" s="78">
        <f>盗宝贼!AI78/AF79</f>
        <v>1</v>
      </c>
      <c r="AM79" s="118"/>
      <c r="AO79" s="123">
        <f t="shared" si="28"/>
        <v>3.0145601555416981E-2</v>
      </c>
      <c r="AP79" s="123">
        <f t="shared" si="29"/>
        <v>2.2340532395611172E-2</v>
      </c>
      <c r="AQ79" s="123">
        <f t="shared" si="30"/>
        <v>1.5278378690150408E-2</v>
      </c>
      <c r="AR79" s="123">
        <f t="shared" si="31"/>
        <v>8.0029692036021789E-3</v>
      </c>
      <c r="AS79" s="123">
        <f t="shared" si="32"/>
        <v>2.5787191596471888E-3</v>
      </c>
    </row>
    <row r="80" spans="15:45" x14ac:dyDescent="0.15">
      <c r="W80" s="70">
        <v>75</v>
      </c>
      <c r="X80" s="113">
        <f>求节点(基础状态预期!$C$17:$C$37,基础状态预期!$O$17:$O$37,$W80)*P$66*INDEX($P$57:$T$57,MATCH($O$66,$P$4:$T$4,0))*求节点(基础状态预期!$C$17:$C$37,基础状态预期!$Y$17:$Y$37,$W80)+
求节点(基础状态预期!$C$17:$C$37,基础状态预期!$P$17:$P$37,$W80)*P$67*INDEX($P$57:$T$57,MATCH($O$67,$P$4:$T$4,0))*求节点(基础状态预期!$C$17:$C$37,基础状态预期!$Z$17:$Z$37,$W80)+
求节点(基础状态预期!$C$17:$C$37,基础状态预期!$Q$17:$Q$37,$W80)*P$68*INDEX($P$57:$T$57,MATCH($O$68,$P$4:$T$4,0))*求节点(基础状态预期!$C$17:$C$37,基础状态预期!$AA$17:$AA$37,$W80)+
求节点(基础状态预期!$C$17:$C$37,基础状态预期!$R$17:$R$37,$W80)*P$69*INDEX($P$57:$T$57,MATCH($O$69,$P$4:$T$4,0))*求节点(基础状态预期!$C$17:$C$37,基础状态预期!$AB$17:$AB$37,$W80)+
求节点(基础状态预期!$C$17:$C$37,基础状态预期!$S$17:$S$37,$W80)*P$70*INDEX($P$57:$T$57,MATCH($O$70,$P$4:$T$4,0))*求节点(基础状态预期!$C$17:$C$37,基础状态预期!$AC$17:$AC$37,$W80)</f>
        <v>284628.12340307748</v>
      </c>
      <c r="Y80" s="113">
        <f>求节点(基础状态预期!$C$43:$C$63,基础状态预期!$O$43:$O$63,$W80)*Q$66*INDEX($P$57:$T$57,MATCH($O$66,$P$4:$T$4,0))*求节点(基础状态预期!$C$43:$C$63,基础状态预期!$Y$43:$Y$63,$W80)+
求节点(基础状态预期!$C$43:$C$63,基础状态预期!$P$43:$P$63,$W80)*Q$67*INDEX($P$57:$T$57,MATCH($O$67,$P$4:$T$4,0))*求节点(基础状态预期!$C$43:$C$63,基础状态预期!$Z$43:$Z$63,$W80)+
求节点(基础状态预期!$C$43:$C$63,基础状态预期!$Q$43:$Q$63,$W80)*Q$68*INDEX($P$57:$T$57,MATCH($O$68,$P$4:$T$4,0))*求节点(基础状态预期!$C$43:$C$63,基础状态预期!$AA$43:$AA$63,$W80)+
求节点(基础状态预期!$C$43:$C$63,基础状态预期!$R$43:$R$63,$W80)*Q$69*INDEX($P$57:$T$57,MATCH($O$69,$P$4:$T$4,0))*求节点(基础状态预期!$C$43:$C$63,基础状态预期!$AB$43:$AB$63,$W80)+
求节点(基础状态预期!$C$43:$C$63,基础状态预期!$S$43:$S$63,$W80)*Q$70*INDEX($P$57:$T$57,MATCH($O$70,$P$4:$T$4,0))*求节点(基础状态预期!$C$43:$C$63,基础状态预期!$AC$43:$AC$63,$W80)</f>
        <v>475944.73777179804</v>
      </c>
      <c r="Z80" s="113">
        <f>求节点(基础状态预期!$C$69:$C$89,基础状态预期!$O$69:$O$89,$W80)*R$66*INDEX($P$57:$T$57,MATCH($O$66,$P$4:$T$4,0))*求节点(基础状态预期!$C$69:$C$89,基础状态预期!AA91:AA111,$W80)+
求节点(基础状态预期!$C$69:$C$89,基础状态预期!$P$69:$P$89,$W80)*R$67*INDEX($P$57:$T$57,MATCH($O$67,$P$4:$T$4,0))*求节点(基础状态预期!$C$69:$C$89,基础状态预期!$Z$69:$Z$89,$W80)+
求节点(基础状态预期!$C$69:$C$89,基础状态预期!$Q$69:$Q$89,$W80)*R$68*INDEX($P$57:$T$57,MATCH($O$68,$P$4:$T$4,0))*求节点(基础状态预期!$C$69:$C$89,基础状态预期!$AA$69:$AA$89,$W80)+
求节点(基础状态预期!$C$69:$C$89,基础状态预期!$R$69:$R$89,$W80)*R$69*INDEX($P$57:$T$57,MATCH($O$69,$P$4:$T$4,0))*求节点(基础状态预期!$C$69:$C$89,基础状态预期!$AB$69:$AB$89,$W80)+
求节点(基础状态预期!$C$69:$C$89,基础状态预期!$S$69:$S$89,$W80)*R$70*INDEX($P$57:$T$57,MATCH($O$70,$P$4:$T$4,0))*求节点(基础状态预期!$C$69:$C$89,基础状态预期!$AC$69:$AC$89,$W80)</f>
        <v>800095.27107224544</v>
      </c>
      <c r="AA80" s="113">
        <f>求节点(基础状态预期!$C$95:$C$115,基础状态预期!$O$95:$O$115,$W80)*S$66*INDEX($P$57:$T$57,MATCH($O$66,$P$4:$T$4,0))*求节点(基础状态预期!$C$95:$C$115,基础状态预期!$Y$95:$Y$115,$W80)+
求节点(基础状态预期!$C$95:$C$115,基础状态预期!$P$95:$P$115,$W80)*S$67*INDEX($P$57:$T$57,MATCH($O$67,$P$4:$T$4,0))*求节点(基础状态预期!$C$95:$C$115,基础状态预期!$Z$95:$Z$115,$W80)+
求节点(基础状态预期!$C$95:$C$115,基础状态预期!$Q$95:$Q$115,$W80)*S$68*INDEX($P$57:$T$57,MATCH($O$68,$P$4:$T$4,0))*求节点(基础状态预期!$C$95:$C$115,基础状态预期!$AA$95:$AA$115,$W80)+
求节点(基础状态预期!$C$95:$C$115,基础状态预期!$R$95:$R$115,$W80)*S$69*INDEX($P$57:$T$57,MATCH($O$69,$P$4:$T$4,0))*求节点(基础状态预期!$C$95:$C$115,基础状态预期!$AB$95:$AB$115,$W80)+
求节点(基础状态预期!$C$95:$C$115,基础状态预期!$S$95:$S$115,$W80)*S$70*INDEX($P$57:$T$57,MATCH($O$70,$P$4:$T$4,0))*求节点(基础状态预期!$C$95:$C$115,基础状态预期!$AC$95:$AC$115,$W80)</f>
        <v>1233921.9298124732</v>
      </c>
      <c r="AB80" s="113">
        <f>求节点(基础状态预期!$C$121:$C$141,基础状态预期!$O$121:$O$141,$W80)*T$66*INDEX($P$57:$T$57,MATCH($O$66,$P$4:$T$4,0))*求节点(基础状态预期!$C$121:$C$141,基础状态预期!$Y$121:$Y$141,$W80)+
求节点(基础状态预期!$C$121:$C$141,基础状态预期!$P$121:$P$141,$W80)*T$67*INDEX($P$57:$T$57,MATCH($O$67,$P$4:$T$4,0))*求节点(基础状态预期!$C$121:$C$141,基础状态预期!$Z$121:$Z$141,$W80)+
求节点(基础状态预期!$C$121:$C$141,基础状态预期!$Q$121:$Q$141,$W80)*T$68*INDEX($P$57:$T$57,MATCH($O$68,$P$4:$T$4,0))*求节点(基础状态预期!$C$121:$C$141,基础状态预期!$AA$121:$AA$141,$W80)+
求节点(基础状态预期!$C$121:$C$141,基础状态预期!$R$121:$R$141,$W80)*T$69*INDEX($P$57:$T$57,MATCH($O$69,$P$4:$T$4,0))*求节点(基础状态预期!$C$121:$C$141,基础状态预期!$AB$121:$AB$141,$W80)+
求节点(基础状态预期!$C$121:$C$141,基础状态预期!$S$121:$S$141,$W80)*T$70*INDEX($P$57:$T$57,MATCH($O$70,$P$4:$T$4,0))*求节点(基础状态预期!$C$121:$C$141,基础状态预期!$AC$121:$AC$141,$W80)</f>
        <v>2052690.5745455152</v>
      </c>
      <c r="AE80" s="70">
        <v>75</v>
      </c>
      <c r="AF80" s="113">
        <f>盗宝贼!AI79</f>
        <v>9329.2449374840526</v>
      </c>
      <c r="AG80" s="113">
        <f>盗宝贼!AJ79</f>
        <v>11740.030710344385</v>
      </c>
      <c r="AH80" s="113">
        <f>盗宝贼!AK79</f>
        <v>13028.673780767111</v>
      </c>
      <c r="AI80" s="113">
        <f>盗宝贼!AL79</f>
        <v>10774.651122730344</v>
      </c>
      <c r="AJ80" s="113">
        <f>盗宝贼!AM79</f>
        <v>5981.7663362104468</v>
      </c>
      <c r="AL80" s="78">
        <f>盗宝贼!AI79/AF80</f>
        <v>1</v>
      </c>
      <c r="AM80" s="118"/>
      <c r="AO80" s="123">
        <f t="shared" si="28"/>
        <v>3.2776961130690507E-2</v>
      </c>
      <c r="AP80" s="123">
        <f t="shared" si="29"/>
        <v>2.4666793807421809E-2</v>
      </c>
      <c r="AQ80" s="123">
        <f t="shared" si="30"/>
        <v>1.6283902994835564E-2</v>
      </c>
      <c r="AR80" s="123">
        <f t="shared" si="31"/>
        <v>8.7320363326129028E-3</v>
      </c>
      <c r="AS80" s="123">
        <f t="shared" si="32"/>
        <v>2.9141101003666201E-3</v>
      </c>
    </row>
    <row r="81" spans="23:45" x14ac:dyDescent="0.15">
      <c r="W81" s="70">
        <v>76</v>
      </c>
      <c r="X81" s="113">
        <f>求节点(基础状态预期!$C$17:$C$37,基础状态预期!$O$17:$O$37,$W81)*P$66*INDEX($P$57:$T$57,MATCH($O$66,$P$4:$T$4,0))*求节点(基础状态预期!$C$17:$C$37,基础状态预期!$Y$17:$Y$37,$W81)+
求节点(基础状态预期!$C$17:$C$37,基础状态预期!$P$17:$P$37,$W81)*P$67*INDEX($P$57:$T$57,MATCH($O$67,$P$4:$T$4,0))*求节点(基础状态预期!$C$17:$C$37,基础状态预期!$Z$17:$Z$37,$W81)+
求节点(基础状态预期!$C$17:$C$37,基础状态预期!$Q$17:$Q$37,$W81)*P$68*INDEX($P$57:$T$57,MATCH($O$68,$P$4:$T$4,0))*求节点(基础状态预期!$C$17:$C$37,基础状态预期!$AA$17:$AA$37,$W81)+
求节点(基础状态预期!$C$17:$C$37,基础状态预期!$R$17:$R$37,$W81)*P$69*INDEX($P$57:$T$57,MATCH($O$69,$P$4:$T$4,0))*求节点(基础状态预期!$C$17:$C$37,基础状态预期!$AB$17:$AB$37,$W81)+
求节点(基础状态预期!$C$17:$C$37,基础状态预期!$S$17:$S$37,$W81)*P$70*INDEX($P$57:$T$57,MATCH($O$70,$P$4:$T$4,0))*求节点(基础状态预期!$C$17:$C$37,基础状态预期!$AC$17:$AC$37,$W81)</f>
        <v>294262.70412151353</v>
      </c>
      <c r="Y81" s="113">
        <f>求节点(基础状态预期!$C$43:$C$63,基础状态预期!$O$43:$O$63,$W81)*Q$66*INDEX($P$57:$T$57,MATCH($O$66,$P$4:$T$4,0))*求节点(基础状态预期!$C$43:$C$63,基础状态预期!$Y$43:$Y$63,$W81)+
求节点(基础状态预期!$C$43:$C$63,基础状态预期!$P$43:$P$63,$W81)*Q$67*INDEX($P$57:$T$57,MATCH($O$67,$P$4:$T$4,0))*求节点(基础状态预期!$C$43:$C$63,基础状态预期!$Z$43:$Z$63,$W81)+
求节点(基础状态预期!$C$43:$C$63,基础状态预期!$Q$43:$Q$63,$W81)*Q$68*INDEX($P$57:$T$57,MATCH($O$68,$P$4:$T$4,0))*求节点(基础状态预期!$C$43:$C$63,基础状态预期!$AA$43:$AA$63,$W81)+
求节点(基础状态预期!$C$43:$C$63,基础状态预期!$R$43:$R$63,$W81)*Q$69*INDEX($P$57:$T$57,MATCH($O$69,$P$4:$T$4,0))*求节点(基础状态预期!$C$43:$C$63,基础状态预期!$AB$43:$AB$63,$W81)+
求节点(基础状态预期!$C$43:$C$63,基础状态预期!$S$43:$S$63,$W81)*Q$70*INDEX($P$57:$T$57,MATCH($O$70,$P$4:$T$4,0))*求节点(基础状态预期!$C$43:$C$63,基础状态预期!$AC$43:$AC$63,$W81)</f>
        <v>485579.31849023403</v>
      </c>
      <c r="Z81" s="113">
        <f>求节点(基础状态预期!$C$69:$C$89,基础状态预期!$O$69:$O$89,$W81)*R$66*INDEX($P$57:$T$57,MATCH($O$66,$P$4:$T$4,0))*求节点(基础状态预期!$C$69:$C$89,基础状态预期!AA92:AA112,$W81)+
求节点(基础状态预期!$C$69:$C$89,基础状态预期!$P$69:$P$89,$W81)*R$67*INDEX($P$57:$T$57,MATCH($O$67,$P$4:$T$4,0))*求节点(基础状态预期!$C$69:$C$89,基础状态预期!$Z$69:$Z$89,$W81)+
求节点(基础状态预期!$C$69:$C$89,基础状态预期!$Q$69:$Q$89,$W81)*R$68*INDEX($P$57:$T$57,MATCH($O$68,$P$4:$T$4,0))*求节点(基础状态预期!$C$69:$C$89,基础状态预期!$AA$69:$AA$89,$W81)+
求节点(基础状态预期!$C$69:$C$89,基础状态预期!$R$69:$R$89,$W81)*R$69*INDEX($P$57:$T$57,MATCH($O$69,$P$4:$T$4,0))*求节点(基础状态预期!$C$69:$C$89,基础状态预期!$AB$69:$AB$89,$W81)+
求节点(基础状态预期!$C$69:$C$89,基础状态预期!$S$69:$S$89,$W81)*R$70*INDEX($P$57:$T$57,MATCH($O$70,$P$4:$T$4,0))*求节点(基础状态预期!$C$69:$C$89,基础状态预期!$AC$69:$AC$89,$W81)</f>
        <v>845493.76085506123</v>
      </c>
      <c r="AA81" s="113">
        <f>求节点(基础状态预期!$C$95:$C$115,基础状态预期!$O$95:$O$115,$W81)*S$66*INDEX($P$57:$T$57,MATCH($O$66,$P$4:$T$4,0))*求节点(基础状态预期!$C$95:$C$115,基础状态预期!$Y$95:$Y$115,$W81)+
求节点(基础状态预期!$C$95:$C$115,基础状态预期!$P$95:$P$115,$W81)*S$67*INDEX($P$57:$T$57,MATCH($O$67,$P$4:$T$4,0))*求节点(基础状态预期!$C$95:$C$115,基础状态预期!$Z$95:$Z$115,$W81)+
求节点(基础状态预期!$C$95:$C$115,基础状态预期!$Q$95:$Q$115,$W81)*S$68*INDEX($P$57:$T$57,MATCH($O$68,$P$4:$T$4,0))*求节点(基础状态预期!$C$95:$C$115,基础状态预期!$AA$95:$AA$115,$W81)+
求节点(基础状态预期!$C$95:$C$115,基础状态预期!$R$95:$R$115,$W81)*S$69*INDEX($P$57:$T$57,MATCH($O$69,$P$4:$T$4,0))*求节点(基础状态预期!$C$95:$C$115,基础状态预期!$AB$95:$AB$115,$W81)+
求节点(基础状态预期!$C$95:$C$115,基础状态预期!$S$95:$S$115,$W81)*S$70*INDEX($P$57:$T$57,MATCH($O$70,$P$4:$T$4,0))*求节点(基础状态预期!$C$95:$C$115,基础状态预期!$AC$95:$AC$115,$W81)</f>
        <v>1274658.9773972032</v>
      </c>
      <c r="AB81" s="113">
        <f>求节点(基础状态预期!$C$121:$C$141,基础状态预期!$O$121:$O$141,$W81)*T$66*INDEX($P$57:$T$57,MATCH($O$66,$P$4:$T$4,0))*求节点(基础状态预期!$C$121:$C$141,基础状态预期!$Y$121:$Y$141,$W81)+
求节点(基础状态预期!$C$121:$C$141,基础状态预期!$P$121:$P$141,$W81)*T$67*INDEX($P$57:$T$57,MATCH($O$67,$P$4:$T$4,0))*求节点(基础状态预期!$C$121:$C$141,基础状态预期!$Z$121:$Z$141,$W81)+
求节点(基础状态预期!$C$121:$C$141,基础状态预期!$Q$121:$Q$141,$W81)*T$68*INDEX($P$57:$T$57,MATCH($O$68,$P$4:$T$4,0))*求节点(基础状态预期!$C$121:$C$141,基础状态预期!$AA$121:$AA$141,$W81)+
求节点(基础状态预期!$C$121:$C$141,基础状态预期!$R$121:$R$141,$W81)*T$69*INDEX($P$57:$T$57,MATCH($O$69,$P$4:$T$4,0))*求节点(基础状态预期!$C$121:$C$141,基础状态预期!$AB$121:$AB$141,$W81)+
求节点(基础状态预期!$C$121:$C$141,基础状态预期!$S$121:$S$141,$W81)*T$70*INDEX($P$57:$T$57,MATCH($O$70,$P$4:$T$4,0))*求节点(基础状态预期!$C$121:$C$141,基础状态预期!$AC$121:$AC$141,$W81)</f>
        <v>2052690.5745455152</v>
      </c>
      <c r="AE81" s="70">
        <v>76</v>
      </c>
      <c r="AF81" s="113">
        <f>盗宝贼!AI80</f>
        <v>10498.945406566832</v>
      </c>
      <c r="AG81" s="113">
        <f>盗宝贼!AJ80</f>
        <v>13211.535932047444</v>
      </c>
      <c r="AH81" s="113">
        <f>盗宝贼!AK80</f>
        <v>14655.728094612447</v>
      </c>
      <c r="AI81" s="113">
        <f>盗宝贼!AL80</f>
        <v>12150.281721294461</v>
      </c>
      <c r="AJ81" s="113">
        <f>盗宝贼!AM80</f>
        <v>6769.7790167717467</v>
      </c>
      <c r="AL81" s="78">
        <f>盗宝贼!AI80/AF81</f>
        <v>1</v>
      </c>
      <c r="AM81" s="118"/>
      <c r="AO81" s="123">
        <f t="shared" si="28"/>
        <v>3.5678817802990669E-2</v>
      </c>
      <c r="AP81" s="123">
        <f t="shared" si="29"/>
        <v>2.720778136335136E-2</v>
      </c>
      <c r="AQ81" s="123">
        <f t="shared" si="30"/>
        <v>1.7333928141339418E-2</v>
      </c>
      <c r="AR81" s="123">
        <f t="shared" si="31"/>
        <v>9.5321822830642857E-3</v>
      </c>
      <c r="AS81" s="123">
        <f t="shared" si="32"/>
        <v>3.2980026803458378E-3</v>
      </c>
    </row>
    <row r="82" spans="23:45" x14ac:dyDescent="0.15">
      <c r="W82" s="70">
        <v>77</v>
      </c>
      <c r="X82" s="113">
        <f>求节点(基础状态预期!$C$17:$C$37,基础状态预期!$O$17:$O$37,$W82)*P$66*INDEX($P$57:$T$57,MATCH($O$66,$P$4:$T$4,0))*求节点(基础状态预期!$C$17:$C$37,基础状态预期!$Y$17:$Y$37,$W82)+
求节点(基础状态预期!$C$17:$C$37,基础状态预期!$P$17:$P$37,$W82)*P$67*INDEX($P$57:$T$57,MATCH($O$67,$P$4:$T$4,0))*求节点(基础状态预期!$C$17:$C$37,基础状态预期!$Z$17:$Z$37,$W82)+
求节点(基础状态预期!$C$17:$C$37,基础状态预期!$Q$17:$Q$37,$W82)*P$68*INDEX($P$57:$T$57,MATCH($O$68,$P$4:$T$4,0))*求节点(基础状态预期!$C$17:$C$37,基础状态预期!$AA$17:$AA$37,$W82)+
求节点(基础状态预期!$C$17:$C$37,基础状态预期!$R$17:$R$37,$W82)*P$69*INDEX($P$57:$T$57,MATCH($O$69,$P$4:$T$4,0))*求节点(基础状态预期!$C$17:$C$37,基础状态预期!$AB$17:$AB$37,$W82)+
求节点(基础状态预期!$C$17:$C$37,基础状态预期!$S$17:$S$37,$W82)*P$70*INDEX($P$57:$T$57,MATCH($O$70,$P$4:$T$4,0))*求节点(基础状态预期!$C$17:$C$37,基础状态预期!$AC$17:$AC$37,$W82)</f>
        <v>303897.28483994957</v>
      </c>
      <c r="Y82" s="113">
        <f>求节点(基础状态预期!$C$43:$C$63,基础状态预期!$O$43:$O$63,$W82)*Q$66*INDEX($P$57:$T$57,MATCH($O$66,$P$4:$T$4,0))*求节点(基础状态预期!$C$43:$C$63,基础状态预期!$Y$43:$Y$63,$W82)+
求节点(基础状态预期!$C$43:$C$63,基础状态预期!$P$43:$P$63,$W82)*Q$67*INDEX($P$57:$T$57,MATCH($O$67,$P$4:$T$4,0))*求节点(基础状态预期!$C$43:$C$63,基础状态预期!$Z$43:$Z$63,$W82)+
求节点(基础状态预期!$C$43:$C$63,基础状态预期!$Q$43:$Q$63,$W82)*Q$68*INDEX($P$57:$T$57,MATCH($O$68,$P$4:$T$4,0))*求节点(基础状态预期!$C$43:$C$63,基础状态预期!$AA$43:$AA$63,$W82)+
求节点(基础状态预期!$C$43:$C$63,基础状态预期!$R$43:$R$63,$W82)*Q$69*INDEX($P$57:$T$57,MATCH($O$69,$P$4:$T$4,0))*求节点(基础状态预期!$C$43:$C$63,基础状态预期!$AB$43:$AB$63,$W82)+
求节点(基础状态预期!$C$43:$C$63,基础状态预期!$S$43:$S$63,$W82)*Q$70*INDEX($P$57:$T$57,MATCH($O$70,$P$4:$T$4,0))*求节点(基础状态预期!$C$43:$C$63,基础状态预期!$AC$43:$AC$63,$W82)</f>
        <v>495213.89920867007</v>
      </c>
      <c r="Z82" s="113">
        <f>求节点(基础状态预期!$C$69:$C$89,基础状态预期!$O$69:$O$89,$W82)*R$66*INDEX($P$57:$T$57,MATCH($O$66,$P$4:$T$4,0))*求节点(基础状态预期!$C$69:$C$89,基础状态预期!AA93:AA113,$W82)+
求节点(基础状态预期!$C$69:$C$89,基础状态预期!$P$69:$P$89,$W82)*R$67*INDEX($P$57:$T$57,MATCH($O$67,$P$4:$T$4,0))*求节点(基础状态预期!$C$69:$C$89,基础状态预期!$Z$69:$Z$89,$W82)+
求节点(基础状态预期!$C$69:$C$89,基础状态预期!$Q$69:$Q$89,$W82)*R$68*INDEX($P$57:$T$57,MATCH($O$68,$P$4:$T$4,0))*求节点(基础状态预期!$C$69:$C$89,基础状态预期!$AA$69:$AA$89,$W82)+
求节点(基础状态预期!$C$69:$C$89,基础状态预期!$R$69:$R$89,$W82)*R$69*INDEX($P$57:$T$57,MATCH($O$69,$P$4:$T$4,0))*求节点(基础状态预期!$C$69:$C$89,基础状态预期!$AB$69:$AB$89,$W82)+
求节点(基础状态预期!$C$69:$C$89,基础状态预期!$S$69:$S$89,$W82)*R$70*INDEX($P$57:$T$57,MATCH($O$70,$P$4:$T$4,0))*求节点(基础状态预期!$C$69:$C$89,基础状态预期!$AC$69:$AC$89,$W82)</f>
        <v>892598.85798435088</v>
      </c>
      <c r="AA82" s="113">
        <f>求节点(基础状态预期!$C$95:$C$115,基础状态预期!$O$95:$O$115,$W82)*S$66*INDEX($P$57:$T$57,MATCH($O$66,$P$4:$T$4,0))*求节点(基础状态预期!$C$95:$C$115,基础状态预期!$Y$95:$Y$115,$W82)+
求节点(基础状态预期!$C$95:$C$115,基础状态预期!$P$95:$P$115,$W82)*S$67*INDEX($P$57:$T$57,MATCH($O$67,$P$4:$T$4,0))*求节点(基础状态预期!$C$95:$C$115,基础状态预期!$Z$95:$Z$115,$W82)+
求节点(基础状态预期!$C$95:$C$115,基础状态预期!$Q$95:$Q$115,$W82)*S$68*INDEX($P$57:$T$57,MATCH($O$68,$P$4:$T$4,0))*求节点(基础状态预期!$C$95:$C$115,基础状态预期!$AA$95:$AA$115,$W82)+
求节点(基础状态预期!$C$95:$C$115,基础状态预期!$R$95:$R$115,$W82)*S$69*INDEX($P$57:$T$57,MATCH($O$69,$P$4:$T$4,0))*求节点(基础状态预期!$C$95:$C$115,基础状态预期!$AB$95:$AB$115,$W82)+
求节点(基础状态预期!$C$95:$C$115,基础状态预期!$S$95:$S$115,$W82)*S$70*INDEX($P$57:$T$57,MATCH($O$70,$P$4:$T$4,0))*求节点(基础状态预期!$C$95:$C$115,基础状态预期!$AC$95:$AC$115,$W82)</f>
        <v>1316349.8616009173</v>
      </c>
      <c r="AB82" s="113">
        <f>求节点(基础状态预期!$C$121:$C$141,基础状态预期!$O$121:$O$141,$W82)*T$66*INDEX($P$57:$T$57,MATCH($O$66,$P$4:$T$4,0))*求节点(基础状态预期!$C$121:$C$141,基础状态预期!$Y$121:$Y$141,$W82)+
求节点(基础状态预期!$C$121:$C$141,基础状态预期!$P$121:$P$141,$W82)*T$67*INDEX($P$57:$T$57,MATCH($O$67,$P$4:$T$4,0))*求节点(基础状态预期!$C$121:$C$141,基础状态预期!$Z$121:$Z$141,$W82)+
求节点(基础状态预期!$C$121:$C$141,基础状态预期!$Q$121:$Q$141,$W82)*T$68*INDEX($P$57:$T$57,MATCH($O$68,$P$4:$T$4,0))*求节点(基础状态预期!$C$121:$C$141,基础状态预期!$AA$121:$AA$141,$W82)+
求节点(基础状态预期!$C$121:$C$141,基础状态预期!$R$121:$R$141,$W82)*T$69*INDEX($P$57:$T$57,MATCH($O$69,$P$4:$T$4,0))*求节点(基础状态预期!$C$121:$C$141,基础状态预期!$AB$121:$AB$141,$W82)+
求节点(基础状态预期!$C$121:$C$141,基础状态预期!$S$121:$S$141,$W82)*T$70*INDEX($P$57:$T$57,MATCH($O$70,$P$4:$T$4,0))*求节点(基础状态预期!$C$121:$C$141,基础状态预期!$AC$121:$AC$141,$W82)</f>
        <v>2052690.5745455152</v>
      </c>
      <c r="AE82" s="70">
        <v>77</v>
      </c>
      <c r="AF82" s="113">
        <f>盗宝贼!AI81</f>
        <v>11815.282024539973</v>
      </c>
      <c r="AG82" s="113">
        <f>盗宝贼!AJ81</f>
        <v>14884.414930162084</v>
      </c>
      <c r="AH82" s="113">
        <f>盗宝贼!AK81</f>
        <v>16528.536700975324</v>
      </c>
      <c r="AI82" s="113">
        <f>盗宝贼!AL81</f>
        <v>13712.986166401432</v>
      </c>
      <c r="AJ82" s="113">
        <f>盗宝贼!AM81</f>
        <v>7589.1621682041405</v>
      </c>
      <c r="AL82" s="78">
        <f>盗宝贼!AI81/AF82</f>
        <v>1</v>
      </c>
      <c r="AM82" s="118"/>
      <c r="AO82" s="123">
        <f t="shared" si="28"/>
        <v>3.8879195747874497E-2</v>
      </c>
      <c r="AP82" s="123">
        <f t="shared" si="29"/>
        <v>3.0056537092247856E-2</v>
      </c>
      <c r="AQ82" s="123">
        <f t="shared" si="30"/>
        <v>1.8517317777326917E-2</v>
      </c>
      <c r="AR82" s="123">
        <f t="shared" si="31"/>
        <v>1.041743275585108E-2</v>
      </c>
      <c r="AS82" s="123">
        <f t="shared" si="32"/>
        <v>3.6971778709922959E-3</v>
      </c>
    </row>
    <row r="83" spans="23:45" x14ac:dyDescent="0.15">
      <c r="W83" s="70">
        <v>78</v>
      </c>
      <c r="X83" s="113">
        <f>求节点(基础状态预期!$C$17:$C$37,基础状态预期!$O$17:$O$37,$W83)*P$66*INDEX($P$57:$T$57,MATCH($O$66,$P$4:$T$4,0))*求节点(基础状态预期!$C$17:$C$37,基础状态预期!$Y$17:$Y$37,$W83)+
求节点(基础状态预期!$C$17:$C$37,基础状态预期!$P$17:$P$37,$W83)*P$67*INDEX($P$57:$T$57,MATCH($O$67,$P$4:$T$4,0))*求节点(基础状态预期!$C$17:$C$37,基础状态预期!$Z$17:$Z$37,$W83)+
求节点(基础状态预期!$C$17:$C$37,基础状态预期!$Q$17:$Q$37,$W83)*P$68*INDEX($P$57:$T$57,MATCH($O$68,$P$4:$T$4,0))*求节点(基础状态预期!$C$17:$C$37,基础状态预期!$AA$17:$AA$37,$W83)+
求节点(基础状态预期!$C$17:$C$37,基础状态预期!$R$17:$R$37,$W83)*P$69*INDEX($P$57:$T$57,MATCH($O$69,$P$4:$T$4,0))*求节点(基础状态预期!$C$17:$C$37,基础状态预期!$AB$17:$AB$37,$W83)+
求节点(基础状态预期!$C$17:$C$37,基础状态预期!$S$17:$S$37,$W83)*P$70*INDEX($P$57:$T$57,MATCH($O$70,$P$4:$T$4,0))*求节点(基础状态预期!$C$17:$C$37,基础状态预期!$AC$17:$AC$37,$W83)</f>
        <v>313531.86555838562</v>
      </c>
      <c r="Y83" s="113">
        <f>求节点(基础状态预期!$C$43:$C$63,基础状态预期!$O$43:$O$63,$W83)*Q$66*INDEX($P$57:$T$57,MATCH($O$66,$P$4:$T$4,0))*求节点(基础状态预期!$C$43:$C$63,基础状态预期!$Y$43:$Y$63,$W83)+
求节点(基础状态预期!$C$43:$C$63,基础状态预期!$P$43:$P$63,$W83)*Q$67*INDEX($P$57:$T$57,MATCH($O$67,$P$4:$T$4,0))*求节点(基础状态预期!$C$43:$C$63,基础状态预期!$Z$43:$Z$63,$W83)+
求节点(基础状态预期!$C$43:$C$63,基础状态预期!$Q$43:$Q$63,$W83)*Q$68*INDEX($P$57:$T$57,MATCH($O$68,$P$4:$T$4,0))*求节点(基础状态预期!$C$43:$C$63,基础状态预期!$AA$43:$AA$63,$W83)+
求节点(基础状态预期!$C$43:$C$63,基础状态预期!$R$43:$R$63,$W83)*Q$69*INDEX($P$57:$T$57,MATCH($O$69,$P$4:$T$4,0))*求节点(基础状态预期!$C$43:$C$63,基础状态预期!$AB$43:$AB$63,$W83)+
求节点(基础状态预期!$C$43:$C$63,基础状态预期!$S$43:$S$63,$W83)*Q$70*INDEX($P$57:$T$57,MATCH($O$70,$P$4:$T$4,0))*求节点(基础状态预期!$C$43:$C$63,基础状态预期!$AC$43:$AC$63,$W83)</f>
        <v>504848.479927106</v>
      </c>
      <c r="Z83" s="113">
        <f>求节点(基础状态预期!$C$69:$C$89,基础状态预期!$O$69:$O$89,$W83)*R$66*INDEX($P$57:$T$57,MATCH($O$66,$P$4:$T$4,0))*求节点(基础状态预期!$C$69:$C$89,基础状态预期!AA94:AA114,$W83)+
求节点(基础状态预期!$C$69:$C$89,基础状态预期!$P$69:$P$89,$W83)*R$67*INDEX($P$57:$T$57,MATCH($O$67,$P$4:$T$4,0))*求节点(基础状态预期!$C$69:$C$89,基础状态预期!$Z$69:$Z$89,$W83)+
求节点(基础状态预期!$C$69:$C$89,基础状态预期!$Q$69:$Q$89,$W83)*R$68*INDEX($P$57:$T$57,MATCH($O$68,$P$4:$T$4,0))*求节点(基础状态预期!$C$69:$C$89,基础状态预期!$AA$69:$AA$89,$W83)+
求节点(基础状态预期!$C$69:$C$89,基础状态预期!$R$69:$R$89,$W83)*R$69*INDEX($P$57:$T$57,MATCH($O$69,$P$4:$T$4,0))*求节点(基础状态预期!$C$69:$C$89,基础状态预期!$AB$69:$AB$89,$W83)+
求节点(基础状态预期!$C$69:$C$89,基础状态预期!$S$69:$S$89,$W83)*R$70*INDEX($P$57:$T$57,MATCH($O$70,$P$4:$T$4,0))*求节点(基础状态预期!$C$69:$C$89,基础状态预期!$AC$69:$AC$89,$W83)</f>
        <v>941410.56246011367</v>
      </c>
      <c r="AA83" s="113">
        <f>求节点(基础状态预期!$C$95:$C$115,基础状态预期!$O$95:$O$115,$W83)*S$66*INDEX($P$57:$T$57,MATCH($O$66,$P$4:$T$4,0))*求节点(基础状态预期!$C$95:$C$115,基础状态预期!$Y$95:$Y$115,$W83)+
求节点(基础状态预期!$C$95:$C$115,基础状态预期!$P$95:$P$115,$W83)*S$67*INDEX($P$57:$T$57,MATCH($O$67,$P$4:$T$4,0))*求节点(基础状态预期!$C$95:$C$115,基础状态预期!$Z$95:$Z$115,$W83)+
求节点(基础状态预期!$C$95:$C$115,基础状态预期!$Q$95:$Q$115,$W83)*S$68*INDEX($P$57:$T$57,MATCH($O$68,$P$4:$T$4,0))*求节点(基础状态预期!$C$95:$C$115,基础状态预期!$AA$95:$AA$115,$W83)+
求节点(基础状态预期!$C$95:$C$115,基础状态预期!$R$95:$R$115,$W83)*S$69*INDEX($P$57:$T$57,MATCH($O$69,$P$4:$T$4,0))*求节点(基础状态预期!$C$95:$C$115,基础状态预期!$AB$95:$AB$115,$W83)+
求节点(基础状态预期!$C$95:$C$115,基础状态预期!$S$95:$S$115,$W83)*S$70*INDEX($P$57:$T$57,MATCH($O$70,$P$4:$T$4,0))*求节点(基础状态预期!$C$95:$C$115,基础状态预期!$AC$95:$AC$115,$W83)</f>
        <v>1358994.5824236148</v>
      </c>
      <c r="AB83" s="113">
        <f>求节点(基础状态预期!$C$121:$C$141,基础状态预期!$O$121:$O$141,$W83)*T$66*INDEX($P$57:$T$57,MATCH($O$66,$P$4:$T$4,0))*求节点(基础状态预期!$C$121:$C$141,基础状态预期!$Y$121:$Y$141,$W83)+
求节点(基础状态预期!$C$121:$C$141,基础状态预期!$P$121:$P$141,$W83)*T$67*INDEX($P$57:$T$57,MATCH($O$67,$P$4:$T$4,0))*求节点(基础状态预期!$C$121:$C$141,基础状态预期!$Z$121:$Z$141,$W83)+
求节点(基础状态预期!$C$121:$C$141,基础状态预期!$Q$121:$Q$141,$W83)*T$68*INDEX($P$57:$T$57,MATCH($O$68,$P$4:$T$4,0))*求节点(基础状态预期!$C$121:$C$141,基础状态预期!$AA$121:$AA$141,$W83)+
求节点(基础状态预期!$C$121:$C$141,基础状态预期!$R$121:$R$141,$W83)*T$69*INDEX($P$57:$T$57,MATCH($O$69,$P$4:$T$4,0))*求节点(基础状态预期!$C$121:$C$141,基础状态预期!$AB$121:$AB$141,$W83)+
求节点(基础状态预期!$C$121:$C$141,基础状态预期!$S$121:$S$141,$W83)*T$70*INDEX($P$57:$T$57,MATCH($O$70,$P$4:$T$4,0))*求节点(基础状态预期!$C$121:$C$141,基础状态预期!$AC$121:$AC$141,$W83)</f>
        <v>2052690.5745455152</v>
      </c>
      <c r="AE83" s="70">
        <v>78</v>
      </c>
      <c r="AF83" s="113">
        <f>盗宝贼!AI82</f>
        <v>13296.637412193777</v>
      </c>
      <c r="AG83" s="113">
        <f>盗宝贼!AJ82</f>
        <v>16752.056277511216</v>
      </c>
      <c r="AH83" s="113">
        <f>盗宝贼!AK82</f>
        <v>18629.767453095636</v>
      </c>
      <c r="AI83" s="113">
        <f>盗宝贼!AL82</f>
        <v>15434.813838538437</v>
      </c>
      <c r="AJ83" s="113">
        <f>盗宝贼!AM82</f>
        <v>8504.0010292465413</v>
      </c>
      <c r="AL83" s="78">
        <f>盗宝贼!AI82/AF83</f>
        <v>1</v>
      </c>
      <c r="AM83" s="118"/>
      <c r="AO83" s="123">
        <f t="shared" si="28"/>
        <v>4.2409205802775699E-2</v>
      </c>
      <c r="AP83" s="123">
        <f t="shared" si="29"/>
        <v>3.3182344690688204E-2</v>
      </c>
      <c r="AQ83" s="123">
        <f t="shared" si="30"/>
        <v>1.978920589589726E-2</v>
      </c>
      <c r="AR83" s="123">
        <f t="shared" si="31"/>
        <v>1.1357524186014174E-2</v>
      </c>
      <c r="AS83" s="123">
        <f t="shared" si="32"/>
        <v>4.1428557887393264E-3</v>
      </c>
    </row>
    <row r="84" spans="23:45" x14ac:dyDescent="0.15">
      <c r="W84" s="70">
        <v>79</v>
      </c>
      <c r="X84" s="113">
        <f>求节点(基础状态预期!$C$17:$C$37,基础状态预期!$O$17:$O$37,$W84)*P$66*INDEX($P$57:$T$57,MATCH($O$66,$P$4:$T$4,0))*求节点(基础状态预期!$C$17:$C$37,基础状态预期!$Y$17:$Y$37,$W84)+
求节点(基础状态预期!$C$17:$C$37,基础状态预期!$P$17:$P$37,$W84)*P$67*INDEX($P$57:$T$57,MATCH($O$67,$P$4:$T$4,0))*求节点(基础状态预期!$C$17:$C$37,基础状态预期!$Z$17:$Z$37,$W84)+
求节点(基础状态预期!$C$17:$C$37,基础状态预期!$Q$17:$Q$37,$W84)*P$68*INDEX($P$57:$T$57,MATCH($O$68,$P$4:$T$4,0))*求节点(基础状态预期!$C$17:$C$37,基础状态预期!$AA$17:$AA$37,$W84)+
求节点(基础状态预期!$C$17:$C$37,基础状态预期!$R$17:$R$37,$W84)*P$69*INDEX($P$57:$T$57,MATCH($O$69,$P$4:$T$4,0))*求节点(基础状态预期!$C$17:$C$37,基础状态预期!$AB$17:$AB$37,$W84)+
求节点(基础状态预期!$C$17:$C$37,基础状态预期!$S$17:$S$37,$W84)*P$70*INDEX($P$57:$T$57,MATCH($O$70,$P$4:$T$4,0))*求节点(基础状态预期!$C$17:$C$37,基础状态预期!$AC$17:$AC$37,$W84)</f>
        <v>323166.44627682155</v>
      </c>
      <c r="Y84" s="113">
        <f>求节点(基础状态预期!$C$43:$C$63,基础状态预期!$O$43:$O$63,$W84)*Q$66*INDEX($P$57:$T$57,MATCH($O$66,$P$4:$T$4,0))*求节点(基础状态预期!$C$43:$C$63,基础状态预期!$Y$43:$Y$63,$W84)+
求节点(基础状态预期!$C$43:$C$63,基础状态预期!$P$43:$P$63,$W84)*Q$67*INDEX($P$57:$T$57,MATCH($O$67,$P$4:$T$4,0))*求节点(基础状态预期!$C$43:$C$63,基础状态预期!$Z$43:$Z$63,$W84)+
求节点(基础状态预期!$C$43:$C$63,基础状态预期!$Q$43:$Q$63,$W84)*Q$68*INDEX($P$57:$T$57,MATCH($O$68,$P$4:$T$4,0))*求节点(基础状态预期!$C$43:$C$63,基础状态预期!$AA$43:$AA$63,$W84)+
求节点(基础状态预期!$C$43:$C$63,基础状态预期!$R$43:$R$63,$W84)*Q$69*INDEX($P$57:$T$57,MATCH($O$69,$P$4:$T$4,0))*求节点(基础状态预期!$C$43:$C$63,基础状态预期!$AB$43:$AB$63,$W84)+
求节点(基础状态预期!$C$43:$C$63,基础状态预期!$S$43:$S$63,$W84)*Q$70*INDEX($P$57:$T$57,MATCH($O$70,$P$4:$T$4,0))*求节点(基础状态预期!$C$43:$C$63,基础状态预期!$AC$43:$AC$63,$W84)</f>
        <v>514483.06064554205</v>
      </c>
      <c r="Z84" s="113">
        <f>求节点(基础状态预期!$C$69:$C$89,基础状态预期!$O$69:$O$89,$W84)*R$66*INDEX($P$57:$T$57,MATCH($O$66,$P$4:$T$4,0))*求节点(基础状态预期!$C$69:$C$89,基础状态预期!AA95:AA115,$W84)+
求节点(基础状态预期!$C$69:$C$89,基础状态预期!$P$69:$P$89,$W84)*R$67*INDEX($P$57:$T$57,MATCH($O$67,$P$4:$T$4,0))*求节点(基础状态预期!$C$69:$C$89,基础状态预期!$Z$69:$Z$89,$W84)+
求节点(基础状态预期!$C$69:$C$89,基础状态预期!$Q$69:$Q$89,$W84)*R$68*INDEX($P$57:$T$57,MATCH($O$68,$P$4:$T$4,0))*求节点(基础状态预期!$C$69:$C$89,基础状态预期!$AA$69:$AA$89,$W84)+
求节点(基础状态预期!$C$69:$C$89,基础状态预期!$R$69:$R$89,$W84)*R$69*INDEX($P$57:$T$57,MATCH($O$69,$P$4:$T$4,0))*求节点(基础状态预期!$C$69:$C$89,基础状态预期!$AB$69:$AB$89,$W84)+
求节点(基础状态预期!$C$69:$C$89,基础状态预期!$S$69:$S$89,$W84)*R$70*INDEX($P$57:$T$57,MATCH($O$70,$P$4:$T$4,0))*求节点(基础状态预期!$C$69:$C$89,基础状态预期!$AC$69:$AC$89,$W84)</f>
        <v>991928.8742823503</v>
      </c>
      <c r="AA84" s="113">
        <f>求节点(基础状态预期!$C$95:$C$115,基础状态预期!$O$95:$O$115,$W84)*S$66*INDEX($P$57:$T$57,MATCH($O$66,$P$4:$T$4,0))*求节点(基础状态预期!$C$95:$C$115,基础状态预期!$Y$95:$Y$115,$W84)+
求节点(基础状态预期!$C$95:$C$115,基础状态预期!$P$95:$P$115,$W84)*S$67*INDEX($P$57:$T$57,MATCH($O$67,$P$4:$T$4,0))*求节点(基础状态预期!$C$95:$C$115,基础状态预期!$Z$95:$Z$115,$W84)+
求节点(基础状态预期!$C$95:$C$115,基础状态预期!$Q$95:$Q$115,$W84)*S$68*INDEX($P$57:$T$57,MATCH($O$68,$P$4:$T$4,0))*求节点(基础状态预期!$C$95:$C$115,基础状态预期!$AA$95:$AA$115,$W84)+
求节点(基础状态预期!$C$95:$C$115,基础状态预期!$R$95:$R$115,$W84)*S$69*INDEX($P$57:$T$57,MATCH($O$69,$P$4:$T$4,0))*求节点(基础状态预期!$C$95:$C$115,基础状态预期!$AB$95:$AB$115,$W84)+
求节点(基础状态预期!$C$95:$C$115,基础状态预期!$S$95:$S$115,$W84)*S$70*INDEX($P$57:$T$57,MATCH($O$70,$P$4:$T$4,0))*求节点(基础状态预期!$C$95:$C$115,基础状态预期!$AC$95:$AC$115,$W84)</f>
        <v>1402593.1398652962</v>
      </c>
      <c r="AB84" s="113">
        <f>求节点(基础状态预期!$C$121:$C$141,基础状态预期!$O$121:$O$141,$W84)*T$66*INDEX($P$57:$T$57,MATCH($O$66,$P$4:$T$4,0))*求节点(基础状态预期!$C$121:$C$141,基础状态预期!$Y$121:$Y$141,$W84)+
求节点(基础状态预期!$C$121:$C$141,基础状态预期!$P$121:$P$141,$W84)*T$67*INDEX($P$57:$T$57,MATCH($O$67,$P$4:$T$4,0))*求节点(基础状态预期!$C$121:$C$141,基础状态预期!$Z$121:$Z$141,$W84)+
求节点(基础状态预期!$C$121:$C$141,基础状态预期!$Q$121:$Q$141,$W84)*T$68*INDEX($P$57:$T$57,MATCH($O$68,$P$4:$T$4,0))*求节点(基础状态预期!$C$121:$C$141,基础状态预期!$AA$121:$AA$141,$W84)+
求节点(基础状态预期!$C$121:$C$141,基础状态预期!$R$121:$R$141,$W84)*T$69*INDEX($P$57:$T$57,MATCH($O$69,$P$4:$T$4,0))*求节点(基础状态预期!$C$121:$C$141,基础状态预期!$AB$121:$AB$141,$W84)+
求节点(基础状态预期!$C$121:$C$141,基础状态预期!$S$121:$S$141,$W84)*T$70*INDEX($P$57:$T$57,MATCH($O$70,$P$4:$T$4,0))*求节点(基础状态预期!$C$121:$C$141,基础状态预期!$AC$121:$AC$141,$W84)</f>
        <v>2052690.5745455152</v>
      </c>
      <c r="AE84" s="70">
        <v>79</v>
      </c>
      <c r="AF84" s="113">
        <f>盗宝贼!AI83</f>
        <v>14963.698674919913</v>
      </c>
      <c r="AG84" s="113">
        <f>盗宝贼!AJ83</f>
        <v>18882.714346107179</v>
      </c>
      <c r="AH84" s="113">
        <f>盗宝贼!AK83</f>
        <v>21001.304607243048</v>
      </c>
      <c r="AI84" s="113">
        <f>盗宝贼!AL83</f>
        <v>17289.23295539516</v>
      </c>
      <c r="AJ84" s="113">
        <f>盗宝贼!AM83</f>
        <v>9547.178540059409</v>
      </c>
      <c r="AL84" s="78">
        <f>盗宝贼!AI83/AF84</f>
        <v>1</v>
      </c>
      <c r="AM84" s="118"/>
      <c r="AO84" s="123">
        <f t="shared" si="28"/>
        <v>4.6303379720622789E-2</v>
      </c>
      <c r="AP84" s="123">
        <f t="shared" si="29"/>
        <v>3.6702305266210898E-2</v>
      </c>
      <c r="AQ84" s="123">
        <f t="shared" si="30"/>
        <v>2.1172187998295001E-2</v>
      </c>
      <c r="AR84" s="123">
        <f t="shared" si="31"/>
        <v>1.2326620217931197E-2</v>
      </c>
      <c r="AS84" s="123">
        <f t="shared" si="32"/>
        <v>4.6510558670895845E-3</v>
      </c>
    </row>
    <row r="85" spans="23:45" x14ac:dyDescent="0.15">
      <c r="W85" s="70">
        <v>80</v>
      </c>
      <c r="X85" s="113">
        <f>求节点(基础状态预期!$C$17:$C$37,基础状态预期!$O$17:$O$37,$W85)*P$66*INDEX($P$57:$T$57,MATCH($O$66,$P$4:$T$4,0))*求节点(基础状态预期!$C$17:$C$37,基础状态预期!$Y$17:$Y$37,$W85)+
求节点(基础状态预期!$C$17:$C$37,基础状态预期!$P$17:$P$37,$W85)*P$67*INDEX($P$57:$T$57,MATCH($O$67,$P$4:$T$4,0))*求节点(基础状态预期!$C$17:$C$37,基础状态预期!$Z$17:$Z$37,$W85)+
求节点(基础状态预期!$C$17:$C$37,基础状态预期!$Q$17:$Q$37,$W85)*P$68*INDEX($P$57:$T$57,MATCH($O$68,$P$4:$T$4,0))*求节点(基础状态预期!$C$17:$C$37,基础状态预期!$AA$17:$AA$37,$W85)+
求节点(基础状态预期!$C$17:$C$37,基础状态预期!$R$17:$R$37,$W85)*P$69*INDEX($P$57:$T$57,MATCH($O$69,$P$4:$T$4,0))*求节点(基础状态预期!$C$17:$C$37,基础状态预期!$AB$17:$AB$37,$W85)+
求节点(基础状态预期!$C$17:$C$37,基础状态预期!$S$17:$S$37,$W85)*P$70*INDEX($P$57:$T$57,MATCH($O$70,$P$4:$T$4,0))*求节点(基础状态预期!$C$17:$C$37,基础状态预期!$AC$17:$AC$37,$W85)</f>
        <v>332801.02699525759</v>
      </c>
      <c r="Y85" s="113">
        <f>求节点(基础状态预期!$C$43:$C$63,基础状态预期!$O$43:$O$63,$W85)*Q$66*INDEX($P$57:$T$57,MATCH($O$66,$P$4:$T$4,0))*求节点(基础状态预期!$C$43:$C$63,基础状态预期!$Y$43:$Y$63,$W85)+
求节点(基础状态预期!$C$43:$C$63,基础状态预期!$P$43:$P$63,$W85)*Q$67*INDEX($P$57:$T$57,MATCH($O$67,$P$4:$T$4,0))*求节点(基础状态预期!$C$43:$C$63,基础状态预期!$Z$43:$Z$63,$W85)+
求节点(基础状态预期!$C$43:$C$63,基础状态预期!$Q$43:$Q$63,$W85)*Q$68*INDEX($P$57:$T$57,MATCH($O$68,$P$4:$T$4,0))*求节点(基础状态预期!$C$43:$C$63,基础状态预期!$AA$43:$AA$63,$W85)+
求节点(基础状态预期!$C$43:$C$63,基础状态预期!$R$43:$R$63,$W85)*Q$69*INDEX($P$57:$T$57,MATCH($O$69,$P$4:$T$4,0))*求节点(基础状态预期!$C$43:$C$63,基础状态预期!$AB$43:$AB$63,$W85)+
求节点(基础状态预期!$C$43:$C$63,基础状态预期!$S$43:$S$63,$W85)*Q$70*INDEX($P$57:$T$57,MATCH($O$70,$P$4:$T$4,0))*求节点(基础状态预期!$C$43:$C$63,基础状态预期!$AC$43:$AC$63,$W85)</f>
        <v>524117.64136397809</v>
      </c>
      <c r="Z85" s="113">
        <f>求节点(基础状态预期!$C$69:$C$89,基础状态预期!$O$69:$O$89,$W85)*R$66*INDEX($P$57:$T$57,MATCH($O$66,$P$4:$T$4,0))*求节点(基础状态预期!$C$69:$C$89,基础状态预期!AA96:AA116,$W85)+
求节点(基础状态预期!$C$69:$C$89,基础状态预期!$P$69:$P$89,$W85)*R$67*INDEX($P$57:$T$57,MATCH($O$67,$P$4:$T$4,0))*求节点(基础状态预期!$C$69:$C$89,基础状态预期!$Z$69:$Z$89,$W85)+
求节点(基础状态预期!$C$69:$C$89,基础状态预期!$Q$69:$Q$89,$W85)*R$68*INDEX($P$57:$T$57,MATCH($O$68,$P$4:$T$4,0))*求节点(基础状态预期!$C$69:$C$89,基础状态预期!$AA$69:$AA$89,$W85)+
求节点(基础状态预期!$C$69:$C$89,基础状态预期!$R$69:$R$89,$W85)*R$69*INDEX($P$57:$T$57,MATCH($O$69,$P$4:$T$4,0))*求节点(基础状态预期!$C$69:$C$89,基础状态预期!$AB$69:$AB$89,$W85)+
求节点(基础状态预期!$C$69:$C$89,基础状态预期!$S$69:$S$89,$W85)*R$70*INDEX($P$57:$T$57,MATCH($O$70,$P$4:$T$4,0))*求节点(基础状态预期!$C$69:$C$89,基础状态预期!$AC$69:$AC$89,$W85)</f>
        <v>1044153.7934510603</v>
      </c>
      <c r="AA85" s="113">
        <f>求节点(基础状态预期!$C$95:$C$115,基础状态预期!$O$95:$O$115,$W85)*S$66*INDEX($P$57:$T$57,MATCH($O$66,$P$4:$T$4,0))*求节点(基础状态预期!$C$95:$C$115,基础状态预期!$Y$95:$Y$115,$W85)+
求节点(基础状态预期!$C$95:$C$115,基础状态预期!$P$95:$P$115,$W85)*S$67*INDEX($P$57:$T$57,MATCH($O$67,$P$4:$T$4,0))*求节点(基础状态预期!$C$95:$C$115,基础状态预期!$Z$95:$Z$115,$W85)+
求节点(基础状态预期!$C$95:$C$115,基础状态预期!$Q$95:$Q$115,$W85)*S$68*INDEX($P$57:$T$57,MATCH($O$68,$P$4:$T$4,0))*求节点(基础状态预期!$C$95:$C$115,基础状态预期!$AA$95:$AA$115,$W85)+
求节点(基础状态预期!$C$95:$C$115,基础状态预期!$R$95:$R$115,$W85)*S$69*INDEX($P$57:$T$57,MATCH($O$69,$P$4:$T$4,0))*求节点(基础状态预期!$C$95:$C$115,基础状态预期!$AB$95:$AB$115,$W85)+
求节点(基础状态预期!$C$95:$C$115,基础状态预期!$S$95:$S$115,$W85)*S$70*INDEX($P$57:$T$57,MATCH($O$70,$P$4:$T$4,0))*求节点(基础状态预期!$C$95:$C$115,基础状态预期!$AC$95:$AC$115,$W85)</f>
        <v>1447145.5339259617</v>
      </c>
      <c r="AB85" s="113">
        <f>求节点(基础状态预期!$C$121:$C$141,基础状态预期!$O$121:$O$141,$W85)*T$66*INDEX($P$57:$T$57,MATCH($O$66,$P$4:$T$4,0))*求节点(基础状态预期!$C$121:$C$141,基础状态预期!$Y$121:$Y$141,$W85)+
求节点(基础状态预期!$C$121:$C$141,基础状态预期!$P$121:$P$141,$W85)*T$67*INDEX($P$57:$T$57,MATCH($O$67,$P$4:$T$4,0))*求节点(基础状态预期!$C$121:$C$141,基础状态预期!$Z$121:$Z$141,$W85)+
求节点(基础状态预期!$C$121:$C$141,基础状态预期!$Q$121:$Q$141,$W85)*T$68*INDEX($P$57:$T$57,MATCH($O$68,$P$4:$T$4,0))*求节点(基础状态预期!$C$121:$C$141,基础状态预期!$AA$121:$AA$141,$W85)+
求节点(基础状态预期!$C$121:$C$141,基础状态预期!$R$121:$R$141,$W85)*T$69*INDEX($P$57:$T$57,MATCH($O$69,$P$4:$T$4,0))*求节点(基础状态预期!$C$121:$C$141,基础状态预期!$AB$121:$AB$141,$W85)+
求节点(基础状态预期!$C$121:$C$141,基础状态预期!$S$121:$S$141,$W85)*T$70*INDEX($P$57:$T$57,MATCH($O$70,$P$4:$T$4,0))*求节点(基础状态预期!$C$121:$C$141,基础状态预期!$AC$121:$AC$141,$W85)</f>
        <v>2052690.5745455152</v>
      </c>
      <c r="AE85" s="70">
        <v>80</v>
      </c>
      <c r="AF85" s="113">
        <f>盗宝贼!AI84</f>
        <v>16839.746297822639</v>
      </c>
      <c r="AG85" s="113">
        <f>盗宝贼!AJ84</f>
        <v>21274.542546503762</v>
      </c>
      <c r="AH85" s="113">
        <f>盗宝贼!AK84</f>
        <v>23512.6613234414</v>
      </c>
      <c r="AI85" s="113">
        <f>盗宝贼!AL84</f>
        <v>19363.550249995795</v>
      </c>
      <c r="AJ85" s="113">
        <f>盗宝贼!AM84</f>
        <v>10687.780310458757</v>
      </c>
      <c r="AL85" s="78">
        <f>盗宝贼!AI84/AF85</f>
        <v>1</v>
      </c>
      <c r="AM85" s="118"/>
      <c r="AO85" s="123">
        <f t="shared" si="28"/>
        <v>5.0600043064358106E-2</v>
      </c>
      <c r="AP85" s="123">
        <f t="shared" si="29"/>
        <v>4.0591159059516317E-2</v>
      </c>
      <c r="AQ85" s="123">
        <f t="shared" si="30"/>
        <v>2.2518389025556362E-2</v>
      </c>
      <c r="AR85" s="123">
        <f t="shared" si="31"/>
        <v>1.3380513428711218E-2</v>
      </c>
      <c r="AS85" s="123">
        <f t="shared" si="32"/>
        <v>5.2067176821451186E-3</v>
      </c>
    </row>
    <row r="86" spans="23:45" x14ac:dyDescent="0.15">
      <c r="W86" s="70">
        <v>81</v>
      </c>
      <c r="X86" s="113">
        <f>求节点(基础状态预期!$C$17:$C$37,基础状态预期!$O$17:$O$37,$W86)*P$66*INDEX($P$57:$T$57,MATCH($O$66,$P$4:$T$4,0))*求节点(基础状态预期!$C$17:$C$37,基础状态预期!$Y$17:$Y$37,$W86)+
求节点(基础状态预期!$C$17:$C$37,基础状态预期!$P$17:$P$37,$W86)*P$67*INDEX($P$57:$T$57,MATCH($O$67,$P$4:$T$4,0))*求节点(基础状态预期!$C$17:$C$37,基础状态预期!$Z$17:$Z$37,$W86)+
求节点(基础状态预期!$C$17:$C$37,基础状态预期!$Q$17:$Q$37,$W86)*P$68*INDEX($P$57:$T$57,MATCH($O$68,$P$4:$T$4,0))*求节点(基础状态预期!$C$17:$C$37,基础状态预期!$AA$17:$AA$37,$W86)+
求节点(基础状态预期!$C$17:$C$37,基础状态预期!$R$17:$R$37,$W86)*P$69*INDEX($P$57:$T$57,MATCH($O$69,$P$4:$T$4,0))*求节点(基础状态预期!$C$17:$C$37,基础状态预期!$AB$17:$AB$37,$W86)+
求节点(基础状态预期!$C$17:$C$37,基础状态预期!$S$17:$S$37,$W86)*P$70*INDEX($P$57:$T$57,MATCH($O$70,$P$4:$T$4,0))*求节点(基础状态预期!$C$17:$C$37,基础状态预期!$AC$17:$AC$37,$W86)</f>
        <v>342435.60771369364</v>
      </c>
      <c r="Y86" s="113">
        <f>求节点(基础状态预期!$C$43:$C$63,基础状态预期!$O$43:$O$63,$W86)*Q$66*INDEX($P$57:$T$57,MATCH($O$66,$P$4:$T$4,0))*求节点(基础状态预期!$C$43:$C$63,基础状态预期!$Y$43:$Y$63,$W86)+
求节点(基础状态预期!$C$43:$C$63,基础状态预期!$P$43:$P$63,$W86)*Q$67*INDEX($P$57:$T$57,MATCH($O$67,$P$4:$T$4,0))*求节点(基础状态预期!$C$43:$C$63,基础状态预期!$Z$43:$Z$63,$W86)+
求节点(基础状态预期!$C$43:$C$63,基础状态预期!$Q$43:$Q$63,$W86)*Q$68*INDEX($P$57:$T$57,MATCH($O$68,$P$4:$T$4,0))*求节点(基础状态预期!$C$43:$C$63,基础状态预期!$AA$43:$AA$63,$W86)+
求节点(基础状态预期!$C$43:$C$63,基础状态预期!$R$43:$R$63,$W86)*Q$69*INDEX($P$57:$T$57,MATCH($O$69,$P$4:$T$4,0))*求节点(基础状态预期!$C$43:$C$63,基础状态预期!$AB$43:$AB$63,$W86)+
求节点(基础状态预期!$C$43:$C$63,基础状态预期!$S$43:$S$63,$W86)*Q$70*INDEX($P$57:$T$57,MATCH($O$70,$P$4:$T$4,0))*求节点(基础状态预期!$C$43:$C$63,基础状态预期!$AC$43:$AC$63,$W86)</f>
        <v>524117.64136397809</v>
      </c>
      <c r="Z86" s="113">
        <f>求节点(基础状态预期!$C$69:$C$89,基础状态预期!$O$69:$O$89,$W86)*R$66*INDEX($P$57:$T$57,MATCH($O$66,$P$4:$T$4,0))*求节点(基础状态预期!$C$69:$C$89,基础状态预期!AA97:AA117,$W86)+
求节点(基础状态预期!$C$69:$C$89,基础状态预期!$P$69:$P$89,$W86)*R$67*INDEX($P$57:$T$57,MATCH($O$67,$P$4:$T$4,0))*求节点(基础状态预期!$C$69:$C$89,基础状态预期!$Z$69:$Z$89,$W86)+
求节点(基础状态预期!$C$69:$C$89,基础状态预期!$Q$69:$Q$89,$W86)*R$68*INDEX($P$57:$T$57,MATCH($O$68,$P$4:$T$4,0))*求节点(基础状态预期!$C$69:$C$89,基础状态预期!$AA$69:$AA$89,$W86)+
求节点(基础状态预期!$C$69:$C$89,基础状态预期!$R$69:$R$89,$W86)*R$69*INDEX($P$57:$T$57,MATCH($O$69,$P$4:$T$4,0))*求节点(基础状态预期!$C$69:$C$89,基础状态预期!$AB$69:$AB$89,$W86)+
求节点(基础状态预期!$C$69:$C$89,基础状态预期!$S$69:$S$89,$W86)*R$70*INDEX($P$57:$T$57,MATCH($O$70,$P$4:$T$4,0))*求节点(基础状态预期!$C$69:$C$89,基础状态预期!$AC$69:$AC$89,$W86)</f>
        <v>1079654.1704057457</v>
      </c>
      <c r="AA86" s="113">
        <f>求节点(基础状态预期!$C$95:$C$115,基础状态预期!$O$95:$O$115,$W86)*S$66*INDEX($P$57:$T$57,MATCH($O$66,$P$4:$T$4,0))*求节点(基础状态预期!$C$95:$C$115,基础状态预期!$Y$95:$Y$115,$W86)+
求节点(基础状态预期!$C$95:$C$115,基础状态预期!$P$95:$P$115,$W86)*S$67*INDEX($P$57:$T$57,MATCH($O$67,$P$4:$T$4,0))*求节点(基础状态预期!$C$95:$C$115,基础状态预期!$Z$95:$Z$115,$W86)+
求节点(基础状态预期!$C$95:$C$115,基础状态预期!$Q$95:$Q$115,$W86)*S$68*INDEX($P$57:$T$57,MATCH($O$68,$P$4:$T$4,0))*求节点(基础状态预期!$C$95:$C$115,基础状态预期!$AA$95:$AA$115,$W86)+
求节点(基础状态预期!$C$95:$C$115,基础状态预期!$R$95:$R$115,$W86)*S$69*INDEX($P$57:$T$57,MATCH($O$69,$P$4:$T$4,0))*求节点(基础状态预期!$C$95:$C$115,基础状态预期!$AB$95:$AB$115,$W86)+
求节点(基础状态预期!$C$95:$C$115,基础状态预期!$S$95:$S$115,$W86)*S$70*INDEX($P$57:$T$57,MATCH($O$70,$P$4:$T$4,0))*求节点(基础状态预期!$C$95:$C$115,基础状态预期!$AC$95:$AC$115,$W86)</f>
        <v>1477867.2970113612</v>
      </c>
      <c r="AB86" s="113">
        <f>求节点(基础状态预期!$C$121:$C$141,基础状态预期!$O$121:$O$141,$W86)*T$66*INDEX($P$57:$T$57,MATCH($O$66,$P$4:$T$4,0))*求节点(基础状态预期!$C$121:$C$141,基础状态预期!$Y$121:$Y$141,$W86)+
求节点(基础状态预期!$C$121:$C$141,基础状态预期!$P$121:$P$141,$W86)*T$67*INDEX($P$57:$T$57,MATCH($O$67,$P$4:$T$4,0))*求节点(基础状态预期!$C$121:$C$141,基础状态预期!$Z$121:$Z$141,$W86)+
求节点(基础状态预期!$C$121:$C$141,基础状态预期!$Q$121:$Q$141,$W86)*T$68*INDEX($P$57:$T$57,MATCH($O$68,$P$4:$T$4,0))*求节点(基础状态预期!$C$121:$C$141,基础状态预期!$AA$121:$AA$141,$W86)+
求节点(基础状态预期!$C$121:$C$141,基础状态预期!$R$121:$R$141,$W86)*T$69*INDEX($P$57:$T$57,MATCH($O$69,$P$4:$T$4,0))*求节点(基础状态预期!$C$121:$C$141,基础状态预期!$AB$121:$AB$141,$W86)+
求节点(基础状态预期!$C$121:$C$141,基础状态预期!$S$121:$S$141,$W86)*T$70*INDEX($P$57:$T$57,MATCH($O$70,$P$4:$T$4,0))*求节点(基础状态预期!$C$121:$C$141,基础状态预期!$AC$121:$AC$141,$W86)</f>
        <v>2052690.5745455152</v>
      </c>
      <c r="AE86" s="70">
        <v>81</v>
      </c>
      <c r="AF86" s="113">
        <f>盗宝贼!AI85</f>
        <v>18950.979257338135</v>
      </c>
      <c r="AG86" s="113">
        <f>盗宝贼!AJ85</f>
        <v>23830.812817562062</v>
      </c>
      <c r="AH86" s="113">
        <f>盗宝贼!AK85</f>
        <v>26317.194683420079</v>
      </c>
      <c r="AI86" s="113">
        <f>盗宝贼!AL85</f>
        <v>21725.48241382153</v>
      </c>
      <c r="AJ86" s="113">
        <f>盗宝贼!AM85</f>
        <v>11994.758395027</v>
      </c>
      <c r="AL86" s="78">
        <f>盗宝贼!AI85/AF86</f>
        <v>1</v>
      </c>
      <c r="AM86" s="118"/>
      <c r="AO86" s="123">
        <f t="shared" si="28"/>
        <v>5.53417309136345E-2</v>
      </c>
      <c r="AP86" s="123">
        <f t="shared" si="29"/>
        <v>4.5468442457964407E-2</v>
      </c>
      <c r="AQ86" s="123">
        <f t="shared" si="30"/>
        <v>2.4375578221987316E-2</v>
      </c>
      <c r="AR86" s="123">
        <f t="shared" si="31"/>
        <v>1.4700563750044544E-2</v>
      </c>
      <c r="AS86" s="123">
        <f t="shared" si="32"/>
        <v>5.8434322950417167E-3</v>
      </c>
    </row>
    <row r="87" spans="23:45" x14ac:dyDescent="0.15">
      <c r="W87" s="70">
        <v>82</v>
      </c>
      <c r="X87" s="113">
        <f>求节点(基础状态预期!$C$17:$C$37,基础状态预期!$O$17:$O$37,$W87)*P$66*INDEX($P$57:$T$57,MATCH($O$66,$P$4:$T$4,0))*求节点(基础状态预期!$C$17:$C$37,基础状态预期!$Y$17:$Y$37,$W87)+
求节点(基础状态预期!$C$17:$C$37,基础状态预期!$P$17:$P$37,$W87)*P$67*INDEX($P$57:$T$57,MATCH($O$67,$P$4:$T$4,0))*求节点(基础状态预期!$C$17:$C$37,基础状态预期!$Z$17:$Z$37,$W87)+
求节点(基础状态预期!$C$17:$C$37,基础状态预期!$Q$17:$Q$37,$W87)*P$68*INDEX($P$57:$T$57,MATCH($O$68,$P$4:$T$4,0))*求节点(基础状态预期!$C$17:$C$37,基础状态预期!$AA$17:$AA$37,$W87)+
求节点(基础状态预期!$C$17:$C$37,基础状态预期!$R$17:$R$37,$W87)*P$69*INDEX($P$57:$T$57,MATCH($O$69,$P$4:$T$4,0))*求节点(基础状态预期!$C$17:$C$37,基础状态预期!$AB$17:$AB$37,$W87)+
求节点(基础状态预期!$C$17:$C$37,基础状态预期!$S$17:$S$37,$W87)*P$70*INDEX($P$57:$T$57,MATCH($O$70,$P$4:$T$4,0))*求节点(基础状态预期!$C$17:$C$37,基础状态预期!$AC$17:$AC$37,$W87)</f>
        <v>352070.18843212968</v>
      </c>
      <c r="Y87" s="113">
        <f>求节点(基础状态预期!$C$43:$C$63,基础状态预期!$O$43:$O$63,$W87)*Q$66*INDEX($P$57:$T$57,MATCH($O$66,$P$4:$T$4,0))*求节点(基础状态预期!$C$43:$C$63,基础状态预期!$Y$43:$Y$63,$W87)+
求节点(基础状态预期!$C$43:$C$63,基础状态预期!$P$43:$P$63,$W87)*Q$67*INDEX($P$57:$T$57,MATCH($O$67,$P$4:$T$4,0))*求节点(基础状态预期!$C$43:$C$63,基础状态预期!$Z$43:$Z$63,$W87)+
求节点(基础状态预期!$C$43:$C$63,基础状态预期!$Q$43:$Q$63,$W87)*Q$68*INDEX($P$57:$T$57,MATCH($O$68,$P$4:$T$4,0))*求节点(基础状态预期!$C$43:$C$63,基础状态预期!$AA$43:$AA$63,$W87)+
求节点(基础状态预期!$C$43:$C$63,基础状态预期!$R$43:$R$63,$W87)*Q$69*INDEX($P$57:$T$57,MATCH($O$69,$P$4:$T$4,0))*求节点(基础状态预期!$C$43:$C$63,基础状态预期!$AB$43:$AB$63,$W87)+
求节点(基础状态预期!$C$43:$C$63,基础状态预期!$S$43:$S$63,$W87)*Q$70*INDEX($P$57:$T$57,MATCH($O$70,$P$4:$T$4,0))*求节点(基础状态预期!$C$43:$C$63,基础状态预期!$AC$43:$AC$63,$W87)</f>
        <v>524117.64136397809</v>
      </c>
      <c r="Z87" s="113">
        <f>求节点(基础状态预期!$C$69:$C$89,基础状态预期!$O$69:$O$89,$W87)*R$66*INDEX($P$57:$T$57,MATCH($O$66,$P$4:$T$4,0))*求节点(基础状态预期!$C$69:$C$89,基础状态预期!AA98:AA118,$W87)+
求节点(基础状态预期!$C$69:$C$89,基础状态预期!$P$69:$P$89,$W87)*R$67*INDEX($P$57:$T$57,MATCH($O$67,$P$4:$T$4,0))*求节点(基础状态预期!$C$69:$C$89,基础状态预期!$Z$69:$Z$89,$W87)+
求节点(基础状态预期!$C$69:$C$89,基础状态预期!$Q$69:$Q$89,$W87)*R$68*INDEX($P$57:$T$57,MATCH($O$68,$P$4:$T$4,0))*求节点(基础状态预期!$C$69:$C$89,基础状态预期!$AA$69:$AA$89,$W87)+
求节点(基础状态预期!$C$69:$C$89,基础状态预期!$R$69:$R$89,$W87)*R$69*INDEX($P$57:$T$57,MATCH($O$69,$P$4:$T$4,0))*求节点(基础状态预期!$C$69:$C$89,基础状态预期!$AB$69:$AB$89,$W87)+
求节点(基础状态预期!$C$69:$C$89,基础状态预期!$S$69:$S$89,$W87)*R$70*INDEX($P$57:$T$57,MATCH($O$70,$P$4:$T$4,0))*求节点(基础状态预期!$C$69:$C$89,基础状态预期!$AC$69:$AC$89,$W87)</f>
        <v>1116023.3862457557</v>
      </c>
      <c r="AA87" s="113">
        <f>求节点(基础状态预期!$C$95:$C$115,基础状态预期!$O$95:$O$115,$W87)*S$66*INDEX($P$57:$T$57,MATCH($O$66,$P$4:$T$4,0))*求节点(基础状态预期!$C$95:$C$115,基础状态预期!$Y$95:$Y$115,$W87)+
求节点(基础状态预期!$C$95:$C$115,基础状态预期!$P$95:$P$115,$W87)*S$67*INDEX($P$57:$T$57,MATCH($O$67,$P$4:$T$4,0))*求节点(基础状态预期!$C$95:$C$115,基础状态预期!$Z$95:$Z$115,$W87)+
求节点(基础状态预期!$C$95:$C$115,基础状态预期!$Q$95:$Q$115,$W87)*S$68*INDEX($P$57:$T$57,MATCH($O$68,$P$4:$T$4,0))*求节点(基础状态预期!$C$95:$C$115,基础状态预期!$AA$95:$AA$115,$W87)+
求节点(基础状态预期!$C$95:$C$115,基础状态预期!$R$95:$R$115,$W87)*S$69*INDEX($P$57:$T$57,MATCH($O$69,$P$4:$T$4,0))*求节点(基础状态预期!$C$95:$C$115,基础状态预期!$AB$95:$AB$115,$W87)+
求节点(基础状态预期!$C$95:$C$115,基础状态预期!$S$95:$S$115,$W87)*S$70*INDEX($P$57:$T$57,MATCH($O$70,$P$4:$T$4,0))*求节点(基础状态预期!$C$95:$C$115,基础状态预期!$AC$95:$AC$115,$W87)</f>
        <v>1508589.0600967607</v>
      </c>
      <c r="AB87" s="113">
        <f>求节点(基础状态预期!$C$121:$C$141,基础状态预期!$O$121:$O$141,$W87)*T$66*INDEX($P$57:$T$57,MATCH($O$66,$P$4:$T$4,0))*求节点(基础状态预期!$C$121:$C$141,基础状态预期!$Y$121:$Y$141,$W87)+
求节点(基础状态预期!$C$121:$C$141,基础状态预期!$P$121:$P$141,$W87)*T$67*INDEX($P$57:$T$57,MATCH($O$67,$P$4:$T$4,0))*求节点(基础状态预期!$C$121:$C$141,基础状态预期!$Z$121:$Z$141,$W87)+
求节点(基础状态预期!$C$121:$C$141,基础状态预期!$Q$121:$Q$141,$W87)*T$68*INDEX($P$57:$T$57,MATCH($O$68,$P$4:$T$4,0))*求节点(基础状态预期!$C$121:$C$141,基础状态预期!$AA$121:$AA$141,$W87)+
求节点(基础状态预期!$C$121:$C$141,基础状态预期!$R$121:$R$141,$W87)*T$69*INDEX($P$57:$T$57,MATCH($O$69,$P$4:$T$4,0))*求节点(基础状态预期!$C$121:$C$141,基础状态预期!$AB$121:$AB$141,$W87)+
求节点(基础状态预期!$C$121:$C$141,基础状态预期!$S$121:$S$141,$W87)*T$70*INDEX($P$57:$T$57,MATCH($O$70,$P$4:$T$4,0))*求节点(基础状态预期!$C$121:$C$141,基础状态预期!$AC$121:$AC$141,$W87)</f>
        <v>2052690.5745455152</v>
      </c>
      <c r="AE87" s="70">
        <v>82</v>
      </c>
      <c r="AF87" s="113">
        <f>盗宝贼!AI86</f>
        <v>21326.880889540818</v>
      </c>
      <c r="AG87" s="113">
        <f>盗宝贼!AJ86</f>
        <v>26781.606599785151</v>
      </c>
      <c r="AH87" s="113">
        <f>盗宝贼!AK86</f>
        <v>29587.894222895644</v>
      </c>
      <c r="AI87" s="113">
        <f>盗宝贼!AL86</f>
        <v>24440.975171536746</v>
      </c>
      <c r="AJ87" s="113">
        <f>盗宝贼!AM86</f>
        <v>13446.544184963397</v>
      </c>
      <c r="AL87" s="78">
        <f>盗宝贼!AI86/AF87</f>
        <v>1</v>
      </c>
      <c r="AM87" s="118"/>
      <c r="AO87" s="123">
        <f t="shared" si="28"/>
        <v>6.0575651078313628E-2</v>
      </c>
      <c r="AP87" s="123">
        <f t="shared" si="29"/>
        <v>5.1098464325848608E-2</v>
      </c>
      <c r="AQ87" s="123">
        <f t="shared" si="30"/>
        <v>2.6511894452702977E-2</v>
      </c>
      <c r="AR87" s="123">
        <f t="shared" si="31"/>
        <v>1.6201214643548525E-2</v>
      </c>
      <c r="AS87" s="123">
        <f t="shared" si="32"/>
        <v>6.5506922240048705E-3</v>
      </c>
    </row>
    <row r="88" spans="23:45" x14ac:dyDescent="0.15">
      <c r="W88" s="70">
        <v>83</v>
      </c>
      <c r="X88" s="113">
        <f>求节点(基础状态预期!$C$17:$C$37,基础状态预期!$O$17:$O$37,$W88)*P$66*INDEX($P$57:$T$57,MATCH($O$66,$P$4:$T$4,0))*求节点(基础状态预期!$C$17:$C$37,基础状态预期!$Y$17:$Y$37,$W88)+
求节点(基础状态预期!$C$17:$C$37,基础状态预期!$P$17:$P$37,$W88)*P$67*INDEX($P$57:$T$57,MATCH($O$67,$P$4:$T$4,0))*求节点(基础状态预期!$C$17:$C$37,基础状态预期!$Z$17:$Z$37,$W88)+
求节点(基础状态预期!$C$17:$C$37,基础状态预期!$Q$17:$Q$37,$W88)*P$68*INDEX($P$57:$T$57,MATCH($O$68,$P$4:$T$4,0))*求节点(基础状态预期!$C$17:$C$37,基础状态预期!$AA$17:$AA$37,$W88)+
求节点(基础状态预期!$C$17:$C$37,基础状态预期!$R$17:$R$37,$W88)*P$69*INDEX($P$57:$T$57,MATCH($O$69,$P$4:$T$4,0))*求节点(基础状态预期!$C$17:$C$37,基础状态预期!$AB$17:$AB$37,$W88)+
求节点(基础状态预期!$C$17:$C$37,基础状态预期!$S$17:$S$37,$W88)*P$70*INDEX($P$57:$T$57,MATCH($O$70,$P$4:$T$4,0))*求节点(基础状态预期!$C$17:$C$37,基础状态预期!$AC$17:$AC$37,$W88)</f>
        <v>361704.76915056573</v>
      </c>
      <c r="Y88" s="113">
        <f>求节点(基础状态预期!$C$43:$C$63,基础状态预期!$O$43:$O$63,$W88)*Q$66*INDEX($P$57:$T$57,MATCH($O$66,$P$4:$T$4,0))*求节点(基础状态预期!$C$43:$C$63,基础状态预期!$Y$43:$Y$63,$W88)+
求节点(基础状态预期!$C$43:$C$63,基础状态预期!$P$43:$P$63,$W88)*Q$67*INDEX($P$57:$T$57,MATCH($O$67,$P$4:$T$4,0))*求节点(基础状态预期!$C$43:$C$63,基础状态预期!$Z$43:$Z$63,$W88)+
求节点(基础状态预期!$C$43:$C$63,基础状态预期!$Q$43:$Q$63,$W88)*Q$68*INDEX($P$57:$T$57,MATCH($O$68,$P$4:$T$4,0))*求节点(基础状态预期!$C$43:$C$63,基础状态预期!$AA$43:$AA$63,$W88)+
求节点(基础状态预期!$C$43:$C$63,基础状态预期!$R$43:$R$63,$W88)*Q$69*INDEX($P$57:$T$57,MATCH($O$69,$P$4:$T$4,0))*求节点(基础状态预期!$C$43:$C$63,基础状态预期!$AB$43:$AB$63,$W88)+
求节点(基础状态预期!$C$43:$C$63,基础状态预期!$S$43:$S$63,$W88)*Q$70*INDEX($P$57:$T$57,MATCH($O$70,$P$4:$T$4,0))*求节点(基础状态预期!$C$43:$C$63,基础状态预期!$AC$43:$AC$63,$W88)</f>
        <v>524117.64136397809</v>
      </c>
      <c r="Z88" s="113">
        <f>求节点(基础状态预期!$C$69:$C$89,基础状态预期!$O$69:$O$89,$W88)*R$66*INDEX($P$57:$T$57,MATCH($O$66,$P$4:$T$4,0))*求节点(基础状态预期!$C$69:$C$89,基础状态预期!AA99:AA119,$W88)+
求节点(基础状态预期!$C$69:$C$89,基础状态预期!$P$69:$P$89,$W88)*R$67*INDEX($P$57:$T$57,MATCH($O$67,$P$4:$T$4,0))*求节点(基础状态预期!$C$69:$C$89,基础状态预期!$Z$69:$Z$89,$W88)+
求节点(基础状态预期!$C$69:$C$89,基础状态预期!$Q$69:$Q$89,$W88)*R$68*INDEX($P$57:$T$57,MATCH($O$68,$P$4:$T$4,0))*求节点(基础状态预期!$C$69:$C$89,基础状态预期!$AA$69:$AA$89,$W88)+
求节点(基础状态预期!$C$69:$C$89,基础状态预期!$R$69:$R$89,$W88)*R$69*INDEX($P$57:$T$57,MATCH($O$69,$P$4:$T$4,0))*求节点(基础状态预期!$C$69:$C$89,基础状态预期!$AB$69:$AB$89,$W88)+
求节点(基础状态预期!$C$69:$C$89,基础状态预期!$S$69:$S$89,$W88)*R$70*INDEX($P$57:$T$57,MATCH($O$70,$P$4:$T$4,0))*求节点(基础状态预期!$C$69:$C$89,基础状态预期!$AC$69:$AC$89,$W88)</f>
        <v>1153261.4409710905</v>
      </c>
      <c r="AA88" s="113">
        <f>求节点(基础状态预期!$C$95:$C$115,基础状态预期!$O$95:$O$115,$W88)*S$66*INDEX($P$57:$T$57,MATCH($O$66,$P$4:$T$4,0))*求节点(基础状态预期!$C$95:$C$115,基础状态预期!$Y$95:$Y$115,$W88)+
求节点(基础状态预期!$C$95:$C$115,基础状态预期!$P$95:$P$115,$W88)*S$67*INDEX($P$57:$T$57,MATCH($O$67,$P$4:$T$4,0))*求节点(基础状态预期!$C$95:$C$115,基础状态预期!$Z$95:$Z$115,$W88)+
求节点(基础状态预期!$C$95:$C$115,基础状态预期!$Q$95:$Q$115,$W88)*S$68*INDEX($P$57:$T$57,MATCH($O$68,$P$4:$T$4,0))*求节点(基础状态预期!$C$95:$C$115,基础状态预期!$AA$95:$AA$115,$W88)+
求节点(基础状态预期!$C$95:$C$115,基础状态预期!$R$95:$R$115,$W88)*S$69*INDEX($P$57:$T$57,MATCH($O$69,$P$4:$T$4,0))*求节点(基础状态预期!$C$95:$C$115,基础状态预期!$AB$95:$AB$115,$W88)+
求节点(基础状态预期!$C$95:$C$115,基础状态预期!$S$95:$S$115,$W88)*S$70*INDEX($P$57:$T$57,MATCH($O$70,$P$4:$T$4,0))*求节点(基础状态预期!$C$95:$C$115,基础状态预期!$AC$95:$AC$115,$W88)</f>
        <v>1539310.82318216</v>
      </c>
      <c r="AB88" s="113">
        <f>求节点(基础状态预期!$C$121:$C$141,基础状态预期!$O$121:$O$141,$W88)*T$66*INDEX($P$57:$T$57,MATCH($O$66,$P$4:$T$4,0))*求节点(基础状态预期!$C$121:$C$141,基础状态预期!$Y$121:$Y$141,$W88)+
求节点(基础状态预期!$C$121:$C$141,基础状态预期!$P$121:$P$141,$W88)*T$67*INDEX($P$57:$T$57,MATCH($O$67,$P$4:$T$4,0))*求节点(基础状态预期!$C$121:$C$141,基础状态预期!$Z$121:$Z$141,$W88)+
求节点(基础状态预期!$C$121:$C$141,基础状态预期!$Q$121:$Q$141,$W88)*T$68*INDEX($P$57:$T$57,MATCH($O$68,$P$4:$T$4,0))*求节点(基础状态预期!$C$121:$C$141,基础状态预期!$AA$121:$AA$141,$W88)+
求节点(基础状态预期!$C$121:$C$141,基础状态预期!$R$121:$R$141,$W88)*T$69*INDEX($P$57:$T$57,MATCH($O$69,$P$4:$T$4,0))*求节点(基础状态预期!$C$121:$C$141,基础状态预期!$AB$121:$AB$141,$W88)+
求节点(基础状态预期!$C$121:$C$141,基础状态预期!$S$121:$S$141,$W88)*T$70*INDEX($P$57:$T$57,MATCH($O$70,$P$4:$T$4,0))*求节点(基础状态预期!$C$121:$C$141,基础状态预期!$AC$121:$AC$141,$W88)</f>
        <v>2052690.5745455152</v>
      </c>
      <c r="AE88" s="70">
        <v>83</v>
      </c>
      <c r="AF88" s="113">
        <f>盗宝贼!AI87</f>
        <v>24000.630624481993</v>
      </c>
      <c r="AG88" s="113">
        <f>盗宝贼!AJ87</f>
        <v>30174.551949475794</v>
      </c>
      <c r="AH88" s="113">
        <f>盗宝贼!AK87</f>
        <v>33391.405901591163</v>
      </c>
      <c r="AI88" s="113">
        <f>盗宝贼!AL87</f>
        <v>27495.085730746792</v>
      </c>
      <c r="AJ88" s="113">
        <f>盗宝贼!AM87</f>
        <v>15137.904846284304</v>
      </c>
      <c r="AL88" s="78">
        <f>盗宝贼!AI87/AF88</f>
        <v>1</v>
      </c>
      <c r="AM88" s="118"/>
      <c r="AO88" s="123">
        <f t="shared" si="28"/>
        <v>6.635420008656652E-2</v>
      </c>
      <c r="AP88" s="123">
        <f t="shared" si="29"/>
        <v>5.7572097498852955E-2</v>
      </c>
      <c r="AQ88" s="123">
        <f t="shared" si="30"/>
        <v>2.8953890865781758E-2</v>
      </c>
      <c r="AR88" s="123">
        <f t="shared" si="31"/>
        <v>1.7861945304787259E-2</v>
      </c>
      <c r="AS88" s="123">
        <f t="shared" si="32"/>
        <v>7.3746647614611749E-3</v>
      </c>
    </row>
    <row r="89" spans="23:45" x14ac:dyDescent="0.15">
      <c r="W89" s="70">
        <v>84</v>
      </c>
      <c r="X89" s="113">
        <f>求节点(基础状态预期!$C$17:$C$37,基础状态预期!$O$17:$O$37,$W89)*P$66*INDEX($P$57:$T$57,MATCH($O$66,$P$4:$T$4,0))*求节点(基础状态预期!$C$17:$C$37,基础状态预期!$Y$17:$Y$37,$W89)+
求节点(基础状态预期!$C$17:$C$37,基础状态预期!$P$17:$P$37,$W89)*P$67*INDEX($P$57:$T$57,MATCH($O$67,$P$4:$T$4,0))*求节点(基础状态预期!$C$17:$C$37,基础状态预期!$Z$17:$Z$37,$W89)+
求节点(基础状态预期!$C$17:$C$37,基础状态预期!$Q$17:$Q$37,$W89)*P$68*INDEX($P$57:$T$57,MATCH($O$68,$P$4:$T$4,0))*求节点(基础状态预期!$C$17:$C$37,基础状态预期!$AA$17:$AA$37,$W89)+
求节点(基础状态预期!$C$17:$C$37,基础状态预期!$R$17:$R$37,$W89)*P$69*INDEX($P$57:$T$57,MATCH($O$69,$P$4:$T$4,0))*求节点(基础状态预期!$C$17:$C$37,基础状态预期!$AB$17:$AB$37,$W89)+
求节点(基础状态预期!$C$17:$C$37,基础状态预期!$S$17:$S$37,$W89)*P$70*INDEX($P$57:$T$57,MATCH($O$70,$P$4:$T$4,0))*求节点(基础状态预期!$C$17:$C$37,基础状态预期!$AC$17:$AC$37,$W89)</f>
        <v>371339.34986900177</v>
      </c>
      <c r="Y89" s="113">
        <f>求节点(基础状态预期!$C$43:$C$63,基础状态预期!$O$43:$O$63,$W89)*Q$66*INDEX($P$57:$T$57,MATCH($O$66,$P$4:$T$4,0))*求节点(基础状态预期!$C$43:$C$63,基础状态预期!$Y$43:$Y$63,$W89)+
求节点(基础状态预期!$C$43:$C$63,基础状态预期!$P$43:$P$63,$W89)*Q$67*INDEX($P$57:$T$57,MATCH($O$67,$P$4:$T$4,0))*求节点(基础状态预期!$C$43:$C$63,基础状态预期!$Z$43:$Z$63,$W89)+
求节点(基础状态预期!$C$43:$C$63,基础状态预期!$Q$43:$Q$63,$W89)*Q$68*INDEX($P$57:$T$57,MATCH($O$68,$P$4:$T$4,0))*求节点(基础状态预期!$C$43:$C$63,基础状态预期!$AA$43:$AA$63,$W89)+
求节点(基础状态预期!$C$43:$C$63,基础状态预期!$R$43:$R$63,$W89)*Q$69*INDEX($P$57:$T$57,MATCH($O$69,$P$4:$T$4,0))*求节点(基础状态预期!$C$43:$C$63,基础状态预期!$AB$43:$AB$63,$W89)+
求节点(基础状态预期!$C$43:$C$63,基础状态预期!$S$43:$S$63,$W89)*Q$70*INDEX($P$57:$T$57,MATCH($O$70,$P$4:$T$4,0))*求节点(基础状态预期!$C$43:$C$63,基础状态预期!$AC$43:$AC$63,$W89)</f>
        <v>524117.64136397809</v>
      </c>
      <c r="Z89" s="113">
        <f>求节点(基础状态预期!$C$69:$C$89,基础状态预期!$O$69:$O$89,$W89)*R$66*INDEX($P$57:$T$57,MATCH($O$66,$P$4:$T$4,0))*求节点(基础状态预期!$C$69:$C$89,基础状态预期!AA100:AA120,$W89)+
求节点(基础状态预期!$C$69:$C$89,基础状态预期!$P$69:$P$89,$W89)*R$67*INDEX($P$57:$T$57,MATCH($O$67,$P$4:$T$4,0))*求节点(基础状态预期!$C$69:$C$89,基础状态预期!$Z$69:$Z$89,$W89)+
求节点(基础状态预期!$C$69:$C$89,基础状态预期!$Q$69:$Q$89,$W89)*R$68*INDEX($P$57:$T$57,MATCH($O$68,$P$4:$T$4,0))*求节点(基础状态预期!$C$69:$C$89,基础状态预期!$AA$69:$AA$89,$W89)+
求节点(基础状态预期!$C$69:$C$89,基础状态预期!$R$69:$R$89,$W89)*R$69*INDEX($P$57:$T$57,MATCH($O$69,$P$4:$T$4,0))*求节点(基础状态预期!$C$69:$C$89,基础状态预期!$AB$69:$AB$89,$W89)+
求节点(基础状态预期!$C$69:$C$89,基础状态预期!$S$69:$S$89,$W89)*R$70*INDEX($P$57:$T$57,MATCH($O$70,$P$4:$T$4,0))*求节点(基础状态预期!$C$69:$C$89,基础状态预期!$AC$69:$AC$89,$W89)</f>
        <v>1191368.33458175</v>
      </c>
      <c r="AA89" s="113">
        <f>求节点(基础状态预期!$C$95:$C$115,基础状态预期!$O$95:$O$115,$W89)*S$66*INDEX($P$57:$T$57,MATCH($O$66,$P$4:$T$4,0))*求节点(基础状态预期!$C$95:$C$115,基础状态预期!$Y$95:$Y$115,$W89)+
求节点(基础状态预期!$C$95:$C$115,基础状态预期!$P$95:$P$115,$W89)*S$67*INDEX($P$57:$T$57,MATCH($O$67,$P$4:$T$4,0))*求节点(基础状态预期!$C$95:$C$115,基础状态预期!$Z$95:$Z$115,$W89)+
求节点(基础状态预期!$C$95:$C$115,基础状态预期!$Q$95:$Q$115,$W89)*S$68*INDEX($P$57:$T$57,MATCH($O$68,$P$4:$T$4,0))*求节点(基础状态预期!$C$95:$C$115,基础状态预期!$AA$95:$AA$115,$W89)+
求节点(基础状态预期!$C$95:$C$115,基础状态预期!$R$95:$R$115,$W89)*S$69*INDEX($P$57:$T$57,MATCH($O$69,$P$4:$T$4,0))*求节点(基础状态预期!$C$95:$C$115,基础状态预期!$AB$95:$AB$115,$W89)+
求节点(基础状态预期!$C$95:$C$115,基础状态预期!$S$95:$S$115,$W89)*S$70*INDEX($P$57:$T$57,MATCH($O$70,$P$4:$T$4,0))*求节点(基础状态预期!$C$95:$C$115,基础状态预期!$AC$95:$AC$115,$W89)</f>
        <v>1570032.5862675598</v>
      </c>
      <c r="AB89" s="113">
        <f>求节点(基础状态预期!$C$121:$C$141,基础状态预期!$O$121:$O$141,$W89)*T$66*INDEX($P$57:$T$57,MATCH($O$66,$P$4:$T$4,0))*求节点(基础状态预期!$C$121:$C$141,基础状态预期!$Y$121:$Y$141,$W89)+
求节点(基础状态预期!$C$121:$C$141,基础状态预期!$P$121:$P$141,$W89)*T$67*INDEX($P$57:$T$57,MATCH($O$67,$P$4:$T$4,0))*求节点(基础状态预期!$C$121:$C$141,基础状态预期!$Z$121:$Z$141,$W89)+
求节点(基础状态预期!$C$121:$C$141,基础状态预期!$Q$121:$Q$141,$W89)*T$68*INDEX($P$57:$T$57,MATCH($O$68,$P$4:$T$4,0))*求节点(基础状态预期!$C$121:$C$141,基础状态预期!$AA$121:$AA$141,$W89)+
求节点(基础状态预期!$C$121:$C$141,基础状态预期!$R$121:$R$141,$W89)*T$69*INDEX($P$57:$T$57,MATCH($O$69,$P$4:$T$4,0))*求节点(基础状态预期!$C$121:$C$141,基础状态预期!$AB$121:$AB$141,$W89)+
求节点(基础状态预期!$C$121:$C$141,基础状态预期!$S$121:$S$141,$W89)*T$70*INDEX($P$57:$T$57,MATCH($O$70,$P$4:$T$4,0))*求节点(基础状态预期!$C$121:$C$141,基础状态预期!$AC$121:$AC$141,$W89)</f>
        <v>2052690.5745455152</v>
      </c>
      <c r="AE89" s="70">
        <v>84</v>
      </c>
      <c r="AF89" s="113">
        <f>盗宝贼!AI88</f>
        <v>27009.567336423945</v>
      </c>
      <c r="AG89" s="113">
        <f>盗宝贼!AJ88</f>
        <v>33995.042417919198</v>
      </c>
      <c r="AH89" s="113">
        <f>盗宝贼!AK88</f>
        <v>37527.045591741509</v>
      </c>
      <c r="AI89" s="113">
        <f>盗宝贼!AL88</f>
        <v>30889.914503397358</v>
      </c>
      <c r="AJ89" s="113">
        <f>盗宝贼!AM88</f>
        <v>17060.684202039745</v>
      </c>
      <c r="AL89" s="78">
        <f>盗宝贼!AI88/AF89</f>
        <v>1</v>
      </c>
      <c r="AM89" s="118"/>
      <c r="AO89" s="123">
        <f t="shared" si="28"/>
        <v>7.2735537846856713E-2</v>
      </c>
      <c r="AP89" s="123">
        <f t="shared" si="29"/>
        <v>6.4861473331539785E-2</v>
      </c>
      <c r="AQ89" s="123">
        <f t="shared" si="30"/>
        <v>3.1499112828876734E-2</v>
      </c>
      <c r="AR89" s="123">
        <f t="shared" si="31"/>
        <v>1.9674696419411261E-2</v>
      </c>
      <c r="AS89" s="123">
        <f t="shared" si="32"/>
        <v>8.3113764995082808E-3</v>
      </c>
    </row>
    <row r="90" spans="23:45" x14ac:dyDescent="0.15">
      <c r="W90" s="70">
        <v>85</v>
      </c>
      <c r="X90" s="113">
        <f>求节点(基础状态预期!$C$17:$C$37,基础状态预期!$O$17:$O$37,$W90)*P$66*INDEX($P$57:$T$57,MATCH($O$66,$P$4:$T$4,0))*求节点(基础状态预期!$C$17:$C$37,基础状态预期!$Y$17:$Y$37,$W90)+
求节点(基础状态预期!$C$17:$C$37,基础状态预期!$P$17:$P$37,$W90)*P$67*INDEX($P$57:$T$57,MATCH($O$67,$P$4:$T$4,0))*求节点(基础状态预期!$C$17:$C$37,基础状态预期!$Z$17:$Z$37,$W90)+
求节点(基础状态预期!$C$17:$C$37,基础状态预期!$Q$17:$Q$37,$W90)*P$68*INDEX($P$57:$T$57,MATCH($O$68,$P$4:$T$4,0))*求节点(基础状态预期!$C$17:$C$37,基础状态预期!$AA$17:$AA$37,$W90)+
求节点(基础状态预期!$C$17:$C$37,基础状态预期!$R$17:$R$37,$W90)*P$69*INDEX($P$57:$T$57,MATCH($O$69,$P$4:$T$4,0))*求节点(基础状态预期!$C$17:$C$37,基础状态预期!$AB$17:$AB$37,$W90)+
求节点(基础状态预期!$C$17:$C$37,基础状态预期!$S$17:$S$37,$W90)*P$70*INDEX($P$57:$T$57,MATCH($O$70,$P$4:$T$4,0))*求节点(基础状态预期!$C$17:$C$37,基础状态预期!$AC$17:$AC$37,$W90)</f>
        <v>380973.93058743776</v>
      </c>
      <c r="Y90" s="113">
        <f>求节点(基础状态预期!$C$43:$C$63,基础状态预期!$O$43:$O$63,$W90)*Q$66*INDEX($P$57:$T$57,MATCH($O$66,$P$4:$T$4,0))*求节点(基础状态预期!$C$43:$C$63,基础状态预期!$Y$43:$Y$63,$W90)+
求节点(基础状态预期!$C$43:$C$63,基础状态预期!$P$43:$P$63,$W90)*Q$67*INDEX($P$57:$T$57,MATCH($O$67,$P$4:$T$4,0))*求节点(基础状态预期!$C$43:$C$63,基础状态预期!$Z$43:$Z$63,$W90)+
求节点(基础状态预期!$C$43:$C$63,基础状态预期!$Q$43:$Q$63,$W90)*Q$68*INDEX($P$57:$T$57,MATCH($O$68,$P$4:$T$4,0))*求节点(基础状态预期!$C$43:$C$63,基础状态预期!$AA$43:$AA$63,$W90)+
求节点(基础状态预期!$C$43:$C$63,基础状态预期!$R$43:$R$63,$W90)*Q$69*INDEX($P$57:$T$57,MATCH($O$69,$P$4:$T$4,0))*求节点(基础状态预期!$C$43:$C$63,基础状态预期!$AB$43:$AB$63,$W90)+
求节点(基础状态预期!$C$43:$C$63,基础状态预期!$S$43:$S$63,$W90)*Q$70*INDEX($P$57:$T$57,MATCH($O$70,$P$4:$T$4,0))*求节点(基础状态预期!$C$43:$C$63,基础状态预期!$AC$43:$AC$63,$W90)</f>
        <v>524117.64136397809</v>
      </c>
      <c r="Z90" s="113">
        <f>求节点(基础状态预期!$C$69:$C$89,基础状态预期!$O$69:$O$89,$W90)*R$66*INDEX($P$57:$T$57,MATCH($O$66,$P$4:$T$4,0))*求节点(基础状态预期!$C$69:$C$89,基础状态预期!AA101:AA121,$W90)+
求节点(基础状态预期!$C$69:$C$89,基础状态预期!$P$69:$P$89,$W90)*R$67*INDEX($P$57:$T$57,MATCH($O$67,$P$4:$T$4,0))*求节点(基础状态预期!$C$69:$C$89,基础状态预期!$Z$69:$Z$89,$W90)+
求节点(基础状态预期!$C$69:$C$89,基础状态预期!$Q$69:$Q$89,$W90)*R$68*INDEX($P$57:$T$57,MATCH($O$68,$P$4:$T$4,0))*求节点(基础状态预期!$C$69:$C$89,基础状态预期!$AA$69:$AA$89,$W90)+
求节点(基础状态预期!$C$69:$C$89,基础状态预期!$R$69:$R$89,$W90)*R$69*INDEX($P$57:$T$57,MATCH($O$69,$P$4:$T$4,0))*求节点(基础状态预期!$C$69:$C$89,基础状态预期!$AB$69:$AB$89,$W90)+
求节点(基础状态预期!$C$69:$C$89,基础状态预期!$S$69:$S$89,$W90)*R$70*INDEX($P$57:$T$57,MATCH($O$70,$P$4:$T$4,0))*求节点(基础状态预期!$C$69:$C$89,基础状态预期!$AC$69:$AC$89,$W90)</f>
        <v>1230344.0670777343</v>
      </c>
      <c r="AA90" s="113">
        <f>求节点(基础状态预期!$C$95:$C$115,基础状态预期!$O$95:$O$115,$W90)*S$66*INDEX($P$57:$T$57,MATCH($O$66,$P$4:$T$4,0))*求节点(基础状态预期!$C$95:$C$115,基础状态预期!$Y$95:$Y$115,$W90)+
求节点(基础状态预期!$C$95:$C$115,基础状态预期!$P$95:$P$115,$W90)*S$67*INDEX($P$57:$T$57,MATCH($O$67,$P$4:$T$4,0))*求节点(基础状态预期!$C$95:$C$115,基础状态预期!$Z$95:$Z$115,$W90)+
求节点(基础状态预期!$C$95:$C$115,基础状态预期!$Q$95:$Q$115,$W90)*S$68*INDEX($P$57:$T$57,MATCH($O$68,$P$4:$T$4,0))*求节点(基础状态预期!$C$95:$C$115,基础状态预期!$AA$95:$AA$115,$W90)+
求节点(基础状态预期!$C$95:$C$115,基础状态预期!$R$95:$R$115,$W90)*S$69*INDEX($P$57:$T$57,MATCH($O$69,$P$4:$T$4,0))*求节点(基础状态预期!$C$95:$C$115,基础状态预期!$AB$95:$AB$115,$W90)+
求节点(基础状态预期!$C$95:$C$115,基础状态预期!$S$95:$S$115,$W90)*S$70*INDEX($P$57:$T$57,MATCH($O$70,$P$4:$T$4,0))*求节点(基础状态预期!$C$95:$C$115,基础状态预期!$AC$95:$AC$115,$W90)</f>
        <v>1600754.3493529588</v>
      </c>
      <c r="AB90" s="113">
        <f>求节点(基础状态预期!$C$121:$C$141,基础状态预期!$O$121:$O$141,$W90)*T$66*INDEX($P$57:$T$57,MATCH($O$66,$P$4:$T$4,0))*求节点(基础状态预期!$C$121:$C$141,基础状态预期!$Y$121:$Y$141,$W90)+
求节点(基础状态预期!$C$121:$C$141,基础状态预期!$P$121:$P$141,$W90)*T$67*INDEX($P$57:$T$57,MATCH($O$67,$P$4:$T$4,0))*求节点(基础状态预期!$C$121:$C$141,基础状态预期!$Z$121:$Z$141,$W90)+
求节点(基础状态预期!$C$121:$C$141,基础状态预期!$Q$121:$Q$141,$W90)*T$68*INDEX($P$57:$T$57,MATCH($O$68,$P$4:$T$4,0))*求节点(基础状态预期!$C$121:$C$141,基础状态预期!$AA$121:$AA$141,$W90)+
求节点(基础状态预期!$C$121:$C$141,基础状态预期!$R$121:$R$141,$W90)*T$69*INDEX($P$57:$T$57,MATCH($O$69,$P$4:$T$4,0))*求节点(基础状态预期!$C$121:$C$141,基础状态预期!$AB$121:$AB$141,$W90)+
求节点(基础状态预期!$C$121:$C$141,基础状态预期!$S$121:$S$141,$W90)*T$70*INDEX($P$57:$T$57,MATCH($O$70,$P$4:$T$4,0))*求节点(基础状态预期!$C$121:$C$141,基础状态预期!$AC$121:$AC$141,$W90)</f>
        <v>2052690.5745455152</v>
      </c>
      <c r="AE90" s="70">
        <v>85</v>
      </c>
      <c r="AF90" s="113">
        <f>盗宝贼!AI89</f>
        <v>30395.710780650123</v>
      </c>
      <c r="AG90" s="113">
        <f>盗宝贼!AJ89</f>
        <v>38157.40618588683</v>
      </c>
      <c r="AH90" s="113">
        <f>盗宝贼!AK89</f>
        <v>42126.558358979091</v>
      </c>
      <c r="AI90" s="113">
        <f>盗宝贼!AL89</f>
        <v>34829.20133443833</v>
      </c>
      <c r="AJ90" s="113">
        <f>盗宝贼!AM89</f>
        <v>19213.976985311572</v>
      </c>
      <c r="AL90" s="78">
        <f>盗宝贼!AI89/AF90</f>
        <v>1</v>
      </c>
      <c r="AM90" s="118"/>
      <c r="AO90" s="123">
        <f t="shared" si="28"/>
        <v>7.9784227581613937E-2</v>
      </c>
      <c r="AP90" s="123">
        <f t="shared" si="29"/>
        <v>7.2803132683313149E-2</v>
      </c>
      <c r="AQ90" s="123">
        <f t="shared" si="30"/>
        <v>3.4239656601942628E-2</v>
      </c>
      <c r="AR90" s="123">
        <f t="shared" si="31"/>
        <v>2.175799262923549E-2</v>
      </c>
      <c r="AS90" s="123">
        <f t="shared" si="32"/>
        <v>9.3603864233486461E-3</v>
      </c>
    </row>
    <row r="91" spans="23:45" x14ac:dyDescent="0.15">
      <c r="W91" s="70">
        <v>86</v>
      </c>
      <c r="X91" s="113">
        <f>求节点(基础状态预期!$C$17:$C$37,基础状态预期!$O$17:$O$37,$W91)*P$66*INDEX($P$57:$T$57,MATCH($O$66,$P$4:$T$4,0))*求节点(基础状态预期!$C$17:$C$37,基础状态预期!$Y$17:$Y$37,$W91)+
求节点(基础状态预期!$C$17:$C$37,基础状态预期!$P$17:$P$37,$W91)*P$67*INDEX($P$57:$T$57,MATCH($O$67,$P$4:$T$4,0))*求节点(基础状态预期!$C$17:$C$37,基础状态预期!$Z$17:$Z$37,$W91)+
求节点(基础状态预期!$C$17:$C$37,基础状态预期!$Q$17:$Q$37,$W91)*P$68*INDEX($P$57:$T$57,MATCH($O$68,$P$4:$T$4,0))*求节点(基础状态预期!$C$17:$C$37,基础状态预期!$AA$17:$AA$37,$W91)+
求节点(基础状态预期!$C$17:$C$37,基础状态预期!$R$17:$R$37,$W91)*P$69*INDEX($P$57:$T$57,MATCH($O$69,$P$4:$T$4,0))*求节点(基础状态预期!$C$17:$C$37,基础状态预期!$AB$17:$AB$37,$W91)+
求节点(基础状态预期!$C$17:$C$37,基础状态预期!$S$17:$S$37,$W91)*P$70*INDEX($P$57:$T$57,MATCH($O$70,$P$4:$T$4,0))*求节点(基础状态预期!$C$17:$C$37,基础状态预期!$AC$17:$AC$37,$W91)</f>
        <v>390608.51130587381</v>
      </c>
      <c r="Y91" s="113">
        <f>求节点(基础状态预期!$C$43:$C$63,基础状态预期!$O$43:$O$63,$W91)*Q$66*INDEX($P$57:$T$57,MATCH($O$66,$P$4:$T$4,0))*求节点(基础状态预期!$C$43:$C$63,基础状态预期!$Y$43:$Y$63,$W91)+
求节点(基础状态预期!$C$43:$C$63,基础状态预期!$P$43:$P$63,$W91)*Q$67*INDEX($P$57:$T$57,MATCH($O$67,$P$4:$T$4,0))*求节点(基础状态预期!$C$43:$C$63,基础状态预期!$Z$43:$Z$63,$W91)+
求节点(基础状态预期!$C$43:$C$63,基础状态预期!$Q$43:$Q$63,$W91)*Q$68*INDEX($P$57:$T$57,MATCH($O$68,$P$4:$T$4,0))*求节点(基础状态预期!$C$43:$C$63,基础状态预期!$AA$43:$AA$63,$W91)+
求节点(基础状态预期!$C$43:$C$63,基础状态预期!$R$43:$R$63,$W91)*Q$69*INDEX($P$57:$T$57,MATCH($O$69,$P$4:$T$4,0))*求节点(基础状态预期!$C$43:$C$63,基础状态预期!$AB$43:$AB$63,$W91)+
求节点(基础状态预期!$C$43:$C$63,基础状态预期!$S$43:$S$63,$W91)*Q$70*INDEX($P$57:$T$57,MATCH($O$70,$P$4:$T$4,0))*求节点(基础状态预期!$C$43:$C$63,基础状态预期!$AC$43:$AC$63,$W91)</f>
        <v>524117.64136397809</v>
      </c>
      <c r="Z91" s="113">
        <f>求节点(基础状态预期!$C$69:$C$89,基础状态预期!$O$69:$O$89,$W91)*R$66*INDEX($P$57:$T$57,MATCH($O$66,$P$4:$T$4,0))*求节点(基础状态预期!$C$69:$C$89,基础状态预期!AA102:AA122,$W91)+
求节点(基础状态预期!$C$69:$C$89,基础状态预期!$P$69:$P$89,$W91)*R$67*INDEX($P$57:$T$57,MATCH($O$67,$P$4:$T$4,0))*求节点(基础状态预期!$C$69:$C$89,基础状态预期!$Z$69:$Z$89,$W91)+
求节点(基础状态预期!$C$69:$C$89,基础状态预期!$Q$69:$Q$89,$W91)*R$68*INDEX($P$57:$T$57,MATCH($O$68,$P$4:$T$4,0))*求节点(基础状态预期!$C$69:$C$89,基础状态预期!$AA$69:$AA$89,$W91)+
求节点(基础状态预期!$C$69:$C$89,基础状态预期!$R$69:$R$89,$W91)*R$69*INDEX($P$57:$T$57,MATCH($O$69,$P$4:$T$4,0))*求节点(基础状态预期!$C$69:$C$89,基础状态预期!$AB$69:$AB$89,$W91)+
求节点(基础状态预期!$C$69:$C$89,基础状态预期!$S$69:$S$89,$W91)*R$70*INDEX($P$57:$T$57,MATCH($O$70,$P$4:$T$4,0))*求节点(基础状态预期!$C$69:$C$89,基础状态预期!$AC$69:$AC$89,$W91)</f>
        <v>1270188.6384590431</v>
      </c>
      <c r="AA91" s="113">
        <f>求节点(基础状态预期!$C$95:$C$115,基础状态预期!$O$95:$O$115,$W91)*S$66*INDEX($P$57:$T$57,MATCH($O$66,$P$4:$T$4,0))*求节点(基础状态预期!$C$95:$C$115,基础状态预期!$Y$95:$Y$115,$W91)+
求节点(基础状态预期!$C$95:$C$115,基础状态预期!$P$95:$P$115,$W91)*S$67*INDEX($P$57:$T$57,MATCH($O$67,$P$4:$T$4,0))*求节点(基础状态预期!$C$95:$C$115,基础状态预期!$Z$95:$Z$115,$W91)+
求节点(基础状态预期!$C$95:$C$115,基础状态预期!$Q$95:$Q$115,$W91)*S$68*INDEX($P$57:$T$57,MATCH($O$68,$P$4:$T$4,0))*求节点(基础状态预期!$C$95:$C$115,基础状态预期!$AA$95:$AA$115,$W91)+
求节点(基础状态预期!$C$95:$C$115,基础状态预期!$R$95:$R$115,$W91)*S$69*INDEX($P$57:$T$57,MATCH($O$69,$P$4:$T$4,0))*求节点(基础状态预期!$C$95:$C$115,基础状态预期!$AB$95:$AB$115,$W91)+
求节点(基础状态预期!$C$95:$C$115,基础状态预期!$S$95:$S$115,$W91)*S$70*INDEX($P$57:$T$57,MATCH($O$70,$P$4:$T$4,0))*求节点(基础状态预期!$C$95:$C$115,基础状态预期!$AC$95:$AC$115,$W91)</f>
        <v>1631476.1124383584</v>
      </c>
      <c r="AB91" s="113">
        <f>求节点(基础状态预期!$C$121:$C$141,基础状态预期!$O$121:$O$141,$W91)*T$66*INDEX($P$57:$T$57,MATCH($O$66,$P$4:$T$4,0))*求节点(基础状态预期!$C$121:$C$141,基础状态预期!$Y$121:$Y$141,$W91)+
求节点(基础状态预期!$C$121:$C$141,基础状态预期!$P$121:$P$141,$W91)*T$67*INDEX($P$57:$T$57,MATCH($O$67,$P$4:$T$4,0))*求节点(基础状态预期!$C$121:$C$141,基础状态预期!$Z$121:$Z$141,$W91)+
求节点(基础状态预期!$C$121:$C$141,基础状态预期!$Q$121:$Q$141,$W91)*T$68*INDEX($P$57:$T$57,MATCH($O$68,$P$4:$T$4,0))*求节点(基础状态预期!$C$121:$C$141,基础状态预期!$AA$121:$AA$141,$W91)+
求节点(基础状态预期!$C$121:$C$141,基础状态预期!$R$121:$R$141,$W91)*T$69*INDEX($P$57:$T$57,MATCH($O$69,$P$4:$T$4,0))*求节点(基础状态预期!$C$121:$C$141,基础状态预期!$AB$121:$AB$141,$W91)+
求节点(基础状态预期!$C$121:$C$141,基础状态预期!$S$121:$S$141,$W91)*T$70*INDEX($P$57:$T$57,MATCH($O$70,$P$4:$T$4,0))*求节点(基础状态预期!$C$121:$C$141,基础状态预期!$AC$121:$AC$141,$W91)</f>
        <v>2052690.5745455152</v>
      </c>
      <c r="AE91" s="70">
        <v>86</v>
      </c>
      <c r="AF91" s="113">
        <f>盗宝贼!AI90</f>
        <v>34206.348398706112</v>
      </c>
      <c r="AG91" s="113">
        <f>盗宝贼!AJ90</f>
        <v>42916.448077521112</v>
      </c>
      <c r="AH91" s="113">
        <f>盗宝贼!AK90</f>
        <v>47439.567824970472</v>
      </c>
      <c r="AI91" s="113">
        <f>盗宝贼!AL90</f>
        <v>39367.416279926132</v>
      </c>
      <c r="AJ91" s="113">
        <f>盗宝贼!AM90</f>
        <v>21319.497802897669</v>
      </c>
      <c r="AL91" s="78">
        <f>盗宝贼!AI90/AF91</f>
        <v>1</v>
      </c>
      <c r="AM91" s="118"/>
      <c r="AO91" s="123">
        <f t="shared" si="28"/>
        <v>8.7571948405190142E-2</v>
      </c>
      <c r="AP91" s="123">
        <f t="shared" si="29"/>
        <v>8.1883235156584647E-2</v>
      </c>
      <c r="AQ91" s="123">
        <f t="shared" si="30"/>
        <v>3.7348442891539962E-2</v>
      </c>
      <c r="AR91" s="123">
        <f t="shared" si="31"/>
        <v>2.412993728795005E-2</v>
      </c>
      <c r="AS91" s="123">
        <f t="shared" si="32"/>
        <v>1.0386123494340108E-2</v>
      </c>
    </row>
    <row r="92" spans="23:45" x14ac:dyDescent="0.15">
      <c r="W92" s="70">
        <v>87</v>
      </c>
      <c r="X92" s="113">
        <f>求节点(基础状态预期!$C$17:$C$37,基础状态预期!$O$17:$O$37,$W92)*P$66*INDEX($P$57:$T$57,MATCH($O$66,$P$4:$T$4,0))*求节点(基础状态预期!$C$17:$C$37,基础状态预期!$Y$17:$Y$37,$W92)+
求节点(基础状态预期!$C$17:$C$37,基础状态预期!$P$17:$P$37,$W92)*P$67*INDEX($P$57:$T$57,MATCH($O$67,$P$4:$T$4,0))*求节点(基础状态预期!$C$17:$C$37,基础状态预期!$Z$17:$Z$37,$W92)+
求节点(基础状态预期!$C$17:$C$37,基础状态预期!$Q$17:$Q$37,$W92)*P$68*INDEX($P$57:$T$57,MATCH($O$68,$P$4:$T$4,0))*求节点(基础状态预期!$C$17:$C$37,基础状态预期!$AA$17:$AA$37,$W92)+
求节点(基础状态预期!$C$17:$C$37,基础状态预期!$R$17:$R$37,$W92)*P$69*INDEX($P$57:$T$57,MATCH($O$69,$P$4:$T$4,0))*求节点(基础状态预期!$C$17:$C$37,基础状态预期!$AB$17:$AB$37,$W92)+
求节点(基础状态预期!$C$17:$C$37,基础状态预期!$S$17:$S$37,$W92)*P$70*INDEX($P$57:$T$57,MATCH($O$70,$P$4:$T$4,0))*求节点(基础状态预期!$C$17:$C$37,基础状态预期!$AC$17:$AC$37,$W92)</f>
        <v>400243.09202430985</v>
      </c>
      <c r="Y92" s="113">
        <f>求节点(基础状态预期!$C$43:$C$63,基础状态预期!$O$43:$O$63,$W92)*Q$66*INDEX($P$57:$T$57,MATCH($O$66,$P$4:$T$4,0))*求节点(基础状态预期!$C$43:$C$63,基础状态预期!$Y$43:$Y$63,$W92)+
求节点(基础状态预期!$C$43:$C$63,基础状态预期!$P$43:$P$63,$W92)*Q$67*INDEX($P$57:$T$57,MATCH($O$67,$P$4:$T$4,0))*求节点(基础状态预期!$C$43:$C$63,基础状态预期!$Z$43:$Z$63,$W92)+
求节点(基础状态预期!$C$43:$C$63,基础状态预期!$Q$43:$Q$63,$W92)*Q$68*INDEX($P$57:$T$57,MATCH($O$68,$P$4:$T$4,0))*求节点(基础状态预期!$C$43:$C$63,基础状态预期!$AA$43:$AA$63,$W92)+
求节点(基础状态预期!$C$43:$C$63,基础状态预期!$R$43:$R$63,$W92)*Q$69*INDEX($P$57:$T$57,MATCH($O$69,$P$4:$T$4,0))*求节点(基础状态预期!$C$43:$C$63,基础状态预期!$AB$43:$AB$63,$W92)+
求节点(基础状态预期!$C$43:$C$63,基础状态预期!$S$43:$S$63,$W92)*Q$70*INDEX($P$57:$T$57,MATCH($O$70,$P$4:$T$4,0))*求节点(基础状态预期!$C$43:$C$63,基础状态预期!$AC$43:$AC$63,$W92)</f>
        <v>524117.64136397809</v>
      </c>
      <c r="Z92" s="113">
        <f>求节点(基础状态预期!$C$69:$C$89,基础状态预期!$O$69:$O$89,$W92)*R$66*INDEX($P$57:$T$57,MATCH($O$66,$P$4:$T$4,0))*求节点(基础状态预期!$C$69:$C$89,基础状态预期!AA103:AA123,$W92)+
求节点(基础状态预期!$C$69:$C$89,基础状态预期!$P$69:$P$89,$W92)*R$67*INDEX($P$57:$T$57,MATCH($O$67,$P$4:$T$4,0))*求节点(基础状态预期!$C$69:$C$89,基础状态预期!$Z$69:$Z$89,$W92)+
求节点(基础状态预期!$C$69:$C$89,基础状态预期!$Q$69:$Q$89,$W92)*R$68*INDEX($P$57:$T$57,MATCH($O$68,$P$4:$T$4,0))*求节点(基础状态预期!$C$69:$C$89,基础状态预期!$AA$69:$AA$89,$W92)+
求节点(基础状态预期!$C$69:$C$89,基础状态预期!$R$69:$R$89,$W92)*R$69*INDEX($P$57:$T$57,MATCH($O$69,$P$4:$T$4,0))*求节点(基础状态预期!$C$69:$C$89,基础状态预期!$AB$69:$AB$89,$W92)+
求节点(基础状态预期!$C$69:$C$89,基础状态预期!$S$69:$S$89,$W92)*R$70*INDEX($P$57:$T$57,MATCH($O$70,$P$4:$T$4,0))*求节点(基础状态预期!$C$69:$C$89,基础状态预期!$AC$69:$AC$89,$W92)</f>
        <v>1310902.048725677</v>
      </c>
      <c r="AA92" s="113">
        <f>求节点(基础状态预期!$C$95:$C$115,基础状态预期!$O$95:$O$115,$W92)*S$66*INDEX($P$57:$T$57,MATCH($O$66,$P$4:$T$4,0))*求节点(基础状态预期!$C$95:$C$115,基础状态预期!$Y$95:$Y$115,$W92)+
求节点(基础状态预期!$C$95:$C$115,基础状态预期!$P$95:$P$115,$W92)*S$67*INDEX($P$57:$T$57,MATCH($O$67,$P$4:$T$4,0))*求节点(基础状态预期!$C$95:$C$115,基础状态预期!$Z$95:$Z$115,$W92)+
求节点(基础状态预期!$C$95:$C$115,基础状态预期!$Q$95:$Q$115,$W92)*S$68*INDEX($P$57:$T$57,MATCH($O$68,$P$4:$T$4,0))*求节点(基础状态预期!$C$95:$C$115,基础状态预期!$AA$95:$AA$115,$W92)+
求节点(基础状态预期!$C$95:$C$115,基础状态预期!$R$95:$R$115,$W92)*S$69*INDEX($P$57:$T$57,MATCH($O$69,$P$4:$T$4,0))*求节点(基础状态预期!$C$95:$C$115,基础状态预期!$AB$95:$AB$115,$W92)+
求节点(基础状态预期!$C$95:$C$115,基础状态预期!$S$95:$S$115,$W92)*S$70*INDEX($P$57:$T$57,MATCH($O$70,$P$4:$T$4,0))*求节点(基础状态预期!$C$95:$C$115,基础状态预期!$AC$95:$AC$115,$W92)</f>
        <v>1662197.8755237579</v>
      </c>
      <c r="AB92" s="113">
        <f>求节点(基础状态预期!$C$121:$C$141,基础状态预期!$O$121:$O$141,$W92)*T$66*INDEX($P$57:$T$57,MATCH($O$66,$P$4:$T$4,0))*求节点(基础状态预期!$C$121:$C$141,基础状态预期!$Y$121:$Y$141,$W92)+
求节点(基础状态预期!$C$121:$C$141,基础状态预期!$P$121:$P$141,$W92)*T$67*INDEX($P$57:$T$57,MATCH($O$67,$P$4:$T$4,0))*求节点(基础状态预期!$C$121:$C$141,基础状态预期!$Z$121:$Z$141,$W92)+
求节点(基础状态预期!$C$121:$C$141,基础状态预期!$Q$121:$Q$141,$W92)*T$68*INDEX($P$57:$T$57,MATCH($O$68,$P$4:$T$4,0))*求节点(基础状态预期!$C$121:$C$141,基础状态预期!$AA$121:$AA$141,$W92)+
求节点(基础状态预期!$C$121:$C$141,基础状态预期!$R$121:$R$141,$W92)*T$69*INDEX($P$57:$T$57,MATCH($O$69,$P$4:$T$4,0))*求节点(基础状态预期!$C$121:$C$141,基础状态预期!$AB$121:$AB$141,$W92)+
求节点(基础状态预期!$C$121:$C$141,基础状态预期!$S$121:$S$141,$W92)*T$70*INDEX($P$57:$T$57,MATCH($O$70,$P$4:$T$4,0))*求节点(基础状态预期!$C$121:$C$141,基础状态预期!$AC$121:$AC$141,$W92)</f>
        <v>2052690.5745455152</v>
      </c>
      <c r="AE92" s="70">
        <v>87</v>
      </c>
      <c r="AF92" s="113">
        <f>盗宝贼!AI91</f>
        <v>38494.695686799729</v>
      </c>
      <c r="AG92" s="113">
        <f>盗宝贼!AJ91</f>
        <v>48362.635348602453</v>
      </c>
      <c r="AH92" s="113">
        <f>盗宝贼!AK91</f>
        <v>53583.767765653101</v>
      </c>
      <c r="AI92" s="113">
        <f>盗宝贼!AL91</f>
        <v>43913.936741572747</v>
      </c>
      <c r="AJ92" s="113">
        <f>盗宝贼!AM91</f>
        <v>23664.903918632725</v>
      </c>
      <c r="AL92" s="78">
        <f>盗宝贼!AI91/AF92</f>
        <v>1</v>
      </c>
      <c r="AM92" s="118"/>
      <c r="AO92" s="123">
        <f t="shared" si="28"/>
        <v>9.617828877971403E-2</v>
      </c>
      <c r="AP92" s="123">
        <f t="shared" si="29"/>
        <v>9.2274389434292281E-2</v>
      </c>
      <c r="AQ92" s="123">
        <f t="shared" si="30"/>
        <v>4.0875493190159921E-2</v>
      </c>
      <c r="AR92" s="123">
        <f t="shared" si="31"/>
        <v>2.6419199174908994E-2</v>
      </c>
      <c r="AS92" s="123">
        <f t="shared" si="32"/>
        <v>1.1528724403030084E-2</v>
      </c>
    </row>
    <row r="93" spans="23:45" x14ac:dyDescent="0.15">
      <c r="W93" s="70">
        <v>88</v>
      </c>
      <c r="X93" s="113">
        <f>求节点(基础状态预期!$C$17:$C$37,基础状态预期!$O$17:$O$37,$W93)*P$66*INDEX($P$57:$T$57,MATCH($O$66,$P$4:$T$4,0))*求节点(基础状态预期!$C$17:$C$37,基础状态预期!$Y$17:$Y$37,$W93)+
求节点(基础状态预期!$C$17:$C$37,基础状态预期!$P$17:$P$37,$W93)*P$67*INDEX($P$57:$T$57,MATCH($O$67,$P$4:$T$4,0))*求节点(基础状态预期!$C$17:$C$37,基础状态预期!$Z$17:$Z$37,$W93)+
求节点(基础状态预期!$C$17:$C$37,基础状态预期!$Q$17:$Q$37,$W93)*P$68*INDEX($P$57:$T$57,MATCH($O$68,$P$4:$T$4,0))*求节点(基础状态预期!$C$17:$C$37,基础状态预期!$AA$17:$AA$37,$W93)+
求节点(基础状态预期!$C$17:$C$37,基础状态预期!$R$17:$R$37,$W93)*P$69*INDEX($P$57:$T$57,MATCH($O$69,$P$4:$T$4,0))*求节点(基础状态预期!$C$17:$C$37,基础状态预期!$AB$17:$AB$37,$W93)+
求节点(基础状态预期!$C$17:$C$37,基础状态预期!$S$17:$S$37,$W93)*P$70*INDEX($P$57:$T$57,MATCH($O$70,$P$4:$T$4,0))*求节点(基础状态预期!$C$17:$C$37,基础状态预期!$AC$17:$AC$37,$W93)</f>
        <v>409877.67274274578</v>
      </c>
      <c r="Y93" s="113">
        <f>求节点(基础状态预期!$C$43:$C$63,基础状态预期!$O$43:$O$63,$W93)*Q$66*INDEX($P$57:$T$57,MATCH($O$66,$P$4:$T$4,0))*求节点(基础状态预期!$C$43:$C$63,基础状态预期!$Y$43:$Y$63,$W93)+
求节点(基础状态预期!$C$43:$C$63,基础状态预期!$P$43:$P$63,$W93)*Q$67*INDEX($P$57:$T$57,MATCH($O$67,$P$4:$T$4,0))*求节点(基础状态预期!$C$43:$C$63,基础状态预期!$Z$43:$Z$63,$W93)+
求节点(基础状态预期!$C$43:$C$63,基础状态预期!$Q$43:$Q$63,$W93)*Q$68*INDEX($P$57:$T$57,MATCH($O$68,$P$4:$T$4,0))*求节点(基础状态预期!$C$43:$C$63,基础状态预期!$AA$43:$AA$63,$W93)+
求节点(基础状态预期!$C$43:$C$63,基础状态预期!$R$43:$R$63,$W93)*Q$69*INDEX($P$57:$T$57,MATCH($O$69,$P$4:$T$4,0))*求节点(基础状态预期!$C$43:$C$63,基础状态预期!$AB$43:$AB$63,$W93)+
求节点(基础状态预期!$C$43:$C$63,基础状态预期!$S$43:$S$63,$W93)*Q$70*INDEX($P$57:$T$57,MATCH($O$70,$P$4:$T$4,0))*求节点(基础状态预期!$C$43:$C$63,基础状态预期!$AC$43:$AC$63,$W93)</f>
        <v>524117.64136397809</v>
      </c>
      <c r="Z93" s="113">
        <f>求节点(基础状态预期!$C$69:$C$89,基础状态预期!$O$69:$O$89,$W93)*R$66*INDEX($P$57:$T$57,MATCH($O$66,$P$4:$T$4,0))*求节点(基础状态预期!$C$69:$C$89,基础状态预期!AA104:AA124,$W93)+
求节点(基础状态预期!$C$69:$C$89,基础状态预期!$P$69:$P$89,$W93)*R$67*INDEX($P$57:$T$57,MATCH($O$67,$P$4:$T$4,0))*求节点(基础状态预期!$C$69:$C$89,基础状态预期!$Z$69:$Z$89,$W93)+
求节点(基础状态预期!$C$69:$C$89,基础状态预期!$Q$69:$Q$89,$W93)*R$68*INDEX($P$57:$T$57,MATCH($O$68,$P$4:$T$4,0))*求节点(基础状态预期!$C$69:$C$89,基础状态预期!$AA$69:$AA$89,$W93)+
求节点(基础状态预期!$C$69:$C$89,基础状态预期!$R$69:$R$89,$W93)*R$69*INDEX($P$57:$T$57,MATCH($O$69,$P$4:$T$4,0))*求节点(基础状态预期!$C$69:$C$89,基础状态预期!$AB$69:$AB$89,$W93)+
求节点(基础状态预期!$C$69:$C$89,基础状态预期!$S$69:$S$89,$W93)*R$70*INDEX($P$57:$T$57,MATCH($O$70,$P$4:$T$4,0))*求节点(基础状态预期!$C$69:$C$89,基础状态预期!$AC$69:$AC$89,$W93)</f>
        <v>1352484.2978776353</v>
      </c>
      <c r="AA93" s="113">
        <f>求节点(基础状态预期!$C$95:$C$115,基础状态预期!$O$95:$O$115,$W93)*S$66*INDEX($P$57:$T$57,MATCH($O$66,$P$4:$T$4,0))*求节点(基础状态预期!$C$95:$C$115,基础状态预期!$Y$95:$Y$115,$W93)+
求节点(基础状态预期!$C$95:$C$115,基础状态预期!$P$95:$P$115,$W93)*S$67*INDEX($P$57:$T$57,MATCH($O$67,$P$4:$T$4,0))*求节点(基础状态预期!$C$95:$C$115,基础状态预期!$Z$95:$Z$115,$W93)+
求节点(基础状态预期!$C$95:$C$115,基础状态预期!$Q$95:$Q$115,$W93)*S$68*INDEX($P$57:$T$57,MATCH($O$68,$P$4:$T$4,0))*求节点(基础状态预期!$C$95:$C$115,基础状态预期!$AA$95:$AA$115,$W93)+
求节点(基础状态预期!$C$95:$C$115,基础状态预期!$R$95:$R$115,$W93)*S$69*INDEX($P$57:$T$57,MATCH($O$69,$P$4:$T$4,0))*求节点(基础状态预期!$C$95:$C$115,基础状态预期!$AB$95:$AB$115,$W93)+
求节点(基础状态预期!$C$95:$C$115,基础状态预期!$S$95:$S$115,$W93)*S$70*INDEX($P$57:$T$57,MATCH($O$70,$P$4:$T$4,0))*求节点(基础状态预期!$C$95:$C$115,基础状态预期!$AC$95:$AC$115,$W93)</f>
        <v>1692919.6386091574</v>
      </c>
      <c r="AB93" s="113">
        <f>求节点(基础状态预期!$C$121:$C$141,基础状态预期!$O$121:$O$141,$W93)*T$66*INDEX($P$57:$T$57,MATCH($O$66,$P$4:$T$4,0))*求节点(基础状态预期!$C$121:$C$141,基础状态预期!$Y$121:$Y$141,$W93)+
求节点(基础状态预期!$C$121:$C$141,基础状态预期!$P$121:$P$141,$W93)*T$67*INDEX($P$57:$T$57,MATCH($O$67,$P$4:$T$4,0))*求节点(基础状态预期!$C$121:$C$141,基础状态预期!$Z$121:$Z$141,$W93)+
求节点(基础状态预期!$C$121:$C$141,基础状态预期!$Q$121:$Q$141,$W93)*T$68*INDEX($P$57:$T$57,MATCH($O$68,$P$4:$T$4,0))*求节点(基础状态预期!$C$121:$C$141,基础状态预期!$AA$121:$AA$141,$W93)+
求节点(基础状态预期!$C$121:$C$141,基础状态预期!$R$121:$R$141,$W93)*T$69*INDEX($P$57:$T$57,MATCH($O$69,$P$4:$T$4,0))*求节点(基础状态预期!$C$121:$C$141,基础状态预期!$AB$121:$AB$141,$W93)+
求节点(基础状态预期!$C$121:$C$141,基础状态预期!$S$121:$S$141,$W93)*T$70*INDEX($P$57:$T$57,MATCH($O$70,$P$4:$T$4,0))*求节点(基础状态预期!$C$121:$C$141,基础状态预期!$AC$121:$AC$141,$W93)</f>
        <v>2052690.5745455152</v>
      </c>
      <c r="AE93" s="70">
        <v>88</v>
      </c>
      <c r="AF93" s="113">
        <f>盗宝贼!AI92</f>
        <v>43320.639349393976</v>
      </c>
      <c r="AG93" s="113">
        <f>盗宝贼!AJ92</f>
        <v>54600.523896437131</v>
      </c>
      <c r="AH93" s="113">
        <f>盗宝贼!AK92</f>
        <v>60141.785072590239</v>
      </c>
      <c r="AI93" s="113">
        <f>盗宝贼!AL92</f>
        <v>48774.689701831616</v>
      </c>
      <c r="AJ93" s="113">
        <f>盗宝贼!AM92</f>
        <v>26357.755292023787</v>
      </c>
      <c r="AL93" s="78">
        <f>盗宝贼!AI92/AF93</f>
        <v>1</v>
      </c>
      <c r="AM93" s="118"/>
      <c r="AO93" s="123">
        <f t="shared" si="28"/>
        <v>0.105691630040516</v>
      </c>
      <c r="AP93" s="123">
        <f t="shared" si="29"/>
        <v>0.1041760848849568</v>
      </c>
      <c r="AQ93" s="123">
        <f t="shared" si="30"/>
        <v>4.4467640154467442E-2</v>
      </c>
      <c r="AR93" s="123">
        <f t="shared" si="31"/>
        <v>2.8810989363856142E-2</v>
      </c>
      <c r="AS93" s="123">
        <f t="shared" si="32"/>
        <v>1.2840588649294908E-2</v>
      </c>
    </row>
    <row r="94" spans="23:45" x14ac:dyDescent="0.15">
      <c r="W94" s="70">
        <v>89</v>
      </c>
      <c r="X94" s="113">
        <f>求节点(基础状态预期!$C$17:$C$37,基础状态预期!$O$17:$O$37,$W94)*P$66*INDEX($P$57:$T$57,MATCH($O$66,$P$4:$T$4,0))*求节点(基础状态预期!$C$17:$C$37,基础状态预期!$Y$17:$Y$37,$W94)+
求节点(基础状态预期!$C$17:$C$37,基础状态预期!$P$17:$P$37,$W94)*P$67*INDEX($P$57:$T$57,MATCH($O$67,$P$4:$T$4,0))*求节点(基础状态预期!$C$17:$C$37,基础状态预期!$Z$17:$Z$37,$W94)+
求节点(基础状态预期!$C$17:$C$37,基础状态预期!$Q$17:$Q$37,$W94)*P$68*INDEX($P$57:$T$57,MATCH($O$68,$P$4:$T$4,0))*求节点(基础状态预期!$C$17:$C$37,基础状态预期!$AA$17:$AA$37,$W94)+
求节点(基础状态预期!$C$17:$C$37,基础状态预期!$R$17:$R$37,$W94)*P$69*INDEX($P$57:$T$57,MATCH($O$69,$P$4:$T$4,0))*求节点(基础状态预期!$C$17:$C$37,基础状态预期!$AB$17:$AB$37,$W94)+
求节点(基础状态预期!$C$17:$C$37,基础状态预期!$S$17:$S$37,$W94)*P$70*INDEX($P$57:$T$57,MATCH($O$70,$P$4:$T$4,0))*求节点(基础状态预期!$C$17:$C$37,基础状态预期!$AC$17:$AC$37,$W94)</f>
        <v>419512.25346118183</v>
      </c>
      <c r="Y94" s="113">
        <f>求节点(基础状态预期!$C$43:$C$63,基础状态预期!$O$43:$O$63,$W94)*Q$66*INDEX($P$57:$T$57,MATCH($O$66,$P$4:$T$4,0))*求节点(基础状态预期!$C$43:$C$63,基础状态预期!$Y$43:$Y$63,$W94)+
求节点(基础状态预期!$C$43:$C$63,基础状态预期!$P$43:$P$63,$W94)*Q$67*INDEX($P$57:$T$57,MATCH($O$67,$P$4:$T$4,0))*求节点(基础状态预期!$C$43:$C$63,基础状态预期!$Z$43:$Z$63,$W94)+
求节点(基础状态预期!$C$43:$C$63,基础状态预期!$Q$43:$Q$63,$W94)*Q$68*INDEX($P$57:$T$57,MATCH($O$68,$P$4:$T$4,0))*求节点(基础状态预期!$C$43:$C$63,基础状态预期!$AA$43:$AA$63,$W94)+
求节点(基础状态预期!$C$43:$C$63,基础状态预期!$R$43:$R$63,$W94)*Q$69*INDEX($P$57:$T$57,MATCH($O$69,$P$4:$T$4,0))*求节点(基础状态预期!$C$43:$C$63,基础状态预期!$AB$43:$AB$63,$W94)+
求节点(基础状态预期!$C$43:$C$63,基础状态预期!$S$43:$S$63,$W94)*Q$70*INDEX($P$57:$T$57,MATCH($O$70,$P$4:$T$4,0))*求节点(基础状态预期!$C$43:$C$63,基础状态预期!$AC$43:$AC$63,$W94)</f>
        <v>524117.64136397809</v>
      </c>
      <c r="Z94" s="113">
        <f>求节点(基础状态预期!$C$69:$C$89,基础状态预期!$O$69:$O$89,$W94)*R$66*INDEX($P$57:$T$57,MATCH($O$66,$P$4:$T$4,0))*求节点(基础状态预期!$C$69:$C$89,基础状态预期!AA105:AA125,$W94)+
求节点(基础状态预期!$C$69:$C$89,基础状态预期!$P$69:$P$89,$W94)*R$67*INDEX($P$57:$T$57,MATCH($O$67,$P$4:$T$4,0))*求节点(基础状态预期!$C$69:$C$89,基础状态预期!$Z$69:$Z$89,$W94)+
求节点(基础状态预期!$C$69:$C$89,基础状态预期!$Q$69:$Q$89,$W94)*R$68*INDEX($P$57:$T$57,MATCH($O$68,$P$4:$T$4,0))*求节点(基础状态预期!$C$69:$C$89,基础状态预期!$AA$69:$AA$89,$W94)+
求节点(基础状态预期!$C$69:$C$89,基础状态预期!$R$69:$R$89,$W94)*R$69*INDEX($P$57:$T$57,MATCH($O$69,$P$4:$T$4,0))*求节点(基础状态预期!$C$69:$C$89,基础状态预期!$AB$69:$AB$89,$W94)+
求节点(基础状态预期!$C$69:$C$89,基础状态预期!$S$69:$S$89,$W94)*R$70*INDEX($P$57:$T$57,MATCH($O$70,$P$4:$T$4,0))*求节点(基础状态预期!$C$69:$C$89,基础状态预期!$AC$69:$AC$89,$W94)</f>
        <v>1394935.3859149185</v>
      </c>
      <c r="AA94" s="113">
        <f>求节点(基础状态预期!$C$95:$C$115,基础状态预期!$O$95:$O$115,$W94)*S$66*INDEX($P$57:$T$57,MATCH($O$66,$P$4:$T$4,0))*求节点(基础状态预期!$C$95:$C$115,基础状态预期!$Y$95:$Y$115,$W94)+
求节点(基础状态预期!$C$95:$C$115,基础状态预期!$P$95:$P$115,$W94)*S$67*INDEX($P$57:$T$57,MATCH($O$67,$P$4:$T$4,0))*求节点(基础状态预期!$C$95:$C$115,基础状态预期!$Z$95:$Z$115,$W94)+
求节点(基础状态预期!$C$95:$C$115,基础状态预期!$Q$95:$Q$115,$W94)*S$68*INDEX($P$57:$T$57,MATCH($O$68,$P$4:$T$4,0))*求节点(基础状态预期!$C$95:$C$115,基础状态预期!$AA$95:$AA$115,$W94)+
求节点(基础状态预期!$C$95:$C$115,基础状态预期!$R$95:$R$115,$W94)*S$69*INDEX($P$57:$T$57,MATCH($O$69,$P$4:$T$4,0))*求节点(基础状态预期!$C$95:$C$115,基础状态预期!$AB$95:$AB$115,$W94)+
求节点(基础状态预期!$C$95:$C$115,基础状态预期!$S$95:$S$115,$W94)*S$70*INDEX($P$57:$T$57,MATCH($O$70,$P$4:$T$4,0))*求节点(基础状态预期!$C$95:$C$115,基础状态预期!$AC$95:$AC$115,$W94)</f>
        <v>1723641.4016945569</v>
      </c>
      <c r="AB94" s="113">
        <f>求节点(基础状态预期!$C$121:$C$141,基础状态预期!$O$121:$O$141,$W94)*T$66*INDEX($P$57:$T$57,MATCH($O$66,$P$4:$T$4,0))*求节点(基础状态预期!$C$121:$C$141,基础状态预期!$Y$121:$Y$141,$W94)+
求节点(基础状态预期!$C$121:$C$141,基础状态预期!$P$121:$P$141,$W94)*T$67*INDEX($P$57:$T$57,MATCH($O$67,$P$4:$T$4,0))*求节点(基础状态预期!$C$121:$C$141,基础状态预期!$Z$121:$Z$141,$W94)+
求节点(基础状态预期!$C$121:$C$141,基础状态预期!$Q$121:$Q$141,$W94)*T$68*INDEX($P$57:$T$57,MATCH($O$68,$P$4:$T$4,0))*求节点(基础状态预期!$C$121:$C$141,基础状态预期!$AA$121:$AA$141,$W94)+
求节点(基础状态预期!$C$121:$C$141,基础状态预期!$R$121:$R$141,$W94)*T$69*INDEX($P$57:$T$57,MATCH($O$69,$P$4:$T$4,0))*求节点(基础状态预期!$C$121:$C$141,基础状态预期!$AB$121:$AB$141,$W94)+
求节点(基础状态预期!$C$121:$C$141,基础状态预期!$S$121:$S$141,$W94)*T$70*INDEX($P$57:$T$57,MATCH($O$70,$P$4:$T$4,0))*求节点(基础状态预期!$C$121:$C$141,基础状态预期!$AC$121:$AC$141,$W94)</f>
        <v>2052690.5745455152</v>
      </c>
      <c r="AE94" s="70">
        <v>89</v>
      </c>
      <c r="AF94" s="113">
        <f>盗宝贼!AI93</f>
        <v>48751.573616120819</v>
      </c>
      <c r="AG94" s="113">
        <f>盗宝贼!AJ93</f>
        <v>61279.468246002885</v>
      </c>
      <c r="AH94" s="113">
        <f>盗宝贼!AK93</f>
        <v>66756.545200837936</v>
      </c>
      <c r="AI94" s="113">
        <f>盗宝贼!AL93</f>
        <v>54211.729085250532</v>
      </c>
      <c r="AJ94" s="113">
        <f>盗宝贼!AM93</f>
        <v>29182.602218162778</v>
      </c>
      <c r="AL94" s="78">
        <f>盗宝贼!AI93/AF94</f>
        <v>1</v>
      </c>
      <c r="AM94" s="118"/>
      <c r="AO94" s="123">
        <f t="shared" si="28"/>
        <v>0.11621013024982328</v>
      </c>
      <c r="AP94" s="123">
        <f t="shared" si="29"/>
        <v>0.11691930095412839</v>
      </c>
      <c r="AQ94" s="123">
        <f t="shared" si="30"/>
        <v>4.7856370893518671E-2</v>
      </c>
      <c r="AR94" s="123">
        <f t="shared" si="31"/>
        <v>3.1451860596962665E-2</v>
      </c>
      <c r="AS94" s="123">
        <f t="shared" si="32"/>
        <v>1.4216756573076816E-2</v>
      </c>
    </row>
    <row r="95" spans="23:45" x14ac:dyDescent="0.15">
      <c r="W95" s="70">
        <v>90</v>
      </c>
      <c r="X95" s="113">
        <f>求节点(基础状态预期!$C$17:$C$37,基础状态预期!$O$17:$O$37,$W95)*P$66*INDEX($P$57:$T$57,MATCH($O$66,$P$4:$T$4,0))*求节点(基础状态预期!$C$17:$C$37,基础状态预期!$Y$17:$Y$37,$W95)+
求节点(基础状态预期!$C$17:$C$37,基础状态预期!$P$17:$P$37,$W95)*P$67*INDEX($P$57:$T$57,MATCH($O$67,$P$4:$T$4,0))*求节点(基础状态预期!$C$17:$C$37,基础状态预期!$Z$17:$Z$37,$W95)+
求节点(基础状态预期!$C$17:$C$37,基础状态预期!$Q$17:$Q$37,$W95)*P$68*INDEX($P$57:$T$57,MATCH($O$68,$P$4:$T$4,0))*求节点(基础状态预期!$C$17:$C$37,基础状态预期!$AA$17:$AA$37,$W95)+
求节点(基础状态预期!$C$17:$C$37,基础状态预期!$R$17:$R$37,$W95)*P$69*INDEX($P$57:$T$57,MATCH($O$69,$P$4:$T$4,0))*求节点(基础状态预期!$C$17:$C$37,基础状态预期!$AB$17:$AB$37,$W95)+
求节点(基础状态预期!$C$17:$C$37,基础状态预期!$S$17:$S$37,$W95)*P$70*INDEX($P$57:$T$57,MATCH($O$70,$P$4:$T$4,0))*求节点(基础状态预期!$C$17:$C$37,基础状态预期!$AC$17:$AC$37,$W95)</f>
        <v>429146.83417961787</v>
      </c>
      <c r="Y95" s="113">
        <f>求节点(基础状态预期!$C$43:$C$63,基础状态预期!$O$43:$O$63,$W95)*Q$66*INDEX($P$57:$T$57,MATCH($O$66,$P$4:$T$4,0))*求节点(基础状态预期!$C$43:$C$63,基础状态预期!$Y$43:$Y$63,$W95)+
求节点(基础状态预期!$C$43:$C$63,基础状态预期!$P$43:$P$63,$W95)*Q$67*INDEX($P$57:$T$57,MATCH($O$67,$P$4:$T$4,0))*求节点(基础状态预期!$C$43:$C$63,基础状态预期!$Z$43:$Z$63,$W95)+
求节点(基础状态预期!$C$43:$C$63,基础状态预期!$Q$43:$Q$63,$W95)*Q$68*INDEX($P$57:$T$57,MATCH($O$68,$P$4:$T$4,0))*求节点(基础状态预期!$C$43:$C$63,基础状态预期!$AA$43:$AA$63,$W95)+
求节点(基础状态预期!$C$43:$C$63,基础状态预期!$R$43:$R$63,$W95)*Q$69*INDEX($P$57:$T$57,MATCH($O$69,$P$4:$T$4,0))*求节点(基础状态预期!$C$43:$C$63,基础状态预期!$AB$43:$AB$63,$W95)+
求节点(基础状态预期!$C$43:$C$63,基础状态预期!$S$43:$S$63,$W95)*Q$70*INDEX($P$57:$T$57,MATCH($O$70,$P$4:$T$4,0))*求节点(基础状态预期!$C$43:$C$63,基础状态预期!$AC$43:$AC$63,$W95)</f>
        <v>524117.64136397809</v>
      </c>
      <c r="Z95" s="113">
        <f>求节点(基础状态预期!$C$69:$C$89,基础状态预期!$O$69:$O$89,$W95)*R$66*INDEX($P$57:$T$57,MATCH($O$66,$P$4:$T$4,0))*求节点(基础状态预期!$C$69:$C$89,基础状态预期!AA106:AA126,$W95)+
求节点(基础状态预期!$C$69:$C$89,基础状态预期!$P$69:$P$89,$W95)*R$67*INDEX($P$57:$T$57,MATCH($O$67,$P$4:$T$4,0))*求节点(基础状态预期!$C$69:$C$89,基础状态预期!$Z$69:$Z$89,$W95)+
求节点(基础状态预期!$C$69:$C$89,基础状态预期!$Q$69:$Q$89,$W95)*R$68*INDEX($P$57:$T$57,MATCH($O$68,$P$4:$T$4,0))*求节点(基础状态预期!$C$69:$C$89,基础状态预期!$AA$69:$AA$89,$W95)+
求节点(基础状态预期!$C$69:$C$89,基础状态预期!$R$69:$R$89,$W95)*R$69*INDEX($P$57:$T$57,MATCH($O$69,$P$4:$T$4,0))*求节点(基础状态预期!$C$69:$C$89,基础状态预期!$AB$69:$AB$89,$W95)+
求节点(基础状态预期!$C$69:$C$89,基础状态预期!$S$69:$S$89,$W95)*R$70*INDEX($P$57:$T$57,MATCH($O$70,$P$4:$T$4,0))*求节点(基础状态预期!$C$69:$C$89,基础状态预期!$AC$69:$AC$89,$W95)</f>
        <v>1438255.3128375262</v>
      </c>
      <c r="AA95" s="113">
        <f>求节点(基础状态预期!$C$95:$C$115,基础状态预期!$O$95:$O$115,$W95)*S$66*INDEX($P$57:$T$57,MATCH($O$66,$P$4:$T$4,0))*求节点(基础状态预期!$C$95:$C$115,基础状态预期!$Y$95:$Y$115,$W95)+
求节点(基础状态预期!$C$95:$C$115,基础状态预期!$P$95:$P$115,$W95)*S$67*INDEX($P$57:$T$57,MATCH($O$67,$P$4:$T$4,0))*求节点(基础状态预期!$C$95:$C$115,基础状态预期!$Z$95:$Z$115,$W95)+
求节点(基础状态预期!$C$95:$C$115,基础状态预期!$Q$95:$Q$115,$W95)*S$68*INDEX($P$57:$T$57,MATCH($O$68,$P$4:$T$4,0))*求节点(基础状态预期!$C$95:$C$115,基础状态预期!$AA$95:$AA$115,$W95)+
求节点(基础状态预期!$C$95:$C$115,基础状态预期!$R$95:$R$115,$W95)*S$69*INDEX($P$57:$T$57,MATCH($O$69,$P$4:$T$4,0))*求节点(基础状态预期!$C$95:$C$115,基础状态预期!$AB$95:$AB$115,$W95)+
求节点(基础状态预期!$C$95:$C$115,基础状态预期!$S$95:$S$115,$W95)*S$70*INDEX($P$57:$T$57,MATCH($O$70,$P$4:$T$4,0))*求节点(基础状态预期!$C$95:$C$115,基础状态预期!$AC$95:$AC$115,$W95)</f>
        <v>1754363.1647799562</v>
      </c>
      <c r="AB95" s="113">
        <f>求节点(基础状态预期!$C$121:$C$141,基础状态预期!$O$121:$O$141,$W95)*T$66*INDEX($P$57:$T$57,MATCH($O$66,$P$4:$T$4,0))*求节点(基础状态预期!$C$121:$C$141,基础状态预期!$Y$121:$Y$141,$W95)+
求节点(基础状态预期!$C$121:$C$141,基础状态预期!$P$121:$P$141,$W95)*T$67*INDEX($P$57:$T$57,MATCH($O$67,$P$4:$T$4,0))*求节点(基础状态预期!$C$121:$C$141,基础状态预期!$Z$121:$Z$141,$W95)+
求节点(基础状态预期!$C$121:$C$141,基础状态预期!$Q$121:$Q$141,$W95)*T$68*INDEX($P$57:$T$57,MATCH($O$68,$P$4:$T$4,0))*求节点(基础状态预期!$C$121:$C$141,基础状态预期!$AA$121:$AA$141,$W95)+
求节点(基础状态预期!$C$121:$C$141,基础状态预期!$R$121:$R$141,$W95)*T$69*INDEX($P$57:$T$57,MATCH($O$69,$P$4:$T$4,0))*求节点(基础状态预期!$C$121:$C$141,基础状态预期!$AB$121:$AB$141,$W95)+
求节点(基础状态预期!$C$121:$C$141,基础状态预期!$S$121:$S$141,$W95)*T$70*INDEX($P$57:$T$57,MATCH($O$70,$P$4:$T$4,0))*求节点(基础状态预期!$C$121:$C$141,基础状态预期!$AC$121:$AC$141,$W95)</f>
        <v>2052690.5745455152</v>
      </c>
      <c r="AE95" s="70">
        <v>90</v>
      </c>
      <c r="AF95" s="113">
        <f>盗宝贼!AI94</f>
        <v>54863.341401170503</v>
      </c>
      <c r="AG95" s="113">
        <f>盗宝贼!AJ94</f>
        <v>68119.85882129299</v>
      </c>
      <c r="AH95" s="113">
        <f>盗宝贼!AK94</f>
        <v>74219.158525364386</v>
      </c>
      <c r="AI95" s="113">
        <f>盗宝贼!AL94</f>
        <v>60029.394116078307</v>
      </c>
      <c r="AJ95" s="113">
        <f>盗宝贼!AM94</f>
        <v>32320.436911085013</v>
      </c>
      <c r="AL95" s="78">
        <f>盗宝贼!AI94/AF95</f>
        <v>1</v>
      </c>
      <c r="AM95" s="118"/>
      <c r="AO95" s="123">
        <f t="shared" si="28"/>
        <v>0.1278428198265763</v>
      </c>
      <c r="AP95" s="123">
        <f t="shared" si="29"/>
        <v>0.12997055135182248</v>
      </c>
      <c r="AQ95" s="123">
        <f t="shared" si="30"/>
        <v>5.1603604633267651E-2</v>
      </c>
      <c r="AR95" s="123">
        <f t="shared" si="31"/>
        <v>3.4217199335468032E-2</v>
      </c>
      <c r="AS95" s="123">
        <f t="shared" si="32"/>
        <v>1.5745401334168962E-2</v>
      </c>
    </row>
    <row r="96" spans="23:45" x14ac:dyDescent="0.15">
      <c r="W96" s="70">
        <v>91</v>
      </c>
      <c r="X96" s="113">
        <f>求节点(基础状态预期!$C$17:$C$37,基础状态预期!$O$17:$O$37,$W96)*P$66*INDEX($P$57:$T$57,MATCH($O$66,$P$4:$T$4,0))*求节点(基础状态预期!$C$17:$C$37,基础状态预期!$Y$17:$Y$37,$W96)+
求节点(基础状态预期!$C$17:$C$37,基础状态预期!$P$17:$P$37,$W96)*P$67*INDEX($P$57:$T$57,MATCH($O$67,$P$4:$T$4,0))*求节点(基础状态预期!$C$17:$C$37,基础状态预期!$Z$17:$Z$37,$W96)+
求节点(基础状态预期!$C$17:$C$37,基础状态预期!$Q$17:$Q$37,$W96)*P$68*INDEX($P$57:$T$57,MATCH($O$68,$P$4:$T$4,0))*求节点(基础状态预期!$C$17:$C$37,基础状态预期!$AA$17:$AA$37,$W96)+
求节点(基础状态预期!$C$17:$C$37,基础状态预期!$R$17:$R$37,$W96)*P$69*INDEX($P$57:$T$57,MATCH($O$69,$P$4:$T$4,0))*求节点(基础状态预期!$C$17:$C$37,基础状态预期!$AB$17:$AB$37,$W96)+
求节点(基础状态预期!$C$17:$C$37,基础状态预期!$S$17:$S$37,$W96)*P$70*INDEX($P$57:$T$57,MATCH($O$70,$P$4:$T$4,0))*求节点(基础状态预期!$C$17:$C$37,基础状态预期!$AC$17:$AC$37,$W96)</f>
        <v>438781.41489805392</v>
      </c>
      <c r="Y96" s="113">
        <f>求节点(基础状态预期!$C$43:$C$63,基础状态预期!$O$43:$O$63,$W96)*Q$66*INDEX($P$57:$T$57,MATCH($O$66,$P$4:$T$4,0))*求节点(基础状态预期!$C$43:$C$63,基础状态预期!$Y$43:$Y$63,$W96)+
求节点(基础状态预期!$C$43:$C$63,基础状态预期!$P$43:$P$63,$W96)*Q$67*INDEX($P$57:$T$57,MATCH($O$67,$P$4:$T$4,0))*求节点(基础状态预期!$C$43:$C$63,基础状态预期!$Z$43:$Z$63,$W96)+
求节点(基础状态预期!$C$43:$C$63,基础状态预期!$Q$43:$Q$63,$W96)*Q$68*INDEX($P$57:$T$57,MATCH($O$68,$P$4:$T$4,0))*求节点(基础状态预期!$C$43:$C$63,基础状态预期!$AA$43:$AA$63,$W96)+
求节点(基础状态预期!$C$43:$C$63,基础状态预期!$R$43:$R$63,$W96)*Q$69*INDEX($P$57:$T$57,MATCH($O$69,$P$4:$T$4,0))*求节点(基础状态预期!$C$43:$C$63,基础状态预期!$AB$43:$AB$63,$W96)+
求节点(基础状态预期!$C$43:$C$63,基础状态预期!$S$43:$S$63,$W96)*Q$70*INDEX($P$57:$T$57,MATCH($O$70,$P$4:$T$4,0))*求节点(基础状态预期!$C$43:$C$63,基础状态预期!$AC$43:$AC$63,$W96)</f>
        <v>524117.64136397809</v>
      </c>
      <c r="Z96" s="113">
        <f>求节点(基础状态预期!$C$69:$C$89,基础状态预期!$O$69:$O$89,$W96)*R$66*INDEX($P$57:$T$57,MATCH($O$66,$P$4:$T$4,0))*求节点(基础状态预期!$C$69:$C$89,基础状态预期!AA107:AA127,$W96)+
求节点(基础状态预期!$C$69:$C$89,基础状态预期!$P$69:$P$89,$W96)*R$67*INDEX($P$57:$T$57,MATCH($O$67,$P$4:$T$4,0))*求节点(基础状态预期!$C$69:$C$89,基础状态预期!$Z$69:$Z$89,$W96)+
求节点(基础状态预期!$C$69:$C$89,基础状态预期!$Q$69:$Q$89,$W96)*R$68*INDEX($P$57:$T$57,MATCH($O$68,$P$4:$T$4,0))*求节点(基础状态预期!$C$69:$C$89,基础状态预期!$AA$69:$AA$89,$W96)+
求节点(基础状态预期!$C$69:$C$89,基础状态预期!$R$69:$R$89,$W96)*R$69*INDEX($P$57:$T$57,MATCH($O$69,$P$4:$T$4,0))*求节点(基础状态预期!$C$69:$C$89,基础状态预期!$AB$69:$AB$89,$W96)+
求节点(基础状态预期!$C$69:$C$89,基础状态预期!$S$69:$S$89,$W96)*R$70*INDEX($P$57:$T$57,MATCH($O$70,$P$4:$T$4,0))*求节点(基础状态预期!$C$69:$C$89,基础状态预期!$AC$69:$AC$89,$W96)</f>
        <v>1468977.0759229257</v>
      </c>
      <c r="AA96" s="113">
        <f>求节点(基础状态预期!$C$95:$C$115,基础状态预期!$O$95:$O$115,$W96)*S$66*INDEX($P$57:$T$57,MATCH($O$66,$P$4:$T$4,0))*求节点(基础状态预期!$C$95:$C$115,基础状态预期!$Y$95:$Y$115,$W96)+
求节点(基础状态预期!$C$95:$C$115,基础状态预期!$P$95:$P$115,$W96)*S$67*INDEX($P$57:$T$57,MATCH($O$67,$P$4:$T$4,0))*求节点(基础状态预期!$C$95:$C$115,基础状态预期!$Z$95:$Z$115,$W96)+
求节点(基础状态预期!$C$95:$C$115,基础状态预期!$Q$95:$Q$115,$W96)*S$68*INDEX($P$57:$T$57,MATCH($O$68,$P$4:$T$4,0))*求节点(基础状态预期!$C$95:$C$115,基础状态预期!$AA$95:$AA$115,$W96)+
求节点(基础状态预期!$C$95:$C$115,基础状态预期!$R$95:$R$115,$W96)*S$69*INDEX($P$57:$T$57,MATCH($O$69,$P$4:$T$4,0))*求节点(基础状态预期!$C$95:$C$115,基础状态预期!$AB$95:$AB$115,$W96)+
求节点(基础状态预期!$C$95:$C$115,基础状态预期!$S$95:$S$115,$W96)*S$70*INDEX($P$57:$T$57,MATCH($O$70,$P$4:$T$4,0))*求节点(基础状态预期!$C$95:$C$115,基础状态预期!$AC$95:$AC$115,$W96)</f>
        <v>1785084.9278653557</v>
      </c>
      <c r="AB96" s="113">
        <f>求节点(基础状态预期!$C$121:$C$141,基础状态预期!$O$121:$O$141,$W96)*T$66*INDEX($P$57:$T$57,MATCH($O$66,$P$4:$T$4,0))*求节点(基础状态预期!$C$121:$C$141,基础状态预期!$Y$121:$Y$141,$W96)+
求节点(基础状态预期!$C$121:$C$141,基础状态预期!$P$121:$P$141,$W96)*T$67*INDEX($P$57:$T$57,MATCH($O$67,$P$4:$T$4,0))*求节点(基础状态预期!$C$121:$C$141,基础状态预期!$Z$121:$Z$141,$W96)+
求节点(基础状态预期!$C$121:$C$141,基础状态预期!$Q$121:$Q$141,$W96)*T$68*INDEX($P$57:$T$57,MATCH($O$68,$P$4:$T$4,0))*求节点(基础状态预期!$C$121:$C$141,基础状态预期!$AA$121:$AA$141,$W96)+
求节点(基础状态预期!$C$121:$C$141,基础状态预期!$R$121:$R$141,$W96)*T$69*INDEX($P$57:$T$57,MATCH($O$69,$P$4:$T$4,0))*求节点(基础状态预期!$C$121:$C$141,基础状态预期!$AB$121:$AB$141,$W96)+
求节点(基础状态预期!$C$121:$C$141,基础状态预期!$S$121:$S$141,$W96)*T$70*INDEX($P$57:$T$57,MATCH($O$70,$P$4:$T$4,0))*求节点(基础状态预期!$C$121:$C$141,基础状态预期!$AC$121:$AC$141,$W96)</f>
        <v>2052690.5745455152</v>
      </c>
      <c r="AE96" s="70">
        <v>91</v>
      </c>
      <c r="AF96" s="113">
        <f>盗宝贼!AI95</f>
        <v>61741.293448430988</v>
      </c>
      <c r="AG96" s="113">
        <f>盗宝贼!AJ95</f>
        <v>76649.466159292497</v>
      </c>
      <c r="AH96" s="113">
        <f>盗宝贼!AK95</f>
        <v>83354.923561657633</v>
      </c>
      <c r="AI96" s="113">
        <f>盗宝贼!AL95</f>
        <v>67458.719474559766</v>
      </c>
      <c r="AJ96" s="113">
        <f>盗宝贼!AM95</f>
        <v>36264.453788041028</v>
      </c>
      <c r="AL96" s="78">
        <f>盗宝贼!AI95/AF96</f>
        <v>1</v>
      </c>
      <c r="AM96" s="118"/>
      <c r="AO96" s="123">
        <f t="shared" si="28"/>
        <v>0.14071082172606583</v>
      </c>
      <c r="AP96" s="123">
        <f t="shared" si="29"/>
        <v>0.14624477428353266</v>
      </c>
      <c r="AQ96" s="123">
        <f t="shared" si="30"/>
        <v>5.6743515557781989E-2</v>
      </c>
      <c r="AR96" s="123">
        <f t="shared" si="31"/>
        <v>3.7790201699382672E-2</v>
      </c>
      <c r="AS96" s="123">
        <f t="shared" si="32"/>
        <v>1.7666790230217878E-2</v>
      </c>
    </row>
    <row r="97" spans="23:45" x14ac:dyDescent="0.15">
      <c r="W97" s="70">
        <v>92</v>
      </c>
      <c r="X97" s="113">
        <f>求节点(基础状态预期!$C$17:$C$37,基础状态预期!$O$17:$O$37,$W97)*P$66*INDEX($P$57:$T$57,MATCH($O$66,$P$4:$T$4,0))*求节点(基础状态预期!$C$17:$C$37,基础状态预期!$Y$17:$Y$37,$W97)+
求节点(基础状态预期!$C$17:$C$37,基础状态预期!$P$17:$P$37,$W97)*P$67*INDEX($P$57:$T$57,MATCH($O$67,$P$4:$T$4,0))*求节点(基础状态预期!$C$17:$C$37,基础状态预期!$Z$17:$Z$37,$W97)+
求节点(基础状态预期!$C$17:$C$37,基础状态预期!$Q$17:$Q$37,$W97)*P$68*INDEX($P$57:$T$57,MATCH($O$68,$P$4:$T$4,0))*求节点(基础状态预期!$C$17:$C$37,基础状态预期!$AA$17:$AA$37,$W97)+
求节点(基础状态预期!$C$17:$C$37,基础状态预期!$R$17:$R$37,$W97)*P$69*INDEX($P$57:$T$57,MATCH($O$69,$P$4:$T$4,0))*求节点(基础状态预期!$C$17:$C$37,基础状态预期!$AB$17:$AB$37,$W97)+
求节点(基础状态预期!$C$17:$C$37,基础状态预期!$S$17:$S$37,$W97)*P$70*INDEX($P$57:$T$57,MATCH($O$70,$P$4:$T$4,0))*求节点(基础状态预期!$C$17:$C$37,基础状态预期!$AC$17:$AC$37,$W97)</f>
        <v>448415.99561648996</v>
      </c>
      <c r="Y97" s="113">
        <f>求节点(基础状态预期!$C$43:$C$63,基础状态预期!$O$43:$O$63,$W97)*Q$66*INDEX($P$57:$T$57,MATCH($O$66,$P$4:$T$4,0))*求节点(基础状态预期!$C$43:$C$63,基础状态预期!$Y$43:$Y$63,$W97)+
求节点(基础状态预期!$C$43:$C$63,基础状态预期!$P$43:$P$63,$W97)*Q$67*INDEX($P$57:$T$57,MATCH($O$67,$P$4:$T$4,0))*求节点(基础状态预期!$C$43:$C$63,基础状态预期!$Z$43:$Z$63,$W97)+
求节点(基础状态预期!$C$43:$C$63,基础状态预期!$Q$43:$Q$63,$W97)*Q$68*INDEX($P$57:$T$57,MATCH($O$68,$P$4:$T$4,0))*求节点(基础状态预期!$C$43:$C$63,基础状态预期!$AA$43:$AA$63,$W97)+
求节点(基础状态预期!$C$43:$C$63,基础状态预期!$R$43:$R$63,$W97)*Q$69*INDEX($P$57:$T$57,MATCH($O$69,$P$4:$T$4,0))*求节点(基础状态预期!$C$43:$C$63,基础状态预期!$AB$43:$AB$63,$W97)+
求节点(基础状态预期!$C$43:$C$63,基础状态预期!$S$43:$S$63,$W97)*Q$70*INDEX($P$57:$T$57,MATCH($O$70,$P$4:$T$4,0))*求节点(基础状态预期!$C$43:$C$63,基础状态预期!$AC$43:$AC$63,$W97)</f>
        <v>524117.64136397809</v>
      </c>
      <c r="Z97" s="113">
        <f>求节点(基础状态预期!$C$69:$C$89,基础状态预期!$O$69:$O$89,$W97)*R$66*INDEX($P$57:$T$57,MATCH($O$66,$P$4:$T$4,0))*求节点(基础状态预期!$C$69:$C$89,基础状态预期!AA108:AA128,$W97)+
求节点(基础状态预期!$C$69:$C$89,基础状态预期!$P$69:$P$89,$W97)*R$67*INDEX($P$57:$T$57,MATCH($O$67,$P$4:$T$4,0))*求节点(基础状态预期!$C$69:$C$89,基础状态预期!$Z$69:$Z$89,$W97)+
求节点(基础状态预期!$C$69:$C$89,基础状态预期!$Q$69:$Q$89,$W97)*R$68*INDEX($P$57:$T$57,MATCH($O$68,$P$4:$T$4,0))*求节点(基础状态预期!$C$69:$C$89,基础状态预期!$AA$69:$AA$89,$W97)+
求节点(基础状态预期!$C$69:$C$89,基础状态预期!$R$69:$R$89,$W97)*R$69*INDEX($P$57:$T$57,MATCH($O$69,$P$4:$T$4,0))*求节点(基础状态预期!$C$69:$C$89,基础状态预期!$AB$69:$AB$89,$W97)+
求节点(基础状态预期!$C$69:$C$89,基础状态预期!$S$69:$S$89,$W97)*R$70*INDEX($P$57:$T$57,MATCH($O$70,$P$4:$T$4,0))*求节点(基础状态预期!$C$69:$C$89,基础状态预期!$AC$69:$AC$89,$W97)</f>
        <v>1499698.8390083252</v>
      </c>
      <c r="AA97" s="113">
        <f>求节点(基础状态预期!$C$95:$C$115,基础状态预期!$O$95:$O$115,$W97)*S$66*INDEX($P$57:$T$57,MATCH($O$66,$P$4:$T$4,0))*求节点(基础状态预期!$C$95:$C$115,基础状态预期!$Y$95:$Y$115,$W97)+
求节点(基础状态预期!$C$95:$C$115,基础状态预期!$P$95:$P$115,$W97)*S$67*INDEX($P$57:$T$57,MATCH($O$67,$P$4:$T$4,0))*求节点(基础状态预期!$C$95:$C$115,基础状态预期!$Z$95:$Z$115,$W97)+
求节点(基础状态预期!$C$95:$C$115,基础状态预期!$Q$95:$Q$115,$W97)*S$68*INDEX($P$57:$T$57,MATCH($O$68,$P$4:$T$4,0))*求节点(基础状态预期!$C$95:$C$115,基础状态预期!$AA$95:$AA$115,$W97)+
求节点(基础状态预期!$C$95:$C$115,基础状态预期!$R$95:$R$115,$W97)*S$69*INDEX($P$57:$T$57,MATCH($O$69,$P$4:$T$4,0))*求节点(基础状态预期!$C$95:$C$115,基础状态预期!$AB$95:$AB$115,$W97)+
求节点(基础状态预期!$C$95:$C$115,基础状态预期!$S$95:$S$115,$W97)*S$70*INDEX($P$57:$T$57,MATCH($O$70,$P$4:$T$4,0))*求节点(基础状态预期!$C$95:$C$115,基础状态预期!$AC$95:$AC$115,$W97)</f>
        <v>1815806.6909507553</v>
      </c>
      <c r="AB97" s="113">
        <f>求节点(基础状态预期!$C$121:$C$141,基础状态预期!$O$121:$O$141,$W97)*T$66*INDEX($P$57:$T$57,MATCH($O$66,$P$4:$T$4,0))*求节点(基础状态预期!$C$121:$C$141,基础状态预期!$Y$121:$Y$141,$W97)+
求节点(基础状态预期!$C$121:$C$141,基础状态预期!$P$121:$P$141,$W97)*T$67*INDEX($P$57:$T$57,MATCH($O$67,$P$4:$T$4,0))*求节点(基础状态预期!$C$121:$C$141,基础状态预期!$Z$121:$Z$141,$W97)+
求节点(基础状态预期!$C$121:$C$141,基础状态预期!$Q$121:$Q$141,$W97)*T$68*INDEX($P$57:$T$57,MATCH($O$68,$P$4:$T$4,0))*求节点(基础状态预期!$C$121:$C$141,基础状态预期!$AA$121:$AA$141,$W97)+
求节点(基础状态预期!$C$121:$C$141,基础状态预期!$R$121:$R$141,$W97)*T$69*INDEX($P$57:$T$57,MATCH($O$69,$P$4:$T$4,0))*求节点(基础状态预期!$C$121:$C$141,基础状态预期!$AB$121:$AB$141,$W97)+
求节点(基础状态预期!$C$121:$C$141,基础状态预期!$S$121:$S$141,$W97)*T$70*INDEX($P$57:$T$57,MATCH($O$70,$P$4:$T$4,0))*求节点(基础状态预期!$C$121:$C$141,基础状态预期!$AC$121:$AC$141,$W97)</f>
        <v>2052690.5745455152</v>
      </c>
      <c r="AE97" s="70">
        <v>92</v>
      </c>
      <c r="AF97" s="113">
        <f>盗宝贼!AI96</f>
        <v>69481.480253324393</v>
      </c>
      <c r="AG97" s="113">
        <f>盗宝贼!AJ96</f>
        <v>86058.977826959017</v>
      </c>
      <c r="AH97" s="113">
        <f>盗宝贼!AK96</f>
        <v>93728.622972065292</v>
      </c>
      <c r="AI97" s="113">
        <f>盗宝贼!AL96</f>
        <v>75800.301768226607</v>
      </c>
      <c r="AJ97" s="113">
        <f>盗宝贼!AM96</f>
        <v>40814.719839500816</v>
      </c>
      <c r="AL97" s="78">
        <f>盗宝贼!AI96/AF97</f>
        <v>1</v>
      </c>
      <c r="AM97" s="118"/>
      <c r="AO97" s="123">
        <f t="shared" si="28"/>
        <v>0.15494871042189312</v>
      </c>
      <c r="AP97" s="123">
        <f t="shared" si="29"/>
        <v>0.16419782704317445</v>
      </c>
      <c r="AQ97" s="123">
        <f t="shared" si="30"/>
        <v>6.2498296680714424E-2</v>
      </c>
      <c r="AR97" s="123">
        <f t="shared" si="31"/>
        <v>4.1744697905335734E-2</v>
      </c>
      <c r="AS97" s="123">
        <f t="shared" si="32"/>
        <v>1.9883522799600508E-2</v>
      </c>
    </row>
    <row r="98" spans="23:45" x14ac:dyDescent="0.15">
      <c r="W98" s="70">
        <v>93</v>
      </c>
      <c r="X98" s="113">
        <f>求节点(基础状态预期!$C$17:$C$37,基础状态预期!$O$17:$O$37,$W98)*P$66*INDEX($P$57:$T$57,MATCH($O$66,$P$4:$T$4,0))*求节点(基础状态预期!$C$17:$C$37,基础状态预期!$Y$17:$Y$37,$W98)+
求节点(基础状态预期!$C$17:$C$37,基础状态预期!$P$17:$P$37,$W98)*P$67*INDEX($P$57:$T$57,MATCH($O$67,$P$4:$T$4,0))*求节点(基础状态预期!$C$17:$C$37,基础状态预期!$Z$17:$Z$37,$W98)+
求节点(基础状态预期!$C$17:$C$37,基础状态预期!$Q$17:$Q$37,$W98)*P$68*INDEX($P$57:$T$57,MATCH($O$68,$P$4:$T$4,0))*求节点(基础状态预期!$C$17:$C$37,基础状态预期!$AA$17:$AA$37,$W98)+
求节点(基础状态预期!$C$17:$C$37,基础状态预期!$R$17:$R$37,$W98)*P$69*INDEX($P$57:$T$57,MATCH($O$69,$P$4:$T$4,0))*求节点(基础状态预期!$C$17:$C$37,基础状态预期!$AB$17:$AB$37,$W98)+
求节点(基础状态预期!$C$17:$C$37,基础状态预期!$S$17:$S$37,$W98)*P$70*INDEX($P$57:$T$57,MATCH($O$70,$P$4:$T$4,0))*求节点(基础状态预期!$C$17:$C$37,基础状态预期!$AC$17:$AC$37,$W98)</f>
        <v>458050.57633492595</v>
      </c>
      <c r="Y98" s="113">
        <f>求节点(基础状态预期!$C$43:$C$63,基础状态预期!$O$43:$O$63,$W98)*Q$66*INDEX($P$57:$T$57,MATCH($O$66,$P$4:$T$4,0))*求节点(基础状态预期!$C$43:$C$63,基础状态预期!$Y$43:$Y$63,$W98)+
求节点(基础状态预期!$C$43:$C$63,基础状态预期!$P$43:$P$63,$W98)*Q$67*INDEX($P$57:$T$57,MATCH($O$67,$P$4:$T$4,0))*求节点(基础状态预期!$C$43:$C$63,基础状态预期!$Z$43:$Z$63,$W98)+
求节点(基础状态预期!$C$43:$C$63,基础状态预期!$Q$43:$Q$63,$W98)*Q$68*INDEX($P$57:$T$57,MATCH($O$68,$P$4:$T$4,0))*求节点(基础状态预期!$C$43:$C$63,基础状态预期!$AA$43:$AA$63,$W98)+
求节点(基础状态预期!$C$43:$C$63,基础状态预期!$R$43:$R$63,$W98)*Q$69*INDEX($P$57:$T$57,MATCH($O$69,$P$4:$T$4,0))*求节点(基础状态预期!$C$43:$C$63,基础状态预期!$AB$43:$AB$63,$W98)+
求节点(基础状态预期!$C$43:$C$63,基础状态预期!$S$43:$S$63,$W98)*Q$70*INDEX($P$57:$T$57,MATCH($O$70,$P$4:$T$4,0))*求节点(基础状态预期!$C$43:$C$63,基础状态预期!$AC$43:$AC$63,$W98)</f>
        <v>524117.64136397809</v>
      </c>
      <c r="Z98" s="113">
        <f>求节点(基础状态预期!$C$69:$C$89,基础状态预期!$O$69:$O$89,$W98)*R$66*INDEX($P$57:$T$57,MATCH($O$66,$P$4:$T$4,0))*求节点(基础状态预期!$C$69:$C$89,基础状态预期!AA109:AA129,$W98)+
求节点(基础状态预期!$C$69:$C$89,基础状态预期!$P$69:$P$89,$W98)*R$67*INDEX($P$57:$T$57,MATCH($O$67,$P$4:$T$4,0))*求节点(基础状态预期!$C$69:$C$89,基础状态预期!$Z$69:$Z$89,$W98)+
求节点(基础状态预期!$C$69:$C$89,基础状态预期!$Q$69:$Q$89,$W98)*R$68*INDEX($P$57:$T$57,MATCH($O$68,$P$4:$T$4,0))*求节点(基础状态预期!$C$69:$C$89,基础状态预期!$AA$69:$AA$89,$W98)+
求节点(基础状态预期!$C$69:$C$89,基础状态预期!$R$69:$R$89,$W98)*R$69*INDEX($P$57:$T$57,MATCH($O$69,$P$4:$T$4,0))*求节点(基础状态预期!$C$69:$C$89,基础状态预期!$AB$69:$AB$89,$W98)+
求节点(基础状态预期!$C$69:$C$89,基础状态预期!$S$69:$S$89,$W98)*R$70*INDEX($P$57:$T$57,MATCH($O$70,$P$4:$T$4,0))*求节点(基础状态预期!$C$69:$C$89,基础状态预期!$AC$69:$AC$89,$W98)</f>
        <v>1530420.6020937245</v>
      </c>
      <c r="AA98" s="113">
        <f>求节点(基础状态预期!$C$95:$C$115,基础状态预期!$O$95:$O$115,$W98)*S$66*INDEX($P$57:$T$57,MATCH($O$66,$P$4:$T$4,0))*求节点(基础状态预期!$C$95:$C$115,基础状态预期!$Y$95:$Y$115,$W98)+
求节点(基础状态预期!$C$95:$C$115,基础状态预期!$P$95:$P$115,$W98)*S$67*INDEX($P$57:$T$57,MATCH($O$67,$P$4:$T$4,0))*求节点(基础状态预期!$C$95:$C$115,基础状态预期!$Z$95:$Z$115,$W98)+
求节点(基础状态预期!$C$95:$C$115,基础状态预期!$Q$95:$Q$115,$W98)*S$68*INDEX($P$57:$T$57,MATCH($O$68,$P$4:$T$4,0))*求节点(基础状态预期!$C$95:$C$115,基础状态预期!$AA$95:$AA$115,$W98)+
求节点(基础状态预期!$C$95:$C$115,基础状态预期!$R$95:$R$115,$W98)*S$69*INDEX($P$57:$T$57,MATCH($O$69,$P$4:$T$4,0))*求节点(基础状态预期!$C$95:$C$115,基础状态预期!$AB$95:$AB$115,$W98)+
求节点(基础状态预期!$C$95:$C$115,基础状态预期!$S$95:$S$115,$W98)*S$70*INDEX($P$57:$T$57,MATCH($O$70,$P$4:$T$4,0))*求节点(基础状态预期!$C$95:$C$115,基础状态预期!$AC$95:$AC$115,$W98)</f>
        <v>1846528.4540361546</v>
      </c>
      <c r="AB98" s="113">
        <f>求节点(基础状态预期!$C$121:$C$141,基础状态预期!$O$121:$O$141,$W98)*T$66*INDEX($P$57:$T$57,MATCH($O$66,$P$4:$T$4,0))*求节点(基础状态预期!$C$121:$C$141,基础状态预期!$Y$121:$Y$141,$W98)+
求节点(基础状态预期!$C$121:$C$141,基础状态预期!$P$121:$P$141,$W98)*T$67*INDEX($P$57:$T$57,MATCH($O$67,$P$4:$T$4,0))*求节点(基础状态预期!$C$121:$C$141,基础状态预期!$Z$121:$Z$141,$W98)+
求节点(基础状态预期!$C$121:$C$141,基础状态预期!$Q$121:$Q$141,$W98)*T$68*INDEX($P$57:$T$57,MATCH($O$68,$P$4:$T$4,0))*求节点(基础状态预期!$C$121:$C$141,基础状态预期!$AA$121:$AA$141,$W98)+
求节点(基础状态预期!$C$121:$C$141,基础状态预期!$R$121:$R$141,$W98)*T$69*INDEX($P$57:$T$57,MATCH($O$69,$P$4:$T$4,0))*求节点(基础状态预期!$C$121:$C$141,基础状态预期!$AB$121:$AB$141,$W98)+
求节点(基础状态预期!$C$121:$C$141,基础状态预期!$S$121:$S$141,$W98)*T$70*INDEX($P$57:$T$57,MATCH($O$70,$P$4:$T$4,0))*求节点(基础状态预期!$C$121:$C$141,基础状态预期!$AC$121:$AC$141,$W98)</f>
        <v>2052690.5745455152</v>
      </c>
      <c r="AE98" s="70">
        <v>93</v>
      </c>
      <c r="AF98" s="113">
        <f>盗宝贼!AI97</f>
        <v>78191.993406510854</v>
      </c>
      <c r="AG98" s="113">
        <f>盗宝贼!AJ97</f>
        <v>96837.089926435277</v>
      </c>
      <c r="AH98" s="113">
        <f>盗宝贼!AK97</f>
        <v>105387.25662568523</v>
      </c>
      <c r="AI98" s="113">
        <f>盗宝贼!AL97</f>
        <v>85398.740162138653</v>
      </c>
      <c r="AJ98" s="113">
        <f>盗宝贼!AM97</f>
        <v>45634.862916635895</v>
      </c>
      <c r="AL98" s="78">
        <f>盗宝贼!AI97/AF98</f>
        <v>1</v>
      </c>
      <c r="AM98" s="118"/>
      <c r="AO98" s="123">
        <f t="shared" si="28"/>
        <v>0.17070602559254719</v>
      </c>
      <c r="AP98" s="123">
        <f t="shared" si="29"/>
        <v>0.18476212644631421</v>
      </c>
      <c r="AQ98" s="123">
        <f t="shared" si="30"/>
        <v>6.886162959483684E-2</v>
      </c>
      <c r="AR98" s="123">
        <f t="shared" si="31"/>
        <v>4.6248266565009327E-2</v>
      </c>
      <c r="AS98" s="123">
        <f t="shared" si="32"/>
        <v>2.2231730141178185E-2</v>
      </c>
    </row>
    <row r="99" spans="23:45" x14ac:dyDescent="0.15">
      <c r="W99" s="70">
        <v>94</v>
      </c>
      <c r="X99" s="113">
        <f>求节点(基础状态预期!$C$17:$C$37,基础状态预期!$O$17:$O$37,$W99)*P$66*INDEX($P$57:$T$57,MATCH($O$66,$P$4:$T$4,0))*求节点(基础状态预期!$C$17:$C$37,基础状态预期!$Y$17:$Y$37,$W99)+
求节点(基础状态预期!$C$17:$C$37,基础状态预期!$P$17:$P$37,$W99)*P$67*INDEX($P$57:$T$57,MATCH($O$67,$P$4:$T$4,0))*求节点(基础状态预期!$C$17:$C$37,基础状态预期!$Z$17:$Z$37,$W99)+
求节点(基础状态预期!$C$17:$C$37,基础状态预期!$Q$17:$Q$37,$W99)*P$68*INDEX($P$57:$T$57,MATCH($O$68,$P$4:$T$4,0))*求节点(基础状态预期!$C$17:$C$37,基础状态预期!$AA$17:$AA$37,$W99)+
求节点(基础状态预期!$C$17:$C$37,基础状态预期!$R$17:$R$37,$W99)*P$69*INDEX($P$57:$T$57,MATCH($O$69,$P$4:$T$4,0))*求节点(基础状态预期!$C$17:$C$37,基础状态预期!$AB$17:$AB$37,$W99)+
求节点(基础状态预期!$C$17:$C$37,基础状态预期!$S$17:$S$37,$W99)*P$70*INDEX($P$57:$T$57,MATCH($O$70,$P$4:$T$4,0))*求节点(基础状态预期!$C$17:$C$37,基础状态预期!$AC$17:$AC$37,$W99)</f>
        <v>467685.157053362</v>
      </c>
      <c r="Y99" s="113">
        <f>求节点(基础状态预期!$C$43:$C$63,基础状态预期!$O$43:$O$63,$W99)*Q$66*INDEX($P$57:$T$57,MATCH($O$66,$P$4:$T$4,0))*求节点(基础状态预期!$C$43:$C$63,基础状态预期!$Y$43:$Y$63,$W99)+
求节点(基础状态预期!$C$43:$C$63,基础状态预期!$P$43:$P$63,$W99)*Q$67*INDEX($P$57:$T$57,MATCH($O$67,$P$4:$T$4,0))*求节点(基础状态预期!$C$43:$C$63,基础状态预期!$Z$43:$Z$63,$W99)+
求节点(基础状态预期!$C$43:$C$63,基础状态预期!$Q$43:$Q$63,$W99)*Q$68*INDEX($P$57:$T$57,MATCH($O$68,$P$4:$T$4,0))*求节点(基础状态预期!$C$43:$C$63,基础状态预期!$AA$43:$AA$63,$W99)+
求节点(基础状态预期!$C$43:$C$63,基础状态预期!$R$43:$R$63,$W99)*Q$69*INDEX($P$57:$T$57,MATCH($O$69,$P$4:$T$4,0))*求节点(基础状态预期!$C$43:$C$63,基础状态预期!$AB$43:$AB$63,$W99)+
求节点(基础状态预期!$C$43:$C$63,基础状态预期!$S$43:$S$63,$W99)*Q$70*INDEX($P$57:$T$57,MATCH($O$70,$P$4:$T$4,0))*求节点(基础状态预期!$C$43:$C$63,基础状态预期!$AC$43:$AC$63,$W99)</f>
        <v>524117.64136397809</v>
      </c>
      <c r="Z99" s="113">
        <f>求节点(基础状态预期!$C$69:$C$89,基础状态预期!$O$69:$O$89,$W99)*R$66*INDEX($P$57:$T$57,MATCH($O$66,$P$4:$T$4,0))*求节点(基础状态预期!$C$69:$C$89,基础状态预期!AA110:AA130,$W99)+
求节点(基础状态预期!$C$69:$C$89,基础状态预期!$P$69:$P$89,$W99)*R$67*INDEX($P$57:$T$57,MATCH($O$67,$P$4:$T$4,0))*求节点(基础状态预期!$C$69:$C$89,基础状态预期!$Z$69:$Z$89,$W99)+
求节点(基础状态预期!$C$69:$C$89,基础状态预期!$Q$69:$Q$89,$W99)*R$68*INDEX($P$57:$T$57,MATCH($O$68,$P$4:$T$4,0))*求节点(基础状态预期!$C$69:$C$89,基础状态预期!$AA$69:$AA$89,$W99)+
求节点(基础状态预期!$C$69:$C$89,基础状态预期!$R$69:$R$89,$W99)*R$69*INDEX($P$57:$T$57,MATCH($O$69,$P$4:$T$4,0))*求节点(基础状态预期!$C$69:$C$89,基础状态预期!$AB$69:$AB$89,$W99)+
求节点(基础状态预期!$C$69:$C$89,基础状态预期!$S$69:$S$89,$W99)*R$70*INDEX($P$57:$T$57,MATCH($O$70,$P$4:$T$4,0))*求节点(基础状态预期!$C$69:$C$89,基础状态预期!$AC$69:$AC$89,$W99)</f>
        <v>1561142.3651791243</v>
      </c>
      <c r="AA99" s="113">
        <f>求节点(基础状态预期!$C$95:$C$115,基础状态预期!$O$95:$O$115,$W99)*S$66*INDEX($P$57:$T$57,MATCH($O$66,$P$4:$T$4,0))*求节点(基础状态预期!$C$95:$C$115,基础状态预期!$Y$95:$Y$115,$W99)+
求节点(基础状态预期!$C$95:$C$115,基础状态预期!$P$95:$P$115,$W99)*S$67*INDEX($P$57:$T$57,MATCH($O$67,$P$4:$T$4,0))*求节点(基础状态预期!$C$95:$C$115,基础状态预期!$Z$95:$Z$115,$W99)+
求节点(基础状态预期!$C$95:$C$115,基础状态预期!$Q$95:$Q$115,$W99)*S$68*INDEX($P$57:$T$57,MATCH($O$68,$P$4:$T$4,0))*求节点(基础状态预期!$C$95:$C$115,基础状态预期!$AA$95:$AA$115,$W99)+
求节点(基础状态预期!$C$95:$C$115,基础状态预期!$R$95:$R$115,$W99)*S$69*INDEX($P$57:$T$57,MATCH($O$69,$P$4:$T$4,0))*求节点(基础状态预期!$C$95:$C$115,基础状态预期!$AB$95:$AB$115,$W99)+
求节点(基础状态预期!$C$95:$C$115,基础状态预期!$S$95:$S$115,$W99)*S$70*INDEX($P$57:$T$57,MATCH($O$70,$P$4:$T$4,0))*求节点(基础状态预期!$C$95:$C$115,基础状态预期!$AC$95:$AC$115,$W99)</f>
        <v>1877250.2171215541</v>
      </c>
      <c r="AB99" s="113">
        <f>求节点(基础状态预期!$C$121:$C$141,基础状态预期!$O$121:$O$141,$W99)*T$66*INDEX($P$57:$T$57,MATCH($O$66,$P$4:$T$4,0))*求节点(基础状态预期!$C$121:$C$141,基础状态预期!$Y$121:$Y$141,$W99)+
求节点(基础状态预期!$C$121:$C$141,基础状态预期!$P$121:$P$141,$W99)*T$67*INDEX($P$57:$T$57,MATCH($O$67,$P$4:$T$4,0))*求节点(基础状态预期!$C$121:$C$141,基础状态预期!$Z$121:$Z$141,$W99)+
求节点(基础状态预期!$C$121:$C$141,基础状态预期!$Q$121:$Q$141,$W99)*T$68*INDEX($P$57:$T$57,MATCH($O$68,$P$4:$T$4,0))*求节点(基础状态预期!$C$121:$C$141,基础状态预期!$AA$121:$AA$141,$W99)+
求节点(基础状态预期!$C$121:$C$141,基础状态预期!$R$121:$R$141,$W99)*T$69*INDEX($P$57:$T$57,MATCH($O$69,$P$4:$T$4,0))*求节点(基础状态预期!$C$121:$C$141,基础状态预期!$AB$121:$AB$141,$W99)+
求节点(基础状态预期!$C$121:$C$141,基础状态预期!$S$121:$S$141,$W99)*T$70*INDEX($P$57:$T$57,MATCH($O$70,$P$4:$T$4,0))*求节点(基础状态预期!$C$121:$C$141,基础状态预期!$AC$121:$AC$141,$W99)</f>
        <v>2052690.5745455152</v>
      </c>
      <c r="AE99" s="70">
        <v>94</v>
      </c>
      <c r="AF99" s="113">
        <f>盗宝贼!AI98</f>
        <v>87994.475091302244</v>
      </c>
      <c r="AG99" s="113">
        <f>盗宝贼!AJ98</f>
        <v>108960.64910592772</v>
      </c>
      <c r="AH99" s="113">
        <f>盗宝贼!AK98</f>
        <v>118518.87560621036</v>
      </c>
      <c r="AI99" s="113">
        <f>盗宝贼!AL98</f>
        <v>95408.40705280636</v>
      </c>
      <c r="AJ99" s="113">
        <f>盗宝贼!AM98</f>
        <v>51026.293640580348</v>
      </c>
      <c r="AL99" s="78">
        <f>盗宝贼!AI98/AF99</f>
        <v>1</v>
      </c>
      <c r="AM99" s="118"/>
      <c r="AO99" s="123">
        <f t="shared" si="28"/>
        <v>0.18814895825582559</v>
      </c>
      <c r="AP99" s="123">
        <f t="shared" si="29"/>
        <v>0.20789349662485229</v>
      </c>
      <c r="AQ99" s="123">
        <f t="shared" si="30"/>
        <v>7.5918044535683071E-2</v>
      </c>
      <c r="AR99" s="123">
        <f t="shared" si="31"/>
        <v>5.0823489688603701E-2</v>
      </c>
      <c r="AS99" s="123">
        <f t="shared" si="32"/>
        <v>2.4858249106482131E-2</v>
      </c>
    </row>
    <row r="100" spans="23:45" x14ac:dyDescent="0.15">
      <c r="W100" s="70">
        <v>95</v>
      </c>
      <c r="X100" s="113">
        <f>求节点(基础状态预期!$C$17:$C$37,基础状态预期!$O$17:$O$37,$W100)*P$66*INDEX($P$57:$T$57,MATCH($O$66,$P$4:$T$4,0))*求节点(基础状态预期!$C$17:$C$37,基础状态预期!$Y$17:$Y$37,$W100)+
求节点(基础状态预期!$C$17:$C$37,基础状态预期!$P$17:$P$37,$W100)*P$67*INDEX($P$57:$T$57,MATCH($O$67,$P$4:$T$4,0))*求节点(基础状态预期!$C$17:$C$37,基础状态预期!$Z$17:$Z$37,$W100)+
求节点(基础状态预期!$C$17:$C$37,基础状态预期!$Q$17:$Q$37,$W100)*P$68*INDEX($P$57:$T$57,MATCH($O$68,$P$4:$T$4,0))*求节点(基础状态预期!$C$17:$C$37,基础状态预期!$AA$17:$AA$37,$W100)+
求节点(基础状态预期!$C$17:$C$37,基础状态预期!$R$17:$R$37,$W100)*P$69*INDEX($P$57:$T$57,MATCH($O$69,$P$4:$T$4,0))*求节点(基础状态预期!$C$17:$C$37,基础状态预期!$AB$17:$AB$37,$W100)+
求节点(基础状态预期!$C$17:$C$37,基础状态预期!$S$17:$S$37,$W100)*P$70*INDEX($P$57:$T$57,MATCH($O$70,$P$4:$T$4,0))*求节点(基础状态预期!$C$17:$C$37,基础状态预期!$AC$17:$AC$37,$W100)</f>
        <v>477319.73777179804</v>
      </c>
      <c r="Y100" s="113">
        <f>求节点(基础状态预期!$C$43:$C$63,基础状态预期!$O$43:$O$63,$W100)*Q$66*INDEX($P$57:$T$57,MATCH($O$66,$P$4:$T$4,0))*求节点(基础状态预期!$C$43:$C$63,基础状态预期!$Y$43:$Y$63,$W100)+
求节点(基础状态预期!$C$43:$C$63,基础状态预期!$P$43:$P$63,$W100)*Q$67*INDEX($P$57:$T$57,MATCH($O$67,$P$4:$T$4,0))*求节点(基础状态预期!$C$43:$C$63,基础状态预期!$Z$43:$Z$63,$W100)+
求节点(基础状态预期!$C$43:$C$63,基础状态预期!$Q$43:$Q$63,$W100)*Q$68*INDEX($P$57:$T$57,MATCH($O$68,$P$4:$T$4,0))*求节点(基础状态预期!$C$43:$C$63,基础状态预期!$AA$43:$AA$63,$W100)+
求节点(基础状态预期!$C$43:$C$63,基础状态预期!$R$43:$R$63,$W100)*Q$69*INDEX($P$57:$T$57,MATCH($O$69,$P$4:$T$4,0))*求节点(基础状态预期!$C$43:$C$63,基础状态预期!$AB$43:$AB$63,$W100)+
求节点(基础状态预期!$C$43:$C$63,基础状态预期!$S$43:$S$63,$W100)*Q$70*INDEX($P$57:$T$57,MATCH($O$70,$P$4:$T$4,0))*求节点(基础状态预期!$C$43:$C$63,基础状态预期!$AC$43:$AC$63,$W100)</f>
        <v>524117.64136397809</v>
      </c>
      <c r="Z100" s="113">
        <f>求节点(基础状态预期!$C$69:$C$89,基础状态预期!$O$69:$O$89,$W100)*R$66*INDEX($P$57:$T$57,MATCH($O$66,$P$4:$T$4,0))*求节点(基础状态预期!$C$69:$C$89,基础状态预期!AA111:AA131,$W100)+
求节点(基础状态预期!$C$69:$C$89,基础状态预期!$P$69:$P$89,$W100)*R$67*INDEX($P$57:$T$57,MATCH($O$67,$P$4:$T$4,0))*求节点(基础状态预期!$C$69:$C$89,基础状态预期!$Z$69:$Z$89,$W100)+
求节点(基础状态预期!$C$69:$C$89,基础状态预期!$Q$69:$Q$89,$W100)*R$68*INDEX($P$57:$T$57,MATCH($O$68,$P$4:$T$4,0))*求节点(基础状态预期!$C$69:$C$89,基础状态预期!$AA$69:$AA$89,$W100)+
求节点(基础状态预期!$C$69:$C$89,基础状态预期!$R$69:$R$89,$W100)*R$69*INDEX($P$57:$T$57,MATCH($O$69,$P$4:$T$4,0))*求节点(基础状态预期!$C$69:$C$89,基础状态预期!$AB$69:$AB$89,$W100)+
求节点(基础状态预期!$C$69:$C$89,基础状态预期!$S$69:$S$89,$W100)*R$70*INDEX($P$57:$T$57,MATCH($O$70,$P$4:$T$4,0))*求节点(基础状态预期!$C$69:$C$89,基础状态预期!$AC$69:$AC$89,$W100)</f>
        <v>1591864.1282645233</v>
      </c>
      <c r="AA100" s="113">
        <f>求节点(基础状态预期!$C$95:$C$115,基础状态预期!$O$95:$O$115,$W100)*S$66*INDEX($P$57:$T$57,MATCH($O$66,$P$4:$T$4,0))*求节点(基础状态预期!$C$95:$C$115,基础状态预期!$Y$95:$Y$115,$W100)+
求节点(基础状态预期!$C$95:$C$115,基础状态预期!$P$95:$P$115,$W100)*S$67*INDEX($P$57:$T$57,MATCH($O$67,$P$4:$T$4,0))*求节点(基础状态预期!$C$95:$C$115,基础状态预期!$Z$95:$Z$115,$W100)+
求节点(基础状态预期!$C$95:$C$115,基础状态预期!$Q$95:$Q$115,$W100)*S$68*INDEX($P$57:$T$57,MATCH($O$68,$P$4:$T$4,0))*求节点(基础状态预期!$C$95:$C$115,基础状态预期!$AA$95:$AA$115,$W100)+
求节点(基础状态预期!$C$95:$C$115,基础状态预期!$R$95:$R$115,$W100)*S$69*INDEX($P$57:$T$57,MATCH($O$69,$P$4:$T$4,0))*求节点(基础状态预期!$C$95:$C$115,基础状态预期!$AB$95:$AB$115,$W100)+
求节点(基础状态预期!$C$95:$C$115,基础状态预期!$S$95:$S$115,$W100)*S$70*INDEX($P$57:$T$57,MATCH($O$70,$P$4:$T$4,0))*求节点(基础状态预期!$C$95:$C$115,基础状态预期!$AC$95:$AC$115,$W100)</f>
        <v>1907971.9802069534</v>
      </c>
      <c r="AB100" s="113">
        <f>求节点(基础状态预期!$C$121:$C$141,基础状态预期!$O$121:$O$141,$W100)*T$66*INDEX($P$57:$T$57,MATCH($O$66,$P$4:$T$4,0))*求节点(基础状态预期!$C$121:$C$141,基础状态预期!$Y$121:$Y$141,$W100)+
求节点(基础状态预期!$C$121:$C$141,基础状态预期!$P$121:$P$141,$W100)*T$67*INDEX($P$57:$T$57,MATCH($O$67,$P$4:$T$4,0))*求节点(基础状态预期!$C$121:$C$141,基础状态预期!$Z$121:$Z$141,$W100)+
求节点(基础状态预期!$C$121:$C$141,基础状态预期!$Q$121:$Q$141,$W100)*T$68*INDEX($P$57:$T$57,MATCH($O$68,$P$4:$T$4,0))*求节点(基础状态预期!$C$121:$C$141,基础状态预期!$AA$121:$AA$141,$W100)+
求节点(基础状态预期!$C$121:$C$141,基础状态预期!$R$121:$R$141,$W100)*T$69*INDEX($P$57:$T$57,MATCH($O$69,$P$4:$T$4,0))*求节点(基础状态预期!$C$121:$C$141,基础状态预期!$AB$121:$AB$141,$W100)+
求节点(基础状态预期!$C$121:$C$141,基础状态预期!$S$121:$S$141,$W100)*T$70*INDEX($P$57:$T$57,MATCH($O$70,$P$4:$T$4,0))*求节点(基础状态预期!$C$121:$C$141,基础状态预期!$AC$121:$AC$141,$W100)</f>
        <v>2052690.5745455152</v>
      </c>
      <c r="AE100" s="70">
        <v>95</v>
      </c>
      <c r="AF100" s="113">
        <f>盗宝贼!AI99</f>
        <v>99025.816814897596</v>
      </c>
      <c r="AG100" s="113">
        <f>盗宝贼!AJ99</f>
        <v>122837.20564847042</v>
      </c>
      <c r="AH100" s="113">
        <f>盗宝贼!AK99</f>
        <v>132888.70835408432</v>
      </c>
      <c r="AI100" s="113">
        <f>盗宝贼!AL99</f>
        <v>106974.45487727973</v>
      </c>
      <c r="AJ100" s="113">
        <f>盗宝贼!AM99</f>
        <v>57609.007002359271</v>
      </c>
      <c r="AL100" s="78">
        <f>盗宝贼!AI99/AF100</f>
        <v>1</v>
      </c>
      <c r="AM100" s="118"/>
      <c r="AO100" s="123">
        <f t="shared" si="28"/>
        <v>0.20746222914888318</v>
      </c>
      <c r="AP100" s="123">
        <f t="shared" si="29"/>
        <v>0.23436953071985045</v>
      </c>
      <c r="AQ100" s="123">
        <f t="shared" si="30"/>
        <v>8.347993148068597E-2</v>
      </c>
      <c r="AR100" s="123">
        <f t="shared" si="31"/>
        <v>5.6067099510379838E-2</v>
      </c>
      <c r="AS100" s="123">
        <f t="shared" si="32"/>
        <v>2.8065119856223064E-2</v>
      </c>
    </row>
    <row r="101" spans="23:45" x14ac:dyDescent="0.15">
      <c r="W101" s="70">
        <v>96</v>
      </c>
      <c r="X101" s="113">
        <f>求节点(基础状态预期!$C$17:$C$37,基础状态预期!$O$17:$O$37,$W101)*P$66*INDEX($P$57:$T$57,MATCH($O$66,$P$4:$T$4,0))*求节点(基础状态预期!$C$17:$C$37,基础状态预期!$Y$17:$Y$37,$W101)+
求节点(基础状态预期!$C$17:$C$37,基础状态预期!$P$17:$P$37,$W101)*P$67*INDEX($P$57:$T$57,MATCH($O$67,$P$4:$T$4,0))*求节点(基础状态预期!$C$17:$C$37,基础状态预期!$Z$17:$Z$37,$W101)+
求节点(基础状态预期!$C$17:$C$37,基础状态预期!$Q$17:$Q$37,$W101)*P$68*INDEX($P$57:$T$57,MATCH($O$68,$P$4:$T$4,0))*求节点(基础状态预期!$C$17:$C$37,基础状态预期!$AA$17:$AA$37,$W101)+
求节点(基础状态预期!$C$17:$C$37,基础状态预期!$R$17:$R$37,$W101)*P$69*INDEX($P$57:$T$57,MATCH($O$69,$P$4:$T$4,0))*求节点(基础状态预期!$C$17:$C$37,基础状态预期!$AB$17:$AB$37,$W101)+
求节点(基础状态预期!$C$17:$C$37,基础状态预期!$S$17:$S$37,$W101)*P$70*INDEX($P$57:$T$57,MATCH($O$70,$P$4:$T$4,0))*求节点(基础状态预期!$C$17:$C$37,基础状态预期!$AC$17:$AC$37,$W101)</f>
        <v>486954.31849023403</v>
      </c>
      <c r="Y101" s="113">
        <f>求节点(基础状态预期!$C$43:$C$63,基础状态预期!$O$43:$O$63,$W101)*Q$66*INDEX($P$57:$T$57,MATCH($O$66,$P$4:$T$4,0))*求节点(基础状态预期!$C$43:$C$63,基础状态预期!$Y$43:$Y$63,$W101)+
求节点(基础状态预期!$C$43:$C$63,基础状态预期!$P$43:$P$63,$W101)*Q$67*INDEX($P$57:$T$57,MATCH($O$67,$P$4:$T$4,0))*求节点(基础状态预期!$C$43:$C$63,基础状态预期!$Z$43:$Z$63,$W101)+
求节点(基础状态预期!$C$43:$C$63,基础状态预期!$Q$43:$Q$63,$W101)*Q$68*INDEX($P$57:$T$57,MATCH($O$68,$P$4:$T$4,0))*求节点(基础状态预期!$C$43:$C$63,基础状态预期!$AA$43:$AA$63,$W101)+
求节点(基础状态预期!$C$43:$C$63,基础状态预期!$R$43:$R$63,$W101)*Q$69*INDEX($P$57:$T$57,MATCH($O$69,$P$4:$T$4,0))*求节点(基础状态预期!$C$43:$C$63,基础状态预期!$AB$43:$AB$63,$W101)+
求节点(基础状态预期!$C$43:$C$63,基础状态预期!$S$43:$S$63,$W101)*Q$70*INDEX($P$57:$T$57,MATCH($O$70,$P$4:$T$4,0))*求节点(基础状态预期!$C$43:$C$63,基础状态预期!$AC$43:$AC$63,$W101)</f>
        <v>524117.64136397809</v>
      </c>
      <c r="Z101" s="113">
        <f>求节点(基础状态预期!$C$69:$C$89,基础状态预期!$O$69:$O$89,$W101)*R$66*INDEX($P$57:$T$57,MATCH($O$66,$P$4:$T$4,0))*求节点(基础状态预期!$C$69:$C$89,基础状态预期!AA112:AA132,$W101)+
求节点(基础状态预期!$C$69:$C$89,基础状态预期!$P$69:$P$89,$W101)*R$67*INDEX($P$57:$T$57,MATCH($O$67,$P$4:$T$4,0))*求节点(基础状态预期!$C$69:$C$89,基础状态预期!$Z$69:$Z$89,$W101)+
求节点(基础状态预期!$C$69:$C$89,基础状态预期!$Q$69:$Q$89,$W101)*R$68*INDEX($P$57:$T$57,MATCH($O$68,$P$4:$T$4,0))*求节点(基础状态预期!$C$69:$C$89,基础状态预期!$AA$69:$AA$89,$W101)+
求节点(基础状态预期!$C$69:$C$89,基础状态预期!$R$69:$R$89,$W101)*R$69*INDEX($P$57:$T$57,MATCH($O$69,$P$4:$T$4,0))*求节点(基础状态预期!$C$69:$C$89,基础状态预期!$AB$69:$AB$89,$W101)+
求节点(基础状态预期!$C$69:$C$89,基础状态预期!$S$69:$S$89,$W101)*R$70*INDEX($P$57:$T$57,MATCH($O$70,$P$4:$T$4,0))*求节点(基础状态预期!$C$69:$C$89,基础状态预期!$AC$69:$AC$89,$W101)</f>
        <v>1622585.8913499229</v>
      </c>
      <c r="AA101" s="113">
        <f>求节点(基础状态预期!$C$95:$C$115,基础状态预期!$O$95:$O$115,$W101)*S$66*INDEX($P$57:$T$57,MATCH($O$66,$P$4:$T$4,0))*求节点(基础状态预期!$C$95:$C$115,基础状态预期!$Y$95:$Y$115,$W101)+
求节点(基础状态预期!$C$95:$C$115,基础状态预期!$P$95:$P$115,$W101)*S$67*INDEX($P$57:$T$57,MATCH($O$67,$P$4:$T$4,0))*求节点(基础状态预期!$C$95:$C$115,基础状态预期!$Z$95:$Z$115,$W101)+
求节点(基础状态预期!$C$95:$C$115,基础状态预期!$Q$95:$Q$115,$W101)*S$68*INDEX($P$57:$T$57,MATCH($O$68,$P$4:$T$4,0))*求节点(基础状态预期!$C$95:$C$115,基础状态预期!$AA$95:$AA$115,$W101)+
求节点(基础状态预期!$C$95:$C$115,基础状态预期!$R$95:$R$115,$W101)*S$69*INDEX($P$57:$T$57,MATCH($O$69,$P$4:$T$4,0))*求节点(基础状态预期!$C$95:$C$115,基础状态预期!$AB$95:$AB$115,$W101)+
求节点(基础状态预期!$C$95:$C$115,基础状态预期!$S$95:$S$115,$W101)*S$70*INDEX($P$57:$T$57,MATCH($O$70,$P$4:$T$4,0))*求节点(基础状态预期!$C$95:$C$115,基础状态预期!$AC$95:$AC$115,$W101)</f>
        <v>1938693.7432923529</v>
      </c>
      <c r="AB101" s="113">
        <f>求节点(基础状态预期!$C$121:$C$141,基础状态预期!$O$121:$O$141,$W101)*T$66*INDEX($P$57:$T$57,MATCH($O$66,$P$4:$T$4,0))*求节点(基础状态预期!$C$121:$C$141,基础状态预期!$Y$121:$Y$141,$W101)+
求节点(基础状态预期!$C$121:$C$141,基础状态预期!$P$121:$P$141,$W101)*T$67*INDEX($P$57:$T$57,MATCH($O$67,$P$4:$T$4,0))*求节点(基础状态预期!$C$121:$C$141,基础状态预期!$Z$121:$Z$141,$W101)+
求节点(基础状态预期!$C$121:$C$141,基础状态预期!$Q$121:$Q$141,$W101)*T$68*INDEX($P$57:$T$57,MATCH($O$68,$P$4:$T$4,0))*求节点(基础状态预期!$C$121:$C$141,基础状态预期!$AA$121:$AA$141,$W101)+
求节点(基础状态预期!$C$121:$C$141,基础状态预期!$R$121:$R$141,$W101)*T$69*INDEX($P$57:$T$57,MATCH($O$69,$P$4:$T$4,0))*求节点(基础状态预期!$C$121:$C$141,基础状态预期!$AB$121:$AB$141,$W101)+
求节点(基础状态预期!$C$121:$C$141,基础状态预期!$S$121:$S$141,$W101)*T$70*INDEX($P$57:$T$57,MATCH($O$70,$P$4:$T$4,0))*求节点(基础状态预期!$C$121:$C$141,基础状态预期!$AC$121:$AC$141,$W101)</f>
        <v>2052690.5745455152</v>
      </c>
      <c r="AE101" s="70">
        <v>96</v>
      </c>
      <c r="AF101" s="113">
        <f>盗宝贼!AI100</f>
        <v>111440.07109619238</v>
      </c>
      <c r="AG101" s="113">
        <f>盗宝贼!AJ100</f>
        <v>137655.24055522922</v>
      </c>
      <c r="AH101" s="113">
        <f>盗宝贼!AK100</f>
        <v>148681.1596116451</v>
      </c>
      <c r="AI101" s="113">
        <f>盗宝贼!AL100</f>
        <v>120191.85804220548</v>
      </c>
      <c r="AJ101" s="113">
        <f>盗宝贼!AM100</f>
        <v>65016.943369628876</v>
      </c>
      <c r="AL101" s="78">
        <f>盗宝贼!AI100/AF101</f>
        <v>1</v>
      </c>
      <c r="AM101" s="118"/>
      <c r="AO101" s="123">
        <f t="shared" si="28"/>
        <v>0.22885118144491273</v>
      </c>
      <c r="AP101" s="123">
        <f t="shared" si="29"/>
        <v>0.2626418759669899</v>
      </c>
      <c r="AQ101" s="123">
        <f t="shared" si="30"/>
        <v>9.163222754756524E-2</v>
      </c>
      <c r="AR101" s="123">
        <f t="shared" si="31"/>
        <v>6.1996309864853515E-2</v>
      </c>
      <c r="AS101" s="123">
        <f t="shared" si="32"/>
        <v>3.1674010771947071E-2</v>
      </c>
    </row>
    <row r="102" spans="23:45" x14ac:dyDescent="0.15">
      <c r="W102" s="70">
        <v>97</v>
      </c>
      <c r="X102" s="113">
        <f>求节点(基础状态预期!$C$17:$C$37,基础状态预期!$O$17:$O$37,$W102)*P$66*INDEX($P$57:$T$57,MATCH($O$66,$P$4:$T$4,0))*求节点(基础状态预期!$C$17:$C$37,基础状态预期!$Y$17:$Y$37,$W102)+
求节点(基础状态预期!$C$17:$C$37,基础状态预期!$P$17:$P$37,$W102)*P$67*INDEX($P$57:$T$57,MATCH($O$67,$P$4:$T$4,0))*求节点(基础状态预期!$C$17:$C$37,基础状态预期!$Z$17:$Z$37,$W102)+
求节点(基础状态预期!$C$17:$C$37,基础状态预期!$Q$17:$Q$37,$W102)*P$68*INDEX($P$57:$T$57,MATCH($O$68,$P$4:$T$4,0))*求节点(基础状态预期!$C$17:$C$37,基础状态预期!$AA$17:$AA$37,$W102)+
求节点(基础状态预期!$C$17:$C$37,基础状态预期!$R$17:$R$37,$W102)*P$69*INDEX($P$57:$T$57,MATCH($O$69,$P$4:$T$4,0))*求节点(基础状态预期!$C$17:$C$37,基础状态预期!$AB$17:$AB$37,$W102)+
求节点(基础状态预期!$C$17:$C$37,基础状态预期!$S$17:$S$37,$W102)*P$70*INDEX($P$57:$T$57,MATCH($O$70,$P$4:$T$4,0))*求节点(基础状态预期!$C$17:$C$37,基础状态预期!$AC$17:$AC$37,$W102)</f>
        <v>496588.89920867007</v>
      </c>
      <c r="Y102" s="113">
        <f>求节点(基础状态预期!$C$43:$C$63,基础状态预期!$O$43:$O$63,$W102)*Q$66*INDEX($P$57:$T$57,MATCH($O$66,$P$4:$T$4,0))*求节点(基础状态预期!$C$43:$C$63,基础状态预期!$Y$43:$Y$63,$W102)+
求节点(基础状态预期!$C$43:$C$63,基础状态预期!$P$43:$P$63,$W102)*Q$67*INDEX($P$57:$T$57,MATCH($O$67,$P$4:$T$4,0))*求节点(基础状态预期!$C$43:$C$63,基础状态预期!$Z$43:$Z$63,$W102)+
求节点(基础状态预期!$C$43:$C$63,基础状态预期!$Q$43:$Q$63,$W102)*Q$68*INDEX($P$57:$T$57,MATCH($O$68,$P$4:$T$4,0))*求节点(基础状态预期!$C$43:$C$63,基础状态预期!$AA$43:$AA$63,$W102)+
求节点(基础状态预期!$C$43:$C$63,基础状态预期!$R$43:$R$63,$W102)*Q$69*INDEX($P$57:$T$57,MATCH($O$69,$P$4:$T$4,0))*求节点(基础状态预期!$C$43:$C$63,基础状态预期!$AB$43:$AB$63,$W102)+
求节点(基础状态预期!$C$43:$C$63,基础状态预期!$S$43:$S$63,$W102)*Q$70*INDEX($P$57:$T$57,MATCH($O$70,$P$4:$T$4,0))*求节点(基础状态预期!$C$43:$C$63,基础状态预期!$AC$43:$AC$63,$W102)</f>
        <v>524117.64136397809</v>
      </c>
      <c r="Z102" s="113">
        <f>求节点(基础状态预期!$C$69:$C$89,基础状态预期!$O$69:$O$89,$W102)*R$66*INDEX($P$57:$T$57,MATCH($O$66,$P$4:$T$4,0))*求节点(基础状态预期!$C$69:$C$89,基础状态预期!AA113:AA133,$W102)+
求节点(基础状态预期!$C$69:$C$89,基础状态预期!$P$69:$P$89,$W102)*R$67*INDEX($P$57:$T$57,MATCH($O$67,$P$4:$T$4,0))*求节点(基础状态预期!$C$69:$C$89,基础状态预期!$Z$69:$Z$89,$W102)+
求节点(基础状态预期!$C$69:$C$89,基础状态预期!$Q$69:$Q$89,$W102)*R$68*INDEX($P$57:$T$57,MATCH($O$68,$P$4:$T$4,0))*求节点(基础状态预期!$C$69:$C$89,基础状态预期!$AA$69:$AA$89,$W102)+
求节点(基础状态预期!$C$69:$C$89,基础状态预期!$R$69:$R$89,$W102)*R$69*INDEX($P$57:$T$57,MATCH($O$69,$P$4:$T$4,0))*求节点(基础状态预期!$C$69:$C$89,基础状态预期!$AB$69:$AB$89,$W102)+
求节点(基础状态预期!$C$69:$C$89,基础状态预期!$S$69:$S$89,$W102)*R$70*INDEX($P$57:$T$57,MATCH($O$70,$P$4:$T$4,0))*求节点(基础状态预期!$C$69:$C$89,基础状态预期!$AC$69:$AC$89,$W102)</f>
        <v>1653307.6544353224</v>
      </c>
      <c r="AA102" s="113">
        <f>求节点(基础状态预期!$C$95:$C$115,基础状态预期!$O$95:$O$115,$W102)*S$66*INDEX($P$57:$T$57,MATCH($O$66,$P$4:$T$4,0))*求节点(基础状态预期!$C$95:$C$115,基础状态预期!$Y$95:$Y$115,$W102)+
求节点(基础状态预期!$C$95:$C$115,基础状态预期!$P$95:$P$115,$W102)*S$67*INDEX($P$57:$T$57,MATCH($O$67,$P$4:$T$4,0))*求节点(基础状态预期!$C$95:$C$115,基础状态预期!$Z$95:$Z$115,$W102)+
求节点(基础状态预期!$C$95:$C$115,基础状态预期!$Q$95:$Q$115,$W102)*S$68*INDEX($P$57:$T$57,MATCH($O$68,$P$4:$T$4,0))*求节点(基础状态预期!$C$95:$C$115,基础状态预期!$AA$95:$AA$115,$W102)+
求节点(基础状态预期!$C$95:$C$115,基础状态预期!$R$95:$R$115,$W102)*S$69*INDEX($P$57:$T$57,MATCH($O$69,$P$4:$T$4,0))*求节点(基础状态预期!$C$95:$C$115,基础状态预期!$AB$95:$AB$115,$W102)+
求节点(基础状态预期!$C$95:$C$115,基础状态预期!$S$95:$S$115,$W102)*S$70*INDEX($P$57:$T$57,MATCH($O$70,$P$4:$T$4,0))*求节点(基础状态预期!$C$95:$C$115,基础状态预期!$AC$95:$AC$115,$W102)</f>
        <v>1969415.5063777526</v>
      </c>
      <c r="AB102" s="113">
        <f>求节点(基础状态预期!$C$121:$C$141,基础状态预期!$O$121:$O$141,$W102)*T$66*INDEX($P$57:$T$57,MATCH($O$66,$P$4:$T$4,0))*求节点(基础状态预期!$C$121:$C$141,基础状态预期!$Y$121:$Y$141,$W102)+
求节点(基础状态预期!$C$121:$C$141,基础状态预期!$P$121:$P$141,$W102)*T$67*INDEX($P$57:$T$57,MATCH($O$67,$P$4:$T$4,0))*求节点(基础状态预期!$C$121:$C$141,基础状态预期!$Z$121:$Z$141,$W102)+
求节点(基础状态预期!$C$121:$C$141,基础状态预期!$Q$121:$Q$141,$W102)*T$68*INDEX($P$57:$T$57,MATCH($O$68,$P$4:$T$4,0))*求节点(基础状态预期!$C$121:$C$141,基础状态预期!$AA$121:$AA$141,$W102)+
求节点(基础状态预期!$C$121:$C$141,基础状态预期!$R$121:$R$141,$W102)*T$69*INDEX($P$57:$T$57,MATCH($O$69,$P$4:$T$4,0))*求节点(基础状态预期!$C$121:$C$141,基础状态预期!$AB$121:$AB$141,$W102)+
求节点(基础状态预期!$C$121:$C$141,基础状态预期!$S$121:$S$141,$W102)*T$70*INDEX($P$57:$T$57,MATCH($O$70,$P$4:$T$4,0))*求节点(基础状态预期!$C$121:$C$141,基础状态预期!$AC$121:$AC$141,$W102)</f>
        <v>2052690.5745455152</v>
      </c>
      <c r="AE102" s="70">
        <v>97</v>
      </c>
      <c r="AF102" s="113">
        <f>盗宝贼!AI101</f>
        <v>125410.60280685502</v>
      </c>
      <c r="AG102" s="113">
        <f>盗宝贼!AJ101</f>
        <v>154585.48842502022</v>
      </c>
      <c r="AH102" s="113">
        <f>盗宝贼!AK101</f>
        <v>168021.95422061838</v>
      </c>
      <c r="AI102" s="113">
        <f>盗宝贼!AL101</f>
        <v>136338.14113747014</v>
      </c>
      <c r="AJ102" s="113">
        <f>盗宝贼!AM101</f>
        <v>74053.396822624098</v>
      </c>
      <c r="AL102" s="78">
        <f>盗宝贼!AI101/AF102</f>
        <v>1</v>
      </c>
      <c r="AM102" s="118"/>
      <c r="AO102" s="123">
        <f t="shared" si="28"/>
        <v>0.25254411245740838</v>
      </c>
      <c r="AP102" s="123">
        <f t="shared" si="29"/>
        <v>0.29494425721432066</v>
      </c>
      <c r="AQ102" s="123">
        <f t="shared" si="30"/>
        <v>0.10162776042914125</v>
      </c>
      <c r="AR102" s="123">
        <f t="shared" si="31"/>
        <v>6.9227717917297232E-2</v>
      </c>
      <c r="AS102" s="123">
        <f t="shared" si="32"/>
        <v>3.6076259004122042E-2</v>
      </c>
    </row>
    <row r="103" spans="23:45" x14ac:dyDescent="0.15">
      <c r="W103" s="70">
        <v>98</v>
      </c>
      <c r="X103" s="113">
        <f>求节点(基础状态预期!$C$17:$C$37,基础状态预期!$O$17:$O$37,$W103)*P$66*INDEX($P$57:$T$57,MATCH($O$66,$P$4:$T$4,0))*求节点(基础状态预期!$C$17:$C$37,基础状态预期!$Y$17:$Y$37,$W103)+
求节点(基础状态预期!$C$17:$C$37,基础状态预期!$P$17:$P$37,$W103)*P$67*INDEX($P$57:$T$57,MATCH($O$67,$P$4:$T$4,0))*求节点(基础状态预期!$C$17:$C$37,基础状态预期!$Z$17:$Z$37,$W103)+
求节点(基础状态预期!$C$17:$C$37,基础状态预期!$Q$17:$Q$37,$W103)*P$68*INDEX($P$57:$T$57,MATCH($O$68,$P$4:$T$4,0))*求节点(基础状态预期!$C$17:$C$37,基础状态预期!$AA$17:$AA$37,$W103)+
求节点(基础状态预期!$C$17:$C$37,基础状态预期!$R$17:$R$37,$W103)*P$69*INDEX($P$57:$T$57,MATCH($O$69,$P$4:$T$4,0))*求节点(基础状态预期!$C$17:$C$37,基础状态预期!$AB$17:$AB$37,$W103)+
求节点(基础状态预期!$C$17:$C$37,基础状态预期!$S$17:$S$37,$W103)*P$70*INDEX($P$57:$T$57,MATCH($O$70,$P$4:$T$4,0))*求节点(基础状态预期!$C$17:$C$37,基础状态预期!$AC$17:$AC$37,$W103)</f>
        <v>506223.479927106</v>
      </c>
      <c r="Y103" s="113">
        <f>求节点(基础状态预期!$C$43:$C$63,基础状态预期!$O$43:$O$63,$W103)*Q$66*INDEX($P$57:$T$57,MATCH($O$66,$P$4:$T$4,0))*求节点(基础状态预期!$C$43:$C$63,基础状态预期!$Y$43:$Y$63,$W103)+
求节点(基础状态预期!$C$43:$C$63,基础状态预期!$P$43:$P$63,$W103)*Q$67*INDEX($P$57:$T$57,MATCH($O$67,$P$4:$T$4,0))*求节点(基础状态预期!$C$43:$C$63,基础状态预期!$Z$43:$Z$63,$W103)+
求节点(基础状态预期!$C$43:$C$63,基础状态预期!$Q$43:$Q$63,$W103)*Q$68*INDEX($P$57:$T$57,MATCH($O$68,$P$4:$T$4,0))*求节点(基础状态预期!$C$43:$C$63,基础状态预期!$AA$43:$AA$63,$W103)+
求节点(基础状态预期!$C$43:$C$63,基础状态预期!$R$43:$R$63,$W103)*Q$69*INDEX($P$57:$T$57,MATCH($O$69,$P$4:$T$4,0))*求节点(基础状态预期!$C$43:$C$63,基础状态预期!$AB$43:$AB$63,$W103)+
求节点(基础状态预期!$C$43:$C$63,基础状态预期!$S$43:$S$63,$W103)*Q$70*INDEX($P$57:$T$57,MATCH($O$70,$P$4:$T$4,0))*求节点(基础状态预期!$C$43:$C$63,基础状态预期!$AC$43:$AC$63,$W103)</f>
        <v>524117.64136397809</v>
      </c>
      <c r="Z103" s="113">
        <f>求节点(基础状态预期!$C$69:$C$89,基础状态预期!$O$69:$O$89,$W103)*R$66*INDEX($P$57:$T$57,MATCH($O$66,$P$4:$T$4,0))*求节点(基础状态预期!$C$69:$C$89,基础状态预期!AA114:AA134,$W103)+
求节点(基础状态预期!$C$69:$C$89,基础状态预期!$P$69:$P$89,$W103)*R$67*INDEX($P$57:$T$57,MATCH($O$67,$P$4:$T$4,0))*求节点(基础状态预期!$C$69:$C$89,基础状态预期!$Z$69:$Z$89,$W103)+
求节点(基础状态预期!$C$69:$C$89,基础状态预期!$Q$69:$Q$89,$W103)*R$68*INDEX($P$57:$T$57,MATCH($O$68,$P$4:$T$4,0))*求节点(基础状态预期!$C$69:$C$89,基础状态预期!$AA$69:$AA$89,$W103)+
求节点(基础状态预期!$C$69:$C$89,基础状态预期!$R$69:$R$89,$W103)*R$69*INDEX($P$57:$T$57,MATCH($O$69,$P$4:$T$4,0))*求节点(基础状态预期!$C$69:$C$89,基础状态预期!$AB$69:$AB$89,$W103)+
求节点(基础状态预期!$C$69:$C$89,基础状态预期!$S$69:$S$89,$W103)*R$70*INDEX($P$57:$T$57,MATCH($O$70,$P$4:$T$4,0))*求节点(基础状态预期!$C$69:$C$89,基础状态预期!$AC$69:$AC$89,$W103)</f>
        <v>1684029.4175207219</v>
      </c>
      <c r="AA103" s="113">
        <f>求节点(基础状态预期!$C$95:$C$115,基础状态预期!$O$95:$O$115,$W103)*S$66*INDEX($P$57:$T$57,MATCH($O$66,$P$4:$T$4,0))*求节点(基础状态预期!$C$95:$C$115,基础状态预期!$Y$95:$Y$115,$W103)+
求节点(基础状态预期!$C$95:$C$115,基础状态预期!$P$95:$P$115,$W103)*S$67*INDEX($P$57:$T$57,MATCH($O$67,$P$4:$T$4,0))*求节点(基础状态预期!$C$95:$C$115,基础状态预期!$Z$95:$Z$115,$W103)+
求节点(基础状态预期!$C$95:$C$115,基础状态预期!$Q$95:$Q$115,$W103)*S$68*INDEX($P$57:$T$57,MATCH($O$68,$P$4:$T$4,0))*求节点(基础状态预期!$C$95:$C$115,基础状态预期!$AA$95:$AA$115,$W103)+
求节点(基础状态预期!$C$95:$C$115,基础状态预期!$R$95:$R$115,$W103)*S$69*INDEX($P$57:$T$57,MATCH($O$69,$P$4:$T$4,0))*求节点(基础状态预期!$C$95:$C$115,基础状态预期!$AB$95:$AB$115,$W103)+
求节点(基础状态预期!$C$95:$C$115,基础状态预期!$S$95:$S$115,$W103)*S$70*INDEX($P$57:$T$57,MATCH($O$70,$P$4:$T$4,0))*求节点(基础状态预期!$C$95:$C$115,基础状态预期!$AC$95:$AC$115,$W103)</f>
        <v>2000137.2694631519</v>
      </c>
      <c r="AB103" s="113">
        <f>求节点(基础状态预期!$C$121:$C$141,基础状态预期!$O$121:$O$141,$W103)*T$66*INDEX($P$57:$T$57,MATCH($O$66,$P$4:$T$4,0))*求节点(基础状态预期!$C$121:$C$141,基础状态预期!$Y$121:$Y$141,$W103)+
求节点(基础状态预期!$C$121:$C$141,基础状态预期!$P$121:$P$141,$W103)*T$67*INDEX($P$57:$T$57,MATCH($O$67,$P$4:$T$4,0))*求节点(基础状态预期!$C$121:$C$141,基础状态预期!$Z$121:$Z$141,$W103)+
求节点(基础状态预期!$C$121:$C$141,基础状态预期!$Q$121:$Q$141,$W103)*T$68*INDEX($P$57:$T$57,MATCH($O$68,$P$4:$T$4,0))*求节点(基础状态预期!$C$121:$C$141,基础状态预期!$AA$121:$AA$141,$W103)+
求节点(基础状态预期!$C$121:$C$141,基础状态预期!$R$121:$R$141,$W103)*T$69*INDEX($P$57:$T$57,MATCH($O$69,$P$4:$T$4,0))*求节点(基础状态预期!$C$121:$C$141,基础状态预期!$AB$121:$AB$141,$W103)+
求节点(基础状态预期!$C$121:$C$141,基础状态预期!$S$121:$S$141,$W103)*T$70*INDEX($P$57:$T$57,MATCH($O$70,$P$4:$T$4,0))*求节点(基础状态预期!$C$121:$C$141,基础状态预期!$AC$121:$AC$141,$W103)</f>
        <v>2052690.5745455152</v>
      </c>
      <c r="AE103" s="70">
        <v>98</v>
      </c>
      <c r="AF103" s="113">
        <f>盗宝贼!AI102</f>
        <v>141132.51020911586</v>
      </c>
      <c r="AG103" s="113">
        <f>盗宝贼!AJ102</f>
        <v>174630.74691619596</v>
      </c>
      <c r="AH103" s="113">
        <f>盗宝贼!AK102</f>
        <v>190749.4398474397</v>
      </c>
      <c r="AI103" s="113">
        <f>盗宝贼!AL102</f>
        <v>155251.09546990434</v>
      </c>
      <c r="AJ103" s="113">
        <f>盗宝贼!AM102</f>
        <v>84538.094495693658</v>
      </c>
      <c r="AL103" s="78">
        <f>盗宝贼!AI102/AF103</f>
        <v>1</v>
      </c>
      <c r="AM103" s="118"/>
      <c r="AO103" s="123">
        <f t="shared" si="28"/>
        <v>0.27879487184086826</v>
      </c>
      <c r="AP103" s="123">
        <f t="shared" si="29"/>
        <v>0.33318998090148638</v>
      </c>
      <c r="AQ103" s="123">
        <f t="shared" si="30"/>
        <v>0.11326966017509758</v>
      </c>
      <c r="AR103" s="123">
        <f t="shared" si="31"/>
        <v>7.7620220291967565E-2</v>
      </c>
      <c r="AS103" s="123">
        <f t="shared" si="32"/>
        <v>4.1184041834659457E-2</v>
      </c>
    </row>
    <row r="104" spans="23:45" x14ac:dyDescent="0.15">
      <c r="W104" s="70">
        <v>99</v>
      </c>
      <c r="X104" s="113">
        <f>求节点(基础状态预期!$C$17:$C$37,基础状态预期!$O$17:$O$37,$W104)*P$66*INDEX($P$57:$T$57,MATCH($O$66,$P$4:$T$4,0))*求节点(基础状态预期!$C$17:$C$37,基础状态预期!$Y$17:$Y$37,$W104)+
求节点(基础状态预期!$C$17:$C$37,基础状态预期!$P$17:$P$37,$W104)*P$67*INDEX($P$57:$T$57,MATCH($O$67,$P$4:$T$4,0))*求节点(基础状态预期!$C$17:$C$37,基础状态预期!$Z$17:$Z$37,$W104)+
求节点(基础状态预期!$C$17:$C$37,基础状态预期!$Q$17:$Q$37,$W104)*P$68*INDEX($P$57:$T$57,MATCH($O$68,$P$4:$T$4,0))*求节点(基础状态预期!$C$17:$C$37,基础状态预期!$AA$17:$AA$37,$W104)+
求节点(基础状态预期!$C$17:$C$37,基础状态预期!$R$17:$R$37,$W104)*P$69*INDEX($P$57:$T$57,MATCH($O$69,$P$4:$T$4,0))*求节点(基础状态预期!$C$17:$C$37,基础状态预期!$AB$17:$AB$37,$W104)+
求节点(基础状态预期!$C$17:$C$37,基础状态预期!$S$17:$S$37,$W104)*P$70*INDEX($P$57:$T$57,MATCH($O$70,$P$4:$T$4,0))*求节点(基础状态预期!$C$17:$C$37,基础状态预期!$AC$17:$AC$37,$W104)</f>
        <v>515858.06064554205</v>
      </c>
      <c r="Y104" s="113">
        <f>求节点(基础状态预期!$C$43:$C$63,基础状态预期!$O$43:$O$63,$W104)*Q$66*INDEX($P$57:$T$57,MATCH($O$66,$P$4:$T$4,0))*求节点(基础状态预期!$C$43:$C$63,基础状态预期!$Y$43:$Y$63,$W104)+
求节点(基础状态预期!$C$43:$C$63,基础状态预期!$P$43:$P$63,$W104)*Q$67*INDEX($P$57:$T$57,MATCH($O$67,$P$4:$T$4,0))*求节点(基础状态预期!$C$43:$C$63,基础状态预期!$Z$43:$Z$63,$W104)+
求节点(基础状态预期!$C$43:$C$63,基础状态预期!$Q$43:$Q$63,$W104)*Q$68*INDEX($P$57:$T$57,MATCH($O$68,$P$4:$T$4,0))*求节点(基础状态预期!$C$43:$C$63,基础状态预期!$AA$43:$AA$63,$W104)+
求节点(基础状态预期!$C$43:$C$63,基础状态预期!$R$43:$R$63,$W104)*Q$69*INDEX($P$57:$T$57,MATCH($O$69,$P$4:$T$4,0))*求节点(基础状态预期!$C$43:$C$63,基础状态预期!$AB$43:$AB$63,$W104)+
求节点(基础状态预期!$C$43:$C$63,基础状态预期!$S$43:$S$63,$W104)*Q$70*INDEX($P$57:$T$57,MATCH($O$70,$P$4:$T$4,0))*求节点(基础状态预期!$C$43:$C$63,基础状态预期!$AC$43:$AC$63,$W104)</f>
        <v>524117.64136397809</v>
      </c>
      <c r="Z104" s="113">
        <f>求节点(基础状态预期!$C$69:$C$89,基础状态预期!$O$69:$O$89,$W104)*R$66*INDEX($P$57:$T$57,MATCH($O$66,$P$4:$T$4,0))*求节点(基础状态预期!$C$69:$C$89,基础状态预期!AA115:AA135,$W104)+
求节点(基础状态预期!$C$69:$C$89,基础状态预期!$P$69:$P$89,$W104)*R$67*INDEX($P$57:$T$57,MATCH($O$67,$P$4:$T$4,0))*求节点(基础状态预期!$C$69:$C$89,基础状态预期!$Z$69:$Z$89,$W104)+
求节点(基础状态预期!$C$69:$C$89,基础状态预期!$Q$69:$Q$89,$W104)*R$68*INDEX($P$57:$T$57,MATCH($O$68,$P$4:$T$4,0))*求节点(基础状态预期!$C$69:$C$89,基础状态预期!$AA$69:$AA$89,$W104)+
求节点(基础状态预期!$C$69:$C$89,基础状态预期!$R$69:$R$89,$W104)*R$69*INDEX($P$57:$T$57,MATCH($O$69,$P$4:$T$4,0))*求节点(基础状态预期!$C$69:$C$89,基础状态预期!$AB$69:$AB$89,$W104)+
求节点(基础状态预期!$C$69:$C$89,基础状态预期!$S$69:$S$89,$W104)*R$70*INDEX($P$57:$T$57,MATCH($O$70,$P$4:$T$4,0))*求节点(基础状态预期!$C$69:$C$89,基础状态预期!$AC$69:$AC$89,$W104)</f>
        <v>1714751.1806061214</v>
      </c>
      <c r="AA104" s="113">
        <f>求节点(基础状态预期!$C$95:$C$115,基础状态预期!$O$95:$O$115,$W104)*S$66*INDEX($P$57:$T$57,MATCH($O$66,$P$4:$T$4,0))*求节点(基础状态预期!$C$95:$C$115,基础状态预期!$Y$95:$Y$115,$W104)+
求节点(基础状态预期!$C$95:$C$115,基础状态预期!$P$95:$P$115,$W104)*S$67*INDEX($P$57:$T$57,MATCH($O$67,$P$4:$T$4,0))*求节点(基础状态预期!$C$95:$C$115,基础状态预期!$Z$95:$Z$115,$W104)+
求节点(基础状态预期!$C$95:$C$115,基础状态预期!$Q$95:$Q$115,$W104)*S$68*INDEX($P$57:$T$57,MATCH($O$68,$P$4:$T$4,0))*求节点(基础状态预期!$C$95:$C$115,基础状态预期!$AA$95:$AA$115,$W104)+
求节点(基础状态预期!$C$95:$C$115,基础状态预期!$R$95:$R$115,$W104)*S$69*INDEX($P$57:$T$57,MATCH($O$69,$P$4:$T$4,0))*求节点(基础状态预期!$C$95:$C$115,基础状态预期!$AB$95:$AB$115,$W104)+
求节点(基础状态预期!$C$95:$C$115,基础状态预期!$S$95:$S$115,$W104)*S$70*INDEX($P$57:$T$57,MATCH($O$70,$P$4:$T$4,0))*求节点(基础状态预期!$C$95:$C$115,基础状态预期!$AC$95:$AC$115,$W104)</f>
        <v>2030859.0325485512</v>
      </c>
      <c r="AB104" s="113">
        <f>求节点(基础状态预期!$C$121:$C$141,基础状态预期!$O$121:$O$141,$W104)*T$66*INDEX($P$57:$T$57,MATCH($O$66,$P$4:$T$4,0))*求节点(基础状态预期!$C$121:$C$141,基础状态预期!$Y$121:$Y$141,$W104)+
求节点(基础状态预期!$C$121:$C$141,基础状态预期!$P$121:$P$141,$W104)*T$67*INDEX($P$57:$T$57,MATCH($O$67,$P$4:$T$4,0))*求节点(基础状态预期!$C$121:$C$141,基础状态预期!$Z$121:$Z$141,$W104)+
求节点(基础状态预期!$C$121:$C$141,基础状态预期!$Q$121:$Q$141,$W104)*T$68*INDEX($P$57:$T$57,MATCH($O$68,$P$4:$T$4,0))*求节点(基础状态预期!$C$121:$C$141,基础状态预期!$AA$121:$AA$141,$W104)+
求节点(基础状态预期!$C$121:$C$141,基础状态预期!$R$121:$R$141,$W104)*T$69*INDEX($P$57:$T$57,MATCH($O$69,$P$4:$T$4,0))*求节点(基础状态预期!$C$121:$C$141,基础状态预期!$AB$121:$AB$141,$W104)+
求节点(基础状态预期!$C$121:$C$141,基础状态预期!$S$121:$S$141,$W104)*T$70*INDEX($P$57:$T$57,MATCH($O$70,$P$4:$T$4,0))*求节点(基础状态预期!$C$121:$C$141,基础状态预期!$AC$121:$AC$141,$W104)</f>
        <v>2052690.5745455152</v>
      </c>
      <c r="AE104" s="70">
        <v>99</v>
      </c>
      <c r="AF104" s="113">
        <f>盗宝贼!AI103</f>
        <v>158825.34950002155</v>
      </c>
      <c r="AG104" s="113">
        <f>盗宝贼!AJ103</f>
        <v>197230.20008289724</v>
      </c>
      <c r="AH104" s="113">
        <f>盗宝贼!AK103</f>
        <v>215912.60251242042</v>
      </c>
      <c r="AI104" s="113">
        <f>盗宝贼!AL103</f>
        <v>176417.61548375778</v>
      </c>
      <c r="AJ104" s="113">
        <f>盗宝贼!AM103</f>
        <v>94939.087586703303</v>
      </c>
      <c r="AL104" s="78">
        <f>盗宝贼!AI103/AF104</f>
        <v>1</v>
      </c>
      <c r="AM104" s="118"/>
      <c r="AO104" s="123">
        <f t="shared" si="28"/>
        <v>0.30788575698762632</v>
      </c>
      <c r="AP104" s="123">
        <f t="shared" si="29"/>
        <v>0.37630902781600706</v>
      </c>
      <c r="AQ104" s="123">
        <f t="shared" si="30"/>
        <v>0.12591482948336605</v>
      </c>
      <c r="AR104" s="123">
        <f t="shared" si="31"/>
        <v>8.6868469281380423E-2</v>
      </c>
      <c r="AS104" s="123">
        <f t="shared" si="32"/>
        <v>4.6251046681852523E-2</v>
      </c>
    </row>
    <row r="105" spans="23:45" x14ac:dyDescent="0.15">
      <c r="W105" s="70">
        <v>100</v>
      </c>
      <c r="X105" s="113">
        <f>求节点(基础状态预期!$C$17:$C$37,基础状态预期!$O$17:$O$37,$W105)*P$66*INDEX($P$57:$T$57,MATCH($O$66,$P$4:$T$4,0))*求节点(基础状态预期!$C$17:$C$37,基础状态预期!$Y$17:$Y$37,$W105)+
求节点(基础状态预期!$C$17:$C$37,基础状态预期!$P$17:$P$37,$W105)*P$67*INDEX($P$57:$T$57,MATCH($O$67,$P$4:$T$4,0))*求节点(基础状态预期!$C$17:$C$37,基础状态预期!$Z$17:$Z$37,$W105)+
求节点(基础状态预期!$C$17:$C$37,基础状态预期!$Q$17:$Q$37,$W105)*P$68*INDEX($P$57:$T$57,MATCH($O$68,$P$4:$T$4,0))*求节点(基础状态预期!$C$17:$C$37,基础状态预期!$AA$17:$AA$37,$W105)+
求节点(基础状态预期!$C$17:$C$37,基础状态预期!$R$17:$R$37,$W105)*P$69*INDEX($P$57:$T$57,MATCH($O$69,$P$4:$T$4,0))*求节点(基础状态预期!$C$17:$C$37,基础状态预期!$AB$17:$AB$37,$W105)+
求节点(基础状态预期!$C$17:$C$37,基础状态预期!$S$17:$S$37,$W105)*P$70*INDEX($P$57:$T$57,MATCH($O$70,$P$4:$T$4,0))*求节点(基础状态预期!$C$17:$C$37,基础状态预期!$AC$17:$AC$37,$W105)</f>
        <v>525492.64136397815</v>
      </c>
      <c r="Y105" s="113">
        <f>求节点(基础状态预期!$C$43:$C$63,基础状态预期!$O$43:$O$63,$W105)*Q$66*INDEX($P$57:$T$57,MATCH($O$66,$P$4:$T$4,0))*求节点(基础状态预期!$C$43:$C$63,基础状态预期!$Y$43:$Y$63,$W105)+
求节点(基础状态预期!$C$43:$C$63,基础状态预期!$P$43:$P$63,$W105)*Q$67*INDEX($P$57:$T$57,MATCH($O$67,$P$4:$T$4,0))*求节点(基础状态预期!$C$43:$C$63,基础状态预期!$Z$43:$Z$63,$W105)+
求节点(基础状态预期!$C$43:$C$63,基础状态预期!$Q$43:$Q$63,$W105)*Q$68*INDEX($P$57:$T$57,MATCH($O$68,$P$4:$T$4,0))*求节点(基础状态预期!$C$43:$C$63,基础状态预期!$AA$43:$AA$63,$W105)+
求节点(基础状态预期!$C$43:$C$63,基础状态预期!$R$43:$R$63,$W105)*Q$69*INDEX($P$57:$T$57,MATCH($O$69,$P$4:$T$4,0))*求节点(基础状态预期!$C$43:$C$63,基础状态预期!$AB$43:$AB$63,$W105)+
求节点(基础状态预期!$C$43:$C$63,基础状态预期!$S$43:$S$63,$W105)*Q$70*INDEX($P$57:$T$57,MATCH($O$70,$P$4:$T$4,0))*求节点(基础状态预期!$C$43:$C$63,基础状态预期!$AC$43:$AC$63,$W105)</f>
        <v>524117.64136397809</v>
      </c>
      <c r="Z105" s="113">
        <f>求节点(基础状态预期!$C$69:$C$89,基础状态预期!$O$69:$O$89,$W105)*R$66*INDEX($P$57:$T$57,MATCH($O$66,$P$4:$T$4,0))*求节点(基础状态预期!$C$69:$C$89,基础状态预期!AA116:AA136,$W105)+
求节点(基础状态预期!$C$69:$C$89,基础状态预期!$P$69:$P$89,$W105)*R$67*INDEX($P$57:$T$57,MATCH($O$67,$P$4:$T$4,0))*求节点(基础状态预期!$C$69:$C$89,基础状态预期!$Z$69:$Z$89,$W105)+
求节点(基础状态预期!$C$69:$C$89,基础状态预期!$Q$69:$Q$89,$W105)*R$68*INDEX($P$57:$T$57,MATCH($O$68,$P$4:$T$4,0))*求节点(基础状态预期!$C$69:$C$89,基础状态预期!$AA$69:$AA$89,$W105)+
求节点(基础状态预期!$C$69:$C$89,基础状态预期!$R$69:$R$89,$W105)*R$69*INDEX($P$57:$T$57,MATCH($O$69,$P$4:$T$4,0))*求节点(基础状态预期!$C$69:$C$89,基础状态预期!$AB$69:$AB$89,$W105)+
求节点(基础状态预期!$C$69:$C$89,基础状态预期!$S$69:$S$89,$W105)*R$70*INDEX($P$57:$T$57,MATCH($O$70,$P$4:$T$4,0))*求节点(基础状态预期!$C$69:$C$89,基础状态预期!$AC$69:$AC$89,$W105)</f>
        <v>1745472.9436915207</v>
      </c>
      <c r="AA105" s="113">
        <f>求节点(基础状态预期!$C$95:$C$115,基础状态预期!$O$95:$O$115,$W105)*S$66*INDEX($P$57:$T$57,MATCH($O$66,$P$4:$T$4,0))*求节点(基础状态预期!$C$95:$C$115,基础状态预期!$Y$95:$Y$115,$W105)+
求节点(基础状态预期!$C$95:$C$115,基础状态预期!$P$95:$P$115,$W105)*S$67*INDEX($P$57:$T$57,MATCH($O$67,$P$4:$T$4,0))*求节点(基础状态预期!$C$95:$C$115,基础状态预期!$Z$95:$Z$115,$W105)+
求节点(基础状态预期!$C$95:$C$115,基础状态预期!$Q$95:$Q$115,$W105)*S$68*INDEX($P$57:$T$57,MATCH($O$68,$P$4:$T$4,0))*求节点(基础状态预期!$C$95:$C$115,基础状态预期!$AA$95:$AA$115,$W105)+
求节点(基础状态预期!$C$95:$C$115,基础状态预期!$R$95:$R$115,$W105)*S$69*INDEX($P$57:$T$57,MATCH($O$69,$P$4:$T$4,0))*求节点(基础状态预期!$C$95:$C$115,基础状态预期!$AB$95:$AB$115,$W105)+
求节点(基础状态预期!$C$95:$C$115,基础状态预期!$S$95:$S$115,$W105)*S$70*INDEX($P$57:$T$57,MATCH($O$70,$P$4:$T$4,0))*求节点(基础状态预期!$C$95:$C$115,基础状态预期!$AC$95:$AC$115,$W105)</f>
        <v>2061580.7956339507</v>
      </c>
      <c r="AB105" s="113">
        <f>求节点(基础状态预期!$C$121:$C$141,基础状态预期!$O$121:$O$141,$W105)*T$66*INDEX($P$57:$T$57,MATCH($O$66,$P$4:$T$4,0))*求节点(基础状态预期!$C$121:$C$141,基础状态预期!$Y$121:$Y$141,$W105)+
求节点(基础状态预期!$C$121:$C$141,基础状态预期!$P$121:$P$141,$W105)*T$67*INDEX($P$57:$T$57,MATCH($O$67,$P$4:$T$4,0))*求节点(基础状态预期!$C$121:$C$141,基础状态预期!$Z$121:$Z$141,$W105)+
求节点(基础状态预期!$C$121:$C$141,基础状态预期!$Q$121:$Q$141,$W105)*T$68*INDEX($P$57:$T$57,MATCH($O$68,$P$4:$T$4,0))*求节点(基础状态预期!$C$121:$C$141,基础状态预期!$AA$121:$AA$141,$W105)+
求节点(基础状态预期!$C$121:$C$141,基础状态预期!$R$121:$R$141,$W105)*T$69*INDEX($P$57:$T$57,MATCH($O$69,$P$4:$T$4,0))*求节点(基础状态预期!$C$121:$C$141,基础状态预期!$AB$121:$AB$141,$W105)+
求节点(基础状态预期!$C$121:$C$141,基础状态预期!$S$121:$S$141,$W105)*T$70*INDEX($P$57:$T$57,MATCH($O$70,$P$4:$T$4,0))*求节点(基础状态预期!$C$121:$C$141,基础状态预期!$AC$121:$AC$141,$W105)</f>
        <v>2052690.5745455152</v>
      </c>
      <c r="AE105" s="70">
        <v>100</v>
      </c>
      <c r="AF105" s="113">
        <f>盗宝贼!AI104</f>
        <v>178736.2009103793</v>
      </c>
      <c r="AG105" s="113">
        <f>盗宝贼!AJ104</f>
        <v>222276.58353951809</v>
      </c>
      <c r="AH105" s="113">
        <f>盗宝贼!AK104</f>
        <v>243725.46753039636</v>
      </c>
      <c r="AI105" s="113">
        <f>盗宝贼!AL104</f>
        <v>197759.78034725608</v>
      </c>
      <c r="AJ105" s="113">
        <f>盗宝贼!AM104</f>
        <v>105956.561066628</v>
      </c>
      <c r="AL105" s="78">
        <f>盗宝贼!AI104/AF105</f>
        <v>1</v>
      </c>
      <c r="AM105" s="118"/>
      <c r="AO105" s="123">
        <f t="shared" si="28"/>
        <v>0.34013073988333764</v>
      </c>
      <c r="AP105" s="123">
        <f t="shared" si="29"/>
        <v>0.42409674087874516</v>
      </c>
      <c r="AQ105" s="123">
        <f t="shared" si="30"/>
        <v>0.13963291061672867</v>
      </c>
      <c r="AR105" s="123">
        <f t="shared" si="31"/>
        <v>9.5926281796025137E-2</v>
      </c>
      <c r="AS105" s="123">
        <f t="shared" si="32"/>
        <v>5.1618379496913586E-2</v>
      </c>
    </row>
    <row r="106" spans="23:45" x14ac:dyDescent="0.15">
      <c r="W106" s="70">
        <v>101</v>
      </c>
      <c r="X106" s="113">
        <f>求节点(基础状态预期!$C$17:$C$37,基础状态预期!$O$17:$O$37,$W106)*P$66*INDEX($P$57:$T$57,MATCH($O$66,$P$4:$T$4,0))*求节点(基础状态预期!$C$17:$C$37,基础状态预期!$Y$17:$Y$37,$W106)+
求节点(基础状态预期!$C$17:$C$37,基础状态预期!$P$17:$P$37,$W106)*P$67*INDEX($P$57:$T$57,MATCH($O$67,$P$4:$T$4,0))*求节点(基础状态预期!$C$17:$C$37,基础状态预期!$Z$17:$Z$37,$W106)+
求节点(基础状态预期!$C$17:$C$37,基础状态预期!$Q$17:$Q$37,$W106)*P$68*INDEX($P$57:$T$57,MATCH($O$68,$P$4:$T$4,0))*求节点(基础状态预期!$C$17:$C$37,基础状态预期!$AA$17:$AA$37,$W106)+
求节点(基础状态预期!$C$17:$C$37,基础状态预期!$R$17:$R$37,$W106)*P$69*INDEX($P$57:$T$57,MATCH($O$69,$P$4:$T$4,0))*求节点(基础状态预期!$C$17:$C$37,基础状态预期!$AB$17:$AB$37,$W106)+
求节点(基础状态预期!$C$17:$C$37,基础状态预期!$S$17:$S$37,$W106)*P$70*INDEX($P$57:$T$57,MATCH($O$70,$P$4:$T$4,0))*求节点(基础状态预期!$C$17:$C$37,基础状态预期!$AC$17:$AC$37,$W106)</f>
        <v>525492.64136397815</v>
      </c>
      <c r="Y106" s="113">
        <f>求节点(基础状态预期!$C$43:$C$63,基础状态预期!$O$43:$O$63,$W106)*Q$66*INDEX($P$57:$T$57,MATCH($O$66,$P$4:$T$4,0))*求节点(基础状态预期!$C$43:$C$63,基础状态预期!$Y$43:$Y$63,$W106)+
求节点(基础状态预期!$C$43:$C$63,基础状态预期!$P$43:$P$63,$W106)*Q$67*INDEX($P$57:$T$57,MATCH($O$67,$P$4:$T$4,0))*求节点(基础状态预期!$C$43:$C$63,基础状态预期!$Z$43:$Z$63,$W106)+
求节点(基础状态预期!$C$43:$C$63,基础状态预期!$Q$43:$Q$63,$W106)*Q$68*INDEX($P$57:$T$57,MATCH($O$68,$P$4:$T$4,0))*求节点(基础状态预期!$C$43:$C$63,基础状态预期!$AA$43:$AA$63,$W106)+
求节点(基础状态预期!$C$43:$C$63,基础状态预期!$R$43:$R$63,$W106)*Q$69*INDEX($P$57:$T$57,MATCH($O$69,$P$4:$T$4,0))*求节点(基础状态预期!$C$43:$C$63,基础状态预期!$AB$43:$AB$63,$W106)+
求节点(基础状态预期!$C$43:$C$63,基础状态预期!$S$43:$S$63,$W106)*Q$70*INDEX($P$57:$T$57,MATCH($O$70,$P$4:$T$4,0))*求节点(基础状态预期!$C$43:$C$63,基础状态预期!$AC$43:$AC$63,$W106)</f>
        <v>524117.64136397809</v>
      </c>
      <c r="Z106" s="113">
        <f>求节点(基础状态预期!$C$69:$C$89,基础状态预期!$O$69:$O$89,$W106)*R$66*INDEX($P$57:$T$57,MATCH($O$66,$P$4:$T$4,0))*求节点(基础状态预期!$C$69:$C$89,基础状态预期!AA117:AA137,$W106)+
求节点(基础状态预期!$C$69:$C$89,基础状态预期!$P$69:$P$89,$W106)*R$67*INDEX($P$57:$T$57,MATCH($O$67,$P$4:$T$4,0))*求节点(基础状态预期!$C$69:$C$89,基础状态预期!$Z$69:$Z$89,$W106)+
求节点(基础状态预期!$C$69:$C$89,基础状态预期!$Q$69:$Q$89,$W106)*R$68*INDEX($P$57:$T$57,MATCH($O$68,$P$4:$T$4,0))*求节点(基础状态预期!$C$69:$C$89,基础状态预期!$AA$69:$AA$89,$W106)+
求节点(基础状态预期!$C$69:$C$89,基础状态预期!$R$69:$R$89,$W106)*R$69*INDEX($P$57:$T$57,MATCH($O$69,$P$4:$T$4,0))*求节点(基础状态预期!$C$69:$C$89,基础状态预期!$AB$69:$AB$89,$W106)+
求节点(基础状态预期!$C$69:$C$89,基础状态预期!$S$69:$S$89,$W106)*R$70*INDEX($P$57:$T$57,MATCH($O$70,$P$4:$T$4,0))*求节点(基础状态预期!$C$69:$C$89,基础状态预期!$AC$69:$AC$89,$W106)</f>
        <v>1776194.7067769202</v>
      </c>
      <c r="AA106" s="113">
        <f>求节点(基础状态预期!$C$95:$C$115,基础状态预期!$O$95:$O$115,$W106)*S$66*INDEX($P$57:$T$57,MATCH($O$66,$P$4:$T$4,0))*求节点(基础状态预期!$C$95:$C$115,基础状态预期!$Y$95:$Y$115,$W106)+
求节点(基础状态预期!$C$95:$C$115,基础状态预期!$P$95:$P$115,$W106)*S$67*INDEX($P$57:$T$57,MATCH($O$67,$P$4:$T$4,0))*求节点(基础状态预期!$C$95:$C$115,基础状态预期!$Z$95:$Z$115,$W106)+
求节点(基础状态预期!$C$95:$C$115,基础状态预期!$Q$95:$Q$115,$W106)*S$68*INDEX($P$57:$T$57,MATCH($O$68,$P$4:$T$4,0))*求节点(基础状态预期!$C$95:$C$115,基础状态预期!$AA$95:$AA$115,$W106)+
求节点(基础状态预期!$C$95:$C$115,基础状态预期!$R$95:$R$115,$W106)*S$69*INDEX($P$57:$T$57,MATCH($O$69,$P$4:$T$4,0))*求节点(基础状态预期!$C$95:$C$115,基础状态预期!$AB$95:$AB$115,$W106)+
求节点(基础状态预期!$C$95:$C$115,基础状态预期!$S$95:$S$115,$W106)*S$70*INDEX($P$57:$T$57,MATCH($O$70,$P$4:$T$4,0))*求节点(基础状态预期!$C$95:$C$115,基础状态预期!$AC$95:$AC$115,$W106)</f>
        <v>2061580.7956339507</v>
      </c>
      <c r="AB106" s="113">
        <f>求节点(基础状态预期!$C$121:$C$141,基础状态预期!$O$121:$O$141,$W106)*T$66*INDEX($P$57:$T$57,MATCH($O$66,$P$4:$T$4,0))*求节点(基础状态预期!$C$121:$C$141,基础状态预期!$Y$121:$Y$141,$W106)+
求节点(基础状态预期!$C$121:$C$141,基础状态预期!$P$121:$P$141,$W106)*T$67*INDEX($P$57:$T$57,MATCH($O$67,$P$4:$T$4,0))*求节点(基础状态预期!$C$121:$C$141,基础状态预期!$Z$121:$Z$141,$W106)+
求节点(基础状态预期!$C$121:$C$141,基础状态预期!$Q$121:$Q$141,$W106)*T$68*INDEX($P$57:$T$57,MATCH($O$68,$P$4:$T$4,0))*求节点(基础状态预期!$C$121:$C$141,基础状态预期!$AA$121:$AA$141,$W106)+
求节点(基础状态预期!$C$121:$C$141,基础状态预期!$R$121:$R$141,$W106)*T$69*INDEX($P$57:$T$57,MATCH($O$69,$P$4:$T$4,0))*求节点(基础状态预期!$C$121:$C$141,基础状态预期!$AB$121:$AB$141,$W106)+
求节点(基础状态预期!$C$121:$C$141,基础状态预期!$S$121:$S$141,$W106)*T$70*INDEX($P$57:$T$57,MATCH($O$70,$P$4:$T$4,0))*求节点(基础状态预期!$C$121:$C$141,基础状态预期!$AC$121:$AC$141,$W106)</f>
        <v>2052690.5745455152</v>
      </c>
      <c r="AE106" s="70">
        <v>101</v>
      </c>
      <c r="AF106" s="113">
        <f>盗宝贼!AI105</f>
        <v>201143.11917641002</v>
      </c>
      <c r="AG106" s="113">
        <f>盗宝贼!AJ105</f>
        <v>250969.33877813592</v>
      </c>
      <c r="AH106" s="113">
        <f>盗宝贼!AK105</f>
        <v>273751.18812894128</v>
      </c>
      <c r="AI106" s="113">
        <f>盗宝贼!AL105</f>
        <v>220364.81716782905</v>
      </c>
      <c r="AJ106" s="113">
        <f>盗宝贼!AM105</f>
        <v>118654.13817696698</v>
      </c>
      <c r="AL106" s="78">
        <f>盗宝贼!AI105/AF106</f>
        <v>1</v>
      </c>
      <c r="AM106" s="118"/>
      <c r="AO106" s="123">
        <f t="shared" si="28"/>
        <v>0.38277057249425855</v>
      </c>
      <c r="AP106" s="123">
        <f t="shared" si="29"/>
        <v>0.4788416167885638</v>
      </c>
      <c r="AQ106" s="123">
        <f t="shared" si="30"/>
        <v>0.1541222857406718</v>
      </c>
      <c r="AR106" s="123">
        <f t="shared" si="31"/>
        <v>0.10689118643058823</v>
      </c>
      <c r="AS106" s="123">
        <f t="shared" si="32"/>
        <v>5.7804200812505854E-2</v>
      </c>
    </row>
    <row r="107" spans="23:45" x14ac:dyDescent="0.15">
      <c r="W107" s="70">
        <v>102</v>
      </c>
      <c r="X107" s="113">
        <f>求节点(基础状态预期!$C$17:$C$37,基础状态预期!$O$17:$O$37,$W107)*P$66*INDEX($P$57:$T$57,MATCH($O$66,$P$4:$T$4,0))*求节点(基础状态预期!$C$17:$C$37,基础状态预期!$Y$17:$Y$37,$W107)+
求节点(基础状态预期!$C$17:$C$37,基础状态预期!$P$17:$P$37,$W107)*P$67*INDEX($P$57:$T$57,MATCH($O$67,$P$4:$T$4,0))*求节点(基础状态预期!$C$17:$C$37,基础状态预期!$Z$17:$Z$37,$W107)+
求节点(基础状态预期!$C$17:$C$37,基础状态预期!$Q$17:$Q$37,$W107)*P$68*INDEX($P$57:$T$57,MATCH($O$68,$P$4:$T$4,0))*求节点(基础状态预期!$C$17:$C$37,基础状态预期!$AA$17:$AA$37,$W107)+
求节点(基础状态预期!$C$17:$C$37,基础状态预期!$R$17:$R$37,$W107)*P$69*INDEX($P$57:$T$57,MATCH($O$69,$P$4:$T$4,0))*求节点(基础状态预期!$C$17:$C$37,基础状态预期!$AB$17:$AB$37,$W107)+
求节点(基础状态预期!$C$17:$C$37,基础状态预期!$S$17:$S$37,$W107)*P$70*INDEX($P$57:$T$57,MATCH($O$70,$P$4:$T$4,0))*求节点(基础状态预期!$C$17:$C$37,基础状态预期!$AC$17:$AC$37,$W107)</f>
        <v>525492.64136397815</v>
      </c>
      <c r="Y107" s="113">
        <f>求节点(基础状态预期!$C$43:$C$63,基础状态预期!$O$43:$O$63,$W107)*Q$66*INDEX($P$57:$T$57,MATCH($O$66,$P$4:$T$4,0))*求节点(基础状态预期!$C$43:$C$63,基础状态预期!$Y$43:$Y$63,$W107)+
求节点(基础状态预期!$C$43:$C$63,基础状态预期!$P$43:$P$63,$W107)*Q$67*INDEX($P$57:$T$57,MATCH($O$67,$P$4:$T$4,0))*求节点(基础状态预期!$C$43:$C$63,基础状态预期!$Z$43:$Z$63,$W107)+
求节点(基础状态预期!$C$43:$C$63,基础状态预期!$Q$43:$Q$63,$W107)*Q$68*INDEX($P$57:$T$57,MATCH($O$68,$P$4:$T$4,0))*求节点(基础状态预期!$C$43:$C$63,基础状态预期!$AA$43:$AA$63,$W107)+
求节点(基础状态预期!$C$43:$C$63,基础状态预期!$R$43:$R$63,$W107)*Q$69*INDEX($P$57:$T$57,MATCH($O$69,$P$4:$T$4,0))*求节点(基础状态预期!$C$43:$C$63,基础状态预期!$AB$43:$AB$63,$W107)+
求节点(基础状态预期!$C$43:$C$63,基础状态预期!$S$43:$S$63,$W107)*Q$70*INDEX($P$57:$T$57,MATCH($O$70,$P$4:$T$4,0))*求节点(基础状态预期!$C$43:$C$63,基础状态预期!$AC$43:$AC$63,$W107)</f>
        <v>524117.64136397809</v>
      </c>
      <c r="Z107" s="113">
        <f>求节点(基础状态预期!$C$69:$C$89,基础状态预期!$O$69:$O$89,$W107)*R$66*INDEX($P$57:$T$57,MATCH($O$66,$P$4:$T$4,0))*求节点(基础状态预期!$C$69:$C$89,基础状态预期!AA118:AA138,$W107)+
求节点(基础状态预期!$C$69:$C$89,基础状态预期!$P$69:$P$89,$W107)*R$67*INDEX($P$57:$T$57,MATCH($O$67,$P$4:$T$4,0))*求节点(基础状态预期!$C$69:$C$89,基础状态预期!$Z$69:$Z$89,$W107)+
求节点(基础状态预期!$C$69:$C$89,基础状态预期!$Q$69:$Q$89,$W107)*R$68*INDEX($P$57:$T$57,MATCH($O$68,$P$4:$T$4,0))*求节点(基础状态预期!$C$69:$C$89,基础状态预期!$AA$69:$AA$89,$W107)+
求节点(基础状态预期!$C$69:$C$89,基础状态预期!$R$69:$R$89,$W107)*R$69*INDEX($P$57:$T$57,MATCH($O$69,$P$4:$T$4,0))*求节点(基础状态预期!$C$69:$C$89,基础状态预期!$AB$69:$AB$89,$W107)+
求节点(基础状态预期!$C$69:$C$89,基础状态预期!$S$69:$S$89,$W107)*R$70*INDEX($P$57:$T$57,MATCH($O$70,$P$4:$T$4,0))*求节点(基础状态预期!$C$69:$C$89,基础状态预期!$AC$69:$AC$89,$W107)</f>
        <v>1806916.4698623198</v>
      </c>
      <c r="AA107" s="113">
        <f>求节点(基础状态预期!$C$95:$C$115,基础状态预期!$O$95:$O$115,$W107)*S$66*INDEX($P$57:$T$57,MATCH($O$66,$P$4:$T$4,0))*求节点(基础状态预期!$C$95:$C$115,基础状态预期!$Y$95:$Y$115,$W107)+
求节点(基础状态预期!$C$95:$C$115,基础状态预期!$P$95:$P$115,$W107)*S$67*INDEX($P$57:$T$57,MATCH($O$67,$P$4:$T$4,0))*求节点(基础状态预期!$C$95:$C$115,基础状态预期!$Z$95:$Z$115,$W107)+
求节点(基础状态预期!$C$95:$C$115,基础状态预期!$Q$95:$Q$115,$W107)*S$68*INDEX($P$57:$T$57,MATCH($O$68,$P$4:$T$4,0))*求节点(基础状态预期!$C$95:$C$115,基础状态预期!$AA$95:$AA$115,$W107)+
求节点(基础状态预期!$C$95:$C$115,基础状态预期!$R$95:$R$115,$W107)*S$69*INDEX($P$57:$T$57,MATCH($O$69,$P$4:$T$4,0))*求节点(基础状态预期!$C$95:$C$115,基础状态预期!$AB$95:$AB$115,$W107)+
求节点(基础状态预期!$C$95:$C$115,基础状态预期!$S$95:$S$115,$W107)*S$70*INDEX($P$57:$T$57,MATCH($O$70,$P$4:$T$4,0))*求节点(基础状态预期!$C$95:$C$115,基础状态预期!$AC$95:$AC$115,$W107)</f>
        <v>2061580.7956339507</v>
      </c>
      <c r="AB107" s="113">
        <f>求节点(基础状态预期!$C$121:$C$141,基础状态预期!$O$121:$O$141,$W107)*T$66*INDEX($P$57:$T$57,MATCH($O$66,$P$4:$T$4,0))*求节点(基础状态预期!$C$121:$C$141,基础状态预期!$Y$121:$Y$141,$W107)+
求节点(基础状态预期!$C$121:$C$141,基础状态预期!$P$121:$P$141,$W107)*T$67*INDEX($P$57:$T$57,MATCH($O$67,$P$4:$T$4,0))*求节点(基础状态预期!$C$121:$C$141,基础状态预期!$Z$121:$Z$141,$W107)+
求节点(基础状态预期!$C$121:$C$141,基础状态预期!$Q$121:$Q$141,$W107)*T$68*INDEX($P$57:$T$57,MATCH($O$68,$P$4:$T$4,0))*求节点(基础状态预期!$C$121:$C$141,基础状态预期!$AA$121:$AA$141,$W107)+
求节点(基础状态预期!$C$121:$C$141,基础状态预期!$R$121:$R$141,$W107)*T$69*INDEX($P$57:$T$57,MATCH($O$69,$P$4:$T$4,0))*求节点(基础状态预期!$C$121:$C$141,基础状态预期!$AB$121:$AB$141,$W107)+
求节点(基础状态预期!$C$121:$C$141,基础状态预期!$S$121:$S$141,$W107)*T$70*INDEX($P$57:$T$57,MATCH($O$70,$P$4:$T$4,0))*求节点(基础状态预期!$C$121:$C$141,基础状态预期!$AC$121:$AC$141,$W107)</f>
        <v>2052690.5745455152</v>
      </c>
      <c r="AE107" s="70">
        <v>102</v>
      </c>
      <c r="AF107" s="113">
        <f>盗宝贼!AI106</f>
        <v>226359.01656989934</v>
      </c>
      <c r="AG107" s="113">
        <f>盗宝贼!AJ106</f>
        <v>281125.99469922454</v>
      </c>
      <c r="AH107" s="113">
        <f>盗宝贼!AK106</f>
        <v>305263.26538547326</v>
      </c>
      <c r="AI107" s="113">
        <f>盗宝贼!AL106</f>
        <v>245965.44301007406</v>
      </c>
      <c r="AJ107" s="113">
        <f>盗宝贼!AM106</f>
        <v>132886.99754239977</v>
      </c>
      <c r="AL107" s="78">
        <f>盗宝贼!AI106/AF107</f>
        <v>1</v>
      </c>
      <c r="AM107" s="118"/>
      <c r="AO107" s="123">
        <f t="shared" si="28"/>
        <v>0.43075582558560249</v>
      </c>
      <c r="AP107" s="123">
        <f t="shared" si="29"/>
        <v>0.53637956922727226</v>
      </c>
      <c r="AQ107" s="123">
        <f t="shared" si="30"/>
        <v>0.16894154792265145</v>
      </c>
      <c r="AR107" s="123">
        <f t="shared" si="31"/>
        <v>0.11930914545332576</v>
      </c>
      <c r="AS107" s="123">
        <f t="shared" si="32"/>
        <v>6.4737958653033806E-2</v>
      </c>
    </row>
    <row r="108" spans="23:45" x14ac:dyDescent="0.15">
      <c r="W108" s="70">
        <v>103</v>
      </c>
      <c r="X108" s="113">
        <f>求节点(基础状态预期!$C$17:$C$37,基础状态预期!$O$17:$O$37,$W108)*P$66*INDEX($P$57:$T$57,MATCH($O$66,$P$4:$T$4,0))*求节点(基础状态预期!$C$17:$C$37,基础状态预期!$Y$17:$Y$37,$W108)+
求节点(基础状态预期!$C$17:$C$37,基础状态预期!$P$17:$P$37,$W108)*P$67*INDEX($P$57:$T$57,MATCH($O$67,$P$4:$T$4,0))*求节点(基础状态预期!$C$17:$C$37,基础状态预期!$Z$17:$Z$37,$W108)+
求节点(基础状态预期!$C$17:$C$37,基础状态预期!$Q$17:$Q$37,$W108)*P$68*INDEX($P$57:$T$57,MATCH($O$68,$P$4:$T$4,0))*求节点(基础状态预期!$C$17:$C$37,基础状态预期!$AA$17:$AA$37,$W108)+
求节点(基础状态预期!$C$17:$C$37,基础状态预期!$R$17:$R$37,$W108)*P$69*INDEX($P$57:$T$57,MATCH($O$69,$P$4:$T$4,0))*求节点(基础状态预期!$C$17:$C$37,基础状态预期!$AB$17:$AB$37,$W108)+
求节点(基础状态预期!$C$17:$C$37,基础状态预期!$S$17:$S$37,$W108)*P$70*INDEX($P$57:$T$57,MATCH($O$70,$P$4:$T$4,0))*求节点(基础状态预期!$C$17:$C$37,基础状态预期!$AC$17:$AC$37,$W108)</f>
        <v>525492.64136397815</v>
      </c>
      <c r="Y108" s="113">
        <f>求节点(基础状态预期!$C$43:$C$63,基础状态预期!$O$43:$O$63,$W108)*Q$66*INDEX($P$57:$T$57,MATCH($O$66,$P$4:$T$4,0))*求节点(基础状态预期!$C$43:$C$63,基础状态预期!$Y$43:$Y$63,$W108)+
求节点(基础状态预期!$C$43:$C$63,基础状态预期!$P$43:$P$63,$W108)*Q$67*INDEX($P$57:$T$57,MATCH($O$67,$P$4:$T$4,0))*求节点(基础状态预期!$C$43:$C$63,基础状态预期!$Z$43:$Z$63,$W108)+
求节点(基础状态预期!$C$43:$C$63,基础状态预期!$Q$43:$Q$63,$W108)*Q$68*INDEX($P$57:$T$57,MATCH($O$68,$P$4:$T$4,0))*求节点(基础状态预期!$C$43:$C$63,基础状态预期!$AA$43:$AA$63,$W108)+
求节点(基础状态预期!$C$43:$C$63,基础状态预期!$R$43:$R$63,$W108)*Q$69*INDEX($P$57:$T$57,MATCH($O$69,$P$4:$T$4,0))*求节点(基础状态预期!$C$43:$C$63,基础状态预期!$AB$43:$AB$63,$W108)+
求节点(基础状态预期!$C$43:$C$63,基础状态预期!$S$43:$S$63,$W108)*Q$70*INDEX($P$57:$T$57,MATCH($O$70,$P$4:$T$4,0))*求节点(基础状态预期!$C$43:$C$63,基础状态预期!$AC$43:$AC$63,$W108)</f>
        <v>524117.64136397809</v>
      </c>
      <c r="Z108" s="113">
        <f>求节点(基础状态预期!$C$69:$C$89,基础状态预期!$O$69:$O$89,$W108)*R$66*INDEX($P$57:$T$57,MATCH($O$66,$P$4:$T$4,0))*求节点(基础状态预期!$C$69:$C$89,基础状态预期!AA119:AA139,$W108)+
求节点(基础状态预期!$C$69:$C$89,基础状态预期!$P$69:$P$89,$W108)*R$67*INDEX($P$57:$T$57,MATCH($O$67,$P$4:$T$4,0))*求节点(基础状态预期!$C$69:$C$89,基础状态预期!$Z$69:$Z$89,$W108)+
求节点(基础状态预期!$C$69:$C$89,基础状态预期!$Q$69:$Q$89,$W108)*R$68*INDEX($P$57:$T$57,MATCH($O$68,$P$4:$T$4,0))*求节点(基础状态预期!$C$69:$C$89,基础状态预期!$AA$69:$AA$89,$W108)+
求节点(基础状态预期!$C$69:$C$89,基础状态预期!$R$69:$R$89,$W108)*R$69*INDEX($P$57:$T$57,MATCH($O$69,$P$4:$T$4,0))*求节点(基础状态预期!$C$69:$C$89,基础状态预期!$AB$69:$AB$89,$W108)+
求节点(基础状态预期!$C$69:$C$89,基础状态预期!$S$69:$S$89,$W108)*R$70*INDEX($P$57:$T$57,MATCH($O$70,$P$4:$T$4,0))*求节点(基础状态预期!$C$69:$C$89,基础状态预期!$AC$69:$AC$89,$W108)</f>
        <v>1837638.2329477191</v>
      </c>
      <c r="AA108" s="113">
        <f>求节点(基础状态预期!$C$95:$C$115,基础状态预期!$O$95:$O$115,$W108)*S$66*INDEX($P$57:$T$57,MATCH($O$66,$P$4:$T$4,0))*求节点(基础状态预期!$C$95:$C$115,基础状态预期!$Y$95:$Y$115,$W108)+
求节点(基础状态预期!$C$95:$C$115,基础状态预期!$P$95:$P$115,$W108)*S$67*INDEX($P$57:$T$57,MATCH($O$67,$P$4:$T$4,0))*求节点(基础状态预期!$C$95:$C$115,基础状态预期!$Z$95:$Z$115,$W108)+
求节点(基础状态预期!$C$95:$C$115,基础状态预期!$Q$95:$Q$115,$W108)*S$68*INDEX($P$57:$T$57,MATCH($O$68,$P$4:$T$4,0))*求节点(基础状态预期!$C$95:$C$115,基础状态预期!$AA$95:$AA$115,$W108)+
求节点(基础状态预期!$C$95:$C$115,基础状态预期!$R$95:$R$115,$W108)*S$69*INDEX($P$57:$T$57,MATCH($O$69,$P$4:$T$4,0))*求节点(基础状态预期!$C$95:$C$115,基础状态预期!$AB$95:$AB$115,$W108)+
求节点(基础状态预期!$C$95:$C$115,基础状态预期!$S$95:$S$115,$W108)*S$70*INDEX($P$57:$T$57,MATCH($O$70,$P$4:$T$4,0))*求节点(基础状态预期!$C$95:$C$115,基础状态预期!$AC$95:$AC$115,$W108)</f>
        <v>2061580.7956339507</v>
      </c>
      <c r="AB108" s="113">
        <f>求节点(基础状态预期!$C$121:$C$141,基础状态预期!$O$121:$O$141,$W108)*T$66*INDEX($P$57:$T$57,MATCH($O$66,$P$4:$T$4,0))*求节点(基础状态预期!$C$121:$C$141,基础状态预期!$Y$121:$Y$141,$W108)+
求节点(基础状态预期!$C$121:$C$141,基础状态预期!$P$121:$P$141,$W108)*T$67*INDEX($P$57:$T$57,MATCH($O$67,$P$4:$T$4,0))*求节点(基础状态预期!$C$121:$C$141,基础状态预期!$Z$121:$Z$141,$W108)+
求节点(基础状态预期!$C$121:$C$141,基础状态预期!$Q$121:$Q$141,$W108)*T$68*INDEX($P$57:$T$57,MATCH($O$68,$P$4:$T$4,0))*求节点(基础状态预期!$C$121:$C$141,基础状态预期!$AA$121:$AA$141,$W108)+
求节点(基础状态预期!$C$121:$C$141,基础状态预期!$R$121:$R$141,$W108)*T$69*INDEX($P$57:$T$57,MATCH($O$69,$P$4:$T$4,0))*求节点(基础状态预期!$C$121:$C$141,基础状态预期!$AB$121:$AB$141,$W108)+
求节点(基础状态预期!$C$121:$C$141,基础状态预期!$S$121:$S$141,$W108)*T$70*INDEX($P$57:$T$57,MATCH($O$70,$P$4:$T$4,0))*求节点(基础状态预期!$C$121:$C$141,基础状态预期!$AC$121:$AC$141,$W108)</f>
        <v>2052690.5745455152</v>
      </c>
      <c r="AE108" s="70">
        <v>103</v>
      </c>
      <c r="AF108" s="113">
        <f>盗宝贼!AI107</f>
        <v>254736.03271329869</v>
      </c>
      <c r="AG108" s="113">
        <f>盗宝贼!AJ107</f>
        <v>314963.87290153129</v>
      </c>
      <c r="AH108" s="113">
        <f>盗宝贼!AK107</f>
        <v>341344.25858307164</v>
      </c>
      <c r="AI108" s="113">
        <f>盗宝贼!AL107</f>
        <v>276784.27652580192</v>
      </c>
      <c r="AJ108" s="113">
        <f>盗宝贼!AM107</f>
        <v>149788.59511407054</v>
      </c>
      <c r="AL108" s="78">
        <f>盗宝贼!AI107/AF108</f>
        <v>1</v>
      </c>
      <c r="AM108" s="118"/>
      <c r="AO108" s="123">
        <f t="shared" si="28"/>
        <v>0.48475661248481283</v>
      </c>
      <c r="AP108" s="123">
        <f t="shared" si="29"/>
        <v>0.60094117817110804</v>
      </c>
      <c r="AQ108" s="123">
        <f t="shared" si="30"/>
        <v>0.1857516090289045</v>
      </c>
      <c r="AR108" s="123">
        <f t="shared" si="31"/>
        <v>0.13425827263815232</v>
      </c>
      <c r="AS108" s="123">
        <f t="shared" si="32"/>
        <v>7.2971833637047387E-2</v>
      </c>
    </row>
    <row r="109" spans="23:45" x14ac:dyDescent="0.15">
      <c r="W109" s="70">
        <v>104</v>
      </c>
      <c r="X109" s="113">
        <f>求节点(基础状态预期!$C$17:$C$37,基础状态预期!$O$17:$O$37,$W109)*P$66*INDEX($P$57:$T$57,MATCH($O$66,$P$4:$T$4,0))*求节点(基础状态预期!$C$17:$C$37,基础状态预期!$Y$17:$Y$37,$W109)+
求节点(基础状态预期!$C$17:$C$37,基础状态预期!$P$17:$P$37,$W109)*P$67*INDEX($P$57:$T$57,MATCH($O$67,$P$4:$T$4,0))*求节点(基础状态预期!$C$17:$C$37,基础状态预期!$Z$17:$Z$37,$W109)+
求节点(基础状态预期!$C$17:$C$37,基础状态预期!$Q$17:$Q$37,$W109)*P$68*INDEX($P$57:$T$57,MATCH($O$68,$P$4:$T$4,0))*求节点(基础状态预期!$C$17:$C$37,基础状态预期!$AA$17:$AA$37,$W109)+
求节点(基础状态预期!$C$17:$C$37,基础状态预期!$R$17:$R$37,$W109)*P$69*INDEX($P$57:$T$57,MATCH($O$69,$P$4:$T$4,0))*求节点(基础状态预期!$C$17:$C$37,基础状态预期!$AB$17:$AB$37,$W109)+
求节点(基础状态预期!$C$17:$C$37,基础状态预期!$S$17:$S$37,$W109)*P$70*INDEX($P$57:$T$57,MATCH($O$70,$P$4:$T$4,0))*求节点(基础状态预期!$C$17:$C$37,基础状态预期!$AC$17:$AC$37,$W109)</f>
        <v>525492.64136397815</v>
      </c>
      <c r="Y109" s="113">
        <f>求节点(基础状态预期!$C$43:$C$63,基础状态预期!$O$43:$O$63,$W109)*Q$66*INDEX($P$57:$T$57,MATCH($O$66,$P$4:$T$4,0))*求节点(基础状态预期!$C$43:$C$63,基础状态预期!$Y$43:$Y$63,$W109)+
求节点(基础状态预期!$C$43:$C$63,基础状态预期!$P$43:$P$63,$W109)*Q$67*INDEX($P$57:$T$57,MATCH($O$67,$P$4:$T$4,0))*求节点(基础状态预期!$C$43:$C$63,基础状态预期!$Z$43:$Z$63,$W109)+
求节点(基础状态预期!$C$43:$C$63,基础状态预期!$Q$43:$Q$63,$W109)*Q$68*INDEX($P$57:$T$57,MATCH($O$68,$P$4:$T$4,0))*求节点(基础状态预期!$C$43:$C$63,基础状态预期!$AA$43:$AA$63,$W109)+
求节点(基础状态预期!$C$43:$C$63,基础状态预期!$R$43:$R$63,$W109)*Q$69*INDEX($P$57:$T$57,MATCH($O$69,$P$4:$T$4,0))*求节点(基础状态预期!$C$43:$C$63,基础状态预期!$AB$43:$AB$63,$W109)+
求节点(基础状态预期!$C$43:$C$63,基础状态预期!$S$43:$S$63,$W109)*Q$70*INDEX($P$57:$T$57,MATCH($O$70,$P$4:$T$4,0))*求节点(基础状态预期!$C$43:$C$63,基础状态预期!$AC$43:$AC$63,$W109)</f>
        <v>524117.64136397809</v>
      </c>
      <c r="Z109" s="113">
        <f>求节点(基础状态预期!$C$69:$C$89,基础状态预期!$O$69:$O$89,$W109)*R$66*INDEX($P$57:$T$57,MATCH($O$66,$P$4:$T$4,0))*求节点(基础状态预期!$C$69:$C$89,基础状态预期!AA120:AA140,$W109)+
求节点(基础状态预期!$C$69:$C$89,基础状态预期!$P$69:$P$89,$W109)*R$67*INDEX($P$57:$T$57,MATCH($O$67,$P$4:$T$4,0))*求节点(基础状态预期!$C$69:$C$89,基础状态预期!$Z$69:$Z$89,$W109)+
求节点(基础状态预期!$C$69:$C$89,基础状态预期!$Q$69:$Q$89,$W109)*R$68*INDEX($P$57:$T$57,MATCH($O$68,$P$4:$T$4,0))*求节点(基础状态预期!$C$69:$C$89,基础状态预期!$AA$69:$AA$89,$W109)+
求节点(基础状态预期!$C$69:$C$89,基础状态预期!$R$69:$R$89,$W109)*R$69*INDEX($P$57:$T$57,MATCH($O$69,$P$4:$T$4,0))*求节点(基础状态预期!$C$69:$C$89,基础状态预期!$AB$69:$AB$89,$W109)+
求节点(基础状态预期!$C$69:$C$89,基础状态预期!$S$69:$S$89,$W109)*R$70*INDEX($P$57:$T$57,MATCH($O$70,$P$4:$T$4,0))*求节点(基础状态预期!$C$69:$C$89,基础状态预期!$AC$69:$AC$89,$W109)</f>
        <v>1868359.9960331186</v>
      </c>
      <c r="AA109" s="113">
        <f>求节点(基础状态预期!$C$95:$C$115,基础状态预期!$O$95:$O$115,$W109)*S$66*INDEX($P$57:$T$57,MATCH($O$66,$P$4:$T$4,0))*求节点(基础状态预期!$C$95:$C$115,基础状态预期!$Y$95:$Y$115,$W109)+
求节点(基础状态预期!$C$95:$C$115,基础状态预期!$P$95:$P$115,$W109)*S$67*INDEX($P$57:$T$57,MATCH($O$67,$P$4:$T$4,0))*求节点(基础状态预期!$C$95:$C$115,基础状态预期!$Z$95:$Z$115,$W109)+
求节点(基础状态预期!$C$95:$C$115,基础状态预期!$Q$95:$Q$115,$W109)*S$68*INDEX($P$57:$T$57,MATCH($O$68,$P$4:$T$4,0))*求节点(基础状态预期!$C$95:$C$115,基础状态预期!$AA$95:$AA$115,$W109)+
求节点(基础状态预期!$C$95:$C$115,基础状态预期!$R$95:$R$115,$W109)*S$69*INDEX($P$57:$T$57,MATCH($O$69,$P$4:$T$4,0))*求节点(基础状态预期!$C$95:$C$115,基础状态预期!$AB$95:$AB$115,$W109)+
求节点(基础状态预期!$C$95:$C$115,基础状态预期!$S$95:$S$115,$W109)*S$70*INDEX($P$57:$T$57,MATCH($O$70,$P$4:$T$4,0))*求节点(基础状态预期!$C$95:$C$115,基础状态预期!$AC$95:$AC$115,$W109)</f>
        <v>2061580.7956339507</v>
      </c>
      <c r="AB109" s="113">
        <f>求节点(基础状态预期!$C$121:$C$141,基础状态预期!$O$121:$O$141,$W109)*T$66*INDEX($P$57:$T$57,MATCH($O$66,$P$4:$T$4,0))*求节点(基础状态预期!$C$121:$C$141,基础状态预期!$Y$121:$Y$141,$W109)+
求节点(基础状态预期!$C$121:$C$141,基础状态预期!$P$121:$P$141,$W109)*T$67*INDEX($P$57:$T$57,MATCH($O$67,$P$4:$T$4,0))*求节点(基础状态预期!$C$121:$C$141,基础状态预期!$Z$121:$Z$141,$W109)+
求节点(基础状态预期!$C$121:$C$141,基础状态预期!$Q$121:$Q$141,$W109)*T$68*INDEX($P$57:$T$57,MATCH($O$68,$P$4:$T$4,0))*求节点(基础状态预期!$C$121:$C$141,基础状态预期!$AA$121:$AA$141,$W109)+
求节点(基础状态预期!$C$121:$C$141,基础状态预期!$R$121:$R$141,$W109)*T$69*INDEX($P$57:$T$57,MATCH($O$69,$P$4:$T$4,0))*求节点(基础状态预期!$C$121:$C$141,基础状态预期!$AB$121:$AB$141,$W109)+
求节点(基础状态预期!$C$121:$C$141,基础状态预期!$S$121:$S$141,$W109)*T$70*INDEX($P$57:$T$57,MATCH($O$70,$P$4:$T$4,0))*求节点(基础状态预期!$C$121:$C$141,基础状态预期!$AC$121:$AC$141,$W109)</f>
        <v>2052690.5745455152</v>
      </c>
      <c r="AE109" s="70">
        <v>104</v>
      </c>
      <c r="AF109" s="113">
        <f>盗宝贼!AI108</f>
        <v>286670.45220418059</v>
      </c>
      <c r="AG109" s="113">
        <f>盗宝贼!AJ108</f>
        <v>354320.1285637244</v>
      </c>
      <c r="AH109" s="113">
        <f>盗宝贼!AK108</f>
        <v>386478.44547334441</v>
      </c>
      <c r="AI109" s="113">
        <f>盗宝贼!AL108</f>
        <v>313571.95854944095</v>
      </c>
      <c r="AJ109" s="113">
        <f>盗宝贼!AM108</f>
        <v>169875.9923232545</v>
      </c>
      <c r="AL109" s="78">
        <f>盗宝贼!AI108/AF109</f>
        <v>1</v>
      </c>
      <c r="AM109" s="118"/>
      <c r="AO109" s="123">
        <f t="shared" si="28"/>
        <v>0.54552705335719565</v>
      </c>
      <c r="AP109" s="123">
        <f t="shared" si="29"/>
        <v>0.67603167800578512</v>
      </c>
      <c r="AQ109" s="123">
        <f t="shared" si="30"/>
        <v>0.20685437832854012</v>
      </c>
      <c r="AR109" s="123">
        <f t="shared" si="31"/>
        <v>0.15210267733068175</v>
      </c>
      <c r="AS109" s="123">
        <f t="shared" si="32"/>
        <v>8.2757720247664035E-2</v>
      </c>
    </row>
    <row r="110" spans="23:45" x14ac:dyDescent="0.15">
      <c r="W110" s="70">
        <v>105</v>
      </c>
      <c r="X110" s="113">
        <f>求节点(基础状态预期!$C$17:$C$37,基础状态预期!$O$17:$O$37,$W110)*P$66*INDEX($P$57:$T$57,MATCH($O$66,$P$4:$T$4,0))*求节点(基础状态预期!$C$17:$C$37,基础状态预期!$Y$17:$Y$37,$W110)+
求节点(基础状态预期!$C$17:$C$37,基础状态预期!$P$17:$P$37,$W110)*P$67*INDEX($P$57:$T$57,MATCH($O$67,$P$4:$T$4,0))*求节点(基础状态预期!$C$17:$C$37,基础状态预期!$Z$17:$Z$37,$W110)+
求节点(基础状态预期!$C$17:$C$37,基础状态预期!$Q$17:$Q$37,$W110)*P$68*INDEX($P$57:$T$57,MATCH($O$68,$P$4:$T$4,0))*求节点(基础状态预期!$C$17:$C$37,基础状态预期!$AA$17:$AA$37,$W110)+
求节点(基础状态预期!$C$17:$C$37,基础状态预期!$R$17:$R$37,$W110)*P$69*INDEX($P$57:$T$57,MATCH($O$69,$P$4:$T$4,0))*求节点(基础状态预期!$C$17:$C$37,基础状态预期!$AB$17:$AB$37,$W110)+
求节点(基础状态预期!$C$17:$C$37,基础状态预期!$S$17:$S$37,$W110)*P$70*INDEX($P$57:$T$57,MATCH($O$70,$P$4:$T$4,0))*求节点(基础状态预期!$C$17:$C$37,基础状态预期!$AC$17:$AC$37,$W110)</f>
        <v>525492.64136397815</v>
      </c>
      <c r="Y110" s="113">
        <f>求节点(基础状态预期!$C$43:$C$63,基础状态预期!$O$43:$O$63,$W110)*Q$66*INDEX($P$57:$T$57,MATCH($O$66,$P$4:$T$4,0))*求节点(基础状态预期!$C$43:$C$63,基础状态预期!$Y$43:$Y$63,$W110)+
求节点(基础状态预期!$C$43:$C$63,基础状态预期!$P$43:$P$63,$W110)*Q$67*INDEX($P$57:$T$57,MATCH($O$67,$P$4:$T$4,0))*求节点(基础状态预期!$C$43:$C$63,基础状态预期!$Z$43:$Z$63,$W110)+
求节点(基础状态预期!$C$43:$C$63,基础状态预期!$Q$43:$Q$63,$W110)*Q$68*INDEX($P$57:$T$57,MATCH($O$68,$P$4:$T$4,0))*求节点(基础状态预期!$C$43:$C$63,基础状态预期!$AA$43:$AA$63,$W110)+
求节点(基础状态预期!$C$43:$C$63,基础状态预期!$R$43:$R$63,$W110)*Q$69*INDEX($P$57:$T$57,MATCH($O$69,$P$4:$T$4,0))*求节点(基础状态预期!$C$43:$C$63,基础状态预期!$AB$43:$AB$63,$W110)+
求节点(基础状态预期!$C$43:$C$63,基础状态预期!$S$43:$S$63,$W110)*Q$70*INDEX($P$57:$T$57,MATCH($O$70,$P$4:$T$4,0))*求节点(基础状态预期!$C$43:$C$63,基础状态预期!$AC$43:$AC$63,$W110)</f>
        <v>524117.64136397809</v>
      </c>
      <c r="Z110" s="113">
        <f>求节点(基础状态预期!$C$69:$C$89,基础状态预期!$O$69:$O$89,$W110)*R$66*INDEX($P$57:$T$57,MATCH($O$66,$P$4:$T$4,0))*求节点(基础状态预期!$C$69:$C$89,基础状态预期!AA121:AA141,$W110)+
求节点(基础状态预期!$C$69:$C$89,基础状态预期!$P$69:$P$89,$W110)*R$67*INDEX($P$57:$T$57,MATCH($O$67,$P$4:$T$4,0))*求节点(基础状态预期!$C$69:$C$89,基础状态预期!$Z$69:$Z$89,$W110)+
求节点(基础状态预期!$C$69:$C$89,基础状态预期!$Q$69:$Q$89,$W110)*R$68*INDEX($P$57:$T$57,MATCH($O$68,$P$4:$T$4,0))*求节点(基础状态预期!$C$69:$C$89,基础状态预期!$AA$69:$AA$89,$W110)+
求节点(基础状态预期!$C$69:$C$89,基础状态预期!$R$69:$R$89,$W110)*R$69*INDEX($P$57:$T$57,MATCH($O$69,$P$4:$T$4,0))*求节点(基础状态预期!$C$69:$C$89,基础状态预期!$AB$69:$AB$89,$W110)+
求节点(基础状态预期!$C$69:$C$89,基础状态预期!$S$69:$S$89,$W110)*R$70*INDEX($P$57:$T$57,MATCH($O$70,$P$4:$T$4,0))*求节点(基础状态预期!$C$69:$C$89,基础状态预期!$AC$69:$AC$89,$W110)</f>
        <v>1899081.7591185179</v>
      </c>
      <c r="AA110" s="113">
        <f>求节点(基础状态预期!$C$95:$C$115,基础状态预期!$O$95:$O$115,$W110)*S$66*INDEX($P$57:$T$57,MATCH($O$66,$P$4:$T$4,0))*求节点(基础状态预期!$C$95:$C$115,基础状态预期!$Y$95:$Y$115,$W110)+
求节点(基础状态预期!$C$95:$C$115,基础状态预期!$P$95:$P$115,$W110)*S$67*INDEX($P$57:$T$57,MATCH($O$67,$P$4:$T$4,0))*求节点(基础状态预期!$C$95:$C$115,基础状态预期!$Z$95:$Z$115,$W110)+
求节点(基础状态预期!$C$95:$C$115,基础状态预期!$Q$95:$Q$115,$W110)*S$68*INDEX($P$57:$T$57,MATCH($O$68,$P$4:$T$4,0))*求节点(基础状态预期!$C$95:$C$115,基础状态预期!$AA$95:$AA$115,$W110)+
求节点(基础状态预期!$C$95:$C$115,基础状态预期!$R$95:$R$115,$W110)*S$69*INDEX($P$57:$T$57,MATCH($O$69,$P$4:$T$4,0))*求节点(基础状态预期!$C$95:$C$115,基础状态预期!$AB$95:$AB$115,$W110)+
求节点(基础状态预期!$C$95:$C$115,基础状态预期!$S$95:$S$115,$W110)*S$70*INDEX($P$57:$T$57,MATCH($O$70,$P$4:$T$4,0))*求节点(基础状态预期!$C$95:$C$115,基础状态预期!$AC$95:$AC$115,$W110)</f>
        <v>2061580.7956339507</v>
      </c>
      <c r="AB110" s="113">
        <f>求节点(基础状态预期!$C$121:$C$141,基础状态预期!$O$121:$O$141,$W110)*T$66*INDEX($P$57:$T$57,MATCH($O$66,$P$4:$T$4,0))*求节点(基础状态预期!$C$121:$C$141,基础状态预期!$Y$121:$Y$141,$W110)+
求节点(基础状态预期!$C$121:$C$141,基础状态预期!$P$121:$P$141,$W110)*T$67*INDEX($P$57:$T$57,MATCH($O$67,$P$4:$T$4,0))*求节点(基础状态预期!$C$121:$C$141,基础状态预期!$Z$121:$Z$141,$W110)+
求节点(基础状态预期!$C$121:$C$141,基础状态预期!$Q$121:$Q$141,$W110)*T$68*INDEX($P$57:$T$57,MATCH($O$68,$P$4:$T$4,0))*求节点(基础状态预期!$C$121:$C$141,基础状态预期!$AA$121:$AA$141,$W110)+
求节点(基础状态预期!$C$121:$C$141,基础状态预期!$R$121:$R$141,$W110)*T$69*INDEX($P$57:$T$57,MATCH($O$69,$P$4:$T$4,0))*求节点(基础状态预期!$C$121:$C$141,基础状态预期!$AB$121:$AB$141,$W110)+
求节点(基础状态预期!$C$121:$C$141,基础状态预期!$S$121:$S$141,$W110)*T$70*INDEX($P$57:$T$57,MATCH($O$70,$P$4:$T$4,0))*求节点(基础状态预期!$C$121:$C$141,基础状态预期!$AC$121:$AC$141,$W110)</f>
        <v>2052690.5745455152</v>
      </c>
      <c r="AE110" s="70">
        <v>105</v>
      </c>
      <c r="AF110" s="113">
        <f>盗宝贼!AI109</f>
        <v>322608.23872360116</v>
      </c>
      <c r="AG110" s="113">
        <f>盗宝贼!AJ109</f>
        <v>400151.41805987037</v>
      </c>
      <c r="AH110" s="113">
        <f>盗宝贼!AK109</f>
        <v>436359.26011135412</v>
      </c>
      <c r="AI110" s="113">
        <f>盗宝贼!AL109</f>
        <v>355220.34903474816</v>
      </c>
      <c r="AJ110" s="113">
        <f>盗宝贼!AM109</f>
        <v>191361.31986826722</v>
      </c>
      <c r="AL110" s="78">
        <f>盗宝贼!AI109/AF110</f>
        <v>1</v>
      </c>
      <c r="AM110" s="118"/>
      <c r="AO110" s="123">
        <f t="shared" si="28"/>
        <v>0.6139158064825293</v>
      </c>
      <c r="AP110" s="123">
        <f t="shared" si="29"/>
        <v>0.76347633904957934</v>
      </c>
      <c r="AQ110" s="123">
        <f t="shared" si="30"/>
        <v>0.22977381464287017</v>
      </c>
      <c r="AR110" s="123">
        <f t="shared" si="31"/>
        <v>0.17230483994953755</v>
      </c>
      <c r="AS110" s="123">
        <f t="shared" si="32"/>
        <v>9.3224630268805314E-2</v>
      </c>
    </row>
    <row r="111" spans="23:45" x14ac:dyDescent="0.15">
      <c r="W111" s="70">
        <v>106</v>
      </c>
      <c r="X111" s="113">
        <f>求节点(基础状态预期!$C$17:$C$37,基础状态预期!$O$17:$O$37,$W111)*P$66*INDEX($P$57:$T$57,MATCH($O$66,$P$4:$T$4,0))*求节点(基础状态预期!$C$17:$C$37,基础状态预期!$Y$17:$Y$37,$W111)+
求节点(基础状态预期!$C$17:$C$37,基础状态预期!$P$17:$P$37,$W111)*P$67*INDEX($P$57:$T$57,MATCH($O$67,$P$4:$T$4,0))*求节点(基础状态预期!$C$17:$C$37,基础状态预期!$Z$17:$Z$37,$W111)+
求节点(基础状态预期!$C$17:$C$37,基础状态预期!$Q$17:$Q$37,$W111)*P$68*INDEX($P$57:$T$57,MATCH($O$68,$P$4:$T$4,0))*求节点(基础状态预期!$C$17:$C$37,基础状态预期!$AA$17:$AA$37,$W111)+
求节点(基础状态预期!$C$17:$C$37,基础状态预期!$R$17:$R$37,$W111)*P$69*INDEX($P$57:$T$57,MATCH($O$69,$P$4:$T$4,0))*求节点(基础状态预期!$C$17:$C$37,基础状态预期!$AB$17:$AB$37,$W111)+
求节点(基础状态预期!$C$17:$C$37,基础状态预期!$S$17:$S$37,$W111)*P$70*INDEX($P$57:$T$57,MATCH($O$70,$P$4:$T$4,0))*求节点(基础状态预期!$C$17:$C$37,基础状态预期!$AC$17:$AC$37,$W111)</f>
        <v>525492.64136397815</v>
      </c>
      <c r="Y111" s="113">
        <f>求节点(基础状态预期!$C$43:$C$63,基础状态预期!$O$43:$O$63,$W111)*Q$66*INDEX($P$57:$T$57,MATCH($O$66,$P$4:$T$4,0))*求节点(基础状态预期!$C$43:$C$63,基础状态预期!$Y$43:$Y$63,$W111)+
求节点(基础状态预期!$C$43:$C$63,基础状态预期!$P$43:$P$63,$W111)*Q$67*INDEX($P$57:$T$57,MATCH($O$67,$P$4:$T$4,0))*求节点(基础状态预期!$C$43:$C$63,基础状态预期!$Z$43:$Z$63,$W111)+
求节点(基础状态预期!$C$43:$C$63,基础状态预期!$Q$43:$Q$63,$W111)*Q$68*INDEX($P$57:$T$57,MATCH($O$68,$P$4:$T$4,0))*求节点(基础状态预期!$C$43:$C$63,基础状态预期!$AA$43:$AA$63,$W111)+
求节点(基础状态预期!$C$43:$C$63,基础状态预期!$R$43:$R$63,$W111)*Q$69*INDEX($P$57:$T$57,MATCH($O$69,$P$4:$T$4,0))*求节点(基础状态预期!$C$43:$C$63,基础状态预期!$AB$43:$AB$63,$W111)+
求节点(基础状态预期!$C$43:$C$63,基础状态预期!$S$43:$S$63,$W111)*Q$70*INDEX($P$57:$T$57,MATCH($O$70,$P$4:$T$4,0))*求节点(基础状态预期!$C$43:$C$63,基础状态预期!$AC$43:$AC$63,$W111)</f>
        <v>524117.64136397809</v>
      </c>
      <c r="Z111" s="113">
        <f>求节点(基础状态预期!$C$69:$C$89,基础状态预期!$O$69:$O$89,$W111)*R$66*INDEX($P$57:$T$57,MATCH($O$66,$P$4:$T$4,0))*求节点(基础状态预期!$C$69:$C$89,基础状态预期!AA122:AA142,$W111)+
求节点(基础状态预期!$C$69:$C$89,基础状态预期!$P$69:$P$89,$W111)*R$67*INDEX($P$57:$T$57,MATCH($O$67,$P$4:$T$4,0))*求节点(基础状态预期!$C$69:$C$89,基础状态预期!$Z$69:$Z$89,$W111)+
求节点(基础状态预期!$C$69:$C$89,基础状态预期!$Q$69:$Q$89,$W111)*R$68*INDEX($P$57:$T$57,MATCH($O$68,$P$4:$T$4,0))*求节点(基础状态预期!$C$69:$C$89,基础状态预期!$AA$69:$AA$89,$W111)+
求节点(基础状态预期!$C$69:$C$89,基础状态预期!$R$69:$R$89,$W111)*R$69*INDEX($P$57:$T$57,MATCH($O$69,$P$4:$T$4,0))*求节点(基础状态预期!$C$69:$C$89,基础状态预期!$AB$69:$AB$89,$W111)+
求节点(基础状态预期!$C$69:$C$89,基础状态预期!$S$69:$S$89,$W111)*R$70*INDEX($P$57:$T$57,MATCH($O$70,$P$4:$T$4,0))*求节点(基础状态预期!$C$69:$C$89,基础状态预期!$AC$69:$AC$89,$W111)</f>
        <v>1929803.5222039174</v>
      </c>
      <c r="AA111" s="113">
        <f>求节点(基础状态预期!$C$95:$C$115,基础状态预期!$O$95:$O$115,$W111)*S$66*INDEX($P$57:$T$57,MATCH($O$66,$P$4:$T$4,0))*求节点(基础状态预期!$C$95:$C$115,基础状态预期!$Y$95:$Y$115,$W111)+
求节点(基础状态预期!$C$95:$C$115,基础状态预期!$P$95:$P$115,$W111)*S$67*INDEX($P$57:$T$57,MATCH($O$67,$P$4:$T$4,0))*求节点(基础状态预期!$C$95:$C$115,基础状态预期!$Z$95:$Z$115,$W111)+
求节点(基础状态预期!$C$95:$C$115,基础状态预期!$Q$95:$Q$115,$W111)*S$68*INDEX($P$57:$T$57,MATCH($O$68,$P$4:$T$4,0))*求节点(基础状态预期!$C$95:$C$115,基础状态预期!$AA$95:$AA$115,$W111)+
求节点(基础状态预期!$C$95:$C$115,基础状态预期!$R$95:$R$115,$W111)*S$69*INDEX($P$57:$T$57,MATCH($O$69,$P$4:$T$4,0))*求节点(基础状态预期!$C$95:$C$115,基础状态预期!$AB$95:$AB$115,$W111)+
求节点(基础状态预期!$C$95:$C$115,基础状态预期!$S$95:$S$115,$W111)*S$70*INDEX($P$57:$T$57,MATCH($O$70,$P$4:$T$4,0))*求节点(基础状态预期!$C$95:$C$115,基础状态预期!$AC$95:$AC$115,$W111)</f>
        <v>2061580.7956339507</v>
      </c>
      <c r="AB111" s="113">
        <f>求节点(基础状态预期!$C$121:$C$141,基础状态预期!$O$121:$O$141,$W111)*T$66*INDEX($P$57:$T$57,MATCH($O$66,$P$4:$T$4,0))*求节点(基础状态预期!$C$121:$C$141,基础状态预期!$Y$121:$Y$141,$W111)+
求节点(基础状态预期!$C$121:$C$141,基础状态预期!$P$121:$P$141,$W111)*T$67*INDEX($P$57:$T$57,MATCH($O$67,$P$4:$T$4,0))*求节点(基础状态预期!$C$121:$C$141,基础状态预期!$Z$121:$Z$141,$W111)+
求节点(基础状态预期!$C$121:$C$141,基础状态预期!$Q$121:$Q$141,$W111)*T$68*INDEX($P$57:$T$57,MATCH($O$68,$P$4:$T$4,0))*求节点(基础状态预期!$C$121:$C$141,基础状态预期!$AA$121:$AA$141,$W111)+
求节点(基础状态预期!$C$121:$C$141,基础状态预期!$R$121:$R$141,$W111)*T$69*INDEX($P$57:$T$57,MATCH($O$69,$P$4:$T$4,0))*求节点(基础状态预期!$C$121:$C$141,基础状态预期!$AB$121:$AB$141,$W111)+
求节点(基础状态预期!$C$121:$C$141,基础状态预期!$S$121:$S$141,$W111)*T$70*INDEX($P$57:$T$57,MATCH($O$70,$P$4:$T$4,0))*求节点(基础状态预期!$C$121:$C$141,基础状态预期!$AC$121:$AC$141,$W111)</f>
        <v>2052690.5745455152</v>
      </c>
      <c r="AE111" s="70">
        <v>106</v>
      </c>
      <c r="AF111" s="113">
        <f>盗宝贼!AI110</f>
        <v>363051.26291210065</v>
      </c>
      <c r="AG111" s="113">
        <f>盗宝贼!AJ110</f>
        <v>450943.46822050621</v>
      </c>
      <c r="AH111" s="113">
        <f>盗宝贼!AK110</f>
        <v>491387.35784234613</v>
      </c>
      <c r="AI111" s="113">
        <f>盗宝贼!AL110</f>
        <v>399000.57694495987</v>
      </c>
      <c r="AJ111" s="113">
        <f>盗宝贼!AM110</f>
        <v>214188.69924731061</v>
      </c>
      <c r="AL111" s="78">
        <f>盗宝贼!AI110/AF111</f>
        <v>1</v>
      </c>
      <c r="AM111" s="118"/>
      <c r="AO111" s="123">
        <f t="shared" si="28"/>
        <v>0.6908779197549908</v>
      </c>
      <c r="AP111" s="123">
        <f t="shared" si="29"/>
        <v>0.86038597565034935</v>
      </c>
      <c r="AQ111" s="123">
        <f t="shared" si="30"/>
        <v>0.25463077053624661</v>
      </c>
      <c r="AR111" s="123">
        <f t="shared" si="31"/>
        <v>0.1935410815768025</v>
      </c>
      <c r="AS111" s="123">
        <f t="shared" si="32"/>
        <v>0.10434534162302274</v>
      </c>
    </row>
    <row r="112" spans="23:45" x14ac:dyDescent="0.15">
      <c r="W112" s="70">
        <v>107</v>
      </c>
      <c r="X112" s="113">
        <f>求节点(基础状态预期!$C$17:$C$37,基础状态预期!$O$17:$O$37,$W112)*P$66*INDEX($P$57:$T$57,MATCH($O$66,$P$4:$T$4,0))*求节点(基础状态预期!$C$17:$C$37,基础状态预期!$Y$17:$Y$37,$W112)+
求节点(基础状态预期!$C$17:$C$37,基础状态预期!$P$17:$P$37,$W112)*P$67*INDEX($P$57:$T$57,MATCH($O$67,$P$4:$T$4,0))*求节点(基础状态预期!$C$17:$C$37,基础状态预期!$Z$17:$Z$37,$W112)+
求节点(基础状态预期!$C$17:$C$37,基础状态预期!$Q$17:$Q$37,$W112)*P$68*INDEX($P$57:$T$57,MATCH($O$68,$P$4:$T$4,0))*求节点(基础状态预期!$C$17:$C$37,基础状态预期!$AA$17:$AA$37,$W112)+
求节点(基础状态预期!$C$17:$C$37,基础状态预期!$R$17:$R$37,$W112)*P$69*INDEX($P$57:$T$57,MATCH($O$69,$P$4:$T$4,0))*求节点(基础状态预期!$C$17:$C$37,基础状态预期!$AB$17:$AB$37,$W112)+
求节点(基础状态预期!$C$17:$C$37,基础状态预期!$S$17:$S$37,$W112)*P$70*INDEX($P$57:$T$57,MATCH($O$70,$P$4:$T$4,0))*求节点(基础状态预期!$C$17:$C$37,基础状态预期!$AC$17:$AC$37,$W112)</f>
        <v>525492.64136397815</v>
      </c>
      <c r="Y112" s="113">
        <f>求节点(基础状态预期!$C$43:$C$63,基础状态预期!$O$43:$O$63,$W112)*Q$66*INDEX($P$57:$T$57,MATCH($O$66,$P$4:$T$4,0))*求节点(基础状态预期!$C$43:$C$63,基础状态预期!$Y$43:$Y$63,$W112)+
求节点(基础状态预期!$C$43:$C$63,基础状态预期!$P$43:$P$63,$W112)*Q$67*INDEX($P$57:$T$57,MATCH($O$67,$P$4:$T$4,0))*求节点(基础状态预期!$C$43:$C$63,基础状态预期!$Z$43:$Z$63,$W112)+
求节点(基础状态预期!$C$43:$C$63,基础状态预期!$Q$43:$Q$63,$W112)*Q$68*INDEX($P$57:$T$57,MATCH($O$68,$P$4:$T$4,0))*求节点(基础状态预期!$C$43:$C$63,基础状态预期!$AA$43:$AA$63,$W112)+
求节点(基础状态预期!$C$43:$C$63,基础状态预期!$R$43:$R$63,$W112)*Q$69*INDEX($P$57:$T$57,MATCH($O$69,$P$4:$T$4,0))*求节点(基础状态预期!$C$43:$C$63,基础状态预期!$AB$43:$AB$63,$W112)+
求节点(基础状态预期!$C$43:$C$63,基础状态预期!$S$43:$S$63,$W112)*Q$70*INDEX($P$57:$T$57,MATCH($O$70,$P$4:$T$4,0))*求节点(基础状态预期!$C$43:$C$63,基础状态预期!$AC$43:$AC$63,$W112)</f>
        <v>524117.64136397809</v>
      </c>
      <c r="Z112" s="113">
        <f>求节点(基础状态预期!$C$69:$C$89,基础状态预期!$O$69:$O$89,$W112)*R$66*INDEX($P$57:$T$57,MATCH($O$66,$P$4:$T$4,0))*求节点(基础状态预期!$C$69:$C$89,基础状态预期!AA123:AA143,$W112)+
求节点(基础状态预期!$C$69:$C$89,基础状态预期!$P$69:$P$89,$W112)*R$67*INDEX($P$57:$T$57,MATCH($O$67,$P$4:$T$4,0))*求节点(基础状态预期!$C$69:$C$89,基础状态预期!$Z$69:$Z$89,$W112)+
求节点(基础状态预期!$C$69:$C$89,基础状态预期!$Q$69:$Q$89,$W112)*R$68*INDEX($P$57:$T$57,MATCH($O$68,$P$4:$T$4,0))*求节点(基础状态预期!$C$69:$C$89,基础状态预期!$AA$69:$AA$89,$W112)+
求节点(基础状态预期!$C$69:$C$89,基础状态预期!$R$69:$R$89,$W112)*R$69*INDEX($P$57:$T$57,MATCH($O$69,$P$4:$T$4,0))*求节点(基础状态预期!$C$69:$C$89,基础状态预期!$AB$69:$AB$89,$W112)+
求节点(基础状态预期!$C$69:$C$89,基础状态预期!$S$69:$S$89,$W112)*R$70*INDEX($P$57:$T$57,MATCH($O$70,$P$4:$T$4,0))*求节点(基础状态预期!$C$69:$C$89,基础状态预期!$AC$69:$AC$89,$W112)</f>
        <v>1960525.2852893171</v>
      </c>
      <c r="AA112" s="113">
        <f>求节点(基础状态预期!$C$95:$C$115,基础状态预期!$O$95:$O$115,$W112)*S$66*INDEX($P$57:$T$57,MATCH($O$66,$P$4:$T$4,0))*求节点(基础状态预期!$C$95:$C$115,基础状态预期!$Y$95:$Y$115,$W112)+
求节点(基础状态预期!$C$95:$C$115,基础状态预期!$P$95:$P$115,$W112)*S$67*INDEX($P$57:$T$57,MATCH($O$67,$P$4:$T$4,0))*求节点(基础状态预期!$C$95:$C$115,基础状态预期!$Z$95:$Z$115,$W112)+
求节点(基础状态预期!$C$95:$C$115,基础状态预期!$Q$95:$Q$115,$W112)*S$68*INDEX($P$57:$T$57,MATCH($O$68,$P$4:$T$4,0))*求节点(基础状态预期!$C$95:$C$115,基础状态预期!$AA$95:$AA$115,$W112)+
求节点(基础状态预期!$C$95:$C$115,基础状态预期!$R$95:$R$115,$W112)*S$69*INDEX($P$57:$T$57,MATCH($O$69,$P$4:$T$4,0))*求节点(基础状态预期!$C$95:$C$115,基础状态预期!$AB$95:$AB$115,$W112)+
求节点(基础状态预期!$C$95:$C$115,基础状态预期!$S$95:$S$115,$W112)*S$70*INDEX($P$57:$T$57,MATCH($O$70,$P$4:$T$4,0))*求节点(基础状态预期!$C$95:$C$115,基础状态预期!$AC$95:$AC$115,$W112)</f>
        <v>2061580.7956339507</v>
      </c>
      <c r="AB112" s="113">
        <f>求节点(基础状态预期!$C$121:$C$141,基础状态预期!$O$121:$O$141,$W112)*T$66*INDEX($P$57:$T$57,MATCH($O$66,$P$4:$T$4,0))*求节点(基础状态预期!$C$121:$C$141,基础状态预期!$Y$121:$Y$141,$W112)+
求节点(基础状态预期!$C$121:$C$141,基础状态预期!$P$121:$P$141,$W112)*T$67*INDEX($P$57:$T$57,MATCH($O$67,$P$4:$T$4,0))*求节点(基础状态预期!$C$121:$C$141,基础状态预期!$Z$121:$Z$141,$W112)+
求节点(基础状态预期!$C$121:$C$141,基础状态预期!$Q$121:$Q$141,$W112)*T$68*INDEX($P$57:$T$57,MATCH($O$68,$P$4:$T$4,0))*求节点(基础状态预期!$C$121:$C$141,基础状态预期!$AA$121:$AA$141,$W112)+
求节点(基础状态预期!$C$121:$C$141,基础状态预期!$R$121:$R$141,$W112)*T$69*INDEX($P$57:$T$57,MATCH($O$69,$P$4:$T$4,0))*求节点(基础状态预期!$C$121:$C$141,基础状态预期!$AB$121:$AB$141,$W112)+
求节点(基础状态预期!$C$121:$C$141,基础状态预期!$S$121:$S$141,$W112)*T$70*INDEX($P$57:$T$57,MATCH($O$70,$P$4:$T$4,0))*求节点(基础状态预期!$C$121:$C$141,基础状态预期!$AC$121:$AC$141,$W112)</f>
        <v>2052690.5745455152</v>
      </c>
      <c r="AE112" s="70">
        <v>107</v>
      </c>
      <c r="AF112" s="113">
        <f>盗宝贼!AI111</f>
        <v>408564.31098554551</v>
      </c>
      <c r="AG112" s="113">
        <f>盗宝贼!AJ111</f>
        <v>507153.41188380233</v>
      </c>
      <c r="AH112" s="113">
        <f>盗宝贼!AK111</f>
        <v>554666.58977930003</v>
      </c>
      <c r="AI112" s="113">
        <f>盗宝贼!AL111</f>
        <v>446676.93090922572</v>
      </c>
      <c r="AJ112" s="113">
        <f>盗宝贼!AM111</f>
        <v>239167.44270664372</v>
      </c>
      <c r="AL112" s="78">
        <f>盗宝贼!AI111/AF112</f>
        <v>1</v>
      </c>
      <c r="AM112" s="118"/>
      <c r="AO112" s="123">
        <f t="shared" si="28"/>
        <v>0.7774881679124348</v>
      </c>
      <c r="AP112" s="123">
        <f t="shared" si="29"/>
        <v>0.96763278290723509</v>
      </c>
      <c r="AQ112" s="123">
        <f t="shared" si="30"/>
        <v>0.28291733544127545</v>
      </c>
      <c r="AR112" s="123">
        <f t="shared" si="31"/>
        <v>0.21666719628704603</v>
      </c>
      <c r="AS112" s="123">
        <f t="shared" si="32"/>
        <v>0.11651412330355616</v>
      </c>
    </row>
    <row r="113" spans="3:45" x14ac:dyDescent="0.15">
      <c r="W113" s="70">
        <v>108</v>
      </c>
      <c r="X113" s="113">
        <f>求节点(基础状态预期!$C$17:$C$37,基础状态预期!$O$17:$O$37,$W113)*P$66*INDEX($P$57:$T$57,MATCH($O$66,$P$4:$T$4,0))*求节点(基础状态预期!$C$17:$C$37,基础状态预期!$Y$17:$Y$37,$W113)+
求节点(基础状态预期!$C$17:$C$37,基础状态预期!$P$17:$P$37,$W113)*P$67*INDEX($P$57:$T$57,MATCH($O$67,$P$4:$T$4,0))*求节点(基础状态预期!$C$17:$C$37,基础状态预期!$Z$17:$Z$37,$W113)+
求节点(基础状态预期!$C$17:$C$37,基础状态预期!$Q$17:$Q$37,$W113)*P$68*INDEX($P$57:$T$57,MATCH($O$68,$P$4:$T$4,0))*求节点(基础状态预期!$C$17:$C$37,基础状态预期!$AA$17:$AA$37,$W113)+
求节点(基础状态预期!$C$17:$C$37,基础状态预期!$R$17:$R$37,$W113)*P$69*INDEX($P$57:$T$57,MATCH($O$69,$P$4:$T$4,0))*求节点(基础状态预期!$C$17:$C$37,基础状态预期!$AB$17:$AB$37,$W113)+
求节点(基础状态预期!$C$17:$C$37,基础状态预期!$S$17:$S$37,$W113)*P$70*INDEX($P$57:$T$57,MATCH($O$70,$P$4:$T$4,0))*求节点(基础状态预期!$C$17:$C$37,基础状态预期!$AC$17:$AC$37,$W113)</f>
        <v>525492.64136397815</v>
      </c>
      <c r="Y113" s="113">
        <f>求节点(基础状态预期!$C$43:$C$63,基础状态预期!$O$43:$O$63,$W113)*Q$66*INDEX($P$57:$T$57,MATCH($O$66,$P$4:$T$4,0))*求节点(基础状态预期!$C$43:$C$63,基础状态预期!$Y$43:$Y$63,$W113)+
求节点(基础状态预期!$C$43:$C$63,基础状态预期!$P$43:$P$63,$W113)*Q$67*INDEX($P$57:$T$57,MATCH($O$67,$P$4:$T$4,0))*求节点(基础状态预期!$C$43:$C$63,基础状态预期!$Z$43:$Z$63,$W113)+
求节点(基础状态预期!$C$43:$C$63,基础状态预期!$Q$43:$Q$63,$W113)*Q$68*INDEX($P$57:$T$57,MATCH($O$68,$P$4:$T$4,0))*求节点(基础状态预期!$C$43:$C$63,基础状态预期!$AA$43:$AA$63,$W113)+
求节点(基础状态预期!$C$43:$C$63,基础状态预期!$R$43:$R$63,$W113)*Q$69*INDEX($P$57:$T$57,MATCH($O$69,$P$4:$T$4,0))*求节点(基础状态预期!$C$43:$C$63,基础状态预期!$AB$43:$AB$63,$W113)+
求节点(基础状态预期!$C$43:$C$63,基础状态预期!$S$43:$S$63,$W113)*Q$70*INDEX($P$57:$T$57,MATCH($O$70,$P$4:$T$4,0))*求节点(基础状态预期!$C$43:$C$63,基础状态预期!$AC$43:$AC$63,$W113)</f>
        <v>524117.64136397809</v>
      </c>
      <c r="Z113" s="113">
        <f>求节点(基础状态预期!$C$69:$C$89,基础状态预期!$O$69:$O$89,$W113)*R$66*INDEX($P$57:$T$57,MATCH($O$66,$P$4:$T$4,0))*求节点(基础状态预期!$C$69:$C$89,基础状态预期!AA124:AA144,$W113)+
求节点(基础状态预期!$C$69:$C$89,基础状态预期!$P$69:$P$89,$W113)*R$67*INDEX($P$57:$T$57,MATCH($O$67,$P$4:$T$4,0))*求节点(基础状态预期!$C$69:$C$89,基础状态预期!$Z$69:$Z$89,$W113)+
求节点(基础状态预期!$C$69:$C$89,基础状态预期!$Q$69:$Q$89,$W113)*R$68*INDEX($P$57:$T$57,MATCH($O$68,$P$4:$T$4,0))*求节点(基础状态预期!$C$69:$C$89,基础状态预期!$AA$69:$AA$89,$W113)+
求节点(基础状态预期!$C$69:$C$89,基础状态预期!$R$69:$R$89,$W113)*R$69*INDEX($P$57:$T$57,MATCH($O$69,$P$4:$T$4,0))*求节点(基础状态预期!$C$69:$C$89,基础状态预期!$AB$69:$AB$89,$W113)+
求节点(基础状态预期!$C$69:$C$89,基础状态预期!$S$69:$S$89,$W113)*R$70*INDEX($P$57:$T$57,MATCH($O$70,$P$4:$T$4,0))*求节点(基础状态预期!$C$69:$C$89,基础状态预期!$AC$69:$AC$89,$W113)</f>
        <v>1991247.0483747164</v>
      </c>
      <c r="AA113" s="113">
        <f>求节点(基础状态预期!$C$95:$C$115,基础状态预期!$O$95:$O$115,$W113)*S$66*INDEX($P$57:$T$57,MATCH($O$66,$P$4:$T$4,0))*求节点(基础状态预期!$C$95:$C$115,基础状态预期!$Y$95:$Y$115,$W113)+
求节点(基础状态预期!$C$95:$C$115,基础状态预期!$P$95:$P$115,$W113)*S$67*INDEX($P$57:$T$57,MATCH($O$67,$P$4:$T$4,0))*求节点(基础状态预期!$C$95:$C$115,基础状态预期!$Z$95:$Z$115,$W113)+
求节点(基础状态预期!$C$95:$C$115,基础状态预期!$Q$95:$Q$115,$W113)*S$68*INDEX($P$57:$T$57,MATCH($O$68,$P$4:$T$4,0))*求节点(基础状态预期!$C$95:$C$115,基础状态预期!$AA$95:$AA$115,$W113)+
求节点(基础状态预期!$C$95:$C$115,基础状态预期!$R$95:$R$115,$W113)*S$69*INDEX($P$57:$T$57,MATCH($O$69,$P$4:$T$4,0))*求节点(基础状态预期!$C$95:$C$115,基础状态预期!$AB$95:$AB$115,$W113)+
求节点(基础状态预期!$C$95:$C$115,基础状态预期!$S$95:$S$115,$W113)*S$70*INDEX($P$57:$T$57,MATCH($O$70,$P$4:$T$4,0))*求节点(基础状态预期!$C$95:$C$115,基础状态预期!$AC$95:$AC$115,$W113)</f>
        <v>2061580.7956339507</v>
      </c>
      <c r="AB113" s="113">
        <f>求节点(基础状态预期!$C$121:$C$141,基础状态预期!$O$121:$O$141,$W113)*T$66*INDEX($P$57:$T$57,MATCH($O$66,$P$4:$T$4,0))*求节点(基础状态预期!$C$121:$C$141,基础状态预期!$Y$121:$Y$141,$W113)+
求节点(基础状态预期!$C$121:$C$141,基础状态预期!$P$121:$P$141,$W113)*T$67*INDEX($P$57:$T$57,MATCH($O$67,$P$4:$T$4,0))*求节点(基础状态预期!$C$121:$C$141,基础状态预期!$Z$121:$Z$141,$W113)+
求节点(基础状态预期!$C$121:$C$141,基础状态预期!$Q$121:$Q$141,$W113)*T$68*INDEX($P$57:$T$57,MATCH($O$68,$P$4:$T$4,0))*求节点(基础状态预期!$C$121:$C$141,基础状态预期!$AA$121:$AA$141,$W113)+
求节点(基础状态预期!$C$121:$C$141,基础状态预期!$R$121:$R$141,$W113)*T$69*INDEX($P$57:$T$57,MATCH($O$69,$P$4:$T$4,0))*求节点(基础状态预期!$C$121:$C$141,基础状态预期!$AB$121:$AB$141,$W113)+
求节点(基础状态预期!$C$121:$C$141,基础状态预期!$S$121:$S$141,$W113)*T$70*INDEX($P$57:$T$57,MATCH($O$70,$P$4:$T$4,0))*求节点(基础状态预期!$C$121:$C$141,基础状态预期!$AC$121:$AC$141,$W113)</f>
        <v>2052690.5745455152</v>
      </c>
      <c r="AE113" s="70">
        <v>108</v>
      </c>
      <c r="AF113" s="113">
        <f>盗宝贼!AI112</f>
        <v>459782.97196601593</v>
      </c>
      <c r="AG113" s="113">
        <f>盗宝贼!AJ112</f>
        <v>571493.46862321673</v>
      </c>
      <c r="AH113" s="113">
        <f>盗宝贼!AK112</f>
        <v>618429.19963275711</v>
      </c>
      <c r="AI113" s="113">
        <f>盗宝贼!AL112</f>
        <v>498423.40921169624</v>
      </c>
      <c r="AJ113" s="113">
        <f>盗宝贼!AM112</f>
        <v>268486.2013585316</v>
      </c>
      <c r="AL113" s="78">
        <f>盗宝贼!AI112/AF113</f>
        <v>1</v>
      </c>
      <c r="AM113" s="118"/>
      <c r="AO113" s="123">
        <f t="shared" si="28"/>
        <v>0.87495606174920926</v>
      </c>
      <c r="AP113" s="123">
        <f t="shared" si="29"/>
        <v>1.0903915905901325</v>
      </c>
      <c r="AQ113" s="123">
        <f t="shared" si="30"/>
        <v>0.31057381862161587</v>
      </c>
      <c r="AR113" s="123">
        <f t="shared" si="31"/>
        <v>0.24176758449984859</v>
      </c>
      <c r="AS113" s="123">
        <f t="shared" si="32"/>
        <v>0.13079721059175076</v>
      </c>
    </row>
    <row r="114" spans="3:45" x14ac:dyDescent="0.15">
      <c r="W114" s="70">
        <v>109</v>
      </c>
      <c r="X114" s="113">
        <f>求节点(基础状态预期!$C$17:$C$37,基础状态预期!$O$17:$O$37,$W114)*P$66*INDEX($P$57:$T$57,MATCH($O$66,$P$4:$T$4,0))*求节点(基础状态预期!$C$17:$C$37,基础状态预期!$Y$17:$Y$37,$W114)+
求节点(基础状态预期!$C$17:$C$37,基础状态预期!$P$17:$P$37,$W114)*P$67*INDEX($P$57:$T$57,MATCH($O$67,$P$4:$T$4,0))*求节点(基础状态预期!$C$17:$C$37,基础状态预期!$Z$17:$Z$37,$W114)+
求节点(基础状态预期!$C$17:$C$37,基础状态预期!$Q$17:$Q$37,$W114)*P$68*INDEX($P$57:$T$57,MATCH($O$68,$P$4:$T$4,0))*求节点(基础状态预期!$C$17:$C$37,基础状态预期!$AA$17:$AA$37,$W114)+
求节点(基础状态预期!$C$17:$C$37,基础状态预期!$R$17:$R$37,$W114)*P$69*INDEX($P$57:$T$57,MATCH($O$69,$P$4:$T$4,0))*求节点(基础状态预期!$C$17:$C$37,基础状态预期!$AB$17:$AB$37,$W114)+
求节点(基础状态预期!$C$17:$C$37,基础状态预期!$S$17:$S$37,$W114)*P$70*INDEX($P$57:$T$57,MATCH($O$70,$P$4:$T$4,0))*求节点(基础状态预期!$C$17:$C$37,基础状态预期!$AC$17:$AC$37,$W114)</f>
        <v>525492.64136397815</v>
      </c>
      <c r="Y114" s="113">
        <f>求节点(基础状态预期!$C$43:$C$63,基础状态预期!$O$43:$O$63,$W114)*Q$66*INDEX($P$57:$T$57,MATCH($O$66,$P$4:$T$4,0))*求节点(基础状态预期!$C$43:$C$63,基础状态预期!$Y$43:$Y$63,$W114)+
求节点(基础状态预期!$C$43:$C$63,基础状态预期!$P$43:$P$63,$W114)*Q$67*INDEX($P$57:$T$57,MATCH($O$67,$P$4:$T$4,0))*求节点(基础状态预期!$C$43:$C$63,基础状态预期!$Z$43:$Z$63,$W114)+
求节点(基础状态预期!$C$43:$C$63,基础状态预期!$Q$43:$Q$63,$W114)*Q$68*INDEX($P$57:$T$57,MATCH($O$68,$P$4:$T$4,0))*求节点(基础状态预期!$C$43:$C$63,基础状态预期!$AA$43:$AA$63,$W114)+
求节点(基础状态预期!$C$43:$C$63,基础状态预期!$R$43:$R$63,$W114)*Q$69*INDEX($P$57:$T$57,MATCH($O$69,$P$4:$T$4,0))*求节点(基础状态预期!$C$43:$C$63,基础状态预期!$AB$43:$AB$63,$W114)+
求节点(基础状态预期!$C$43:$C$63,基础状态预期!$S$43:$S$63,$W114)*Q$70*INDEX($P$57:$T$57,MATCH($O$70,$P$4:$T$4,0))*求节点(基础状态预期!$C$43:$C$63,基础状态预期!$AC$43:$AC$63,$W114)</f>
        <v>524117.64136397809</v>
      </c>
      <c r="Z114" s="113">
        <f>求节点(基础状态预期!$C$69:$C$89,基础状态预期!$O$69:$O$89,$W114)*R$66*INDEX($P$57:$T$57,MATCH($O$66,$P$4:$T$4,0))*求节点(基础状态预期!$C$69:$C$89,基础状态预期!AA125:AA145,$W114)+
求节点(基础状态预期!$C$69:$C$89,基础状态预期!$P$69:$P$89,$W114)*R$67*INDEX($P$57:$T$57,MATCH($O$67,$P$4:$T$4,0))*求节点(基础状态预期!$C$69:$C$89,基础状态预期!$Z$69:$Z$89,$W114)+
求节点(基础状态预期!$C$69:$C$89,基础状态预期!$Q$69:$Q$89,$W114)*R$68*INDEX($P$57:$T$57,MATCH($O$68,$P$4:$T$4,0))*求节点(基础状态预期!$C$69:$C$89,基础状态预期!$AA$69:$AA$89,$W114)+
求节点(基础状态预期!$C$69:$C$89,基础状态预期!$R$69:$R$89,$W114)*R$69*INDEX($P$57:$T$57,MATCH($O$69,$P$4:$T$4,0))*求节点(基础状态预期!$C$69:$C$89,基础状态预期!$AB$69:$AB$89,$W114)+
求节点(基础状态预期!$C$69:$C$89,基础状态预期!$S$69:$S$89,$W114)*R$70*INDEX($P$57:$T$57,MATCH($O$70,$P$4:$T$4,0))*求节点(基础状态预期!$C$69:$C$89,基础状态预期!$AC$69:$AC$89,$W114)</f>
        <v>2021968.8114601157</v>
      </c>
      <c r="AA114" s="113">
        <f>求节点(基础状态预期!$C$95:$C$115,基础状态预期!$O$95:$O$115,$W114)*S$66*INDEX($P$57:$T$57,MATCH($O$66,$P$4:$T$4,0))*求节点(基础状态预期!$C$95:$C$115,基础状态预期!$Y$95:$Y$115,$W114)+
求节点(基础状态预期!$C$95:$C$115,基础状态预期!$P$95:$P$115,$W114)*S$67*INDEX($P$57:$T$57,MATCH($O$67,$P$4:$T$4,0))*求节点(基础状态预期!$C$95:$C$115,基础状态预期!$Z$95:$Z$115,$W114)+
求节点(基础状态预期!$C$95:$C$115,基础状态预期!$Q$95:$Q$115,$W114)*S$68*INDEX($P$57:$T$57,MATCH($O$68,$P$4:$T$4,0))*求节点(基础状态预期!$C$95:$C$115,基础状态预期!$AA$95:$AA$115,$W114)+
求节点(基础状态预期!$C$95:$C$115,基础状态预期!$R$95:$R$115,$W114)*S$69*INDEX($P$57:$T$57,MATCH($O$69,$P$4:$T$4,0))*求节点(基础状态预期!$C$95:$C$115,基础状态预期!$AB$95:$AB$115,$W114)+
求节点(基础状态预期!$C$95:$C$115,基础状态预期!$S$95:$S$115,$W114)*S$70*INDEX($P$57:$T$57,MATCH($O$70,$P$4:$T$4,0))*求节点(基础状态预期!$C$95:$C$115,基础状态预期!$AC$95:$AC$115,$W114)</f>
        <v>2061580.7956339507</v>
      </c>
      <c r="AB114" s="113">
        <f>求节点(基础状态预期!$C$121:$C$141,基础状态预期!$O$121:$O$141,$W114)*T$66*INDEX($P$57:$T$57,MATCH($O$66,$P$4:$T$4,0))*求节点(基础状态预期!$C$121:$C$141,基础状态预期!$Y$121:$Y$141,$W114)+
求节点(基础状态预期!$C$121:$C$141,基础状态预期!$P$121:$P$141,$W114)*T$67*INDEX($P$57:$T$57,MATCH($O$67,$P$4:$T$4,0))*求节点(基础状态预期!$C$121:$C$141,基础状态预期!$Z$121:$Z$141,$W114)+
求节点(基础状态预期!$C$121:$C$141,基础状态预期!$Q$121:$Q$141,$W114)*T$68*INDEX($P$57:$T$57,MATCH($O$68,$P$4:$T$4,0))*求节点(基础状态预期!$C$121:$C$141,基础状态预期!$AA$121:$AA$141,$W114)+
求节点(基础状态预期!$C$121:$C$141,基础状态预期!$R$121:$R$141,$W114)*T$69*INDEX($P$57:$T$57,MATCH($O$69,$P$4:$T$4,0))*求节点(基础状态预期!$C$121:$C$141,基础状态预期!$AB$121:$AB$141,$W114)+
求节点(基础状态预期!$C$121:$C$141,基础状态预期!$S$121:$S$141,$W114)*T$70*INDEX($P$57:$T$57,MATCH($O$70,$P$4:$T$4,0))*求节点(基础状态预期!$C$121:$C$141,基础状态预期!$AC$121:$AC$141,$W114)</f>
        <v>2052690.5745455152</v>
      </c>
      <c r="AE114" s="70">
        <v>109</v>
      </c>
      <c r="AF114" s="113">
        <f>盗宝贼!AI113</f>
        <v>517422.51367280207</v>
      </c>
      <c r="AG114" s="113">
        <f>盗宝贼!AJ113</f>
        <v>638937.75345395959</v>
      </c>
      <c r="AH114" s="113">
        <f>盗宝贼!AK113</f>
        <v>691442.1041112321</v>
      </c>
      <c r="AI114" s="113">
        <f>盗宝贼!AL113</f>
        <v>558234.51814694901</v>
      </c>
      <c r="AJ114" s="113">
        <f>盗宝贼!AM113</f>
        <v>301402.94130502309</v>
      </c>
      <c r="AL114" s="78">
        <f>盗宝贼!AI113/AF114</f>
        <v>1</v>
      </c>
      <c r="AM114" s="118"/>
      <c r="AO114" s="123">
        <f t="shared" si="28"/>
        <v>0.98464273891594545</v>
      </c>
      <c r="AP114" s="123">
        <f t="shared" si="29"/>
        <v>1.2190731679841391</v>
      </c>
      <c r="AQ114" s="123">
        <f t="shared" si="30"/>
        <v>0.34196477225181526</v>
      </c>
      <c r="AR114" s="123">
        <f t="shared" si="31"/>
        <v>0.27077984007669609</v>
      </c>
      <c r="AS114" s="123">
        <f t="shared" si="32"/>
        <v>0.14683311018357284</v>
      </c>
    </row>
    <row r="115" spans="3:45" x14ac:dyDescent="0.15">
      <c r="W115" s="70">
        <v>110</v>
      </c>
      <c r="X115" s="113">
        <f>求节点(基础状态预期!$C$17:$C$37,基础状态预期!$O$17:$O$37,$W115)*P$66*INDEX($P$57:$T$57,MATCH($O$66,$P$4:$T$4,0))*求节点(基础状态预期!$C$17:$C$37,基础状态预期!$Y$17:$Y$37,$W115)+
求节点(基础状态预期!$C$17:$C$37,基础状态预期!$P$17:$P$37,$W115)*P$67*INDEX($P$57:$T$57,MATCH($O$67,$P$4:$T$4,0))*求节点(基础状态预期!$C$17:$C$37,基础状态预期!$Z$17:$Z$37,$W115)+
求节点(基础状态预期!$C$17:$C$37,基础状态预期!$Q$17:$Q$37,$W115)*P$68*INDEX($P$57:$T$57,MATCH($O$68,$P$4:$T$4,0))*求节点(基础状态预期!$C$17:$C$37,基础状态预期!$AA$17:$AA$37,$W115)+
求节点(基础状态预期!$C$17:$C$37,基础状态预期!$R$17:$R$37,$W115)*P$69*INDEX($P$57:$T$57,MATCH($O$69,$P$4:$T$4,0))*求节点(基础状态预期!$C$17:$C$37,基础状态预期!$AB$17:$AB$37,$W115)+
求节点(基础状态预期!$C$17:$C$37,基础状态预期!$S$17:$S$37,$W115)*P$70*INDEX($P$57:$T$57,MATCH($O$70,$P$4:$T$4,0))*求节点(基础状态预期!$C$17:$C$37,基础状态预期!$AC$17:$AC$37,$W115)</f>
        <v>525492.64136397815</v>
      </c>
      <c r="Y115" s="113">
        <f>求节点(基础状态预期!$C$43:$C$63,基础状态预期!$O$43:$O$63,$W115)*Q$66*INDEX($P$57:$T$57,MATCH($O$66,$P$4:$T$4,0))*求节点(基础状态预期!$C$43:$C$63,基础状态预期!$Y$43:$Y$63,$W115)+
求节点(基础状态预期!$C$43:$C$63,基础状态预期!$P$43:$P$63,$W115)*Q$67*INDEX($P$57:$T$57,MATCH($O$67,$P$4:$T$4,0))*求节点(基础状态预期!$C$43:$C$63,基础状态预期!$Z$43:$Z$63,$W115)+
求节点(基础状态预期!$C$43:$C$63,基础状态预期!$Q$43:$Q$63,$W115)*Q$68*INDEX($P$57:$T$57,MATCH($O$68,$P$4:$T$4,0))*求节点(基础状态预期!$C$43:$C$63,基础状态预期!$AA$43:$AA$63,$W115)+
求节点(基础状态预期!$C$43:$C$63,基础状态预期!$R$43:$R$63,$W115)*Q$69*INDEX($P$57:$T$57,MATCH($O$69,$P$4:$T$4,0))*求节点(基础状态预期!$C$43:$C$63,基础状态预期!$AB$43:$AB$63,$W115)+
求节点(基础状态预期!$C$43:$C$63,基础状态预期!$S$43:$S$63,$W115)*Q$70*INDEX($P$57:$T$57,MATCH($O$70,$P$4:$T$4,0))*求节点(基础状态预期!$C$43:$C$63,基础状态预期!$AC$43:$AC$63,$W115)</f>
        <v>524117.64136397809</v>
      </c>
      <c r="Z115" s="113">
        <f>求节点(基础状态预期!$C$69:$C$89,基础状态预期!$O$69:$O$89,$W115)*R$66*INDEX($P$57:$T$57,MATCH($O$66,$P$4:$T$4,0))*求节点(基础状态预期!$C$69:$C$89,基础状态预期!AA126:AA146,$W115)+
求节点(基础状态预期!$C$69:$C$89,基础状态预期!$P$69:$P$89,$W115)*R$67*INDEX($P$57:$T$57,MATCH($O$67,$P$4:$T$4,0))*求节点(基础状态预期!$C$69:$C$89,基础状态预期!$Z$69:$Z$89,$W115)+
求节点(基础状态预期!$C$69:$C$89,基础状态预期!$Q$69:$Q$89,$W115)*R$68*INDEX($P$57:$T$57,MATCH($O$68,$P$4:$T$4,0))*求节点(基础状态预期!$C$69:$C$89,基础状态预期!$AA$69:$AA$89,$W115)+
求节点(基础状态预期!$C$69:$C$89,基础状态预期!$R$69:$R$89,$W115)*R$69*INDEX($P$57:$T$57,MATCH($O$69,$P$4:$T$4,0))*求节点(基础状态预期!$C$69:$C$89,基础状态预期!$AB$69:$AB$89,$W115)+
求节点(基础状态预期!$C$69:$C$89,基础状态预期!$S$69:$S$89,$W115)*R$70*INDEX($P$57:$T$57,MATCH($O$70,$P$4:$T$4,0))*求节点(基础状态预期!$C$69:$C$89,基础状态预期!$AC$69:$AC$89,$W115)</f>
        <v>2052690.5745455152</v>
      </c>
      <c r="AA115" s="113">
        <f>求节点(基础状态预期!$C$95:$C$115,基础状态预期!$O$95:$O$115,$W115)*S$66*INDEX($P$57:$T$57,MATCH($O$66,$P$4:$T$4,0))*求节点(基础状态预期!$C$95:$C$115,基础状态预期!$Y$95:$Y$115,$W115)+
求节点(基础状态预期!$C$95:$C$115,基础状态预期!$P$95:$P$115,$W115)*S$67*INDEX($P$57:$T$57,MATCH($O$67,$P$4:$T$4,0))*求节点(基础状态预期!$C$95:$C$115,基础状态预期!$Z$95:$Z$115,$W115)+
求节点(基础状态预期!$C$95:$C$115,基础状态预期!$Q$95:$Q$115,$W115)*S$68*INDEX($P$57:$T$57,MATCH($O$68,$P$4:$T$4,0))*求节点(基础状态预期!$C$95:$C$115,基础状态预期!$AA$95:$AA$115,$W115)+
求节点(基础状态预期!$C$95:$C$115,基础状态预期!$R$95:$R$115,$W115)*S$69*INDEX($P$57:$T$57,MATCH($O$69,$P$4:$T$4,0))*求节点(基础状态预期!$C$95:$C$115,基础状态预期!$AB$95:$AB$115,$W115)+
求节点(基础状态预期!$C$95:$C$115,基础状态预期!$S$95:$S$115,$W115)*S$70*INDEX($P$57:$T$57,MATCH($O$70,$P$4:$T$4,0))*求节点(基础状态预期!$C$95:$C$115,基础状态预期!$AC$95:$AC$115,$W115)</f>
        <v>2061580.7956339507</v>
      </c>
      <c r="AB115" s="113">
        <f>求节点(基础状态预期!$C$121:$C$141,基础状态预期!$O$121:$O$141,$W115)*T$66*INDEX($P$57:$T$57,MATCH($O$66,$P$4:$T$4,0))*求节点(基础状态预期!$C$121:$C$141,基础状态预期!$Y$121:$Y$141,$W115)+
求节点(基础状态预期!$C$121:$C$141,基础状态预期!$P$121:$P$141,$W115)*T$67*INDEX($P$57:$T$57,MATCH($O$67,$P$4:$T$4,0))*求节点(基础状态预期!$C$121:$C$141,基础状态预期!$Z$121:$Z$141,$W115)+
求节点(基础状态预期!$C$121:$C$141,基础状态预期!$Q$121:$Q$141,$W115)*T$68*INDEX($P$57:$T$57,MATCH($O$68,$P$4:$T$4,0))*求节点(基础状态预期!$C$121:$C$141,基础状态预期!$AA$121:$AA$141,$W115)+
求节点(基础状态预期!$C$121:$C$141,基础状态预期!$R$121:$R$141,$W115)*T$69*INDEX($P$57:$T$57,MATCH($O$69,$P$4:$T$4,0))*求节点(基础状态预期!$C$121:$C$141,基础状态预期!$AB$121:$AB$141,$W115)+
求节点(基础状态预期!$C$121:$C$141,基础状态预期!$S$121:$S$141,$W115)*T$70*INDEX($P$57:$T$57,MATCH($O$70,$P$4:$T$4,0))*求节点(基础状态预期!$C$121:$C$141,基础状态预期!$AC$121:$AC$141,$W115)</f>
        <v>2052690.5745455152</v>
      </c>
      <c r="AE115" s="70">
        <v>110</v>
      </c>
      <c r="AF115" s="113">
        <f>盗宝贼!AI114</f>
        <v>582287.87142659351</v>
      </c>
      <c r="AG115" s="113">
        <f>盗宝贼!AJ114</f>
        <v>718745.97212899779</v>
      </c>
      <c r="AH115" s="113">
        <f>盗宝贼!AK114</f>
        <v>780896.70068234531</v>
      </c>
      <c r="AI115" s="113">
        <f>盗宝贼!AL114</f>
        <v>631800.03468243964</v>
      </c>
      <c r="AJ115" s="113">
        <f>盗宝贼!AM114</f>
        <v>341827.48319082998</v>
      </c>
      <c r="AL115" s="78">
        <f>盗宝贼!AI114/AF115</f>
        <v>1</v>
      </c>
      <c r="AM115" s="118"/>
      <c r="AO115" s="123">
        <f t="shared" si="28"/>
        <v>1.108079972186093</v>
      </c>
      <c r="AP115" s="123">
        <f t="shared" si="29"/>
        <v>1.3713447428682493</v>
      </c>
      <c r="AQ115" s="123">
        <f t="shared" si="30"/>
        <v>0.38042592018782134</v>
      </c>
      <c r="AR115" s="123">
        <f t="shared" si="31"/>
        <v>0.30646387278173914</v>
      </c>
      <c r="AS115" s="123">
        <f t="shared" si="32"/>
        <v>0.16652655175099335</v>
      </c>
    </row>
    <row r="116" spans="3:45" x14ac:dyDescent="0.15">
      <c r="W116" s="70">
        <v>111</v>
      </c>
      <c r="X116" s="113">
        <f>求节点(基础状态预期!$C$17:$C$37,基础状态预期!$O$17:$O$37,$W116)*P$66*INDEX($P$57:$T$57,MATCH($O$66,$P$4:$T$4,0))*求节点(基础状态预期!$C$17:$C$37,基础状态预期!$Y$17:$Y$37,$W116)+
求节点(基础状态预期!$C$17:$C$37,基础状态预期!$P$17:$P$37,$W116)*P$67*INDEX($P$57:$T$57,MATCH($O$67,$P$4:$T$4,0))*求节点(基础状态预期!$C$17:$C$37,基础状态预期!$Z$17:$Z$37,$W116)+
求节点(基础状态预期!$C$17:$C$37,基础状态预期!$Q$17:$Q$37,$W116)*P$68*INDEX($P$57:$T$57,MATCH($O$68,$P$4:$T$4,0))*求节点(基础状态预期!$C$17:$C$37,基础状态预期!$AA$17:$AA$37,$W116)+
求节点(基础状态预期!$C$17:$C$37,基础状态预期!$R$17:$R$37,$W116)*P$69*INDEX($P$57:$T$57,MATCH($O$69,$P$4:$T$4,0))*求节点(基础状态预期!$C$17:$C$37,基础状态预期!$AB$17:$AB$37,$W116)+
求节点(基础状态预期!$C$17:$C$37,基础状态预期!$S$17:$S$37,$W116)*P$70*INDEX($P$57:$T$57,MATCH($O$70,$P$4:$T$4,0))*求节点(基础状态预期!$C$17:$C$37,基础状态预期!$AC$17:$AC$37,$W116)</f>
        <v>525492.64136397815</v>
      </c>
      <c r="Y116" s="113">
        <f>求节点(基础状态预期!$C$43:$C$63,基础状态预期!$O$43:$O$63,$W116)*Q$66*INDEX($P$57:$T$57,MATCH($O$66,$P$4:$T$4,0))*求节点(基础状态预期!$C$43:$C$63,基础状态预期!$Y$43:$Y$63,$W116)+
求节点(基础状态预期!$C$43:$C$63,基础状态预期!$P$43:$P$63,$W116)*Q$67*INDEX($P$57:$T$57,MATCH($O$67,$P$4:$T$4,0))*求节点(基础状态预期!$C$43:$C$63,基础状态预期!$Z$43:$Z$63,$W116)+
求节点(基础状态预期!$C$43:$C$63,基础状态预期!$Q$43:$Q$63,$W116)*Q$68*INDEX($P$57:$T$57,MATCH($O$68,$P$4:$T$4,0))*求节点(基础状态预期!$C$43:$C$63,基础状态预期!$AA$43:$AA$63,$W116)+
求节点(基础状态预期!$C$43:$C$63,基础状态预期!$R$43:$R$63,$W116)*Q$69*INDEX($P$57:$T$57,MATCH($O$69,$P$4:$T$4,0))*求节点(基础状态预期!$C$43:$C$63,基础状态预期!$AB$43:$AB$63,$W116)+
求节点(基础状态预期!$C$43:$C$63,基础状态预期!$S$43:$S$63,$W116)*Q$70*INDEX($P$57:$T$57,MATCH($O$70,$P$4:$T$4,0))*求节点(基础状态预期!$C$43:$C$63,基础状态预期!$AC$43:$AC$63,$W116)</f>
        <v>524117.64136397809</v>
      </c>
      <c r="Z116" s="113">
        <f>求节点(基础状态预期!$C$69:$C$89,基础状态预期!$O$69:$O$89,$W116)*R$66*INDEX($P$57:$T$57,MATCH($O$66,$P$4:$T$4,0))*求节点(基础状态预期!$C$69:$C$89,基础状态预期!AA127:AA147,$W116)+
求节点(基础状态预期!$C$69:$C$89,基础状态预期!$P$69:$P$89,$W116)*R$67*INDEX($P$57:$T$57,MATCH($O$67,$P$4:$T$4,0))*求节点(基础状态预期!$C$69:$C$89,基础状态预期!$Z$69:$Z$89,$W116)+
求节点(基础状态预期!$C$69:$C$89,基础状态预期!$Q$69:$Q$89,$W116)*R$68*INDEX($P$57:$T$57,MATCH($O$68,$P$4:$T$4,0))*求节点(基础状态预期!$C$69:$C$89,基础状态预期!$AA$69:$AA$89,$W116)+
求节点(基础状态预期!$C$69:$C$89,基础状态预期!$R$69:$R$89,$W116)*R$69*INDEX($P$57:$T$57,MATCH($O$69,$P$4:$T$4,0))*求节点(基础状态预期!$C$69:$C$89,基础状态预期!$AB$69:$AB$89,$W116)+
求节点(基础状态预期!$C$69:$C$89,基础状态预期!$S$69:$S$89,$W116)*R$70*INDEX($P$57:$T$57,MATCH($O$70,$P$4:$T$4,0))*求节点(基础状态预期!$C$69:$C$89,基础状态预期!$AC$69:$AC$89,$W116)</f>
        <v>2052690.5745455152</v>
      </c>
      <c r="AA116" s="113">
        <f>求节点(基础状态预期!$C$95:$C$115,基础状态预期!$O$95:$O$115,$W116)*S$66*INDEX($P$57:$T$57,MATCH($O$66,$P$4:$T$4,0))*求节点(基础状态预期!$C$95:$C$115,基础状态预期!$Y$95:$Y$115,$W116)+
求节点(基础状态预期!$C$95:$C$115,基础状态预期!$P$95:$P$115,$W116)*S$67*INDEX($P$57:$T$57,MATCH($O$67,$P$4:$T$4,0))*求节点(基础状态预期!$C$95:$C$115,基础状态预期!$Z$95:$Z$115,$W116)+
求节点(基础状态预期!$C$95:$C$115,基础状态预期!$Q$95:$Q$115,$W116)*S$68*INDEX($P$57:$T$57,MATCH($O$68,$P$4:$T$4,0))*求节点(基础状态预期!$C$95:$C$115,基础状态预期!$AA$95:$AA$115,$W116)+
求节点(基础状态预期!$C$95:$C$115,基础状态预期!$R$95:$R$115,$W116)*S$69*INDEX($P$57:$T$57,MATCH($O$69,$P$4:$T$4,0))*求节点(基础状态预期!$C$95:$C$115,基础状态预期!$AB$95:$AB$115,$W116)+
求节点(基础状态预期!$C$95:$C$115,基础状态预期!$S$95:$S$115,$W116)*S$70*INDEX($P$57:$T$57,MATCH($O$70,$P$4:$T$4,0))*求节点(基础状态预期!$C$95:$C$115,基础状态预期!$AC$95:$AC$115,$W116)</f>
        <v>2061580.7956339507</v>
      </c>
      <c r="AB116" s="113">
        <f>求节点(基础状态预期!$C$121:$C$141,基础状态预期!$O$121:$O$141,$W116)*T$66*INDEX($P$57:$T$57,MATCH($O$66,$P$4:$T$4,0))*求节点(基础状态预期!$C$121:$C$141,基础状态预期!$Y$121:$Y$141,$W116)+
求节点(基础状态预期!$C$121:$C$141,基础状态预期!$P$121:$P$141,$W116)*T$67*INDEX($P$57:$T$57,MATCH($O$67,$P$4:$T$4,0))*求节点(基础状态预期!$C$121:$C$141,基础状态预期!$Z$121:$Z$141,$W116)+
求节点(基础状态预期!$C$121:$C$141,基础状态预期!$Q$121:$Q$141,$W116)*T$68*INDEX($P$57:$T$57,MATCH($O$68,$P$4:$T$4,0))*求节点(基础状态预期!$C$121:$C$141,基础状态预期!$AA$121:$AA$141,$W116)+
求节点(基础状态预期!$C$121:$C$141,基础状态预期!$R$121:$R$141,$W116)*T$69*INDEX($P$57:$T$57,MATCH($O$69,$P$4:$T$4,0))*求节点(基础状态预期!$C$121:$C$141,基础状态预期!$AB$121:$AB$141,$W116)+
求节点(基础状态预期!$C$121:$C$141,基础状态预期!$S$121:$S$141,$W116)*T$70*INDEX($P$57:$T$57,MATCH($O$70,$P$4:$T$4,0))*求节点(基础状态预期!$C$121:$C$141,基础状态预期!$AC$121:$AC$141,$W116)</f>
        <v>2052690.5745455152</v>
      </c>
      <c r="AE116" s="70">
        <v>111</v>
      </c>
      <c r="AF116" s="113">
        <f>盗宝贼!AI115</f>
        <v>655284.88895895099</v>
      </c>
      <c r="AG116" s="113">
        <f>盗宝贼!AJ115</f>
        <v>811690.47039164905</v>
      </c>
      <c r="AH116" s="113">
        <f>盗宝贼!AK115</f>
        <v>883879.85185949504</v>
      </c>
      <c r="AI116" s="113">
        <f>盗宝贼!AL115</f>
        <v>717240.10982474149</v>
      </c>
      <c r="AJ116" s="113">
        <f>盗宝贼!AM115</f>
        <v>388947.04550998367</v>
      </c>
      <c r="AL116" s="78">
        <f>盗宝贼!AI115/AF116</f>
        <v>1</v>
      </c>
      <c r="AM116" s="118"/>
      <c r="AO116" s="123">
        <f t="shared" si="28"/>
        <v>1.2469915606393303</v>
      </c>
      <c r="AP116" s="123">
        <f t="shared" si="29"/>
        <v>1.5486799266654783</v>
      </c>
      <c r="AQ116" s="123">
        <f t="shared" si="30"/>
        <v>0.43059575701281438</v>
      </c>
      <c r="AR116" s="123">
        <f t="shared" si="31"/>
        <v>0.34790783429091127</v>
      </c>
      <c r="AS116" s="123">
        <f t="shared" si="32"/>
        <v>0.18948157619718217</v>
      </c>
    </row>
    <row r="117" spans="3:45" x14ac:dyDescent="0.15">
      <c r="W117" s="70">
        <v>112</v>
      </c>
      <c r="X117" s="113">
        <f>求节点(基础状态预期!$C$17:$C$37,基础状态预期!$O$17:$O$37,$W117)*P$66*INDEX($P$57:$T$57,MATCH($O$66,$P$4:$T$4,0))*求节点(基础状态预期!$C$17:$C$37,基础状态预期!$Y$17:$Y$37,$W117)+
求节点(基础状态预期!$C$17:$C$37,基础状态预期!$P$17:$P$37,$W117)*P$67*INDEX($P$57:$T$57,MATCH($O$67,$P$4:$T$4,0))*求节点(基础状态预期!$C$17:$C$37,基础状态预期!$Z$17:$Z$37,$W117)+
求节点(基础状态预期!$C$17:$C$37,基础状态预期!$Q$17:$Q$37,$W117)*P$68*INDEX($P$57:$T$57,MATCH($O$68,$P$4:$T$4,0))*求节点(基础状态预期!$C$17:$C$37,基础状态预期!$AA$17:$AA$37,$W117)+
求节点(基础状态预期!$C$17:$C$37,基础状态预期!$R$17:$R$37,$W117)*P$69*INDEX($P$57:$T$57,MATCH($O$69,$P$4:$T$4,0))*求节点(基础状态预期!$C$17:$C$37,基础状态预期!$AB$17:$AB$37,$W117)+
求节点(基础状态预期!$C$17:$C$37,基础状态预期!$S$17:$S$37,$W117)*P$70*INDEX($P$57:$T$57,MATCH($O$70,$P$4:$T$4,0))*求节点(基础状态预期!$C$17:$C$37,基础状态预期!$AC$17:$AC$37,$W117)</f>
        <v>525492.64136397815</v>
      </c>
      <c r="Y117" s="113">
        <f>求节点(基础状态预期!$C$43:$C$63,基础状态预期!$O$43:$O$63,$W117)*Q$66*INDEX($P$57:$T$57,MATCH($O$66,$P$4:$T$4,0))*求节点(基础状态预期!$C$43:$C$63,基础状态预期!$Y$43:$Y$63,$W117)+
求节点(基础状态预期!$C$43:$C$63,基础状态预期!$P$43:$P$63,$W117)*Q$67*INDEX($P$57:$T$57,MATCH($O$67,$P$4:$T$4,0))*求节点(基础状态预期!$C$43:$C$63,基础状态预期!$Z$43:$Z$63,$W117)+
求节点(基础状态预期!$C$43:$C$63,基础状态预期!$Q$43:$Q$63,$W117)*Q$68*INDEX($P$57:$T$57,MATCH($O$68,$P$4:$T$4,0))*求节点(基础状态预期!$C$43:$C$63,基础状态预期!$AA$43:$AA$63,$W117)+
求节点(基础状态预期!$C$43:$C$63,基础状态预期!$R$43:$R$63,$W117)*Q$69*INDEX($P$57:$T$57,MATCH($O$69,$P$4:$T$4,0))*求节点(基础状态预期!$C$43:$C$63,基础状态预期!$AB$43:$AB$63,$W117)+
求节点(基础状态预期!$C$43:$C$63,基础状态预期!$S$43:$S$63,$W117)*Q$70*INDEX($P$57:$T$57,MATCH($O$70,$P$4:$T$4,0))*求节点(基础状态预期!$C$43:$C$63,基础状态预期!$AC$43:$AC$63,$W117)</f>
        <v>524117.64136397809</v>
      </c>
      <c r="Z117" s="113">
        <f>求节点(基础状态预期!$C$69:$C$89,基础状态预期!$O$69:$O$89,$W117)*R$66*INDEX($P$57:$T$57,MATCH($O$66,$P$4:$T$4,0))*求节点(基础状态预期!$C$69:$C$89,基础状态预期!AA128:AA148,$W117)+
求节点(基础状态预期!$C$69:$C$89,基础状态预期!$P$69:$P$89,$W117)*R$67*INDEX($P$57:$T$57,MATCH($O$67,$P$4:$T$4,0))*求节点(基础状态预期!$C$69:$C$89,基础状态预期!$Z$69:$Z$89,$W117)+
求节点(基础状态预期!$C$69:$C$89,基础状态预期!$Q$69:$Q$89,$W117)*R$68*INDEX($P$57:$T$57,MATCH($O$68,$P$4:$T$4,0))*求节点(基础状态预期!$C$69:$C$89,基础状态预期!$AA$69:$AA$89,$W117)+
求节点(基础状态预期!$C$69:$C$89,基础状态预期!$R$69:$R$89,$W117)*R$69*INDEX($P$57:$T$57,MATCH($O$69,$P$4:$T$4,0))*求节点(基础状态预期!$C$69:$C$89,基础状态预期!$AB$69:$AB$89,$W117)+
求节点(基础状态预期!$C$69:$C$89,基础状态预期!$S$69:$S$89,$W117)*R$70*INDEX($P$57:$T$57,MATCH($O$70,$P$4:$T$4,0))*求节点(基础状态预期!$C$69:$C$89,基础状态预期!$AC$69:$AC$89,$W117)</f>
        <v>2052690.5745455152</v>
      </c>
      <c r="AA117" s="113">
        <f>求节点(基础状态预期!$C$95:$C$115,基础状态预期!$O$95:$O$115,$W117)*S$66*INDEX($P$57:$T$57,MATCH($O$66,$P$4:$T$4,0))*求节点(基础状态预期!$C$95:$C$115,基础状态预期!$Y$95:$Y$115,$W117)+
求节点(基础状态预期!$C$95:$C$115,基础状态预期!$P$95:$P$115,$W117)*S$67*INDEX($P$57:$T$57,MATCH($O$67,$P$4:$T$4,0))*求节点(基础状态预期!$C$95:$C$115,基础状态预期!$Z$95:$Z$115,$W117)+
求节点(基础状态预期!$C$95:$C$115,基础状态预期!$Q$95:$Q$115,$W117)*S$68*INDEX($P$57:$T$57,MATCH($O$68,$P$4:$T$4,0))*求节点(基础状态预期!$C$95:$C$115,基础状态预期!$AA$95:$AA$115,$W117)+
求节点(基础状态预期!$C$95:$C$115,基础状态预期!$R$95:$R$115,$W117)*S$69*INDEX($P$57:$T$57,MATCH($O$69,$P$4:$T$4,0))*求节点(基础状态预期!$C$95:$C$115,基础状态预期!$AB$95:$AB$115,$W117)+
求节点(基础状态预期!$C$95:$C$115,基础状态预期!$S$95:$S$115,$W117)*S$70*INDEX($P$57:$T$57,MATCH($O$70,$P$4:$T$4,0))*求节点(基础状态预期!$C$95:$C$115,基础状态预期!$AC$95:$AC$115,$W117)</f>
        <v>2061580.7956339507</v>
      </c>
      <c r="AB117" s="113">
        <f>求节点(基础状态预期!$C$121:$C$141,基础状态预期!$O$121:$O$141,$W117)*T$66*INDEX($P$57:$T$57,MATCH($O$66,$P$4:$T$4,0))*求节点(基础状态预期!$C$121:$C$141,基础状态预期!$Y$121:$Y$141,$W117)+
求节点(基础状态预期!$C$121:$C$141,基础状态预期!$P$121:$P$141,$W117)*T$67*INDEX($P$57:$T$57,MATCH($O$67,$P$4:$T$4,0))*求节点(基础状态预期!$C$121:$C$141,基础状态预期!$Z$121:$Z$141,$W117)+
求节点(基础状态预期!$C$121:$C$141,基础状态预期!$Q$121:$Q$141,$W117)*T$68*INDEX($P$57:$T$57,MATCH($O$68,$P$4:$T$4,0))*求节点(基础状态预期!$C$121:$C$141,基础状态预期!$AA$121:$AA$141,$W117)+
求节点(基础状态预期!$C$121:$C$141,基础状态预期!$R$121:$R$141,$W117)*T$69*INDEX($P$57:$T$57,MATCH($O$69,$P$4:$T$4,0))*求节点(基础状态预期!$C$121:$C$141,基础状态预期!$AB$121:$AB$141,$W117)+
求节点(基础状态预期!$C$121:$C$141,基础状态预期!$S$121:$S$141,$W117)*T$70*INDEX($P$57:$T$57,MATCH($O$70,$P$4:$T$4,0))*求节点(基础状态预期!$C$121:$C$141,基础状态预期!$AC$121:$AC$141,$W117)</f>
        <v>2052690.5745455152</v>
      </c>
      <c r="AE117" s="70">
        <v>112</v>
      </c>
      <c r="AF117" s="113">
        <f>盗宝贼!AI116</f>
        <v>737432.96850620315</v>
      </c>
      <c r="AG117" s="113">
        <f>盗宝贼!AJ116</f>
        <v>914692.26928496722</v>
      </c>
      <c r="AH117" s="113">
        <f>盗宝贼!AK116</f>
        <v>996233.51279163372</v>
      </c>
      <c r="AI117" s="113">
        <f>盗宝贼!AL116</f>
        <v>809146.93512525491</v>
      </c>
      <c r="AJ117" s="113">
        <f>盗宝贼!AM116</f>
        <v>435129.59397095896</v>
      </c>
      <c r="AL117" s="78">
        <f>盗宝贼!AI116/AF117</f>
        <v>1</v>
      </c>
      <c r="AM117" s="118"/>
      <c r="AO117" s="123">
        <f t="shared" si="28"/>
        <v>1.4033174024894219</v>
      </c>
      <c r="AP117" s="123">
        <f t="shared" si="29"/>
        <v>1.745204124220179</v>
      </c>
      <c r="AQ117" s="123">
        <f t="shared" si="30"/>
        <v>0.48533058277047386</v>
      </c>
      <c r="AR117" s="123">
        <f t="shared" si="31"/>
        <v>0.39248858780547402</v>
      </c>
      <c r="AS117" s="123">
        <f t="shared" si="32"/>
        <v>0.2119801198323818</v>
      </c>
    </row>
    <row r="118" spans="3:45" x14ac:dyDescent="0.15">
      <c r="W118" s="70">
        <v>113</v>
      </c>
      <c r="X118" s="113">
        <f>求节点(基础状态预期!$C$17:$C$37,基础状态预期!$O$17:$O$37,$W118)*P$66*INDEX($P$57:$T$57,MATCH($O$66,$P$4:$T$4,0))*求节点(基础状态预期!$C$17:$C$37,基础状态预期!$Y$17:$Y$37,$W118)+
求节点(基础状态预期!$C$17:$C$37,基础状态预期!$P$17:$P$37,$W118)*P$67*INDEX($P$57:$T$57,MATCH($O$67,$P$4:$T$4,0))*求节点(基础状态预期!$C$17:$C$37,基础状态预期!$Z$17:$Z$37,$W118)+
求节点(基础状态预期!$C$17:$C$37,基础状态预期!$Q$17:$Q$37,$W118)*P$68*INDEX($P$57:$T$57,MATCH($O$68,$P$4:$T$4,0))*求节点(基础状态预期!$C$17:$C$37,基础状态预期!$AA$17:$AA$37,$W118)+
求节点(基础状态预期!$C$17:$C$37,基础状态预期!$R$17:$R$37,$W118)*P$69*INDEX($P$57:$T$57,MATCH($O$69,$P$4:$T$4,0))*求节点(基础状态预期!$C$17:$C$37,基础状态预期!$AB$17:$AB$37,$W118)+
求节点(基础状态预期!$C$17:$C$37,基础状态预期!$S$17:$S$37,$W118)*P$70*INDEX($P$57:$T$57,MATCH($O$70,$P$4:$T$4,0))*求节点(基础状态预期!$C$17:$C$37,基础状态预期!$AC$17:$AC$37,$W118)</f>
        <v>525492.64136397815</v>
      </c>
      <c r="Y118" s="113">
        <f>求节点(基础状态预期!$C$43:$C$63,基础状态预期!$O$43:$O$63,$W118)*Q$66*INDEX($P$57:$T$57,MATCH($O$66,$P$4:$T$4,0))*求节点(基础状态预期!$C$43:$C$63,基础状态预期!$Y$43:$Y$63,$W118)+
求节点(基础状态预期!$C$43:$C$63,基础状态预期!$P$43:$P$63,$W118)*Q$67*INDEX($P$57:$T$57,MATCH($O$67,$P$4:$T$4,0))*求节点(基础状态预期!$C$43:$C$63,基础状态预期!$Z$43:$Z$63,$W118)+
求节点(基础状态预期!$C$43:$C$63,基础状态预期!$Q$43:$Q$63,$W118)*Q$68*INDEX($P$57:$T$57,MATCH($O$68,$P$4:$T$4,0))*求节点(基础状态预期!$C$43:$C$63,基础状态预期!$AA$43:$AA$63,$W118)+
求节点(基础状态预期!$C$43:$C$63,基础状态预期!$R$43:$R$63,$W118)*Q$69*INDEX($P$57:$T$57,MATCH($O$69,$P$4:$T$4,0))*求节点(基础状态预期!$C$43:$C$63,基础状态预期!$AB$43:$AB$63,$W118)+
求节点(基础状态预期!$C$43:$C$63,基础状态预期!$S$43:$S$63,$W118)*Q$70*INDEX($P$57:$T$57,MATCH($O$70,$P$4:$T$4,0))*求节点(基础状态预期!$C$43:$C$63,基础状态预期!$AC$43:$AC$63,$W118)</f>
        <v>524117.64136397809</v>
      </c>
      <c r="Z118" s="113">
        <f>求节点(基础状态预期!$C$69:$C$89,基础状态预期!$O$69:$O$89,$W118)*R$66*INDEX($P$57:$T$57,MATCH($O$66,$P$4:$T$4,0))*求节点(基础状态预期!$C$69:$C$89,基础状态预期!AA129:AA149,$W118)+
求节点(基础状态预期!$C$69:$C$89,基础状态预期!$P$69:$P$89,$W118)*R$67*INDEX($P$57:$T$57,MATCH($O$67,$P$4:$T$4,0))*求节点(基础状态预期!$C$69:$C$89,基础状态预期!$Z$69:$Z$89,$W118)+
求节点(基础状态预期!$C$69:$C$89,基础状态预期!$Q$69:$Q$89,$W118)*R$68*INDEX($P$57:$T$57,MATCH($O$68,$P$4:$T$4,0))*求节点(基础状态预期!$C$69:$C$89,基础状态预期!$AA$69:$AA$89,$W118)+
求节点(基础状态预期!$C$69:$C$89,基础状态预期!$R$69:$R$89,$W118)*R$69*INDEX($P$57:$T$57,MATCH($O$69,$P$4:$T$4,0))*求节点(基础状态预期!$C$69:$C$89,基础状态预期!$AB$69:$AB$89,$W118)+
求节点(基础状态预期!$C$69:$C$89,基础状态预期!$S$69:$S$89,$W118)*R$70*INDEX($P$57:$T$57,MATCH($O$70,$P$4:$T$4,0))*求节点(基础状态预期!$C$69:$C$89,基础状态预期!$AC$69:$AC$89,$W118)</f>
        <v>2052690.5745455152</v>
      </c>
      <c r="AA118" s="113">
        <f>求节点(基础状态预期!$C$95:$C$115,基础状态预期!$O$95:$O$115,$W118)*S$66*INDEX($P$57:$T$57,MATCH($O$66,$P$4:$T$4,0))*求节点(基础状态预期!$C$95:$C$115,基础状态预期!$Y$95:$Y$115,$W118)+
求节点(基础状态预期!$C$95:$C$115,基础状态预期!$P$95:$P$115,$W118)*S$67*INDEX($P$57:$T$57,MATCH($O$67,$P$4:$T$4,0))*求节点(基础状态预期!$C$95:$C$115,基础状态预期!$Z$95:$Z$115,$W118)+
求节点(基础状态预期!$C$95:$C$115,基础状态预期!$Q$95:$Q$115,$W118)*S$68*INDEX($P$57:$T$57,MATCH($O$68,$P$4:$T$4,0))*求节点(基础状态预期!$C$95:$C$115,基础状态预期!$AA$95:$AA$115,$W118)+
求节点(基础状态预期!$C$95:$C$115,基础状态预期!$R$95:$R$115,$W118)*S$69*INDEX($P$57:$T$57,MATCH($O$69,$P$4:$T$4,0))*求节点(基础状态预期!$C$95:$C$115,基础状态预期!$AB$95:$AB$115,$W118)+
求节点(基础状态预期!$C$95:$C$115,基础状态预期!$S$95:$S$115,$W118)*S$70*INDEX($P$57:$T$57,MATCH($O$70,$P$4:$T$4,0))*求节点(基础状态预期!$C$95:$C$115,基础状态预期!$AC$95:$AC$115,$W118)</f>
        <v>2061580.7956339507</v>
      </c>
      <c r="AB118" s="113">
        <f>求节点(基础状态预期!$C$121:$C$141,基础状态预期!$O$121:$O$141,$W118)*T$66*INDEX($P$57:$T$57,MATCH($O$66,$P$4:$T$4,0))*求节点(基础状态预期!$C$121:$C$141,基础状态预期!$Y$121:$Y$141,$W118)+
求节点(基础状态预期!$C$121:$C$141,基础状态预期!$P$121:$P$141,$W118)*T$67*INDEX($P$57:$T$57,MATCH($O$67,$P$4:$T$4,0))*求节点(基础状态预期!$C$121:$C$141,基础状态预期!$Z$121:$Z$141,$W118)+
求节点(基础状态预期!$C$121:$C$141,基础状态预期!$Q$121:$Q$141,$W118)*T$68*INDEX($P$57:$T$57,MATCH($O$68,$P$4:$T$4,0))*求节点(基础状态预期!$C$121:$C$141,基础状态预期!$AA$121:$AA$141,$W118)+
求节点(基础状态预期!$C$121:$C$141,基础状态预期!$R$121:$R$141,$W118)*T$69*INDEX($P$57:$T$57,MATCH($O$69,$P$4:$T$4,0))*求节点(基础状态预期!$C$121:$C$141,基础状态预期!$AB$121:$AB$141,$W118)+
求节点(基础状态预期!$C$121:$C$141,基础状态预期!$S$121:$S$141,$W118)*T$70*INDEX($P$57:$T$57,MATCH($O$70,$P$4:$T$4,0))*求节点(基础状态预期!$C$121:$C$141,基础状态预期!$AC$121:$AC$141,$W118)</f>
        <v>2052690.5745455152</v>
      </c>
      <c r="AE118" s="70">
        <v>113</v>
      </c>
      <c r="AF118" s="113">
        <f>盗宝贼!AI117</f>
        <v>829879.30674612301</v>
      </c>
      <c r="AG118" s="113">
        <f>盗宝贼!AJ117</f>
        <v>1030687.4180672201</v>
      </c>
      <c r="AH118" s="113">
        <f>盗宝贼!AK117</f>
        <v>1124401.4639153529</v>
      </c>
      <c r="AI118" s="113">
        <f>盗宝贼!AL117</f>
        <v>907755.9054704305</v>
      </c>
      <c r="AJ118" s="113">
        <f>盗宝贼!AM117</f>
        <v>485349.67815763527</v>
      </c>
      <c r="AL118" s="78">
        <f>盗宝贼!AI117/AF118</f>
        <v>1</v>
      </c>
      <c r="AM118" s="118"/>
      <c r="AO118" s="123">
        <f t="shared" si="28"/>
        <v>1.5792405857331766</v>
      </c>
      <c r="AP118" s="123">
        <f t="shared" si="29"/>
        <v>1.9665192253115751</v>
      </c>
      <c r="AQ118" s="123">
        <f t="shared" si="30"/>
        <v>0.54776958488461214</v>
      </c>
      <c r="AR118" s="123">
        <f t="shared" si="31"/>
        <v>0.44032031506739427</v>
      </c>
      <c r="AS118" s="123">
        <f t="shared" si="32"/>
        <v>0.23644561151896759</v>
      </c>
    </row>
    <row r="119" spans="3:45" x14ac:dyDescent="0.15">
      <c r="W119" s="70">
        <v>114</v>
      </c>
      <c r="X119" s="113">
        <f>求节点(基础状态预期!$C$17:$C$37,基础状态预期!$O$17:$O$37,$W119)*P$66*INDEX($P$57:$T$57,MATCH($O$66,$P$4:$T$4,0))*求节点(基础状态预期!$C$17:$C$37,基础状态预期!$Y$17:$Y$37,$W119)+
求节点(基础状态预期!$C$17:$C$37,基础状态预期!$P$17:$P$37,$W119)*P$67*INDEX($P$57:$T$57,MATCH($O$67,$P$4:$T$4,0))*求节点(基础状态预期!$C$17:$C$37,基础状态预期!$Z$17:$Z$37,$W119)+
求节点(基础状态预期!$C$17:$C$37,基础状态预期!$Q$17:$Q$37,$W119)*P$68*INDEX($P$57:$T$57,MATCH($O$68,$P$4:$T$4,0))*求节点(基础状态预期!$C$17:$C$37,基础状态预期!$AA$17:$AA$37,$W119)+
求节点(基础状态预期!$C$17:$C$37,基础状态预期!$R$17:$R$37,$W119)*P$69*INDEX($P$57:$T$57,MATCH($O$69,$P$4:$T$4,0))*求节点(基础状态预期!$C$17:$C$37,基础状态预期!$AB$17:$AB$37,$W119)+
求节点(基础状态预期!$C$17:$C$37,基础状态预期!$S$17:$S$37,$W119)*P$70*INDEX($P$57:$T$57,MATCH($O$70,$P$4:$T$4,0))*求节点(基础状态预期!$C$17:$C$37,基础状态预期!$AC$17:$AC$37,$W119)</f>
        <v>525492.64136397815</v>
      </c>
      <c r="Y119" s="113">
        <f>求节点(基础状态预期!$C$43:$C$63,基础状态预期!$O$43:$O$63,$W119)*Q$66*INDEX($P$57:$T$57,MATCH($O$66,$P$4:$T$4,0))*求节点(基础状态预期!$C$43:$C$63,基础状态预期!$Y$43:$Y$63,$W119)+
求节点(基础状态预期!$C$43:$C$63,基础状态预期!$P$43:$P$63,$W119)*Q$67*INDEX($P$57:$T$57,MATCH($O$67,$P$4:$T$4,0))*求节点(基础状态预期!$C$43:$C$63,基础状态预期!$Z$43:$Z$63,$W119)+
求节点(基础状态预期!$C$43:$C$63,基础状态预期!$Q$43:$Q$63,$W119)*Q$68*INDEX($P$57:$T$57,MATCH($O$68,$P$4:$T$4,0))*求节点(基础状态预期!$C$43:$C$63,基础状态预期!$AA$43:$AA$63,$W119)+
求节点(基础状态预期!$C$43:$C$63,基础状态预期!$R$43:$R$63,$W119)*Q$69*INDEX($P$57:$T$57,MATCH($O$69,$P$4:$T$4,0))*求节点(基础状态预期!$C$43:$C$63,基础状态预期!$AB$43:$AB$63,$W119)+
求节点(基础状态预期!$C$43:$C$63,基础状态预期!$S$43:$S$63,$W119)*Q$70*INDEX($P$57:$T$57,MATCH($O$70,$P$4:$T$4,0))*求节点(基础状态预期!$C$43:$C$63,基础状态预期!$AC$43:$AC$63,$W119)</f>
        <v>524117.64136397809</v>
      </c>
      <c r="Z119" s="113">
        <f>求节点(基础状态预期!$C$69:$C$89,基础状态预期!$O$69:$O$89,$W119)*R$66*INDEX($P$57:$T$57,MATCH($O$66,$P$4:$T$4,0))*求节点(基础状态预期!$C$69:$C$89,基础状态预期!AA130:AA150,$W119)+
求节点(基础状态预期!$C$69:$C$89,基础状态预期!$P$69:$P$89,$W119)*R$67*INDEX($P$57:$T$57,MATCH($O$67,$P$4:$T$4,0))*求节点(基础状态预期!$C$69:$C$89,基础状态预期!$Z$69:$Z$89,$W119)+
求节点(基础状态预期!$C$69:$C$89,基础状态预期!$Q$69:$Q$89,$W119)*R$68*INDEX($P$57:$T$57,MATCH($O$68,$P$4:$T$4,0))*求节点(基础状态预期!$C$69:$C$89,基础状态预期!$AA$69:$AA$89,$W119)+
求节点(基础状态预期!$C$69:$C$89,基础状态预期!$R$69:$R$89,$W119)*R$69*INDEX($P$57:$T$57,MATCH($O$69,$P$4:$T$4,0))*求节点(基础状态预期!$C$69:$C$89,基础状态预期!$AB$69:$AB$89,$W119)+
求节点(基础状态预期!$C$69:$C$89,基础状态预期!$S$69:$S$89,$W119)*R$70*INDEX($P$57:$T$57,MATCH($O$70,$P$4:$T$4,0))*求节点(基础状态预期!$C$69:$C$89,基础状态预期!$AC$69:$AC$89,$W119)</f>
        <v>2052690.5745455152</v>
      </c>
      <c r="AA119" s="113">
        <f>求节点(基础状态预期!$C$95:$C$115,基础状态预期!$O$95:$O$115,$W119)*S$66*INDEX($P$57:$T$57,MATCH($O$66,$P$4:$T$4,0))*求节点(基础状态预期!$C$95:$C$115,基础状态预期!$Y$95:$Y$115,$W119)+
求节点(基础状态预期!$C$95:$C$115,基础状态预期!$P$95:$P$115,$W119)*S$67*INDEX($P$57:$T$57,MATCH($O$67,$P$4:$T$4,0))*求节点(基础状态预期!$C$95:$C$115,基础状态预期!$Z$95:$Z$115,$W119)+
求节点(基础状态预期!$C$95:$C$115,基础状态预期!$Q$95:$Q$115,$W119)*S$68*INDEX($P$57:$T$57,MATCH($O$68,$P$4:$T$4,0))*求节点(基础状态预期!$C$95:$C$115,基础状态预期!$AA$95:$AA$115,$W119)+
求节点(基础状态预期!$C$95:$C$115,基础状态预期!$R$95:$R$115,$W119)*S$69*INDEX($P$57:$T$57,MATCH($O$69,$P$4:$T$4,0))*求节点(基础状态预期!$C$95:$C$115,基础状态预期!$AB$95:$AB$115,$W119)+
求节点(基础状态预期!$C$95:$C$115,基础状态预期!$S$95:$S$115,$W119)*S$70*INDEX($P$57:$T$57,MATCH($O$70,$P$4:$T$4,0))*求节点(基础状态预期!$C$95:$C$115,基础状态预期!$AC$95:$AC$115,$W119)</f>
        <v>2061580.7956339507</v>
      </c>
      <c r="AB119" s="113">
        <f>求节点(基础状态预期!$C$121:$C$141,基础状态预期!$O$121:$O$141,$W119)*T$66*INDEX($P$57:$T$57,MATCH($O$66,$P$4:$T$4,0))*求节点(基础状态预期!$C$121:$C$141,基础状态预期!$Y$121:$Y$141,$W119)+
求节点(基础状态预期!$C$121:$C$141,基础状态预期!$P$121:$P$141,$W119)*T$67*INDEX($P$57:$T$57,MATCH($O$67,$P$4:$T$4,0))*求节点(基础状态预期!$C$121:$C$141,基础状态预期!$Z$121:$Z$141,$W119)+
求节点(基础状态预期!$C$121:$C$141,基础状态预期!$Q$121:$Q$141,$W119)*T$68*INDEX($P$57:$T$57,MATCH($O$68,$P$4:$T$4,0))*求节点(基础状态预期!$C$121:$C$141,基础状态预期!$AA$121:$AA$141,$W119)+
求节点(基础状态预期!$C$121:$C$141,基础状态预期!$R$121:$R$141,$W119)*T$69*INDEX($P$57:$T$57,MATCH($O$69,$P$4:$T$4,0))*求节点(基础状态预期!$C$121:$C$141,基础状态预期!$AB$121:$AB$141,$W119)+
求节点(基础状态预期!$C$121:$C$141,基础状态预期!$S$121:$S$141,$W119)*T$70*INDEX($P$57:$T$57,MATCH($O$70,$P$4:$T$4,0))*求节点(基础状态预期!$C$121:$C$141,基础状态预期!$AC$121:$AC$141,$W119)</f>
        <v>2052690.5745455152</v>
      </c>
      <c r="AE119" s="70">
        <v>114</v>
      </c>
      <c r="AF119" s="113">
        <f>盗宝贼!AI118</f>
        <v>933914.91538203217</v>
      </c>
      <c r="AG119" s="113">
        <f>盗宝贼!AJ118</f>
        <v>1161314.920561549</v>
      </c>
      <c r="AH119" s="113">
        <f>盗宝贼!AK118</f>
        <v>1259339.605144802</v>
      </c>
      <c r="AI119" s="113">
        <f>盗宝贼!AL118</f>
        <v>1012582.2878252217</v>
      </c>
      <c r="AJ119" s="113">
        <f>盗宝贼!AM118</f>
        <v>542906.80915496976</v>
      </c>
      <c r="AL119" s="78">
        <f>盗宝贼!AI118/AF119</f>
        <v>1</v>
      </c>
      <c r="AM119" s="118"/>
      <c r="AO119" s="123">
        <f t="shared" si="28"/>
        <v>1.7772178749410188</v>
      </c>
      <c r="AP119" s="123">
        <f t="shared" si="29"/>
        <v>2.2157523977619058</v>
      </c>
      <c r="AQ119" s="123">
        <f t="shared" si="30"/>
        <v>0.61350678994744812</v>
      </c>
      <c r="AR119" s="123">
        <f t="shared" si="31"/>
        <v>0.49116788920894339</v>
      </c>
      <c r="AS119" s="123">
        <f t="shared" si="32"/>
        <v>0.26448545917602528</v>
      </c>
    </row>
    <row r="120" spans="3:45" x14ac:dyDescent="0.15">
      <c r="W120" s="70">
        <v>115</v>
      </c>
      <c r="X120" s="113">
        <f>求节点(基础状态预期!$C$17:$C$37,基础状态预期!$O$17:$O$37,$W120)*P$66*INDEX($P$57:$T$57,MATCH($O$66,$P$4:$T$4,0))*求节点(基础状态预期!$C$17:$C$37,基础状态预期!$Y$17:$Y$37,$W120)+
求节点(基础状态预期!$C$17:$C$37,基础状态预期!$P$17:$P$37,$W120)*P$67*INDEX($P$57:$T$57,MATCH($O$67,$P$4:$T$4,0))*求节点(基础状态预期!$C$17:$C$37,基础状态预期!$Z$17:$Z$37,$W120)+
求节点(基础状态预期!$C$17:$C$37,基础状态预期!$Q$17:$Q$37,$W120)*P$68*INDEX($P$57:$T$57,MATCH($O$68,$P$4:$T$4,0))*求节点(基础状态预期!$C$17:$C$37,基础状态预期!$AA$17:$AA$37,$W120)+
求节点(基础状态预期!$C$17:$C$37,基础状态预期!$R$17:$R$37,$W120)*P$69*INDEX($P$57:$T$57,MATCH($O$69,$P$4:$T$4,0))*求节点(基础状态预期!$C$17:$C$37,基础状态预期!$AB$17:$AB$37,$W120)+
求节点(基础状态预期!$C$17:$C$37,基础状态预期!$S$17:$S$37,$W120)*P$70*INDEX($P$57:$T$57,MATCH($O$70,$P$4:$T$4,0))*求节点(基础状态预期!$C$17:$C$37,基础状态预期!$AC$17:$AC$37,$W120)</f>
        <v>525492.64136397815</v>
      </c>
      <c r="Y120" s="113">
        <f>求节点(基础状态预期!$C$43:$C$63,基础状态预期!$O$43:$O$63,$W120)*Q$66*INDEX($P$57:$T$57,MATCH($O$66,$P$4:$T$4,0))*求节点(基础状态预期!$C$43:$C$63,基础状态预期!$Y$43:$Y$63,$W120)+
求节点(基础状态预期!$C$43:$C$63,基础状态预期!$P$43:$P$63,$W120)*Q$67*INDEX($P$57:$T$57,MATCH($O$67,$P$4:$T$4,0))*求节点(基础状态预期!$C$43:$C$63,基础状态预期!$Z$43:$Z$63,$W120)+
求节点(基础状态预期!$C$43:$C$63,基础状态预期!$Q$43:$Q$63,$W120)*Q$68*INDEX($P$57:$T$57,MATCH($O$68,$P$4:$T$4,0))*求节点(基础状态预期!$C$43:$C$63,基础状态预期!$AA$43:$AA$63,$W120)+
求节点(基础状态预期!$C$43:$C$63,基础状态预期!$R$43:$R$63,$W120)*Q$69*INDEX($P$57:$T$57,MATCH($O$69,$P$4:$T$4,0))*求节点(基础状态预期!$C$43:$C$63,基础状态预期!$AB$43:$AB$63,$W120)+
求节点(基础状态预期!$C$43:$C$63,基础状态预期!$S$43:$S$63,$W120)*Q$70*INDEX($P$57:$T$57,MATCH($O$70,$P$4:$T$4,0))*求节点(基础状态预期!$C$43:$C$63,基础状态预期!$AC$43:$AC$63,$W120)</f>
        <v>524117.64136397809</v>
      </c>
      <c r="Z120" s="113">
        <f>求节点(基础状态预期!$C$69:$C$89,基础状态预期!$O$69:$O$89,$W120)*R$66*INDEX($P$57:$T$57,MATCH($O$66,$P$4:$T$4,0))*求节点(基础状态预期!$C$69:$C$89,基础状态预期!AA131:AA151,$W120)+
求节点(基础状态预期!$C$69:$C$89,基础状态预期!$P$69:$P$89,$W120)*R$67*INDEX($P$57:$T$57,MATCH($O$67,$P$4:$T$4,0))*求节点(基础状态预期!$C$69:$C$89,基础状态预期!$Z$69:$Z$89,$W120)+
求节点(基础状态预期!$C$69:$C$89,基础状态预期!$Q$69:$Q$89,$W120)*R$68*INDEX($P$57:$T$57,MATCH($O$68,$P$4:$T$4,0))*求节点(基础状态预期!$C$69:$C$89,基础状态预期!$AA$69:$AA$89,$W120)+
求节点(基础状态预期!$C$69:$C$89,基础状态预期!$R$69:$R$89,$W120)*R$69*INDEX($P$57:$T$57,MATCH($O$69,$P$4:$T$4,0))*求节点(基础状态预期!$C$69:$C$89,基础状态预期!$AB$69:$AB$89,$W120)+
求节点(基础状态预期!$C$69:$C$89,基础状态预期!$S$69:$S$89,$W120)*R$70*INDEX($P$57:$T$57,MATCH($O$70,$P$4:$T$4,0))*求节点(基础状态预期!$C$69:$C$89,基础状态预期!$AC$69:$AC$89,$W120)</f>
        <v>2052690.5745455152</v>
      </c>
      <c r="AA120" s="113">
        <f>求节点(基础状态预期!$C$95:$C$115,基础状态预期!$O$95:$O$115,$W120)*S$66*INDEX($P$57:$T$57,MATCH($O$66,$P$4:$T$4,0))*求节点(基础状态预期!$C$95:$C$115,基础状态预期!$Y$95:$Y$115,$W120)+
求节点(基础状态预期!$C$95:$C$115,基础状态预期!$P$95:$P$115,$W120)*S$67*INDEX($P$57:$T$57,MATCH($O$67,$P$4:$T$4,0))*求节点(基础状态预期!$C$95:$C$115,基础状态预期!$Z$95:$Z$115,$W120)+
求节点(基础状态预期!$C$95:$C$115,基础状态预期!$Q$95:$Q$115,$W120)*S$68*INDEX($P$57:$T$57,MATCH($O$68,$P$4:$T$4,0))*求节点(基础状态预期!$C$95:$C$115,基础状态预期!$AA$95:$AA$115,$W120)+
求节点(基础状态预期!$C$95:$C$115,基础状态预期!$R$95:$R$115,$W120)*S$69*INDEX($P$57:$T$57,MATCH($O$69,$P$4:$T$4,0))*求节点(基础状态预期!$C$95:$C$115,基础状态预期!$AB$95:$AB$115,$W120)+
求节点(基础状态预期!$C$95:$C$115,基础状态预期!$S$95:$S$115,$W120)*S$70*INDEX($P$57:$T$57,MATCH($O$70,$P$4:$T$4,0))*求节点(基础状态预期!$C$95:$C$115,基础状态预期!$AC$95:$AC$115,$W120)</f>
        <v>2061580.7956339507</v>
      </c>
      <c r="AB120" s="113">
        <f>求节点(基础状态预期!$C$121:$C$141,基础状态预期!$O$121:$O$141,$W120)*T$66*INDEX($P$57:$T$57,MATCH($O$66,$P$4:$T$4,0))*求节点(基础状态预期!$C$121:$C$141,基础状态预期!$Y$121:$Y$141,$W120)+
求节点(基础状态预期!$C$121:$C$141,基础状态预期!$P$121:$P$141,$W120)*T$67*INDEX($P$57:$T$57,MATCH($O$67,$P$4:$T$4,0))*求节点(基础状态预期!$C$121:$C$141,基础状态预期!$Z$121:$Z$141,$W120)+
求节点(基础状态预期!$C$121:$C$141,基础状态预期!$Q$121:$Q$141,$W120)*T$68*INDEX($P$57:$T$57,MATCH($O$68,$P$4:$T$4,0))*求节点(基础状态预期!$C$121:$C$141,基础状态预期!$AA$121:$AA$141,$W120)+
求节点(基础状态预期!$C$121:$C$141,基础状态预期!$R$121:$R$141,$W120)*T$69*INDEX($P$57:$T$57,MATCH($O$69,$P$4:$T$4,0))*求节点(基础状态预期!$C$121:$C$141,基础状态预期!$AB$121:$AB$141,$W120)+
求节点(基础状态预期!$C$121:$C$141,基础状态预期!$S$121:$S$141,$W120)*T$70*INDEX($P$57:$T$57,MATCH($O$70,$P$4:$T$4,0))*求节点(基础状态预期!$C$121:$C$141,基础状态预期!$AC$121:$AC$141,$W120)</f>
        <v>2052690.5745455152</v>
      </c>
      <c r="AE120" s="70">
        <v>115</v>
      </c>
      <c r="AF120" s="113">
        <f>盗宝贼!AI119</f>
        <v>1050992.6501015497</v>
      </c>
      <c r="AG120" s="113">
        <f>盗宝贼!AJ119</f>
        <v>1298238.3480187743</v>
      </c>
      <c r="AH120" s="113">
        <f>盗宝贼!AK119</f>
        <v>1404161.4676786426</v>
      </c>
      <c r="AI120" s="113">
        <f>盗宝贼!AL119</f>
        <v>1131015.8453193663</v>
      </c>
      <c r="AJ120" s="113">
        <f>盗宝贼!AM119</f>
        <v>607390.95075598778</v>
      </c>
      <c r="AL120" s="78">
        <f>盗宝贼!AI119/AF120</f>
        <v>1</v>
      </c>
      <c r="AM120" s="118"/>
      <c r="AO120" s="123">
        <f t="shared" si="28"/>
        <v>2.000014019936748</v>
      </c>
      <c r="AP120" s="123">
        <f t="shared" si="29"/>
        <v>2.4769979973202263</v>
      </c>
      <c r="AQ120" s="123">
        <f t="shared" si="30"/>
        <v>0.6840590028964969</v>
      </c>
      <c r="AR120" s="123">
        <f t="shared" si="31"/>
        <v>0.54861582321422964</v>
      </c>
      <c r="AS120" s="123">
        <f t="shared" si="32"/>
        <v>0.29589990731577737</v>
      </c>
    </row>
    <row r="121" spans="3:45" x14ac:dyDescent="0.15">
      <c r="W121" s="70">
        <v>116</v>
      </c>
      <c r="X121" s="113">
        <f>求节点(基础状态预期!$C$17:$C$37,基础状态预期!$O$17:$O$37,$W121)*P$66*INDEX($P$57:$T$57,MATCH($O$66,$P$4:$T$4,0))*求节点(基础状态预期!$C$17:$C$37,基础状态预期!$Y$17:$Y$37,$W121)+
求节点(基础状态预期!$C$17:$C$37,基础状态预期!$P$17:$P$37,$W121)*P$67*INDEX($P$57:$T$57,MATCH($O$67,$P$4:$T$4,0))*求节点(基础状态预期!$C$17:$C$37,基础状态预期!$Z$17:$Z$37,$W121)+
求节点(基础状态预期!$C$17:$C$37,基础状态预期!$Q$17:$Q$37,$W121)*P$68*INDEX($P$57:$T$57,MATCH($O$68,$P$4:$T$4,0))*求节点(基础状态预期!$C$17:$C$37,基础状态预期!$AA$17:$AA$37,$W121)+
求节点(基础状态预期!$C$17:$C$37,基础状态预期!$R$17:$R$37,$W121)*P$69*INDEX($P$57:$T$57,MATCH($O$69,$P$4:$T$4,0))*求节点(基础状态预期!$C$17:$C$37,基础状态预期!$AB$17:$AB$37,$W121)+
求节点(基础状态预期!$C$17:$C$37,基础状态预期!$S$17:$S$37,$W121)*P$70*INDEX($P$57:$T$57,MATCH($O$70,$P$4:$T$4,0))*求节点(基础状态预期!$C$17:$C$37,基础状态预期!$AC$17:$AC$37,$W121)</f>
        <v>525492.64136397815</v>
      </c>
      <c r="Y121" s="113">
        <f>求节点(基础状态预期!$C$43:$C$63,基础状态预期!$O$43:$O$63,$W121)*Q$66*INDEX($P$57:$T$57,MATCH($O$66,$P$4:$T$4,0))*求节点(基础状态预期!$C$43:$C$63,基础状态预期!$Y$43:$Y$63,$W121)+
求节点(基础状态预期!$C$43:$C$63,基础状态预期!$P$43:$P$63,$W121)*Q$67*INDEX($P$57:$T$57,MATCH($O$67,$P$4:$T$4,0))*求节点(基础状态预期!$C$43:$C$63,基础状态预期!$Z$43:$Z$63,$W121)+
求节点(基础状态预期!$C$43:$C$63,基础状态预期!$Q$43:$Q$63,$W121)*Q$68*INDEX($P$57:$T$57,MATCH($O$68,$P$4:$T$4,0))*求节点(基础状态预期!$C$43:$C$63,基础状态预期!$AA$43:$AA$63,$W121)+
求节点(基础状态预期!$C$43:$C$63,基础状态预期!$R$43:$R$63,$W121)*Q$69*INDEX($P$57:$T$57,MATCH($O$69,$P$4:$T$4,0))*求节点(基础状态预期!$C$43:$C$63,基础状态预期!$AB$43:$AB$63,$W121)+
求节点(基础状态预期!$C$43:$C$63,基础状态预期!$S$43:$S$63,$W121)*Q$70*INDEX($P$57:$T$57,MATCH($O$70,$P$4:$T$4,0))*求节点(基础状态预期!$C$43:$C$63,基础状态预期!$AC$43:$AC$63,$W121)</f>
        <v>524117.64136397809</v>
      </c>
      <c r="Z121" s="113">
        <f>求节点(基础状态预期!$C$69:$C$89,基础状态预期!$O$69:$O$89,$W121)*R$66*INDEX($P$57:$T$57,MATCH($O$66,$P$4:$T$4,0))*求节点(基础状态预期!$C$69:$C$89,基础状态预期!AA132:AA152,$W121)+
求节点(基础状态预期!$C$69:$C$89,基础状态预期!$P$69:$P$89,$W121)*R$67*INDEX($P$57:$T$57,MATCH($O$67,$P$4:$T$4,0))*求节点(基础状态预期!$C$69:$C$89,基础状态预期!$Z$69:$Z$89,$W121)+
求节点(基础状态预期!$C$69:$C$89,基础状态预期!$Q$69:$Q$89,$W121)*R$68*INDEX($P$57:$T$57,MATCH($O$68,$P$4:$T$4,0))*求节点(基础状态预期!$C$69:$C$89,基础状态预期!$AA$69:$AA$89,$W121)+
求节点(基础状态预期!$C$69:$C$89,基础状态预期!$R$69:$R$89,$W121)*R$69*INDEX($P$57:$T$57,MATCH($O$69,$P$4:$T$4,0))*求节点(基础状态预期!$C$69:$C$89,基础状态预期!$AB$69:$AB$89,$W121)+
求节点(基础状态预期!$C$69:$C$89,基础状态预期!$S$69:$S$89,$W121)*R$70*INDEX($P$57:$T$57,MATCH($O$70,$P$4:$T$4,0))*求节点(基础状态预期!$C$69:$C$89,基础状态预期!$AC$69:$AC$89,$W121)</f>
        <v>2052690.5745455152</v>
      </c>
      <c r="AA121" s="113">
        <f>求节点(基础状态预期!$C$95:$C$115,基础状态预期!$O$95:$O$115,$W121)*S$66*INDEX($P$57:$T$57,MATCH($O$66,$P$4:$T$4,0))*求节点(基础状态预期!$C$95:$C$115,基础状态预期!$Y$95:$Y$115,$W121)+
求节点(基础状态预期!$C$95:$C$115,基础状态预期!$P$95:$P$115,$W121)*S$67*INDEX($P$57:$T$57,MATCH($O$67,$P$4:$T$4,0))*求节点(基础状态预期!$C$95:$C$115,基础状态预期!$Z$95:$Z$115,$W121)+
求节点(基础状态预期!$C$95:$C$115,基础状态预期!$Q$95:$Q$115,$W121)*S$68*INDEX($P$57:$T$57,MATCH($O$68,$P$4:$T$4,0))*求节点(基础状态预期!$C$95:$C$115,基础状态预期!$AA$95:$AA$115,$W121)+
求节点(基础状态预期!$C$95:$C$115,基础状态预期!$R$95:$R$115,$W121)*S$69*INDEX($P$57:$T$57,MATCH($O$69,$P$4:$T$4,0))*求节点(基础状态预期!$C$95:$C$115,基础状态预期!$AB$95:$AB$115,$W121)+
求节点(基础状态预期!$C$95:$C$115,基础状态预期!$S$95:$S$115,$W121)*S$70*INDEX($P$57:$T$57,MATCH($O$70,$P$4:$T$4,0))*求节点(基础状态预期!$C$95:$C$115,基础状态预期!$AC$95:$AC$115,$W121)</f>
        <v>2061580.7956339507</v>
      </c>
      <c r="AB121" s="113">
        <f>求节点(基础状态预期!$C$121:$C$141,基础状态预期!$O$121:$O$141,$W121)*T$66*INDEX($P$57:$T$57,MATCH($O$66,$P$4:$T$4,0))*求节点(基础状态预期!$C$121:$C$141,基础状态预期!$Y$121:$Y$141,$W121)+
求节点(基础状态预期!$C$121:$C$141,基础状态预期!$P$121:$P$141,$W121)*T$67*INDEX($P$57:$T$57,MATCH($O$67,$P$4:$T$4,0))*求节点(基础状态预期!$C$121:$C$141,基础状态预期!$Z$121:$Z$141,$W121)+
求节点(基础状态预期!$C$121:$C$141,基础状态预期!$Q$121:$Q$141,$W121)*T$68*INDEX($P$57:$T$57,MATCH($O$68,$P$4:$T$4,0))*求节点(基础状态预期!$C$121:$C$141,基础状态预期!$AA$121:$AA$141,$W121)+
求节点(基础状态预期!$C$121:$C$141,基础状态预期!$R$121:$R$141,$W121)*T$69*INDEX($P$57:$T$57,MATCH($O$69,$P$4:$T$4,0))*求节点(基础状态预期!$C$121:$C$141,基础状态预期!$AB$121:$AB$141,$W121)+
求节点(基础状态预期!$C$121:$C$141,基础状态预期!$S$121:$S$141,$W121)*T$70*INDEX($P$57:$T$57,MATCH($O$70,$P$4:$T$4,0))*求节点(基础状态预期!$C$121:$C$141,基础状态预期!$AC$121:$AC$141,$W121)</f>
        <v>2052690.5745455152</v>
      </c>
      <c r="AE121" s="70">
        <v>116</v>
      </c>
      <c r="AF121" s="113">
        <f>盗宝贼!AI120</f>
        <v>1182747.4996841035</v>
      </c>
      <c r="AG121" s="113">
        <f>盗宝贼!AJ120</f>
        <v>1457403.5381206293</v>
      </c>
      <c r="AH121" s="113">
        <f>盗宝贼!AK120</f>
        <v>1578183.4097452236</v>
      </c>
      <c r="AI121" s="113">
        <f>盗宝贼!AL120</f>
        <v>1275478.944494006</v>
      </c>
      <c r="AJ121" s="113">
        <f>盗宝贼!AM120</f>
        <v>685359.50395171857</v>
      </c>
      <c r="AL121" s="78">
        <f>盗宝贼!AI120/AF121</f>
        <v>1</v>
      </c>
      <c r="AM121" s="118"/>
      <c r="AO121" s="123">
        <f t="shared" si="28"/>
        <v>2.2507403654866467</v>
      </c>
      <c r="AP121" s="123">
        <f t="shared" si="29"/>
        <v>2.7806801815100948</v>
      </c>
      <c r="AQ121" s="123">
        <f t="shared" si="30"/>
        <v>0.76883648676306127</v>
      </c>
      <c r="AR121" s="123">
        <f t="shared" si="31"/>
        <v>0.61868976816006238</v>
      </c>
      <c r="AS121" s="123">
        <f t="shared" si="32"/>
        <v>0.33388349537458345</v>
      </c>
    </row>
    <row r="122" spans="3:45" x14ac:dyDescent="0.15">
      <c r="W122" s="70">
        <v>117</v>
      </c>
      <c r="X122" s="113">
        <f>求节点(基础状态预期!$C$17:$C$37,基础状态预期!$O$17:$O$37,$W122)*P$66*INDEX($P$57:$T$57,MATCH($O$66,$P$4:$T$4,0))*求节点(基础状态预期!$C$17:$C$37,基础状态预期!$Y$17:$Y$37,$W122)+
求节点(基础状态预期!$C$17:$C$37,基础状态预期!$P$17:$P$37,$W122)*P$67*INDEX($P$57:$T$57,MATCH($O$67,$P$4:$T$4,0))*求节点(基础状态预期!$C$17:$C$37,基础状态预期!$Z$17:$Z$37,$W122)+
求节点(基础状态预期!$C$17:$C$37,基础状态预期!$Q$17:$Q$37,$W122)*P$68*INDEX($P$57:$T$57,MATCH($O$68,$P$4:$T$4,0))*求节点(基础状态预期!$C$17:$C$37,基础状态预期!$AA$17:$AA$37,$W122)+
求节点(基础状态预期!$C$17:$C$37,基础状态预期!$R$17:$R$37,$W122)*P$69*INDEX($P$57:$T$57,MATCH($O$69,$P$4:$T$4,0))*求节点(基础状态预期!$C$17:$C$37,基础状态预期!$AB$17:$AB$37,$W122)+
求节点(基础状态预期!$C$17:$C$37,基础状态预期!$S$17:$S$37,$W122)*P$70*INDEX($P$57:$T$57,MATCH($O$70,$P$4:$T$4,0))*求节点(基础状态预期!$C$17:$C$37,基础状态预期!$AC$17:$AC$37,$W122)</f>
        <v>525492.64136397815</v>
      </c>
      <c r="Y122" s="113">
        <f>求节点(基础状态预期!$C$43:$C$63,基础状态预期!$O$43:$O$63,$W122)*Q$66*INDEX($P$57:$T$57,MATCH($O$66,$P$4:$T$4,0))*求节点(基础状态预期!$C$43:$C$63,基础状态预期!$Y$43:$Y$63,$W122)+
求节点(基础状态预期!$C$43:$C$63,基础状态预期!$P$43:$P$63,$W122)*Q$67*INDEX($P$57:$T$57,MATCH($O$67,$P$4:$T$4,0))*求节点(基础状态预期!$C$43:$C$63,基础状态预期!$Z$43:$Z$63,$W122)+
求节点(基础状态预期!$C$43:$C$63,基础状态预期!$Q$43:$Q$63,$W122)*Q$68*INDEX($P$57:$T$57,MATCH($O$68,$P$4:$T$4,0))*求节点(基础状态预期!$C$43:$C$63,基础状态预期!$AA$43:$AA$63,$W122)+
求节点(基础状态预期!$C$43:$C$63,基础状态预期!$R$43:$R$63,$W122)*Q$69*INDEX($P$57:$T$57,MATCH($O$69,$P$4:$T$4,0))*求节点(基础状态预期!$C$43:$C$63,基础状态预期!$AB$43:$AB$63,$W122)+
求节点(基础状态预期!$C$43:$C$63,基础状态预期!$S$43:$S$63,$W122)*Q$70*INDEX($P$57:$T$57,MATCH($O$70,$P$4:$T$4,0))*求节点(基础状态预期!$C$43:$C$63,基础状态预期!$AC$43:$AC$63,$W122)</f>
        <v>524117.64136397809</v>
      </c>
      <c r="Z122" s="113">
        <f>求节点(基础状态预期!$C$69:$C$89,基础状态预期!$O$69:$O$89,$W122)*R$66*INDEX($P$57:$T$57,MATCH($O$66,$P$4:$T$4,0))*求节点(基础状态预期!$C$69:$C$89,基础状态预期!AA133:AA153,$W122)+
求节点(基础状态预期!$C$69:$C$89,基础状态预期!$P$69:$P$89,$W122)*R$67*INDEX($P$57:$T$57,MATCH($O$67,$P$4:$T$4,0))*求节点(基础状态预期!$C$69:$C$89,基础状态预期!$Z$69:$Z$89,$W122)+
求节点(基础状态预期!$C$69:$C$89,基础状态预期!$Q$69:$Q$89,$W122)*R$68*INDEX($P$57:$T$57,MATCH($O$68,$P$4:$T$4,0))*求节点(基础状态预期!$C$69:$C$89,基础状态预期!$AA$69:$AA$89,$W122)+
求节点(基础状态预期!$C$69:$C$89,基础状态预期!$R$69:$R$89,$W122)*R$69*INDEX($P$57:$T$57,MATCH($O$69,$P$4:$T$4,0))*求节点(基础状态预期!$C$69:$C$89,基础状态预期!$AB$69:$AB$89,$W122)+
求节点(基础状态预期!$C$69:$C$89,基础状态预期!$S$69:$S$89,$W122)*R$70*INDEX($P$57:$T$57,MATCH($O$70,$P$4:$T$4,0))*求节点(基础状态预期!$C$69:$C$89,基础状态预期!$AC$69:$AC$89,$W122)</f>
        <v>2052690.5745455152</v>
      </c>
      <c r="AA122" s="113">
        <f>求节点(基础状态预期!$C$95:$C$115,基础状态预期!$O$95:$O$115,$W122)*S$66*INDEX($P$57:$T$57,MATCH($O$66,$P$4:$T$4,0))*求节点(基础状态预期!$C$95:$C$115,基础状态预期!$Y$95:$Y$115,$W122)+
求节点(基础状态预期!$C$95:$C$115,基础状态预期!$P$95:$P$115,$W122)*S$67*INDEX($P$57:$T$57,MATCH($O$67,$P$4:$T$4,0))*求节点(基础状态预期!$C$95:$C$115,基础状态预期!$Z$95:$Z$115,$W122)+
求节点(基础状态预期!$C$95:$C$115,基础状态预期!$Q$95:$Q$115,$W122)*S$68*INDEX($P$57:$T$57,MATCH($O$68,$P$4:$T$4,0))*求节点(基础状态预期!$C$95:$C$115,基础状态预期!$AA$95:$AA$115,$W122)+
求节点(基础状态预期!$C$95:$C$115,基础状态预期!$R$95:$R$115,$W122)*S$69*INDEX($P$57:$T$57,MATCH($O$69,$P$4:$T$4,0))*求节点(基础状态预期!$C$95:$C$115,基础状态预期!$AB$95:$AB$115,$W122)+
求节点(基础状态预期!$C$95:$C$115,基础状态预期!$S$95:$S$115,$W122)*S$70*INDEX($P$57:$T$57,MATCH($O$70,$P$4:$T$4,0))*求节点(基础状态预期!$C$95:$C$115,基础状态预期!$AC$95:$AC$115,$W122)</f>
        <v>2061580.7956339507</v>
      </c>
      <c r="AB122" s="113">
        <f>求节点(基础状态预期!$C$121:$C$141,基础状态预期!$O$121:$O$141,$W122)*T$66*INDEX($P$57:$T$57,MATCH($O$66,$P$4:$T$4,0))*求节点(基础状态预期!$C$121:$C$141,基础状态预期!$Y$121:$Y$141,$W122)+
求节点(基础状态预期!$C$121:$C$141,基础状态预期!$P$121:$P$141,$W122)*T$67*INDEX($P$57:$T$57,MATCH($O$67,$P$4:$T$4,0))*求节点(基础状态预期!$C$121:$C$141,基础状态预期!$Z$121:$Z$141,$W122)+
求节点(基础状态预期!$C$121:$C$141,基础状态预期!$Q$121:$Q$141,$W122)*T$68*INDEX($P$57:$T$57,MATCH($O$68,$P$4:$T$4,0))*求节点(基础状态预期!$C$121:$C$141,基础状态预期!$AA$121:$AA$141,$W122)+
求节点(基础状态预期!$C$121:$C$141,基础状态预期!$R$121:$R$141,$W122)*T$69*INDEX($P$57:$T$57,MATCH($O$69,$P$4:$T$4,0))*求节点(基础状态预期!$C$121:$C$141,基础状态预期!$AB$121:$AB$141,$W122)+
求节点(基础状态预期!$C$121:$C$141,基础状态预期!$S$121:$S$141,$W122)*T$70*INDEX($P$57:$T$57,MATCH($O$70,$P$4:$T$4,0))*求节点(基础状态预期!$C$121:$C$141,基础状态预期!$AC$121:$AC$141,$W122)</f>
        <v>2052690.5745455152</v>
      </c>
      <c r="AE122" s="70">
        <v>117</v>
      </c>
      <c r="AF122" s="113">
        <f>盗宝贼!AI121</f>
        <v>1331019.418594297</v>
      </c>
      <c r="AG122" s="113">
        <f>盗宝贼!AJ121</f>
        <v>1642667.4156822602</v>
      </c>
      <c r="AH122" s="113">
        <f>盗宝贼!AK121</f>
        <v>1780354.52015579</v>
      </c>
      <c r="AI122" s="113">
        <f>盗宝贼!AL121</f>
        <v>1441621.2026451987</v>
      </c>
      <c r="AJ122" s="113">
        <f>盗宝贼!AM121</f>
        <v>776142.48937485798</v>
      </c>
      <c r="AL122" s="78">
        <f>盗宝贼!AI121/AF122</f>
        <v>1</v>
      </c>
      <c r="AM122" s="118"/>
      <c r="AO122" s="123">
        <f t="shared" si="28"/>
        <v>2.5328983011816857</v>
      </c>
      <c r="AP122" s="123">
        <f t="shared" si="29"/>
        <v>3.1341578417534994</v>
      </c>
      <c r="AQ122" s="123">
        <f t="shared" si="30"/>
        <v>0.8673272738878226</v>
      </c>
      <c r="AR122" s="123">
        <f t="shared" si="31"/>
        <v>0.69927950711332165</v>
      </c>
      <c r="AS122" s="123">
        <f t="shared" si="32"/>
        <v>0.37810983252880337</v>
      </c>
    </row>
    <row r="123" spans="3:45" x14ac:dyDescent="0.15">
      <c r="W123" s="70">
        <v>118</v>
      </c>
      <c r="X123" s="113">
        <f>求节点(基础状态预期!$C$17:$C$37,基础状态预期!$O$17:$O$37,$W123)*P$66*INDEX($P$57:$T$57,MATCH($O$66,$P$4:$T$4,0))*求节点(基础状态预期!$C$17:$C$37,基础状态预期!$Y$17:$Y$37,$W123)+
求节点(基础状态预期!$C$17:$C$37,基础状态预期!$P$17:$P$37,$W123)*P$67*INDEX($P$57:$T$57,MATCH($O$67,$P$4:$T$4,0))*求节点(基础状态预期!$C$17:$C$37,基础状态预期!$Z$17:$Z$37,$W123)+
求节点(基础状态预期!$C$17:$C$37,基础状态预期!$Q$17:$Q$37,$W123)*P$68*INDEX($P$57:$T$57,MATCH($O$68,$P$4:$T$4,0))*求节点(基础状态预期!$C$17:$C$37,基础状态预期!$AA$17:$AA$37,$W123)+
求节点(基础状态预期!$C$17:$C$37,基础状态预期!$R$17:$R$37,$W123)*P$69*INDEX($P$57:$T$57,MATCH($O$69,$P$4:$T$4,0))*求节点(基础状态预期!$C$17:$C$37,基础状态预期!$AB$17:$AB$37,$W123)+
求节点(基础状态预期!$C$17:$C$37,基础状态预期!$S$17:$S$37,$W123)*P$70*INDEX($P$57:$T$57,MATCH($O$70,$P$4:$T$4,0))*求节点(基础状态预期!$C$17:$C$37,基础状态预期!$AC$17:$AC$37,$W123)</f>
        <v>525492.64136397815</v>
      </c>
      <c r="Y123" s="113">
        <f>求节点(基础状态预期!$C$43:$C$63,基础状态预期!$O$43:$O$63,$W123)*Q$66*INDEX($P$57:$T$57,MATCH($O$66,$P$4:$T$4,0))*求节点(基础状态预期!$C$43:$C$63,基础状态预期!$Y$43:$Y$63,$W123)+
求节点(基础状态预期!$C$43:$C$63,基础状态预期!$P$43:$P$63,$W123)*Q$67*INDEX($P$57:$T$57,MATCH($O$67,$P$4:$T$4,0))*求节点(基础状态预期!$C$43:$C$63,基础状态预期!$Z$43:$Z$63,$W123)+
求节点(基础状态预期!$C$43:$C$63,基础状态预期!$Q$43:$Q$63,$W123)*Q$68*INDEX($P$57:$T$57,MATCH($O$68,$P$4:$T$4,0))*求节点(基础状态预期!$C$43:$C$63,基础状态预期!$AA$43:$AA$63,$W123)+
求节点(基础状态预期!$C$43:$C$63,基础状态预期!$R$43:$R$63,$W123)*Q$69*INDEX($P$57:$T$57,MATCH($O$69,$P$4:$T$4,0))*求节点(基础状态预期!$C$43:$C$63,基础状态预期!$AB$43:$AB$63,$W123)+
求节点(基础状态预期!$C$43:$C$63,基础状态预期!$S$43:$S$63,$W123)*Q$70*INDEX($P$57:$T$57,MATCH($O$70,$P$4:$T$4,0))*求节点(基础状态预期!$C$43:$C$63,基础状态预期!$AC$43:$AC$63,$W123)</f>
        <v>524117.64136397809</v>
      </c>
      <c r="Z123" s="113">
        <f>求节点(基础状态预期!$C$69:$C$89,基础状态预期!$O$69:$O$89,$W123)*R$66*INDEX($P$57:$T$57,MATCH($O$66,$P$4:$T$4,0))*求节点(基础状态预期!$C$69:$C$89,基础状态预期!AA134:AA154,$W123)+
求节点(基础状态预期!$C$69:$C$89,基础状态预期!$P$69:$P$89,$W123)*R$67*INDEX($P$57:$T$57,MATCH($O$67,$P$4:$T$4,0))*求节点(基础状态预期!$C$69:$C$89,基础状态预期!$Z$69:$Z$89,$W123)+
求节点(基础状态预期!$C$69:$C$89,基础状态预期!$Q$69:$Q$89,$W123)*R$68*INDEX($P$57:$T$57,MATCH($O$68,$P$4:$T$4,0))*求节点(基础状态预期!$C$69:$C$89,基础状态预期!$AA$69:$AA$89,$W123)+
求节点(基础状态预期!$C$69:$C$89,基础状态预期!$R$69:$R$89,$W123)*R$69*INDEX($P$57:$T$57,MATCH($O$69,$P$4:$T$4,0))*求节点(基础状态预期!$C$69:$C$89,基础状态预期!$AB$69:$AB$89,$W123)+
求节点(基础状态预期!$C$69:$C$89,基础状态预期!$S$69:$S$89,$W123)*R$70*INDEX($P$57:$T$57,MATCH($O$70,$P$4:$T$4,0))*求节点(基础状态预期!$C$69:$C$89,基础状态预期!$AC$69:$AC$89,$W123)</f>
        <v>2052690.5745455152</v>
      </c>
      <c r="AA123" s="113">
        <f>求节点(基础状态预期!$C$95:$C$115,基础状态预期!$O$95:$O$115,$W123)*S$66*INDEX($P$57:$T$57,MATCH($O$66,$P$4:$T$4,0))*求节点(基础状态预期!$C$95:$C$115,基础状态预期!$Y$95:$Y$115,$W123)+
求节点(基础状态预期!$C$95:$C$115,基础状态预期!$P$95:$P$115,$W123)*S$67*INDEX($P$57:$T$57,MATCH($O$67,$P$4:$T$4,0))*求节点(基础状态预期!$C$95:$C$115,基础状态预期!$Z$95:$Z$115,$W123)+
求节点(基础状态预期!$C$95:$C$115,基础状态预期!$Q$95:$Q$115,$W123)*S$68*INDEX($P$57:$T$57,MATCH($O$68,$P$4:$T$4,0))*求节点(基础状态预期!$C$95:$C$115,基础状态预期!$AA$95:$AA$115,$W123)+
求节点(基础状态预期!$C$95:$C$115,基础状态预期!$R$95:$R$115,$W123)*S$69*INDEX($P$57:$T$57,MATCH($O$69,$P$4:$T$4,0))*求节点(基础状态预期!$C$95:$C$115,基础状态预期!$AB$95:$AB$115,$W123)+
求节点(基础状态预期!$C$95:$C$115,基础状态预期!$S$95:$S$115,$W123)*S$70*INDEX($P$57:$T$57,MATCH($O$70,$P$4:$T$4,0))*求节点(基础状态预期!$C$95:$C$115,基础状态预期!$AC$95:$AC$115,$W123)</f>
        <v>2061580.7956339507</v>
      </c>
      <c r="AB123" s="113">
        <f>求节点(基础状态预期!$C$121:$C$141,基础状态预期!$O$121:$O$141,$W123)*T$66*INDEX($P$57:$T$57,MATCH($O$66,$P$4:$T$4,0))*求节点(基础状态预期!$C$121:$C$141,基础状态预期!$Y$121:$Y$141,$W123)+
求节点(基础状态预期!$C$121:$C$141,基础状态预期!$P$121:$P$141,$W123)*T$67*INDEX($P$57:$T$57,MATCH($O$67,$P$4:$T$4,0))*求节点(基础状态预期!$C$121:$C$141,基础状态预期!$Z$121:$Z$141,$W123)+
求节点(基础状态预期!$C$121:$C$141,基础状态预期!$Q$121:$Q$141,$W123)*T$68*INDEX($P$57:$T$57,MATCH($O$68,$P$4:$T$4,0))*求节点(基础状态预期!$C$121:$C$141,基础状态预期!$AA$121:$AA$141,$W123)+
求节点(基础状态预期!$C$121:$C$141,基础状态预期!$R$121:$R$141,$W123)*T$69*INDEX($P$57:$T$57,MATCH($O$69,$P$4:$T$4,0))*求节点(基础状态预期!$C$121:$C$141,基础状态预期!$AB$121:$AB$141,$W123)+
求节点(基础状态预期!$C$121:$C$141,基础状态预期!$S$121:$S$141,$W123)*T$70*INDEX($P$57:$T$57,MATCH($O$70,$P$4:$T$4,0))*求节点(基础状态预期!$C$121:$C$141,基础状态预期!$AC$121:$AC$141,$W123)</f>
        <v>2052690.5745455152</v>
      </c>
      <c r="AE123" s="70">
        <v>118</v>
      </c>
      <c r="AF123" s="113">
        <f>盗宝贼!AI122</f>
        <v>1497879.021917949</v>
      </c>
      <c r="AG123" s="113">
        <f>盗宝贼!AJ122</f>
        <v>1851302.233209728</v>
      </c>
      <c r="AH123" s="113">
        <f>盗宝贼!AK122</f>
        <v>2010072.4818503927</v>
      </c>
      <c r="AI123" s="113">
        <f>盗宝贼!AL122</f>
        <v>1630638.4238348445</v>
      </c>
      <c r="AJ123" s="113">
        <f>盗宝贼!AM122</f>
        <v>875816.40654439549</v>
      </c>
      <c r="AL123" s="78">
        <f>盗宝贼!AI122/AF123</f>
        <v>1</v>
      </c>
      <c r="AM123" s="118"/>
      <c r="AO123" s="123">
        <f t="shared" si="28"/>
        <v>2.8504281582897666</v>
      </c>
      <c r="AP123" s="123">
        <f t="shared" si="29"/>
        <v>3.5322265214959154</v>
      </c>
      <c r="AQ123" s="123">
        <f t="shared" si="30"/>
        <v>0.97923793618794264</v>
      </c>
      <c r="AR123" s="123">
        <f t="shared" si="31"/>
        <v>0.79096508237185614</v>
      </c>
      <c r="AS123" s="123">
        <f t="shared" si="32"/>
        <v>0.42666752476237652</v>
      </c>
    </row>
    <row r="124" spans="3:45" x14ac:dyDescent="0.15">
      <c r="W124" s="70">
        <v>119</v>
      </c>
      <c r="X124" s="113">
        <f>求节点(基础状态预期!$C$17:$C$37,基础状态预期!$O$17:$O$37,$W124)*P$66*INDEX($P$57:$T$57,MATCH($O$66,$P$4:$T$4,0))*求节点(基础状态预期!$C$17:$C$37,基础状态预期!$Y$17:$Y$37,$W124)+
求节点(基础状态预期!$C$17:$C$37,基础状态预期!$P$17:$P$37,$W124)*P$67*INDEX($P$57:$T$57,MATCH($O$67,$P$4:$T$4,0))*求节点(基础状态预期!$C$17:$C$37,基础状态预期!$Z$17:$Z$37,$W124)+
求节点(基础状态预期!$C$17:$C$37,基础状态预期!$Q$17:$Q$37,$W124)*P$68*INDEX($P$57:$T$57,MATCH($O$68,$P$4:$T$4,0))*求节点(基础状态预期!$C$17:$C$37,基础状态预期!$AA$17:$AA$37,$W124)+
求节点(基础状态预期!$C$17:$C$37,基础状态预期!$R$17:$R$37,$W124)*P$69*INDEX($P$57:$T$57,MATCH($O$69,$P$4:$T$4,0))*求节点(基础状态预期!$C$17:$C$37,基础状态预期!$AB$17:$AB$37,$W124)+
求节点(基础状态预期!$C$17:$C$37,基础状态预期!$S$17:$S$37,$W124)*P$70*INDEX($P$57:$T$57,MATCH($O$70,$P$4:$T$4,0))*求节点(基础状态预期!$C$17:$C$37,基础状态预期!$AC$17:$AC$37,$W124)</f>
        <v>525492.64136397815</v>
      </c>
      <c r="Y124" s="113">
        <f>求节点(基础状态预期!$C$43:$C$63,基础状态预期!$O$43:$O$63,$W124)*Q$66*INDEX($P$57:$T$57,MATCH($O$66,$P$4:$T$4,0))*求节点(基础状态预期!$C$43:$C$63,基础状态预期!$Y$43:$Y$63,$W124)+
求节点(基础状态预期!$C$43:$C$63,基础状态预期!$P$43:$P$63,$W124)*Q$67*INDEX($P$57:$T$57,MATCH($O$67,$P$4:$T$4,0))*求节点(基础状态预期!$C$43:$C$63,基础状态预期!$Z$43:$Z$63,$W124)+
求节点(基础状态预期!$C$43:$C$63,基础状态预期!$Q$43:$Q$63,$W124)*Q$68*INDEX($P$57:$T$57,MATCH($O$68,$P$4:$T$4,0))*求节点(基础状态预期!$C$43:$C$63,基础状态预期!$AA$43:$AA$63,$W124)+
求节点(基础状态预期!$C$43:$C$63,基础状态预期!$R$43:$R$63,$W124)*Q$69*INDEX($P$57:$T$57,MATCH($O$69,$P$4:$T$4,0))*求节点(基础状态预期!$C$43:$C$63,基础状态预期!$AB$43:$AB$63,$W124)+
求节点(基础状态预期!$C$43:$C$63,基础状态预期!$S$43:$S$63,$W124)*Q$70*INDEX($P$57:$T$57,MATCH($O$70,$P$4:$T$4,0))*求节点(基础状态预期!$C$43:$C$63,基础状态预期!$AC$43:$AC$63,$W124)</f>
        <v>524117.64136397809</v>
      </c>
      <c r="Z124" s="113">
        <f>求节点(基础状态预期!$C$69:$C$89,基础状态预期!$O$69:$O$89,$W124)*R$66*INDEX($P$57:$T$57,MATCH($O$66,$P$4:$T$4,0))*求节点(基础状态预期!$C$69:$C$89,基础状态预期!AA135:AA155,$W124)+
求节点(基础状态预期!$C$69:$C$89,基础状态预期!$P$69:$P$89,$W124)*R$67*INDEX($P$57:$T$57,MATCH($O$67,$P$4:$T$4,0))*求节点(基础状态预期!$C$69:$C$89,基础状态预期!$Z$69:$Z$89,$W124)+
求节点(基础状态预期!$C$69:$C$89,基础状态预期!$Q$69:$Q$89,$W124)*R$68*INDEX($P$57:$T$57,MATCH($O$68,$P$4:$T$4,0))*求节点(基础状态预期!$C$69:$C$89,基础状态预期!$AA$69:$AA$89,$W124)+
求节点(基础状态预期!$C$69:$C$89,基础状态预期!$R$69:$R$89,$W124)*R$69*INDEX($P$57:$T$57,MATCH($O$69,$P$4:$T$4,0))*求节点(基础状态预期!$C$69:$C$89,基础状态预期!$AB$69:$AB$89,$W124)+
求节点(基础状态预期!$C$69:$C$89,基础状态预期!$S$69:$S$89,$W124)*R$70*INDEX($P$57:$T$57,MATCH($O$70,$P$4:$T$4,0))*求节点(基础状态预期!$C$69:$C$89,基础状态预期!$AC$69:$AC$89,$W124)</f>
        <v>2052690.5745455152</v>
      </c>
      <c r="AA124" s="113">
        <f>求节点(基础状态预期!$C$95:$C$115,基础状态预期!$O$95:$O$115,$W124)*S$66*INDEX($P$57:$T$57,MATCH($O$66,$P$4:$T$4,0))*求节点(基础状态预期!$C$95:$C$115,基础状态预期!$Y$95:$Y$115,$W124)+
求节点(基础状态预期!$C$95:$C$115,基础状态预期!$P$95:$P$115,$W124)*S$67*INDEX($P$57:$T$57,MATCH($O$67,$P$4:$T$4,0))*求节点(基础状态预期!$C$95:$C$115,基础状态预期!$Z$95:$Z$115,$W124)+
求节点(基础状态预期!$C$95:$C$115,基础状态预期!$Q$95:$Q$115,$W124)*S$68*INDEX($P$57:$T$57,MATCH($O$68,$P$4:$T$4,0))*求节点(基础状态预期!$C$95:$C$115,基础状态预期!$AA$95:$AA$115,$W124)+
求节点(基础状态预期!$C$95:$C$115,基础状态预期!$R$95:$R$115,$W124)*S$69*INDEX($P$57:$T$57,MATCH($O$69,$P$4:$T$4,0))*求节点(基础状态预期!$C$95:$C$115,基础状态预期!$AB$95:$AB$115,$W124)+
求节点(基础状态预期!$C$95:$C$115,基础状态预期!$S$95:$S$115,$W124)*S$70*INDEX($P$57:$T$57,MATCH($O$70,$P$4:$T$4,0))*求节点(基础状态预期!$C$95:$C$115,基础状态预期!$AC$95:$AC$115,$W124)</f>
        <v>2061580.7956339507</v>
      </c>
      <c r="AB124" s="113">
        <f>求节点(基础状态预期!$C$121:$C$141,基础状态预期!$O$121:$O$141,$W124)*T$66*INDEX($P$57:$T$57,MATCH($O$66,$P$4:$T$4,0))*求节点(基础状态预期!$C$121:$C$141,基础状态预期!$Y$121:$Y$141,$W124)+
求节点(基础状态预期!$C$121:$C$141,基础状态预期!$P$121:$P$141,$W124)*T$67*INDEX($P$57:$T$57,MATCH($O$67,$P$4:$T$4,0))*求节点(基础状态预期!$C$121:$C$141,基础状态预期!$Z$121:$Z$141,$W124)+
求节点(基础状态预期!$C$121:$C$141,基础状态预期!$Q$121:$Q$141,$W124)*T$68*INDEX($P$57:$T$57,MATCH($O$68,$P$4:$T$4,0))*求节点(基础状态预期!$C$121:$C$141,基础状态预期!$AA$121:$AA$141,$W124)+
求节点(基础状态预期!$C$121:$C$141,基础状态预期!$R$121:$R$141,$W124)*T$69*INDEX($P$57:$T$57,MATCH($O$69,$P$4:$T$4,0))*求节点(基础状态预期!$C$121:$C$141,基础状态预期!$AB$121:$AB$141,$W124)+
求节点(基础状态预期!$C$121:$C$141,基础状态预期!$S$121:$S$141,$W124)*T$70*INDEX($P$57:$T$57,MATCH($O$70,$P$4:$T$4,0))*求节点(基础状态预期!$C$121:$C$141,基础状态预期!$AC$121:$AC$141,$W124)</f>
        <v>2052690.5745455152</v>
      </c>
      <c r="AE124" s="70">
        <v>119</v>
      </c>
      <c r="AF124" s="113">
        <f>盗宝贼!AI123</f>
        <v>1685656.501470143</v>
      </c>
      <c r="AG124" s="113">
        <f>盗宝贼!AJ123</f>
        <v>2086256.1042459458</v>
      </c>
      <c r="AH124" s="113">
        <f>盗宝贼!AK123</f>
        <v>2268997.1125422097</v>
      </c>
      <c r="AI124" s="113">
        <f>盗宝贼!AL123</f>
        <v>1837621.0512620839</v>
      </c>
      <c r="AJ124" s="113">
        <f>盗宝贼!AM123</f>
        <v>978696.41370419005</v>
      </c>
      <c r="AL124" s="78">
        <f>盗宝贼!AI123/AF124</f>
        <v>1</v>
      </c>
      <c r="AM124" s="118"/>
      <c r="AO124" s="123">
        <f t="shared" si="28"/>
        <v>3.2077642364216987</v>
      </c>
      <c r="AP124" s="123">
        <f t="shared" si="29"/>
        <v>3.980511128792795</v>
      </c>
      <c r="AQ124" s="123">
        <f t="shared" si="30"/>
        <v>1.1053770795652369</v>
      </c>
      <c r="AR124" s="123">
        <f t="shared" si="31"/>
        <v>0.89136504140600636</v>
      </c>
      <c r="AS124" s="123">
        <f t="shared" si="32"/>
        <v>0.4767871133820949</v>
      </c>
    </row>
    <row r="125" spans="3:45" s="104" customFormat="1" x14ac:dyDescent="0.15">
      <c r="C125" s="66"/>
      <c r="D125" s="66"/>
      <c r="E125" s="66"/>
      <c r="F125" s="66"/>
      <c r="G125" s="78"/>
      <c r="H125" s="78"/>
      <c r="I125" s="78"/>
      <c r="J125" s="78"/>
      <c r="W125" s="104">
        <v>120</v>
      </c>
      <c r="X125" s="113">
        <f>求节点(基础状态预期!$C$17:$C$37,基础状态预期!$O$17:$O$37,$W125)*P$66*INDEX($P$57:$T$57,MATCH($O$66,$P$4:$T$4,0))*求节点(基础状态预期!$C$17:$C$37,基础状态预期!$Y$17:$Y$37,$W125)+
求节点(基础状态预期!$C$17:$C$37,基础状态预期!$P$17:$P$37,$W125)*P$67*INDEX($P$57:$T$57,MATCH($O$67,$P$4:$T$4,0))*求节点(基础状态预期!$C$17:$C$37,基础状态预期!$Z$17:$Z$37,$W125)+
求节点(基础状态预期!$C$17:$C$37,基础状态预期!$Q$17:$Q$37,$W125)*P$68*INDEX($P$57:$T$57,MATCH($O$68,$P$4:$T$4,0))*求节点(基础状态预期!$C$17:$C$37,基础状态预期!$AA$17:$AA$37,$W125)+
求节点(基础状态预期!$C$17:$C$37,基础状态预期!$R$17:$R$37,$W125)*P$69*INDEX($P$57:$T$57,MATCH($O$69,$P$4:$T$4,0))*求节点(基础状态预期!$C$17:$C$37,基础状态预期!$AB$17:$AB$37,$W125)+
求节点(基础状态预期!$C$17:$C$37,基础状态预期!$S$17:$S$37,$W125)*P$70*INDEX($P$57:$T$57,MATCH($O$70,$P$4:$T$4,0))*求节点(基础状态预期!$C$17:$C$37,基础状态预期!$AC$17:$AC$37,$W125)</f>
        <v>525492.64136397815</v>
      </c>
      <c r="Y125" s="113">
        <f>求节点(基础状态预期!$C$43:$C$63,基础状态预期!$O$43:$O$63,$W125)*Q$66*INDEX($P$57:$T$57,MATCH($O$66,$P$4:$T$4,0))*求节点(基础状态预期!$C$43:$C$63,基础状态预期!$Y$43:$Y$63,$W125)+
求节点(基础状态预期!$C$43:$C$63,基础状态预期!$P$43:$P$63,$W125)*Q$67*INDEX($P$57:$T$57,MATCH($O$67,$P$4:$T$4,0))*求节点(基础状态预期!$C$43:$C$63,基础状态预期!$Z$43:$Z$63,$W125)+
求节点(基础状态预期!$C$43:$C$63,基础状态预期!$Q$43:$Q$63,$W125)*Q$68*INDEX($P$57:$T$57,MATCH($O$68,$P$4:$T$4,0))*求节点(基础状态预期!$C$43:$C$63,基础状态预期!$AA$43:$AA$63,$W125)+
求节点(基础状态预期!$C$43:$C$63,基础状态预期!$R$43:$R$63,$W125)*Q$69*INDEX($P$57:$T$57,MATCH($O$69,$P$4:$T$4,0))*求节点(基础状态预期!$C$43:$C$63,基础状态预期!$AB$43:$AB$63,$W125)+
求节点(基础状态预期!$C$43:$C$63,基础状态预期!$S$43:$S$63,$W125)*Q$70*INDEX($P$57:$T$57,MATCH($O$70,$P$4:$T$4,0))*求节点(基础状态预期!$C$43:$C$63,基础状态预期!$AC$43:$AC$63,$W125)</f>
        <v>524117.64136397809</v>
      </c>
      <c r="Z125" s="113">
        <f>求节点(基础状态预期!$C$69:$C$89,基础状态预期!$O$69:$O$89,$W125)*R$66*INDEX($P$57:$T$57,MATCH($O$66,$P$4:$T$4,0))*求节点(基础状态预期!$C$69:$C$89,基础状态预期!AA136:AA156,$W125)+
求节点(基础状态预期!$C$69:$C$89,基础状态预期!$P$69:$P$89,$W125)*R$67*INDEX($P$57:$T$57,MATCH($O$67,$P$4:$T$4,0))*求节点(基础状态预期!$C$69:$C$89,基础状态预期!$Z$69:$Z$89,$W125)+
求节点(基础状态预期!$C$69:$C$89,基础状态预期!$Q$69:$Q$89,$W125)*R$68*INDEX($P$57:$T$57,MATCH($O$68,$P$4:$T$4,0))*求节点(基础状态预期!$C$69:$C$89,基础状态预期!$AA$69:$AA$89,$W125)+
求节点(基础状态预期!$C$69:$C$89,基础状态预期!$R$69:$R$89,$W125)*R$69*INDEX($P$57:$T$57,MATCH($O$69,$P$4:$T$4,0))*求节点(基础状态预期!$C$69:$C$89,基础状态预期!$AB$69:$AB$89,$W125)+
求节点(基础状态预期!$C$69:$C$89,基础状态预期!$S$69:$S$89,$W125)*R$70*INDEX($P$57:$T$57,MATCH($O$70,$P$4:$T$4,0))*求节点(基础状态预期!$C$69:$C$89,基础状态预期!$AC$69:$AC$89,$W125)</f>
        <v>2052690.5745455152</v>
      </c>
      <c r="AA125" s="113">
        <f>求节点(基础状态预期!$C$95:$C$115,基础状态预期!$O$95:$O$115,$W125)*S$66*INDEX($P$57:$T$57,MATCH($O$66,$P$4:$T$4,0))*求节点(基础状态预期!$C$95:$C$115,基础状态预期!$Y$95:$Y$115,$W125)+
求节点(基础状态预期!$C$95:$C$115,基础状态预期!$P$95:$P$115,$W125)*S$67*INDEX($P$57:$T$57,MATCH($O$67,$P$4:$T$4,0))*求节点(基础状态预期!$C$95:$C$115,基础状态预期!$Z$95:$Z$115,$W125)+
求节点(基础状态预期!$C$95:$C$115,基础状态预期!$Q$95:$Q$115,$W125)*S$68*INDEX($P$57:$T$57,MATCH($O$68,$P$4:$T$4,0))*求节点(基础状态预期!$C$95:$C$115,基础状态预期!$AA$95:$AA$115,$W125)+
求节点(基础状态预期!$C$95:$C$115,基础状态预期!$R$95:$R$115,$W125)*S$69*INDEX($P$57:$T$57,MATCH($O$69,$P$4:$T$4,0))*求节点(基础状态预期!$C$95:$C$115,基础状态预期!$AB$95:$AB$115,$W125)+
求节点(基础状态预期!$C$95:$C$115,基础状态预期!$S$95:$S$115,$W125)*S$70*INDEX($P$57:$T$57,MATCH($O$70,$P$4:$T$4,0))*求节点(基础状态预期!$C$95:$C$115,基础状态预期!$AC$95:$AC$115,$W125)</f>
        <v>2061580.7956339507</v>
      </c>
      <c r="AB125" s="113">
        <f>求节点(基础状态预期!$C$121:$C$141,基础状态预期!$O$121:$O$141,$W125)*T$66*INDEX($P$57:$T$57,MATCH($O$66,$P$4:$T$4,0))*求节点(基础状态预期!$C$121:$C$141,基础状态预期!$Y$121:$Y$141,$W125)+
求节点(基础状态预期!$C$121:$C$141,基础状态预期!$P$121:$P$141,$W125)*T$67*INDEX($P$57:$T$57,MATCH($O$67,$P$4:$T$4,0))*求节点(基础状态预期!$C$121:$C$141,基础状态预期!$Z$121:$Z$141,$W125)+
求节点(基础状态预期!$C$121:$C$141,基础状态预期!$Q$121:$Q$141,$W125)*T$68*INDEX($P$57:$T$57,MATCH($O$68,$P$4:$T$4,0))*求节点(基础状态预期!$C$121:$C$141,基础状态预期!$AA$121:$AA$141,$W125)+
求节点(基础状态预期!$C$121:$C$141,基础状态预期!$R$121:$R$141,$W125)*T$69*INDEX($P$57:$T$57,MATCH($O$69,$P$4:$T$4,0))*求节点(基础状态预期!$C$121:$C$141,基础状态预期!$AB$121:$AB$141,$W125)+
求节点(基础状态预期!$C$121:$C$141,基础状态预期!$S$121:$S$141,$W125)*T$70*INDEX($P$57:$T$57,MATCH($O$70,$P$4:$T$4,0))*求节点(基础状态预期!$C$121:$C$141,基础状态预期!$AC$121:$AC$141,$W125)</f>
        <v>2052690.5745455152</v>
      </c>
      <c r="AE125" s="104">
        <v>120</v>
      </c>
      <c r="AF125" s="113">
        <f>盗宝贼!AI124</f>
        <v>1896974.1668884377</v>
      </c>
      <c r="AG125" s="113">
        <f>盗宝贼!AJ124</f>
        <v>2350849.0159239494</v>
      </c>
      <c r="AH125" s="113">
        <f>盗宝贼!AK124</f>
        <v>2554600.0791223752</v>
      </c>
      <c r="AI125" s="113">
        <f>盗宝贼!AL124</f>
        <v>2049501.5691668473</v>
      </c>
      <c r="AJ125" s="113">
        <f>盗宝贼!AM124</f>
        <v>1095318.5204084523</v>
      </c>
      <c r="AL125" s="103">
        <f>盗宝贼!AI124/AF125</f>
        <v>1</v>
      </c>
      <c r="AM125" s="118"/>
      <c r="AO125" s="123">
        <f t="shared" si="28"/>
        <v>3.6098967284577332</v>
      </c>
      <c r="AP125" s="123">
        <f t="shared" si="29"/>
        <v>4.4853460948309918</v>
      </c>
      <c r="AQ125" s="123">
        <f t="shared" si="30"/>
        <v>1.2445129873936247</v>
      </c>
      <c r="AR125" s="123">
        <f t="shared" si="31"/>
        <v>0.99414079404858391</v>
      </c>
      <c r="AS125" s="123">
        <f t="shared" si="32"/>
        <v>0.53360137859597567</v>
      </c>
    </row>
    <row r="126" spans="3:45" x14ac:dyDescent="0.15">
      <c r="C126" s="104"/>
      <c r="D126" s="104"/>
      <c r="E126" s="104"/>
      <c r="F126" s="104"/>
      <c r="G126" s="103"/>
      <c r="H126" s="103"/>
      <c r="I126" s="103"/>
      <c r="J126" s="103"/>
      <c r="W126" s="70">
        <v>121</v>
      </c>
      <c r="X126" s="113">
        <f>求节点(基础状态预期!$C$17:$C$37,基础状态预期!$O$17:$O$37,$W126)*P$66*INDEX($P$57:$T$57,MATCH($O$66,$P$4:$T$4,0))*求节点(基础状态预期!$C$17:$C$37,基础状态预期!$Y$17:$Y$37,$W126)+
求节点(基础状态预期!$C$17:$C$37,基础状态预期!$P$17:$P$37,$W126)*P$67*INDEX($P$57:$T$57,MATCH($O$67,$P$4:$T$4,0))*求节点(基础状态预期!$C$17:$C$37,基础状态预期!$Z$17:$Z$37,$W126)+
求节点(基础状态预期!$C$17:$C$37,基础状态预期!$Q$17:$Q$37,$W126)*P$68*INDEX($P$57:$T$57,MATCH($O$68,$P$4:$T$4,0))*求节点(基础状态预期!$C$17:$C$37,基础状态预期!$AA$17:$AA$37,$W126)+
求节点(基础状态预期!$C$17:$C$37,基础状态预期!$R$17:$R$37,$W126)*P$69*INDEX($P$57:$T$57,MATCH($O$69,$P$4:$T$4,0))*求节点(基础状态预期!$C$17:$C$37,基础状态预期!$AB$17:$AB$37,$W126)+
求节点(基础状态预期!$C$17:$C$37,基础状态预期!$S$17:$S$37,$W126)*P$70*INDEX($P$57:$T$57,MATCH($O$70,$P$4:$T$4,0))*求节点(基础状态预期!$C$17:$C$37,基础状态预期!$AC$17:$AC$37,$W126)</f>
        <v>525492.64136397815</v>
      </c>
      <c r="Y126" s="113">
        <f>求节点(基础状态预期!$C$43:$C$63,基础状态预期!$O$43:$O$63,$W126)*Q$66*INDEX($P$57:$T$57,MATCH($O$66,$P$4:$T$4,0))*求节点(基础状态预期!$C$43:$C$63,基础状态预期!$Y$43:$Y$63,$W126)+
求节点(基础状态预期!$C$43:$C$63,基础状态预期!$P$43:$P$63,$W126)*Q$67*INDEX($P$57:$T$57,MATCH($O$67,$P$4:$T$4,0))*求节点(基础状态预期!$C$43:$C$63,基础状态预期!$Z$43:$Z$63,$W126)+
求节点(基础状态预期!$C$43:$C$63,基础状态预期!$Q$43:$Q$63,$W126)*Q$68*INDEX($P$57:$T$57,MATCH($O$68,$P$4:$T$4,0))*求节点(基础状态预期!$C$43:$C$63,基础状态预期!$AA$43:$AA$63,$W126)+
求节点(基础状态预期!$C$43:$C$63,基础状态预期!$R$43:$R$63,$W126)*Q$69*INDEX($P$57:$T$57,MATCH($O$69,$P$4:$T$4,0))*求节点(基础状态预期!$C$43:$C$63,基础状态预期!$AB$43:$AB$63,$W126)+
求节点(基础状态预期!$C$43:$C$63,基础状态预期!$S$43:$S$63,$W126)*Q$70*INDEX($P$57:$T$57,MATCH($O$70,$P$4:$T$4,0))*求节点(基础状态预期!$C$43:$C$63,基础状态预期!$AC$43:$AC$63,$W126)</f>
        <v>524117.64136397809</v>
      </c>
      <c r="Z126" s="113">
        <f>求节点(基础状态预期!$C$69:$C$89,基础状态预期!$O$69:$O$89,$W126)*R$66*INDEX($P$57:$T$57,MATCH($O$66,$P$4:$T$4,0))*求节点(基础状态预期!$C$69:$C$89,基础状态预期!AA137:AA157,$W126)+
求节点(基础状态预期!$C$69:$C$89,基础状态预期!$P$69:$P$89,$W126)*R$67*INDEX($P$57:$T$57,MATCH($O$67,$P$4:$T$4,0))*求节点(基础状态预期!$C$69:$C$89,基础状态预期!$Z$69:$Z$89,$W126)+
求节点(基础状态预期!$C$69:$C$89,基础状态预期!$Q$69:$Q$89,$W126)*R$68*INDEX($P$57:$T$57,MATCH($O$68,$P$4:$T$4,0))*求节点(基础状态预期!$C$69:$C$89,基础状态预期!$AA$69:$AA$89,$W126)+
求节点(基础状态预期!$C$69:$C$89,基础状态预期!$R$69:$R$89,$W126)*R$69*INDEX($P$57:$T$57,MATCH($O$69,$P$4:$T$4,0))*求节点(基础状态预期!$C$69:$C$89,基础状态预期!$AB$69:$AB$89,$W126)+
求节点(基础状态预期!$C$69:$C$89,基础状态预期!$S$69:$S$89,$W126)*R$70*INDEX($P$57:$T$57,MATCH($O$70,$P$4:$T$4,0))*求节点(基础状态预期!$C$69:$C$89,基础状态预期!$AC$69:$AC$89,$W126)</f>
        <v>2052690.5745455152</v>
      </c>
      <c r="AA126" s="113">
        <f>求节点(基础状态预期!$C$95:$C$115,基础状态预期!$O$95:$O$115,$W126)*S$66*INDEX($P$57:$T$57,MATCH($O$66,$P$4:$T$4,0))*求节点(基础状态预期!$C$95:$C$115,基础状态预期!$Y$95:$Y$115,$W126)+
求节点(基础状态预期!$C$95:$C$115,基础状态预期!$P$95:$P$115,$W126)*S$67*INDEX($P$57:$T$57,MATCH($O$67,$P$4:$T$4,0))*求节点(基础状态预期!$C$95:$C$115,基础状态预期!$Z$95:$Z$115,$W126)+
求节点(基础状态预期!$C$95:$C$115,基础状态预期!$Q$95:$Q$115,$W126)*S$68*INDEX($P$57:$T$57,MATCH($O$68,$P$4:$T$4,0))*求节点(基础状态预期!$C$95:$C$115,基础状态预期!$AA$95:$AA$115,$W126)+
求节点(基础状态预期!$C$95:$C$115,基础状态预期!$R$95:$R$115,$W126)*S$69*INDEX($P$57:$T$57,MATCH($O$69,$P$4:$T$4,0))*求节点(基础状态预期!$C$95:$C$115,基础状态预期!$AB$95:$AB$115,$W126)+
求节点(基础状态预期!$C$95:$C$115,基础状态预期!$S$95:$S$115,$W126)*S$70*INDEX($P$57:$T$57,MATCH($O$70,$P$4:$T$4,0))*求节点(基础状态预期!$C$95:$C$115,基础状态预期!$AC$95:$AC$115,$W126)</f>
        <v>2061580.7956339507</v>
      </c>
      <c r="AB126" s="113">
        <f>求节点(基础状态预期!$C$121:$C$141,基础状态预期!$O$121:$O$141,$W126)*T$66*INDEX($P$57:$T$57,MATCH($O$66,$P$4:$T$4,0))*求节点(基础状态预期!$C$121:$C$141,基础状态预期!$Y$121:$Y$141,$W126)+
求节点(基础状态预期!$C$121:$C$141,基础状态预期!$P$121:$P$141,$W126)*T$67*INDEX($P$57:$T$57,MATCH($O$67,$P$4:$T$4,0))*求节点(基础状态预期!$C$121:$C$141,基础状态预期!$Z$121:$Z$141,$W126)+
求节点(基础状态预期!$C$121:$C$141,基础状态预期!$Q$121:$Q$141,$W126)*T$68*INDEX($P$57:$T$57,MATCH($O$68,$P$4:$T$4,0))*求节点(基础状态预期!$C$121:$C$141,基础状态预期!$AA$121:$AA$141,$W126)+
求节点(基础状态预期!$C$121:$C$141,基础状态预期!$R$121:$R$141,$W126)*T$69*INDEX($P$57:$T$57,MATCH($O$69,$P$4:$T$4,0))*求节点(基础状态预期!$C$121:$C$141,基础状态预期!$AB$121:$AB$141,$W126)+
求节点(基础状态预期!$C$121:$C$141,基础状态预期!$S$121:$S$141,$W126)*T$70*INDEX($P$57:$T$57,MATCH($O$70,$P$4:$T$4,0))*求节点(基础状态预期!$C$121:$C$141,基础状态预期!$AC$121:$AC$141,$W126)</f>
        <v>2052690.5745455152</v>
      </c>
      <c r="AE126" s="70">
        <v>121</v>
      </c>
      <c r="AF126" s="113">
        <f>盗宝贼!AI125</f>
        <v>2134783.066146913</v>
      </c>
      <c r="AG126" s="113">
        <f>盗宝贼!AJ125</f>
        <v>2640028.8185932329</v>
      </c>
      <c r="AH126" s="113">
        <f>盗宝贼!AK125</f>
        <v>2847960.0138041028</v>
      </c>
      <c r="AI126" s="113">
        <f>盗宝贼!AL125</f>
        <v>2286505.8204093906</v>
      </c>
      <c r="AJ126" s="113">
        <f>盗宝贼!AM125</f>
        <v>1228412.9014017861</v>
      </c>
      <c r="AL126" s="78">
        <f>盗宝贼!AI125/AF126</f>
        <v>1</v>
      </c>
      <c r="AM126" s="118"/>
      <c r="AO126" s="123">
        <f t="shared" si="28"/>
        <v>4.0624414085149354</v>
      </c>
      <c r="AP126" s="123">
        <f t="shared" si="29"/>
        <v>5.0370920767382481</v>
      </c>
      <c r="AQ126" s="123">
        <f t="shared" si="30"/>
        <v>1.3874278223519723</v>
      </c>
      <c r="AR126" s="123">
        <f t="shared" si="31"/>
        <v>1.1091031820105182</v>
      </c>
      <c r="AS126" s="123">
        <f t="shared" si="32"/>
        <v>0.59844036730853511</v>
      </c>
    </row>
    <row r="127" spans="3:45" x14ac:dyDescent="0.15">
      <c r="W127" s="70">
        <v>122</v>
      </c>
      <c r="X127" s="113">
        <f>求节点(基础状态预期!$C$17:$C$37,基础状态预期!$O$17:$O$37,$W127)*P$66*INDEX($P$57:$T$57,MATCH($O$66,$P$4:$T$4,0))*求节点(基础状态预期!$C$17:$C$37,基础状态预期!$Y$17:$Y$37,$W127)+
求节点(基础状态预期!$C$17:$C$37,基础状态预期!$P$17:$P$37,$W127)*P$67*INDEX($P$57:$T$57,MATCH($O$67,$P$4:$T$4,0))*求节点(基础状态预期!$C$17:$C$37,基础状态预期!$Z$17:$Z$37,$W127)+
求节点(基础状态预期!$C$17:$C$37,基础状态预期!$Q$17:$Q$37,$W127)*P$68*INDEX($P$57:$T$57,MATCH($O$68,$P$4:$T$4,0))*求节点(基础状态预期!$C$17:$C$37,基础状态预期!$AA$17:$AA$37,$W127)+
求节点(基础状态预期!$C$17:$C$37,基础状态预期!$R$17:$R$37,$W127)*P$69*INDEX($P$57:$T$57,MATCH($O$69,$P$4:$T$4,0))*求节点(基础状态预期!$C$17:$C$37,基础状态预期!$AB$17:$AB$37,$W127)+
求节点(基础状态预期!$C$17:$C$37,基础状态预期!$S$17:$S$37,$W127)*P$70*INDEX($P$57:$T$57,MATCH($O$70,$P$4:$T$4,0))*求节点(基础状态预期!$C$17:$C$37,基础状态预期!$AC$17:$AC$37,$W127)</f>
        <v>525492.64136397815</v>
      </c>
      <c r="Y127" s="113">
        <f>求节点(基础状态预期!$C$43:$C$63,基础状态预期!$O$43:$O$63,$W127)*Q$66*INDEX($P$57:$T$57,MATCH($O$66,$P$4:$T$4,0))*求节点(基础状态预期!$C$43:$C$63,基础状态预期!$Y$43:$Y$63,$W127)+
求节点(基础状态预期!$C$43:$C$63,基础状态预期!$P$43:$P$63,$W127)*Q$67*INDEX($P$57:$T$57,MATCH($O$67,$P$4:$T$4,0))*求节点(基础状态预期!$C$43:$C$63,基础状态预期!$Z$43:$Z$63,$W127)+
求节点(基础状态预期!$C$43:$C$63,基础状态预期!$Q$43:$Q$63,$W127)*Q$68*INDEX($P$57:$T$57,MATCH($O$68,$P$4:$T$4,0))*求节点(基础状态预期!$C$43:$C$63,基础状态预期!$AA$43:$AA$63,$W127)+
求节点(基础状态预期!$C$43:$C$63,基础状态预期!$R$43:$R$63,$W127)*Q$69*INDEX($P$57:$T$57,MATCH($O$69,$P$4:$T$4,0))*求节点(基础状态预期!$C$43:$C$63,基础状态预期!$AB$43:$AB$63,$W127)+
求节点(基础状态预期!$C$43:$C$63,基础状态预期!$S$43:$S$63,$W127)*Q$70*INDEX($P$57:$T$57,MATCH($O$70,$P$4:$T$4,0))*求节点(基础状态预期!$C$43:$C$63,基础状态预期!$AC$43:$AC$63,$W127)</f>
        <v>524117.64136397809</v>
      </c>
      <c r="Z127" s="113">
        <f>求节点(基础状态预期!$C$69:$C$89,基础状态预期!$O$69:$O$89,$W127)*R$66*INDEX($P$57:$T$57,MATCH($O$66,$P$4:$T$4,0))*求节点(基础状态预期!$C$69:$C$89,基础状态预期!AA138:AA158,$W127)+
求节点(基础状态预期!$C$69:$C$89,基础状态预期!$P$69:$P$89,$W127)*R$67*INDEX($P$57:$T$57,MATCH($O$67,$P$4:$T$4,0))*求节点(基础状态预期!$C$69:$C$89,基础状态预期!$Z$69:$Z$89,$W127)+
求节点(基础状态预期!$C$69:$C$89,基础状态预期!$Q$69:$Q$89,$W127)*R$68*INDEX($P$57:$T$57,MATCH($O$68,$P$4:$T$4,0))*求节点(基础状态预期!$C$69:$C$89,基础状态预期!$AA$69:$AA$89,$W127)+
求节点(基础状态预期!$C$69:$C$89,基础状态预期!$R$69:$R$89,$W127)*R$69*INDEX($P$57:$T$57,MATCH($O$69,$P$4:$T$4,0))*求节点(基础状态预期!$C$69:$C$89,基础状态预期!$AB$69:$AB$89,$W127)+
求节点(基础状态预期!$C$69:$C$89,基础状态预期!$S$69:$S$89,$W127)*R$70*INDEX($P$57:$T$57,MATCH($O$70,$P$4:$T$4,0))*求节点(基础状态预期!$C$69:$C$89,基础状态预期!$AC$69:$AC$89,$W127)</f>
        <v>2052690.5745455152</v>
      </c>
      <c r="AA127" s="113">
        <f>求节点(基础状态预期!$C$95:$C$115,基础状态预期!$O$95:$O$115,$W127)*S$66*INDEX($P$57:$T$57,MATCH($O$66,$P$4:$T$4,0))*求节点(基础状态预期!$C$95:$C$115,基础状态预期!$Y$95:$Y$115,$W127)+
求节点(基础状态预期!$C$95:$C$115,基础状态预期!$P$95:$P$115,$W127)*S$67*INDEX($P$57:$T$57,MATCH($O$67,$P$4:$T$4,0))*求节点(基础状态预期!$C$95:$C$115,基础状态预期!$Z$95:$Z$115,$W127)+
求节点(基础状态预期!$C$95:$C$115,基础状态预期!$Q$95:$Q$115,$W127)*S$68*INDEX($P$57:$T$57,MATCH($O$68,$P$4:$T$4,0))*求节点(基础状态预期!$C$95:$C$115,基础状态预期!$AA$95:$AA$115,$W127)+
求节点(基础状态预期!$C$95:$C$115,基础状态预期!$R$95:$R$115,$W127)*S$69*INDEX($P$57:$T$57,MATCH($O$69,$P$4:$T$4,0))*求节点(基础状态预期!$C$95:$C$115,基础状态预期!$AB$95:$AB$115,$W127)+
求节点(基础状态预期!$C$95:$C$115,基础状态预期!$S$95:$S$115,$W127)*S$70*INDEX($P$57:$T$57,MATCH($O$70,$P$4:$T$4,0))*求节点(基础状态预期!$C$95:$C$115,基础状态预期!$AC$95:$AC$115,$W127)</f>
        <v>2061580.7956339507</v>
      </c>
      <c r="AB127" s="113">
        <f>求节点(基础状态预期!$C$121:$C$141,基础状态预期!$O$121:$O$141,$W127)*T$66*INDEX($P$57:$T$57,MATCH($O$66,$P$4:$T$4,0))*求节点(基础状态预期!$C$121:$C$141,基础状态预期!$Y$121:$Y$141,$W127)+
求节点(基础状态预期!$C$121:$C$141,基础状态预期!$P$121:$P$141,$W127)*T$67*INDEX($P$57:$T$57,MATCH($O$67,$P$4:$T$4,0))*求节点(基础状态预期!$C$121:$C$141,基础状态预期!$Z$121:$Z$141,$W127)+
求节点(基础状态预期!$C$121:$C$141,基础状态预期!$Q$121:$Q$141,$W127)*T$68*INDEX($P$57:$T$57,MATCH($O$68,$P$4:$T$4,0))*求节点(基础状态预期!$C$121:$C$141,基础状态预期!$AA$121:$AA$141,$W127)+
求节点(基础状态预期!$C$121:$C$141,基础状态预期!$R$121:$R$141,$W127)*T$69*INDEX($P$57:$T$57,MATCH($O$69,$P$4:$T$4,0))*求节点(基础状态预期!$C$121:$C$141,基础状态预期!$AB$121:$AB$141,$W127)+
求节点(基础状态预期!$C$121:$C$141,基础状态预期!$S$121:$S$141,$W127)*T$70*INDEX($P$57:$T$57,MATCH($O$70,$P$4:$T$4,0))*求节点(基础状态预期!$C$121:$C$141,基础状态预期!$AC$121:$AC$141,$W127)</f>
        <v>2052690.5745455152</v>
      </c>
      <c r="AE127" s="70">
        <v>122</v>
      </c>
      <c r="AF127" s="113">
        <f>盗宝贼!AI126</f>
        <v>2402404.1968961195</v>
      </c>
      <c r="AG127" s="113">
        <f>盗宝贼!AJ126</f>
        <v>2955720.778070719</v>
      </c>
      <c r="AH127" s="113">
        <f>盗宝贼!AK126</f>
        <v>3191839.0898676002</v>
      </c>
      <c r="AI127" s="113">
        <f>盗宝贼!AL126</f>
        <v>2569495.8466685675</v>
      </c>
      <c r="AJ127" s="113">
        <f>盗宝贼!AM126</f>
        <v>1383140.5342803118</v>
      </c>
      <c r="AL127" s="78">
        <f>盗宝贼!AI126/AF127</f>
        <v>1</v>
      </c>
      <c r="AM127" s="118"/>
      <c r="AO127" s="123">
        <f t="shared" si="28"/>
        <v>4.5717180561470778</v>
      </c>
      <c r="AP127" s="123">
        <f t="shared" si="29"/>
        <v>5.6394224212309858</v>
      </c>
      <c r="AQ127" s="123">
        <f t="shared" si="30"/>
        <v>1.5549538393404974</v>
      </c>
      <c r="AR127" s="123">
        <f t="shared" si="31"/>
        <v>1.2463716445701705</v>
      </c>
      <c r="AS127" s="123">
        <f t="shared" si="32"/>
        <v>0.67381832967521271</v>
      </c>
    </row>
    <row r="128" spans="3:45" x14ac:dyDescent="0.15">
      <c r="W128" s="70">
        <v>123</v>
      </c>
      <c r="X128" s="113">
        <f>求节点(基础状态预期!$C$17:$C$37,基础状态预期!$O$17:$O$37,$W128)*P$66*INDEX($P$57:$T$57,MATCH($O$66,$P$4:$T$4,0))*求节点(基础状态预期!$C$17:$C$37,基础状态预期!$Y$17:$Y$37,$W128)+
求节点(基础状态预期!$C$17:$C$37,基础状态预期!$P$17:$P$37,$W128)*P$67*INDEX($P$57:$T$57,MATCH($O$67,$P$4:$T$4,0))*求节点(基础状态预期!$C$17:$C$37,基础状态预期!$Z$17:$Z$37,$W128)+
求节点(基础状态预期!$C$17:$C$37,基础状态预期!$Q$17:$Q$37,$W128)*P$68*INDEX($P$57:$T$57,MATCH($O$68,$P$4:$T$4,0))*求节点(基础状态预期!$C$17:$C$37,基础状态预期!$AA$17:$AA$37,$W128)+
求节点(基础状态预期!$C$17:$C$37,基础状态预期!$R$17:$R$37,$W128)*P$69*INDEX($P$57:$T$57,MATCH($O$69,$P$4:$T$4,0))*求节点(基础状态预期!$C$17:$C$37,基础状态预期!$AB$17:$AB$37,$W128)+
求节点(基础状态预期!$C$17:$C$37,基础状态预期!$S$17:$S$37,$W128)*P$70*INDEX($P$57:$T$57,MATCH($O$70,$P$4:$T$4,0))*求节点(基础状态预期!$C$17:$C$37,基础状态预期!$AC$17:$AC$37,$W128)</f>
        <v>525492.64136397815</v>
      </c>
      <c r="Y128" s="113">
        <f>求节点(基础状态预期!$C$43:$C$63,基础状态预期!$O$43:$O$63,$W128)*Q$66*INDEX($P$57:$T$57,MATCH($O$66,$P$4:$T$4,0))*求节点(基础状态预期!$C$43:$C$63,基础状态预期!$Y$43:$Y$63,$W128)+
求节点(基础状态预期!$C$43:$C$63,基础状态预期!$P$43:$P$63,$W128)*Q$67*INDEX($P$57:$T$57,MATCH($O$67,$P$4:$T$4,0))*求节点(基础状态预期!$C$43:$C$63,基础状态预期!$Z$43:$Z$63,$W128)+
求节点(基础状态预期!$C$43:$C$63,基础状态预期!$Q$43:$Q$63,$W128)*Q$68*INDEX($P$57:$T$57,MATCH($O$68,$P$4:$T$4,0))*求节点(基础状态预期!$C$43:$C$63,基础状态预期!$AA$43:$AA$63,$W128)+
求节点(基础状态预期!$C$43:$C$63,基础状态预期!$R$43:$R$63,$W128)*Q$69*INDEX($P$57:$T$57,MATCH($O$69,$P$4:$T$4,0))*求节点(基础状态预期!$C$43:$C$63,基础状态预期!$AB$43:$AB$63,$W128)+
求节点(基础状态预期!$C$43:$C$63,基础状态预期!$S$43:$S$63,$W128)*Q$70*INDEX($P$57:$T$57,MATCH($O$70,$P$4:$T$4,0))*求节点(基础状态预期!$C$43:$C$63,基础状态预期!$AC$43:$AC$63,$W128)</f>
        <v>524117.64136397809</v>
      </c>
      <c r="Z128" s="113">
        <f>求节点(基础状态预期!$C$69:$C$89,基础状态预期!$O$69:$O$89,$W128)*R$66*INDEX($P$57:$T$57,MATCH($O$66,$P$4:$T$4,0))*求节点(基础状态预期!$C$69:$C$89,基础状态预期!AA139:AA159,$W128)+
求节点(基础状态预期!$C$69:$C$89,基础状态预期!$P$69:$P$89,$W128)*R$67*INDEX($P$57:$T$57,MATCH($O$67,$P$4:$T$4,0))*求节点(基础状态预期!$C$69:$C$89,基础状态预期!$Z$69:$Z$89,$W128)+
求节点(基础状态预期!$C$69:$C$89,基础状态预期!$Q$69:$Q$89,$W128)*R$68*INDEX($P$57:$T$57,MATCH($O$68,$P$4:$T$4,0))*求节点(基础状态预期!$C$69:$C$89,基础状态预期!$AA$69:$AA$89,$W128)+
求节点(基础状态预期!$C$69:$C$89,基础状态预期!$R$69:$R$89,$W128)*R$69*INDEX($P$57:$T$57,MATCH($O$69,$P$4:$T$4,0))*求节点(基础状态预期!$C$69:$C$89,基础状态预期!$AB$69:$AB$89,$W128)+
求节点(基础状态预期!$C$69:$C$89,基础状态预期!$S$69:$S$89,$W128)*R$70*INDEX($P$57:$T$57,MATCH($O$70,$P$4:$T$4,0))*求节点(基础状态预期!$C$69:$C$89,基础状态预期!$AC$69:$AC$89,$W128)</f>
        <v>2052690.5745455152</v>
      </c>
      <c r="AA128" s="113">
        <f>求节点(基础状态预期!$C$95:$C$115,基础状态预期!$O$95:$O$115,$W128)*S$66*INDEX($P$57:$T$57,MATCH($O$66,$P$4:$T$4,0))*求节点(基础状态预期!$C$95:$C$115,基础状态预期!$Y$95:$Y$115,$W128)+
求节点(基础状态预期!$C$95:$C$115,基础状态预期!$P$95:$P$115,$W128)*S$67*INDEX($P$57:$T$57,MATCH($O$67,$P$4:$T$4,0))*求节点(基础状态预期!$C$95:$C$115,基础状态预期!$Z$95:$Z$115,$W128)+
求节点(基础状态预期!$C$95:$C$115,基础状态预期!$Q$95:$Q$115,$W128)*S$68*INDEX($P$57:$T$57,MATCH($O$68,$P$4:$T$4,0))*求节点(基础状态预期!$C$95:$C$115,基础状态预期!$AA$95:$AA$115,$W128)+
求节点(基础状态预期!$C$95:$C$115,基础状态预期!$R$95:$R$115,$W128)*S$69*INDEX($P$57:$T$57,MATCH($O$69,$P$4:$T$4,0))*求节点(基础状态预期!$C$95:$C$115,基础状态预期!$AB$95:$AB$115,$W128)+
求节点(基础状态预期!$C$95:$C$115,基础状态预期!$S$95:$S$115,$W128)*S$70*INDEX($P$57:$T$57,MATCH($O$70,$P$4:$T$4,0))*求节点(基础状态预期!$C$95:$C$115,基础状态预期!$AC$95:$AC$115,$W128)</f>
        <v>2061580.7956339507</v>
      </c>
      <c r="AB128" s="113">
        <f>求节点(基础状态预期!$C$121:$C$141,基础状态预期!$O$121:$O$141,$W128)*T$66*INDEX($P$57:$T$57,MATCH($O$66,$P$4:$T$4,0))*求节点(基础状态预期!$C$121:$C$141,基础状态预期!$Y$121:$Y$141,$W128)+
求节点(基础状态预期!$C$121:$C$141,基础状态预期!$P$121:$P$141,$W128)*T$67*INDEX($P$57:$T$57,MATCH($O$67,$P$4:$T$4,0))*求节点(基础状态预期!$C$121:$C$141,基础状态预期!$Z$121:$Z$141,$W128)+
求节点(基础状态预期!$C$121:$C$141,基础状态预期!$Q$121:$Q$141,$W128)*T$68*INDEX($P$57:$T$57,MATCH($O$68,$P$4:$T$4,0))*求节点(基础状态预期!$C$121:$C$141,基础状态预期!$AA$121:$AA$141,$W128)+
求节点(基础状态预期!$C$121:$C$141,基础状态预期!$R$121:$R$141,$W128)*T$69*INDEX($P$57:$T$57,MATCH($O$69,$P$4:$T$4,0))*求节点(基础状态预期!$C$121:$C$141,基础状态预期!$AB$121:$AB$141,$W128)+
求节点(基础状态预期!$C$121:$C$141,基础状态预期!$S$121:$S$141,$W128)*T$70*INDEX($P$57:$T$57,MATCH($O$70,$P$4:$T$4,0))*求节点(基础状态预期!$C$121:$C$141,基础状态预期!$AC$121:$AC$141,$W128)</f>
        <v>2052690.5745455152</v>
      </c>
      <c r="AE128" s="70">
        <v>123</v>
      </c>
      <c r="AF128" s="113">
        <f>盗宝贼!AI127</f>
        <v>2703574.8841446303</v>
      </c>
      <c r="AG128" s="113">
        <f>盗宝贼!AJ127</f>
        <v>3324866.8829782917</v>
      </c>
      <c r="AH128" s="113">
        <f>盗宝贼!AK127</f>
        <v>3606159.546663112</v>
      </c>
      <c r="AI128" s="113">
        <f>盗宝贼!AL127</f>
        <v>2917694.0834737779</v>
      </c>
      <c r="AJ128" s="113">
        <f>盗宝贼!AM127</f>
        <v>1567265.7463272985</v>
      </c>
      <c r="AL128" s="78">
        <f>盗宝贼!AI127/AF128</f>
        <v>1</v>
      </c>
      <c r="AM128" s="118"/>
      <c r="AO128" s="123">
        <f t="shared" si="28"/>
        <v>5.1448387119697481</v>
      </c>
      <c r="AP128" s="123">
        <f t="shared" si="29"/>
        <v>6.3437415964964794</v>
      </c>
      <c r="AQ128" s="123">
        <f t="shared" si="30"/>
        <v>1.7567964657613091</v>
      </c>
      <c r="AR128" s="123">
        <f t="shared" si="31"/>
        <v>1.4152703059966982</v>
      </c>
      <c r="AS128" s="123">
        <f t="shared" si="32"/>
        <v>0.76351777796529596</v>
      </c>
    </row>
    <row r="129" spans="23:45" x14ac:dyDescent="0.15">
      <c r="W129" s="70">
        <v>124</v>
      </c>
      <c r="X129" s="113">
        <f>求节点(基础状态预期!$C$17:$C$37,基础状态预期!$O$17:$O$37,$W129)*P$66*INDEX($P$57:$T$57,MATCH($O$66,$P$4:$T$4,0))*求节点(基础状态预期!$C$17:$C$37,基础状态预期!$Y$17:$Y$37,$W129)+
求节点(基础状态预期!$C$17:$C$37,基础状态预期!$P$17:$P$37,$W129)*P$67*INDEX($P$57:$T$57,MATCH($O$67,$P$4:$T$4,0))*求节点(基础状态预期!$C$17:$C$37,基础状态预期!$Z$17:$Z$37,$W129)+
求节点(基础状态预期!$C$17:$C$37,基础状态预期!$Q$17:$Q$37,$W129)*P$68*INDEX($P$57:$T$57,MATCH($O$68,$P$4:$T$4,0))*求节点(基础状态预期!$C$17:$C$37,基础状态预期!$AA$17:$AA$37,$W129)+
求节点(基础状态预期!$C$17:$C$37,基础状态预期!$R$17:$R$37,$W129)*P$69*INDEX($P$57:$T$57,MATCH($O$69,$P$4:$T$4,0))*求节点(基础状态预期!$C$17:$C$37,基础状态预期!$AB$17:$AB$37,$W129)+
求节点(基础状态预期!$C$17:$C$37,基础状态预期!$S$17:$S$37,$W129)*P$70*INDEX($P$57:$T$57,MATCH($O$70,$P$4:$T$4,0))*求节点(基础状态预期!$C$17:$C$37,基础状态预期!$AC$17:$AC$37,$W129)</f>
        <v>525492.64136397815</v>
      </c>
      <c r="Y129" s="113">
        <f>求节点(基础状态预期!$C$43:$C$63,基础状态预期!$O$43:$O$63,$W129)*Q$66*INDEX($P$57:$T$57,MATCH($O$66,$P$4:$T$4,0))*求节点(基础状态预期!$C$43:$C$63,基础状态预期!$Y$43:$Y$63,$W129)+
求节点(基础状态预期!$C$43:$C$63,基础状态预期!$P$43:$P$63,$W129)*Q$67*INDEX($P$57:$T$57,MATCH($O$67,$P$4:$T$4,0))*求节点(基础状态预期!$C$43:$C$63,基础状态预期!$Z$43:$Z$63,$W129)+
求节点(基础状态预期!$C$43:$C$63,基础状态预期!$Q$43:$Q$63,$W129)*Q$68*INDEX($P$57:$T$57,MATCH($O$68,$P$4:$T$4,0))*求节点(基础状态预期!$C$43:$C$63,基础状态预期!$AA$43:$AA$63,$W129)+
求节点(基础状态预期!$C$43:$C$63,基础状态预期!$R$43:$R$63,$W129)*Q$69*INDEX($P$57:$T$57,MATCH($O$69,$P$4:$T$4,0))*求节点(基础状态预期!$C$43:$C$63,基础状态预期!$AB$43:$AB$63,$W129)+
求节点(基础状态预期!$C$43:$C$63,基础状态预期!$S$43:$S$63,$W129)*Q$70*INDEX($P$57:$T$57,MATCH($O$70,$P$4:$T$4,0))*求节点(基础状态预期!$C$43:$C$63,基础状态预期!$AC$43:$AC$63,$W129)</f>
        <v>524117.64136397809</v>
      </c>
      <c r="Z129" s="113">
        <f>求节点(基础状态预期!$C$69:$C$89,基础状态预期!$O$69:$O$89,$W129)*R$66*INDEX($P$57:$T$57,MATCH($O$66,$P$4:$T$4,0))*求节点(基础状态预期!$C$69:$C$89,基础状态预期!AA140:AA160,$W129)+
求节点(基础状态预期!$C$69:$C$89,基础状态预期!$P$69:$P$89,$W129)*R$67*INDEX($P$57:$T$57,MATCH($O$67,$P$4:$T$4,0))*求节点(基础状态预期!$C$69:$C$89,基础状态预期!$Z$69:$Z$89,$W129)+
求节点(基础状态预期!$C$69:$C$89,基础状态预期!$Q$69:$Q$89,$W129)*R$68*INDEX($P$57:$T$57,MATCH($O$68,$P$4:$T$4,0))*求节点(基础状态预期!$C$69:$C$89,基础状态预期!$AA$69:$AA$89,$W129)+
求节点(基础状态预期!$C$69:$C$89,基础状态预期!$R$69:$R$89,$W129)*R$69*INDEX($P$57:$T$57,MATCH($O$69,$P$4:$T$4,0))*求节点(基础状态预期!$C$69:$C$89,基础状态预期!$AB$69:$AB$89,$W129)+
求节点(基础状态预期!$C$69:$C$89,基础状态预期!$S$69:$S$89,$W129)*R$70*INDEX($P$57:$T$57,MATCH($O$70,$P$4:$T$4,0))*求节点(基础状态预期!$C$69:$C$89,基础状态预期!$AC$69:$AC$89,$W129)</f>
        <v>2052690.5745455152</v>
      </c>
      <c r="AA129" s="113">
        <f>求节点(基础状态预期!$C$95:$C$115,基础状态预期!$O$95:$O$115,$W129)*S$66*INDEX($P$57:$T$57,MATCH($O$66,$P$4:$T$4,0))*求节点(基础状态预期!$C$95:$C$115,基础状态预期!$Y$95:$Y$115,$W129)+
求节点(基础状态预期!$C$95:$C$115,基础状态预期!$P$95:$P$115,$W129)*S$67*INDEX($P$57:$T$57,MATCH($O$67,$P$4:$T$4,0))*求节点(基础状态预期!$C$95:$C$115,基础状态预期!$Z$95:$Z$115,$W129)+
求节点(基础状态预期!$C$95:$C$115,基础状态预期!$Q$95:$Q$115,$W129)*S$68*INDEX($P$57:$T$57,MATCH($O$68,$P$4:$T$4,0))*求节点(基础状态预期!$C$95:$C$115,基础状态预期!$AA$95:$AA$115,$W129)+
求节点(基础状态预期!$C$95:$C$115,基础状态预期!$R$95:$R$115,$W129)*S$69*INDEX($P$57:$T$57,MATCH($O$69,$P$4:$T$4,0))*求节点(基础状态预期!$C$95:$C$115,基础状态预期!$AB$95:$AB$115,$W129)+
求节点(基础状态预期!$C$95:$C$115,基础状态预期!$S$95:$S$115,$W129)*S$70*INDEX($P$57:$T$57,MATCH($O$70,$P$4:$T$4,0))*求节点(基础状态预期!$C$95:$C$115,基础状态预期!$AC$95:$AC$115,$W129)</f>
        <v>2061580.7956339507</v>
      </c>
      <c r="AB129" s="113">
        <f>求节点(基础状态预期!$C$121:$C$141,基础状态预期!$O$121:$O$141,$W129)*T$66*INDEX($P$57:$T$57,MATCH($O$66,$P$4:$T$4,0))*求节点(基础状态预期!$C$121:$C$141,基础状态预期!$Y$121:$Y$141,$W129)+
求节点(基础状态预期!$C$121:$C$141,基础状态预期!$P$121:$P$141,$W129)*T$67*INDEX($P$57:$T$57,MATCH($O$67,$P$4:$T$4,0))*求节点(基础状态预期!$C$121:$C$141,基础状态预期!$Z$121:$Z$141,$W129)+
求节点(基础状态预期!$C$121:$C$141,基础状态预期!$Q$121:$Q$141,$W129)*T$68*INDEX($P$57:$T$57,MATCH($O$68,$P$4:$T$4,0))*求节点(基础状态预期!$C$121:$C$141,基础状态预期!$AA$121:$AA$141,$W129)+
求节点(基础状态预期!$C$121:$C$141,基础状态预期!$R$121:$R$141,$W129)*T$69*INDEX($P$57:$T$57,MATCH($O$69,$P$4:$T$4,0))*求节点(基础状态预期!$C$121:$C$141,基础状态预期!$AB$121:$AB$141,$W129)+
求节点(基础状态预期!$C$121:$C$141,基础状态预期!$S$121:$S$141,$W129)*T$70*INDEX($P$57:$T$57,MATCH($O$70,$P$4:$T$4,0))*求节点(基础状态预期!$C$121:$C$141,基础状态预期!$AC$121:$AC$141,$W129)</f>
        <v>2052690.5745455152</v>
      </c>
      <c r="AE129" s="70">
        <v>124</v>
      </c>
      <c r="AF129" s="113">
        <f>盗宝贼!AI128</f>
        <v>3042500.9719457319</v>
      </c>
      <c r="AG129" s="113">
        <f>盗宝贼!AJ128</f>
        <v>3762203.1046081716</v>
      </c>
      <c r="AH129" s="113">
        <f>盗宝贼!AK128</f>
        <v>4079298.0859385566</v>
      </c>
      <c r="AI129" s="113">
        <f>盗宝贼!AL128</f>
        <v>3299958.6654514037</v>
      </c>
      <c r="AJ129" s="113">
        <f>盗宝贼!AM128</f>
        <v>1781954.6403236487</v>
      </c>
      <c r="AL129" s="78">
        <f>盗宝贼!AI128/AF129</f>
        <v>1</v>
      </c>
      <c r="AM129" s="118"/>
      <c r="AO129" s="123">
        <f t="shared" si="28"/>
        <v>5.7898069971989745</v>
      </c>
      <c r="AP129" s="123">
        <f t="shared" si="29"/>
        <v>7.178165372982507</v>
      </c>
      <c r="AQ129" s="123">
        <f t="shared" si="30"/>
        <v>1.9872932318801879</v>
      </c>
      <c r="AR129" s="123">
        <f t="shared" si="31"/>
        <v>1.6006933477650305</v>
      </c>
      <c r="AS129" s="123">
        <f t="shared" si="32"/>
        <v>0.86810679720599881</v>
      </c>
    </row>
    <row r="130" spans="23:45" x14ac:dyDescent="0.15">
      <c r="W130" s="70">
        <v>125</v>
      </c>
      <c r="X130" s="113">
        <f>求节点(基础状态预期!$C$17:$C$37,基础状态预期!$O$17:$O$37,$W130)*P$66*INDEX($P$57:$T$57,MATCH($O$66,$P$4:$T$4,0))*求节点(基础状态预期!$C$17:$C$37,基础状态预期!$Y$17:$Y$37,$W130)+
求节点(基础状态预期!$C$17:$C$37,基础状态预期!$P$17:$P$37,$W130)*P$67*INDEX($P$57:$T$57,MATCH($O$67,$P$4:$T$4,0))*求节点(基础状态预期!$C$17:$C$37,基础状态预期!$Z$17:$Z$37,$W130)+
求节点(基础状态预期!$C$17:$C$37,基础状态预期!$Q$17:$Q$37,$W130)*P$68*INDEX($P$57:$T$57,MATCH($O$68,$P$4:$T$4,0))*求节点(基础状态预期!$C$17:$C$37,基础状态预期!$AA$17:$AA$37,$W130)+
求节点(基础状态预期!$C$17:$C$37,基础状态预期!$R$17:$R$37,$W130)*P$69*INDEX($P$57:$T$57,MATCH($O$69,$P$4:$T$4,0))*求节点(基础状态预期!$C$17:$C$37,基础状态预期!$AB$17:$AB$37,$W130)+
求节点(基础状态预期!$C$17:$C$37,基础状态预期!$S$17:$S$37,$W130)*P$70*INDEX($P$57:$T$57,MATCH($O$70,$P$4:$T$4,0))*求节点(基础状态预期!$C$17:$C$37,基础状态预期!$AC$17:$AC$37,$W130)</f>
        <v>525492.64136397815</v>
      </c>
      <c r="Y130" s="113">
        <f>求节点(基础状态预期!$C$43:$C$63,基础状态预期!$O$43:$O$63,$W130)*Q$66*INDEX($P$57:$T$57,MATCH($O$66,$P$4:$T$4,0))*求节点(基础状态预期!$C$43:$C$63,基础状态预期!$Y$43:$Y$63,$W130)+
求节点(基础状态预期!$C$43:$C$63,基础状态预期!$P$43:$P$63,$W130)*Q$67*INDEX($P$57:$T$57,MATCH($O$67,$P$4:$T$4,0))*求节点(基础状态预期!$C$43:$C$63,基础状态预期!$Z$43:$Z$63,$W130)+
求节点(基础状态预期!$C$43:$C$63,基础状态预期!$Q$43:$Q$63,$W130)*Q$68*INDEX($P$57:$T$57,MATCH($O$68,$P$4:$T$4,0))*求节点(基础状态预期!$C$43:$C$63,基础状态预期!$AA$43:$AA$63,$W130)+
求节点(基础状态预期!$C$43:$C$63,基础状态预期!$R$43:$R$63,$W130)*Q$69*INDEX($P$57:$T$57,MATCH($O$69,$P$4:$T$4,0))*求节点(基础状态预期!$C$43:$C$63,基础状态预期!$AB$43:$AB$63,$W130)+
求节点(基础状态预期!$C$43:$C$63,基础状态预期!$S$43:$S$63,$W130)*Q$70*INDEX($P$57:$T$57,MATCH($O$70,$P$4:$T$4,0))*求节点(基础状态预期!$C$43:$C$63,基础状态预期!$AC$43:$AC$63,$W130)</f>
        <v>524117.64136397809</v>
      </c>
      <c r="Z130" s="113">
        <f>求节点(基础状态预期!$C$69:$C$89,基础状态预期!$O$69:$O$89,$W130)*R$66*INDEX($P$57:$T$57,MATCH($O$66,$P$4:$T$4,0))*求节点(基础状态预期!$C$69:$C$89,基础状态预期!AA141:AA161,$W130)+
求节点(基础状态预期!$C$69:$C$89,基础状态预期!$P$69:$P$89,$W130)*R$67*INDEX($P$57:$T$57,MATCH($O$67,$P$4:$T$4,0))*求节点(基础状态预期!$C$69:$C$89,基础状态预期!$Z$69:$Z$89,$W130)+
求节点(基础状态预期!$C$69:$C$89,基础状态预期!$Q$69:$Q$89,$W130)*R$68*INDEX($P$57:$T$57,MATCH($O$68,$P$4:$T$4,0))*求节点(基础状态预期!$C$69:$C$89,基础状态预期!$AA$69:$AA$89,$W130)+
求节点(基础状态预期!$C$69:$C$89,基础状态预期!$R$69:$R$89,$W130)*R$69*INDEX($P$57:$T$57,MATCH($O$69,$P$4:$T$4,0))*求节点(基础状态预期!$C$69:$C$89,基础状态预期!$AB$69:$AB$89,$W130)+
求节点(基础状态预期!$C$69:$C$89,基础状态预期!$S$69:$S$89,$W130)*R$70*INDEX($P$57:$T$57,MATCH($O$70,$P$4:$T$4,0))*求节点(基础状态预期!$C$69:$C$89,基础状态预期!$AC$69:$AC$89,$W130)</f>
        <v>2052690.5745455152</v>
      </c>
      <c r="AA130" s="113">
        <f>求节点(基础状态预期!$C$95:$C$115,基础状态预期!$O$95:$O$115,$W130)*S$66*INDEX($P$57:$T$57,MATCH($O$66,$P$4:$T$4,0))*求节点(基础状态预期!$C$95:$C$115,基础状态预期!$Y$95:$Y$115,$W130)+
求节点(基础状态预期!$C$95:$C$115,基础状态预期!$P$95:$P$115,$W130)*S$67*INDEX($P$57:$T$57,MATCH($O$67,$P$4:$T$4,0))*求节点(基础状态预期!$C$95:$C$115,基础状态预期!$Z$95:$Z$115,$W130)+
求节点(基础状态预期!$C$95:$C$115,基础状态预期!$Q$95:$Q$115,$W130)*S$68*INDEX($P$57:$T$57,MATCH($O$68,$P$4:$T$4,0))*求节点(基础状态预期!$C$95:$C$115,基础状态预期!$AA$95:$AA$115,$W130)+
求节点(基础状态预期!$C$95:$C$115,基础状态预期!$R$95:$R$115,$W130)*S$69*INDEX($P$57:$T$57,MATCH($O$69,$P$4:$T$4,0))*求节点(基础状态预期!$C$95:$C$115,基础状态预期!$AB$95:$AB$115,$W130)+
求节点(基础状态预期!$C$95:$C$115,基础状态预期!$S$95:$S$115,$W130)*S$70*INDEX($P$57:$T$57,MATCH($O$70,$P$4:$T$4,0))*求节点(基础状态预期!$C$95:$C$115,基础状态预期!$AC$95:$AC$115,$W130)</f>
        <v>2061580.7956339507</v>
      </c>
      <c r="AB130" s="113">
        <f>求节点(基础状态预期!$C$121:$C$141,基础状态预期!$O$121:$O$141,$W130)*T$66*INDEX($P$57:$T$57,MATCH($O$66,$P$4:$T$4,0))*求节点(基础状态预期!$C$121:$C$141,基础状态预期!$Y$121:$Y$141,$W130)+
求节点(基础状态预期!$C$121:$C$141,基础状态预期!$P$121:$P$141,$W130)*T$67*INDEX($P$57:$T$57,MATCH($O$67,$P$4:$T$4,0))*求节点(基础状态预期!$C$121:$C$141,基础状态预期!$Z$121:$Z$141,$W130)+
求节点(基础状态预期!$C$121:$C$141,基础状态预期!$Q$121:$Q$141,$W130)*T$68*INDEX($P$57:$T$57,MATCH($O$68,$P$4:$T$4,0))*求节点(基础状态预期!$C$121:$C$141,基础状态预期!$AA$121:$AA$141,$W130)+
求节点(基础状态预期!$C$121:$C$141,基础状态预期!$R$121:$R$141,$W130)*T$69*INDEX($P$57:$T$57,MATCH($O$69,$P$4:$T$4,0))*求节点(基础状态预期!$C$121:$C$141,基础状态预期!$AB$121:$AB$141,$W130)+
求节点(基础状态预期!$C$121:$C$141,基础状态预期!$S$121:$S$141,$W130)*T$70*INDEX($P$57:$T$57,MATCH($O$70,$P$4:$T$4,0))*求节点(基础状态预期!$C$121:$C$141,基础状态预期!$AC$121:$AC$141,$W130)</f>
        <v>2052690.5745455152</v>
      </c>
      <c r="AE130" s="70">
        <v>125</v>
      </c>
      <c r="AF130" s="113">
        <f>盗宝贼!AI129</f>
        <v>3423915.5579455309</v>
      </c>
      <c r="AG130" s="113">
        <f>盗宝贼!AJ129</f>
        <v>4230926.5740419319</v>
      </c>
      <c r="AH130" s="113">
        <f>盗宝贼!AK129</f>
        <v>4604171.8835497517</v>
      </c>
      <c r="AI130" s="113">
        <f>盗宝贼!AL129</f>
        <v>3731255.205346779</v>
      </c>
      <c r="AJ130" s="113">
        <f>盗宝贼!AM129</f>
        <v>1986585.9876129294</v>
      </c>
      <c r="AL130" s="78">
        <f>盗宝贼!AI129/AF130</f>
        <v>1</v>
      </c>
      <c r="AM130" s="118"/>
      <c r="AO130" s="123">
        <f t="shared" si="28"/>
        <v>6.5156298840995266</v>
      </c>
      <c r="AP130" s="123">
        <f t="shared" si="29"/>
        <v>8.0724750325733226</v>
      </c>
      <c r="AQ130" s="123">
        <f t="shared" si="30"/>
        <v>2.2429936302353597</v>
      </c>
      <c r="AR130" s="123">
        <f t="shared" si="31"/>
        <v>1.8099000598224875</v>
      </c>
      <c r="AS130" s="123">
        <f t="shared" si="32"/>
        <v>0.96779612682382876</v>
      </c>
    </row>
    <row r="131" spans="23:45" x14ac:dyDescent="0.15">
      <c r="W131" s="70">
        <v>126</v>
      </c>
      <c r="X131" s="113">
        <f>求节点(基础状态预期!$C$17:$C$37,基础状态预期!$O$17:$O$37,$W131)*P$66*INDEX($P$57:$T$57,MATCH($O$66,$P$4:$T$4,0))*求节点(基础状态预期!$C$17:$C$37,基础状态预期!$Y$17:$Y$37,$W131)+
求节点(基础状态预期!$C$17:$C$37,基础状态预期!$P$17:$P$37,$W131)*P$67*INDEX($P$57:$T$57,MATCH($O$67,$P$4:$T$4,0))*求节点(基础状态预期!$C$17:$C$37,基础状态预期!$Z$17:$Z$37,$W131)+
求节点(基础状态预期!$C$17:$C$37,基础状态预期!$Q$17:$Q$37,$W131)*P$68*INDEX($P$57:$T$57,MATCH($O$68,$P$4:$T$4,0))*求节点(基础状态预期!$C$17:$C$37,基础状态预期!$AA$17:$AA$37,$W131)+
求节点(基础状态预期!$C$17:$C$37,基础状态预期!$R$17:$R$37,$W131)*P$69*INDEX($P$57:$T$57,MATCH($O$69,$P$4:$T$4,0))*求节点(基础状态预期!$C$17:$C$37,基础状态预期!$AB$17:$AB$37,$W131)+
求节点(基础状态预期!$C$17:$C$37,基础状态预期!$S$17:$S$37,$W131)*P$70*INDEX($P$57:$T$57,MATCH($O$70,$P$4:$T$4,0))*求节点(基础状态预期!$C$17:$C$37,基础状态预期!$AC$17:$AC$37,$W131)</f>
        <v>525492.64136397815</v>
      </c>
      <c r="Y131" s="113">
        <f>求节点(基础状态预期!$C$43:$C$63,基础状态预期!$O$43:$O$63,$W131)*Q$66*INDEX($P$57:$T$57,MATCH($O$66,$P$4:$T$4,0))*求节点(基础状态预期!$C$43:$C$63,基础状态预期!$Y$43:$Y$63,$W131)+
求节点(基础状态预期!$C$43:$C$63,基础状态预期!$P$43:$P$63,$W131)*Q$67*INDEX($P$57:$T$57,MATCH($O$67,$P$4:$T$4,0))*求节点(基础状态预期!$C$43:$C$63,基础状态预期!$Z$43:$Z$63,$W131)+
求节点(基础状态预期!$C$43:$C$63,基础状态预期!$Q$43:$Q$63,$W131)*Q$68*INDEX($P$57:$T$57,MATCH($O$68,$P$4:$T$4,0))*求节点(基础状态预期!$C$43:$C$63,基础状态预期!$AA$43:$AA$63,$W131)+
求节点(基础状态预期!$C$43:$C$63,基础状态预期!$R$43:$R$63,$W131)*Q$69*INDEX($P$57:$T$57,MATCH($O$69,$P$4:$T$4,0))*求节点(基础状态预期!$C$43:$C$63,基础状态预期!$AB$43:$AB$63,$W131)+
求节点(基础状态预期!$C$43:$C$63,基础状态预期!$S$43:$S$63,$W131)*Q$70*INDEX($P$57:$T$57,MATCH($O$70,$P$4:$T$4,0))*求节点(基础状态预期!$C$43:$C$63,基础状态预期!$AC$43:$AC$63,$W131)</f>
        <v>524117.64136397809</v>
      </c>
      <c r="Z131" s="113">
        <f>求节点(基础状态预期!$C$69:$C$89,基础状态预期!$O$69:$O$89,$W131)*R$66*INDEX($P$57:$T$57,MATCH($O$66,$P$4:$T$4,0))*求节点(基础状态预期!$C$69:$C$89,基础状态预期!AA142:AA162,$W131)+
求节点(基础状态预期!$C$69:$C$89,基础状态预期!$P$69:$P$89,$W131)*R$67*INDEX($P$57:$T$57,MATCH($O$67,$P$4:$T$4,0))*求节点(基础状态预期!$C$69:$C$89,基础状态预期!$Z$69:$Z$89,$W131)+
求节点(基础状态预期!$C$69:$C$89,基础状态预期!$Q$69:$Q$89,$W131)*R$68*INDEX($P$57:$T$57,MATCH($O$68,$P$4:$T$4,0))*求节点(基础状态预期!$C$69:$C$89,基础状态预期!$AA$69:$AA$89,$W131)+
求节点(基础状态预期!$C$69:$C$89,基础状态预期!$R$69:$R$89,$W131)*R$69*INDEX($P$57:$T$57,MATCH($O$69,$P$4:$T$4,0))*求节点(基础状态预期!$C$69:$C$89,基础状态预期!$AB$69:$AB$89,$W131)+
求节点(基础状态预期!$C$69:$C$89,基础状态预期!$S$69:$S$89,$W131)*R$70*INDEX($P$57:$T$57,MATCH($O$70,$P$4:$T$4,0))*求节点(基础状态预期!$C$69:$C$89,基础状态预期!$AC$69:$AC$89,$W131)</f>
        <v>2052690.5745455152</v>
      </c>
      <c r="AA131" s="113">
        <f>求节点(基础状态预期!$C$95:$C$115,基础状态预期!$O$95:$O$115,$W131)*S$66*INDEX($P$57:$T$57,MATCH($O$66,$P$4:$T$4,0))*求节点(基础状态预期!$C$95:$C$115,基础状态预期!$Y$95:$Y$115,$W131)+
求节点(基础状态预期!$C$95:$C$115,基础状态预期!$P$95:$P$115,$W131)*S$67*INDEX($P$57:$T$57,MATCH($O$67,$P$4:$T$4,0))*求节点(基础状态预期!$C$95:$C$115,基础状态预期!$Z$95:$Z$115,$W131)+
求节点(基础状态预期!$C$95:$C$115,基础状态预期!$Q$95:$Q$115,$W131)*S$68*INDEX($P$57:$T$57,MATCH($O$68,$P$4:$T$4,0))*求节点(基础状态预期!$C$95:$C$115,基础状态预期!$AA$95:$AA$115,$W131)+
求节点(基础状态预期!$C$95:$C$115,基础状态预期!$R$95:$R$115,$W131)*S$69*INDEX($P$57:$T$57,MATCH($O$69,$P$4:$T$4,0))*求节点(基础状态预期!$C$95:$C$115,基础状态预期!$AB$95:$AB$115,$W131)+
求节点(基础状态预期!$C$95:$C$115,基础状态预期!$S$95:$S$115,$W131)*S$70*INDEX($P$57:$T$57,MATCH($O$70,$P$4:$T$4,0))*求节点(基础状态预期!$C$95:$C$115,基础状态预期!$AC$95:$AC$115,$W131)</f>
        <v>2061580.7956339507</v>
      </c>
      <c r="AB131" s="113">
        <f>求节点(基础状态预期!$C$121:$C$141,基础状态预期!$O$121:$O$141,$W131)*T$66*INDEX($P$57:$T$57,MATCH($O$66,$P$4:$T$4,0))*求节点(基础状态预期!$C$121:$C$141,基础状态预期!$Y$121:$Y$141,$W131)+
求节点(基础状态预期!$C$121:$C$141,基础状态预期!$P$121:$P$141,$W131)*T$67*INDEX($P$57:$T$57,MATCH($O$67,$P$4:$T$4,0))*求节点(基础状态预期!$C$121:$C$141,基础状态预期!$Z$121:$Z$141,$W131)+
求节点(基础状态预期!$C$121:$C$141,基础状态预期!$Q$121:$Q$141,$W131)*T$68*INDEX($P$57:$T$57,MATCH($O$68,$P$4:$T$4,0))*求节点(基础状态预期!$C$121:$C$141,基础状态预期!$AA$121:$AA$141,$W131)+
求节点(基础状态预期!$C$121:$C$141,基础状态预期!$R$121:$R$141,$W131)*T$69*INDEX($P$57:$T$57,MATCH($O$69,$P$4:$T$4,0))*求节点(基础状态预期!$C$121:$C$141,基础状态预期!$AB$121:$AB$141,$W131)+
求节点(基础状态预期!$C$121:$C$141,基础状态预期!$S$121:$S$141,$W131)*T$70*INDEX($P$57:$T$57,MATCH($O$70,$P$4:$T$4,0))*求节点(基础状态预期!$C$121:$C$141,基础状态预期!$AC$121:$AC$141,$W131)</f>
        <v>2052690.5745455152</v>
      </c>
      <c r="AE131" s="70">
        <v>126</v>
      </c>
      <c r="AF131" s="113">
        <f>盗宝贼!AI130</f>
        <v>3853145.0910193138</v>
      </c>
      <c r="AG131" s="113">
        <f>盗宝贼!AJ130</f>
        <v>4776828.4427535804</v>
      </c>
      <c r="AH131" s="113">
        <f>盗宝贼!AK130</f>
        <v>5195779.1834180746</v>
      </c>
      <c r="AI131" s="113">
        <f>盗宝贼!AL130</f>
        <v>4160471.4673224636</v>
      </c>
      <c r="AJ131" s="113">
        <f>盗宝贼!AM130</f>
        <v>2215428.4573781793</v>
      </c>
      <c r="AL131" s="78">
        <f>盗宝贼!AI130/AF131</f>
        <v>1</v>
      </c>
      <c r="AM131" s="118"/>
      <c r="AO131" s="123">
        <f t="shared" si="28"/>
        <v>7.3324434782150725</v>
      </c>
      <c r="AP131" s="123">
        <f t="shared" si="29"/>
        <v>9.1140386542270004</v>
      </c>
      <c r="AQ131" s="123">
        <f t="shared" si="30"/>
        <v>2.531204287606021</v>
      </c>
      <c r="AR131" s="123">
        <f t="shared" si="31"/>
        <v>2.0180977025657096</v>
      </c>
      <c r="AS131" s="123">
        <f t="shared" si="32"/>
        <v>1.079280279673275</v>
      </c>
    </row>
    <row r="132" spans="23:45" x14ac:dyDescent="0.15">
      <c r="W132" s="70">
        <v>127</v>
      </c>
      <c r="X132" s="113">
        <f>求节点(基础状态预期!$C$17:$C$37,基础状态预期!$O$17:$O$37,$W132)*P$66*INDEX($P$57:$T$57,MATCH($O$66,$P$4:$T$4,0))*求节点(基础状态预期!$C$17:$C$37,基础状态预期!$Y$17:$Y$37,$W132)+
求节点(基础状态预期!$C$17:$C$37,基础状态预期!$P$17:$P$37,$W132)*P$67*INDEX($P$57:$T$57,MATCH($O$67,$P$4:$T$4,0))*求节点(基础状态预期!$C$17:$C$37,基础状态预期!$Z$17:$Z$37,$W132)+
求节点(基础状态预期!$C$17:$C$37,基础状态预期!$Q$17:$Q$37,$W132)*P$68*INDEX($P$57:$T$57,MATCH($O$68,$P$4:$T$4,0))*求节点(基础状态预期!$C$17:$C$37,基础状态预期!$AA$17:$AA$37,$W132)+
求节点(基础状态预期!$C$17:$C$37,基础状态预期!$R$17:$R$37,$W132)*P$69*INDEX($P$57:$T$57,MATCH($O$69,$P$4:$T$4,0))*求节点(基础状态预期!$C$17:$C$37,基础状态预期!$AB$17:$AB$37,$W132)+
求节点(基础状态预期!$C$17:$C$37,基础状态预期!$S$17:$S$37,$W132)*P$70*INDEX($P$57:$T$57,MATCH($O$70,$P$4:$T$4,0))*求节点(基础状态预期!$C$17:$C$37,基础状态预期!$AC$17:$AC$37,$W132)</f>
        <v>525492.64136397815</v>
      </c>
      <c r="Y132" s="113">
        <f>求节点(基础状态预期!$C$43:$C$63,基础状态预期!$O$43:$O$63,$W132)*Q$66*INDEX($P$57:$T$57,MATCH($O$66,$P$4:$T$4,0))*求节点(基础状态预期!$C$43:$C$63,基础状态预期!$Y$43:$Y$63,$W132)+
求节点(基础状态预期!$C$43:$C$63,基础状态预期!$P$43:$P$63,$W132)*Q$67*INDEX($P$57:$T$57,MATCH($O$67,$P$4:$T$4,0))*求节点(基础状态预期!$C$43:$C$63,基础状态预期!$Z$43:$Z$63,$W132)+
求节点(基础状态预期!$C$43:$C$63,基础状态预期!$Q$43:$Q$63,$W132)*Q$68*INDEX($P$57:$T$57,MATCH($O$68,$P$4:$T$4,0))*求节点(基础状态预期!$C$43:$C$63,基础状态预期!$AA$43:$AA$63,$W132)+
求节点(基础状态预期!$C$43:$C$63,基础状态预期!$R$43:$R$63,$W132)*Q$69*INDEX($P$57:$T$57,MATCH($O$69,$P$4:$T$4,0))*求节点(基础状态预期!$C$43:$C$63,基础状态预期!$AB$43:$AB$63,$W132)+
求节点(基础状态预期!$C$43:$C$63,基础状态预期!$S$43:$S$63,$W132)*Q$70*INDEX($P$57:$T$57,MATCH($O$70,$P$4:$T$4,0))*求节点(基础状态预期!$C$43:$C$63,基础状态预期!$AC$43:$AC$63,$W132)</f>
        <v>524117.64136397809</v>
      </c>
      <c r="Z132" s="113">
        <f>求节点(基础状态预期!$C$69:$C$89,基础状态预期!$O$69:$O$89,$W132)*R$66*INDEX($P$57:$T$57,MATCH($O$66,$P$4:$T$4,0))*求节点(基础状态预期!$C$69:$C$89,基础状态预期!AA143:AA163,$W132)+
求节点(基础状态预期!$C$69:$C$89,基础状态预期!$P$69:$P$89,$W132)*R$67*INDEX($P$57:$T$57,MATCH($O$67,$P$4:$T$4,0))*求节点(基础状态预期!$C$69:$C$89,基础状态预期!$Z$69:$Z$89,$W132)+
求节点(基础状态预期!$C$69:$C$89,基础状态预期!$Q$69:$Q$89,$W132)*R$68*INDEX($P$57:$T$57,MATCH($O$68,$P$4:$T$4,0))*求节点(基础状态预期!$C$69:$C$89,基础状态预期!$AA$69:$AA$89,$W132)+
求节点(基础状态预期!$C$69:$C$89,基础状态预期!$R$69:$R$89,$W132)*R$69*INDEX($P$57:$T$57,MATCH($O$69,$P$4:$T$4,0))*求节点(基础状态预期!$C$69:$C$89,基础状态预期!$AB$69:$AB$89,$W132)+
求节点(基础状态预期!$C$69:$C$89,基础状态预期!$S$69:$S$89,$W132)*R$70*INDEX($P$57:$T$57,MATCH($O$70,$P$4:$T$4,0))*求节点(基础状态预期!$C$69:$C$89,基础状态预期!$AC$69:$AC$89,$W132)</f>
        <v>2052690.5745455152</v>
      </c>
      <c r="AA132" s="113">
        <f>求节点(基础状态预期!$C$95:$C$115,基础状态预期!$O$95:$O$115,$W132)*S$66*INDEX($P$57:$T$57,MATCH($O$66,$P$4:$T$4,0))*求节点(基础状态预期!$C$95:$C$115,基础状态预期!$Y$95:$Y$115,$W132)+
求节点(基础状态预期!$C$95:$C$115,基础状态预期!$P$95:$P$115,$W132)*S$67*INDEX($P$57:$T$57,MATCH($O$67,$P$4:$T$4,0))*求节点(基础状态预期!$C$95:$C$115,基础状态预期!$Z$95:$Z$115,$W132)+
求节点(基础状态预期!$C$95:$C$115,基础状态预期!$Q$95:$Q$115,$W132)*S$68*INDEX($P$57:$T$57,MATCH($O$68,$P$4:$T$4,0))*求节点(基础状态预期!$C$95:$C$115,基础状态预期!$AA$95:$AA$115,$W132)+
求节点(基础状态预期!$C$95:$C$115,基础状态预期!$R$95:$R$115,$W132)*S$69*INDEX($P$57:$T$57,MATCH($O$69,$P$4:$T$4,0))*求节点(基础状态预期!$C$95:$C$115,基础状态预期!$AB$95:$AB$115,$W132)+
求节点(基础状态预期!$C$95:$C$115,基础状态预期!$S$95:$S$115,$W132)*S$70*INDEX($P$57:$T$57,MATCH($O$70,$P$4:$T$4,0))*求节点(基础状态预期!$C$95:$C$115,基础状态预期!$AC$95:$AC$115,$W132)</f>
        <v>2061580.7956339507</v>
      </c>
      <c r="AB132" s="113">
        <f>求节点(基础状态预期!$C$121:$C$141,基础状态预期!$O$121:$O$141,$W132)*T$66*INDEX($P$57:$T$57,MATCH($O$66,$P$4:$T$4,0))*求节点(基础状态预期!$C$121:$C$141,基础状态预期!$Y$121:$Y$141,$W132)+
求节点(基础状态预期!$C$121:$C$141,基础状态预期!$P$121:$P$141,$W132)*T$67*INDEX($P$57:$T$57,MATCH($O$67,$P$4:$T$4,0))*求节点(基础状态预期!$C$121:$C$141,基础状态预期!$Z$121:$Z$141,$W132)+
求节点(基础状态预期!$C$121:$C$141,基础状态预期!$Q$121:$Q$141,$W132)*T$68*INDEX($P$57:$T$57,MATCH($O$68,$P$4:$T$4,0))*求节点(基础状态预期!$C$121:$C$141,基础状态预期!$AA$121:$AA$141,$W132)+
求节点(基础状态预期!$C$121:$C$141,基础状态预期!$R$121:$R$141,$W132)*T$69*INDEX($P$57:$T$57,MATCH($O$69,$P$4:$T$4,0))*求节点(基础状态预期!$C$121:$C$141,基础状态预期!$AB$121:$AB$141,$W132)+
求节点(基础状态预期!$C$121:$C$141,基础状态预期!$S$121:$S$141,$W132)*T$70*INDEX($P$57:$T$57,MATCH($O$70,$P$4:$T$4,0))*求节点(基础状态预期!$C$121:$C$141,基础状态预期!$AC$121:$AC$141,$W132)</f>
        <v>2052690.5745455152</v>
      </c>
      <c r="AE132" s="70">
        <v>127</v>
      </c>
      <c r="AF132" s="113">
        <f>盗宝贼!AI131</f>
        <v>4336183.7550489046</v>
      </c>
      <c r="AG132" s="113">
        <f>盗宝贼!AJ131</f>
        <v>5371282.7372305999</v>
      </c>
      <c r="AH132" s="113">
        <f>盗宝贼!AK131</f>
        <v>5791266.8536286009</v>
      </c>
      <c r="AI132" s="113">
        <f>盗宝贼!AL131</f>
        <v>4624425.8335720059</v>
      </c>
      <c r="AJ132" s="113">
        <f>盗宝贼!AM131</f>
        <v>2471336.4667017371</v>
      </c>
      <c r="AL132" s="78">
        <f>盗宝贼!AI131/AF132</f>
        <v>1</v>
      </c>
      <c r="AM132" s="118"/>
      <c r="AO132" s="123">
        <f t="shared" si="28"/>
        <v>8.2516545689276022</v>
      </c>
      <c r="AP132" s="123">
        <f t="shared" si="29"/>
        <v>10.248238779469865</v>
      </c>
      <c r="AQ132" s="123">
        <f t="shared" si="30"/>
        <v>2.821305327477738</v>
      </c>
      <c r="AR132" s="123">
        <f t="shared" si="31"/>
        <v>2.2431455722548881</v>
      </c>
      <c r="AS132" s="123">
        <f t="shared" si="32"/>
        <v>1.2039498292376161</v>
      </c>
    </row>
    <row r="133" spans="23:45" x14ac:dyDescent="0.15">
      <c r="W133" s="70">
        <v>128</v>
      </c>
      <c r="X133" s="113">
        <f>求节点(基础状态预期!$C$17:$C$37,基础状态预期!$O$17:$O$37,$W133)*P$66*INDEX($P$57:$T$57,MATCH($O$66,$P$4:$T$4,0))*求节点(基础状态预期!$C$17:$C$37,基础状态预期!$Y$17:$Y$37,$W133)+
求节点(基础状态预期!$C$17:$C$37,基础状态预期!$P$17:$P$37,$W133)*P$67*INDEX($P$57:$T$57,MATCH($O$67,$P$4:$T$4,0))*求节点(基础状态预期!$C$17:$C$37,基础状态预期!$Z$17:$Z$37,$W133)+
求节点(基础状态预期!$C$17:$C$37,基础状态预期!$Q$17:$Q$37,$W133)*P$68*INDEX($P$57:$T$57,MATCH($O$68,$P$4:$T$4,0))*求节点(基础状态预期!$C$17:$C$37,基础状态预期!$AA$17:$AA$37,$W133)+
求节点(基础状态预期!$C$17:$C$37,基础状态预期!$R$17:$R$37,$W133)*P$69*INDEX($P$57:$T$57,MATCH($O$69,$P$4:$T$4,0))*求节点(基础状态预期!$C$17:$C$37,基础状态预期!$AB$17:$AB$37,$W133)+
求节点(基础状态预期!$C$17:$C$37,基础状态预期!$S$17:$S$37,$W133)*P$70*INDEX($P$57:$T$57,MATCH($O$70,$P$4:$T$4,0))*求节点(基础状态预期!$C$17:$C$37,基础状态预期!$AC$17:$AC$37,$W133)</f>
        <v>525492.64136397815</v>
      </c>
      <c r="Y133" s="113">
        <f>求节点(基础状态预期!$C$43:$C$63,基础状态预期!$O$43:$O$63,$W133)*Q$66*INDEX($P$57:$T$57,MATCH($O$66,$P$4:$T$4,0))*求节点(基础状态预期!$C$43:$C$63,基础状态预期!$Y$43:$Y$63,$W133)+
求节点(基础状态预期!$C$43:$C$63,基础状态预期!$P$43:$P$63,$W133)*Q$67*INDEX($P$57:$T$57,MATCH($O$67,$P$4:$T$4,0))*求节点(基础状态预期!$C$43:$C$63,基础状态预期!$Z$43:$Z$63,$W133)+
求节点(基础状态预期!$C$43:$C$63,基础状态预期!$Q$43:$Q$63,$W133)*Q$68*INDEX($P$57:$T$57,MATCH($O$68,$P$4:$T$4,0))*求节点(基础状态预期!$C$43:$C$63,基础状态预期!$AA$43:$AA$63,$W133)+
求节点(基础状态预期!$C$43:$C$63,基础状态预期!$R$43:$R$63,$W133)*Q$69*INDEX($P$57:$T$57,MATCH($O$69,$P$4:$T$4,0))*求节点(基础状态预期!$C$43:$C$63,基础状态预期!$AB$43:$AB$63,$W133)+
求节点(基础状态预期!$C$43:$C$63,基础状态预期!$S$43:$S$63,$W133)*Q$70*INDEX($P$57:$T$57,MATCH($O$70,$P$4:$T$4,0))*求节点(基础状态预期!$C$43:$C$63,基础状态预期!$AC$43:$AC$63,$W133)</f>
        <v>524117.64136397809</v>
      </c>
      <c r="Z133" s="113">
        <f>求节点(基础状态预期!$C$69:$C$89,基础状态预期!$O$69:$O$89,$W133)*R$66*INDEX($P$57:$T$57,MATCH($O$66,$P$4:$T$4,0))*求节点(基础状态预期!$C$69:$C$89,基础状态预期!AA144:AA164,$W133)+
求节点(基础状态预期!$C$69:$C$89,基础状态预期!$P$69:$P$89,$W133)*R$67*INDEX($P$57:$T$57,MATCH($O$67,$P$4:$T$4,0))*求节点(基础状态预期!$C$69:$C$89,基础状态预期!$Z$69:$Z$89,$W133)+
求节点(基础状态预期!$C$69:$C$89,基础状态预期!$Q$69:$Q$89,$W133)*R$68*INDEX($P$57:$T$57,MATCH($O$68,$P$4:$T$4,0))*求节点(基础状态预期!$C$69:$C$89,基础状态预期!$AA$69:$AA$89,$W133)+
求节点(基础状态预期!$C$69:$C$89,基础状态预期!$R$69:$R$89,$W133)*R$69*INDEX($P$57:$T$57,MATCH($O$69,$P$4:$T$4,0))*求节点(基础状态预期!$C$69:$C$89,基础状态预期!$AB$69:$AB$89,$W133)+
求节点(基础状态预期!$C$69:$C$89,基础状态预期!$S$69:$S$89,$W133)*R$70*INDEX($P$57:$T$57,MATCH($O$70,$P$4:$T$4,0))*求节点(基础状态预期!$C$69:$C$89,基础状态预期!$AC$69:$AC$89,$W133)</f>
        <v>2052690.5745455152</v>
      </c>
      <c r="AA133" s="113">
        <f>求节点(基础状态预期!$C$95:$C$115,基础状态预期!$O$95:$O$115,$W133)*S$66*INDEX($P$57:$T$57,MATCH($O$66,$P$4:$T$4,0))*求节点(基础状态预期!$C$95:$C$115,基础状态预期!$Y$95:$Y$115,$W133)+
求节点(基础状态预期!$C$95:$C$115,基础状态预期!$P$95:$P$115,$W133)*S$67*INDEX($P$57:$T$57,MATCH($O$67,$P$4:$T$4,0))*求节点(基础状态预期!$C$95:$C$115,基础状态预期!$Z$95:$Z$115,$W133)+
求节点(基础状态预期!$C$95:$C$115,基础状态预期!$Q$95:$Q$115,$W133)*S$68*INDEX($P$57:$T$57,MATCH($O$68,$P$4:$T$4,0))*求节点(基础状态预期!$C$95:$C$115,基础状态预期!$AA$95:$AA$115,$W133)+
求节点(基础状态预期!$C$95:$C$115,基础状态预期!$R$95:$R$115,$W133)*S$69*INDEX($P$57:$T$57,MATCH($O$69,$P$4:$T$4,0))*求节点(基础状态预期!$C$95:$C$115,基础状态预期!$AB$95:$AB$115,$W133)+
求节点(基础状态预期!$C$95:$C$115,基础状态预期!$S$95:$S$115,$W133)*S$70*INDEX($P$57:$T$57,MATCH($O$70,$P$4:$T$4,0))*求节点(基础状态预期!$C$95:$C$115,基础状态预期!$AC$95:$AC$115,$W133)</f>
        <v>2061580.7956339507</v>
      </c>
      <c r="AB133" s="113">
        <f>求节点(基础状态预期!$C$121:$C$141,基础状态预期!$O$121:$O$141,$W133)*T$66*INDEX($P$57:$T$57,MATCH($O$66,$P$4:$T$4,0))*求节点(基础状态预期!$C$121:$C$141,基础状态预期!$Y$121:$Y$141,$W133)+
求节点(基础状态预期!$C$121:$C$141,基础状态预期!$P$121:$P$141,$W133)*T$67*INDEX($P$57:$T$57,MATCH($O$67,$P$4:$T$4,0))*求节点(基础状态预期!$C$121:$C$141,基础状态预期!$Z$121:$Z$141,$W133)+
求节点(基础状态预期!$C$121:$C$141,基础状态预期!$Q$121:$Q$141,$W133)*T$68*INDEX($P$57:$T$57,MATCH($O$68,$P$4:$T$4,0))*求节点(基础状态预期!$C$121:$C$141,基础状态预期!$AA$121:$AA$141,$W133)+
求节点(基础状态预期!$C$121:$C$141,基础状态预期!$R$121:$R$141,$W133)*T$69*INDEX($P$57:$T$57,MATCH($O$69,$P$4:$T$4,0))*求节点(基础状态预期!$C$121:$C$141,基础状态预期!$AB$121:$AB$141,$W133)+
求节点(基础状态预期!$C$121:$C$141,基础状态预期!$S$121:$S$141,$W133)*T$70*INDEX($P$57:$T$57,MATCH($O$70,$P$4:$T$4,0))*求节点(基础状态预期!$C$121:$C$141,基础状态预期!$AC$121:$AC$141,$W133)</f>
        <v>2052690.5745455152</v>
      </c>
      <c r="AE133" s="70">
        <v>128</v>
      </c>
      <c r="AF133" s="113">
        <f>盗宝贼!AI132</f>
        <v>4879777.177609113</v>
      </c>
      <c r="AG133" s="113">
        <f>盗宝贼!AJ132</f>
        <v>5992656.6926780241</v>
      </c>
      <c r="AH133" s="113">
        <f>盗宝贼!AK132</f>
        <v>6441155.6102074087</v>
      </c>
      <c r="AI133" s="113">
        <f>盗宝贼!AL132</f>
        <v>5165663.4605149003</v>
      </c>
      <c r="AJ133" s="113">
        <f>盗宝贼!AM132</f>
        <v>2766586.2192957769</v>
      </c>
      <c r="AL133" s="78">
        <f>盗宝贼!AI132/AF133</f>
        <v>1</v>
      </c>
      <c r="AM133" s="118"/>
      <c r="AO133" s="123">
        <f t="shared" si="28"/>
        <v>9.2860999250970959</v>
      </c>
      <c r="AP133" s="123">
        <f t="shared" si="29"/>
        <v>11.433800772442176</v>
      </c>
      <c r="AQ133" s="123">
        <f t="shared" si="30"/>
        <v>3.1379086989930474</v>
      </c>
      <c r="AR133" s="123">
        <f t="shared" si="31"/>
        <v>2.5056808209771968</v>
      </c>
      <c r="AS133" s="123">
        <f t="shared" si="32"/>
        <v>1.3477853182564181</v>
      </c>
    </row>
    <row r="134" spans="23:45" x14ac:dyDescent="0.15">
      <c r="W134" s="70">
        <v>129</v>
      </c>
      <c r="X134" s="113">
        <f>求节点(基础状态预期!$C$17:$C$37,基础状态预期!$O$17:$O$37,$W134)*P$66*INDEX($P$57:$T$57,MATCH($O$66,$P$4:$T$4,0))*求节点(基础状态预期!$C$17:$C$37,基础状态预期!$Y$17:$Y$37,$W134)+
求节点(基础状态预期!$C$17:$C$37,基础状态预期!$P$17:$P$37,$W134)*P$67*INDEX($P$57:$T$57,MATCH($O$67,$P$4:$T$4,0))*求节点(基础状态预期!$C$17:$C$37,基础状态预期!$Z$17:$Z$37,$W134)+
求节点(基础状态预期!$C$17:$C$37,基础状态预期!$Q$17:$Q$37,$W134)*P$68*INDEX($P$57:$T$57,MATCH($O$68,$P$4:$T$4,0))*求节点(基础状态预期!$C$17:$C$37,基础状态预期!$AA$17:$AA$37,$W134)+
求节点(基础状态预期!$C$17:$C$37,基础状态预期!$R$17:$R$37,$W134)*P$69*INDEX($P$57:$T$57,MATCH($O$69,$P$4:$T$4,0))*求节点(基础状态预期!$C$17:$C$37,基础状态预期!$AB$17:$AB$37,$W134)+
求节点(基础状态预期!$C$17:$C$37,基础状态预期!$S$17:$S$37,$W134)*P$70*INDEX($P$57:$T$57,MATCH($O$70,$P$4:$T$4,0))*求节点(基础状态预期!$C$17:$C$37,基础状态预期!$AC$17:$AC$37,$W134)</f>
        <v>525492.64136397815</v>
      </c>
      <c r="Y134" s="113">
        <f>求节点(基础状态预期!$C$43:$C$63,基础状态预期!$O$43:$O$63,$W134)*Q$66*INDEX($P$57:$T$57,MATCH($O$66,$P$4:$T$4,0))*求节点(基础状态预期!$C$43:$C$63,基础状态预期!$Y$43:$Y$63,$W134)+
求节点(基础状态预期!$C$43:$C$63,基础状态预期!$P$43:$P$63,$W134)*Q$67*INDEX($P$57:$T$57,MATCH($O$67,$P$4:$T$4,0))*求节点(基础状态预期!$C$43:$C$63,基础状态预期!$Z$43:$Z$63,$W134)+
求节点(基础状态预期!$C$43:$C$63,基础状态预期!$Q$43:$Q$63,$W134)*Q$68*INDEX($P$57:$T$57,MATCH($O$68,$P$4:$T$4,0))*求节点(基础状态预期!$C$43:$C$63,基础状态预期!$AA$43:$AA$63,$W134)+
求节点(基础状态预期!$C$43:$C$63,基础状态预期!$R$43:$R$63,$W134)*Q$69*INDEX($P$57:$T$57,MATCH($O$69,$P$4:$T$4,0))*求节点(基础状态预期!$C$43:$C$63,基础状态预期!$AB$43:$AB$63,$W134)+
求节点(基础状态预期!$C$43:$C$63,基础状态预期!$S$43:$S$63,$W134)*Q$70*INDEX($P$57:$T$57,MATCH($O$70,$P$4:$T$4,0))*求节点(基础状态预期!$C$43:$C$63,基础状态预期!$AC$43:$AC$63,$W134)</f>
        <v>524117.64136397809</v>
      </c>
      <c r="Z134" s="113">
        <f>求节点(基础状态预期!$C$69:$C$89,基础状态预期!$O$69:$O$89,$W134)*R$66*INDEX($P$57:$T$57,MATCH($O$66,$P$4:$T$4,0))*求节点(基础状态预期!$C$69:$C$89,基础状态预期!AA145:AA165,$W134)+
求节点(基础状态预期!$C$69:$C$89,基础状态预期!$P$69:$P$89,$W134)*R$67*INDEX($P$57:$T$57,MATCH($O$67,$P$4:$T$4,0))*求节点(基础状态预期!$C$69:$C$89,基础状态预期!$Z$69:$Z$89,$W134)+
求节点(基础状态预期!$C$69:$C$89,基础状态预期!$Q$69:$Q$89,$W134)*R$68*INDEX($P$57:$T$57,MATCH($O$68,$P$4:$T$4,0))*求节点(基础状态预期!$C$69:$C$89,基础状态预期!$AA$69:$AA$89,$W134)+
求节点(基础状态预期!$C$69:$C$89,基础状态预期!$R$69:$R$89,$W134)*R$69*INDEX($P$57:$T$57,MATCH($O$69,$P$4:$T$4,0))*求节点(基础状态预期!$C$69:$C$89,基础状态预期!$AB$69:$AB$89,$W134)+
求节点(基础状态预期!$C$69:$C$89,基础状态预期!$S$69:$S$89,$W134)*R$70*INDEX($P$57:$T$57,MATCH($O$70,$P$4:$T$4,0))*求节点(基础状态预期!$C$69:$C$89,基础状态预期!$AC$69:$AC$89,$W134)</f>
        <v>2052690.5745455152</v>
      </c>
      <c r="AA134" s="113">
        <f>求节点(基础状态预期!$C$95:$C$115,基础状态预期!$O$95:$O$115,$W134)*S$66*INDEX($P$57:$T$57,MATCH($O$66,$P$4:$T$4,0))*求节点(基础状态预期!$C$95:$C$115,基础状态预期!$Y$95:$Y$115,$W134)+
求节点(基础状态预期!$C$95:$C$115,基础状态预期!$P$95:$P$115,$W134)*S$67*INDEX($P$57:$T$57,MATCH($O$67,$P$4:$T$4,0))*求节点(基础状态预期!$C$95:$C$115,基础状态预期!$Z$95:$Z$115,$W134)+
求节点(基础状态预期!$C$95:$C$115,基础状态预期!$Q$95:$Q$115,$W134)*S$68*INDEX($P$57:$T$57,MATCH($O$68,$P$4:$T$4,0))*求节点(基础状态预期!$C$95:$C$115,基础状态预期!$AA$95:$AA$115,$W134)+
求节点(基础状态预期!$C$95:$C$115,基础状态预期!$R$95:$R$115,$W134)*S$69*INDEX($P$57:$T$57,MATCH($O$69,$P$4:$T$4,0))*求节点(基础状态预期!$C$95:$C$115,基础状态预期!$AB$95:$AB$115,$W134)+
求节点(基础状态预期!$C$95:$C$115,基础状态预期!$S$95:$S$115,$W134)*S$70*INDEX($P$57:$T$57,MATCH($O$70,$P$4:$T$4,0))*求节点(基础状态预期!$C$95:$C$115,基础状态预期!$AC$95:$AC$115,$W134)</f>
        <v>2061580.7956339507</v>
      </c>
      <c r="AB134" s="113">
        <f>求节点(基础状态预期!$C$121:$C$141,基础状态预期!$O$121:$O$141,$W134)*T$66*INDEX($P$57:$T$57,MATCH($O$66,$P$4:$T$4,0))*求节点(基础状态预期!$C$121:$C$141,基础状态预期!$Y$121:$Y$141,$W134)+
求节点(基础状态预期!$C$121:$C$141,基础状态预期!$P$121:$P$141,$W134)*T$67*INDEX($P$57:$T$57,MATCH($O$67,$P$4:$T$4,0))*求节点(基础状态预期!$C$121:$C$141,基础状态预期!$Z$121:$Z$141,$W134)+
求节点(基础状态预期!$C$121:$C$141,基础状态预期!$Q$121:$Q$141,$W134)*T$68*INDEX($P$57:$T$57,MATCH($O$68,$P$4:$T$4,0))*求节点(基础状态预期!$C$121:$C$141,基础状态预期!$AA$121:$AA$141,$W134)+
求节点(基础状态预期!$C$121:$C$141,基础状态预期!$R$121:$R$141,$W134)*T$69*INDEX($P$57:$T$57,MATCH($O$69,$P$4:$T$4,0))*求节点(基础状态预期!$C$121:$C$141,基础状态预期!$AB$121:$AB$141,$W134)+
求节点(基础状态预期!$C$121:$C$141,基础状态预期!$S$121:$S$141,$W134)*T$70*INDEX($P$57:$T$57,MATCH($O$70,$P$4:$T$4,0))*求节点(基础状态预期!$C$121:$C$141,基础状态预期!$AC$121:$AC$141,$W134)</f>
        <v>2052690.5745455152</v>
      </c>
      <c r="AE134" s="70">
        <v>129</v>
      </c>
      <c r="AF134" s="113">
        <f>盗宝贼!AI133</f>
        <v>5491516.6325538885</v>
      </c>
      <c r="AG134" s="113">
        <f>盗宝贼!AJ133</f>
        <v>6741220.3913092837</v>
      </c>
      <c r="AH134" s="113">
        <f>盗宝贼!AK133</f>
        <v>7274998.6484749764</v>
      </c>
      <c r="AI134" s="113">
        <f>盗宝贼!AL133</f>
        <v>5853270.4610931128</v>
      </c>
      <c r="AJ134" s="113">
        <f>盗宝贼!AM133</f>
        <v>3138382.4371398306</v>
      </c>
      <c r="AL134" s="78">
        <f>盗宝贼!AI133/AF134</f>
        <v>1</v>
      </c>
      <c r="AM134" s="118"/>
      <c r="AO134" s="123">
        <f t="shared" si="28"/>
        <v>10.450225560342785</v>
      </c>
      <c r="AP134" s="123">
        <f t="shared" si="29"/>
        <v>12.862036801061967</v>
      </c>
      <c r="AQ134" s="123">
        <f t="shared" si="30"/>
        <v>3.5441282474275155</v>
      </c>
      <c r="AR134" s="123">
        <f t="shared" si="31"/>
        <v>2.8392146810298504</v>
      </c>
      <c r="AS134" s="123">
        <f t="shared" si="32"/>
        <v>1.5289116031697556</v>
      </c>
    </row>
    <row r="135" spans="23:45" x14ac:dyDescent="0.15">
      <c r="W135" s="70">
        <v>130</v>
      </c>
      <c r="X135" s="113">
        <f>求节点(基础状态预期!$C$17:$C$37,基础状态预期!$O$17:$O$37,$W135)*P$66*INDEX($P$57:$T$57,MATCH($O$66,$P$4:$T$4,0))*求节点(基础状态预期!$C$17:$C$37,基础状态预期!$Y$17:$Y$37,$W135)+
求节点(基础状态预期!$C$17:$C$37,基础状态预期!$P$17:$P$37,$W135)*P$67*INDEX($P$57:$T$57,MATCH($O$67,$P$4:$T$4,0))*求节点(基础状态预期!$C$17:$C$37,基础状态预期!$Z$17:$Z$37,$W135)+
求节点(基础状态预期!$C$17:$C$37,基础状态预期!$Q$17:$Q$37,$W135)*P$68*INDEX($P$57:$T$57,MATCH($O$68,$P$4:$T$4,0))*求节点(基础状态预期!$C$17:$C$37,基础状态预期!$AA$17:$AA$37,$W135)+
求节点(基础状态预期!$C$17:$C$37,基础状态预期!$R$17:$R$37,$W135)*P$69*INDEX($P$57:$T$57,MATCH($O$69,$P$4:$T$4,0))*求节点(基础状态预期!$C$17:$C$37,基础状态预期!$AB$17:$AB$37,$W135)+
求节点(基础状态预期!$C$17:$C$37,基础状态预期!$S$17:$S$37,$W135)*P$70*INDEX($P$57:$T$57,MATCH($O$70,$P$4:$T$4,0))*求节点(基础状态预期!$C$17:$C$37,基础状态预期!$AC$17:$AC$37,$W135)</f>
        <v>525492.64136397815</v>
      </c>
      <c r="Y135" s="113">
        <f>求节点(基础状态预期!$C$43:$C$63,基础状态预期!$O$43:$O$63,$W135)*Q$66*INDEX($P$57:$T$57,MATCH($O$66,$P$4:$T$4,0))*求节点(基础状态预期!$C$43:$C$63,基础状态预期!$Y$43:$Y$63,$W135)+
求节点(基础状态预期!$C$43:$C$63,基础状态预期!$P$43:$P$63,$W135)*Q$67*INDEX($P$57:$T$57,MATCH($O$67,$P$4:$T$4,0))*求节点(基础状态预期!$C$43:$C$63,基础状态预期!$Z$43:$Z$63,$W135)+
求节点(基础状态预期!$C$43:$C$63,基础状态预期!$Q$43:$Q$63,$W135)*Q$68*INDEX($P$57:$T$57,MATCH($O$68,$P$4:$T$4,0))*求节点(基础状态预期!$C$43:$C$63,基础状态预期!$AA$43:$AA$63,$W135)+
求节点(基础状态预期!$C$43:$C$63,基础状态预期!$R$43:$R$63,$W135)*Q$69*INDEX($P$57:$T$57,MATCH($O$69,$P$4:$T$4,0))*求节点(基础状态预期!$C$43:$C$63,基础状态预期!$AB$43:$AB$63,$W135)+
求节点(基础状态预期!$C$43:$C$63,基础状态预期!$S$43:$S$63,$W135)*Q$70*INDEX($P$57:$T$57,MATCH($O$70,$P$4:$T$4,0))*求节点(基础状态预期!$C$43:$C$63,基础状态预期!$AC$43:$AC$63,$W135)</f>
        <v>524117.64136397809</v>
      </c>
      <c r="Z135" s="113">
        <f>求节点(基础状态预期!$C$69:$C$89,基础状态预期!$O$69:$O$89,$W135)*R$66*INDEX($P$57:$T$57,MATCH($O$66,$P$4:$T$4,0))*求节点(基础状态预期!$C$69:$C$89,基础状态预期!AA146:AA166,$W135)+
求节点(基础状态预期!$C$69:$C$89,基础状态预期!$P$69:$P$89,$W135)*R$67*INDEX($P$57:$T$57,MATCH($O$67,$P$4:$T$4,0))*求节点(基础状态预期!$C$69:$C$89,基础状态预期!$Z$69:$Z$89,$W135)+
求节点(基础状态预期!$C$69:$C$89,基础状态预期!$Q$69:$Q$89,$W135)*R$68*INDEX($P$57:$T$57,MATCH($O$68,$P$4:$T$4,0))*求节点(基础状态预期!$C$69:$C$89,基础状态预期!$AA$69:$AA$89,$W135)+
求节点(基础状态预期!$C$69:$C$89,基础状态预期!$R$69:$R$89,$W135)*R$69*INDEX($P$57:$T$57,MATCH($O$69,$P$4:$T$4,0))*求节点(基础状态预期!$C$69:$C$89,基础状态预期!$AB$69:$AB$89,$W135)+
求节点(基础状态预期!$C$69:$C$89,基础状态预期!$S$69:$S$89,$W135)*R$70*INDEX($P$57:$T$57,MATCH($O$70,$P$4:$T$4,0))*求节点(基础状态预期!$C$69:$C$89,基础状态预期!$AC$69:$AC$89,$W135)</f>
        <v>2052690.5745455152</v>
      </c>
      <c r="AA135" s="113">
        <f>求节点(基础状态预期!$C$95:$C$115,基础状态预期!$O$95:$O$115,$W135)*S$66*INDEX($P$57:$T$57,MATCH($O$66,$P$4:$T$4,0))*求节点(基础状态预期!$C$95:$C$115,基础状态预期!$Y$95:$Y$115,$W135)+
求节点(基础状态预期!$C$95:$C$115,基础状态预期!$P$95:$P$115,$W135)*S$67*INDEX($P$57:$T$57,MATCH($O$67,$P$4:$T$4,0))*求节点(基础状态预期!$C$95:$C$115,基础状态预期!$Z$95:$Z$115,$W135)+
求节点(基础状态预期!$C$95:$C$115,基础状态预期!$Q$95:$Q$115,$W135)*S$68*INDEX($P$57:$T$57,MATCH($O$68,$P$4:$T$4,0))*求节点(基础状态预期!$C$95:$C$115,基础状态预期!$AA$95:$AA$115,$W135)+
求节点(基础状态预期!$C$95:$C$115,基础状态预期!$R$95:$R$115,$W135)*S$69*INDEX($P$57:$T$57,MATCH($O$69,$P$4:$T$4,0))*求节点(基础状态预期!$C$95:$C$115,基础状态预期!$AB$95:$AB$115,$W135)+
求节点(基础状态预期!$C$95:$C$115,基础状态预期!$S$95:$S$115,$W135)*S$70*INDEX($P$57:$T$57,MATCH($O$70,$P$4:$T$4,0))*求节点(基础状态预期!$C$95:$C$115,基础状态预期!$AC$95:$AC$115,$W135)</f>
        <v>2061580.7956339507</v>
      </c>
      <c r="AB135" s="113">
        <f>求节点(基础状态预期!$C$121:$C$141,基础状态预期!$O$121:$O$141,$W135)*T$66*INDEX($P$57:$T$57,MATCH($O$66,$P$4:$T$4,0))*求节点(基础状态预期!$C$121:$C$141,基础状态预期!$Y$121:$Y$141,$W135)+
求节点(基础状态预期!$C$121:$C$141,基础状态预期!$P$121:$P$141,$W135)*T$67*INDEX($P$57:$T$57,MATCH($O$67,$P$4:$T$4,0))*求节点(基础状态预期!$C$121:$C$141,基础状态预期!$Z$121:$Z$141,$W135)+
求节点(基础状态预期!$C$121:$C$141,基础状态预期!$Q$121:$Q$141,$W135)*T$68*INDEX($P$57:$T$57,MATCH($O$68,$P$4:$T$4,0))*求节点(基础状态预期!$C$121:$C$141,基础状态预期!$AA$121:$AA$141,$W135)+
求节点(基础状态预期!$C$121:$C$141,基础状态预期!$R$121:$R$141,$W135)*T$69*INDEX($P$57:$T$57,MATCH($O$69,$P$4:$T$4,0))*求节点(基础状态预期!$C$121:$C$141,基础状态预期!$AB$121:$AB$141,$W135)+
求节点(基础状态预期!$C$121:$C$141,基础状态预期!$S$121:$S$141,$W135)*T$70*INDEX($P$57:$T$57,MATCH($O$70,$P$4:$T$4,0))*求节点(基础状态预期!$C$121:$C$141,基础状态预期!$AC$121:$AC$141,$W135)</f>
        <v>2052690.5745455152</v>
      </c>
      <c r="AE135" s="70">
        <v>130</v>
      </c>
      <c r="AF135" s="113">
        <f>盗宝贼!AI134</f>
        <v>6179945.0520399157</v>
      </c>
      <c r="AG135" s="113">
        <f>盗宝贼!AJ134</f>
        <v>7613167.2578115016</v>
      </c>
      <c r="AH135" s="113">
        <f>盗宝贼!AK134</f>
        <v>8235206.5698518287</v>
      </c>
      <c r="AI135" s="113">
        <f>盗宝贼!AL134</f>
        <v>6654861.3106892938</v>
      </c>
      <c r="AJ135" s="113">
        <f>盗宝贼!AM134</f>
        <v>3574440.4985170001</v>
      </c>
      <c r="AL135" s="78">
        <f>盗宝贼!AI134/AF135</f>
        <v>1</v>
      </c>
      <c r="AM135" s="118"/>
      <c r="AO135" s="123">
        <f t="shared" ref="AO135:AO165" si="33">AF135/X135</f>
        <v>11.760288471403022</v>
      </c>
      <c r="AP135" s="123">
        <f t="shared" ref="AP135:AP165" si="34">AG135/Y135</f>
        <v>14.525684039176371</v>
      </c>
      <c r="AQ135" s="123">
        <f t="shared" ref="AQ135:AQ165" si="35">AH135/Z135</f>
        <v>4.01190840547177</v>
      </c>
      <c r="AR135" s="123">
        <f t="shared" ref="AR135:AR165" si="36">AI135/AA135</f>
        <v>3.2280380787321397</v>
      </c>
      <c r="AS135" s="123">
        <f t="shared" ref="AS135:AS165" si="37">AJ135/AB135</f>
        <v>1.7413440402767058</v>
      </c>
    </row>
    <row r="136" spans="23:45" x14ac:dyDescent="0.15">
      <c r="W136" s="70">
        <v>131</v>
      </c>
      <c r="X136" s="113">
        <f>求节点(基础状态预期!$C$17:$C$37,基础状态预期!$O$17:$O$37,$W136)*P$66*INDEX($P$57:$T$57,MATCH($O$66,$P$4:$T$4,0))*求节点(基础状态预期!$C$17:$C$37,基础状态预期!$Y$17:$Y$37,$W136)+
求节点(基础状态预期!$C$17:$C$37,基础状态预期!$P$17:$P$37,$W136)*P$67*INDEX($P$57:$T$57,MATCH($O$67,$P$4:$T$4,0))*求节点(基础状态预期!$C$17:$C$37,基础状态预期!$Z$17:$Z$37,$W136)+
求节点(基础状态预期!$C$17:$C$37,基础状态预期!$Q$17:$Q$37,$W136)*P$68*INDEX($P$57:$T$57,MATCH($O$68,$P$4:$T$4,0))*求节点(基础状态预期!$C$17:$C$37,基础状态预期!$AA$17:$AA$37,$W136)+
求节点(基础状态预期!$C$17:$C$37,基础状态预期!$R$17:$R$37,$W136)*P$69*INDEX($P$57:$T$57,MATCH($O$69,$P$4:$T$4,0))*求节点(基础状态预期!$C$17:$C$37,基础状态预期!$AB$17:$AB$37,$W136)+
求节点(基础状态预期!$C$17:$C$37,基础状态预期!$S$17:$S$37,$W136)*P$70*INDEX($P$57:$T$57,MATCH($O$70,$P$4:$T$4,0))*求节点(基础状态预期!$C$17:$C$37,基础状态预期!$AC$17:$AC$37,$W136)</f>
        <v>525492.64136397815</v>
      </c>
      <c r="Y136" s="113">
        <f>求节点(基础状态预期!$C$43:$C$63,基础状态预期!$O$43:$O$63,$W136)*Q$66*INDEX($P$57:$T$57,MATCH($O$66,$P$4:$T$4,0))*求节点(基础状态预期!$C$43:$C$63,基础状态预期!$Y$43:$Y$63,$W136)+
求节点(基础状态预期!$C$43:$C$63,基础状态预期!$P$43:$P$63,$W136)*Q$67*INDEX($P$57:$T$57,MATCH($O$67,$P$4:$T$4,0))*求节点(基础状态预期!$C$43:$C$63,基础状态预期!$Z$43:$Z$63,$W136)+
求节点(基础状态预期!$C$43:$C$63,基础状态预期!$Q$43:$Q$63,$W136)*Q$68*INDEX($P$57:$T$57,MATCH($O$68,$P$4:$T$4,0))*求节点(基础状态预期!$C$43:$C$63,基础状态预期!$AA$43:$AA$63,$W136)+
求节点(基础状态预期!$C$43:$C$63,基础状态预期!$R$43:$R$63,$W136)*Q$69*INDEX($P$57:$T$57,MATCH($O$69,$P$4:$T$4,0))*求节点(基础状态预期!$C$43:$C$63,基础状态预期!$AB$43:$AB$63,$W136)+
求节点(基础状态预期!$C$43:$C$63,基础状态预期!$S$43:$S$63,$W136)*Q$70*INDEX($P$57:$T$57,MATCH($O$70,$P$4:$T$4,0))*求节点(基础状态预期!$C$43:$C$63,基础状态预期!$AC$43:$AC$63,$W136)</f>
        <v>524117.64136397809</v>
      </c>
      <c r="Z136" s="113">
        <f>求节点(基础状态预期!$C$69:$C$89,基础状态预期!$O$69:$O$89,$W136)*R$66*INDEX($P$57:$T$57,MATCH($O$66,$P$4:$T$4,0))*求节点(基础状态预期!$C$69:$C$89,基础状态预期!AA147:AA167,$W136)+
求节点(基础状态预期!$C$69:$C$89,基础状态预期!$P$69:$P$89,$W136)*R$67*INDEX($P$57:$T$57,MATCH($O$67,$P$4:$T$4,0))*求节点(基础状态预期!$C$69:$C$89,基础状态预期!$Z$69:$Z$89,$W136)+
求节点(基础状态预期!$C$69:$C$89,基础状态预期!$Q$69:$Q$89,$W136)*R$68*INDEX($P$57:$T$57,MATCH($O$68,$P$4:$T$4,0))*求节点(基础状态预期!$C$69:$C$89,基础状态预期!$AA$69:$AA$89,$W136)+
求节点(基础状态预期!$C$69:$C$89,基础状态预期!$R$69:$R$89,$W136)*R$69*INDEX($P$57:$T$57,MATCH($O$69,$P$4:$T$4,0))*求节点(基础状态预期!$C$69:$C$89,基础状态预期!$AB$69:$AB$89,$W136)+
求节点(基础状态预期!$C$69:$C$89,基础状态预期!$S$69:$S$89,$W136)*R$70*INDEX($P$57:$T$57,MATCH($O$70,$P$4:$T$4,0))*求节点(基础状态预期!$C$69:$C$89,基础状态预期!$AC$69:$AC$89,$W136)</f>
        <v>2052690.5745455152</v>
      </c>
      <c r="AA136" s="113">
        <f>求节点(基础状态预期!$C$95:$C$115,基础状态预期!$O$95:$O$115,$W136)*S$66*INDEX($P$57:$T$57,MATCH($O$66,$P$4:$T$4,0))*求节点(基础状态预期!$C$95:$C$115,基础状态预期!$Y$95:$Y$115,$W136)+
求节点(基础状态预期!$C$95:$C$115,基础状态预期!$P$95:$P$115,$W136)*S$67*INDEX($P$57:$T$57,MATCH($O$67,$P$4:$T$4,0))*求节点(基础状态预期!$C$95:$C$115,基础状态预期!$Z$95:$Z$115,$W136)+
求节点(基础状态预期!$C$95:$C$115,基础状态预期!$Q$95:$Q$115,$W136)*S$68*INDEX($P$57:$T$57,MATCH($O$68,$P$4:$T$4,0))*求节点(基础状态预期!$C$95:$C$115,基础状态预期!$AA$95:$AA$115,$W136)+
求节点(基础状态预期!$C$95:$C$115,基础状态预期!$R$95:$R$115,$W136)*S$69*INDEX($P$57:$T$57,MATCH($O$69,$P$4:$T$4,0))*求节点(基础状态预期!$C$95:$C$115,基础状态预期!$AB$95:$AB$115,$W136)+
求节点(基础状态预期!$C$95:$C$115,基础状态预期!$S$95:$S$115,$W136)*S$70*INDEX($P$57:$T$57,MATCH($O$70,$P$4:$T$4,0))*求节点(基础状态预期!$C$95:$C$115,基础状态预期!$AC$95:$AC$115,$W136)</f>
        <v>2061580.7956339507</v>
      </c>
      <c r="AB136" s="113">
        <f>求节点(基础状态预期!$C$121:$C$141,基础状态预期!$O$121:$O$141,$W136)*T$66*INDEX($P$57:$T$57,MATCH($O$66,$P$4:$T$4,0))*求节点(基础状态预期!$C$121:$C$141,基础状态预期!$Y$121:$Y$141,$W136)+
求节点(基础状态预期!$C$121:$C$141,基础状态预期!$P$121:$P$141,$W136)*T$67*INDEX($P$57:$T$57,MATCH($O$67,$P$4:$T$4,0))*求节点(基础状态预期!$C$121:$C$141,基础状态预期!$Z$121:$Z$141,$W136)+
求节点(基础状态预期!$C$121:$C$141,基础状态预期!$Q$121:$Q$141,$W136)*T$68*INDEX($P$57:$T$57,MATCH($O$68,$P$4:$T$4,0))*求节点(基础状态预期!$C$121:$C$141,基础状态预期!$AA$121:$AA$141,$W136)+
求节点(基础状态预期!$C$121:$C$141,基础状态预期!$R$121:$R$141,$W136)*T$69*INDEX($P$57:$T$57,MATCH($O$69,$P$4:$T$4,0))*求节点(基础状态预期!$C$121:$C$141,基础状态预期!$AB$121:$AB$141,$W136)+
求节点(基础状态预期!$C$121:$C$141,基础状态预期!$S$121:$S$141,$W136)*T$70*INDEX($P$57:$T$57,MATCH($O$70,$P$4:$T$4,0))*求节点(基础状态预期!$C$121:$C$141,基础状态预期!$AC$121:$AC$141,$W136)</f>
        <v>2052690.5745455152</v>
      </c>
      <c r="AE136" s="70">
        <v>131</v>
      </c>
      <c r="AF136" s="113">
        <f>盗宝贼!AI135</f>
        <v>6954676.3284438932</v>
      </c>
      <c r="AG136" s="113">
        <f>盗宝贼!AJ135</f>
        <v>8579380.5644298904</v>
      </c>
      <c r="AH136" s="113">
        <f>盗宝贼!AK135</f>
        <v>9293835.1467084549</v>
      </c>
      <c r="AI136" s="113">
        <f>盗宝贼!AL135</f>
        <v>7525363.9294031821</v>
      </c>
      <c r="AJ136" s="113">
        <f>盗宝贼!AM135</f>
        <v>4024081.0577544523</v>
      </c>
      <c r="AL136" s="78">
        <f>盗宝贼!AI135/AF136</f>
        <v>1</v>
      </c>
      <c r="AM136" s="118"/>
      <c r="AO136" s="123">
        <f t="shared" si="33"/>
        <v>13.23458366684681</v>
      </c>
      <c r="AP136" s="123">
        <f t="shared" si="34"/>
        <v>16.369188684629421</v>
      </c>
      <c r="AQ136" s="123">
        <f t="shared" si="35"/>
        <v>4.5276357099102462</v>
      </c>
      <c r="AR136" s="123">
        <f t="shared" si="36"/>
        <v>3.6502881407027656</v>
      </c>
      <c r="AS136" s="123">
        <f t="shared" si="37"/>
        <v>1.9603934015458815</v>
      </c>
    </row>
    <row r="137" spans="23:45" x14ac:dyDescent="0.15">
      <c r="W137" s="70">
        <v>132</v>
      </c>
      <c r="X137" s="113">
        <f>求节点(基础状态预期!$C$17:$C$37,基础状态预期!$O$17:$O$37,$W137)*P$66*INDEX($P$57:$T$57,MATCH($O$66,$P$4:$T$4,0))*求节点(基础状态预期!$C$17:$C$37,基础状态预期!$Y$17:$Y$37,$W137)+
求节点(基础状态预期!$C$17:$C$37,基础状态预期!$P$17:$P$37,$W137)*P$67*INDEX($P$57:$T$57,MATCH($O$67,$P$4:$T$4,0))*求节点(基础状态预期!$C$17:$C$37,基础状态预期!$Z$17:$Z$37,$W137)+
求节点(基础状态预期!$C$17:$C$37,基础状态预期!$Q$17:$Q$37,$W137)*P$68*INDEX($P$57:$T$57,MATCH($O$68,$P$4:$T$4,0))*求节点(基础状态预期!$C$17:$C$37,基础状态预期!$AA$17:$AA$37,$W137)+
求节点(基础状态预期!$C$17:$C$37,基础状态预期!$R$17:$R$37,$W137)*P$69*INDEX($P$57:$T$57,MATCH($O$69,$P$4:$T$4,0))*求节点(基础状态预期!$C$17:$C$37,基础状态预期!$AB$17:$AB$37,$W137)+
求节点(基础状态预期!$C$17:$C$37,基础状态预期!$S$17:$S$37,$W137)*P$70*INDEX($P$57:$T$57,MATCH($O$70,$P$4:$T$4,0))*求节点(基础状态预期!$C$17:$C$37,基础状态预期!$AC$17:$AC$37,$W137)</f>
        <v>525492.64136397815</v>
      </c>
      <c r="Y137" s="113">
        <f>求节点(基础状态预期!$C$43:$C$63,基础状态预期!$O$43:$O$63,$W137)*Q$66*INDEX($P$57:$T$57,MATCH($O$66,$P$4:$T$4,0))*求节点(基础状态预期!$C$43:$C$63,基础状态预期!$Y$43:$Y$63,$W137)+
求节点(基础状态预期!$C$43:$C$63,基础状态预期!$P$43:$P$63,$W137)*Q$67*INDEX($P$57:$T$57,MATCH($O$67,$P$4:$T$4,0))*求节点(基础状态预期!$C$43:$C$63,基础状态预期!$Z$43:$Z$63,$W137)+
求节点(基础状态预期!$C$43:$C$63,基础状态预期!$Q$43:$Q$63,$W137)*Q$68*INDEX($P$57:$T$57,MATCH($O$68,$P$4:$T$4,0))*求节点(基础状态预期!$C$43:$C$63,基础状态预期!$AA$43:$AA$63,$W137)+
求节点(基础状态预期!$C$43:$C$63,基础状态预期!$R$43:$R$63,$W137)*Q$69*INDEX($P$57:$T$57,MATCH($O$69,$P$4:$T$4,0))*求节点(基础状态预期!$C$43:$C$63,基础状态预期!$AB$43:$AB$63,$W137)+
求节点(基础状态预期!$C$43:$C$63,基础状态预期!$S$43:$S$63,$W137)*Q$70*INDEX($P$57:$T$57,MATCH($O$70,$P$4:$T$4,0))*求节点(基础状态预期!$C$43:$C$63,基础状态预期!$AC$43:$AC$63,$W137)</f>
        <v>524117.64136397809</v>
      </c>
      <c r="Z137" s="113">
        <f>求节点(基础状态预期!$C$69:$C$89,基础状态预期!$O$69:$O$89,$W137)*R$66*INDEX($P$57:$T$57,MATCH($O$66,$P$4:$T$4,0))*求节点(基础状态预期!$C$69:$C$89,基础状态预期!AA148:AA168,$W137)+
求节点(基础状态预期!$C$69:$C$89,基础状态预期!$P$69:$P$89,$W137)*R$67*INDEX($P$57:$T$57,MATCH($O$67,$P$4:$T$4,0))*求节点(基础状态预期!$C$69:$C$89,基础状态预期!$Z$69:$Z$89,$W137)+
求节点(基础状态预期!$C$69:$C$89,基础状态预期!$Q$69:$Q$89,$W137)*R$68*INDEX($P$57:$T$57,MATCH($O$68,$P$4:$T$4,0))*求节点(基础状态预期!$C$69:$C$89,基础状态预期!$AA$69:$AA$89,$W137)+
求节点(基础状态预期!$C$69:$C$89,基础状态预期!$R$69:$R$89,$W137)*R$69*INDEX($P$57:$T$57,MATCH($O$69,$P$4:$T$4,0))*求节点(基础状态预期!$C$69:$C$89,基础状态预期!$AB$69:$AB$89,$W137)+
求节点(基础状态预期!$C$69:$C$89,基础状态预期!$S$69:$S$89,$W137)*R$70*INDEX($P$57:$T$57,MATCH($O$70,$P$4:$T$4,0))*求节点(基础状态预期!$C$69:$C$89,基础状态预期!$AC$69:$AC$89,$W137)</f>
        <v>2052690.5745455152</v>
      </c>
      <c r="AA137" s="113">
        <f>求节点(基础状态预期!$C$95:$C$115,基础状态预期!$O$95:$O$115,$W137)*S$66*INDEX($P$57:$T$57,MATCH($O$66,$P$4:$T$4,0))*求节点(基础状态预期!$C$95:$C$115,基础状态预期!$Y$95:$Y$115,$W137)+
求节点(基础状态预期!$C$95:$C$115,基础状态预期!$P$95:$P$115,$W137)*S$67*INDEX($P$57:$T$57,MATCH($O$67,$P$4:$T$4,0))*求节点(基础状态预期!$C$95:$C$115,基础状态预期!$Z$95:$Z$115,$W137)+
求节点(基础状态预期!$C$95:$C$115,基础状态预期!$Q$95:$Q$115,$W137)*S$68*INDEX($P$57:$T$57,MATCH($O$68,$P$4:$T$4,0))*求节点(基础状态预期!$C$95:$C$115,基础状态预期!$AA$95:$AA$115,$W137)+
求节点(基础状态预期!$C$95:$C$115,基础状态预期!$R$95:$R$115,$W137)*S$69*INDEX($P$57:$T$57,MATCH($O$69,$P$4:$T$4,0))*求节点(基础状态预期!$C$95:$C$115,基础状态预期!$AB$95:$AB$115,$W137)+
求节点(基础状态预期!$C$95:$C$115,基础状态预期!$S$95:$S$115,$W137)*S$70*INDEX($P$57:$T$57,MATCH($O$70,$P$4:$T$4,0))*求节点(基础状态预期!$C$95:$C$115,基础状态预期!$AC$95:$AC$115,$W137)</f>
        <v>2061580.7956339507</v>
      </c>
      <c r="AB137" s="113">
        <f>求节点(基础状态预期!$C$121:$C$141,基础状态预期!$O$121:$O$141,$W137)*T$66*INDEX($P$57:$T$57,MATCH($O$66,$P$4:$T$4,0))*求节点(基础状态预期!$C$121:$C$141,基础状态预期!$Y$121:$Y$141,$W137)+
求节点(基础状态预期!$C$121:$C$141,基础状态预期!$P$121:$P$141,$W137)*T$67*INDEX($P$57:$T$57,MATCH($O$67,$P$4:$T$4,0))*求节点(基础状态预期!$C$121:$C$141,基础状态预期!$Z$121:$Z$141,$W137)+
求节点(基础状态预期!$C$121:$C$141,基础状态预期!$Q$121:$Q$141,$W137)*T$68*INDEX($P$57:$T$57,MATCH($O$68,$P$4:$T$4,0))*求节点(基础状态预期!$C$121:$C$141,基础状态预期!$AA$121:$AA$141,$W137)+
求节点(基础状态预期!$C$121:$C$141,基础状态预期!$R$121:$R$141,$W137)*T$69*INDEX($P$57:$T$57,MATCH($O$69,$P$4:$T$4,0))*求节点(基础状态预期!$C$121:$C$141,基础状态预期!$AB$121:$AB$141,$W137)+
求节点(基础状态预期!$C$121:$C$141,基础状态预期!$S$121:$S$141,$W137)*T$70*INDEX($P$57:$T$57,MATCH($O$70,$P$4:$T$4,0))*求节点(基础状态预期!$C$121:$C$141,基础状态预期!$AC$121:$AC$141,$W137)</f>
        <v>2052690.5745455152</v>
      </c>
      <c r="AE137" s="70">
        <v>132</v>
      </c>
      <c r="AF137" s="113">
        <f>盗宝贼!AI136</f>
        <v>7826529.5722228652</v>
      </c>
      <c r="AG137" s="113">
        <f>盗宝贼!AJ136</f>
        <v>9667482.4453735985</v>
      </c>
      <c r="AH137" s="113">
        <f>盗宝贼!AK136</f>
        <v>10515228.395021016</v>
      </c>
      <c r="AI137" s="113">
        <f>盗宝贼!AL136</f>
        <v>8449235.8204236217</v>
      </c>
      <c r="AJ137" s="113">
        <f>盗宝贼!AM136</f>
        <v>4495111.3566595409</v>
      </c>
      <c r="AL137" s="78">
        <f>盗宝贼!AI136/AF137</f>
        <v>1</v>
      </c>
      <c r="AM137" s="118"/>
      <c r="AO137" s="123">
        <f t="shared" si="33"/>
        <v>14.893699656589261</v>
      </c>
      <c r="AP137" s="123">
        <f t="shared" si="34"/>
        <v>18.445252902029164</v>
      </c>
      <c r="AQ137" s="123">
        <f t="shared" si="35"/>
        <v>5.1226563445146551</v>
      </c>
      <c r="AR137" s="123">
        <f t="shared" si="36"/>
        <v>4.098425750917718</v>
      </c>
      <c r="AS137" s="123">
        <f t="shared" si="37"/>
        <v>2.1898631057215239</v>
      </c>
    </row>
    <row r="138" spans="23:45" x14ac:dyDescent="0.15">
      <c r="W138" s="70">
        <v>133</v>
      </c>
      <c r="X138" s="113">
        <f>求节点(基础状态预期!$C$17:$C$37,基础状态预期!$O$17:$O$37,$W138)*P$66*INDEX($P$57:$T$57,MATCH($O$66,$P$4:$T$4,0))*求节点(基础状态预期!$C$17:$C$37,基础状态预期!$Y$17:$Y$37,$W138)+
求节点(基础状态预期!$C$17:$C$37,基础状态预期!$P$17:$P$37,$W138)*P$67*INDEX($P$57:$T$57,MATCH($O$67,$P$4:$T$4,0))*求节点(基础状态预期!$C$17:$C$37,基础状态预期!$Z$17:$Z$37,$W138)+
求节点(基础状态预期!$C$17:$C$37,基础状态预期!$Q$17:$Q$37,$W138)*P$68*INDEX($P$57:$T$57,MATCH($O$68,$P$4:$T$4,0))*求节点(基础状态预期!$C$17:$C$37,基础状态预期!$AA$17:$AA$37,$W138)+
求节点(基础状态预期!$C$17:$C$37,基础状态预期!$R$17:$R$37,$W138)*P$69*INDEX($P$57:$T$57,MATCH($O$69,$P$4:$T$4,0))*求节点(基础状态预期!$C$17:$C$37,基础状态预期!$AB$17:$AB$37,$W138)+
求节点(基础状态预期!$C$17:$C$37,基础状态预期!$S$17:$S$37,$W138)*P$70*INDEX($P$57:$T$57,MATCH($O$70,$P$4:$T$4,0))*求节点(基础状态预期!$C$17:$C$37,基础状态预期!$AC$17:$AC$37,$W138)</f>
        <v>525492.64136397815</v>
      </c>
      <c r="Y138" s="113">
        <f>求节点(基础状态预期!$C$43:$C$63,基础状态预期!$O$43:$O$63,$W138)*Q$66*INDEX($P$57:$T$57,MATCH($O$66,$P$4:$T$4,0))*求节点(基础状态预期!$C$43:$C$63,基础状态预期!$Y$43:$Y$63,$W138)+
求节点(基础状态预期!$C$43:$C$63,基础状态预期!$P$43:$P$63,$W138)*Q$67*INDEX($P$57:$T$57,MATCH($O$67,$P$4:$T$4,0))*求节点(基础状态预期!$C$43:$C$63,基础状态预期!$Z$43:$Z$63,$W138)+
求节点(基础状态预期!$C$43:$C$63,基础状态预期!$Q$43:$Q$63,$W138)*Q$68*INDEX($P$57:$T$57,MATCH($O$68,$P$4:$T$4,0))*求节点(基础状态预期!$C$43:$C$63,基础状态预期!$AA$43:$AA$63,$W138)+
求节点(基础状态预期!$C$43:$C$63,基础状态预期!$R$43:$R$63,$W138)*Q$69*INDEX($P$57:$T$57,MATCH($O$69,$P$4:$T$4,0))*求节点(基础状态预期!$C$43:$C$63,基础状态预期!$AB$43:$AB$63,$W138)+
求节点(基础状态预期!$C$43:$C$63,基础状态预期!$S$43:$S$63,$W138)*Q$70*INDEX($P$57:$T$57,MATCH($O$70,$P$4:$T$4,0))*求节点(基础状态预期!$C$43:$C$63,基础状态预期!$AC$43:$AC$63,$W138)</f>
        <v>524117.64136397809</v>
      </c>
      <c r="Z138" s="113">
        <f>求节点(基础状态预期!$C$69:$C$89,基础状态预期!$O$69:$O$89,$W138)*R$66*INDEX($P$57:$T$57,MATCH($O$66,$P$4:$T$4,0))*求节点(基础状态预期!$C$69:$C$89,基础状态预期!AA149:AA169,$W138)+
求节点(基础状态预期!$C$69:$C$89,基础状态预期!$P$69:$P$89,$W138)*R$67*INDEX($P$57:$T$57,MATCH($O$67,$P$4:$T$4,0))*求节点(基础状态预期!$C$69:$C$89,基础状态预期!$Z$69:$Z$89,$W138)+
求节点(基础状态预期!$C$69:$C$89,基础状态预期!$Q$69:$Q$89,$W138)*R$68*INDEX($P$57:$T$57,MATCH($O$68,$P$4:$T$4,0))*求节点(基础状态预期!$C$69:$C$89,基础状态预期!$AA$69:$AA$89,$W138)+
求节点(基础状态预期!$C$69:$C$89,基础状态预期!$R$69:$R$89,$W138)*R$69*INDEX($P$57:$T$57,MATCH($O$69,$P$4:$T$4,0))*求节点(基础状态预期!$C$69:$C$89,基础状态预期!$AB$69:$AB$89,$W138)+
求节点(基础状态预期!$C$69:$C$89,基础状态预期!$S$69:$S$89,$W138)*R$70*INDEX($P$57:$T$57,MATCH($O$70,$P$4:$T$4,0))*求节点(基础状态预期!$C$69:$C$89,基础状态预期!$AC$69:$AC$89,$W138)</f>
        <v>2052690.5745455152</v>
      </c>
      <c r="AA138" s="113">
        <f>求节点(基础状态预期!$C$95:$C$115,基础状态预期!$O$95:$O$115,$W138)*S$66*INDEX($P$57:$T$57,MATCH($O$66,$P$4:$T$4,0))*求节点(基础状态预期!$C$95:$C$115,基础状态预期!$Y$95:$Y$115,$W138)+
求节点(基础状态预期!$C$95:$C$115,基础状态预期!$P$95:$P$115,$W138)*S$67*INDEX($P$57:$T$57,MATCH($O$67,$P$4:$T$4,0))*求节点(基础状态预期!$C$95:$C$115,基础状态预期!$Z$95:$Z$115,$W138)+
求节点(基础状态预期!$C$95:$C$115,基础状态预期!$Q$95:$Q$115,$W138)*S$68*INDEX($P$57:$T$57,MATCH($O$68,$P$4:$T$4,0))*求节点(基础状态预期!$C$95:$C$115,基础状态预期!$AA$95:$AA$115,$W138)+
求节点(基础状态预期!$C$95:$C$115,基础状态预期!$R$95:$R$115,$W138)*S$69*INDEX($P$57:$T$57,MATCH($O$69,$P$4:$T$4,0))*求节点(基础状态预期!$C$95:$C$115,基础状态预期!$AB$95:$AB$115,$W138)+
求节点(基础状态预期!$C$95:$C$115,基础状态预期!$S$95:$S$115,$W138)*S$70*INDEX($P$57:$T$57,MATCH($O$70,$P$4:$T$4,0))*求节点(基础状态预期!$C$95:$C$115,基础状态预期!$AC$95:$AC$115,$W138)</f>
        <v>2061580.7956339507</v>
      </c>
      <c r="AB138" s="113">
        <f>求节点(基础状态预期!$C$121:$C$141,基础状态预期!$O$121:$O$141,$W138)*T$66*INDEX($P$57:$T$57,MATCH($O$66,$P$4:$T$4,0))*求节点(基础状态预期!$C$121:$C$141,基础状态预期!$Y$121:$Y$141,$W138)+
求节点(基础状态预期!$C$121:$C$141,基础状态预期!$P$121:$P$141,$W138)*T$67*INDEX($P$57:$T$57,MATCH($O$67,$P$4:$T$4,0))*求节点(基础状态预期!$C$121:$C$141,基础状态预期!$Z$121:$Z$141,$W138)+
求节点(基础状态预期!$C$121:$C$141,基础状态预期!$Q$121:$Q$141,$W138)*T$68*INDEX($P$57:$T$57,MATCH($O$68,$P$4:$T$4,0))*求节点(基础状态预期!$C$121:$C$141,基础状态预期!$AA$121:$AA$141,$W138)+
求节点(基础状态预期!$C$121:$C$141,基础状态预期!$R$121:$R$141,$W138)*T$69*INDEX($P$57:$T$57,MATCH($O$69,$P$4:$T$4,0))*求节点(基础状态预期!$C$121:$C$141,基础状态预期!$AB$121:$AB$141,$W138)+
求节点(基础状态预期!$C$121:$C$141,基础状态预期!$S$121:$S$141,$W138)*T$70*INDEX($P$57:$T$57,MATCH($O$70,$P$4:$T$4,0))*求节点(基础状态预期!$C$121:$C$141,基础状态预期!$AC$121:$AC$141,$W138)</f>
        <v>2052690.5745455152</v>
      </c>
      <c r="AE138" s="70">
        <v>133</v>
      </c>
      <c r="AF138" s="113">
        <f>盗宝贼!AI137</f>
        <v>8807680.2006268036</v>
      </c>
      <c r="AG138" s="113">
        <f>盗宝贼!AJ137</f>
        <v>10892848.633382052</v>
      </c>
      <c r="AH138" s="113">
        <f>盗宝贼!AK137</f>
        <v>11777890.071548283</v>
      </c>
      <c r="AI138" s="113">
        <f>盗宝贼!AL137</f>
        <v>9421782.6239690147</v>
      </c>
      <c r="AJ138" s="113">
        <f>盗宝贼!AM137</f>
        <v>5002872.7414338877</v>
      </c>
      <c r="AL138" s="78">
        <f>盗宝贼!AI137/AF138</f>
        <v>1</v>
      </c>
      <c r="AM138" s="118"/>
      <c r="AO138" s="123">
        <f t="shared" si="33"/>
        <v>16.760805970118689</v>
      </c>
      <c r="AP138" s="123">
        <f t="shared" si="34"/>
        <v>20.783213106573182</v>
      </c>
      <c r="AQ138" s="123">
        <f t="shared" si="35"/>
        <v>5.7377815329794739</v>
      </c>
      <c r="AR138" s="123">
        <f t="shared" si="36"/>
        <v>4.5701738413176036</v>
      </c>
      <c r="AS138" s="123">
        <f t="shared" si="37"/>
        <v>2.4372269271717051</v>
      </c>
    </row>
    <row r="139" spans="23:45" x14ac:dyDescent="0.15">
      <c r="W139" s="70">
        <v>134</v>
      </c>
      <c r="X139" s="113">
        <f>求节点(基础状态预期!$C$17:$C$37,基础状态预期!$O$17:$O$37,$W139)*P$66*INDEX($P$57:$T$57,MATCH($O$66,$P$4:$T$4,0))*求节点(基础状态预期!$C$17:$C$37,基础状态预期!$Y$17:$Y$37,$W139)+
求节点(基础状态预期!$C$17:$C$37,基础状态预期!$P$17:$P$37,$W139)*P$67*INDEX($P$57:$T$57,MATCH($O$67,$P$4:$T$4,0))*求节点(基础状态预期!$C$17:$C$37,基础状态预期!$Z$17:$Z$37,$W139)+
求节点(基础状态预期!$C$17:$C$37,基础状态预期!$Q$17:$Q$37,$W139)*P$68*INDEX($P$57:$T$57,MATCH($O$68,$P$4:$T$4,0))*求节点(基础状态预期!$C$17:$C$37,基础状态预期!$AA$17:$AA$37,$W139)+
求节点(基础状态预期!$C$17:$C$37,基础状态预期!$R$17:$R$37,$W139)*P$69*INDEX($P$57:$T$57,MATCH($O$69,$P$4:$T$4,0))*求节点(基础状态预期!$C$17:$C$37,基础状态预期!$AB$17:$AB$37,$W139)+
求节点(基础状态预期!$C$17:$C$37,基础状态预期!$S$17:$S$37,$W139)*P$70*INDEX($P$57:$T$57,MATCH($O$70,$P$4:$T$4,0))*求节点(基础状态预期!$C$17:$C$37,基础状态预期!$AC$17:$AC$37,$W139)</f>
        <v>525492.64136397815</v>
      </c>
      <c r="Y139" s="113">
        <f>求节点(基础状态预期!$C$43:$C$63,基础状态预期!$O$43:$O$63,$W139)*Q$66*INDEX($P$57:$T$57,MATCH($O$66,$P$4:$T$4,0))*求节点(基础状态预期!$C$43:$C$63,基础状态预期!$Y$43:$Y$63,$W139)+
求节点(基础状态预期!$C$43:$C$63,基础状态预期!$P$43:$P$63,$W139)*Q$67*INDEX($P$57:$T$57,MATCH($O$67,$P$4:$T$4,0))*求节点(基础状态预期!$C$43:$C$63,基础状态预期!$Z$43:$Z$63,$W139)+
求节点(基础状态预期!$C$43:$C$63,基础状态预期!$Q$43:$Q$63,$W139)*Q$68*INDEX($P$57:$T$57,MATCH($O$68,$P$4:$T$4,0))*求节点(基础状态预期!$C$43:$C$63,基础状态预期!$AA$43:$AA$63,$W139)+
求节点(基础状态预期!$C$43:$C$63,基础状态预期!$R$43:$R$63,$W139)*Q$69*INDEX($P$57:$T$57,MATCH($O$69,$P$4:$T$4,0))*求节点(基础状态预期!$C$43:$C$63,基础状态预期!$AB$43:$AB$63,$W139)+
求节点(基础状态预期!$C$43:$C$63,基础状态预期!$S$43:$S$63,$W139)*Q$70*INDEX($P$57:$T$57,MATCH($O$70,$P$4:$T$4,0))*求节点(基础状态预期!$C$43:$C$63,基础状态预期!$AC$43:$AC$63,$W139)</f>
        <v>524117.64136397809</v>
      </c>
      <c r="Z139" s="113">
        <f>求节点(基础状态预期!$C$69:$C$89,基础状态预期!$O$69:$O$89,$W139)*R$66*INDEX($P$57:$T$57,MATCH($O$66,$P$4:$T$4,0))*求节点(基础状态预期!$C$69:$C$89,基础状态预期!AA150:AA170,$W139)+
求节点(基础状态预期!$C$69:$C$89,基础状态预期!$P$69:$P$89,$W139)*R$67*INDEX($P$57:$T$57,MATCH($O$67,$P$4:$T$4,0))*求节点(基础状态预期!$C$69:$C$89,基础状态预期!$Z$69:$Z$89,$W139)+
求节点(基础状态预期!$C$69:$C$89,基础状态预期!$Q$69:$Q$89,$W139)*R$68*INDEX($P$57:$T$57,MATCH($O$68,$P$4:$T$4,0))*求节点(基础状态预期!$C$69:$C$89,基础状态预期!$AA$69:$AA$89,$W139)+
求节点(基础状态预期!$C$69:$C$89,基础状态预期!$R$69:$R$89,$W139)*R$69*INDEX($P$57:$T$57,MATCH($O$69,$P$4:$T$4,0))*求节点(基础状态预期!$C$69:$C$89,基础状态预期!$AB$69:$AB$89,$W139)+
求节点(基础状态预期!$C$69:$C$89,基础状态预期!$S$69:$S$89,$W139)*R$70*INDEX($P$57:$T$57,MATCH($O$70,$P$4:$T$4,0))*求节点(基础状态预期!$C$69:$C$89,基础状态预期!$AC$69:$AC$89,$W139)</f>
        <v>2052690.5745455152</v>
      </c>
      <c r="AA139" s="113">
        <f>求节点(基础状态预期!$C$95:$C$115,基础状态预期!$O$95:$O$115,$W139)*S$66*INDEX($P$57:$T$57,MATCH($O$66,$P$4:$T$4,0))*求节点(基础状态预期!$C$95:$C$115,基础状态预期!$Y$95:$Y$115,$W139)+
求节点(基础状态预期!$C$95:$C$115,基础状态预期!$P$95:$P$115,$W139)*S$67*INDEX($P$57:$T$57,MATCH($O$67,$P$4:$T$4,0))*求节点(基础状态预期!$C$95:$C$115,基础状态预期!$Z$95:$Z$115,$W139)+
求节点(基础状态预期!$C$95:$C$115,基础状态预期!$Q$95:$Q$115,$W139)*S$68*INDEX($P$57:$T$57,MATCH($O$68,$P$4:$T$4,0))*求节点(基础状态预期!$C$95:$C$115,基础状态预期!$AA$95:$AA$115,$W139)+
求节点(基础状态预期!$C$95:$C$115,基础状态预期!$R$95:$R$115,$W139)*S$69*INDEX($P$57:$T$57,MATCH($O$69,$P$4:$T$4,0))*求节点(基础状态预期!$C$95:$C$115,基础状态预期!$AB$95:$AB$115,$W139)+
求节点(基础状态预期!$C$95:$C$115,基础状态预期!$S$95:$S$115,$W139)*S$70*INDEX($P$57:$T$57,MATCH($O$70,$P$4:$T$4,0))*求节点(基础状态预期!$C$95:$C$115,基础状态预期!$AC$95:$AC$115,$W139)</f>
        <v>2061580.7956339507</v>
      </c>
      <c r="AB139" s="113">
        <f>求节点(基础状态预期!$C$121:$C$141,基础状态预期!$O$121:$O$141,$W139)*T$66*INDEX($P$57:$T$57,MATCH($O$66,$P$4:$T$4,0))*求节点(基础状态预期!$C$121:$C$141,基础状态预期!$Y$121:$Y$141,$W139)+
求节点(基础状态预期!$C$121:$C$141,基础状态预期!$P$121:$P$141,$W139)*T$67*INDEX($P$57:$T$57,MATCH($O$67,$P$4:$T$4,0))*求节点(基础状态预期!$C$121:$C$141,基础状态预期!$Z$121:$Z$141,$W139)+
求节点(基础状态预期!$C$121:$C$141,基础状态预期!$Q$121:$Q$141,$W139)*T$68*INDEX($P$57:$T$57,MATCH($O$68,$P$4:$T$4,0))*求节点(基础状态预期!$C$121:$C$141,基础状态预期!$AA$121:$AA$141,$W139)+
求节点(基础状态预期!$C$121:$C$141,基础状态预期!$R$121:$R$141,$W139)*T$69*INDEX($P$57:$T$57,MATCH($O$69,$P$4:$T$4,0))*求节点(基础状态预期!$C$121:$C$141,基础状态预期!$AB$121:$AB$141,$W139)+
求节点(基础状态预期!$C$121:$C$141,基础状态预期!$S$121:$S$141,$W139)*T$70*INDEX($P$57:$T$57,MATCH($O$70,$P$4:$T$4,0))*求节点(基础状态预期!$C$121:$C$141,基础状态预期!$AC$121:$AC$141,$W139)</f>
        <v>2052690.5745455152</v>
      </c>
      <c r="AE139" s="70">
        <v>134</v>
      </c>
      <c r="AF139" s="113">
        <f>盗宝贼!AI138</f>
        <v>9911829.9672146328</v>
      </c>
      <c r="AG139" s="113">
        <f>盗宝贼!AJ138</f>
        <v>12200755.792039419</v>
      </c>
      <c r="AH139" s="113">
        <f>盗宝贼!AK138</f>
        <v>13109893.488271471</v>
      </c>
      <c r="AI139" s="113">
        <f>盗宝贼!AL138</f>
        <v>10509574.00453322</v>
      </c>
      <c r="AJ139" s="113">
        <f>盗宝贼!AM138</f>
        <v>5614135.8825240871</v>
      </c>
      <c r="AL139" s="78">
        <f>盗宝贼!AI138/AF139</f>
        <v>1</v>
      </c>
      <c r="AM139" s="118"/>
      <c r="AO139" s="123">
        <f t="shared" si="33"/>
        <v>18.861976718622184</v>
      </c>
      <c r="AP139" s="123">
        <f t="shared" si="34"/>
        <v>23.278658890946389</v>
      </c>
      <c r="AQ139" s="123">
        <f t="shared" si="35"/>
        <v>6.3866876239611141</v>
      </c>
      <c r="AR139" s="123">
        <f t="shared" si="36"/>
        <v>5.0978230039737307</v>
      </c>
      <c r="AS139" s="123">
        <f t="shared" si="37"/>
        <v>2.7350132319709748</v>
      </c>
    </row>
    <row r="140" spans="23:45" x14ac:dyDescent="0.15">
      <c r="W140" s="70">
        <v>135</v>
      </c>
      <c r="X140" s="113">
        <f>求节点(基础状态预期!$C$17:$C$37,基础状态预期!$O$17:$O$37,$W140)*P$66*INDEX($P$57:$T$57,MATCH($O$66,$P$4:$T$4,0))*求节点(基础状态预期!$C$17:$C$37,基础状态预期!$Y$17:$Y$37,$W140)+
求节点(基础状态预期!$C$17:$C$37,基础状态预期!$P$17:$P$37,$W140)*P$67*INDEX($P$57:$T$57,MATCH($O$67,$P$4:$T$4,0))*求节点(基础状态预期!$C$17:$C$37,基础状态预期!$Z$17:$Z$37,$W140)+
求节点(基础状态预期!$C$17:$C$37,基础状态预期!$Q$17:$Q$37,$W140)*P$68*INDEX($P$57:$T$57,MATCH($O$68,$P$4:$T$4,0))*求节点(基础状态预期!$C$17:$C$37,基础状态预期!$AA$17:$AA$37,$W140)+
求节点(基础状态预期!$C$17:$C$37,基础状态预期!$R$17:$R$37,$W140)*P$69*INDEX($P$57:$T$57,MATCH($O$69,$P$4:$T$4,0))*求节点(基础状态预期!$C$17:$C$37,基础状态预期!$AB$17:$AB$37,$W140)+
求节点(基础状态预期!$C$17:$C$37,基础状态预期!$S$17:$S$37,$W140)*P$70*INDEX($P$57:$T$57,MATCH($O$70,$P$4:$T$4,0))*求节点(基础状态预期!$C$17:$C$37,基础状态预期!$AC$17:$AC$37,$W140)</f>
        <v>525492.64136397815</v>
      </c>
      <c r="Y140" s="113">
        <f>求节点(基础状态预期!$C$43:$C$63,基础状态预期!$O$43:$O$63,$W140)*Q$66*INDEX($P$57:$T$57,MATCH($O$66,$P$4:$T$4,0))*求节点(基础状态预期!$C$43:$C$63,基础状态预期!$Y$43:$Y$63,$W140)+
求节点(基础状态预期!$C$43:$C$63,基础状态预期!$P$43:$P$63,$W140)*Q$67*INDEX($P$57:$T$57,MATCH($O$67,$P$4:$T$4,0))*求节点(基础状态预期!$C$43:$C$63,基础状态预期!$Z$43:$Z$63,$W140)+
求节点(基础状态预期!$C$43:$C$63,基础状态预期!$Q$43:$Q$63,$W140)*Q$68*INDEX($P$57:$T$57,MATCH($O$68,$P$4:$T$4,0))*求节点(基础状态预期!$C$43:$C$63,基础状态预期!$AA$43:$AA$63,$W140)+
求节点(基础状态预期!$C$43:$C$63,基础状态预期!$R$43:$R$63,$W140)*Q$69*INDEX($P$57:$T$57,MATCH($O$69,$P$4:$T$4,0))*求节点(基础状态预期!$C$43:$C$63,基础状态预期!$AB$43:$AB$63,$W140)+
求节点(基础状态预期!$C$43:$C$63,基础状态预期!$S$43:$S$63,$W140)*Q$70*INDEX($P$57:$T$57,MATCH($O$70,$P$4:$T$4,0))*求节点(基础状态预期!$C$43:$C$63,基础状态预期!$AC$43:$AC$63,$W140)</f>
        <v>524117.64136397809</v>
      </c>
      <c r="Z140" s="113">
        <f>求节点(基础状态预期!$C$69:$C$89,基础状态预期!$O$69:$O$89,$W140)*R$66*INDEX($P$57:$T$57,MATCH($O$66,$P$4:$T$4,0))*求节点(基础状态预期!$C$69:$C$89,基础状态预期!AA151:AA171,$W140)+
求节点(基础状态预期!$C$69:$C$89,基础状态预期!$P$69:$P$89,$W140)*R$67*INDEX($P$57:$T$57,MATCH($O$67,$P$4:$T$4,0))*求节点(基础状态预期!$C$69:$C$89,基础状态预期!$Z$69:$Z$89,$W140)+
求节点(基础状态预期!$C$69:$C$89,基础状态预期!$Q$69:$Q$89,$W140)*R$68*INDEX($P$57:$T$57,MATCH($O$68,$P$4:$T$4,0))*求节点(基础状态预期!$C$69:$C$89,基础状态预期!$AA$69:$AA$89,$W140)+
求节点(基础状态预期!$C$69:$C$89,基础状态预期!$R$69:$R$89,$W140)*R$69*INDEX($P$57:$T$57,MATCH($O$69,$P$4:$T$4,0))*求节点(基础状态预期!$C$69:$C$89,基础状态预期!$AB$69:$AB$89,$W140)+
求节点(基础状态预期!$C$69:$C$89,基础状态预期!$S$69:$S$89,$W140)*R$70*INDEX($P$57:$T$57,MATCH($O$70,$P$4:$T$4,0))*求节点(基础状态预期!$C$69:$C$89,基础状态预期!$AC$69:$AC$89,$W140)</f>
        <v>2052690.5745455152</v>
      </c>
      <c r="AA140" s="113">
        <f>求节点(基础状态预期!$C$95:$C$115,基础状态预期!$O$95:$O$115,$W140)*S$66*INDEX($P$57:$T$57,MATCH($O$66,$P$4:$T$4,0))*求节点(基础状态预期!$C$95:$C$115,基础状态预期!$Y$95:$Y$115,$W140)+
求节点(基础状态预期!$C$95:$C$115,基础状态预期!$P$95:$P$115,$W140)*S$67*INDEX($P$57:$T$57,MATCH($O$67,$P$4:$T$4,0))*求节点(基础状态预期!$C$95:$C$115,基础状态预期!$Z$95:$Z$115,$W140)+
求节点(基础状态预期!$C$95:$C$115,基础状态预期!$Q$95:$Q$115,$W140)*S$68*INDEX($P$57:$T$57,MATCH($O$68,$P$4:$T$4,0))*求节点(基础状态预期!$C$95:$C$115,基础状态预期!$AA$95:$AA$115,$W140)+
求节点(基础状态预期!$C$95:$C$115,基础状态预期!$R$95:$R$115,$W140)*S$69*INDEX($P$57:$T$57,MATCH($O$69,$P$4:$T$4,0))*求节点(基础状态预期!$C$95:$C$115,基础状态预期!$AB$95:$AB$115,$W140)+
求节点(基础状态预期!$C$95:$C$115,基础状态预期!$S$95:$S$115,$W140)*S$70*INDEX($P$57:$T$57,MATCH($O$70,$P$4:$T$4,0))*求节点(基础状态预期!$C$95:$C$115,基础状态预期!$AC$95:$AC$115,$W140)</f>
        <v>2061580.7956339507</v>
      </c>
      <c r="AB140" s="113">
        <f>求节点(基础状态预期!$C$121:$C$141,基础状态预期!$O$121:$O$141,$W140)*T$66*INDEX($P$57:$T$57,MATCH($O$66,$P$4:$T$4,0))*求节点(基础状态预期!$C$121:$C$141,基础状态预期!$Y$121:$Y$141,$W140)+
求节点(基础状态预期!$C$121:$C$141,基础状态预期!$P$121:$P$141,$W140)*T$67*INDEX($P$57:$T$57,MATCH($O$67,$P$4:$T$4,0))*求节点(基础状态预期!$C$121:$C$141,基础状态预期!$Z$121:$Z$141,$W140)+
求节点(基础状态预期!$C$121:$C$141,基础状态预期!$Q$121:$Q$141,$W140)*T$68*INDEX($P$57:$T$57,MATCH($O$68,$P$4:$T$4,0))*求节点(基础状态预期!$C$121:$C$141,基础状态预期!$AA$121:$AA$141,$W140)+
求节点(基础状态预期!$C$121:$C$141,基础状态预期!$R$121:$R$141,$W140)*T$69*INDEX($P$57:$T$57,MATCH($O$69,$P$4:$T$4,0))*求节点(基础状态预期!$C$121:$C$141,基础状态预期!$AB$121:$AB$141,$W140)+
求节点(基础状态预期!$C$121:$C$141,基础状态预期!$S$121:$S$141,$W140)*T$70*INDEX($P$57:$T$57,MATCH($O$70,$P$4:$T$4,0))*求节点(基础状态预期!$C$121:$C$141,基础状态预期!$AC$121:$AC$141,$W140)</f>
        <v>2052690.5745455152</v>
      </c>
      <c r="AE140" s="70">
        <v>135</v>
      </c>
      <c r="AF140" s="113">
        <f>盗宝贼!AI139</f>
        <v>11154398.306633862</v>
      </c>
      <c r="AG140" s="113">
        <f>盗宝贼!AJ139</f>
        <v>13668280.996804362</v>
      </c>
      <c r="AH140" s="113">
        <f>盗宝贼!AK139</f>
        <v>14729949.099780576</v>
      </c>
      <c r="AI140" s="113">
        <f>盗宝贼!AL139</f>
        <v>11838387.391650226</v>
      </c>
      <c r="AJ140" s="113">
        <f>盗宝贼!AM139</f>
        <v>6341902.0869177291</v>
      </c>
      <c r="AL140" s="78">
        <f>盗宝贼!AI139/AF140</f>
        <v>1</v>
      </c>
      <c r="AM140" s="118"/>
      <c r="AO140" s="123">
        <f t="shared" si="33"/>
        <v>21.226554719550982</v>
      </c>
      <c r="AP140" s="123">
        <f t="shared" si="34"/>
        <v>26.078650894546602</v>
      </c>
      <c r="AQ140" s="123">
        <f t="shared" si="35"/>
        <v>7.1759228022187047</v>
      </c>
      <c r="AR140" s="123">
        <f t="shared" si="36"/>
        <v>5.7423834257293018</v>
      </c>
      <c r="AS140" s="123">
        <f t="shared" si="37"/>
        <v>3.0895558081479888</v>
      </c>
    </row>
    <row r="141" spans="23:45" x14ac:dyDescent="0.15">
      <c r="W141" s="70">
        <v>136</v>
      </c>
      <c r="X141" s="113">
        <f>求节点(基础状态预期!$C$17:$C$37,基础状态预期!$O$17:$O$37,$W141)*P$66*INDEX($P$57:$T$57,MATCH($O$66,$P$4:$T$4,0))*求节点(基础状态预期!$C$17:$C$37,基础状态预期!$Y$17:$Y$37,$W141)+
求节点(基础状态预期!$C$17:$C$37,基础状态预期!$P$17:$P$37,$W141)*P$67*INDEX($P$57:$T$57,MATCH($O$67,$P$4:$T$4,0))*求节点(基础状态预期!$C$17:$C$37,基础状态预期!$Z$17:$Z$37,$W141)+
求节点(基础状态预期!$C$17:$C$37,基础状态预期!$Q$17:$Q$37,$W141)*P$68*INDEX($P$57:$T$57,MATCH($O$68,$P$4:$T$4,0))*求节点(基础状态预期!$C$17:$C$37,基础状态预期!$AA$17:$AA$37,$W141)+
求节点(基础状态预期!$C$17:$C$37,基础状态预期!$R$17:$R$37,$W141)*P$69*INDEX($P$57:$T$57,MATCH($O$69,$P$4:$T$4,0))*求节点(基础状态预期!$C$17:$C$37,基础状态预期!$AB$17:$AB$37,$W141)+
求节点(基础状态预期!$C$17:$C$37,基础状态预期!$S$17:$S$37,$W141)*P$70*INDEX($P$57:$T$57,MATCH($O$70,$P$4:$T$4,0))*求节点(基础状态预期!$C$17:$C$37,基础状态预期!$AC$17:$AC$37,$W141)</f>
        <v>525492.64136397815</v>
      </c>
      <c r="Y141" s="113">
        <f>求节点(基础状态预期!$C$43:$C$63,基础状态预期!$O$43:$O$63,$W141)*Q$66*INDEX($P$57:$T$57,MATCH($O$66,$P$4:$T$4,0))*求节点(基础状态预期!$C$43:$C$63,基础状态预期!$Y$43:$Y$63,$W141)+
求节点(基础状态预期!$C$43:$C$63,基础状态预期!$P$43:$P$63,$W141)*Q$67*INDEX($P$57:$T$57,MATCH($O$67,$P$4:$T$4,0))*求节点(基础状态预期!$C$43:$C$63,基础状态预期!$Z$43:$Z$63,$W141)+
求节点(基础状态预期!$C$43:$C$63,基础状态预期!$Q$43:$Q$63,$W141)*Q$68*INDEX($P$57:$T$57,MATCH($O$68,$P$4:$T$4,0))*求节点(基础状态预期!$C$43:$C$63,基础状态预期!$AA$43:$AA$63,$W141)+
求节点(基础状态预期!$C$43:$C$63,基础状态预期!$R$43:$R$63,$W141)*Q$69*INDEX($P$57:$T$57,MATCH($O$69,$P$4:$T$4,0))*求节点(基础状态预期!$C$43:$C$63,基础状态预期!$AB$43:$AB$63,$W141)+
求节点(基础状态预期!$C$43:$C$63,基础状态预期!$S$43:$S$63,$W141)*Q$70*INDEX($P$57:$T$57,MATCH($O$70,$P$4:$T$4,0))*求节点(基础状态预期!$C$43:$C$63,基础状态预期!$AC$43:$AC$63,$W141)</f>
        <v>524117.64136397809</v>
      </c>
      <c r="Z141" s="113">
        <f>求节点(基础状态预期!$C$69:$C$89,基础状态预期!$O$69:$O$89,$W141)*R$66*INDEX($P$57:$T$57,MATCH($O$66,$P$4:$T$4,0))*求节点(基础状态预期!$C$69:$C$89,基础状态预期!AA152:AA172,$W141)+
求节点(基础状态预期!$C$69:$C$89,基础状态预期!$P$69:$P$89,$W141)*R$67*INDEX($P$57:$T$57,MATCH($O$67,$P$4:$T$4,0))*求节点(基础状态预期!$C$69:$C$89,基础状态预期!$Z$69:$Z$89,$W141)+
求节点(基础状态预期!$C$69:$C$89,基础状态预期!$Q$69:$Q$89,$W141)*R$68*INDEX($P$57:$T$57,MATCH($O$68,$P$4:$T$4,0))*求节点(基础状态预期!$C$69:$C$89,基础状态预期!$AA$69:$AA$89,$W141)+
求节点(基础状态预期!$C$69:$C$89,基础状态预期!$R$69:$R$89,$W141)*R$69*INDEX($P$57:$T$57,MATCH($O$69,$P$4:$T$4,0))*求节点(基础状态预期!$C$69:$C$89,基础状态预期!$AB$69:$AB$89,$W141)+
求节点(基础状态预期!$C$69:$C$89,基础状态预期!$S$69:$S$89,$W141)*R$70*INDEX($P$57:$T$57,MATCH($O$70,$P$4:$T$4,0))*求节点(基础状态预期!$C$69:$C$89,基础状态预期!$AC$69:$AC$89,$W141)</f>
        <v>2052690.5745455152</v>
      </c>
      <c r="AA141" s="113">
        <f>求节点(基础状态预期!$C$95:$C$115,基础状态预期!$O$95:$O$115,$W141)*S$66*INDEX($P$57:$T$57,MATCH($O$66,$P$4:$T$4,0))*求节点(基础状态预期!$C$95:$C$115,基础状态预期!$Y$95:$Y$115,$W141)+
求节点(基础状态预期!$C$95:$C$115,基础状态预期!$P$95:$P$115,$W141)*S$67*INDEX($P$57:$T$57,MATCH($O$67,$P$4:$T$4,0))*求节点(基础状态预期!$C$95:$C$115,基础状态预期!$Z$95:$Z$115,$W141)+
求节点(基础状态预期!$C$95:$C$115,基础状态预期!$Q$95:$Q$115,$W141)*S$68*INDEX($P$57:$T$57,MATCH($O$68,$P$4:$T$4,0))*求节点(基础状态预期!$C$95:$C$115,基础状态预期!$AA$95:$AA$115,$W141)+
求节点(基础状态预期!$C$95:$C$115,基础状态预期!$R$95:$R$115,$W141)*S$69*INDEX($P$57:$T$57,MATCH($O$69,$P$4:$T$4,0))*求节点(基础状态预期!$C$95:$C$115,基础状态预期!$AB$95:$AB$115,$W141)+
求节点(基础状态预期!$C$95:$C$115,基础状态预期!$S$95:$S$115,$W141)*S$70*INDEX($P$57:$T$57,MATCH($O$70,$P$4:$T$4,0))*求节点(基础状态预期!$C$95:$C$115,基础状态预期!$AC$95:$AC$115,$W141)</f>
        <v>2061580.7956339507</v>
      </c>
      <c r="AB141" s="113">
        <f>求节点(基础状态预期!$C$121:$C$141,基础状态预期!$O$121:$O$141,$W141)*T$66*INDEX($P$57:$T$57,MATCH($O$66,$P$4:$T$4,0))*求节点(基础状态预期!$C$121:$C$141,基础状态预期!$Y$121:$Y$141,$W141)+
求节点(基础状态预期!$C$121:$C$141,基础状态预期!$P$121:$P$141,$W141)*T$67*INDEX($P$57:$T$57,MATCH($O$67,$P$4:$T$4,0))*求节点(基础状态预期!$C$121:$C$141,基础状态预期!$Z$121:$Z$141,$W141)+
求节点(基础状态预期!$C$121:$C$141,基础状态预期!$Q$121:$Q$141,$W141)*T$68*INDEX($P$57:$T$57,MATCH($O$68,$P$4:$T$4,0))*求节点(基础状态预期!$C$121:$C$141,基础状态预期!$AA$121:$AA$141,$W141)+
求节点(基础状态预期!$C$121:$C$141,基础状态预期!$R$121:$R$141,$W141)*T$69*INDEX($P$57:$T$57,MATCH($O$69,$P$4:$T$4,0))*求节点(基础状态预期!$C$121:$C$141,基础状态预期!$AB$121:$AB$141,$W141)+
求节点(基础状态预期!$C$121:$C$141,基础状态预期!$S$121:$S$141,$W141)*T$70*INDEX($P$57:$T$57,MATCH($O$70,$P$4:$T$4,0))*求节点(基础状态预期!$C$121:$C$141,基础状态预期!$AC$121:$AC$141,$W141)</f>
        <v>2052690.5745455152</v>
      </c>
      <c r="AE141" s="70">
        <v>136</v>
      </c>
      <c r="AF141" s="113">
        <f>盗宝贼!AI140</f>
        <v>12552737.666790012</v>
      </c>
      <c r="AG141" s="113">
        <f>盗宝贼!AJ140</f>
        <v>15436534.598853976</v>
      </c>
      <c r="AH141" s="113">
        <f>盗宝贼!AK140</f>
        <v>16699305.667612022</v>
      </c>
      <c r="AI141" s="113">
        <f>盗宝贼!AL140</f>
        <v>13408586.157458086</v>
      </c>
      <c r="AJ141" s="113">
        <f>盗宝贼!AM140</f>
        <v>7204231.5539542707</v>
      </c>
      <c r="AL141" s="78">
        <f>盗宝贼!AI140/AF141</f>
        <v>1</v>
      </c>
      <c r="AM141" s="118"/>
      <c r="AO141" s="123">
        <f t="shared" si="33"/>
        <v>23.88756126861815</v>
      </c>
      <c r="AP141" s="123">
        <f t="shared" si="34"/>
        <v>29.452423235900849</v>
      </c>
      <c r="AQ141" s="123">
        <f t="shared" si="35"/>
        <v>8.1353253503925718</v>
      </c>
      <c r="AR141" s="123">
        <f t="shared" si="36"/>
        <v>6.5040313655690847</v>
      </c>
      <c r="AS141" s="123">
        <f t="shared" si="37"/>
        <v>3.5096529614792793</v>
      </c>
    </row>
    <row r="142" spans="23:45" x14ac:dyDescent="0.15">
      <c r="W142" s="70">
        <v>137</v>
      </c>
      <c r="X142" s="113">
        <f>求节点(基础状态预期!$C$17:$C$37,基础状态预期!$O$17:$O$37,$W142)*P$66*INDEX($P$57:$T$57,MATCH($O$66,$P$4:$T$4,0))*求节点(基础状态预期!$C$17:$C$37,基础状态预期!$Y$17:$Y$37,$W142)+
求节点(基础状态预期!$C$17:$C$37,基础状态预期!$P$17:$P$37,$W142)*P$67*INDEX($P$57:$T$57,MATCH($O$67,$P$4:$T$4,0))*求节点(基础状态预期!$C$17:$C$37,基础状态预期!$Z$17:$Z$37,$W142)+
求节点(基础状态预期!$C$17:$C$37,基础状态预期!$Q$17:$Q$37,$W142)*P$68*INDEX($P$57:$T$57,MATCH($O$68,$P$4:$T$4,0))*求节点(基础状态预期!$C$17:$C$37,基础状态预期!$AA$17:$AA$37,$W142)+
求节点(基础状态预期!$C$17:$C$37,基础状态预期!$R$17:$R$37,$W142)*P$69*INDEX($P$57:$T$57,MATCH($O$69,$P$4:$T$4,0))*求节点(基础状态预期!$C$17:$C$37,基础状态预期!$AB$17:$AB$37,$W142)+
求节点(基础状态预期!$C$17:$C$37,基础状态预期!$S$17:$S$37,$W142)*P$70*INDEX($P$57:$T$57,MATCH($O$70,$P$4:$T$4,0))*求节点(基础状态预期!$C$17:$C$37,基础状态预期!$AC$17:$AC$37,$W142)</f>
        <v>525492.64136397815</v>
      </c>
      <c r="Y142" s="113">
        <f>求节点(基础状态预期!$C$43:$C$63,基础状态预期!$O$43:$O$63,$W142)*Q$66*INDEX($P$57:$T$57,MATCH($O$66,$P$4:$T$4,0))*求节点(基础状态预期!$C$43:$C$63,基础状态预期!$Y$43:$Y$63,$W142)+
求节点(基础状态预期!$C$43:$C$63,基础状态预期!$P$43:$P$63,$W142)*Q$67*INDEX($P$57:$T$57,MATCH($O$67,$P$4:$T$4,0))*求节点(基础状态预期!$C$43:$C$63,基础状态预期!$Z$43:$Z$63,$W142)+
求节点(基础状态预期!$C$43:$C$63,基础状态预期!$Q$43:$Q$63,$W142)*Q$68*INDEX($P$57:$T$57,MATCH($O$68,$P$4:$T$4,0))*求节点(基础状态预期!$C$43:$C$63,基础状态预期!$AA$43:$AA$63,$W142)+
求节点(基础状态预期!$C$43:$C$63,基础状态预期!$R$43:$R$63,$W142)*Q$69*INDEX($P$57:$T$57,MATCH($O$69,$P$4:$T$4,0))*求节点(基础状态预期!$C$43:$C$63,基础状态预期!$AB$43:$AB$63,$W142)+
求节点(基础状态预期!$C$43:$C$63,基础状态预期!$S$43:$S$63,$W142)*Q$70*INDEX($P$57:$T$57,MATCH($O$70,$P$4:$T$4,0))*求节点(基础状态预期!$C$43:$C$63,基础状态预期!$AC$43:$AC$63,$W142)</f>
        <v>524117.64136397809</v>
      </c>
      <c r="Z142" s="113">
        <f>求节点(基础状态预期!$C$69:$C$89,基础状态预期!$O$69:$O$89,$W142)*R$66*INDEX($P$57:$T$57,MATCH($O$66,$P$4:$T$4,0))*求节点(基础状态预期!$C$69:$C$89,基础状态预期!AA153:AA173,$W142)+
求节点(基础状态预期!$C$69:$C$89,基础状态预期!$P$69:$P$89,$W142)*R$67*INDEX($P$57:$T$57,MATCH($O$67,$P$4:$T$4,0))*求节点(基础状态预期!$C$69:$C$89,基础状态预期!$Z$69:$Z$89,$W142)+
求节点(基础状态预期!$C$69:$C$89,基础状态预期!$Q$69:$Q$89,$W142)*R$68*INDEX($P$57:$T$57,MATCH($O$68,$P$4:$T$4,0))*求节点(基础状态预期!$C$69:$C$89,基础状态预期!$AA$69:$AA$89,$W142)+
求节点(基础状态预期!$C$69:$C$89,基础状态预期!$R$69:$R$89,$W142)*R$69*INDEX($P$57:$T$57,MATCH($O$69,$P$4:$T$4,0))*求节点(基础状态预期!$C$69:$C$89,基础状态预期!$AB$69:$AB$89,$W142)+
求节点(基础状态预期!$C$69:$C$89,基础状态预期!$S$69:$S$89,$W142)*R$70*INDEX($P$57:$T$57,MATCH($O$70,$P$4:$T$4,0))*求节点(基础状态预期!$C$69:$C$89,基础状态预期!$AC$69:$AC$89,$W142)</f>
        <v>2052690.5745455152</v>
      </c>
      <c r="AA142" s="113">
        <f>求节点(基础状态预期!$C$95:$C$115,基础状态预期!$O$95:$O$115,$W142)*S$66*INDEX($P$57:$T$57,MATCH($O$66,$P$4:$T$4,0))*求节点(基础状态预期!$C$95:$C$115,基础状态预期!$Y$95:$Y$115,$W142)+
求节点(基础状态预期!$C$95:$C$115,基础状态预期!$P$95:$P$115,$W142)*S$67*INDEX($P$57:$T$57,MATCH($O$67,$P$4:$T$4,0))*求节点(基础状态预期!$C$95:$C$115,基础状态预期!$Z$95:$Z$115,$W142)+
求节点(基础状态预期!$C$95:$C$115,基础状态预期!$Q$95:$Q$115,$W142)*S$68*INDEX($P$57:$T$57,MATCH($O$68,$P$4:$T$4,0))*求节点(基础状态预期!$C$95:$C$115,基础状态预期!$AA$95:$AA$115,$W142)+
求节点(基础状态预期!$C$95:$C$115,基础状态预期!$R$95:$R$115,$W142)*S$69*INDEX($P$57:$T$57,MATCH($O$69,$P$4:$T$4,0))*求节点(基础状态预期!$C$95:$C$115,基础状态预期!$AB$95:$AB$115,$W142)+
求节点(基础状态预期!$C$95:$C$115,基础状态预期!$S$95:$S$115,$W142)*S$70*INDEX($P$57:$T$57,MATCH($O$70,$P$4:$T$4,0))*求节点(基础状态预期!$C$95:$C$115,基础状态预期!$AC$95:$AC$115,$W142)</f>
        <v>2061580.7956339507</v>
      </c>
      <c r="AB142" s="113">
        <f>求节点(基础状态预期!$C$121:$C$141,基础状态预期!$O$121:$O$141,$W142)*T$66*INDEX($P$57:$T$57,MATCH($O$66,$P$4:$T$4,0))*求节点(基础状态预期!$C$121:$C$141,基础状态预期!$Y$121:$Y$141,$W142)+
求节点(基础状态预期!$C$121:$C$141,基础状态预期!$P$121:$P$141,$W142)*T$67*INDEX($P$57:$T$57,MATCH($O$67,$P$4:$T$4,0))*求节点(基础状态预期!$C$121:$C$141,基础状态预期!$Z$121:$Z$141,$W142)+
求节点(基础状态预期!$C$121:$C$141,基础状态预期!$Q$121:$Q$141,$W142)*T$68*INDEX($P$57:$T$57,MATCH($O$68,$P$4:$T$4,0))*求节点(基础状态预期!$C$121:$C$141,基础状态预期!$AA$121:$AA$141,$W142)+
求节点(基础状态预期!$C$121:$C$141,基础状态预期!$R$121:$R$141,$W142)*T$69*INDEX($P$57:$T$57,MATCH($O$69,$P$4:$T$4,0))*求节点(基础状态预期!$C$121:$C$141,基础状态预期!$AB$121:$AB$141,$W142)+
求节点(基础状态预期!$C$121:$C$141,基础状态预期!$S$121:$S$141,$W142)*T$70*INDEX($P$57:$T$57,MATCH($O$70,$P$4:$T$4,0))*求节点(基础状态预期!$C$121:$C$141,基础状态预期!$AC$121:$AC$141,$W142)</f>
        <v>2052690.5745455152</v>
      </c>
      <c r="AE142" s="70">
        <v>137</v>
      </c>
      <c r="AF142" s="113">
        <f>盗宝贼!AI141</f>
        <v>14126375.835517127</v>
      </c>
      <c r="AG142" s="113">
        <f>盗宝贼!AJ141</f>
        <v>17395903.998345539</v>
      </c>
      <c r="AH142" s="113">
        <f>盗宝贼!AK141</f>
        <v>18849578.008204497</v>
      </c>
      <c r="AI142" s="113">
        <f>盗宝贼!AL141</f>
        <v>15218095.480524043</v>
      </c>
      <c r="AJ142" s="113">
        <f>盗宝贼!AM141</f>
        <v>8147677.8780724462</v>
      </c>
      <c r="AL142" s="78">
        <f>盗宝贼!AI141/AF142</f>
        <v>1</v>
      </c>
      <c r="AM142" s="118"/>
      <c r="AO142" s="123">
        <f t="shared" si="33"/>
        <v>26.882157281689906</v>
      </c>
      <c r="AP142" s="123">
        <f t="shared" si="34"/>
        <v>33.19083851685275</v>
      </c>
      <c r="AQ142" s="123">
        <f t="shared" si="35"/>
        <v>9.1828638188091105</v>
      </c>
      <c r="AR142" s="123">
        <f t="shared" si="36"/>
        <v>7.381760400927857</v>
      </c>
      <c r="AS142" s="123">
        <f t="shared" si="37"/>
        <v>3.9692674478599472</v>
      </c>
    </row>
    <row r="143" spans="23:45" x14ac:dyDescent="0.15">
      <c r="W143" s="70">
        <v>138</v>
      </c>
      <c r="X143" s="113">
        <f>求节点(基础状态预期!$C$17:$C$37,基础状态预期!$O$17:$O$37,$W143)*P$66*INDEX($P$57:$T$57,MATCH($O$66,$P$4:$T$4,0))*求节点(基础状态预期!$C$17:$C$37,基础状态预期!$Y$17:$Y$37,$W143)+
求节点(基础状态预期!$C$17:$C$37,基础状态预期!$P$17:$P$37,$W143)*P$67*INDEX($P$57:$T$57,MATCH($O$67,$P$4:$T$4,0))*求节点(基础状态预期!$C$17:$C$37,基础状态预期!$Z$17:$Z$37,$W143)+
求节点(基础状态预期!$C$17:$C$37,基础状态预期!$Q$17:$Q$37,$W143)*P$68*INDEX($P$57:$T$57,MATCH($O$68,$P$4:$T$4,0))*求节点(基础状态预期!$C$17:$C$37,基础状态预期!$AA$17:$AA$37,$W143)+
求节点(基础状态预期!$C$17:$C$37,基础状态预期!$R$17:$R$37,$W143)*P$69*INDEX($P$57:$T$57,MATCH($O$69,$P$4:$T$4,0))*求节点(基础状态预期!$C$17:$C$37,基础状态预期!$AB$17:$AB$37,$W143)+
求节点(基础状态预期!$C$17:$C$37,基础状态预期!$S$17:$S$37,$W143)*P$70*INDEX($P$57:$T$57,MATCH($O$70,$P$4:$T$4,0))*求节点(基础状态预期!$C$17:$C$37,基础状态预期!$AC$17:$AC$37,$W143)</f>
        <v>525492.64136397815</v>
      </c>
      <c r="Y143" s="113">
        <f>求节点(基础状态预期!$C$43:$C$63,基础状态预期!$O$43:$O$63,$W143)*Q$66*INDEX($P$57:$T$57,MATCH($O$66,$P$4:$T$4,0))*求节点(基础状态预期!$C$43:$C$63,基础状态预期!$Y$43:$Y$63,$W143)+
求节点(基础状态预期!$C$43:$C$63,基础状态预期!$P$43:$P$63,$W143)*Q$67*INDEX($P$57:$T$57,MATCH($O$67,$P$4:$T$4,0))*求节点(基础状态预期!$C$43:$C$63,基础状态预期!$Z$43:$Z$63,$W143)+
求节点(基础状态预期!$C$43:$C$63,基础状态预期!$Q$43:$Q$63,$W143)*Q$68*INDEX($P$57:$T$57,MATCH($O$68,$P$4:$T$4,0))*求节点(基础状态预期!$C$43:$C$63,基础状态预期!$AA$43:$AA$63,$W143)+
求节点(基础状态预期!$C$43:$C$63,基础状态预期!$R$43:$R$63,$W143)*Q$69*INDEX($P$57:$T$57,MATCH($O$69,$P$4:$T$4,0))*求节点(基础状态预期!$C$43:$C$63,基础状态预期!$AB$43:$AB$63,$W143)+
求节点(基础状态预期!$C$43:$C$63,基础状态预期!$S$43:$S$63,$W143)*Q$70*INDEX($P$57:$T$57,MATCH($O$70,$P$4:$T$4,0))*求节点(基础状态预期!$C$43:$C$63,基础状态预期!$AC$43:$AC$63,$W143)</f>
        <v>524117.64136397809</v>
      </c>
      <c r="Z143" s="113">
        <f>求节点(基础状态预期!$C$69:$C$89,基础状态预期!$O$69:$O$89,$W143)*R$66*INDEX($P$57:$T$57,MATCH($O$66,$P$4:$T$4,0))*求节点(基础状态预期!$C$69:$C$89,基础状态预期!AA154:AA174,$W143)+
求节点(基础状态预期!$C$69:$C$89,基础状态预期!$P$69:$P$89,$W143)*R$67*INDEX($P$57:$T$57,MATCH($O$67,$P$4:$T$4,0))*求节点(基础状态预期!$C$69:$C$89,基础状态预期!$Z$69:$Z$89,$W143)+
求节点(基础状态预期!$C$69:$C$89,基础状态预期!$Q$69:$Q$89,$W143)*R$68*INDEX($P$57:$T$57,MATCH($O$68,$P$4:$T$4,0))*求节点(基础状态预期!$C$69:$C$89,基础状态预期!$AA$69:$AA$89,$W143)+
求节点(基础状态预期!$C$69:$C$89,基础状态预期!$R$69:$R$89,$W143)*R$69*INDEX($P$57:$T$57,MATCH($O$69,$P$4:$T$4,0))*求节点(基础状态预期!$C$69:$C$89,基础状态预期!$AB$69:$AB$89,$W143)+
求节点(基础状态预期!$C$69:$C$89,基础状态预期!$S$69:$S$89,$W143)*R$70*INDEX($P$57:$T$57,MATCH($O$70,$P$4:$T$4,0))*求节点(基础状态预期!$C$69:$C$89,基础状态预期!$AC$69:$AC$89,$W143)</f>
        <v>2052690.5745455152</v>
      </c>
      <c r="AA143" s="113">
        <f>求节点(基础状态预期!$C$95:$C$115,基础状态预期!$O$95:$O$115,$W143)*S$66*INDEX($P$57:$T$57,MATCH($O$66,$P$4:$T$4,0))*求节点(基础状态预期!$C$95:$C$115,基础状态预期!$Y$95:$Y$115,$W143)+
求节点(基础状态预期!$C$95:$C$115,基础状态预期!$P$95:$P$115,$W143)*S$67*INDEX($P$57:$T$57,MATCH($O$67,$P$4:$T$4,0))*求节点(基础状态预期!$C$95:$C$115,基础状态预期!$Z$95:$Z$115,$W143)+
求节点(基础状态预期!$C$95:$C$115,基础状态预期!$Q$95:$Q$115,$W143)*S$68*INDEX($P$57:$T$57,MATCH($O$68,$P$4:$T$4,0))*求节点(基础状态预期!$C$95:$C$115,基础状态预期!$AA$95:$AA$115,$W143)+
求节点(基础状态预期!$C$95:$C$115,基础状态预期!$R$95:$R$115,$W143)*S$69*INDEX($P$57:$T$57,MATCH($O$69,$P$4:$T$4,0))*求节点(基础状态预期!$C$95:$C$115,基础状态预期!$AB$95:$AB$115,$W143)+
求节点(基础状态预期!$C$95:$C$115,基础状态预期!$S$95:$S$115,$W143)*S$70*INDEX($P$57:$T$57,MATCH($O$70,$P$4:$T$4,0))*求节点(基础状态预期!$C$95:$C$115,基础状态预期!$AC$95:$AC$115,$W143)</f>
        <v>2061580.7956339507</v>
      </c>
      <c r="AB143" s="113">
        <f>求节点(基础状态预期!$C$121:$C$141,基础状态预期!$O$121:$O$141,$W143)*T$66*INDEX($P$57:$T$57,MATCH($O$66,$P$4:$T$4,0))*求节点(基础状态预期!$C$121:$C$141,基础状态预期!$Y$121:$Y$141,$W143)+
求节点(基础状态预期!$C$121:$C$141,基础状态预期!$P$121:$P$141,$W143)*T$67*INDEX($P$57:$T$57,MATCH($O$67,$P$4:$T$4,0))*求节点(基础状态预期!$C$121:$C$141,基础状态预期!$Z$121:$Z$141,$W143)+
求节点(基础状态预期!$C$121:$C$141,基础状态预期!$Q$121:$Q$141,$W143)*T$68*INDEX($P$57:$T$57,MATCH($O$68,$P$4:$T$4,0))*求节点(基础状态预期!$C$121:$C$141,基础状态预期!$AA$121:$AA$141,$W143)+
求节点(基础状态预期!$C$121:$C$141,基础状态预期!$R$121:$R$141,$W143)*T$69*INDEX($P$57:$T$57,MATCH($O$69,$P$4:$T$4,0))*求节点(基础状态预期!$C$121:$C$141,基础状态预期!$AB$121:$AB$141,$W143)+
求节点(基础状态预期!$C$121:$C$141,基础状态预期!$S$121:$S$141,$W143)*T$70*INDEX($P$57:$T$57,MATCH($O$70,$P$4:$T$4,0))*求节点(基础状态预期!$C$121:$C$141,基础状态预期!$AC$121:$AC$141,$W143)</f>
        <v>2052690.5745455152</v>
      </c>
      <c r="AE143" s="70">
        <v>138</v>
      </c>
      <c r="AF143" s="113">
        <f>盗宝贼!AI142</f>
        <v>15897288.645836892</v>
      </c>
      <c r="AG143" s="113">
        <f>盗宝贼!AJ142</f>
        <v>19602451.870407395</v>
      </c>
      <c r="AH143" s="113">
        <f>盗宝贼!AK142</f>
        <v>21273267.031514637</v>
      </c>
      <c r="AI143" s="113">
        <f>盗宝贼!AL142</f>
        <v>17145152.325388905</v>
      </c>
      <c r="AJ143" s="113">
        <f>盗宝贼!AM142</f>
        <v>9111517.8501051422</v>
      </c>
      <c r="AL143" s="78">
        <f>盗宝贼!AI142/AF143</f>
        <v>1</v>
      </c>
      <c r="AM143" s="118"/>
      <c r="AO143" s="123">
        <f t="shared" si="33"/>
        <v>30.252162246408634</v>
      </c>
      <c r="AP143" s="123">
        <f t="shared" si="34"/>
        <v>37.400862560919414</v>
      </c>
      <c r="AQ143" s="123">
        <f t="shared" si="35"/>
        <v>10.36360145816168</v>
      </c>
      <c r="AR143" s="123">
        <f t="shared" si="36"/>
        <v>8.3165075856833681</v>
      </c>
      <c r="AS143" s="123">
        <f t="shared" si="37"/>
        <v>4.4388170156247329</v>
      </c>
    </row>
    <row r="144" spans="23:45" x14ac:dyDescent="0.15">
      <c r="W144" s="70">
        <v>139</v>
      </c>
      <c r="X144" s="113">
        <f>求节点(基础状态预期!$C$17:$C$37,基础状态预期!$O$17:$O$37,$W144)*P$66*INDEX($P$57:$T$57,MATCH($O$66,$P$4:$T$4,0))*求节点(基础状态预期!$C$17:$C$37,基础状态预期!$Y$17:$Y$37,$W144)+
求节点(基础状态预期!$C$17:$C$37,基础状态预期!$P$17:$P$37,$W144)*P$67*INDEX($P$57:$T$57,MATCH($O$67,$P$4:$T$4,0))*求节点(基础状态预期!$C$17:$C$37,基础状态预期!$Z$17:$Z$37,$W144)+
求节点(基础状态预期!$C$17:$C$37,基础状态预期!$Q$17:$Q$37,$W144)*P$68*INDEX($P$57:$T$57,MATCH($O$68,$P$4:$T$4,0))*求节点(基础状态预期!$C$17:$C$37,基础状态预期!$AA$17:$AA$37,$W144)+
求节点(基础状态预期!$C$17:$C$37,基础状态预期!$R$17:$R$37,$W144)*P$69*INDEX($P$57:$T$57,MATCH($O$69,$P$4:$T$4,0))*求节点(基础状态预期!$C$17:$C$37,基础状态预期!$AB$17:$AB$37,$W144)+
求节点(基础状态预期!$C$17:$C$37,基础状态预期!$S$17:$S$37,$W144)*P$70*INDEX($P$57:$T$57,MATCH($O$70,$P$4:$T$4,0))*求节点(基础状态预期!$C$17:$C$37,基础状态预期!$AC$17:$AC$37,$W144)</f>
        <v>525492.64136397815</v>
      </c>
      <c r="Y144" s="113">
        <f>求节点(基础状态预期!$C$43:$C$63,基础状态预期!$O$43:$O$63,$W144)*Q$66*INDEX($P$57:$T$57,MATCH($O$66,$P$4:$T$4,0))*求节点(基础状态预期!$C$43:$C$63,基础状态预期!$Y$43:$Y$63,$W144)+
求节点(基础状态预期!$C$43:$C$63,基础状态预期!$P$43:$P$63,$W144)*Q$67*INDEX($P$57:$T$57,MATCH($O$67,$P$4:$T$4,0))*求节点(基础状态预期!$C$43:$C$63,基础状态预期!$Z$43:$Z$63,$W144)+
求节点(基础状态预期!$C$43:$C$63,基础状态预期!$Q$43:$Q$63,$W144)*Q$68*INDEX($P$57:$T$57,MATCH($O$68,$P$4:$T$4,0))*求节点(基础状态预期!$C$43:$C$63,基础状态预期!$AA$43:$AA$63,$W144)+
求节点(基础状态预期!$C$43:$C$63,基础状态预期!$R$43:$R$63,$W144)*Q$69*INDEX($P$57:$T$57,MATCH($O$69,$P$4:$T$4,0))*求节点(基础状态预期!$C$43:$C$63,基础状态预期!$AB$43:$AB$63,$W144)+
求节点(基础状态预期!$C$43:$C$63,基础状态预期!$S$43:$S$63,$W144)*Q$70*INDEX($P$57:$T$57,MATCH($O$70,$P$4:$T$4,0))*求节点(基础状态预期!$C$43:$C$63,基础状态预期!$AC$43:$AC$63,$W144)</f>
        <v>524117.64136397809</v>
      </c>
      <c r="Z144" s="113">
        <f>求节点(基础状态预期!$C$69:$C$89,基础状态预期!$O$69:$O$89,$W144)*R$66*INDEX($P$57:$T$57,MATCH($O$66,$P$4:$T$4,0))*求节点(基础状态预期!$C$69:$C$89,基础状态预期!AA155:AA175,$W144)+
求节点(基础状态预期!$C$69:$C$89,基础状态预期!$P$69:$P$89,$W144)*R$67*INDEX($P$57:$T$57,MATCH($O$67,$P$4:$T$4,0))*求节点(基础状态预期!$C$69:$C$89,基础状态预期!$Z$69:$Z$89,$W144)+
求节点(基础状态预期!$C$69:$C$89,基础状态预期!$Q$69:$Q$89,$W144)*R$68*INDEX($P$57:$T$57,MATCH($O$68,$P$4:$T$4,0))*求节点(基础状态预期!$C$69:$C$89,基础状态预期!$AA$69:$AA$89,$W144)+
求节点(基础状态预期!$C$69:$C$89,基础状态预期!$R$69:$R$89,$W144)*R$69*INDEX($P$57:$T$57,MATCH($O$69,$P$4:$T$4,0))*求节点(基础状态预期!$C$69:$C$89,基础状态预期!$AB$69:$AB$89,$W144)+
求节点(基础状态预期!$C$69:$C$89,基础状态预期!$S$69:$S$89,$W144)*R$70*INDEX($P$57:$T$57,MATCH($O$70,$P$4:$T$4,0))*求节点(基础状态预期!$C$69:$C$89,基础状态预期!$AC$69:$AC$89,$W144)</f>
        <v>2052690.5745455152</v>
      </c>
      <c r="AA144" s="113">
        <f>求节点(基础状态预期!$C$95:$C$115,基础状态预期!$O$95:$O$115,$W144)*S$66*INDEX($P$57:$T$57,MATCH($O$66,$P$4:$T$4,0))*求节点(基础状态预期!$C$95:$C$115,基础状态预期!$Y$95:$Y$115,$W144)+
求节点(基础状态预期!$C$95:$C$115,基础状态预期!$P$95:$P$115,$W144)*S$67*INDEX($P$57:$T$57,MATCH($O$67,$P$4:$T$4,0))*求节点(基础状态预期!$C$95:$C$115,基础状态预期!$Z$95:$Z$115,$W144)+
求节点(基础状态预期!$C$95:$C$115,基础状态预期!$Q$95:$Q$115,$W144)*S$68*INDEX($P$57:$T$57,MATCH($O$68,$P$4:$T$4,0))*求节点(基础状态预期!$C$95:$C$115,基础状态预期!$AA$95:$AA$115,$W144)+
求节点(基础状态预期!$C$95:$C$115,基础状态预期!$R$95:$R$115,$W144)*S$69*INDEX($P$57:$T$57,MATCH($O$69,$P$4:$T$4,0))*求节点(基础状态预期!$C$95:$C$115,基础状态预期!$AB$95:$AB$115,$W144)+
求节点(基础状态预期!$C$95:$C$115,基础状态预期!$S$95:$S$115,$W144)*S$70*INDEX($P$57:$T$57,MATCH($O$70,$P$4:$T$4,0))*求节点(基础状态预期!$C$95:$C$115,基础状态预期!$AC$95:$AC$115,$W144)</f>
        <v>2061580.7956339507</v>
      </c>
      <c r="AB144" s="113">
        <f>求节点(基础状态预期!$C$121:$C$141,基础状态预期!$O$121:$O$141,$W144)*T$66*INDEX($P$57:$T$57,MATCH($O$66,$P$4:$T$4,0))*求节点(基础状态预期!$C$121:$C$141,基础状态预期!$Y$121:$Y$141,$W144)+
求节点(基础状态预期!$C$121:$C$141,基础状态预期!$P$121:$P$141,$W144)*T$67*INDEX($P$57:$T$57,MATCH($O$67,$P$4:$T$4,0))*求节点(基础状态预期!$C$121:$C$141,基础状态预期!$Z$121:$Z$141,$W144)+
求节点(基础状态预期!$C$121:$C$141,基础状态预期!$Q$121:$Q$141,$W144)*T$68*INDEX($P$57:$T$57,MATCH($O$68,$P$4:$T$4,0))*求节点(基础状态预期!$C$121:$C$141,基础状态预期!$AA$121:$AA$141,$W144)+
求节点(基础状态预期!$C$121:$C$141,基础状态预期!$R$121:$R$141,$W144)*T$69*INDEX($P$57:$T$57,MATCH($O$69,$P$4:$T$4,0))*求节点(基础状态预期!$C$121:$C$141,基础状态预期!$AB$121:$AB$141,$W144)+
求节点(基础状态预期!$C$121:$C$141,基础状态预期!$S$121:$S$141,$W144)*T$70*INDEX($P$57:$T$57,MATCH($O$70,$P$4:$T$4,0))*求节点(基础状态预期!$C$121:$C$141,基础状态预期!$AC$121:$AC$141,$W144)</f>
        <v>2052690.5745455152</v>
      </c>
      <c r="AE144" s="70">
        <v>139</v>
      </c>
      <c r="AF144" s="113">
        <f>盗宝贼!AI143</f>
        <v>17890206.868131503</v>
      </c>
      <c r="AG144" s="113">
        <f>盗宝贼!AJ143</f>
        <v>22087359.055490762</v>
      </c>
      <c r="AH144" s="113">
        <f>盗宝贼!AK143</f>
        <v>23946263.351414684</v>
      </c>
      <c r="AI144" s="113">
        <f>盗宝贼!AL143</f>
        <v>19115233.459911674</v>
      </c>
      <c r="AJ144" s="113">
        <f>盗宝贼!AM143</f>
        <v>10145082.095800264</v>
      </c>
      <c r="AL144" s="78">
        <f>盗宝贼!AI143/AF144</f>
        <v>1</v>
      </c>
      <c r="AM144" s="118"/>
      <c r="AO144" s="123">
        <f t="shared" si="33"/>
        <v>34.044638230699789</v>
      </c>
      <c r="AP144" s="123">
        <f t="shared" si="34"/>
        <v>42.14198743245889</v>
      </c>
      <c r="AQ144" s="123">
        <f t="shared" si="35"/>
        <v>11.665793007656115</v>
      </c>
      <c r="AR144" s="123">
        <f t="shared" si="36"/>
        <v>9.2721243331302983</v>
      </c>
      <c r="AS144" s="123">
        <f t="shared" si="37"/>
        <v>4.9423338430082087</v>
      </c>
    </row>
    <row r="145" spans="23:45" x14ac:dyDescent="0.15">
      <c r="W145" s="70">
        <v>140</v>
      </c>
      <c r="X145" s="113">
        <f>求节点(基础状态预期!$C$17:$C$37,基础状态预期!$O$17:$O$37,$W145)*P$66*INDEX($P$57:$T$57,MATCH($O$66,$P$4:$T$4,0))*求节点(基础状态预期!$C$17:$C$37,基础状态预期!$Y$17:$Y$37,$W145)+
求节点(基础状态预期!$C$17:$C$37,基础状态预期!$P$17:$P$37,$W145)*P$67*INDEX($P$57:$T$57,MATCH($O$67,$P$4:$T$4,0))*求节点(基础状态预期!$C$17:$C$37,基础状态预期!$Z$17:$Z$37,$W145)+
求节点(基础状态预期!$C$17:$C$37,基础状态预期!$Q$17:$Q$37,$W145)*P$68*INDEX($P$57:$T$57,MATCH($O$68,$P$4:$T$4,0))*求节点(基础状态预期!$C$17:$C$37,基础状态预期!$AA$17:$AA$37,$W145)+
求节点(基础状态预期!$C$17:$C$37,基础状态预期!$R$17:$R$37,$W145)*P$69*INDEX($P$57:$T$57,MATCH($O$69,$P$4:$T$4,0))*求节点(基础状态预期!$C$17:$C$37,基础状态预期!$AB$17:$AB$37,$W145)+
求节点(基础状态预期!$C$17:$C$37,基础状态预期!$S$17:$S$37,$W145)*P$70*INDEX($P$57:$T$57,MATCH($O$70,$P$4:$T$4,0))*求节点(基础状态预期!$C$17:$C$37,基础状态预期!$AC$17:$AC$37,$W145)</f>
        <v>525492.64136397815</v>
      </c>
      <c r="Y145" s="113">
        <f>求节点(基础状态预期!$C$43:$C$63,基础状态预期!$O$43:$O$63,$W145)*Q$66*INDEX($P$57:$T$57,MATCH($O$66,$P$4:$T$4,0))*求节点(基础状态预期!$C$43:$C$63,基础状态预期!$Y$43:$Y$63,$W145)+
求节点(基础状态预期!$C$43:$C$63,基础状态预期!$P$43:$P$63,$W145)*Q$67*INDEX($P$57:$T$57,MATCH($O$67,$P$4:$T$4,0))*求节点(基础状态预期!$C$43:$C$63,基础状态预期!$Z$43:$Z$63,$W145)+
求节点(基础状态预期!$C$43:$C$63,基础状态预期!$Q$43:$Q$63,$W145)*Q$68*INDEX($P$57:$T$57,MATCH($O$68,$P$4:$T$4,0))*求节点(基础状态预期!$C$43:$C$63,基础状态预期!$AA$43:$AA$63,$W145)+
求节点(基础状态预期!$C$43:$C$63,基础状态预期!$R$43:$R$63,$W145)*Q$69*INDEX($P$57:$T$57,MATCH($O$69,$P$4:$T$4,0))*求节点(基础状态预期!$C$43:$C$63,基础状态预期!$AB$43:$AB$63,$W145)+
求节点(基础状态预期!$C$43:$C$63,基础状态预期!$S$43:$S$63,$W145)*Q$70*INDEX($P$57:$T$57,MATCH($O$70,$P$4:$T$4,0))*求节点(基础状态预期!$C$43:$C$63,基础状态预期!$AC$43:$AC$63,$W145)</f>
        <v>524117.64136397809</v>
      </c>
      <c r="Z145" s="113">
        <f>求节点(基础状态预期!$C$69:$C$89,基础状态预期!$O$69:$O$89,$W145)*R$66*INDEX($P$57:$T$57,MATCH($O$66,$P$4:$T$4,0))*求节点(基础状态预期!$C$69:$C$89,基础状态预期!AA156:AA176,$W145)+
求节点(基础状态预期!$C$69:$C$89,基础状态预期!$P$69:$P$89,$W145)*R$67*INDEX($P$57:$T$57,MATCH($O$67,$P$4:$T$4,0))*求节点(基础状态预期!$C$69:$C$89,基础状态预期!$Z$69:$Z$89,$W145)+
求节点(基础状态预期!$C$69:$C$89,基础状态预期!$Q$69:$Q$89,$W145)*R$68*INDEX($P$57:$T$57,MATCH($O$68,$P$4:$T$4,0))*求节点(基础状态预期!$C$69:$C$89,基础状态预期!$AA$69:$AA$89,$W145)+
求节点(基础状态预期!$C$69:$C$89,基础状态预期!$R$69:$R$89,$W145)*R$69*INDEX($P$57:$T$57,MATCH($O$69,$P$4:$T$4,0))*求节点(基础状态预期!$C$69:$C$89,基础状态预期!$AB$69:$AB$89,$W145)+
求节点(基础状态预期!$C$69:$C$89,基础状态预期!$S$69:$S$89,$W145)*R$70*INDEX($P$57:$T$57,MATCH($O$70,$P$4:$T$4,0))*求节点(基础状态预期!$C$69:$C$89,基础状态预期!$AC$69:$AC$89,$W145)</f>
        <v>2052690.5745455152</v>
      </c>
      <c r="AA145" s="113">
        <f>求节点(基础状态预期!$C$95:$C$115,基础状态预期!$O$95:$O$115,$W145)*S$66*INDEX($P$57:$T$57,MATCH($O$66,$P$4:$T$4,0))*求节点(基础状态预期!$C$95:$C$115,基础状态预期!$Y$95:$Y$115,$W145)+
求节点(基础状态预期!$C$95:$C$115,基础状态预期!$P$95:$P$115,$W145)*S$67*INDEX($P$57:$T$57,MATCH($O$67,$P$4:$T$4,0))*求节点(基础状态预期!$C$95:$C$115,基础状态预期!$Z$95:$Z$115,$W145)+
求节点(基础状态预期!$C$95:$C$115,基础状态预期!$Q$95:$Q$115,$W145)*S$68*INDEX($P$57:$T$57,MATCH($O$68,$P$4:$T$4,0))*求节点(基础状态预期!$C$95:$C$115,基础状态预期!$AA$95:$AA$115,$W145)+
求节点(基础状态预期!$C$95:$C$115,基础状态预期!$R$95:$R$115,$W145)*S$69*INDEX($P$57:$T$57,MATCH($O$69,$P$4:$T$4,0))*求节点(基础状态预期!$C$95:$C$115,基础状态预期!$AB$95:$AB$115,$W145)+
求节点(基础状态预期!$C$95:$C$115,基础状态预期!$S$95:$S$115,$W145)*S$70*INDEX($P$57:$T$57,MATCH($O$70,$P$4:$T$4,0))*求节点(基础状态预期!$C$95:$C$115,基础状态预期!$AC$95:$AC$115,$W145)</f>
        <v>2061580.7956339507</v>
      </c>
      <c r="AB145" s="113">
        <f>求节点(基础状态预期!$C$121:$C$141,基础状态预期!$O$121:$O$141,$W145)*T$66*INDEX($P$57:$T$57,MATCH($O$66,$P$4:$T$4,0))*求节点(基础状态预期!$C$121:$C$141,基础状态预期!$Y$121:$Y$141,$W145)+
求节点(基础状态预期!$C$121:$C$141,基础状态预期!$P$121:$P$141,$W145)*T$67*INDEX($P$57:$T$57,MATCH($O$67,$P$4:$T$4,0))*求节点(基础状态预期!$C$121:$C$141,基础状态预期!$Z$121:$Z$141,$W145)+
求节点(基础状态预期!$C$121:$C$141,基础状态预期!$Q$121:$Q$141,$W145)*T$68*INDEX($P$57:$T$57,MATCH($O$68,$P$4:$T$4,0))*求节点(基础状态预期!$C$121:$C$141,基础状态预期!$AA$121:$AA$141,$W145)+
求节点(基础状态预期!$C$121:$C$141,基础状态预期!$R$121:$R$141,$W145)*T$69*INDEX($P$57:$T$57,MATCH($O$69,$P$4:$T$4,0))*求节点(基础状态预期!$C$121:$C$141,基础状态预期!$AB$121:$AB$141,$W145)+
求节点(基础状态预期!$C$121:$C$141,基础状态预期!$S$121:$S$141,$W145)*T$70*INDEX($P$57:$T$57,MATCH($O$70,$P$4:$T$4,0))*求节点(基础状态预期!$C$121:$C$141,基础状态预期!$AC$121:$AC$141,$W145)</f>
        <v>2052690.5745455152</v>
      </c>
      <c r="AE145" s="70">
        <v>140</v>
      </c>
      <c r="AF145" s="113">
        <f>盗宝贼!AI144</f>
        <v>20132961.574974854</v>
      </c>
      <c r="AG145" s="113">
        <f>盗宝贼!AJ144</f>
        <v>24836963.033598088</v>
      </c>
      <c r="AH145" s="113">
        <f>盗宝贼!AK144</f>
        <v>26689800.755073134</v>
      </c>
      <c r="AI145" s="113">
        <f>盗宝贼!AL144</f>
        <v>21318728.371050704</v>
      </c>
      <c r="AJ145" s="113">
        <f>盗宝贼!AM144</f>
        <v>11367164.911357824</v>
      </c>
      <c r="AL145" s="78">
        <f>盗宝贼!AI144/AF145</f>
        <v>1</v>
      </c>
      <c r="AM145" s="118"/>
      <c r="AO145" s="123">
        <f t="shared" si="33"/>
        <v>38.312547103832657</v>
      </c>
      <c r="AP145" s="123">
        <f t="shared" si="34"/>
        <v>47.388145472382298</v>
      </c>
      <c r="AQ145" s="123">
        <f t="shared" si="35"/>
        <v>13.002349738456077</v>
      </c>
      <c r="AR145" s="123">
        <f t="shared" si="36"/>
        <v>10.340961856163897</v>
      </c>
      <c r="AS145" s="123">
        <f t="shared" si="37"/>
        <v>5.5376904109742018</v>
      </c>
    </row>
    <row r="146" spans="23:45" x14ac:dyDescent="0.15">
      <c r="W146" s="70">
        <v>141</v>
      </c>
      <c r="X146" s="113">
        <f>求节点(基础状态预期!$C$17:$C$37,基础状态预期!$O$17:$O$37,$W146)*P$66*INDEX($P$57:$T$57,MATCH($O$66,$P$4:$T$4,0))*求节点(基础状态预期!$C$17:$C$37,基础状态预期!$Y$17:$Y$37,$W146)+
求节点(基础状态预期!$C$17:$C$37,基础状态预期!$P$17:$P$37,$W146)*P$67*INDEX($P$57:$T$57,MATCH($O$67,$P$4:$T$4,0))*求节点(基础状态预期!$C$17:$C$37,基础状态预期!$Z$17:$Z$37,$W146)+
求节点(基础状态预期!$C$17:$C$37,基础状态预期!$Q$17:$Q$37,$W146)*P$68*INDEX($P$57:$T$57,MATCH($O$68,$P$4:$T$4,0))*求节点(基础状态预期!$C$17:$C$37,基础状态预期!$AA$17:$AA$37,$W146)+
求节点(基础状态预期!$C$17:$C$37,基础状态预期!$R$17:$R$37,$W146)*P$69*INDEX($P$57:$T$57,MATCH($O$69,$P$4:$T$4,0))*求节点(基础状态预期!$C$17:$C$37,基础状态预期!$AB$17:$AB$37,$W146)+
求节点(基础状态预期!$C$17:$C$37,基础状态预期!$S$17:$S$37,$W146)*P$70*INDEX($P$57:$T$57,MATCH($O$70,$P$4:$T$4,0))*求节点(基础状态预期!$C$17:$C$37,基础状态预期!$AC$17:$AC$37,$W146)</f>
        <v>525492.64136397815</v>
      </c>
      <c r="Y146" s="113">
        <f>求节点(基础状态预期!$C$43:$C$63,基础状态预期!$O$43:$O$63,$W146)*Q$66*INDEX($P$57:$T$57,MATCH($O$66,$P$4:$T$4,0))*求节点(基础状态预期!$C$43:$C$63,基础状态预期!$Y$43:$Y$63,$W146)+
求节点(基础状态预期!$C$43:$C$63,基础状态预期!$P$43:$P$63,$W146)*Q$67*INDEX($P$57:$T$57,MATCH($O$67,$P$4:$T$4,0))*求节点(基础状态预期!$C$43:$C$63,基础状态预期!$Z$43:$Z$63,$W146)+
求节点(基础状态预期!$C$43:$C$63,基础状态预期!$Q$43:$Q$63,$W146)*Q$68*INDEX($P$57:$T$57,MATCH($O$68,$P$4:$T$4,0))*求节点(基础状态预期!$C$43:$C$63,基础状态预期!$AA$43:$AA$63,$W146)+
求节点(基础状态预期!$C$43:$C$63,基础状态预期!$R$43:$R$63,$W146)*Q$69*INDEX($P$57:$T$57,MATCH($O$69,$P$4:$T$4,0))*求节点(基础状态预期!$C$43:$C$63,基础状态预期!$AB$43:$AB$63,$W146)+
求节点(基础状态预期!$C$43:$C$63,基础状态预期!$S$43:$S$63,$W146)*Q$70*INDEX($P$57:$T$57,MATCH($O$70,$P$4:$T$4,0))*求节点(基础状态预期!$C$43:$C$63,基础状态预期!$AC$43:$AC$63,$W146)</f>
        <v>524117.64136397809</v>
      </c>
      <c r="Z146" s="113">
        <f>求节点(基础状态预期!$C$69:$C$89,基础状态预期!$O$69:$O$89,$W146)*R$66*INDEX($P$57:$T$57,MATCH($O$66,$P$4:$T$4,0))*求节点(基础状态预期!$C$69:$C$89,基础状态预期!AA157:AA177,$W146)+
求节点(基础状态预期!$C$69:$C$89,基础状态预期!$P$69:$P$89,$W146)*R$67*INDEX($P$57:$T$57,MATCH($O$67,$P$4:$T$4,0))*求节点(基础状态预期!$C$69:$C$89,基础状态预期!$Z$69:$Z$89,$W146)+
求节点(基础状态预期!$C$69:$C$89,基础状态预期!$Q$69:$Q$89,$W146)*R$68*INDEX($P$57:$T$57,MATCH($O$68,$P$4:$T$4,0))*求节点(基础状态预期!$C$69:$C$89,基础状态预期!$AA$69:$AA$89,$W146)+
求节点(基础状态预期!$C$69:$C$89,基础状态预期!$R$69:$R$89,$W146)*R$69*INDEX($P$57:$T$57,MATCH($O$69,$P$4:$T$4,0))*求节点(基础状态预期!$C$69:$C$89,基础状态预期!$AB$69:$AB$89,$W146)+
求节点(基础状态预期!$C$69:$C$89,基础状态预期!$S$69:$S$89,$W146)*R$70*INDEX($P$57:$T$57,MATCH($O$70,$P$4:$T$4,0))*求节点(基础状态预期!$C$69:$C$89,基础状态预期!$AC$69:$AC$89,$W146)</f>
        <v>2052690.5745455152</v>
      </c>
      <c r="AA146" s="113">
        <f>求节点(基础状态预期!$C$95:$C$115,基础状态预期!$O$95:$O$115,$W146)*S$66*INDEX($P$57:$T$57,MATCH($O$66,$P$4:$T$4,0))*求节点(基础状态预期!$C$95:$C$115,基础状态预期!$Y$95:$Y$115,$W146)+
求节点(基础状态预期!$C$95:$C$115,基础状态预期!$P$95:$P$115,$W146)*S$67*INDEX($P$57:$T$57,MATCH($O$67,$P$4:$T$4,0))*求节点(基础状态预期!$C$95:$C$115,基础状态预期!$Z$95:$Z$115,$W146)+
求节点(基础状态预期!$C$95:$C$115,基础状态预期!$Q$95:$Q$115,$W146)*S$68*INDEX($P$57:$T$57,MATCH($O$68,$P$4:$T$4,0))*求节点(基础状态预期!$C$95:$C$115,基础状态预期!$AA$95:$AA$115,$W146)+
求节点(基础状态预期!$C$95:$C$115,基础状态预期!$R$95:$R$115,$W146)*S$69*INDEX($P$57:$T$57,MATCH($O$69,$P$4:$T$4,0))*求节点(基础状态预期!$C$95:$C$115,基础状态预期!$AB$95:$AB$115,$W146)+
求节点(基础状态预期!$C$95:$C$115,基础状态预期!$S$95:$S$115,$W146)*S$70*INDEX($P$57:$T$57,MATCH($O$70,$P$4:$T$4,0))*求节点(基础状态预期!$C$95:$C$115,基础状态预期!$AC$95:$AC$115,$W146)</f>
        <v>2061580.7956339507</v>
      </c>
      <c r="AB146" s="113">
        <f>求节点(基础状态预期!$C$121:$C$141,基础状态预期!$O$121:$O$141,$W146)*T$66*INDEX($P$57:$T$57,MATCH($O$66,$P$4:$T$4,0))*求节点(基础状态预期!$C$121:$C$141,基础状态预期!$Y$121:$Y$141,$W146)+
求节点(基础状态预期!$C$121:$C$141,基础状态预期!$P$121:$P$141,$W146)*T$67*INDEX($P$57:$T$57,MATCH($O$67,$P$4:$T$4,0))*求节点(基础状态预期!$C$121:$C$141,基础状态预期!$Z$121:$Z$141,$W146)+
求节点(基础状态预期!$C$121:$C$141,基础状态预期!$Q$121:$Q$141,$W146)*T$68*INDEX($P$57:$T$57,MATCH($O$68,$P$4:$T$4,0))*求节点(基础状态预期!$C$121:$C$141,基础状态预期!$AA$121:$AA$141,$W146)+
求节点(基础状态预期!$C$121:$C$141,基础状态预期!$R$121:$R$141,$W146)*T$69*INDEX($P$57:$T$57,MATCH($O$69,$P$4:$T$4,0))*求节点(基础状态预期!$C$121:$C$141,基础状态预期!$AB$121:$AB$141,$W146)+
求节点(基础状态预期!$C$121:$C$141,基础状态预期!$S$121:$S$141,$W146)*T$70*INDEX($P$57:$T$57,MATCH($O$70,$P$4:$T$4,0))*求节点(基础状态预期!$C$121:$C$141,基础状态预期!$AC$121:$AC$141,$W146)</f>
        <v>2052690.5745455152</v>
      </c>
      <c r="AE146" s="70">
        <v>141</v>
      </c>
      <c r="AF146" s="113">
        <f>盗宝贼!AI145</f>
        <v>22656872.801636528</v>
      </c>
      <c r="AG146" s="113">
        <f>盗宝贼!AJ145</f>
        <v>27765118.076346975</v>
      </c>
      <c r="AH146" s="113">
        <f>盗宝贼!AK145</f>
        <v>29832354.335778061</v>
      </c>
      <c r="AI146" s="113">
        <f>盗宝贼!AL145</f>
        <v>23951969.492946543</v>
      </c>
      <c r="AJ146" s="113">
        <f>盗宝贼!AM145</f>
        <v>12788560.570576686</v>
      </c>
      <c r="AL146" s="78">
        <f>盗宝贼!AI145/AF146</f>
        <v>1</v>
      </c>
      <c r="AM146" s="118"/>
      <c r="AO146" s="123">
        <f t="shared" si="33"/>
        <v>43.115490148116905</v>
      </c>
      <c r="AP146" s="123">
        <f t="shared" si="34"/>
        <v>52.974973336311045</v>
      </c>
      <c r="AQ146" s="123">
        <f t="shared" si="35"/>
        <v>14.533293378805142</v>
      </c>
      <c r="AR146" s="123">
        <f t="shared" si="36"/>
        <v>11.618254081369216</v>
      </c>
      <c r="AS146" s="123">
        <f t="shared" si="37"/>
        <v>6.2301453171568211</v>
      </c>
    </row>
    <row r="147" spans="23:45" x14ac:dyDescent="0.15">
      <c r="W147" s="70">
        <v>142</v>
      </c>
      <c r="X147" s="113">
        <f>求节点(基础状态预期!$C$17:$C$37,基础状态预期!$O$17:$O$37,$W147)*P$66*INDEX($P$57:$T$57,MATCH($O$66,$P$4:$T$4,0))*求节点(基础状态预期!$C$17:$C$37,基础状态预期!$Y$17:$Y$37,$W147)+
求节点(基础状态预期!$C$17:$C$37,基础状态预期!$P$17:$P$37,$W147)*P$67*INDEX($P$57:$T$57,MATCH($O$67,$P$4:$T$4,0))*求节点(基础状态预期!$C$17:$C$37,基础状态预期!$Z$17:$Z$37,$W147)+
求节点(基础状态预期!$C$17:$C$37,基础状态预期!$Q$17:$Q$37,$W147)*P$68*INDEX($P$57:$T$57,MATCH($O$68,$P$4:$T$4,0))*求节点(基础状态预期!$C$17:$C$37,基础状态预期!$AA$17:$AA$37,$W147)+
求节点(基础状态预期!$C$17:$C$37,基础状态预期!$R$17:$R$37,$W147)*P$69*INDEX($P$57:$T$57,MATCH($O$69,$P$4:$T$4,0))*求节点(基础状态预期!$C$17:$C$37,基础状态预期!$AB$17:$AB$37,$W147)+
求节点(基础状态预期!$C$17:$C$37,基础状态预期!$S$17:$S$37,$W147)*P$70*INDEX($P$57:$T$57,MATCH($O$70,$P$4:$T$4,0))*求节点(基础状态预期!$C$17:$C$37,基础状态预期!$AC$17:$AC$37,$W147)</f>
        <v>525492.64136397815</v>
      </c>
      <c r="Y147" s="113">
        <f>求节点(基础状态预期!$C$43:$C$63,基础状态预期!$O$43:$O$63,$W147)*Q$66*INDEX($P$57:$T$57,MATCH($O$66,$P$4:$T$4,0))*求节点(基础状态预期!$C$43:$C$63,基础状态预期!$Y$43:$Y$63,$W147)+
求节点(基础状态预期!$C$43:$C$63,基础状态预期!$P$43:$P$63,$W147)*Q$67*INDEX($P$57:$T$57,MATCH($O$67,$P$4:$T$4,0))*求节点(基础状态预期!$C$43:$C$63,基础状态预期!$Z$43:$Z$63,$W147)+
求节点(基础状态预期!$C$43:$C$63,基础状态预期!$Q$43:$Q$63,$W147)*Q$68*INDEX($P$57:$T$57,MATCH($O$68,$P$4:$T$4,0))*求节点(基础状态预期!$C$43:$C$63,基础状态预期!$AA$43:$AA$63,$W147)+
求节点(基础状态预期!$C$43:$C$63,基础状态预期!$R$43:$R$63,$W147)*Q$69*INDEX($P$57:$T$57,MATCH($O$69,$P$4:$T$4,0))*求节点(基础状态预期!$C$43:$C$63,基础状态预期!$AB$43:$AB$63,$W147)+
求节点(基础状态预期!$C$43:$C$63,基础状态预期!$S$43:$S$63,$W147)*Q$70*INDEX($P$57:$T$57,MATCH($O$70,$P$4:$T$4,0))*求节点(基础状态预期!$C$43:$C$63,基础状态预期!$AC$43:$AC$63,$W147)</f>
        <v>524117.64136397809</v>
      </c>
      <c r="Z147" s="113">
        <f>求节点(基础状态预期!$C$69:$C$89,基础状态预期!$O$69:$O$89,$W147)*R$66*INDEX($P$57:$T$57,MATCH($O$66,$P$4:$T$4,0))*求节点(基础状态预期!$C$69:$C$89,基础状态预期!AA158:AA178,$W147)+
求节点(基础状态预期!$C$69:$C$89,基础状态预期!$P$69:$P$89,$W147)*R$67*INDEX($P$57:$T$57,MATCH($O$67,$P$4:$T$4,0))*求节点(基础状态预期!$C$69:$C$89,基础状态预期!$Z$69:$Z$89,$W147)+
求节点(基础状态预期!$C$69:$C$89,基础状态预期!$Q$69:$Q$89,$W147)*R$68*INDEX($P$57:$T$57,MATCH($O$68,$P$4:$T$4,0))*求节点(基础状态预期!$C$69:$C$89,基础状态预期!$AA$69:$AA$89,$W147)+
求节点(基础状态预期!$C$69:$C$89,基础状态预期!$R$69:$R$89,$W147)*R$69*INDEX($P$57:$T$57,MATCH($O$69,$P$4:$T$4,0))*求节点(基础状态预期!$C$69:$C$89,基础状态预期!$AB$69:$AB$89,$W147)+
求节点(基础状态预期!$C$69:$C$89,基础状态预期!$S$69:$S$89,$W147)*R$70*INDEX($P$57:$T$57,MATCH($O$70,$P$4:$T$4,0))*求节点(基础状态预期!$C$69:$C$89,基础状态预期!$AC$69:$AC$89,$W147)</f>
        <v>2052690.5745455152</v>
      </c>
      <c r="AA147" s="113">
        <f>求节点(基础状态预期!$C$95:$C$115,基础状态预期!$O$95:$O$115,$W147)*S$66*INDEX($P$57:$T$57,MATCH($O$66,$P$4:$T$4,0))*求节点(基础状态预期!$C$95:$C$115,基础状态预期!$Y$95:$Y$115,$W147)+
求节点(基础状态预期!$C$95:$C$115,基础状态预期!$P$95:$P$115,$W147)*S$67*INDEX($P$57:$T$57,MATCH($O$67,$P$4:$T$4,0))*求节点(基础状态预期!$C$95:$C$115,基础状态预期!$Z$95:$Z$115,$W147)+
求节点(基础状态预期!$C$95:$C$115,基础状态预期!$Q$95:$Q$115,$W147)*S$68*INDEX($P$57:$T$57,MATCH($O$68,$P$4:$T$4,0))*求节点(基础状态预期!$C$95:$C$115,基础状态预期!$AA$95:$AA$115,$W147)+
求节点(基础状态预期!$C$95:$C$115,基础状态预期!$R$95:$R$115,$W147)*S$69*INDEX($P$57:$T$57,MATCH($O$69,$P$4:$T$4,0))*求节点(基础状态预期!$C$95:$C$115,基础状态预期!$AB$95:$AB$115,$W147)+
求节点(基础状态预期!$C$95:$C$115,基础状态预期!$S$95:$S$115,$W147)*S$70*INDEX($P$57:$T$57,MATCH($O$70,$P$4:$T$4,0))*求节点(基础状态预期!$C$95:$C$115,基础状态预期!$AC$95:$AC$115,$W147)</f>
        <v>2061580.7956339507</v>
      </c>
      <c r="AB147" s="113">
        <f>求节点(基础状态预期!$C$121:$C$141,基础状态预期!$O$121:$O$141,$W147)*T$66*INDEX($P$57:$T$57,MATCH($O$66,$P$4:$T$4,0))*求节点(基础状态预期!$C$121:$C$141,基础状态预期!$Y$121:$Y$141,$W147)+
求节点(基础状态预期!$C$121:$C$141,基础状态预期!$P$121:$P$141,$W147)*T$67*INDEX($P$57:$T$57,MATCH($O$67,$P$4:$T$4,0))*求节点(基础状态预期!$C$121:$C$141,基础状态预期!$Z$121:$Z$141,$W147)+
求节点(基础状态预期!$C$121:$C$141,基础状态预期!$Q$121:$Q$141,$W147)*T$68*INDEX($P$57:$T$57,MATCH($O$68,$P$4:$T$4,0))*求节点(基础状态预期!$C$121:$C$141,基础状态预期!$AA$121:$AA$141,$W147)+
求节点(基础状态预期!$C$121:$C$141,基础状态预期!$R$121:$R$141,$W147)*T$69*INDEX($P$57:$T$57,MATCH($O$69,$P$4:$T$4,0))*求节点(基础状态预期!$C$121:$C$141,基础状态预期!$AB$121:$AB$141,$W147)+
求节点(基础状态预期!$C$121:$C$141,基础状态预期!$S$121:$S$141,$W147)*T$70*INDEX($P$57:$T$57,MATCH($O$70,$P$4:$T$4,0))*求节点(基础状态预期!$C$121:$C$141,基础状态预期!$AC$121:$AC$141,$W147)</f>
        <v>2052690.5745455152</v>
      </c>
      <c r="AE147" s="70">
        <v>142</v>
      </c>
      <c r="AF147" s="113">
        <f>盗宝贼!AI146</f>
        <v>25497186.929896705</v>
      </c>
      <c r="AG147" s="113">
        <f>盗宝贼!AJ146</f>
        <v>31293378.743225943</v>
      </c>
      <c r="AH147" s="113">
        <f>盗宝贼!AK146</f>
        <v>33772073.320711382</v>
      </c>
      <c r="AI147" s="113">
        <f>盗宝贼!AL146</f>
        <v>27100796.42968443</v>
      </c>
      <c r="AJ147" s="113">
        <f>盗宝贼!AM146</f>
        <v>14500830.918825924</v>
      </c>
      <c r="AL147" s="78">
        <f>盗宝贼!AI146/AF147</f>
        <v>1</v>
      </c>
      <c r="AM147" s="118"/>
      <c r="AO147" s="123">
        <f t="shared" si="33"/>
        <v>48.520540389901079</v>
      </c>
      <c r="AP147" s="123">
        <f t="shared" si="34"/>
        <v>59.706783884982762</v>
      </c>
      <c r="AQ147" s="123">
        <f t="shared" si="35"/>
        <v>16.452588490200885</v>
      </c>
      <c r="AR147" s="123">
        <f t="shared" si="36"/>
        <v>13.145638767628675</v>
      </c>
      <c r="AS147" s="123">
        <f t="shared" si="37"/>
        <v>7.0643043323938599</v>
      </c>
    </row>
    <row r="148" spans="23:45" x14ac:dyDescent="0.15">
      <c r="W148" s="70">
        <v>143</v>
      </c>
      <c r="X148" s="113">
        <f>求节点(基础状态预期!$C$17:$C$37,基础状态预期!$O$17:$O$37,$W148)*P$66*INDEX($P$57:$T$57,MATCH($O$66,$P$4:$T$4,0))*求节点(基础状态预期!$C$17:$C$37,基础状态预期!$Y$17:$Y$37,$W148)+
求节点(基础状态预期!$C$17:$C$37,基础状态预期!$P$17:$P$37,$W148)*P$67*INDEX($P$57:$T$57,MATCH($O$67,$P$4:$T$4,0))*求节点(基础状态预期!$C$17:$C$37,基础状态预期!$Z$17:$Z$37,$W148)+
求节点(基础状态预期!$C$17:$C$37,基础状态预期!$Q$17:$Q$37,$W148)*P$68*INDEX($P$57:$T$57,MATCH($O$68,$P$4:$T$4,0))*求节点(基础状态预期!$C$17:$C$37,基础状态预期!$AA$17:$AA$37,$W148)+
求节点(基础状态预期!$C$17:$C$37,基础状态预期!$R$17:$R$37,$W148)*P$69*INDEX($P$57:$T$57,MATCH($O$69,$P$4:$T$4,0))*求节点(基础状态预期!$C$17:$C$37,基础状态预期!$AB$17:$AB$37,$W148)+
求节点(基础状态预期!$C$17:$C$37,基础状态预期!$S$17:$S$37,$W148)*P$70*INDEX($P$57:$T$57,MATCH($O$70,$P$4:$T$4,0))*求节点(基础状态预期!$C$17:$C$37,基础状态预期!$AC$17:$AC$37,$W148)</f>
        <v>525492.64136397815</v>
      </c>
      <c r="Y148" s="113">
        <f>求节点(基础状态预期!$C$43:$C$63,基础状态预期!$O$43:$O$63,$W148)*Q$66*INDEX($P$57:$T$57,MATCH($O$66,$P$4:$T$4,0))*求节点(基础状态预期!$C$43:$C$63,基础状态预期!$Y$43:$Y$63,$W148)+
求节点(基础状态预期!$C$43:$C$63,基础状态预期!$P$43:$P$63,$W148)*Q$67*INDEX($P$57:$T$57,MATCH($O$67,$P$4:$T$4,0))*求节点(基础状态预期!$C$43:$C$63,基础状态预期!$Z$43:$Z$63,$W148)+
求节点(基础状态预期!$C$43:$C$63,基础状态预期!$Q$43:$Q$63,$W148)*Q$68*INDEX($P$57:$T$57,MATCH($O$68,$P$4:$T$4,0))*求节点(基础状态预期!$C$43:$C$63,基础状态预期!$AA$43:$AA$63,$W148)+
求节点(基础状态预期!$C$43:$C$63,基础状态预期!$R$43:$R$63,$W148)*Q$69*INDEX($P$57:$T$57,MATCH($O$69,$P$4:$T$4,0))*求节点(基础状态预期!$C$43:$C$63,基础状态预期!$AB$43:$AB$63,$W148)+
求节点(基础状态预期!$C$43:$C$63,基础状态预期!$S$43:$S$63,$W148)*Q$70*INDEX($P$57:$T$57,MATCH($O$70,$P$4:$T$4,0))*求节点(基础状态预期!$C$43:$C$63,基础状态预期!$AC$43:$AC$63,$W148)</f>
        <v>524117.64136397809</v>
      </c>
      <c r="Z148" s="113">
        <f>求节点(基础状态预期!$C$69:$C$89,基础状态预期!$O$69:$O$89,$W148)*R$66*INDEX($P$57:$T$57,MATCH($O$66,$P$4:$T$4,0))*求节点(基础状态预期!$C$69:$C$89,基础状态预期!AA159:AA179,$W148)+
求节点(基础状态预期!$C$69:$C$89,基础状态预期!$P$69:$P$89,$W148)*R$67*INDEX($P$57:$T$57,MATCH($O$67,$P$4:$T$4,0))*求节点(基础状态预期!$C$69:$C$89,基础状态预期!$Z$69:$Z$89,$W148)+
求节点(基础状态预期!$C$69:$C$89,基础状态预期!$Q$69:$Q$89,$W148)*R$68*INDEX($P$57:$T$57,MATCH($O$68,$P$4:$T$4,0))*求节点(基础状态预期!$C$69:$C$89,基础状态预期!$AA$69:$AA$89,$W148)+
求节点(基础状态预期!$C$69:$C$89,基础状态预期!$R$69:$R$89,$W148)*R$69*INDEX($P$57:$T$57,MATCH($O$69,$P$4:$T$4,0))*求节点(基础状态预期!$C$69:$C$89,基础状态预期!$AB$69:$AB$89,$W148)+
求节点(基础状态预期!$C$69:$C$89,基础状态预期!$S$69:$S$89,$W148)*R$70*INDEX($P$57:$T$57,MATCH($O$70,$P$4:$T$4,0))*求节点(基础状态预期!$C$69:$C$89,基础状态预期!$AC$69:$AC$89,$W148)</f>
        <v>2052690.5745455152</v>
      </c>
      <c r="AA148" s="113">
        <f>求节点(基础状态预期!$C$95:$C$115,基础状态预期!$O$95:$O$115,$W148)*S$66*INDEX($P$57:$T$57,MATCH($O$66,$P$4:$T$4,0))*求节点(基础状态预期!$C$95:$C$115,基础状态预期!$Y$95:$Y$115,$W148)+
求节点(基础状态预期!$C$95:$C$115,基础状态预期!$P$95:$P$115,$W148)*S$67*INDEX($P$57:$T$57,MATCH($O$67,$P$4:$T$4,0))*求节点(基础状态预期!$C$95:$C$115,基础状态预期!$Z$95:$Z$115,$W148)+
求节点(基础状态预期!$C$95:$C$115,基础状态预期!$Q$95:$Q$115,$W148)*S$68*INDEX($P$57:$T$57,MATCH($O$68,$P$4:$T$4,0))*求节点(基础状态预期!$C$95:$C$115,基础状态预期!$AA$95:$AA$115,$W148)+
求节点(基础状态预期!$C$95:$C$115,基础状态预期!$R$95:$R$115,$W148)*S$69*INDEX($P$57:$T$57,MATCH($O$69,$P$4:$T$4,0))*求节点(基础状态预期!$C$95:$C$115,基础状态预期!$AB$95:$AB$115,$W148)+
求节点(基础状态预期!$C$95:$C$115,基础状态预期!$S$95:$S$115,$W148)*S$70*INDEX($P$57:$T$57,MATCH($O$70,$P$4:$T$4,0))*求节点(基础状态预期!$C$95:$C$115,基础状态预期!$AC$95:$AC$115,$W148)</f>
        <v>2061580.7956339507</v>
      </c>
      <c r="AB148" s="113">
        <f>求节点(基础状态预期!$C$121:$C$141,基础状态预期!$O$121:$O$141,$W148)*T$66*INDEX($P$57:$T$57,MATCH($O$66,$P$4:$T$4,0))*求节点(基础状态预期!$C$121:$C$141,基础状态预期!$Y$121:$Y$141,$W148)+
求节点(基础状态预期!$C$121:$C$141,基础状态预期!$P$121:$P$141,$W148)*T$67*INDEX($P$57:$T$57,MATCH($O$67,$P$4:$T$4,0))*求节点(基础状态预期!$C$121:$C$141,基础状态预期!$Z$121:$Z$141,$W148)+
求节点(基础状态预期!$C$121:$C$141,基础状态预期!$Q$121:$Q$141,$W148)*T$68*INDEX($P$57:$T$57,MATCH($O$68,$P$4:$T$4,0))*求节点(基础状态预期!$C$121:$C$141,基础状态预期!$AA$121:$AA$141,$W148)+
求节点(基础状态预期!$C$121:$C$141,基础状态预期!$R$121:$R$141,$W148)*T$69*INDEX($P$57:$T$57,MATCH($O$69,$P$4:$T$4,0))*求节点(基础状态预期!$C$121:$C$141,基础状态预期!$AB$121:$AB$141,$W148)+
求节点(基础状态预期!$C$121:$C$141,基础状态预期!$S$121:$S$141,$W148)*T$70*INDEX($P$57:$T$57,MATCH($O$70,$P$4:$T$4,0))*求节点(基础状态预期!$C$121:$C$141,基础状态预期!$AC$121:$AC$141,$W148)</f>
        <v>2052690.5745455152</v>
      </c>
      <c r="AE148" s="70">
        <v>143</v>
      </c>
      <c r="AF148" s="113">
        <f>盗宝贼!AI147</f>
        <v>28693568.903229676</v>
      </c>
      <c r="AG148" s="113">
        <f>盗宝贼!AJ147</f>
        <v>35336260.561685473</v>
      </c>
      <c r="AH148" s="113">
        <f>盗宝贼!AK147</f>
        <v>38124544.39106039</v>
      </c>
      <c r="AI148" s="113">
        <f>盗宝贼!AL147</f>
        <v>30685732.768622488</v>
      </c>
      <c r="AJ148" s="113">
        <f>盗宝贼!AM147</f>
        <v>16456286.622675106</v>
      </c>
      <c r="AL148" s="78">
        <f>盗宝贼!AI147/AF148</f>
        <v>1</v>
      </c>
      <c r="AM148" s="118"/>
      <c r="AO148" s="123">
        <f t="shared" si="33"/>
        <v>54.603179273361718</v>
      </c>
      <c r="AP148" s="123">
        <f t="shared" si="34"/>
        <v>67.420475429381511</v>
      </c>
      <c r="AQ148" s="123">
        <f t="shared" si="35"/>
        <v>18.572962171612989</v>
      </c>
      <c r="AR148" s="123">
        <f t="shared" si="36"/>
        <v>14.884564715391814</v>
      </c>
      <c r="AS148" s="123">
        <f t="shared" si="37"/>
        <v>8.0169348594191696</v>
      </c>
    </row>
    <row r="149" spans="23:45" x14ac:dyDescent="0.15">
      <c r="W149" s="70">
        <v>144</v>
      </c>
      <c r="X149" s="113">
        <f>求节点(基础状态预期!$C$17:$C$37,基础状态预期!$O$17:$O$37,$W149)*P$66*INDEX($P$57:$T$57,MATCH($O$66,$P$4:$T$4,0))*求节点(基础状态预期!$C$17:$C$37,基础状态预期!$Y$17:$Y$37,$W149)+
求节点(基础状态预期!$C$17:$C$37,基础状态预期!$P$17:$P$37,$W149)*P$67*INDEX($P$57:$T$57,MATCH($O$67,$P$4:$T$4,0))*求节点(基础状态预期!$C$17:$C$37,基础状态预期!$Z$17:$Z$37,$W149)+
求节点(基础状态预期!$C$17:$C$37,基础状态预期!$Q$17:$Q$37,$W149)*P$68*INDEX($P$57:$T$57,MATCH($O$68,$P$4:$T$4,0))*求节点(基础状态预期!$C$17:$C$37,基础状态预期!$AA$17:$AA$37,$W149)+
求节点(基础状态预期!$C$17:$C$37,基础状态预期!$R$17:$R$37,$W149)*P$69*INDEX($P$57:$T$57,MATCH($O$69,$P$4:$T$4,0))*求节点(基础状态预期!$C$17:$C$37,基础状态预期!$AB$17:$AB$37,$W149)+
求节点(基础状态预期!$C$17:$C$37,基础状态预期!$S$17:$S$37,$W149)*P$70*INDEX($P$57:$T$57,MATCH($O$70,$P$4:$T$4,0))*求节点(基础状态预期!$C$17:$C$37,基础状态预期!$AC$17:$AC$37,$W149)</f>
        <v>525492.64136397815</v>
      </c>
      <c r="Y149" s="113">
        <f>求节点(基础状态预期!$C$43:$C$63,基础状态预期!$O$43:$O$63,$W149)*Q$66*INDEX($P$57:$T$57,MATCH($O$66,$P$4:$T$4,0))*求节点(基础状态预期!$C$43:$C$63,基础状态预期!$Y$43:$Y$63,$W149)+
求节点(基础状态预期!$C$43:$C$63,基础状态预期!$P$43:$P$63,$W149)*Q$67*INDEX($P$57:$T$57,MATCH($O$67,$P$4:$T$4,0))*求节点(基础状态预期!$C$43:$C$63,基础状态预期!$Z$43:$Z$63,$W149)+
求节点(基础状态预期!$C$43:$C$63,基础状态预期!$Q$43:$Q$63,$W149)*Q$68*INDEX($P$57:$T$57,MATCH($O$68,$P$4:$T$4,0))*求节点(基础状态预期!$C$43:$C$63,基础状态预期!$AA$43:$AA$63,$W149)+
求节点(基础状态预期!$C$43:$C$63,基础状态预期!$R$43:$R$63,$W149)*Q$69*INDEX($P$57:$T$57,MATCH($O$69,$P$4:$T$4,0))*求节点(基础状态预期!$C$43:$C$63,基础状态预期!$AB$43:$AB$63,$W149)+
求节点(基础状态预期!$C$43:$C$63,基础状态预期!$S$43:$S$63,$W149)*Q$70*INDEX($P$57:$T$57,MATCH($O$70,$P$4:$T$4,0))*求节点(基础状态预期!$C$43:$C$63,基础状态预期!$AC$43:$AC$63,$W149)</f>
        <v>524117.64136397809</v>
      </c>
      <c r="Z149" s="113">
        <f>求节点(基础状态预期!$C$69:$C$89,基础状态预期!$O$69:$O$89,$W149)*R$66*INDEX($P$57:$T$57,MATCH($O$66,$P$4:$T$4,0))*求节点(基础状态预期!$C$69:$C$89,基础状态预期!AA160:AA180,$W149)+
求节点(基础状态预期!$C$69:$C$89,基础状态预期!$P$69:$P$89,$W149)*R$67*INDEX($P$57:$T$57,MATCH($O$67,$P$4:$T$4,0))*求节点(基础状态预期!$C$69:$C$89,基础状态预期!$Z$69:$Z$89,$W149)+
求节点(基础状态预期!$C$69:$C$89,基础状态预期!$Q$69:$Q$89,$W149)*R$68*INDEX($P$57:$T$57,MATCH($O$68,$P$4:$T$4,0))*求节点(基础状态预期!$C$69:$C$89,基础状态预期!$AA$69:$AA$89,$W149)+
求节点(基础状态预期!$C$69:$C$89,基础状态预期!$R$69:$R$89,$W149)*R$69*INDEX($P$57:$T$57,MATCH($O$69,$P$4:$T$4,0))*求节点(基础状态预期!$C$69:$C$89,基础状态预期!$AB$69:$AB$89,$W149)+
求节点(基础状态预期!$C$69:$C$89,基础状态预期!$S$69:$S$89,$W149)*R$70*INDEX($P$57:$T$57,MATCH($O$70,$P$4:$T$4,0))*求节点(基础状态预期!$C$69:$C$89,基础状态预期!$AC$69:$AC$89,$W149)</f>
        <v>2052690.5745455152</v>
      </c>
      <c r="AA149" s="113">
        <f>求节点(基础状态预期!$C$95:$C$115,基础状态预期!$O$95:$O$115,$W149)*S$66*INDEX($P$57:$T$57,MATCH($O$66,$P$4:$T$4,0))*求节点(基础状态预期!$C$95:$C$115,基础状态预期!$Y$95:$Y$115,$W149)+
求节点(基础状态预期!$C$95:$C$115,基础状态预期!$P$95:$P$115,$W149)*S$67*INDEX($P$57:$T$57,MATCH($O$67,$P$4:$T$4,0))*求节点(基础状态预期!$C$95:$C$115,基础状态预期!$Z$95:$Z$115,$W149)+
求节点(基础状态预期!$C$95:$C$115,基础状态预期!$Q$95:$Q$115,$W149)*S$68*INDEX($P$57:$T$57,MATCH($O$68,$P$4:$T$4,0))*求节点(基础状态预期!$C$95:$C$115,基础状态预期!$AA$95:$AA$115,$W149)+
求节点(基础状态预期!$C$95:$C$115,基础状态预期!$R$95:$R$115,$W149)*S$69*INDEX($P$57:$T$57,MATCH($O$69,$P$4:$T$4,0))*求节点(基础状态预期!$C$95:$C$115,基础状态预期!$AB$95:$AB$115,$W149)+
求节点(基础状态预期!$C$95:$C$115,基础状态预期!$S$95:$S$115,$W149)*S$70*INDEX($P$57:$T$57,MATCH($O$70,$P$4:$T$4,0))*求节点(基础状态预期!$C$95:$C$115,基础状态预期!$AC$95:$AC$115,$W149)</f>
        <v>2061580.7956339507</v>
      </c>
      <c r="AB149" s="113">
        <f>求节点(基础状态预期!$C$121:$C$141,基础状态预期!$O$121:$O$141,$W149)*T$66*INDEX($P$57:$T$57,MATCH($O$66,$P$4:$T$4,0))*求节点(基础状态预期!$C$121:$C$141,基础状态预期!$Y$121:$Y$141,$W149)+
求节点(基础状态预期!$C$121:$C$141,基础状态预期!$P$121:$P$141,$W149)*T$67*INDEX($P$57:$T$57,MATCH($O$67,$P$4:$T$4,0))*求节点(基础状态预期!$C$121:$C$141,基础状态预期!$Z$121:$Z$141,$W149)+
求节点(基础状态预期!$C$121:$C$141,基础状态预期!$Q$121:$Q$141,$W149)*T$68*INDEX($P$57:$T$57,MATCH($O$68,$P$4:$T$4,0))*求节点(基础状态预期!$C$121:$C$141,基础状态预期!$AA$121:$AA$141,$W149)+
求节点(基础状态预期!$C$121:$C$141,基础状态预期!$R$121:$R$141,$W149)*T$69*INDEX($P$57:$T$57,MATCH($O$69,$P$4:$T$4,0))*求节点(基础状态预期!$C$121:$C$141,基础状态预期!$AB$121:$AB$141,$W149)+
求节点(基础状态预期!$C$121:$C$141,基础状态预期!$S$121:$S$141,$W149)*T$70*INDEX($P$57:$T$57,MATCH($O$70,$P$4:$T$4,0))*求节点(基础状态预期!$C$121:$C$141,基础状态预期!$AC$121:$AC$141,$W149)</f>
        <v>2052690.5745455152</v>
      </c>
      <c r="AE149" s="70">
        <v>144</v>
      </c>
      <c r="AF149" s="113">
        <f>盗宝贼!AI148</f>
        <v>32290656.147134632</v>
      </c>
      <c r="AG149" s="113">
        <f>盗宝贼!AJ148</f>
        <v>39737884.963562772</v>
      </c>
      <c r="AH149" s="113">
        <f>盗宝贼!AK148</f>
        <v>43030478.492892534</v>
      </c>
      <c r="AI149" s="113">
        <f>盗宝贼!AL148</f>
        <v>34660811.296516962</v>
      </c>
      <c r="AJ149" s="113">
        <f>盗宝贼!AM148</f>
        <v>18462092.861323345</v>
      </c>
      <c r="AL149" s="78">
        <f>盗宝贼!AI148/AF149</f>
        <v>1</v>
      </c>
      <c r="AM149" s="118"/>
      <c r="AO149" s="123">
        <f t="shared" si="33"/>
        <v>61.44835075772027</v>
      </c>
      <c r="AP149" s="123">
        <f t="shared" si="34"/>
        <v>75.818636556761973</v>
      </c>
      <c r="AQ149" s="123">
        <f t="shared" si="35"/>
        <v>20.962963939374973</v>
      </c>
      <c r="AR149" s="123">
        <f t="shared" si="36"/>
        <v>16.812734853721082</v>
      </c>
      <c r="AS149" s="123">
        <f t="shared" si="37"/>
        <v>8.9940944291669602</v>
      </c>
    </row>
    <row r="150" spans="23:45" x14ac:dyDescent="0.15">
      <c r="W150" s="70">
        <v>145</v>
      </c>
      <c r="X150" s="113">
        <f>求节点(基础状态预期!$C$17:$C$37,基础状态预期!$O$17:$O$37,$W150)*P$66*INDEX($P$57:$T$57,MATCH($O$66,$P$4:$T$4,0))*求节点(基础状态预期!$C$17:$C$37,基础状态预期!$Y$17:$Y$37,$W150)+
求节点(基础状态预期!$C$17:$C$37,基础状态预期!$P$17:$P$37,$W150)*P$67*INDEX($P$57:$T$57,MATCH($O$67,$P$4:$T$4,0))*求节点(基础状态预期!$C$17:$C$37,基础状态预期!$Z$17:$Z$37,$W150)+
求节点(基础状态预期!$C$17:$C$37,基础状态预期!$Q$17:$Q$37,$W150)*P$68*INDEX($P$57:$T$57,MATCH($O$68,$P$4:$T$4,0))*求节点(基础状态预期!$C$17:$C$37,基础状态预期!$AA$17:$AA$37,$W150)+
求节点(基础状态预期!$C$17:$C$37,基础状态预期!$R$17:$R$37,$W150)*P$69*INDEX($P$57:$T$57,MATCH($O$69,$P$4:$T$4,0))*求节点(基础状态预期!$C$17:$C$37,基础状态预期!$AB$17:$AB$37,$W150)+
求节点(基础状态预期!$C$17:$C$37,基础状态预期!$S$17:$S$37,$W150)*P$70*INDEX($P$57:$T$57,MATCH($O$70,$P$4:$T$4,0))*求节点(基础状态预期!$C$17:$C$37,基础状态预期!$AC$17:$AC$37,$W150)</f>
        <v>525492.64136397815</v>
      </c>
      <c r="Y150" s="113">
        <f>求节点(基础状态预期!$C$43:$C$63,基础状态预期!$O$43:$O$63,$W150)*Q$66*INDEX($P$57:$T$57,MATCH($O$66,$P$4:$T$4,0))*求节点(基础状态预期!$C$43:$C$63,基础状态预期!$Y$43:$Y$63,$W150)+
求节点(基础状态预期!$C$43:$C$63,基础状态预期!$P$43:$P$63,$W150)*Q$67*INDEX($P$57:$T$57,MATCH($O$67,$P$4:$T$4,0))*求节点(基础状态预期!$C$43:$C$63,基础状态预期!$Z$43:$Z$63,$W150)+
求节点(基础状态预期!$C$43:$C$63,基础状态预期!$Q$43:$Q$63,$W150)*Q$68*INDEX($P$57:$T$57,MATCH($O$68,$P$4:$T$4,0))*求节点(基础状态预期!$C$43:$C$63,基础状态预期!$AA$43:$AA$63,$W150)+
求节点(基础状态预期!$C$43:$C$63,基础状态预期!$R$43:$R$63,$W150)*Q$69*INDEX($P$57:$T$57,MATCH($O$69,$P$4:$T$4,0))*求节点(基础状态预期!$C$43:$C$63,基础状态预期!$AB$43:$AB$63,$W150)+
求节点(基础状态预期!$C$43:$C$63,基础状态预期!$S$43:$S$63,$W150)*Q$70*INDEX($P$57:$T$57,MATCH($O$70,$P$4:$T$4,0))*求节点(基础状态预期!$C$43:$C$63,基础状态预期!$AC$43:$AC$63,$W150)</f>
        <v>524117.64136397809</v>
      </c>
      <c r="Z150" s="113">
        <f>求节点(基础状态预期!$C$69:$C$89,基础状态预期!$O$69:$O$89,$W150)*R$66*INDEX($P$57:$T$57,MATCH($O$66,$P$4:$T$4,0))*求节点(基础状态预期!$C$69:$C$89,基础状态预期!AA161:AA181,$W150)+
求节点(基础状态预期!$C$69:$C$89,基础状态预期!$P$69:$P$89,$W150)*R$67*INDEX($P$57:$T$57,MATCH($O$67,$P$4:$T$4,0))*求节点(基础状态预期!$C$69:$C$89,基础状态预期!$Z$69:$Z$89,$W150)+
求节点(基础状态预期!$C$69:$C$89,基础状态预期!$Q$69:$Q$89,$W150)*R$68*INDEX($P$57:$T$57,MATCH($O$68,$P$4:$T$4,0))*求节点(基础状态预期!$C$69:$C$89,基础状态预期!$AA$69:$AA$89,$W150)+
求节点(基础状态预期!$C$69:$C$89,基础状态预期!$R$69:$R$89,$W150)*R$69*INDEX($P$57:$T$57,MATCH($O$69,$P$4:$T$4,0))*求节点(基础状态预期!$C$69:$C$89,基础状态预期!$AB$69:$AB$89,$W150)+
求节点(基础状态预期!$C$69:$C$89,基础状态预期!$S$69:$S$89,$W150)*R$70*INDEX($P$57:$T$57,MATCH($O$70,$P$4:$T$4,0))*求节点(基础状态预期!$C$69:$C$89,基础状态预期!$AC$69:$AC$89,$W150)</f>
        <v>2052690.5745455152</v>
      </c>
      <c r="AA150" s="113">
        <f>求节点(基础状态预期!$C$95:$C$115,基础状态预期!$O$95:$O$115,$W150)*S$66*INDEX($P$57:$T$57,MATCH($O$66,$P$4:$T$4,0))*求节点(基础状态预期!$C$95:$C$115,基础状态预期!$Y$95:$Y$115,$W150)+
求节点(基础状态预期!$C$95:$C$115,基础状态预期!$P$95:$P$115,$W150)*S$67*INDEX($P$57:$T$57,MATCH($O$67,$P$4:$T$4,0))*求节点(基础状态预期!$C$95:$C$115,基础状态预期!$Z$95:$Z$115,$W150)+
求节点(基础状态预期!$C$95:$C$115,基础状态预期!$Q$95:$Q$115,$W150)*S$68*INDEX($P$57:$T$57,MATCH($O$68,$P$4:$T$4,0))*求节点(基础状态预期!$C$95:$C$115,基础状态预期!$AA$95:$AA$115,$W150)+
求节点(基础状态预期!$C$95:$C$115,基础状态预期!$R$95:$R$115,$W150)*S$69*INDEX($P$57:$T$57,MATCH($O$69,$P$4:$T$4,0))*求节点(基础状态预期!$C$95:$C$115,基础状态预期!$AB$95:$AB$115,$W150)+
求节点(基础状态预期!$C$95:$C$115,基础状态预期!$S$95:$S$115,$W150)*S$70*INDEX($P$57:$T$57,MATCH($O$70,$P$4:$T$4,0))*求节点(基础状态预期!$C$95:$C$115,基础状态预期!$AC$95:$AC$115,$W150)</f>
        <v>2061580.7956339507</v>
      </c>
      <c r="AB150" s="113">
        <f>求节点(基础状态预期!$C$121:$C$141,基础状态预期!$O$121:$O$141,$W150)*T$66*INDEX($P$57:$T$57,MATCH($O$66,$P$4:$T$4,0))*求节点(基础状态预期!$C$121:$C$141,基础状态预期!$Y$121:$Y$141,$W150)+
求节点(基础状态预期!$C$121:$C$141,基础状态预期!$P$121:$P$141,$W150)*T$67*INDEX($P$57:$T$57,MATCH($O$67,$P$4:$T$4,0))*求节点(基础状态预期!$C$121:$C$141,基础状态预期!$Z$121:$Z$141,$W150)+
求节点(基础状态预期!$C$121:$C$141,基础状态预期!$Q$121:$Q$141,$W150)*T$68*INDEX($P$57:$T$57,MATCH($O$68,$P$4:$T$4,0))*求节点(基础状态预期!$C$121:$C$141,基础状态预期!$AA$121:$AA$141,$W150)+
求节点(基础状态预期!$C$121:$C$141,基础状态预期!$R$121:$R$141,$W150)*T$69*INDEX($P$57:$T$57,MATCH($O$69,$P$4:$T$4,0))*求节点(基础状态预期!$C$121:$C$141,基础状态预期!$AB$121:$AB$141,$W150)+
求节点(基础状态预期!$C$121:$C$141,基础状态预期!$S$121:$S$141,$W150)*T$70*INDEX($P$57:$T$57,MATCH($O$70,$P$4:$T$4,0))*求节点(基础状态预期!$C$121:$C$141,基础状态预期!$AC$121:$AC$141,$W150)</f>
        <v>2052690.5745455152</v>
      </c>
      <c r="AE150" s="70">
        <v>145</v>
      </c>
      <c r="AF150" s="113">
        <f>盗宝贼!AI149</f>
        <v>36338681.930102147</v>
      </c>
      <c r="AG150" s="113">
        <f>盗宝贼!AJ149</f>
        <v>44865028.105651855</v>
      </c>
      <c r="AH150" s="113">
        <f>盗宝贼!AK149</f>
        <v>48596113.296284467</v>
      </c>
      <c r="AI150" s="113">
        <f>盗宝贼!AL149</f>
        <v>38913191.709099293</v>
      </c>
      <c r="AJ150" s="113">
        <f>盗宝贼!AM149</f>
        <v>20647146.389982753</v>
      </c>
      <c r="AL150" s="78">
        <f>盗宝贼!AI149/AF150</f>
        <v>1</v>
      </c>
      <c r="AM150" s="118"/>
      <c r="AO150" s="123">
        <f t="shared" si="33"/>
        <v>69.151647558338425</v>
      </c>
      <c r="AP150" s="123">
        <f t="shared" si="34"/>
        <v>85.601064655816344</v>
      </c>
      <c r="AQ150" s="123">
        <f t="shared" si="35"/>
        <v>23.674349119591049</v>
      </c>
      <c r="AR150" s="123">
        <f t="shared" si="36"/>
        <v>18.87541433811873</v>
      </c>
      <c r="AS150" s="123">
        <f t="shared" si="37"/>
        <v>10.058577091948806</v>
      </c>
    </row>
    <row r="151" spans="23:45" x14ac:dyDescent="0.15">
      <c r="W151" s="70">
        <v>146</v>
      </c>
      <c r="X151" s="113">
        <f>求节点(基础状态预期!$C$17:$C$37,基础状态预期!$O$17:$O$37,$W151)*P$66*INDEX($P$57:$T$57,MATCH($O$66,$P$4:$T$4,0))*求节点(基础状态预期!$C$17:$C$37,基础状态预期!$Y$17:$Y$37,$W151)+
求节点(基础状态预期!$C$17:$C$37,基础状态预期!$P$17:$P$37,$W151)*P$67*INDEX($P$57:$T$57,MATCH($O$67,$P$4:$T$4,0))*求节点(基础状态预期!$C$17:$C$37,基础状态预期!$Z$17:$Z$37,$W151)+
求节点(基础状态预期!$C$17:$C$37,基础状态预期!$Q$17:$Q$37,$W151)*P$68*INDEX($P$57:$T$57,MATCH($O$68,$P$4:$T$4,0))*求节点(基础状态预期!$C$17:$C$37,基础状态预期!$AA$17:$AA$37,$W151)+
求节点(基础状态预期!$C$17:$C$37,基础状态预期!$R$17:$R$37,$W151)*P$69*INDEX($P$57:$T$57,MATCH($O$69,$P$4:$T$4,0))*求节点(基础状态预期!$C$17:$C$37,基础状态预期!$AB$17:$AB$37,$W151)+
求节点(基础状态预期!$C$17:$C$37,基础状态预期!$S$17:$S$37,$W151)*P$70*INDEX($P$57:$T$57,MATCH($O$70,$P$4:$T$4,0))*求节点(基础状态预期!$C$17:$C$37,基础状态预期!$AC$17:$AC$37,$W151)</f>
        <v>525492.64136397815</v>
      </c>
      <c r="Y151" s="113">
        <f>求节点(基础状态预期!$C$43:$C$63,基础状态预期!$O$43:$O$63,$W151)*Q$66*INDEX($P$57:$T$57,MATCH($O$66,$P$4:$T$4,0))*求节点(基础状态预期!$C$43:$C$63,基础状态预期!$Y$43:$Y$63,$W151)+
求节点(基础状态预期!$C$43:$C$63,基础状态预期!$P$43:$P$63,$W151)*Q$67*INDEX($P$57:$T$57,MATCH($O$67,$P$4:$T$4,0))*求节点(基础状态预期!$C$43:$C$63,基础状态预期!$Z$43:$Z$63,$W151)+
求节点(基础状态预期!$C$43:$C$63,基础状态预期!$Q$43:$Q$63,$W151)*Q$68*INDEX($P$57:$T$57,MATCH($O$68,$P$4:$T$4,0))*求节点(基础状态预期!$C$43:$C$63,基础状态预期!$AA$43:$AA$63,$W151)+
求节点(基础状态预期!$C$43:$C$63,基础状态预期!$R$43:$R$63,$W151)*Q$69*INDEX($P$57:$T$57,MATCH($O$69,$P$4:$T$4,0))*求节点(基础状态预期!$C$43:$C$63,基础状态预期!$AB$43:$AB$63,$W151)+
求节点(基础状态预期!$C$43:$C$63,基础状态预期!$S$43:$S$63,$W151)*Q$70*INDEX($P$57:$T$57,MATCH($O$70,$P$4:$T$4,0))*求节点(基础状态预期!$C$43:$C$63,基础状态预期!$AC$43:$AC$63,$W151)</f>
        <v>524117.64136397809</v>
      </c>
      <c r="Z151" s="113">
        <f>求节点(基础状态预期!$C$69:$C$89,基础状态预期!$O$69:$O$89,$W151)*R$66*INDEX($P$57:$T$57,MATCH($O$66,$P$4:$T$4,0))*求节点(基础状态预期!$C$69:$C$89,基础状态预期!AA162:AA182,$W151)+
求节点(基础状态预期!$C$69:$C$89,基础状态预期!$P$69:$P$89,$W151)*R$67*INDEX($P$57:$T$57,MATCH($O$67,$P$4:$T$4,0))*求节点(基础状态预期!$C$69:$C$89,基础状态预期!$Z$69:$Z$89,$W151)+
求节点(基础状态预期!$C$69:$C$89,基础状态预期!$Q$69:$Q$89,$W151)*R$68*INDEX($P$57:$T$57,MATCH($O$68,$P$4:$T$4,0))*求节点(基础状态预期!$C$69:$C$89,基础状态预期!$AA$69:$AA$89,$W151)+
求节点(基础状态预期!$C$69:$C$89,基础状态预期!$R$69:$R$89,$W151)*R$69*INDEX($P$57:$T$57,MATCH($O$69,$P$4:$T$4,0))*求节点(基础状态预期!$C$69:$C$89,基础状态预期!$AB$69:$AB$89,$W151)+
求节点(基础状态预期!$C$69:$C$89,基础状态预期!$S$69:$S$89,$W151)*R$70*INDEX($P$57:$T$57,MATCH($O$70,$P$4:$T$4,0))*求节点(基础状态预期!$C$69:$C$89,基础状态预期!$AC$69:$AC$89,$W151)</f>
        <v>2052690.5745455152</v>
      </c>
      <c r="AA151" s="113">
        <f>求节点(基础状态预期!$C$95:$C$115,基础状态预期!$O$95:$O$115,$W151)*S$66*INDEX($P$57:$T$57,MATCH($O$66,$P$4:$T$4,0))*求节点(基础状态预期!$C$95:$C$115,基础状态预期!$Y$95:$Y$115,$W151)+
求节点(基础状态预期!$C$95:$C$115,基础状态预期!$P$95:$P$115,$W151)*S$67*INDEX($P$57:$T$57,MATCH($O$67,$P$4:$T$4,0))*求节点(基础状态预期!$C$95:$C$115,基础状态预期!$Z$95:$Z$115,$W151)+
求节点(基础状态预期!$C$95:$C$115,基础状态预期!$Q$95:$Q$115,$W151)*S$68*INDEX($P$57:$T$57,MATCH($O$68,$P$4:$T$4,0))*求节点(基础状态预期!$C$95:$C$115,基础状态预期!$AA$95:$AA$115,$W151)+
求节点(基础状态预期!$C$95:$C$115,基础状态预期!$R$95:$R$115,$W151)*S$69*INDEX($P$57:$T$57,MATCH($O$69,$P$4:$T$4,0))*求节点(基础状态预期!$C$95:$C$115,基础状态预期!$AB$95:$AB$115,$W151)+
求节点(基础状态预期!$C$95:$C$115,基础状态预期!$S$95:$S$115,$W151)*S$70*INDEX($P$57:$T$57,MATCH($O$70,$P$4:$T$4,0))*求节点(基础状态预期!$C$95:$C$115,基础状态预期!$AC$95:$AC$115,$W151)</f>
        <v>2061580.7956339507</v>
      </c>
      <c r="AB151" s="113">
        <f>求节点(基础状态预期!$C$121:$C$141,基础状态预期!$O$121:$O$141,$W151)*T$66*INDEX($P$57:$T$57,MATCH($O$66,$P$4:$T$4,0))*求节点(基础状态预期!$C$121:$C$141,基础状态预期!$Y$121:$Y$141,$W151)+
求节点(基础状态预期!$C$121:$C$141,基础状态预期!$P$121:$P$141,$W151)*T$67*INDEX($P$57:$T$57,MATCH($O$67,$P$4:$T$4,0))*求节点(基础状态预期!$C$121:$C$141,基础状态预期!$Z$121:$Z$141,$W151)+
求节点(基础状态预期!$C$121:$C$141,基础状态预期!$Q$121:$Q$141,$W151)*T$68*INDEX($P$57:$T$57,MATCH($O$68,$P$4:$T$4,0))*求节点(基础状态预期!$C$121:$C$141,基础状态预期!$AA$121:$AA$141,$W151)+
求节点(基础状态预期!$C$121:$C$141,基础状态预期!$R$121:$R$141,$W151)*T$69*INDEX($P$57:$T$57,MATCH($O$69,$P$4:$T$4,0))*求节点(基础状态预期!$C$121:$C$141,基础状态预期!$AB$121:$AB$141,$W151)+
求节点(基础状态预期!$C$121:$C$141,基础状态预期!$S$121:$S$141,$W151)*T$70*INDEX($P$57:$T$57,MATCH($O$70,$P$4:$T$4,0))*求节点(基础状态预期!$C$121:$C$141,基础状态预期!$AC$121:$AC$141,$W151)</f>
        <v>2052690.5745455152</v>
      </c>
      <c r="AE151" s="70">
        <v>146</v>
      </c>
      <c r="AF151" s="113">
        <f>盗宝贼!AI150</f>
        <v>40894176.870441668</v>
      </c>
      <c r="AG151" s="113">
        <f>盗宝贼!AJ150</f>
        <v>50447383.008736245</v>
      </c>
      <c r="AH151" s="113">
        <f>盗宝贼!AK150</f>
        <v>54253073.954680458</v>
      </c>
      <c r="AI151" s="113">
        <f>盗宝贼!AL150</f>
        <v>43280274.337236471</v>
      </c>
      <c r="AJ151" s="113">
        <f>盗宝贼!AM150</f>
        <v>22989303.105599053</v>
      </c>
      <c r="AL151" s="78">
        <f>盗宝贼!AI150/AF151</f>
        <v>1</v>
      </c>
      <c r="AM151" s="118"/>
      <c r="AO151" s="123">
        <f t="shared" si="33"/>
        <v>77.820646097528609</v>
      </c>
      <c r="AP151" s="123">
        <f t="shared" si="34"/>
        <v>96.252022499091225</v>
      </c>
      <c r="AQ151" s="123">
        <f t="shared" si="35"/>
        <v>26.430225104284212</v>
      </c>
      <c r="AR151" s="123">
        <f t="shared" si="36"/>
        <v>20.993731814390266</v>
      </c>
      <c r="AS151" s="123">
        <f t="shared" si="37"/>
        <v>11.199595005052867</v>
      </c>
    </row>
    <row r="152" spans="23:45" x14ac:dyDescent="0.15">
      <c r="W152" s="70">
        <v>147</v>
      </c>
      <c r="X152" s="113">
        <f>求节点(基础状态预期!$C$17:$C$37,基础状态预期!$O$17:$O$37,$W152)*P$66*INDEX($P$57:$T$57,MATCH($O$66,$P$4:$T$4,0))*求节点(基础状态预期!$C$17:$C$37,基础状态预期!$Y$17:$Y$37,$W152)+
求节点(基础状态预期!$C$17:$C$37,基础状态预期!$P$17:$P$37,$W152)*P$67*INDEX($P$57:$T$57,MATCH($O$67,$P$4:$T$4,0))*求节点(基础状态预期!$C$17:$C$37,基础状态预期!$Z$17:$Z$37,$W152)+
求节点(基础状态预期!$C$17:$C$37,基础状态预期!$Q$17:$Q$37,$W152)*P$68*INDEX($P$57:$T$57,MATCH($O$68,$P$4:$T$4,0))*求节点(基础状态预期!$C$17:$C$37,基础状态预期!$AA$17:$AA$37,$W152)+
求节点(基础状态预期!$C$17:$C$37,基础状态预期!$R$17:$R$37,$W152)*P$69*INDEX($P$57:$T$57,MATCH($O$69,$P$4:$T$4,0))*求节点(基础状态预期!$C$17:$C$37,基础状态预期!$AB$17:$AB$37,$W152)+
求节点(基础状态预期!$C$17:$C$37,基础状态预期!$S$17:$S$37,$W152)*P$70*INDEX($P$57:$T$57,MATCH($O$70,$P$4:$T$4,0))*求节点(基础状态预期!$C$17:$C$37,基础状态预期!$AC$17:$AC$37,$W152)</f>
        <v>525492.64136397815</v>
      </c>
      <c r="Y152" s="113">
        <f>求节点(基础状态预期!$C$43:$C$63,基础状态预期!$O$43:$O$63,$W152)*Q$66*INDEX($P$57:$T$57,MATCH($O$66,$P$4:$T$4,0))*求节点(基础状态预期!$C$43:$C$63,基础状态预期!$Y$43:$Y$63,$W152)+
求节点(基础状态预期!$C$43:$C$63,基础状态预期!$P$43:$P$63,$W152)*Q$67*INDEX($P$57:$T$57,MATCH($O$67,$P$4:$T$4,0))*求节点(基础状态预期!$C$43:$C$63,基础状态预期!$Z$43:$Z$63,$W152)+
求节点(基础状态预期!$C$43:$C$63,基础状态预期!$Q$43:$Q$63,$W152)*Q$68*INDEX($P$57:$T$57,MATCH($O$68,$P$4:$T$4,0))*求节点(基础状态预期!$C$43:$C$63,基础状态预期!$AA$43:$AA$63,$W152)+
求节点(基础状态预期!$C$43:$C$63,基础状态预期!$R$43:$R$63,$W152)*Q$69*INDEX($P$57:$T$57,MATCH($O$69,$P$4:$T$4,0))*求节点(基础状态预期!$C$43:$C$63,基础状态预期!$AB$43:$AB$63,$W152)+
求节点(基础状态预期!$C$43:$C$63,基础状态预期!$S$43:$S$63,$W152)*Q$70*INDEX($P$57:$T$57,MATCH($O$70,$P$4:$T$4,0))*求节点(基础状态预期!$C$43:$C$63,基础状态预期!$AC$43:$AC$63,$W152)</f>
        <v>524117.64136397809</v>
      </c>
      <c r="Z152" s="113">
        <f>求节点(基础状态预期!$C$69:$C$89,基础状态预期!$O$69:$O$89,$W152)*R$66*INDEX($P$57:$T$57,MATCH($O$66,$P$4:$T$4,0))*求节点(基础状态预期!$C$69:$C$89,基础状态预期!AA163:AA183,$W152)+
求节点(基础状态预期!$C$69:$C$89,基础状态预期!$P$69:$P$89,$W152)*R$67*INDEX($P$57:$T$57,MATCH($O$67,$P$4:$T$4,0))*求节点(基础状态预期!$C$69:$C$89,基础状态预期!$Z$69:$Z$89,$W152)+
求节点(基础状态预期!$C$69:$C$89,基础状态预期!$Q$69:$Q$89,$W152)*R$68*INDEX($P$57:$T$57,MATCH($O$68,$P$4:$T$4,0))*求节点(基础状态预期!$C$69:$C$89,基础状态预期!$AA$69:$AA$89,$W152)+
求节点(基础状态预期!$C$69:$C$89,基础状态预期!$R$69:$R$89,$W152)*R$69*INDEX($P$57:$T$57,MATCH($O$69,$P$4:$T$4,0))*求节点(基础状态预期!$C$69:$C$89,基础状态预期!$AB$69:$AB$89,$W152)+
求节点(基础状态预期!$C$69:$C$89,基础状态预期!$S$69:$S$89,$W152)*R$70*INDEX($P$57:$T$57,MATCH($O$70,$P$4:$T$4,0))*求节点(基础状态预期!$C$69:$C$89,基础状态预期!$AC$69:$AC$89,$W152)</f>
        <v>2052690.5745455152</v>
      </c>
      <c r="AA152" s="113">
        <f>求节点(基础状态预期!$C$95:$C$115,基础状态预期!$O$95:$O$115,$W152)*S$66*INDEX($P$57:$T$57,MATCH($O$66,$P$4:$T$4,0))*求节点(基础状态预期!$C$95:$C$115,基础状态预期!$Y$95:$Y$115,$W152)+
求节点(基础状态预期!$C$95:$C$115,基础状态预期!$P$95:$P$115,$W152)*S$67*INDEX($P$57:$T$57,MATCH($O$67,$P$4:$T$4,0))*求节点(基础状态预期!$C$95:$C$115,基础状态预期!$Z$95:$Z$115,$W152)+
求节点(基础状态预期!$C$95:$C$115,基础状态预期!$Q$95:$Q$115,$W152)*S$68*INDEX($P$57:$T$57,MATCH($O$68,$P$4:$T$4,0))*求节点(基础状态预期!$C$95:$C$115,基础状态预期!$AA$95:$AA$115,$W152)+
求节点(基础状态预期!$C$95:$C$115,基础状态预期!$R$95:$R$115,$W152)*S$69*INDEX($P$57:$T$57,MATCH($O$69,$P$4:$T$4,0))*求节点(基础状态预期!$C$95:$C$115,基础状态预期!$AB$95:$AB$115,$W152)+
求节点(基础状态预期!$C$95:$C$115,基础状态预期!$S$95:$S$115,$W152)*S$70*INDEX($P$57:$T$57,MATCH($O$70,$P$4:$T$4,0))*求节点(基础状态预期!$C$95:$C$115,基础状态预期!$AC$95:$AC$115,$W152)</f>
        <v>2061580.7956339507</v>
      </c>
      <c r="AB152" s="113">
        <f>求节点(基础状态预期!$C$121:$C$141,基础状态预期!$O$121:$O$141,$W152)*T$66*INDEX($P$57:$T$57,MATCH($O$66,$P$4:$T$4,0))*求节点(基础状态预期!$C$121:$C$141,基础状态预期!$Y$121:$Y$141,$W152)+
求节点(基础状态预期!$C$121:$C$141,基础状态预期!$P$121:$P$141,$W152)*T$67*INDEX($P$57:$T$57,MATCH($O$67,$P$4:$T$4,0))*求节点(基础状态预期!$C$121:$C$141,基础状态预期!$Z$121:$Z$141,$W152)+
求节点(基础状态预期!$C$121:$C$141,基础状态预期!$Q$121:$Q$141,$W152)*T$68*INDEX($P$57:$T$57,MATCH($O$68,$P$4:$T$4,0))*求节点(基础状态预期!$C$121:$C$141,基础状态预期!$AA$121:$AA$141,$W152)+
求节点(基础状态预期!$C$121:$C$141,基础状态预期!$R$121:$R$141,$W152)*T$69*INDEX($P$57:$T$57,MATCH($O$69,$P$4:$T$4,0))*求节点(基础状态预期!$C$121:$C$141,基础状态预期!$AB$121:$AB$141,$W152)+
求节点(基础状态预期!$C$121:$C$141,基础状态预期!$S$121:$S$141,$W152)*T$70*INDEX($P$57:$T$57,MATCH($O$70,$P$4:$T$4,0))*求节点(基础状态预期!$C$121:$C$141,基础状态预期!$AC$121:$AC$141,$W152)</f>
        <v>2052690.5745455152</v>
      </c>
      <c r="AE152" s="70">
        <v>147</v>
      </c>
      <c r="AF152" s="113">
        <f>盗宝贼!AI151</f>
        <v>46020758.385504633</v>
      </c>
      <c r="AG152" s="113">
        <f>盗宝贼!AJ151</f>
        <v>56392072.513562232</v>
      </c>
      <c r="AH152" s="113">
        <f>盗宝贼!AK151</f>
        <v>60480742.045322269</v>
      </c>
      <c r="AI152" s="113">
        <f>盗宝贼!AL151</f>
        <v>48275778.622404411</v>
      </c>
      <c r="AJ152" s="113">
        <f>盗宝贼!AM151</f>
        <v>25674125.394627944</v>
      </c>
      <c r="AL152" s="78">
        <f>盗宝贼!AI151/AF152</f>
        <v>1</v>
      </c>
      <c r="AM152" s="118"/>
      <c r="AO152" s="123">
        <f t="shared" si="33"/>
        <v>87.576408807652044</v>
      </c>
      <c r="AP152" s="123">
        <f t="shared" si="34"/>
        <v>107.59430338350367</v>
      </c>
      <c r="AQ152" s="123">
        <f t="shared" si="35"/>
        <v>29.464130052194189</v>
      </c>
      <c r="AR152" s="123">
        <f t="shared" si="36"/>
        <v>23.416874431816421</v>
      </c>
      <c r="AS152" s="123">
        <f t="shared" si="37"/>
        <v>12.507547758537564</v>
      </c>
    </row>
    <row r="153" spans="23:45" x14ac:dyDescent="0.15">
      <c r="W153" s="70">
        <v>148</v>
      </c>
      <c r="X153" s="113">
        <f>求节点(基础状态预期!$C$17:$C$37,基础状态预期!$O$17:$O$37,$W153)*P$66*INDEX($P$57:$T$57,MATCH($O$66,$P$4:$T$4,0))*求节点(基础状态预期!$C$17:$C$37,基础状态预期!$Y$17:$Y$37,$W153)+
求节点(基础状态预期!$C$17:$C$37,基础状态预期!$P$17:$P$37,$W153)*P$67*INDEX($P$57:$T$57,MATCH($O$67,$P$4:$T$4,0))*求节点(基础状态预期!$C$17:$C$37,基础状态预期!$Z$17:$Z$37,$W153)+
求节点(基础状态预期!$C$17:$C$37,基础状态预期!$Q$17:$Q$37,$W153)*P$68*INDEX($P$57:$T$57,MATCH($O$68,$P$4:$T$4,0))*求节点(基础状态预期!$C$17:$C$37,基础状态预期!$AA$17:$AA$37,$W153)+
求节点(基础状态预期!$C$17:$C$37,基础状态预期!$R$17:$R$37,$W153)*P$69*INDEX($P$57:$T$57,MATCH($O$69,$P$4:$T$4,0))*求节点(基础状态预期!$C$17:$C$37,基础状态预期!$AB$17:$AB$37,$W153)+
求节点(基础状态预期!$C$17:$C$37,基础状态预期!$S$17:$S$37,$W153)*P$70*INDEX($P$57:$T$57,MATCH($O$70,$P$4:$T$4,0))*求节点(基础状态预期!$C$17:$C$37,基础状态预期!$AC$17:$AC$37,$W153)</f>
        <v>525492.64136397815</v>
      </c>
      <c r="Y153" s="113">
        <f>求节点(基础状态预期!$C$43:$C$63,基础状态预期!$O$43:$O$63,$W153)*Q$66*INDEX($P$57:$T$57,MATCH($O$66,$P$4:$T$4,0))*求节点(基础状态预期!$C$43:$C$63,基础状态预期!$Y$43:$Y$63,$W153)+
求节点(基础状态预期!$C$43:$C$63,基础状态预期!$P$43:$P$63,$W153)*Q$67*INDEX($P$57:$T$57,MATCH($O$67,$P$4:$T$4,0))*求节点(基础状态预期!$C$43:$C$63,基础状态预期!$Z$43:$Z$63,$W153)+
求节点(基础状态预期!$C$43:$C$63,基础状态预期!$Q$43:$Q$63,$W153)*Q$68*INDEX($P$57:$T$57,MATCH($O$68,$P$4:$T$4,0))*求节点(基础状态预期!$C$43:$C$63,基础状态预期!$AA$43:$AA$63,$W153)+
求节点(基础状态预期!$C$43:$C$63,基础状态预期!$R$43:$R$63,$W153)*Q$69*INDEX($P$57:$T$57,MATCH($O$69,$P$4:$T$4,0))*求节点(基础状态预期!$C$43:$C$63,基础状态预期!$AB$43:$AB$63,$W153)+
求节点(基础状态预期!$C$43:$C$63,基础状态预期!$S$43:$S$63,$W153)*Q$70*INDEX($P$57:$T$57,MATCH($O$70,$P$4:$T$4,0))*求节点(基础状态预期!$C$43:$C$63,基础状态预期!$AC$43:$AC$63,$W153)</f>
        <v>524117.64136397809</v>
      </c>
      <c r="Z153" s="113">
        <f>求节点(基础状态预期!$C$69:$C$89,基础状态预期!$O$69:$O$89,$W153)*R$66*INDEX($P$57:$T$57,MATCH($O$66,$P$4:$T$4,0))*求节点(基础状态预期!$C$69:$C$89,基础状态预期!AA164:AA184,$W153)+
求节点(基础状态预期!$C$69:$C$89,基础状态预期!$P$69:$P$89,$W153)*R$67*INDEX($P$57:$T$57,MATCH($O$67,$P$4:$T$4,0))*求节点(基础状态预期!$C$69:$C$89,基础状态预期!$Z$69:$Z$89,$W153)+
求节点(基础状态预期!$C$69:$C$89,基础状态预期!$Q$69:$Q$89,$W153)*R$68*INDEX($P$57:$T$57,MATCH($O$68,$P$4:$T$4,0))*求节点(基础状态预期!$C$69:$C$89,基础状态预期!$AA$69:$AA$89,$W153)+
求节点(基础状态预期!$C$69:$C$89,基础状态预期!$R$69:$R$89,$W153)*R$69*INDEX($P$57:$T$57,MATCH($O$69,$P$4:$T$4,0))*求节点(基础状态预期!$C$69:$C$89,基础状态预期!$AB$69:$AB$89,$W153)+
求节点(基础状态预期!$C$69:$C$89,基础状态预期!$S$69:$S$89,$W153)*R$70*INDEX($P$57:$T$57,MATCH($O$70,$P$4:$T$4,0))*求节点(基础状态预期!$C$69:$C$89,基础状态预期!$AC$69:$AC$89,$W153)</f>
        <v>2052690.5745455152</v>
      </c>
      <c r="AA153" s="113">
        <f>求节点(基础状态预期!$C$95:$C$115,基础状态预期!$O$95:$O$115,$W153)*S$66*INDEX($P$57:$T$57,MATCH($O$66,$P$4:$T$4,0))*求节点(基础状态预期!$C$95:$C$115,基础状态预期!$Y$95:$Y$115,$W153)+
求节点(基础状态预期!$C$95:$C$115,基础状态预期!$P$95:$P$115,$W153)*S$67*INDEX($P$57:$T$57,MATCH($O$67,$P$4:$T$4,0))*求节点(基础状态预期!$C$95:$C$115,基础状态预期!$Z$95:$Z$115,$W153)+
求节点(基础状态预期!$C$95:$C$115,基础状态预期!$Q$95:$Q$115,$W153)*S$68*INDEX($P$57:$T$57,MATCH($O$68,$P$4:$T$4,0))*求节点(基础状态预期!$C$95:$C$115,基础状态预期!$AA$95:$AA$115,$W153)+
求节点(基础状态预期!$C$95:$C$115,基础状态预期!$R$95:$R$115,$W153)*S$69*INDEX($P$57:$T$57,MATCH($O$69,$P$4:$T$4,0))*求节点(基础状态预期!$C$95:$C$115,基础状态预期!$AB$95:$AB$115,$W153)+
求节点(基础状态预期!$C$95:$C$115,基础状态预期!$S$95:$S$115,$W153)*S$70*INDEX($P$57:$T$57,MATCH($O$70,$P$4:$T$4,0))*求节点(基础状态预期!$C$95:$C$115,基础状态预期!$AC$95:$AC$115,$W153)</f>
        <v>2061580.7956339507</v>
      </c>
      <c r="AB153" s="113">
        <f>求节点(基础状态预期!$C$121:$C$141,基础状态预期!$O$121:$O$141,$W153)*T$66*INDEX($P$57:$T$57,MATCH($O$66,$P$4:$T$4,0))*求节点(基础状态预期!$C$121:$C$141,基础状态预期!$Y$121:$Y$141,$W153)+
求节点(基础状态预期!$C$121:$C$141,基础状态预期!$P$121:$P$141,$W153)*T$67*INDEX($P$57:$T$57,MATCH($O$67,$P$4:$T$4,0))*求节点(基础状态预期!$C$121:$C$141,基础状态预期!$Z$121:$Z$141,$W153)+
求节点(基础状态预期!$C$121:$C$141,基础状态预期!$Q$121:$Q$141,$W153)*T$68*INDEX($P$57:$T$57,MATCH($O$68,$P$4:$T$4,0))*求节点(基础状态预期!$C$121:$C$141,基础状态预期!$AA$121:$AA$141,$W153)+
求节点(基础状态预期!$C$121:$C$141,基础状态预期!$R$121:$R$141,$W153)*T$69*INDEX($P$57:$T$57,MATCH($O$69,$P$4:$T$4,0))*求节点(基础状态预期!$C$121:$C$141,基础状态预期!$AB$121:$AB$141,$W153)+
求节点(基础状态预期!$C$121:$C$141,基础状态预期!$S$121:$S$141,$W153)*T$70*INDEX($P$57:$T$57,MATCH($O$70,$P$4:$T$4,0))*求节点(基础状态预期!$C$121:$C$141,基础状态预期!$AC$121:$AC$141,$W153)</f>
        <v>2052690.5745455152</v>
      </c>
      <c r="AE153" s="70">
        <v>148</v>
      </c>
      <c r="AF153" s="113">
        <f>盗宝贼!AI152</f>
        <v>51790019.107947044</v>
      </c>
      <c r="AG153" s="113">
        <f>盗宝贼!AJ152</f>
        <v>63429857.836350612</v>
      </c>
      <c r="AH153" s="113">
        <f>盗宝贼!AK152</f>
        <v>68177429.017787904</v>
      </c>
      <c r="AI153" s="113">
        <f>盗宝贼!AL152</f>
        <v>54576365.290456258</v>
      </c>
      <c r="AJ153" s="113">
        <f>盗宝贼!AM152</f>
        <v>29025941.514063004</v>
      </c>
      <c r="AL153" s="78">
        <f>盗宝贼!AI152/AF153</f>
        <v>1</v>
      </c>
      <c r="AM153" s="118"/>
      <c r="AO153" s="123">
        <f t="shared" si="33"/>
        <v>98.555174766139331</v>
      </c>
      <c r="AP153" s="123">
        <f t="shared" si="34"/>
        <v>121.02217676031475</v>
      </c>
      <c r="AQ153" s="123">
        <f t="shared" si="35"/>
        <v>33.213690296640557</v>
      </c>
      <c r="AR153" s="123">
        <f t="shared" si="36"/>
        <v>26.473066399356732</v>
      </c>
      <c r="AS153" s="123">
        <f t="shared" si="37"/>
        <v>14.140436885130443</v>
      </c>
    </row>
    <row r="154" spans="23:45" x14ac:dyDescent="0.15">
      <c r="W154" s="70">
        <v>149</v>
      </c>
      <c r="X154" s="113">
        <f>求节点(基础状态预期!$C$17:$C$37,基础状态预期!$O$17:$O$37,$W154)*P$66*INDEX($P$57:$T$57,MATCH($O$66,$P$4:$T$4,0))*求节点(基础状态预期!$C$17:$C$37,基础状态预期!$Y$17:$Y$37,$W154)+
求节点(基础状态预期!$C$17:$C$37,基础状态预期!$P$17:$P$37,$W154)*P$67*INDEX($P$57:$T$57,MATCH($O$67,$P$4:$T$4,0))*求节点(基础状态预期!$C$17:$C$37,基础状态预期!$Z$17:$Z$37,$W154)+
求节点(基础状态预期!$C$17:$C$37,基础状态预期!$Q$17:$Q$37,$W154)*P$68*INDEX($P$57:$T$57,MATCH($O$68,$P$4:$T$4,0))*求节点(基础状态预期!$C$17:$C$37,基础状态预期!$AA$17:$AA$37,$W154)+
求节点(基础状态预期!$C$17:$C$37,基础状态预期!$R$17:$R$37,$W154)*P$69*INDEX($P$57:$T$57,MATCH($O$69,$P$4:$T$4,0))*求节点(基础状态预期!$C$17:$C$37,基础状态预期!$AB$17:$AB$37,$W154)+
求节点(基础状态预期!$C$17:$C$37,基础状态预期!$S$17:$S$37,$W154)*P$70*INDEX($P$57:$T$57,MATCH($O$70,$P$4:$T$4,0))*求节点(基础状态预期!$C$17:$C$37,基础状态预期!$AC$17:$AC$37,$W154)</f>
        <v>525492.64136397815</v>
      </c>
      <c r="Y154" s="113">
        <f>求节点(基础状态预期!$C$43:$C$63,基础状态预期!$O$43:$O$63,$W154)*Q$66*INDEX($P$57:$T$57,MATCH($O$66,$P$4:$T$4,0))*求节点(基础状态预期!$C$43:$C$63,基础状态预期!$Y$43:$Y$63,$W154)+
求节点(基础状态预期!$C$43:$C$63,基础状态预期!$P$43:$P$63,$W154)*Q$67*INDEX($P$57:$T$57,MATCH($O$67,$P$4:$T$4,0))*求节点(基础状态预期!$C$43:$C$63,基础状态预期!$Z$43:$Z$63,$W154)+
求节点(基础状态预期!$C$43:$C$63,基础状态预期!$Q$43:$Q$63,$W154)*Q$68*INDEX($P$57:$T$57,MATCH($O$68,$P$4:$T$4,0))*求节点(基础状态预期!$C$43:$C$63,基础状态预期!$AA$43:$AA$63,$W154)+
求节点(基础状态预期!$C$43:$C$63,基础状态预期!$R$43:$R$63,$W154)*Q$69*INDEX($P$57:$T$57,MATCH($O$69,$P$4:$T$4,0))*求节点(基础状态预期!$C$43:$C$63,基础状态预期!$AB$43:$AB$63,$W154)+
求节点(基础状态预期!$C$43:$C$63,基础状态预期!$S$43:$S$63,$W154)*Q$70*INDEX($P$57:$T$57,MATCH($O$70,$P$4:$T$4,0))*求节点(基础状态预期!$C$43:$C$63,基础状态预期!$AC$43:$AC$63,$W154)</f>
        <v>524117.64136397809</v>
      </c>
      <c r="Z154" s="113">
        <f>求节点(基础状态预期!$C$69:$C$89,基础状态预期!$O$69:$O$89,$W154)*R$66*INDEX($P$57:$T$57,MATCH($O$66,$P$4:$T$4,0))*求节点(基础状态预期!$C$69:$C$89,基础状态预期!AA165:AA185,$W154)+
求节点(基础状态预期!$C$69:$C$89,基础状态预期!$P$69:$P$89,$W154)*R$67*INDEX($P$57:$T$57,MATCH($O$67,$P$4:$T$4,0))*求节点(基础状态预期!$C$69:$C$89,基础状态预期!$Z$69:$Z$89,$W154)+
求节点(基础状态预期!$C$69:$C$89,基础状态预期!$Q$69:$Q$89,$W154)*R$68*INDEX($P$57:$T$57,MATCH($O$68,$P$4:$T$4,0))*求节点(基础状态预期!$C$69:$C$89,基础状态预期!$AA$69:$AA$89,$W154)+
求节点(基础状态预期!$C$69:$C$89,基础状态预期!$R$69:$R$89,$W154)*R$69*INDEX($P$57:$T$57,MATCH($O$69,$P$4:$T$4,0))*求节点(基础状态预期!$C$69:$C$89,基础状态预期!$AB$69:$AB$89,$W154)+
求节点(基础状态预期!$C$69:$C$89,基础状态预期!$S$69:$S$89,$W154)*R$70*INDEX($P$57:$T$57,MATCH($O$70,$P$4:$T$4,0))*求节点(基础状态预期!$C$69:$C$89,基础状态预期!$AC$69:$AC$89,$W154)</f>
        <v>2052690.5745455152</v>
      </c>
      <c r="AA154" s="113">
        <f>求节点(基础状态预期!$C$95:$C$115,基础状态预期!$O$95:$O$115,$W154)*S$66*INDEX($P$57:$T$57,MATCH($O$66,$P$4:$T$4,0))*求节点(基础状态预期!$C$95:$C$115,基础状态预期!$Y$95:$Y$115,$W154)+
求节点(基础状态预期!$C$95:$C$115,基础状态预期!$P$95:$P$115,$W154)*S$67*INDEX($P$57:$T$57,MATCH($O$67,$P$4:$T$4,0))*求节点(基础状态预期!$C$95:$C$115,基础状态预期!$Z$95:$Z$115,$W154)+
求节点(基础状态预期!$C$95:$C$115,基础状态预期!$Q$95:$Q$115,$W154)*S$68*INDEX($P$57:$T$57,MATCH($O$68,$P$4:$T$4,0))*求节点(基础状态预期!$C$95:$C$115,基础状态预期!$AA$95:$AA$115,$W154)+
求节点(基础状态预期!$C$95:$C$115,基础状态预期!$R$95:$R$115,$W154)*S$69*INDEX($P$57:$T$57,MATCH($O$69,$P$4:$T$4,0))*求节点(基础状态预期!$C$95:$C$115,基础状态预期!$AB$95:$AB$115,$W154)+
求节点(基础状态预期!$C$95:$C$115,基础状态预期!$S$95:$S$115,$W154)*S$70*INDEX($P$57:$T$57,MATCH($O$70,$P$4:$T$4,0))*求节点(基础状态预期!$C$95:$C$115,基础状态预期!$AC$95:$AC$115,$W154)</f>
        <v>2061580.7956339507</v>
      </c>
      <c r="AB154" s="113">
        <f>求节点(基础状态预期!$C$121:$C$141,基础状态预期!$O$121:$O$141,$W154)*T$66*INDEX($P$57:$T$57,MATCH($O$66,$P$4:$T$4,0))*求节点(基础状态预期!$C$121:$C$141,基础状态预期!$Y$121:$Y$141,$W154)+
求节点(基础状态预期!$C$121:$C$141,基础状态预期!$P$121:$P$141,$W154)*T$67*INDEX($P$57:$T$57,MATCH($O$67,$P$4:$T$4,0))*求节点(基础状态预期!$C$121:$C$141,基础状态预期!$Z$121:$Z$141,$W154)+
求节点(基础状态预期!$C$121:$C$141,基础状态预期!$Q$121:$Q$141,$W154)*T$68*INDEX($P$57:$T$57,MATCH($O$68,$P$4:$T$4,0))*求节点(基础状态预期!$C$121:$C$141,基础状态预期!$AA$121:$AA$141,$W154)+
求节点(基础状态预期!$C$121:$C$141,基础状态预期!$R$121:$R$141,$W154)*T$69*INDEX($P$57:$T$57,MATCH($O$69,$P$4:$T$4,0))*求节点(基础状态预期!$C$121:$C$141,基础状态预期!$AB$121:$AB$141,$W154)+
求节点(基础状态预期!$C$121:$C$141,基础状态预期!$S$121:$S$141,$W154)*T$70*INDEX($P$57:$T$57,MATCH($O$70,$P$4:$T$4,0))*求节点(基础状态预期!$C$121:$C$141,基础状态预期!$AC$121:$AC$141,$W154)</f>
        <v>2052690.5745455152</v>
      </c>
      <c r="AE154" s="70">
        <v>149</v>
      </c>
      <c r="AF154" s="113">
        <f>盗宝贼!AI153</f>
        <v>58282526.675752148</v>
      </c>
      <c r="AG154" s="113">
        <f>盗宝贼!AJ153</f>
        <v>71487338.617572427</v>
      </c>
      <c r="AH154" s="113">
        <f>盗宝贼!AK153</f>
        <v>76920841.946329743</v>
      </c>
      <c r="AI154" s="113">
        <f>盗宝贼!AL153</f>
        <v>61746468.581336334</v>
      </c>
      <c r="AJ154" s="113">
        <f>盗宝贼!AM153</f>
        <v>32870341.042313818</v>
      </c>
      <c r="AL154" s="78">
        <f>盗宝贼!AI153/AF154</f>
        <v>1</v>
      </c>
      <c r="AM154" s="118"/>
      <c r="AO154" s="123">
        <f t="shared" si="33"/>
        <v>110.91026227212807</v>
      </c>
      <c r="AP154" s="123">
        <f t="shared" si="34"/>
        <v>136.39559704865462</v>
      </c>
      <c r="AQ154" s="123">
        <f t="shared" si="35"/>
        <v>37.473179299496095</v>
      </c>
      <c r="AR154" s="123">
        <f t="shared" si="36"/>
        <v>29.951030157102746</v>
      </c>
      <c r="AS154" s="123">
        <f t="shared" si="37"/>
        <v>16.013295647149164</v>
      </c>
    </row>
    <row r="155" spans="23:45" x14ac:dyDescent="0.15">
      <c r="W155" s="70">
        <v>150</v>
      </c>
      <c r="X155" s="113">
        <f>求节点(基础状态预期!$C$17:$C$37,基础状态预期!$O$17:$O$37,$W155)*P$66*INDEX($P$57:$T$57,MATCH($O$66,$P$4:$T$4,0))*求节点(基础状态预期!$C$17:$C$37,基础状态预期!$Y$17:$Y$37,$W155)+
求节点(基础状态预期!$C$17:$C$37,基础状态预期!$P$17:$P$37,$W155)*P$67*INDEX($P$57:$T$57,MATCH($O$67,$P$4:$T$4,0))*求节点(基础状态预期!$C$17:$C$37,基础状态预期!$Z$17:$Z$37,$W155)+
求节点(基础状态预期!$C$17:$C$37,基础状态预期!$Q$17:$Q$37,$W155)*P$68*INDEX($P$57:$T$57,MATCH($O$68,$P$4:$T$4,0))*求节点(基础状态预期!$C$17:$C$37,基础状态预期!$AA$17:$AA$37,$W155)+
求节点(基础状态预期!$C$17:$C$37,基础状态预期!$R$17:$R$37,$W155)*P$69*INDEX($P$57:$T$57,MATCH($O$69,$P$4:$T$4,0))*求节点(基础状态预期!$C$17:$C$37,基础状态预期!$AB$17:$AB$37,$W155)+
求节点(基础状态预期!$C$17:$C$37,基础状态预期!$S$17:$S$37,$W155)*P$70*INDEX($P$57:$T$57,MATCH($O$70,$P$4:$T$4,0))*求节点(基础状态预期!$C$17:$C$37,基础状态预期!$AC$17:$AC$37,$W155)</f>
        <v>525492.64136397815</v>
      </c>
      <c r="Y155" s="113">
        <f>求节点(基础状态预期!$C$43:$C$63,基础状态预期!$O$43:$O$63,$W155)*Q$66*INDEX($P$57:$T$57,MATCH($O$66,$P$4:$T$4,0))*求节点(基础状态预期!$C$43:$C$63,基础状态预期!$Y$43:$Y$63,$W155)+
求节点(基础状态预期!$C$43:$C$63,基础状态预期!$P$43:$P$63,$W155)*Q$67*INDEX($P$57:$T$57,MATCH($O$67,$P$4:$T$4,0))*求节点(基础状态预期!$C$43:$C$63,基础状态预期!$Z$43:$Z$63,$W155)+
求节点(基础状态预期!$C$43:$C$63,基础状态预期!$Q$43:$Q$63,$W155)*Q$68*INDEX($P$57:$T$57,MATCH($O$68,$P$4:$T$4,0))*求节点(基础状态预期!$C$43:$C$63,基础状态预期!$AA$43:$AA$63,$W155)+
求节点(基础状态预期!$C$43:$C$63,基础状态预期!$R$43:$R$63,$W155)*Q$69*INDEX($P$57:$T$57,MATCH($O$69,$P$4:$T$4,0))*求节点(基础状态预期!$C$43:$C$63,基础状态预期!$AB$43:$AB$63,$W155)+
求节点(基础状态预期!$C$43:$C$63,基础状态预期!$S$43:$S$63,$W155)*Q$70*INDEX($P$57:$T$57,MATCH($O$70,$P$4:$T$4,0))*求节点(基础状态预期!$C$43:$C$63,基础状态预期!$AC$43:$AC$63,$W155)</f>
        <v>524117.64136397809</v>
      </c>
      <c r="Z155" s="113">
        <f>求节点(基础状态预期!$C$69:$C$89,基础状态预期!$O$69:$O$89,$W155)*R$66*INDEX($P$57:$T$57,MATCH($O$66,$P$4:$T$4,0))*求节点(基础状态预期!$C$69:$C$89,基础状态预期!AA166:AA186,$W155)+
求节点(基础状态预期!$C$69:$C$89,基础状态预期!$P$69:$P$89,$W155)*R$67*INDEX($P$57:$T$57,MATCH($O$67,$P$4:$T$4,0))*求节点(基础状态预期!$C$69:$C$89,基础状态预期!$Z$69:$Z$89,$W155)+
求节点(基础状态预期!$C$69:$C$89,基础状态预期!$Q$69:$Q$89,$W155)*R$68*INDEX($P$57:$T$57,MATCH($O$68,$P$4:$T$4,0))*求节点(基础状态预期!$C$69:$C$89,基础状态预期!$AA$69:$AA$89,$W155)+
求节点(基础状态预期!$C$69:$C$89,基础状态预期!$R$69:$R$89,$W155)*R$69*INDEX($P$57:$T$57,MATCH($O$69,$P$4:$T$4,0))*求节点(基础状态预期!$C$69:$C$89,基础状态预期!$AB$69:$AB$89,$W155)+
求节点(基础状态预期!$C$69:$C$89,基础状态预期!$S$69:$S$89,$W155)*R$70*INDEX($P$57:$T$57,MATCH($O$70,$P$4:$T$4,0))*求节点(基础状态预期!$C$69:$C$89,基础状态预期!$AC$69:$AC$89,$W155)</f>
        <v>2052690.5745455152</v>
      </c>
      <c r="AA155" s="113">
        <f>求节点(基础状态预期!$C$95:$C$115,基础状态预期!$O$95:$O$115,$W155)*S$66*INDEX($P$57:$T$57,MATCH($O$66,$P$4:$T$4,0))*求节点(基础状态预期!$C$95:$C$115,基础状态预期!$Y$95:$Y$115,$W155)+
求节点(基础状态预期!$C$95:$C$115,基础状态预期!$P$95:$P$115,$W155)*S$67*INDEX($P$57:$T$57,MATCH($O$67,$P$4:$T$4,0))*求节点(基础状态预期!$C$95:$C$115,基础状态预期!$Z$95:$Z$115,$W155)+
求节点(基础状态预期!$C$95:$C$115,基础状态预期!$Q$95:$Q$115,$W155)*S$68*INDEX($P$57:$T$57,MATCH($O$68,$P$4:$T$4,0))*求节点(基础状态预期!$C$95:$C$115,基础状态预期!$AA$95:$AA$115,$W155)+
求节点(基础状态预期!$C$95:$C$115,基础状态预期!$R$95:$R$115,$W155)*S$69*INDEX($P$57:$T$57,MATCH($O$69,$P$4:$T$4,0))*求节点(基础状态预期!$C$95:$C$115,基础状态预期!$AB$95:$AB$115,$W155)+
求节点(基础状态预期!$C$95:$C$115,基础状态预期!$S$95:$S$115,$W155)*S$70*INDEX($P$57:$T$57,MATCH($O$70,$P$4:$T$4,0))*求节点(基础状态预期!$C$95:$C$115,基础状态预期!$AC$95:$AC$115,$W155)</f>
        <v>2061580.7956339507</v>
      </c>
      <c r="AB155" s="113">
        <f>求节点(基础状态预期!$C$121:$C$141,基础状态预期!$O$121:$O$141,$W155)*T$66*INDEX($P$57:$T$57,MATCH($O$66,$P$4:$T$4,0))*求节点(基础状态预期!$C$121:$C$141,基础状态预期!$Y$121:$Y$141,$W155)+
求节点(基础状态预期!$C$121:$C$141,基础状态预期!$P$121:$P$141,$W155)*T$67*INDEX($P$57:$T$57,MATCH($O$67,$P$4:$T$4,0))*求节点(基础状态预期!$C$121:$C$141,基础状态预期!$Z$121:$Z$141,$W155)+
求节点(基础状态预期!$C$121:$C$141,基础状态预期!$Q$121:$Q$141,$W155)*T$68*INDEX($P$57:$T$57,MATCH($O$68,$P$4:$T$4,0))*求节点(基础状态预期!$C$121:$C$141,基础状态预期!$AA$121:$AA$141,$W155)+
求节点(基础状态预期!$C$121:$C$141,基础状态预期!$R$121:$R$141,$W155)*T$69*INDEX($P$57:$T$57,MATCH($O$69,$P$4:$T$4,0))*求节点(基础状态预期!$C$121:$C$141,基础状态预期!$AB$121:$AB$141,$W155)+
求节点(基础状态预期!$C$121:$C$141,基础状态预期!$S$121:$S$141,$W155)*T$70*INDEX($P$57:$T$57,MATCH($O$70,$P$4:$T$4,0))*求节点(基础状态预期!$C$121:$C$141,基础状态预期!$AC$121:$AC$141,$W155)</f>
        <v>2052690.5745455152</v>
      </c>
      <c r="AE155" s="70">
        <v>150</v>
      </c>
      <c r="AF155" s="113">
        <f>盗宝贼!AI154</f>
        <v>65588948.85806603</v>
      </c>
      <c r="AG155" s="113">
        <f>盗宝贼!AJ154</f>
        <v>80561307.784084678</v>
      </c>
      <c r="AH155" s="113">
        <f>盗宝贼!AK154</f>
        <v>86836660.73000896</v>
      </c>
      <c r="AI155" s="113">
        <f>盗宝贼!AL154</f>
        <v>69592407.644537315</v>
      </c>
      <c r="AJ155" s="113">
        <f>盗宝贼!AM154</f>
        <v>37429634.343741946</v>
      </c>
      <c r="AL155" s="78">
        <f>盗宝贼!AI154/AF155</f>
        <v>1</v>
      </c>
      <c r="AM155" s="118"/>
      <c r="AO155" s="123">
        <f t="shared" si="33"/>
        <v>124.81420993417181</v>
      </c>
      <c r="AP155" s="123">
        <f t="shared" si="34"/>
        <v>153.70844525368335</v>
      </c>
      <c r="AQ155" s="123">
        <f t="shared" si="35"/>
        <v>42.303823969784339</v>
      </c>
      <c r="AR155" s="123">
        <f t="shared" si="36"/>
        <v>33.756817967998757</v>
      </c>
      <c r="AS155" s="123">
        <f t="shared" si="37"/>
        <v>18.2344259811439</v>
      </c>
    </row>
    <row r="156" spans="23:45" x14ac:dyDescent="0.15">
      <c r="W156" s="70">
        <v>151</v>
      </c>
      <c r="X156" s="113">
        <f>求节点(基础状态预期!$C$17:$C$37,基础状态预期!$O$17:$O$37,$W156)*P$66*INDEX($P$57:$T$57,MATCH($O$66,$P$4:$T$4,0))*求节点(基础状态预期!$C$17:$C$37,基础状态预期!$Y$17:$Y$37,$W156)+
求节点(基础状态预期!$C$17:$C$37,基础状态预期!$P$17:$P$37,$W156)*P$67*INDEX($P$57:$T$57,MATCH($O$67,$P$4:$T$4,0))*求节点(基础状态预期!$C$17:$C$37,基础状态预期!$Z$17:$Z$37,$W156)+
求节点(基础状态预期!$C$17:$C$37,基础状态预期!$Q$17:$Q$37,$W156)*P$68*INDEX($P$57:$T$57,MATCH($O$68,$P$4:$T$4,0))*求节点(基础状态预期!$C$17:$C$37,基础状态预期!$AA$17:$AA$37,$W156)+
求节点(基础状态预期!$C$17:$C$37,基础状态预期!$R$17:$R$37,$W156)*P$69*INDEX($P$57:$T$57,MATCH($O$69,$P$4:$T$4,0))*求节点(基础状态预期!$C$17:$C$37,基础状态预期!$AB$17:$AB$37,$W156)+
求节点(基础状态预期!$C$17:$C$37,基础状态预期!$S$17:$S$37,$W156)*P$70*INDEX($P$57:$T$57,MATCH($O$70,$P$4:$T$4,0))*求节点(基础状态预期!$C$17:$C$37,基础状态预期!$AC$17:$AC$37,$W156)</f>
        <v>525492.64136397815</v>
      </c>
      <c r="Y156" s="113">
        <f>求节点(基础状态预期!$C$43:$C$63,基础状态预期!$O$43:$O$63,$W156)*Q$66*INDEX($P$57:$T$57,MATCH($O$66,$P$4:$T$4,0))*求节点(基础状态预期!$C$43:$C$63,基础状态预期!$Y$43:$Y$63,$W156)+
求节点(基础状态预期!$C$43:$C$63,基础状态预期!$P$43:$P$63,$W156)*Q$67*INDEX($P$57:$T$57,MATCH($O$67,$P$4:$T$4,0))*求节点(基础状态预期!$C$43:$C$63,基础状态预期!$Z$43:$Z$63,$W156)+
求节点(基础状态预期!$C$43:$C$63,基础状态预期!$Q$43:$Q$63,$W156)*Q$68*INDEX($P$57:$T$57,MATCH($O$68,$P$4:$T$4,0))*求节点(基础状态预期!$C$43:$C$63,基础状态预期!$AA$43:$AA$63,$W156)+
求节点(基础状态预期!$C$43:$C$63,基础状态预期!$R$43:$R$63,$W156)*Q$69*INDEX($P$57:$T$57,MATCH($O$69,$P$4:$T$4,0))*求节点(基础状态预期!$C$43:$C$63,基础状态预期!$AB$43:$AB$63,$W156)+
求节点(基础状态预期!$C$43:$C$63,基础状态预期!$S$43:$S$63,$W156)*Q$70*INDEX($P$57:$T$57,MATCH($O$70,$P$4:$T$4,0))*求节点(基础状态预期!$C$43:$C$63,基础状态预期!$AC$43:$AC$63,$W156)</f>
        <v>524117.64136397809</v>
      </c>
      <c r="Z156" s="113">
        <f>求节点(基础状态预期!$C$69:$C$89,基础状态预期!$O$69:$O$89,$W156)*R$66*INDEX($P$57:$T$57,MATCH($O$66,$P$4:$T$4,0))*求节点(基础状态预期!$C$69:$C$89,基础状态预期!AA167:AA187,$W156)+
求节点(基础状态预期!$C$69:$C$89,基础状态预期!$P$69:$P$89,$W156)*R$67*INDEX($P$57:$T$57,MATCH($O$67,$P$4:$T$4,0))*求节点(基础状态预期!$C$69:$C$89,基础状态预期!$Z$69:$Z$89,$W156)+
求节点(基础状态预期!$C$69:$C$89,基础状态预期!$Q$69:$Q$89,$W156)*R$68*INDEX($P$57:$T$57,MATCH($O$68,$P$4:$T$4,0))*求节点(基础状态预期!$C$69:$C$89,基础状态预期!$AA$69:$AA$89,$W156)+
求节点(基础状态预期!$C$69:$C$89,基础状态预期!$R$69:$R$89,$W156)*R$69*INDEX($P$57:$T$57,MATCH($O$69,$P$4:$T$4,0))*求节点(基础状态预期!$C$69:$C$89,基础状态预期!$AB$69:$AB$89,$W156)+
求节点(基础状态预期!$C$69:$C$89,基础状态预期!$S$69:$S$89,$W156)*R$70*INDEX($P$57:$T$57,MATCH($O$70,$P$4:$T$4,0))*求节点(基础状态预期!$C$69:$C$89,基础状态预期!$AC$69:$AC$89,$W156)</f>
        <v>2052690.5745455152</v>
      </c>
      <c r="AA156" s="113">
        <f>求节点(基础状态预期!$C$95:$C$115,基础状态预期!$O$95:$O$115,$W156)*S$66*INDEX($P$57:$T$57,MATCH($O$66,$P$4:$T$4,0))*求节点(基础状态预期!$C$95:$C$115,基础状态预期!$Y$95:$Y$115,$W156)+
求节点(基础状态预期!$C$95:$C$115,基础状态预期!$P$95:$P$115,$W156)*S$67*INDEX($P$57:$T$57,MATCH($O$67,$P$4:$T$4,0))*求节点(基础状态预期!$C$95:$C$115,基础状态预期!$Z$95:$Z$115,$W156)+
求节点(基础状态预期!$C$95:$C$115,基础状态预期!$Q$95:$Q$115,$W156)*S$68*INDEX($P$57:$T$57,MATCH($O$68,$P$4:$T$4,0))*求节点(基础状态预期!$C$95:$C$115,基础状态预期!$AA$95:$AA$115,$W156)+
求节点(基础状态预期!$C$95:$C$115,基础状态预期!$R$95:$R$115,$W156)*S$69*INDEX($P$57:$T$57,MATCH($O$69,$P$4:$T$4,0))*求节点(基础状态预期!$C$95:$C$115,基础状态预期!$AB$95:$AB$115,$W156)+
求节点(基础状态预期!$C$95:$C$115,基础状态预期!$S$95:$S$115,$W156)*S$70*INDEX($P$57:$T$57,MATCH($O$70,$P$4:$T$4,0))*求节点(基础状态预期!$C$95:$C$115,基础状态预期!$AC$95:$AC$115,$W156)</f>
        <v>2061580.7956339507</v>
      </c>
      <c r="AB156" s="113">
        <f>求节点(基础状态预期!$C$121:$C$141,基础状态预期!$O$121:$O$141,$W156)*T$66*INDEX($P$57:$T$57,MATCH($O$66,$P$4:$T$4,0))*求节点(基础状态预期!$C$121:$C$141,基础状态预期!$Y$121:$Y$141,$W156)+
求节点(基础状态预期!$C$121:$C$141,基础状态预期!$P$121:$P$141,$W156)*T$67*INDEX($P$57:$T$57,MATCH($O$67,$P$4:$T$4,0))*求节点(基础状态预期!$C$121:$C$141,基础状态预期!$Z$121:$Z$141,$W156)+
求节点(基础状态预期!$C$121:$C$141,基础状态预期!$Q$121:$Q$141,$W156)*T$68*INDEX($P$57:$T$57,MATCH($O$68,$P$4:$T$4,0))*求节点(基础状态预期!$C$121:$C$141,基础状态预期!$AA$121:$AA$141,$W156)+
求节点(基础状态预期!$C$121:$C$141,基础状态预期!$R$121:$R$141,$W156)*T$69*INDEX($P$57:$T$57,MATCH($O$69,$P$4:$T$4,0))*求节点(基础状态预期!$C$121:$C$141,基础状态预期!$AB$121:$AB$141,$W156)+
求节点(基础状态预期!$C$121:$C$141,基础状态预期!$S$121:$S$141,$W156)*T$70*INDEX($P$57:$T$57,MATCH($O$70,$P$4:$T$4,0))*求节点(基础状态预期!$C$121:$C$141,基础状态预期!$AC$121:$AC$141,$W156)</f>
        <v>2052690.5745455152</v>
      </c>
      <c r="AE156" s="70">
        <v>151</v>
      </c>
      <c r="AF156" s="113">
        <f>盗宝贼!AI155</f>
        <v>73811319.729210973</v>
      </c>
      <c r="AG156" s="113">
        <f>盗宝贼!AJ155</f>
        <v>90779994.960692823</v>
      </c>
      <c r="AH156" s="113">
        <f>盗宝贼!AK155</f>
        <v>98013440.873301387</v>
      </c>
      <c r="AI156" s="113">
        <f>盗宝贼!AL155</f>
        <v>79362175.072210908</v>
      </c>
      <c r="AJ156" s="113">
        <f>盗宝贼!AM155</f>
        <v>44131330.829266526</v>
      </c>
      <c r="AL156" s="78">
        <f>盗宝贼!AI155/AF156</f>
        <v>1</v>
      </c>
      <c r="AM156" s="118"/>
      <c r="AO156" s="123">
        <f t="shared" si="33"/>
        <v>140.46118616927723</v>
      </c>
      <c r="AP156" s="123">
        <f t="shared" si="34"/>
        <v>173.20537947252544</v>
      </c>
      <c r="AQ156" s="123">
        <f t="shared" si="35"/>
        <v>47.748765492822741</v>
      </c>
      <c r="AR156" s="123">
        <f t="shared" si="36"/>
        <v>38.495786941887218</v>
      </c>
      <c r="AS156" s="123">
        <f t="shared" si="37"/>
        <v>21.49926120211158</v>
      </c>
    </row>
    <row r="157" spans="23:45" x14ac:dyDescent="0.15">
      <c r="W157" s="70">
        <v>152</v>
      </c>
      <c r="X157" s="113">
        <f>求节点(基础状态预期!$C$17:$C$37,基础状态预期!$O$17:$O$37,$W157)*P$66*INDEX($P$57:$T$57,MATCH($O$66,$P$4:$T$4,0))*求节点(基础状态预期!$C$17:$C$37,基础状态预期!$Y$17:$Y$37,$W157)+
求节点(基础状态预期!$C$17:$C$37,基础状态预期!$P$17:$P$37,$W157)*P$67*INDEX($P$57:$T$57,MATCH($O$67,$P$4:$T$4,0))*求节点(基础状态预期!$C$17:$C$37,基础状态预期!$Z$17:$Z$37,$W157)+
求节点(基础状态预期!$C$17:$C$37,基础状态预期!$Q$17:$Q$37,$W157)*P$68*INDEX($P$57:$T$57,MATCH($O$68,$P$4:$T$4,0))*求节点(基础状态预期!$C$17:$C$37,基础状态预期!$AA$17:$AA$37,$W157)+
求节点(基础状态预期!$C$17:$C$37,基础状态预期!$R$17:$R$37,$W157)*P$69*INDEX($P$57:$T$57,MATCH($O$69,$P$4:$T$4,0))*求节点(基础状态预期!$C$17:$C$37,基础状态预期!$AB$17:$AB$37,$W157)+
求节点(基础状态预期!$C$17:$C$37,基础状态预期!$S$17:$S$37,$W157)*P$70*INDEX($P$57:$T$57,MATCH($O$70,$P$4:$T$4,0))*求节点(基础状态预期!$C$17:$C$37,基础状态预期!$AC$17:$AC$37,$W157)</f>
        <v>525492.64136397815</v>
      </c>
      <c r="Y157" s="113">
        <f>求节点(基础状态预期!$C$43:$C$63,基础状态预期!$O$43:$O$63,$W157)*Q$66*INDEX($P$57:$T$57,MATCH($O$66,$P$4:$T$4,0))*求节点(基础状态预期!$C$43:$C$63,基础状态预期!$Y$43:$Y$63,$W157)+
求节点(基础状态预期!$C$43:$C$63,基础状态预期!$P$43:$P$63,$W157)*Q$67*INDEX($P$57:$T$57,MATCH($O$67,$P$4:$T$4,0))*求节点(基础状态预期!$C$43:$C$63,基础状态预期!$Z$43:$Z$63,$W157)+
求节点(基础状态预期!$C$43:$C$63,基础状态预期!$Q$43:$Q$63,$W157)*Q$68*INDEX($P$57:$T$57,MATCH($O$68,$P$4:$T$4,0))*求节点(基础状态预期!$C$43:$C$63,基础状态预期!$AA$43:$AA$63,$W157)+
求节点(基础状态预期!$C$43:$C$63,基础状态预期!$R$43:$R$63,$W157)*Q$69*INDEX($P$57:$T$57,MATCH($O$69,$P$4:$T$4,0))*求节点(基础状态预期!$C$43:$C$63,基础状态预期!$AB$43:$AB$63,$W157)+
求节点(基础状态预期!$C$43:$C$63,基础状态预期!$S$43:$S$63,$W157)*Q$70*INDEX($P$57:$T$57,MATCH($O$70,$P$4:$T$4,0))*求节点(基础状态预期!$C$43:$C$63,基础状态预期!$AC$43:$AC$63,$W157)</f>
        <v>524117.64136397809</v>
      </c>
      <c r="Z157" s="113">
        <f>求节点(基础状态预期!$C$69:$C$89,基础状态预期!$O$69:$O$89,$W157)*R$66*INDEX($P$57:$T$57,MATCH($O$66,$P$4:$T$4,0))*求节点(基础状态预期!$C$69:$C$89,基础状态预期!AA168:AA188,$W157)+
求节点(基础状态预期!$C$69:$C$89,基础状态预期!$P$69:$P$89,$W157)*R$67*INDEX($P$57:$T$57,MATCH($O$67,$P$4:$T$4,0))*求节点(基础状态预期!$C$69:$C$89,基础状态预期!$Z$69:$Z$89,$W157)+
求节点(基础状态预期!$C$69:$C$89,基础状态预期!$Q$69:$Q$89,$W157)*R$68*INDEX($P$57:$T$57,MATCH($O$68,$P$4:$T$4,0))*求节点(基础状态预期!$C$69:$C$89,基础状态预期!$AA$69:$AA$89,$W157)+
求节点(基础状态预期!$C$69:$C$89,基础状态预期!$R$69:$R$89,$W157)*R$69*INDEX($P$57:$T$57,MATCH($O$69,$P$4:$T$4,0))*求节点(基础状态预期!$C$69:$C$89,基础状态预期!$AB$69:$AB$89,$W157)+
求节点(基础状态预期!$C$69:$C$89,基础状态预期!$S$69:$S$89,$W157)*R$70*INDEX($P$57:$T$57,MATCH($O$70,$P$4:$T$4,0))*求节点(基础状态预期!$C$69:$C$89,基础状态预期!$AC$69:$AC$89,$W157)</f>
        <v>2052690.5745455152</v>
      </c>
      <c r="AA157" s="113">
        <f>求节点(基础状态预期!$C$95:$C$115,基础状态预期!$O$95:$O$115,$W157)*S$66*INDEX($P$57:$T$57,MATCH($O$66,$P$4:$T$4,0))*求节点(基础状态预期!$C$95:$C$115,基础状态预期!$Y$95:$Y$115,$W157)+
求节点(基础状态预期!$C$95:$C$115,基础状态预期!$P$95:$P$115,$W157)*S$67*INDEX($P$57:$T$57,MATCH($O$67,$P$4:$T$4,0))*求节点(基础状态预期!$C$95:$C$115,基础状态预期!$Z$95:$Z$115,$W157)+
求节点(基础状态预期!$C$95:$C$115,基础状态预期!$Q$95:$Q$115,$W157)*S$68*INDEX($P$57:$T$57,MATCH($O$68,$P$4:$T$4,0))*求节点(基础状态预期!$C$95:$C$115,基础状态预期!$AA$95:$AA$115,$W157)+
求节点(基础状态预期!$C$95:$C$115,基础状态预期!$R$95:$R$115,$W157)*S$69*INDEX($P$57:$T$57,MATCH($O$69,$P$4:$T$4,0))*求节点(基础状态预期!$C$95:$C$115,基础状态预期!$AB$95:$AB$115,$W157)+
求节点(基础状态预期!$C$95:$C$115,基础状态预期!$S$95:$S$115,$W157)*S$70*INDEX($P$57:$T$57,MATCH($O$70,$P$4:$T$4,0))*求节点(基础状态预期!$C$95:$C$115,基础状态预期!$AC$95:$AC$115,$W157)</f>
        <v>2061580.7956339507</v>
      </c>
      <c r="AB157" s="113">
        <f>求节点(基础状态预期!$C$121:$C$141,基础状态预期!$O$121:$O$141,$W157)*T$66*INDEX($P$57:$T$57,MATCH($O$66,$P$4:$T$4,0))*求节点(基础状态预期!$C$121:$C$141,基础状态预期!$Y$121:$Y$141,$W157)+
求节点(基础状态预期!$C$121:$C$141,基础状态预期!$P$121:$P$141,$W157)*T$67*INDEX($P$57:$T$57,MATCH($O$67,$P$4:$T$4,0))*求节点(基础状态预期!$C$121:$C$141,基础状态预期!$Z$121:$Z$141,$W157)+
求节点(基础状态预期!$C$121:$C$141,基础状态预期!$Q$121:$Q$141,$W157)*T$68*INDEX($P$57:$T$57,MATCH($O$68,$P$4:$T$4,0))*求节点(基础状态预期!$C$121:$C$141,基础状态预期!$AA$121:$AA$141,$W157)+
求节点(基础状态预期!$C$121:$C$141,基础状态预期!$R$121:$R$141,$W157)*T$69*INDEX($P$57:$T$57,MATCH($O$69,$P$4:$T$4,0))*求节点(基础状态预期!$C$121:$C$141,基础状态预期!$AB$121:$AB$141,$W157)+
求节点(基础状态预期!$C$121:$C$141,基础状态预期!$S$121:$S$141,$W157)*T$70*INDEX($P$57:$T$57,MATCH($O$70,$P$4:$T$4,0))*求节点(基础状态预期!$C$121:$C$141,基础状态预期!$AC$121:$AC$141,$W157)</f>
        <v>2052690.5745455152</v>
      </c>
      <c r="AE157" s="70">
        <v>152</v>
      </c>
      <c r="AF157" s="113">
        <f>盗宝贼!AI156</f>
        <v>83064464.572977066</v>
      </c>
      <c r="AG157" s="113">
        <f>盗宝贼!AJ156</f>
        <v>102086556.18382281</v>
      </c>
      <c r="AH157" s="113">
        <f>盗宝贼!AK156</f>
        <v>111704855.45446096</v>
      </c>
      <c r="AI157" s="113">
        <f>盗宝贼!AL156</f>
        <v>92970303.728400454</v>
      </c>
      <c r="AJ157" s="113">
        <f>盗宝贼!AM156</f>
        <v>101449437.67619583</v>
      </c>
      <c r="AL157" s="78">
        <f>盗宝贼!AI156/AF157</f>
        <v>1</v>
      </c>
      <c r="AM157" s="118"/>
      <c r="AO157" s="123">
        <f t="shared" si="33"/>
        <v>158.06970076188594</v>
      </c>
      <c r="AP157" s="123">
        <f t="shared" si="34"/>
        <v>194.7779432078454</v>
      </c>
      <c r="AQ157" s="123">
        <f t="shared" si="35"/>
        <v>54.418750122235764</v>
      </c>
      <c r="AR157" s="123">
        <f t="shared" si="36"/>
        <v>45.096609322949881</v>
      </c>
      <c r="AS157" s="123">
        <f t="shared" si="37"/>
        <v>49.422664542929311</v>
      </c>
    </row>
    <row r="158" spans="23:45" x14ac:dyDescent="0.15">
      <c r="W158" s="70">
        <v>153</v>
      </c>
      <c r="X158" s="113">
        <f>求节点(基础状态预期!$C$17:$C$37,基础状态预期!$O$17:$O$37,$W158)*P$66*INDEX($P$57:$T$57,MATCH($O$66,$P$4:$T$4,0))*求节点(基础状态预期!$C$17:$C$37,基础状态预期!$Y$17:$Y$37,$W158)+
求节点(基础状态预期!$C$17:$C$37,基础状态预期!$P$17:$P$37,$W158)*P$67*INDEX($P$57:$T$57,MATCH($O$67,$P$4:$T$4,0))*求节点(基础状态预期!$C$17:$C$37,基础状态预期!$Z$17:$Z$37,$W158)+
求节点(基础状态预期!$C$17:$C$37,基础状态预期!$Q$17:$Q$37,$W158)*P$68*INDEX($P$57:$T$57,MATCH($O$68,$P$4:$T$4,0))*求节点(基础状态预期!$C$17:$C$37,基础状态预期!$AA$17:$AA$37,$W158)+
求节点(基础状态预期!$C$17:$C$37,基础状态预期!$R$17:$R$37,$W158)*P$69*INDEX($P$57:$T$57,MATCH($O$69,$P$4:$T$4,0))*求节点(基础状态预期!$C$17:$C$37,基础状态预期!$AB$17:$AB$37,$W158)+
求节点(基础状态预期!$C$17:$C$37,基础状态预期!$S$17:$S$37,$W158)*P$70*INDEX($P$57:$T$57,MATCH($O$70,$P$4:$T$4,0))*求节点(基础状态预期!$C$17:$C$37,基础状态预期!$AC$17:$AC$37,$W158)</f>
        <v>525492.64136397815</v>
      </c>
      <c r="Y158" s="113">
        <f>求节点(基础状态预期!$C$43:$C$63,基础状态预期!$O$43:$O$63,$W158)*Q$66*INDEX($P$57:$T$57,MATCH($O$66,$P$4:$T$4,0))*求节点(基础状态预期!$C$43:$C$63,基础状态预期!$Y$43:$Y$63,$W158)+
求节点(基础状态预期!$C$43:$C$63,基础状态预期!$P$43:$P$63,$W158)*Q$67*INDEX($P$57:$T$57,MATCH($O$67,$P$4:$T$4,0))*求节点(基础状态预期!$C$43:$C$63,基础状态预期!$Z$43:$Z$63,$W158)+
求节点(基础状态预期!$C$43:$C$63,基础状态预期!$Q$43:$Q$63,$W158)*Q$68*INDEX($P$57:$T$57,MATCH($O$68,$P$4:$T$4,0))*求节点(基础状态预期!$C$43:$C$63,基础状态预期!$AA$43:$AA$63,$W158)+
求节点(基础状态预期!$C$43:$C$63,基础状态预期!$R$43:$R$63,$W158)*Q$69*INDEX($P$57:$T$57,MATCH($O$69,$P$4:$T$4,0))*求节点(基础状态预期!$C$43:$C$63,基础状态预期!$AB$43:$AB$63,$W158)+
求节点(基础状态预期!$C$43:$C$63,基础状态预期!$S$43:$S$63,$W158)*Q$70*INDEX($P$57:$T$57,MATCH($O$70,$P$4:$T$4,0))*求节点(基础状态预期!$C$43:$C$63,基础状态预期!$AC$43:$AC$63,$W158)</f>
        <v>524117.64136397809</v>
      </c>
      <c r="Z158" s="113">
        <f>求节点(基础状态预期!$C$69:$C$89,基础状态预期!$O$69:$O$89,$W158)*R$66*INDEX($P$57:$T$57,MATCH($O$66,$P$4:$T$4,0))*求节点(基础状态预期!$C$69:$C$89,基础状态预期!AA169:AA189,$W158)+
求节点(基础状态预期!$C$69:$C$89,基础状态预期!$P$69:$P$89,$W158)*R$67*INDEX($P$57:$T$57,MATCH($O$67,$P$4:$T$4,0))*求节点(基础状态预期!$C$69:$C$89,基础状态预期!$Z$69:$Z$89,$W158)+
求节点(基础状态预期!$C$69:$C$89,基础状态预期!$Q$69:$Q$89,$W158)*R$68*INDEX($P$57:$T$57,MATCH($O$68,$P$4:$T$4,0))*求节点(基础状态预期!$C$69:$C$89,基础状态预期!$AA$69:$AA$89,$W158)+
求节点(基础状态预期!$C$69:$C$89,基础状态预期!$R$69:$R$89,$W158)*R$69*INDEX($P$57:$T$57,MATCH($O$69,$P$4:$T$4,0))*求节点(基础状态预期!$C$69:$C$89,基础状态预期!$AB$69:$AB$89,$W158)+
求节点(基础状态预期!$C$69:$C$89,基础状态预期!$S$69:$S$89,$W158)*R$70*INDEX($P$57:$T$57,MATCH($O$70,$P$4:$T$4,0))*求节点(基础状态预期!$C$69:$C$89,基础状态预期!$AC$69:$AC$89,$W158)</f>
        <v>2052690.5745455152</v>
      </c>
      <c r="AA158" s="113">
        <f>求节点(基础状态预期!$C$95:$C$115,基础状态预期!$O$95:$O$115,$W158)*S$66*INDEX($P$57:$T$57,MATCH($O$66,$P$4:$T$4,0))*求节点(基础状态预期!$C$95:$C$115,基础状态预期!$Y$95:$Y$115,$W158)+
求节点(基础状态预期!$C$95:$C$115,基础状态预期!$P$95:$P$115,$W158)*S$67*INDEX($P$57:$T$57,MATCH($O$67,$P$4:$T$4,0))*求节点(基础状态预期!$C$95:$C$115,基础状态预期!$Z$95:$Z$115,$W158)+
求节点(基础状态预期!$C$95:$C$115,基础状态预期!$Q$95:$Q$115,$W158)*S$68*INDEX($P$57:$T$57,MATCH($O$68,$P$4:$T$4,0))*求节点(基础状态预期!$C$95:$C$115,基础状态预期!$AA$95:$AA$115,$W158)+
求节点(基础状态预期!$C$95:$C$115,基础状态预期!$R$95:$R$115,$W158)*S$69*INDEX($P$57:$T$57,MATCH($O$69,$P$4:$T$4,0))*求节点(基础状态预期!$C$95:$C$115,基础状态预期!$AB$95:$AB$115,$W158)+
求节点(基础状态预期!$C$95:$C$115,基础状态预期!$S$95:$S$115,$W158)*S$70*INDEX($P$57:$T$57,MATCH($O$70,$P$4:$T$4,0))*求节点(基础状态预期!$C$95:$C$115,基础状态预期!$AC$95:$AC$115,$W158)</f>
        <v>2061580.7956339507</v>
      </c>
      <c r="AB158" s="113">
        <f>求节点(基础状态预期!$C$121:$C$141,基础状态预期!$O$121:$O$141,$W158)*T$66*INDEX($P$57:$T$57,MATCH($O$66,$P$4:$T$4,0))*求节点(基础状态预期!$C$121:$C$141,基础状态预期!$Y$121:$Y$141,$W158)+
求节点(基础状态预期!$C$121:$C$141,基础状态预期!$P$121:$P$141,$W158)*T$67*INDEX($P$57:$T$57,MATCH($O$67,$P$4:$T$4,0))*求节点(基础状态预期!$C$121:$C$141,基础状态预期!$Z$121:$Z$141,$W158)+
求节点(基础状态预期!$C$121:$C$141,基础状态预期!$Q$121:$Q$141,$W158)*T$68*INDEX($P$57:$T$57,MATCH($O$68,$P$4:$T$4,0))*求节点(基础状态预期!$C$121:$C$141,基础状态预期!$AA$121:$AA$141,$W158)+
求节点(基础状态预期!$C$121:$C$141,基础状态预期!$R$121:$R$141,$W158)*T$69*INDEX($P$57:$T$57,MATCH($O$69,$P$4:$T$4,0))*求节点(基础状态预期!$C$121:$C$141,基础状态预期!$AB$121:$AB$141,$W158)+
求节点(基础状态预期!$C$121:$C$141,基础状态预期!$S$121:$S$141,$W158)*T$70*INDEX($P$57:$T$57,MATCH($O$70,$P$4:$T$4,0))*求节点(基础状态预期!$C$121:$C$141,基础状态预期!$AC$121:$AC$141,$W158)</f>
        <v>2052690.5745455152</v>
      </c>
      <c r="AE158" s="70">
        <v>153</v>
      </c>
      <c r="AF158" s="113">
        <f>盗宝贼!AI157</f>
        <v>93477603.415957764</v>
      </c>
      <c r="AG158" s="113">
        <f>盗宝贼!AJ157</f>
        <v>117159841.44681765</v>
      </c>
      <c r="AH158" s="113">
        <f>盗宝贼!AK157</f>
        <v>130293768.48476362</v>
      </c>
      <c r="AI158" s="113">
        <f>盗宝贼!AL157</f>
        <v>159777424.62521723</v>
      </c>
      <c r="AJ158" s="113">
        <f>盗宝贼!AM157</f>
        <v>189813375.95220518</v>
      </c>
      <c r="AL158" s="78">
        <f>盗宝贼!AI157/AF158</f>
        <v>1</v>
      </c>
      <c r="AM158" s="118"/>
      <c r="AO158" s="123">
        <f t="shared" si="33"/>
        <v>177.88565634967907</v>
      </c>
      <c r="AP158" s="123">
        <f t="shared" si="34"/>
        <v>223.53729811863931</v>
      </c>
      <c r="AQ158" s="123">
        <f t="shared" si="35"/>
        <v>63.474626960574355</v>
      </c>
      <c r="AR158" s="123">
        <f t="shared" si="36"/>
        <v>77.502383105040778</v>
      </c>
      <c r="AS158" s="123">
        <f t="shared" si="37"/>
        <v>92.470525419658841</v>
      </c>
    </row>
    <row r="159" spans="23:45" x14ac:dyDescent="0.15">
      <c r="W159" s="70">
        <v>154</v>
      </c>
      <c r="X159" s="113">
        <f>求节点(基础状态预期!$C$17:$C$37,基础状态预期!$O$17:$O$37,$W159)*P$66*INDEX($P$57:$T$57,MATCH($O$66,$P$4:$T$4,0))*求节点(基础状态预期!$C$17:$C$37,基础状态预期!$Y$17:$Y$37,$W159)+
求节点(基础状态预期!$C$17:$C$37,基础状态预期!$P$17:$P$37,$W159)*P$67*INDEX($P$57:$T$57,MATCH($O$67,$P$4:$T$4,0))*求节点(基础状态预期!$C$17:$C$37,基础状态预期!$Z$17:$Z$37,$W159)+
求节点(基础状态预期!$C$17:$C$37,基础状态预期!$Q$17:$Q$37,$W159)*P$68*INDEX($P$57:$T$57,MATCH($O$68,$P$4:$T$4,0))*求节点(基础状态预期!$C$17:$C$37,基础状态预期!$AA$17:$AA$37,$W159)+
求节点(基础状态预期!$C$17:$C$37,基础状态预期!$R$17:$R$37,$W159)*P$69*INDEX($P$57:$T$57,MATCH($O$69,$P$4:$T$4,0))*求节点(基础状态预期!$C$17:$C$37,基础状态预期!$AB$17:$AB$37,$W159)+
求节点(基础状态预期!$C$17:$C$37,基础状态预期!$S$17:$S$37,$W159)*P$70*INDEX($P$57:$T$57,MATCH($O$70,$P$4:$T$4,0))*求节点(基础状态预期!$C$17:$C$37,基础状态预期!$AC$17:$AC$37,$W159)</f>
        <v>525492.64136397815</v>
      </c>
      <c r="Y159" s="113">
        <f>求节点(基础状态预期!$C$43:$C$63,基础状态预期!$O$43:$O$63,$W159)*Q$66*INDEX($P$57:$T$57,MATCH($O$66,$P$4:$T$4,0))*求节点(基础状态预期!$C$43:$C$63,基础状态预期!$Y$43:$Y$63,$W159)+
求节点(基础状态预期!$C$43:$C$63,基础状态预期!$P$43:$P$63,$W159)*Q$67*INDEX($P$57:$T$57,MATCH($O$67,$P$4:$T$4,0))*求节点(基础状态预期!$C$43:$C$63,基础状态预期!$Z$43:$Z$63,$W159)+
求节点(基础状态预期!$C$43:$C$63,基础状态预期!$Q$43:$Q$63,$W159)*Q$68*INDEX($P$57:$T$57,MATCH($O$68,$P$4:$T$4,0))*求节点(基础状态预期!$C$43:$C$63,基础状态预期!$AA$43:$AA$63,$W159)+
求节点(基础状态预期!$C$43:$C$63,基础状态预期!$R$43:$R$63,$W159)*Q$69*INDEX($P$57:$T$57,MATCH($O$69,$P$4:$T$4,0))*求节点(基础状态预期!$C$43:$C$63,基础状态预期!$AB$43:$AB$63,$W159)+
求节点(基础状态预期!$C$43:$C$63,基础状态预期!$S$43:$S$63,$W159)*Q$70*INDEX($P$57:$T$57,MATCH($O$70,$P$4:$T$4,0))*求节点(基础状态预期!$C$43:$C$63,基础状态预期!$AC$43:$AC$63,$W159)</f>
        <v>524117.64136397809</v>
      </c>
      <c r="Z159" s="113">
        <f>求节点(基础状态预期!$C$69:$C$89,基础状态预期!$O$69:$O$89,$W159)*R$66*INDEX($P$57:$T$57,MATCH($O$66,$P$4:$T$4,0))*求节点(基础状态预期!$C$69:$C$89,基础状态预期!AA170:AA190,$W159)+
求节点(基础状态预期!$C$69:$C$89,基础状态预期!$P$69:$P$89,$W159)*R$67*INDEX($P$57:$T$57,MATCH($O$67,$P$4:$T$4,0))*求节点(基础状态预期!$C$69:$C$89,基础状态预期!$Z$69:$Z$89,$W159)+
求节点(基础状态预期!$C$69:$C$89,基础状态预期!$Q$69:$Q$89,$W159)*R$68*INDEX($P$57:$T$57,MATCH($O$68,$P$4:$T$4,0))*求节点(基础状态预期!$C$69:$C$89,基础状态预期!$AA$69:$AA$89,$W159)+
求节点(基础状态预期!$C$69:$C$89,基础状态预期!$R$69:$R$89,$W159)*R$69*INDEX($P$57:$T$57,MATCH($O$69,$P$4:$T$4,0))*求节点(基础状态预期!$C$69:$C$89,基础状态预期!$AB$69:$AB$89,$W159)+
求节点(基础状态预期!$C$69:$C$89,基础状态预期!$S$69:$S$89,$W159)*R$70*INDEX($P$57:$T$57,MATCH($O$70,$P$4:$T$4,0))*求节点(基础状态预期!$C$69:$C$89,基础状态预期!$AC$69:$AC$89,$W159)</f>
        <v>2052690.5745455152</v>
      </c>
      <c r="AA159" s="113">
        <f>求节点(基础状态预期!$C$95:$C$115,基础状态预期!$O$95:$O$115,$W159)*S$66*INDEX($P$57:$T$57,MATCH($O$66,$P$4:$T$4,0))*求节点(基础状态预期!$C$95:$C$115,基础状态预期!$Y$95:$Y$115,$W159)+
求节点(基础状态预期!$C$95:$C$115,基础状态预期!$P$95:$P$115,$W159)*S$67*INDEX($P$57:$T$57,MATCH($O$67,$P$4:$T$4,0))*求节点(基础状态预期!$C$95:$C$115,基础状态预期!$Z$95:$Z$115,$W159)+
求节点(基础状态预期!$C$95:$C$115,基础状态预期!$Q$95:$Q$115,$W159)*S$68*INDEX($P$57:$T$57,MATCH($O$68,$P$4:$T$4,0))*求节点(基础状态预期!$C$95:$C$115,基础状态预期!$AA$95:$AA$115,$W159)+
求节点(基础状态预期!$C$95:$C$115,基础状态预期!$R$95:$R$115,$W159)*S$69*INDEX($P$57:$T$57,MATCH($O$69,$P$4:$T$4,0))*求节点(基础状态预期!$C$95:$C$115,基础状态预期!$AB$95:$AB$115,$W159)+
求节点(基础状态预期!$C$95:$C$115,基础状态预期!$S$95:$S$115,$W159)*S$70*INDEX($P$57:$T$57,MATCH($O$70,$P$4:$T$4,0))*求节点(基础状态预期!$C$95:$C$115,基础状态预期!$AC$95:$AC$115,$W159)</f>
        <v>2061580.7956339507</v>
      </c>
      <c r="AB159" s="113">
        <f>求节点(基础状态预期!$C$121:$C$141,基础状态预期!$O$121:$O$141,$W159)*T$66*INDEX($P$57:$T$57,MATCH($O$66,$P$4:$T$4,0))*求节点(基础状态预期!$C$121:$C$141,基础状态预期!$Y$121:$Y$141,$W159)+
求节点(基础状态预期!$C$121:$C$141,基础状态预期!$P$121:$P$141,$W159)*T$67*INDEX($P$57:$T$57,MATCH($O$67,$P$4:$T$4,0))*求节点(基础状态预期!$C$121:$C$141,基础状态预期!$Z$121:$Z$141,$W159)+
求节点(基础状态预期!$C$121:$C$141,基础状态预期!$Q$121:$Q$141,$W159)*T$68*INDEX($P$57:$T$57,MATCH($O$68,$P$4:$T$4,0))*求节点(基础状态预期!$C$121:$C$141,基础状态预期!$AA$121:$AA$141,$W159)+
求节点(基础状态预期!$C$121:$C$141,基础状态预期!$R$121:$R$141,$W159)*T$69*INDEX($P$57:$T$57,MATCH($O$69,$P$4:$T$4,0))*求节点(基础状态预期!$C$121:$C$141,基础状态预期!$AB$121:$AB$141,$W159)+
求节点(基础状态预期!$C$121:$C$141,基础状态预期!$S$121:$S$141,$W159)*T$70*INDEX($P$57:$T$57,MATCH($O$70,$P$4:$T$4,0))*求节点(基础状态预期!$C$121:$C$141,基础状态预期!$AC$121:$AC$141,$W159)</f>
        <v>2052690.5745455152</v>
      </c>
      <c r="AE159" s="70">
        <v>154</v>
      </c>
      <c r="AF159" s="113">
        <f>盗宝贼!AI158</f>
        <v>105196155.5832507</v>
      </c>
      <c r="AG159" s="113">
        <f>盗宝贼!AJ158</f>
        <v>132891644.34416679</v>
      </c>
      <c r="AH159" s="113">
        <f>盗宝贼!AK158</f>
        <v>188914587.20181429</v>
      </c>
      <c r="AI159" s="113">
        <f>盗宝贼!AL158</f>
        <v>242658137.57118016</v>
      </c>
      <c r="AJ159" s="113">
        <f>盗宝贼!AM158</f>
        <v>271649837.08007449</v>
      </c>
      <c r="AL159" s="78">
        <f>盗宝贼!AI158/AF159</f>
        <v>1</v>
      </c>
      <c r="AM159" s="118"/>
      <c r="AO159" s="123">
        <f t="shared" si="33"/>
        <v>200.18578245016269</v>
      </c>
      <c r="AP159" s="123">
        <f t="shared" si="34"/>
        <v>253.55308399527621</v>
      </c>
      <c r="AQ159" s="123">
        <f t="shared" si="35"/>
        <v>92.032666561857113</v>
      </c>
      <c r="AR159" s="123">
        <f t="shared" si="36"/>
        <v>117.7048884453549</v>
      </c>
      <c r="AS159" s="123">
        <f t="shared" si="37"/>
        <v>132.33842472347314</v>
      </c>
    </row>
    <row r="160" spans="23:45" x14ac:dyDescent="0.15">
      <c r="W160" s="70">
        <v>155</v>
      </c>
      <c r="X160" s="113">
        <f>求节点(基础状态预期!$C$17:$C$37,基础状态预期!$O$17:$O$37,$W160)*P$66*INDEX($P$57:$T$57,MATCH($O$66,$P$4:$T$4,0))*求节点(基础状态预期!$C$17:$C$37,基础状态预期!$Y$17:$Y$37,$W160)+
求节点(基础状态预期!$C$17:$C$37,基础状态预期!$P$17:$P$37,$W160)*P$67*INDEX($P$57:$T$57,MATCH($O$67,$P$4:$T$4,0))*求节点(基础状态预期!$C$17:$C$37,基础状态预期!$Z$17:$Z$37,$W160)+
求节点(基础状态预期!$C$17:$C$37,基础状态预期!$Q$17:$Q$37,$W160)*P$68*INDEX($P$57:$T$57,MATCH($O$68,$P$4:$T$4,0))*求节点(基础状态预期!$C$17:$C$37,基础状态预期!$AA$17:$AA$37,$W160)+
求节点(基础状态预期!$C$17:$C$37,基础状态预期!$R$17:$R$37,$W160)*P$69*INDEX($P$57:$T$57,MATCH($O$69,$P$4:$T$4,0))*求节点(基础状态预期!$C$17:$C$37,基础状态预期!$AB$17:$AB$37,$W160)+
求节点(基础状态预期!$C$17:$C$37,基础状态预期!$S$17:$S$37,$W160)*P$70*INDEX($P$57:$T$57,MATCH($O$70,$P$4:$T$4,0))*求节点(基础状态预期!$C$17:$C$37,基础状态预期!$AC$17:$AC$37,$W160)</f>
        <v>525492.64136397815</v>
      </c>
      <c r="Y160" s="113">
        <f>求节点(基础状态预期!$C$43:$C$63,基础状态预期!$O$43:$O$63,$W160)*Q$66*INDEX($P$57:$T$57,MATCH($O$66,$P$4:$T$4,0))*求节点(基础状态预期!$C$43:$C$63,基础状态预期!$Y$43:$Y$63,$W160)+
求节点(基础状态预期!$C$43:$C$63,基础状态预期!$P$43:$P$63,$W160)*Q$67*INDEX($P$57:$T$57,MATCH($O$67,$P$4:$T$4,0))*求节点(基础状态预期!$C$43:$C$63,基础状态预期!$Z$43:$Z$63,$W160)+
求节点(基础状态预期!$C$43:$C$63,基础状态预期!$Q$43:$Q$63,$W160)*Q$68*INDEX($P$57:$T$57,MATCH($O$68,$P$4:$T$4,0))*求节点(基础状态预期!$C$43:$C$63,基础状态预期!$AA$43:$AA$63,$W160)+
求节点(基础状态预期!$C$43:$C$63,基础状态预期!$R$43:$R$63,$W160)*Q$69*INDEX($P$57:$T$57,MATCH($O$69,$P$4:$T$4,0))*求节点(基础状态预期!$C$43:$C$63,基础状态预期!$AB$43:$AB$63,$W160)+
求节点(基础状态预期!$C$43:$C$63,基础状态预期!$S$43:$S$63,$W160)*Q$70*INDEX($P$57:$T$57,MATCH($O$70,$P$4:$T$4,0))*求节点(基础状态预期!$C$43:$C$63,基础状态预期!$AC$43:$AC$63,$W160)</f>
        <v>524117.64136397809</v>
      </c>
      <c r="Z160" s="113">
        <f>求节点(基础状态预期!$C$69:$C$89,基础状态预期!$O$69:$O$89,$W160)*R$66*INDEX($P$57:$T$57,MATCH($O$66,$P$4:$T$4,0))*求节点(基础状态预期!$C$69:$C$89,基础状态预期!AA171:AA191,$W160)+
求节点(基础状态预期!$C$69:$C$89,基础状态预期!$P$69:$P$89,$W160)*R$67*INDEX($P$57:$T$57,MATCH($O$67,$P$4:$T$4,0))*求节点(基础状态预期!$C$69:$C$89,基础状态预期!$Z$69:$Z$89,$W160)+
求节点(基础状态预期!$C$69:$C$89,基础状态预期!$Q$69:$Q$89,$W160)*R$68*INDEX($P$57:$T$57,MATCH($O$68,$P$4:$T$4,0))*求节点(基础状态预期!$C$69:$C$89,基础状态预期!$AA$69:$AA$89,$W160)+
求节点(基础状态预期!$C$69:$C$89,基础状态预期!$R$69:$R$89,$W160)*R$69*INDEX($P$57:$T$57,MATCH($O$69,$P$4:$T$4,0))*求节点(基础状态预期!$C$69:$C$89,基础状态预期!$AB$69:$AB$89,$W160)+
求节点(基础状态预期!$C$69:$C$89,基础状态预期!$S$69:$S$89,$W160)*R$70*INDEX($P$57:$T$57,MATCH($O$70,$P$4:$T$4,0))*求节点(基础状态预期!$C$69:$C$89,基础状态预期!$AC$69:$AC$89,$W160)</f>
        <v>2052690.5745455152</v>
      </c>
      <c r="AA160" s="113">
        <f>求节点(基础状态预期!$C$95:$C$115,基础状态预期!$O$95:$O$115,$W160)*S$66*INDEX($P$57:$T$57,MATCH($O$66,$P$4:$T$4,0))*求节点(基础状态预期!$C$95:$C$115,基础状态预期!$Y$95:$Y$115,$W160)+
求节点(基础状态预期!$C$95:$C$115,基础状态预期!$P$95:$P$115,$W160)*S$67*INDEX($P$57:$T$57,MATCH($O$67,$P$4:$T$4,0))*求节点(基础状态预期!$C$95:$C$115,基础状态预期!$Z$95:$Z$115,$W160)+
求节点(基础状态预期!$C$95:$C$115,基础状态预期!$Q$95:$Q$115,$W160)*S$68*INDEX($P$57:$T$57,MATCH($O$68,$P$4:$T$4,0))*求节点(基础状态预期!$C$95:$C$115,基础状态预期!$AA$95:$AA$115,$W160)+
求节点(基础状态预期!$C$95:$C$115,基础状态预期!$R$95:$R$115,$W160)*S$69*INDEX($P$57:$T$57,MATCH($O$69,$P$4:$T$4,0))*求节点(基础状态预期!$C$95:$C$115,基础状态预期!$AB$95:$AB$115,$W160)+
求节点(基础状态预期!$C$95:$C$115,基础状态预期!$S$95:$S$115,$W160)*S$70*INDEX($P$57:$T$57,MATCH($O$70,$P$4:$T$4,0))*求节点(基础状态预期!$C$95:$C$115,基础状态预期!$AC$95:$AC$115,$W160)</f>
        <v>2061580.7956339507</v>
      </c>
      <c r="AB160" s="113">
        <f>求节点(基础状态预期!$C$121:$C$141,基础状态预期!$O$121:$O$141,$W160)*T$66*INDEX($P$57:$T$57,MATCH($O$66,$P$4:$T$4,0))*求节点(基础状态预期!$C$121:$C$141,基础状态预期!$Y$121:$Y$141,$W160)+
求节点(基础状态预期!$C$121:$C$141,基础状态预期!$P$121:$P$141,$W160)*T$67*INDEX($P$57:$T$57,MATCH($O$67,$P$4:$T$4,0))*求节点(基础状态预期!$C$121:$C$141,基础状态预期!$Z$121:$Z$141,$W160)+
求节点(基础状态预期!$C$121:$C$141,基础状态预期!$Q$121:$Q$141,$W160)*T$68*INDEX($P$57:$T$57,MATCH($O$68,$P$4:$T$4,0))*求节点(基础状态预期!$C$121:$C$141,基础状态预期!$AA$121:$AA$141,$W160)+
求节点(基础状态预期!$C$121:$C$141,基础状态预期!$R$121:$R$141,$W160)*T$69*INDEX($P$57:$T$57,MATCH($O$69,$P$4:$T$4,0))*求节点(基础状态预期!$C$121:$C$141,基础状态预期!$AB$121:$AB$141,$W160)+
求节点(基础状态预期!$C$121:$C$141,基础状态预期!$S$121:$S$141,$W160)*T$70*INDEX($P$57:$T$57,MATCH($O$70,$P$4:$T$4,0))*求节点(基础状态预期!$C$121:$C$141,基础状态预期!$AC$121:$AC$141,$W160)</f>
        <v>2052690.5745455152</v>
      </c>
      <c r="AE160" s="70">
        <v>155</v>
      </c>
      <c r="AF160" s="113">
        <f>盗宝贼!AI159</f>
        <v>118383770.47711539</v>
      </c>
      <c r="AG160" s="113">
        <f>盗宝贼!AJ159</f>
        <v>176352656.24678302</v>
      </c>
      <c r="AH160" s="113">
        <f>盗宝贼!AK159</f>
        <v>266663624.2977612</v>
      </c>
      <c r="AI160" s="113">
        <f>盗宝贼!AL159</f>
        <v>329425573.85876817</v>
      </c>
      <c r="AJ160" s="113">
        <f>盗宝贼!AM159</f>
        <v>358917266.76552474</v>
      </c>
      <c r="AL160" s="78">
        <f>盗宝贼!AI159/AF160</f>
        <v>1</v>
      </c>
      <c r="AM160" s="118"/>
      <c r="AO160" s="123">
        <f t="shared" si="33"/>
        <v>225.28149998416029</v>
      </c>
      <c r="AP160" s="123">
        <f t="shared" si="34"/>
        <v>336.47532982831495</v>
      </c>
      <c r="AQ160" s="123">
        <f t="shared" si="35"/>
        <v>129.90931395337216</v>
      </c>
      <c r="AR160" s="123">
        <f t="shared" si="36"/>
        <v>159.79270594508398</v>
      </c>
      <c r="AS160" s="123">
        <f t="shared" si="37"/>
        <v>174.85210446050417</v>
      </c>
    </row>
    <row r="161" spans="23:45" x14ac:dyDescent="0.15">
      <c r="W161" s="70">
        <v>156</v>
      </c>
      <c r="X161" s="113">
        <f>求节点(基础状态预期!$C$17:$C$37,基础状态预期!$O$17:$O$37,$W161)*P$66*INDEX($P$57:$T$57,MATCH($O$66,$P$4:$T$4,0))*求节点(基础状态预期!$C$17:$C$37,基础状态预期!$Y$17:$Y$37,$W161)+
求节点(基础状态预期!$C$17:$C$37,基础状态预期!$P$17:$P$37,$W161)*P$67*INDEX($P$57:$T$57,MATCH($O$67,$P$4:$T$4,0))*求节点(基础状态预期!$C$17:$C$37,基础状态预期!$Z$17:$Z$37,$W161)+
求节点(基础状态预期!$C$17:$C$37,基础状态预期!$Q$17:$Q$37,$W161)*P$68*INDEX($P$57:$T$57,MATCH($O$68,$P$4:$T$4,0))*求节点(基础状态预期!$C$17:$C$37,基础状态预期!$AA$17:$AA$37,$W161)+
求节点(基础状态预期!$C$17:$C$37,基础状态预期!$R$17:$R$37,$W161)*P$69*INDEX($P$57:$T$57,MATCH($O$69,$P$4:$T$4,0))*求节点(基础状态预期!$C$17:$C$37,基础状态预期!$AB$17:$AB$37,$W161)+
求节点(基础状态预期!$C$17:$C$37,基础状态预期!$S$17:$S$37,$W161)*P$70*INDEX($P$57:$T$57,MATCH($O$70,$P$4:$T$4,0))*求节点(基础状态预期!$C$17:$C$37,基础状态预期!$AC$17:$AC$37,$W161)</f>
        <v>525492.64136397815</v>
      </c>
      <c r="Y161" s="113">
        <f>求节点(基础状态预期!$C$43:$C$63,基础状态预期!$O$43:$O$63,$W161)*Q$66*INDEX($P$57:$T$57,MATCH($O$66,$P$4:$T$4,0))*求节点(基础状态预期!$C$43:$C$63,基础状态预期!$Y$43:$Y$63,$W161)+
求节点(基础状态预期!$C$43:$C$63,基础状态预期!$P$43:$P$63,$W161)*Q$67*INDEX($P$57:$T$57,MATCH($O$67,$P$4:$T$4,0))*求节点(基础状态预期!$C$43:$C$63,基础状态预期!$Z$43:$Z$63,$W161)+
求节点(基础状态预期!$C$43:$C$63,基础状态预期!$Q$43:$Q$63,$W161)*Q$68*INDEX($P$57:$T$57,MATCH($O$68,$P$4:$T$4,0))*求节点(基础状态预期!$C$43:$C$63,基础状态预期!$AA$43:$AA$63,$W161)+
求节点(基础状态预期!$C$43:$C$63,基础状态预期!$R$43:$R$63,$W161)*Q$69*INDEX($P$57:$T$57,MATCH($O$69,$P$4:$T$4,0))*求节点(基础状态预期!$C$43:$C$63,基础状态预期!$AB$43:$AB$63,$W161)+
求节点(基础状态预期!$C$43:$C$63,基础状态预期!$S$43:$S$63,$W161)*Q$70*INDEX($P$57:$T$57,MATCH($O$70,$P$4:$T$4,0))*求节点(基础状态预期!$C$43:$C$63,基础状态预期!$AC$43:$AC$63,$W161)</f>
        <v>524117.64136397809</v>
      </c>
      <c r="Z161" s="113">
        <f>求节点(基础状态预期!$C$69:$C$89,基础状态预期!$O$69:$O$89,$W161)*R$66*INDEX($P$57:$T$57,MATCH($O$66,$P$4:$T$4,0))*求节点(基础状态预期!$C$69:$C$89,基础状态预期!AA172:AA192,$W161)+
求节点(基础状态预期!$C$69:$C$89,基础状态预期!$P$69:$P$89,$W161)*R$67*INDEX($P$57:$T$57,MATCH($O$67,$P$4:$T$4,0))*求节点(基础状态预期!$C$69:$C$89,基础状态预期!$Z$69:$Z$89,$W161)+
求节点(基础状态预期!$C$69:$C$89,基础状态预期!$Q$69:$Q$89,$W161)*R$68*INDEX($P$57:$T$57,MATCH($O$68,$P$4:$T$4,0))*求节点(基础状态预期!$C$69:$C$89,基础状态预期!$AA$69:$AA$89,$W161)+
求节点(基础状态预期!$C$69:$C$89,基础状态预期!$R$69:$R$89,$W161)*R$69*INDEX($P$57:$T$57,MATCH($O$69,$P$4:$T$4,0))*求节点(基础状态预期!$C$69:$C$89,基础状态预期!$AB$69:$AB$89,$W161)+
求节点(基础状态预期!$C$69:$C$89,基础状态预期!$S$69:$S$89,$W161)*R$70*INDEX($P$57:$T$57,MATCH($O$70,$P$4:$T$4,0))*求节点(基础状态预期!$C$69:$C$89,基础状态预期!$AC$69:$AC$89,$W161)</f>
        <v>2052690.5745455152</v>
      </c>
      <c r="AA161" s="113">
        <f>求节点(基础状态预期!$C$95:$C$115,基础状态预期!$O$95:$O$115,$W161)*S$66*INDEX($P$57:$T$57,MATCH($O$66,$P$4:$T$4,0))*求节点(基础状态预期!$C$95:$C$115,基础状态预期!$Y$95:$Y$115,$W161)+
求节点(基础状态预期!$C$95:$C$115,基础状态预期!$P$95:$P$115,$W161)*S$67*INDEX($P$57:$T$57,MATCH($O$67,$P$4:$T$4,0))*求节点(基础状态预期!$C$95:$C$115,基础状态预期!$Z$95:$Z$115,$W161)+
求节点(基础状态预期!$C$95:$C$115,基础状态预期!$Q$95:$Q$115,$W161)*S$68*INDEX($P$57:$T$57,MATCH($O$68,$P$4:$T$4,0))*求节点(基础状态预期!$C$95:$C$115,基础状态预期!$AA$95:$AA$115,$W161)+
求节点(基础状态预期!$C$95:$C$115,基础状态预期!$R$95:$R$115,$W161)*S$69*INDEX($P$57:$T$57,MATCH($O$69,$P$4:$T$4,0))*求节点(基础状态预期!$C$95:$C$115,基础状态预期!$AB$95:$AB$115,$W161)+
求节点(基础状态预期!$C$95:$C$115,基础状态预期!$S$95:$S$115,$W161)*S$70*INDEX($P$57:$T$57,MATCH($O$70,$P$4:$T$4,0))*求节点(基础状态预期!$C$95:$C$115,基础状态预期!$AC$95:$AC$115,$W161)</f>
        <v>2061580.7956339507</v>
      </c>
      <c r="AB161" s="113">
        <f>求节点(基础状态预期!$C$121:$C$141,基础状态预期!$O$121:$O$141,$W161)*T$66*INDEX($P$57:$T$57,MATCH($O$66,$P$4:$T$4,0))*求节点(基础状态预期!$C$121:$C$141,基础状态预期!$Y$121:$Y$141,$W161)+
求节点(基础状态预期!$C$121:$C$141,基础状态预期!$P$121:$P$141,$W161)*T$67*INDEX($P$57:$T$57,MATCH($O$67,$P$4:$T$4,0))*求节点(基础状态预期!$C$121:$C$141,基础状态预期!$Z$121:$Z$141,$W161)+
求节点(基础状态预期!$C$121:$C$141,基础状态预期!$Q$121:$Q$141,$W161)*T$68*INDEX($P$57:$T$57,MATCH($O$68,$P$4:$T$4,0))*求节点(基础状态预期!$C$121:$C$141,基础状态预期!$AA$121:$AA$141,$W161)+
求节点(基础状态预期!$C$121:$C$141,基础状态预期!$R$121:$R$141,$W161)*T$69*INDEX($P$57:$T$57,MATCH($O$69,$P$4:$T$4,0))*求节点(基础状态预期!$C$121:$C$141,基础状态预期!$AB$121:$AB$141,$W161)+
求节点(基础状态预期!$C$121:$C$141,基础状态预期!$S$121:$S$141,$W161)*T$70*INDEX($P$57:$T$57,MATCH($O$70,$P$4:$T$4,0))*求节点(基础状态预期!$C$121:$C$141,基础状态预期!$AC$121:$AC$141,$W161)</f>
        <v>2052690.5745455152</v>
      </c>
      <c r="AE161" s="70">
        <v>156</v>
      </c>
      <c r="AF161" s="113">
        <f>盗宝贼!AI160</f>
        <v>133224612.93837713</v>
      </c>
      <c r="AG161" s="113">
        <f>盗宝贼!AJ160</f>
        <v>212123347.81982127</v>
      </c>
      <c r="AH161" s="113">
        <f>盗宝贼!AK160</f>
        <v>316768417.168697</v>
      </c>
      <c r="AI161" s="113">
        <f>盗宝贼!AL160</f>
        <v>386137592.16323388</v>
      </c>
      <c r="AJ161" s="113">
        <f>盗宝贼!AM160</f>
        <v>415728976.81608897</v>
      </c>
      <c r="AL161" s="78">
        <f>盗宝贼!AI160/AF161</f>
        <v>1</v>
      </c>
      <c r="AM161" s="118"/>
      <c r="AO161" s="123">
        <f t="shared" si="33"/>
        <v>253.52327026421708</v>
      </c>
      <c r="AP161" s="123">
        <f t="shared" si="34"/>
        <v>404.72468598421085</v>
      </c>
      <c r="AQ161" s="123">
        <f t="shared" si="35"/>
        <v>154.31863969016979</v>
      </c>
      <c r="AR161" s="123">
        <f t="shared" si="36"/>
        <v>187.30170216030453</v>
      </c>
      <c r="AS161" s="123">
        <f t="shared" si="37"/>
        <v>202.52880876024642</v>
      </c>
    </row>
    <row r="162" spans="23:45" x14ac:dyDescent="0.15">
      <c r="W162" s="70">
        <v>157</v>
      </c>
      <c r="X162" s="113">
        <f>求节点(基础状态预期!$C$17:$C$37,基础状态预期!$O$17:$O$37,$W162)*P$66*INDEX($P$57:$T$57,MATCH($O$66,$P$4:$T$4,0))*求节点(基础状态预期!$C$17:$C$37,基础状态预期!$Y$17:$Y$37,$W162)+
求节点(基础状态预期!$C$17:$C$37,基础状态预期!$P$17:$P$37,$W162)*P$67*INDEX($P$57:$T$57,MATCH($O$67,$P$4:$T$4,0))*求节点(基础状态预期!$C$17:$C$37,基础状态预期!$Z$17:$Z$37,$W162)+
求节点(基础状态预期!$C$17:$C$37,基础状态预期!$Q$17:$Q$37,$W162)*P$68*INDEX($P$57:$T$57,MATCH($O$68,$P$4:$T$4,0))*求节点(基础状态预期!$C$17:$C$37,基础状态预期!$AA$17:$AA$37,$W162)+
求节点(基础状态预期!$C$17:$C$37,基础状态预期!$R$17:$R$37,$W162)*P$69*INDEX($P$57:$T$57,MATCH($O$69,$P$4:$T$4,0))*求节点(基础状态预期!$C$17:$C$37,基础状态预期!$AB$17:$AB$37,$W162)+
求节点(基础状态预期!$C$17:$C$37,基础状态预期!$S$17:$S$37,$W162)*P$70*INDEX($P$57:$T$57,MATCH($O$70,$P$4:$T$4,0))*求节点(基础状态预期!$C$17:$C$37,基础状态预期!$AC$17:$AC$37,$W162)</f>
        <v>525492.64136397815</v>
      </c>
      <c r="Y162" s="113">
        <f>求节点(基础状态预期!$C$43:$C$63,基础状态预期!$O$43:$O$63,$W162)*Q$66*INDEX($P$57:$T$57,MATCH($O$66,$P$4:$T$4,0))*求节点(基础状态预期!$C$43:$C$63,基础状态预期!$Y$43:$Y$63,$W162)+
求节点(基础状态预期!$C$43:$C$63,基础状态预期!$P$43:$P$63,$W162)*Q$67*INDEX($P$57:$T$57,MATCH($O$67,$P$4:$T$4,0))*求节点(基础状态预期!$C$43:$C$63,基础状态预期!$Z$43:$Z$63,$W162)+
求节点(基础状态预期!$C$43:$C$63,基础状态预期!$Q$43:$Q$63,$W162)*Q$68*INDEX($P$57:$T$57,MATCH($O$68,$P$4:$T$4,0))*求节点(基础状态预期!$C$43:$C$63,基础状态预期!$AA$43:$AA$63,$W162)+
求节点(基础状态预期!$C$43:$C$63,基础状态预期!$R$43:$R$63,$W162)*Q$69*INDEX($P$57:$T$57,MATCH($O$69,$P$4:$T$4,0))*求节点(基础状态预期!$C$43:$C$63,基础状态预期!$AB$43:$AB$63,$W162)+
求节点(基础状态预期!$C$43:$C$63,基础状态预期!$S$43:$S$63,$W162)*Q$70*INDEX($P$57:$T$57,MATCH($O$70,$P$4:$T$4,0))*求节点(基础状态预期!$C$43:$C$63,基础状态预期!$AC$43:$AC$63,$W162)</f>
        <v>524117.64136397809</v>
      </c>
      <c r="Z162" s="113">
        <f>求节点(基础状态预期!$C$69:$C$89,基础状态预期!$O$69:$O$89,$W162)*R$66*INDEX($P$57:$T$57,MATCH($O$66,$P$4:$T$4,0))*求节点(基础状态预期!$C$69:$C$89,基础状态预期!AA173:AA193,$W162)+
求节点(基础状态预期!$C$69:$C$89,基础状态预期!$P$69:$P$89,$W162)*R$67*INDEX($P$57:$T$57,MATCH($O$67,$P$4:$T$4,0))*求节点(基础状态预期!$C$69:$C$89,基础状态预期!$Z$69:$Z$89,$W162)+
求节点(基础状态预期!$C$69:$C$89,基础状态预期!$Q$69:$Q$89,$W162)*R$68*INDEX($P$57:$T$57,MATCH($O$68,$P$4:$T$4,0))*求节点(基础状态预期!$C$69:$C$89,基础状态预期!$AA$69:$AA$89,$W162)+
求节点(基础状态预期!$C$69:$C$89,基础状态预期!$R$69:$R$89,$W162)*R$69*INDEX($P$57:$T$57,MATCH($O$69,$P$4:$T$4,0))*求节点(基础状态预期!$C$69:$C$89,基础状态预期!$AB$69:$AB$89,$W162)+
求节点(基础状态预期!$C$69:$C$89,基础状态预期!$S$69:$S$89,$W162)*R$70*INDEX($P$57:$T$57,MATCH($O$70,$P$4:$T$4,0))*求节点(基础状态预期!$C$69:$C$89,基础状态预期!$AC$69:$AC$89,$W162)</f>
        <v>2052690.5745455152</v>
      </c>
      <c r="AA162" s="113">
        <f>求节点(基础状态预期!$C$95:$C$115,基础状态预期!$O$95:$O$115,$W162)*S$66*INDEX($P$57:$T$57,MATCH($O$66,$P$4:$T$4,0))*求节点(基础状态预期!$C$95:$C$115,基础状态预期!$Y$95:$Y$115,$W162)+
求节点(基础状态预期!$C$95:$C$115,基础状态预期!$P$95:$P$115,$W162)*S$67*INDEX($P$57:$T$57,MATCH($O$67,$P$4:$T$4,0))*求节点(基础状态预期!$C$95:$C$115,基础状态预期!$Z$95:$Z$115,$W162)+
求节点(基础状态预期!$C$95:$C$115,基础状态预期!$Q$95:$Q$115,$W162)*S$68*INDEX($P$57:$T$57,MATCH($O$68,$P$4:$T$4,0))*求节点(基础状态预期!$C$95:$C$115,基础状态预期!$AA$95:$AA$115,$W162)+
求节点(基础状态预期!$C$95:$C$115,基础状态预期!$R$95:$R$115,$W162)*S$69*INDEX($P$57:$T$57,MATCH($O$69,$P$4:$T$4,0))*求节点(基础状态预期!$C$95:$C$115,基础状态预期!$AB$95:$AB$115,$W162)+
求节点(基础状态预期!$C$95:$C$115,基础状态预期!$S$95:$S$115,$W162)*S$70*INDEX($P$57:$T$57,MATCH($O$70,$P$4:$T$4,0))*求节点(基础状态预期!$C$95:$C$115,基础状态预期!$AC$95:$AC$115,$W162)</f>
        <v>2061580.7956339507</v>
      </c>
      <c r="AB162" s="113">
        <f>求节点(基础状态预期!$C$121:$C$141,基础状态预期!$O$121:$O$141,$W162)*T$66*INDEX($P$57:$T$57,MATCH($O$66,$P$4:$T$4,0))*求节点(基础状态预期!$C$121:$C$141,基础状态预期!$Y$121:$Y$141,$W162)+
求节点(基础状态预期!$C$121:$C$141,基础状态预期!$P$121:$P$141,$W162)*T$67*INDEX($P$57:$T$57,MATCH($O$67,$P$4:$T$4,0))*求节点(基础状态预期!$C$121:$C$141,基础状态预期!$Z$121:$Z$141,$W162)+
求节点(基础状态预期!$C$121:$C$141,基础状态预期!$Q$121:$Q$141,$W162)*T$68*INDEX($P$57:$T$57,MATCH($O$68,$P$4:$T$4,0))*求节点(基础状态预期!$C$121:$C$141,基础状态预期!$AA$121:$AA$141,$W162)+
求节点(基础状态预期!$C$121:$C$141,基础状态预期!$R$121:$R$141,$W162)*T$69*INDEX($P$57:$T$57,MATCH($O$69,$P$4:$T$4,0))*求节点(基础状态预期!$C$121:$C$141,基础状态预期!$AB$121:$AB$141,$W162)+
求节点(基础状态预期!$C$121:$C$141,基础状态预期!$S$121:$S$141,$W162)*T$70*INDEX($P$57:$T$57,MATCH($O$70,$P$4:$T$4,0))*求节点(基础状态预期!$C$121:$C$141,基础状态预期!$AC$121:$AC$141,$W162)</f>
        <v>2052690.5745455152</v>
      </c>
      <c r="AE162" s="70">
        <v>157</v>
      </c>
      <c r="AF162" s="113">
        <f>盗宝贼!AI161</f>
        <v>149925935.10562232</v>
      </c>
      <c r="AG162" s="113">
        <f>盗宝贼!AJ161</f>
        <v>236449186.62863496</v>
      </c>
      <c r="AH162" s="113">
        <f>盗宝贼!AK161</f>
        <v>350138385.00329506</v>
      </c>
      <c r="AI162" s="113">
        <f>盗宝贼!AL161</f>
        <v>423907995.31668001</v>
      </c>
      <c r="AJ162" s="113">
        <f>盗宝贼!AM161</f>
        <v>451936308.41769904</v>
      </c>
      <c r="AL162" s="78">
        <f>盗宝贼!AI161/AF162</f>
        <v>1</v>
      </c>
      <c r="AM162" s="118"/>
      <c r="AO162" s="123">
        <f t="shared" si="33"/>
        <v>285.30548918148855</v>
      </c>
      <c r="AP162" s="123">
        <f t="shared" si="34"/>
        <v>451.13762248737351</v>
      </c>
      <c r="AQ162" s="123">
        <f t="shared" si="35"/>
        <v>170.57533626607068</v>
      </c>
      <c r="AR162" s="123">
        <f t="shared" si="36"/>
        <v>205.62279014940344</v>
      </c>
      <c r="AS162" s="123">
        <f t="shared" si="37"/>
        <v>220.16777103278801</v>
      </c>
    </row>
    <row r="163" spans="23:45" x14ac:dyDescent="0.15">
      <c r="W163" s="70">
        <v>158</v>
      </c>
      <c r="X163" s="113">
        <f>求节点(基础状态预期!$C$17:$C$37,基础状态预期!$O$17:$O$37,$W163)*P$66*INDEX($P$57:$T$57,MATCH($O$66,$P$4:$T$4,0))*求节点(基础状态预期!$C$17:$C$37,基础状态预期!$Y$17:$Y$37,$W163)+
求节点(基础状态预期!$C$17:$C$37,基础状态预期!$P$17:$P$37,$W163)*P$67*INDEX($P$57:$T$57,MATCH($O$67,$P$4:$T$4,0))*求节点(基础状态预期!$C$17:$C$37,基础状态预期!$Z$17:$Z$37,$W163)+
求节点(基础状态预期!$C$17:$C$37,基础状态预期!$Q$17:$Q$37,$W163)*P$68*INDEX($P$57:$T$57,MATCH($O$68,$P$4:$T$4,0))*求节点(基础状态预期!$C$17:$C$37,基础状态预期!$AA$17:$AA$37,$W163)+
求节点(基础状态预期!$C$17:$C$37,基础状态预期!$R$17:$R$37,$W163)*P$69*INDEX($P$57:$T$57,MATCH($O$69,$P$4:$T$4,0))*求节点(基础状态预期!$C$17:$C$37,基础状态预期!$AB$17:$AB$37,$W163)+
求节点(基础状态预期!$C$17:$C$37,基础状态预期!$S$17:$S$37,$W163)*P$70*INDEX($P$57:$T$57,MATCH($O$70,$P$4:$T$4,0))*求节点(基础状态预期!$C$17:$C$37,基础状态预期!$AC$17:$AC$37,$W163)</f>
        <v>525492.64136397815</v>
      </c>
      <c r="Y163" s="113">
        <f>求节点(基础状态预期!$C$43:$C$63,基础状态预期!$O$43:$O$63,$W163)*Q$66*INDEX($P$57:$T$57,MATCH($O$66,$P$4:$T$4,0))*求节点(基础状态预期!$C$43:$C$63,基础状态预期!$Y$43:$Y$63,$W163)+
求节点(基础状态预期!$C$43:$C$63,基础状态预期!$P$43:$P$63,$W163)*Q$67*INDEX($P$57:$T$57,MATCH($O$67,$P$4:$T$4,0))*求节点(基础状态预期!$C$43:$C$63,基础状态预期!$Z$43:$Z$63,$W163)+
求节点(基础状态预期!$C$43:$C$63,基础状态预期!$Q$43:$Q$63,$W163)*Q$68*INDEX($P$57:$T$57,MATCH($O$68,$P$4:$T$4,0))*求节点(基础状态预期!$C$43:$C$63,基础状态预期!$AA$43:$AA$63,$W163)+
求节点(基础状态预期!$C$43:$C$63,基础状态预期!$R$43:$R$63,$W163)*Q$69*INDEX($P$57:$T$57,MATCH($O$69,$P$4:$T$4,0))*求节点(基础状态预期!$C$43:$C$63,基础状态预期!$AB$43:$AB$63,$W163)+
求节点(基础状态预期!$C$43:$C$63,基础状态预期!$S$43:$S$63,$W163)*Q$70*INDEX($P$57:$T$57,MATCH($O$70,$P$4:$T$4,0))*求节点(基础状态预期!$C$43:$C$63,基础状态预期!$AC$43:$AC$63,$W163)</f>
        <v>524117.64136397809</v>
      </c>
      <c r="Z163" s="113">
        <f>求节点(基础状态预期!$C$69:$C$89,基础状态预期!$O$69:$O$89,$W163)*R$66*INDEX($P$57:$T$57,MATCH($O$66,$P$4:$T$4,0))*求节点(基础状态预期!$C$69:$C$89,基础状态预期!AA174:AA194,$W163)+
求节点(基础状态预期!$C$69:$C$89,基础状态预期!$P$69:$P$89,$W163)*R$67*INDEX($P$57:$T$57,MATCH($O$67,$P$4:$T$4,0))*求节点(基础状态预期!$C$69:$C$89,基础状态预期!$Z$69:$Z$89,$W163)+
求节点(基础状态预期!$C$69:$C$89,基础状态预期!$Q$69:$Q$89,$W163)*R$68*INDEX($P$57:$T$57,MATCH($O$68,$P$4:$T$4,0))*求节点(基础状态预期!$C$69:$C$89,基础状态预期!$AA$69:$AA$89,$W163)+
求节点(基础状态预期!$C$69:$C$89,基础状态预期!$R$69:$R$89,$W163)*R$69*INDEX($P$57:$T$57,MATCH($O$69,$P$4:$T$4,0))*求节点(基础状态预期!$C$69:$C$89,基础状态预期!$AB$69:$AB$89,$W163)+
求节点(基础状态预期!$C$69:$C$89,基础状态预期!$S$69:$S$89,$W163)*R$70*INDEX($P$57:$T$57,MATCH($O$70,$P$4:$T$4,0))*求节点(基础状态预期!$C$69:$C$89,基础状态预期!$AC$69:$AC$89,$W163)</f>
        <v>2052690.5745455152</v>
      </c>
      <c r="AA163" s="113">
        <f>求节点(基础状态预期!$C$95:$C$115,基础状态预期!$O$95:$O$115,$W163)*S$66*INDEX($P$57:$T$57,MATCH($O$66,$P$4:$T$4,0))*求节点(基础状态预期!$C$95:$C$115,基础状态预期!$Y$95:$Y$115,$W163)+
求节点(基础状态预期!$C$95:$C$115,基础状态预期!$P$95:$P$115,$W163)*S$67*INDEX($P$57:$T$57,MATCH($O$67,$P$4:$T$4,0))*求节点(基础状态预期!$C$95:$C$115,基础状态预期!$Z$95:$Z$115,$W163)+
求节点(基础状态预期!$C$95:$C$115,基础状态预期!$Q$95:$Q$115,$W163)*S$68*INDEX($P$57:$T$57,MATCH($O$68,$P$4:$T$4,0))*求节点(基础状态预期!$C$95:$C$115,基础状态预期!$AA$95:$AA$115,$W163)+
求节点(基础状态预期!$C$95:$C$115,基础状态预期!$R$95:$R$115,$W163)*S$69*INDEX($P$57:$T$57,MATCH($O$69,$P$4:$T$4,0))*求节点(基础状态预期!$C$95:$C$115,基础状态预期!$AB$95:$AB$115,$W163)+
求节点(基础状态预期!$C$95:$C$115,基础状态预期!$S$95:$S$115,$W163)*S$70*INDEX($P$57:$T$57,MATCH($O$70,$P$4:$T$4,0))*求节点(基础状态预期!$C$95:$C$115,基础状态预期!$AC$95:$AC$115,$W163)</f>
        <v>2061580.7956339507</v>
      </c>
      <c r="AB163" s="113">
        <f>求节点(基础状态预期!$C$121:$C$141,基础状态预期!$O$121:$O$141,$W163)*T$66*INDEX($P$57:$T$57,MATCH($O$66,$P$4:$T$4,0))*求节点(基础状态预期!$C$121:$C$141,基础状态预期!$Y$121:$Y$141,$W163)+
求节点(基础状态预期!$C$121:$C$141,基础状态预期!$P$121:$P$141,$W163)*T$67*INDEX($P$57:$T$57,MATCH($O$67,$P$4:$T$4,0))*求节点(基础状态预期!$C$121:$C$141,基础状态预期!$Z$121:$Z$141,$W163)+
求节点(基础状态预期!$C$121:$C$141,基础状态预期!$Q$121:$Q$141,$W163)*T$68*INDEX($P$57:$T$57,MATCH($O$68,$P$4:$T$4,0))*求节点(基础状态预期!$C$121:$C$141,基础状态预期!$AA$121:$AA$141,$W163)+
求节点(基础状态预期!$C$121:$C$141,基础状态预期!$R$121:$R$141,$W163)*T$69*INDEX($P$57:$T$57,MATCH($O$69,$P$4:$T$4,0))*求节点(基础状态预期!$C$121:$C$141,基础状态预期!$AB$121:$AB$141,$W163)+
求节点(基础状态预期!$C$121:$C$141,基础状态预期!$S$121:$S$141,$W163)*T$70*INDEX($P$57:$T$57,MATCH($O$70,$P$4:$T$4,0))*求节点(基础状态预期!$C$121:$C$141,基础状态预期!$AC$121:$AC$141,$W163)</f>
        <v>2052690.5745455152</v>
      </c>
      <c r="AE163" s="70">
        <v>158</v>
      </c>
      <c r="AF163" s="113">
        <f>盗宝贼!AI162</f>
        <v>168720970.68815154</v>
      </c>
      <c r="AG163" s="113">
        <f>盗宝贼!AJ162</f>
        <v>263824564.54231879</v>
      </c>
      <c r="AH163" s="113">
        <f>盗宝贼!AK162</f>
        <v>387691683.27264845</v>
      </c>
      <c r="AI163" s="113">
        <f>盗宝贼!AL162</f>
        <v>466413376.87429982</v>
      </c>
      <c r="AJ163" s="113">
        <f>盗宝贼!AM162</f>
        <v>494441689.97531885</v>
      </c>
      <c r="AL163" s="78">
        <f>盗宝贼!AI162/AF163</f>
        <v>1</v>
      </c>
      <c r="AM163" s="118"/>
      <c r="AO163" s="123">
        <f t="shared" si="33"/>
        <v>321.0719949383427</v>
      </c>
      <c r="AP163" s="123">
        <f t="shared" si="34"/>
        <v>503.36898383297023</v>
      </c>
      <c r="AQ163" s="123">
        <f t="shared" si="35"/>
        <v>188.87000704355404</v>
      </c>
      <c r="AR163" s="123">
        <f t="shared" si="36"/>
        <v>226.24064885648801</v>
      </c>
      <c r="AS163" s="123">
        <f t="shared" si="37"/>
        <v>240.87492586884062</v>
      </c>
    </row>
    <row r="164" spans="23:45" x14ac:dyDescent="0.15">
      <c r="W164" s="70">
        <v>159</v>
      </c>
      <c r="X164" s="113">
        <f>求节点(基础状态预期!$C$17:$C$37,基础状态预期!$O$17:$O$37,$W164)*P$66*INDEX($P$57:$T$57,MATCH($O$66,$P$4:$T$4,0))*求节点(基础状态预期!$C$17:$C$37,基础状态预期!$Y$17:$Y$37,$W164)+
求节点(基础状态预期!$C$17:$C$37,基础状态预期!$P$17:$P$37,$W164)*P$67*INDEX($P$57:$T$57,MATCH($O$67,$P$4:$T$4,0))*求节点(基础状态预期!$C$17:$C$37,基础状态预期!$Z$17:$Z$37,$W164)+
求节点(基础状态预期!$C$17:$C$37,基础状态预期!$Q$17:$Q$37,$W164)*P$68*INDEX($P$57:$T$57,MATCH($O$68,$P$4:$T$4,0))*求节点(基础状态预期!$C$17:$C$37,基础状态预期!$AA$17:$AA$37,$W164)+
求节点(基础状态预期!$C$17:$C$37,基础状态预期!$R$17:$R$37,$W164)*P$69*INDEX($P$57:$T$57,MATCH($O$69,$P$4:$T$4,0))*求节点(基础状态预期!$C$17:$C$37,基础状态预期!$AB$17:$AB$37,$W164)+
求节点(基础状态预期!$C$17:$C$37,基础状态预期!$S$17:$S$37,$W164)*P$70*INDEX($P$57:$T$57,MATCH($O$70,$P$4:$T$4,0))*求节点(基础状态预期!$C$17:$C$37,基础状态预期!$AC$17:$AC$37,$W164)</f>
        <v>525492.64136397815</v>
      </c>
      <c r="Y164" s="113">
        <f>求节点(基础状态预期!$C$43:$C$63,基础状态预期!$O$43:$O$63,$W164)*Q$66*INDEX($P$57:$T$57,MATCH($O$66,$P$4:$T$4,0))*求节点(基础状态预期!$C$43:$C$63,基础状态预期!$Y$43:$Y$63,$W164)+
求节点(基础状态预期!$C$43:$C$63,基础状态预期!$P$43:$P$63,$W164)*Q$67*INDEX($P$57:$T$57,MATCH($O$67,$P$4:$T$4,0))*求节点(基础状态预期!$C$43:$C$63,基础状态预期!$Z$43:$Z$63,$W164)+
求节点(基础状态预期!$C$43:$C$63,基础状态预期!$Q$43:$Q$63,$W164)*Q$68*INDEX($P$57:$T$57,MATCH($O$68,$P$4:$T$4,0))*求节点(基础状态预期!$C$43:$C$63,基础状态预期!$AA$43:$AA$63,$W164)+
求节点(基础状态预期!$C$43:$C$63,基础状态预期!$R$43:$R$63,$W164)*Q$69*INDEX($P$57:$T$57,MATCH($O$69,$P$4:$T$4,0))*求节点(基础状态预期!$C$43:$C$63,基础状态预期!$AB$43:$AB$63,$W164)+
求节点(基础状态预期!$C$43:$C$63,基础状态预期!$S$43:$S$63,$W164)*Q$70*INDEX($P$57:$T$57,MATCH($O$70,$P$4:$T$4,0))*求节点(基础状态预期!$C$43:$C$63,基础状态预期!$AC$43:$AC$63,$W164)</f>
        <v>524117.64136397809</v>
      </c>
      <c r="Z164" s="113">
        <f>求节点(基础状态预期!$C$69:$C$89,基础状态预期!$O$69:$O$89,$W164)*R$66*INDEX($P$57:$T$57,MATCH($O$66,$P$4:$T$4,0))*求节点(基础状态预期!$C$69:$C$89,基础状态预期!AA175:AA195,$W164)+
求节点(基础状态预期!$C$69:$C$89,基础状态预期!$P$69:$P$89,$W164)*R$67*INDEX($P$57:$T$57,MATCH($O$67,$P$4:$T$4,0))*求节点(基础状态预期!$C$69:$C$89,基础状态预期!$Z$69:$Z$89,$W164)+
求节点(基础状态预期!$C$69:$C$89,基础状态预期!$Q$69:$Q$89,$W164)*R$68*INDEX($P$57:$T$57,MATCH($O$68,$P$4:$T$4,0))*求节点(基础状态预期!$C$69:$C$89,基础状态预期!$AA$69:$AA$89,$W164)+
求节点(基础状态预期!$C$69:$C$89,基础状态预期!$R$69:$R$89,$W164)*R$69*INDEX($P$57:$T$57,MATCH($O$69,$P$4:$T$4,0))*求节点(基础状态预期!$C$69:$C$89,基础状态预期!$AB$69:$AB$89,$W164)+
求节点(基础状态预期!$C$69:$C$89,基础状态预期!$S$69:$S$89,$W164)*R$70*INDEX($P$57:$T$57,MATCH($O$70,$P$4:$T$4,0))*求节点(基础状态预期!$C$69:$C$89,基础状态预期!$AC$69:$AC$89,$W164)</f>
        <v>2052690.5745455152</v>
      </c>
      <c r="AA164" s="113">
        <f>求节点(基础状态预期!$C$95:$C$115,基础状态预期!$O$95:$O$115,$W164)*S$66*INDEX($P$57:$T$57,MATCH($O$66,$P$4:$T$4,0))*求节点(基础状态预期!$C$95:$C$115,基础状态预期!$Y$95:$Y$115,$W164)+
求节点(基础状态预期!$C$95:$C$115,基础状态预期!$P$95:$P$115,$W164)*S$67*INDEX($P$57:$T$57,MATCH($O$67,$P$4:$T$4,0))*求节点(基础状态预期!$C$95:$C$115,基础状态预期!$Z$95:$Z$115,$W164)+
求节点(基础状态预期!$C$95:$C$115,基础状态预期!$Q$95:$Q$115,$W164)*S$68*INDEX($P$57:$T$57,MATCH($O$68,$P$4:$T$4,0))*求节点(基础状态预期!$C$95:$C$115,基础状态预期!$AA$95:$AA$115,$W164)+
求节点(基础状态预期!$C$95:$C$115,基础状态预期!$R$95:$R$115,$W164)*S$69*INDEX($P$57:$T$57,MATCH($O$69,$P$4:$T$4,0))*求节点(基础状态预期!$C$95:$C$115,基础状态预期!$AB$95:$AB$115,$W164)+
求节点(基础状态预期!$C$95:$C$115,基础状态预期!$S$95:$S$115,$W164)*S$70*INDEX($P$57:$T$57,MATCH($O$70,$P$4:$T$4,0))*求节点(基础状态预期!$C$95:$C$115,基础状态预期!$AC$95:$AC$115,$W164)</f>
        <v>2061580.7956339507</v>
      </c>
      <c r="AB164" s="113">
        <f>求节点(基础状态预期!$C$121:$C$141,基础状态预期!$O$121:$O$141,$W164)*T$66*INDEX($P$57:$T$57,MATCH($O$66,$P$4:$T$4,0))*求节点(基础状态预期!$C$121:$C$141,基础状态预期!$Y$121:$Y$141,$W164)+
求节点(基础状态预期!$C$121:$C$141,基础状态预期!$P$121:$P$141,$W164)*T$67*INDEX($P$57:$T$57,MATCH($O$67,$P$4:$T$4,0))*求节点(基础状态预期!$C$121:$C$141,基础状态预期!$Z$121:$Z$141,$W164)+
求节点(基础状态预期!$C$121:$C$141,基础状态预期!$Q$121:$Q$141,$W164)*T$68*INDEX($P$57:$T$57,MATCH($O$68,$P$4:$T$4,0))*求节点(基础状态预期!$C$121:$C$141,基础状态预期!$AA$121:$AA$141,$W164)+
求节点(基础状态预期!$C$121:$C$141,基础状态预期!$R$121:$R$141,$W164)*T$69*INDEX($P$57:$T$57,MATCH($O$69,$P$4:$T$4,0))*求节点(基础状态预期!$C$121:$C$141,基础状态预期!$AB$121:$AB$141,$W164)+
求节点(基础状态预期!$C$121:$C$141,基础状态预期!$S$121:$S$141,$W164)*T$70*INDEX($P$57:$T$57,MATCH($O$70,$P$4:$T$4,0))*求节点(基础状态预期!$C$121:$C$141,基础状态预期!$AC$121:$AC$141,$W164)</f>
        <v>2052690.5745455152</v>
      </c>
      <c r="AE164" s="70">
        <v>159</v>
      </c>
      <c r="AF164" s="113">
        <f>盗宝贼!AI163</f>
        <v>189872192.07117072</v>
      </c>
      <c r="AG164" s="113">
        <f>盗宝贼!AJ163</f>
        <v>294631778.2958467</v>
      </c>
      <c r="AH164" s="113">
        <f>盗宝贼!AK163</f>
        <v>429952743.21424174</v>
      </c>
      <c r="AI164" s="113">
        <f>盗宝贼!AL163</f>
        <v>514247323.84115815</v>
      </c>
      <c r="AJ164" s="113">
        <f>盗宝贼!AM163</f>
        <v>542275636.94217718</v>
      </c>
      <c r="AL164" s="78">
        <f>盗宝贼!AI163/AF164</f>
        <v>1</v>
      </c>
      <c r="AM164" s="118"/>
      <c r="AO164" s="123">
        <f t="shared" si="33"/>
        <v>361.32226624208295</v>
      </c>
      <c r="AP164" s="123">
        <f t="shared" si="34"/>
        <v>562.14818018544247</v>
      </c>
      <c r="AQ164" s="123">
        <f t="shared" si="35"/>
        <v>209.45813682095621</v>
      </c>
      <c r="AR164" s="123">
        <f t="shared" si="36"/>
        <v>249.44320636389293</v>
      </c>
      <c r="AS164" s="123">
        <f t="shared" si="37"/>
        <v>264.17797385864748</v>
      </c>
    </row>
    <row r="165" spans="23:45" x14ac:dyDescent="0.15">
      <c r="W165" s="70">
        <v>160</v>
      </c>
      <c r="X165" s="113">
        <f>求节点(基础状态预期!$C$17:$C$37,基础状态预期!$O$17:$O$37,$W165)*P$66*INDEX($P$57:$T$57,MATCH($O$66,$P$4:$T$4,0))*求节点(基础状态预期!$C$17:$C$37,基础状态预期!$Y$17:$Y$37,$W165)+
求节点(基础状态预期!$C$17:$C$37,基础状态预期!$P$17:$P$37,$W165)*P$67*INDEX($P$57:$T$57,MATCH($O$67,$P$4:$T$4,0))*求节点(基础状态预期!$C$17:$C$37,基础状态预期!$Z$17:$Z$37,$W165)+
求节点(基础状态预期!$C$17:$C$37,基础状态预期!$Q$17:$Q$37,$W165)*P$68*INDEX($P$57:$T$57,MATCH($O$68,$P$4:$T$4,0))*求节点(基础状态预期!$C$17:$C$37,基础状态预期!$AA$17:$AA$37,$W165)+
求节点(基础状态预期!$C$17:$C$37,基础状态预期!$R$17:$R$37,$W165)*P$69*INDEX($P$57:$T$57,MATCH($O$69,$P$4:$T$4,0))*求节点(基础状态预期!$C$17:$C$37,基础状态预期!$AB$17:$AB$37,$W165)+
求节点(基础状态预期!$C$17:$C$37,基础状态预期!$S$17:$S$37,$W165)*P$70*INDEX($P$57:$T$57,MATCH($O$70,$P$4:$T$4,0))*求节点(基础状态预期!$C$17:$C$37,基础状态预期!$AC$17:$AC$37,$W165)</f>
        <v>525492.64136397815</v>
      </c>
      <c r="Y165" s="113">
        <f>求节点(基础状态预期!$C$43:$C$63,基础状态预期!$O$43:$O$63,$W165)*Q$66*INDEX($P$57:$T$57,MATCH($O$66,$P$4:$T$4,0))*求节点(基础状态预期!$C$43:$C$63,基础状态预期!$Y$43:$Y$63,$W165)+
求节点(基础状态预期!$C$43:$C$63,基础状态预期!$P$43:$P$63,$W165)*Q$67*INDEX($P$57:$T$57,MATCH($O$67,$P$4:$T$4,0))*求节点(基础状态预期!$C$43:$C$63,基础状态预期!$Z$43:$Z$63,$W165)+
求节点(基础状态预期!$C$43:$C$63,基础状态预期!$Q$43:$Q$63,$W165)*Q$68*INDEX($P$57:$T$57,MATCH($O$68,$P$4:$T$4,0))*求节点(基础状态预期!$C$43:$C$63,基础状态预期!$AA$43:$AA$63,$W165)+
求节点(基础状态预期!$C$43:$C$63,基础状态预期!$R$43:$R$63,$W165)*Q$69*INDEX($P$57:$T$57,MATCH($O$69,$P$4:$T$4,0))*求节点(基础状态预期!$C$43:$C$63,基础状态预期!$AB$43:$AB$63,$W165)+
求节点(基础状态预期!$C$43:$C$63,基础状态预期!$S$43:$S$63,$W165)*Q$70*INDEX($P$57:$T$57,MATCH($O$70,$P$4:$T$4,0))*求节点(基础状态预期!$C$43:$C$63,基础状态预期!$AC$43:$AC$63,$W165)</f>
        <v>524117.64136397809</v>
      </c>
      <c r="Z165" s="113">
        <f>求节点(基础状态预期!$C$69:$C$89,基础状态预期!$O$69:$O$89,$W165)*R$66*INDEX($P$57:$T$57,MATCH($O$66,$P$4:$T$4,0))*求节点(基础状态预期!$C$69:$C$89,基础状态预期!AA176:AA196,$W165)+
求节点(基础状态预期!$C$69:$C$89,基础状态预期!$P$69:$P$89,$W165)*R$67*INDEX($P$57:$T$57,MATCH($O$67,$P$4:$T$4,0))*求节点(基础状态预期!$C$69:$C$89,基础状态预期!$Z$69:$Z$89,$W165)+
求节点(基础状态预期!$C$69:$C$89,基础状态预期!$Q$69:$Q$89,$W165)*R$68*INDEX($P$57:$T$57,MATCH($O$68,$P$4:$T$4,0))*求节点(基础状态预期!$C$69:$C$89,基础状态预期!$AA$69:$AA$89,$W165)+
求节点(基础状态预期!$C$69:$C$89,基础状态预期!$R$69:$R$89,$W165)*R$69*INDEX($P$57:$T$57,MATCH($O$69,$P$4:$T$4,0))*求节点(基础状态预期!$C$69:$C$89,基础状态预期!$AB$69:$AB$89,$W165)+
求节点(基础状态预期!$C$69:$C$89,基础状态预期!$S$69:$S$89,$W165)*R$70*INDEX($P$57:$T$57,MATCH($O$70,$P$4:$T$4,0))*求节点(基础状态预期!$C$69:$C$89,基础状态预期!$AC$69:$AC$89,$W165)</f>
        <v>2052690.5745455152</v>
      </c>
      <c r="AA165" s="113">
        <f>求节点(基础状态预期!$C$95:$C$115,基础状态预期!$O$95:$O$115,$W165)*S$66*INDEX($P$57:$T$57,MATCH($O$66,$P$4:$T$4,0))*求节点(基础状态预期!$C$95:$C$115,基础状态预期!$Y$95:$Y$115,$W165)+
求节点(基础状态预期!$C$95:$C$115,基础状态预期!$P$95:$P$115,$W165)*S$67*INDEX($P$57:$T$57,MATCH($O$67,$P$4:$T$4,0))*求节点(基础状态预期!$C$95:$C$115,基础状态预期!$Z$95:$Z$115,$W165)+
求节点(基础状态预期!$C$95:$C$115,基础状态预期!$Q$95:$Q$115,$W165)*S$68*INDEX($P$57:$T$57,MATCH($O$68,$P$4:$T$4,0))*求节点(基础状态预期!$C$95:$C$115,基础状态预期!$AA$95:$AA$115,$W165)+
求节点(基础状态预期!$C$95:$C$115,基础状态预期!$R$95:$R$115,$W165)*S$69*INDEX($P$57:$T$57,MATCH($O$69,$P$4:$T$4,0))*求节点(基础状态预期!$C$95:$C$115,基础状态预期!$AB$95:$AB$115,$W165)+
求节点(基础状态预期!$C$95:$C$115,基础状态预期!$S$95:$S$115,$W165)*S$70*INDEX($P$57:$T$57,MATCH($O$70,$P$4:$T$4,0))*求节点(基础状态预期!$C$95:$C$115,基础状态预期!$AC$95:$AC$115,$W165)</f>
        <v>2061580.7956339507</v>
      </c>
      <c r="AB165" s="113">
        <f>求节点(基础状态预期!$C$121:$C$141,基础状态预期!$O$121:$O$141,$W165)*T$66*INDEX($P$57:$T$57,MATCH($O$66,$P$4:$T$4,0))*求节点(基础状态预期!$C$121:$C$141,基础状态预期!$Y$121:$Y$141,$W165)+
求节点(基础状态预期!$C$121:$C$141,基础状态预期!$P$121:$P$141,$W165)*T$67*INDEX($P$57:$T$57,MATCH($O$67,$P$4:$T$4,0))*求节点(基础状态预期!$C$121:$C$141,基础状态预期!$Z$121:$Z$141,$W165)+
求节点(基础状态预期!$C$121:$C$141,基础状态预期!$Q$121:$Q$141,$W165)*T$68*INDEX($P$57:$T$57,MATCH($O$68,$P$4:$T$4,0))*求节点(基础状态预期!$C$121:$C$141,基础状态预期!$AA$121:$AA$141,$W165)+
求节点(基础状态预期!$C$121:$C$141,基础状态预期!$R$121:$R$141,$W165)*T$69*INDEX($P$57:$T$57,MATCH($O$69,$P$4:$T$4,0))*求节点(基础状态预期!$C$121:$C$141,基础状态预期!$AB$121:$AB$141,$W165)+
求节点(基础状态预期!$C$121:$C$141,基础状态预期!$S$121:$S$141,$W165)*T$70*INDEX($P$57:$T$57,MATCH($O$70,$P$4:$T$4,0))*求节点(基础状态预期!$C$121:$C$141,基础状态预期!$AC$121:$AC$141,$W165)</f>
        <v>2052690.5745455152</v>
      </c>
      <c r="AE165" s="70">
        <v>160</v>
      </c>
      <c r="AF165" s="113">
        <f>盗宝贼!AI164</f>
        <v>213674975.73864791</v>
      </c>
      <c r="AG165" s="113">
        <f>盗宝贼!AJ164</f>
        <v>329301050.1593461</v>
      </c>
      <c r="AH165" s="113">
        <f>盗宝贼!AK164</f>
        <v>477511739.885499</v>
      </c>
      <c r="AI165" s="113">
        <f>盗宝贼!AL164</f>
        <v>568077836.5569768</v>
      </c>
      <c r="AJ165" s="113">
        <f>盗宝贼!AM164</f>
        <v>596106149.65799582</v>
      </c>
      <c r="AL165" s="78">
        <f>盗宝贼!AI164/AF165</f>
        <v>1</v>
      </c>
      <c r="AM165" s="118"/>
      <c r="AO165" s="123">
        <f t="shared" si="33"/>
        <v>406.61839751747863</v>
      </c>
      <c r="AP165" s="123">
        <f t="shared" si="34"/>
        <v>628.29606212522071</v>
      </c>
      <c r="AQ165" s="123">
        <f t="shared" si="35"/>
        <v>232.62723851656236</v>
      </c>
      <c r="AR165" s="123">
        <f t="shared" si="36"/>
        <v>275.55448603327176</v>
      </c>
      <c r="AS165" s="123">
        <f t="shared" si="37"/>
        <v>290.40234171191594</v>
      </c>
    </row>
  </sheetData>
  <mergeCells count="12">
    <mergeCell ref="X4:AB4"/>
    <mergeCell ref="AF4:AJ4"/>
    <mergeCell ref="AL4:AM4"/>
    <mergeCell ref="F13:J13"/>
    <mergeCell ref="C4:E4"/>
    <mergeCell ref="C5:E5"/>
    <mergeCell ref="C6:E6"/>
    <mergeCell ref="C7:E7"/>
    <mergeCell ref="C8:E8"/>
    <mergeCell ref="C9:E9"/>
    <mergeCell ref="C10:E10"/>
    <mergeCell ref="C11:E11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6768E-15FF-4F99-B281-3A50548C15F0}">
  <sheetPr codeName="Sheet9"/>
  <dimension ref="A1:CR164"/>
  <sheetViews>
    <sheetView workbookViewId="0">
      <selection activeCell="L28" sqref="L28"/>
    </sheetView>
  </sheetViews>
  <sheetFormatPr defaultColWidth="6.625" defaultRowHeight="11.25" x14ac:dyDescent="0.15"/>
  <cols>
    <col min="1" max="1" width="6.625" style="39"/>
    <col min="2" max="4" width="6.625" style="37"/>
    <col min="5" max="5" width="9" style="37" bestFit="1" customWidth="1"/>
    <col min="6" max="9" width="6.625" style="54"/>
    <col min="10" max="20" width="6.625" style="37"/>
    <col min="21" max="21" width="6.625" style="40"/>
    <col min="22" max="23" width="6.625" style="37"/>
    <col min="24" max="24" width="6.625" style="31"/>
    <col min="25" max="25" width="11.375" style="113" customWidth="1"/>
    <col min="26" max="39" width="6.625" style="31"/>
    <col min="40" max="40" width="6.625" style="37"/>
    <col min="41" max="41" width="6.625" style="40"/>
    <col min="42" max="43" width="6.625" style="37"/>
    <col min="44" max="78" width="6.625" style="31"/>
    <col min="79" max="80" width="6.625" style="37"/>
    <col min="81" max="96" width="6.625" style="41"/>
    <col min="97" max="16384" width="6.625" style="37"/>
  </cols>
  <sheetData>
    <row r="1" spans="1:96" x14ac:dyDescent="0.15">
      <c r="A1" s="39" t="s">
        <v>184</v>
      </c>
      <c r="V1" s="117" t="s">
        <v>375</v>
      </c>
      <c r="AP1" s="37" t="s">
        <v>199</v>
      </c>
    </row>
    <row r="2" spans="1:96" x14ac:dyDescent="0.15">
      <c r="A2" s="39" t="s">
        <v>185</v>
      </c>
    </row>
    <row r="3" spans="1:96" ht="11.25" customHeight="1" x14ac:dyDescent="0.15">
      <c r="A3" s="39" t="s">
        <v>213</v>
      </c>
      <c r="X3" s="139" t="s">
        <v>161</v>
      </c>
      <c r="Y3" s="153" t="s">
        <v>419</v>
      </c>
      <c r="Z3" s="153" t="s">
        <v>187</v>
      </c>
      <c r="AA3" s="153" t="s">
        <v>205</v>
      </c>
      <c r="AB3" s="153"/>
      <c r="AC3" s="153"/>
      <c r="AD3" s="153"/>
      <c r="AE3" s="153"/>
      <c r="AF3" s="48"/>
      <c r="AG3" s="48"/>
      <c r="AH3" s="139" t="s">
        <v>161</v>
      </c>
      <c r="AI3" s="153" t="s">
        <v>206</v>
      </c>
      <c r="AJ3" s="153"/>
      <c r="AK3" s="153"/>
      <c r="AL3" s="153"/>
      <c r="AM3" s="153"/>
      <c r="AR3" s="139" t="s">
        <v>161</v>
      </c>
      <c r="AS3" s="153" t="s">
        <v>187</v>
      </c>
      <c r="AT3" s="153" t="s">
        <v>207</v>
      </c>
      <c r="AU3" s="153"/>
      <c r="AV3" s="153"/>
      <c r="AW3" s="153"/>
      <c r="AX3" s="153"/>
      <c r="AY3" s="153" t="s">
        <v>208</v>
      </c>
      <c r="AZ3" s="153"/>
      <c r="BA3" s="153"/>
      <c r="BB3" s="153"/>
      <c r="BC3" s="153"/>
      <c r="BD3" s="153" t="s">
        <v>209</v>
      </c>
      <c r="BE3" s="153"/>
      <c r="BF3" s="153"/>
      <c r="BG3" s="153"/>
      <c r="BH3" s="153"/>
      <c r="BI3" s="48"/>
      <c r="BJ3" s="48"/>
      <c r="BK3" s="139" t="s">
        <v>161</v>
      </c>
      <c r="BL3" s="153" t="s">
        <v>210</v>
      </c>
      <c r="BM3" s="153"/>
      <c r="BN3" s="153"/>
      <c r="BO3" s="153"/>
      <c r="BP3" s="153"/>
      <c r="BQ3" s="153" t="s">
        <v>211</v>
      </c>
      <c r="BR3" s="153"/>
      <c r="BS3" s="153"/>
      <c r="BT3" s="153"/>
      <c r="BU3" s="153"/>
      <c r="BV3" s="153" t="s">
        <v>212</v>
      </c>
      <c r="BW3" s="153"/>
      <c r="BX3" s="153"/>
      <c r="BY3" s="153"/>
      <c r="BZ3" s="153"/>
      <c r="CC3" s="139" t="s">
        <v>161</v>
      </c>
      <c r="CD3" s="153" t="s">
        <v>235</v>
      </c>
      <c r="CE3" s="153"/>
      <c r="CF3" s="153"/>
      <c r="CG3" s="153"/>
      <c r="CH3" s="153"/>
      <c r="CI3" s="153" t="s">
        <v>236</v>
      </c>
      <c r="CJ3" s="153"/>
      <c r="CK3" s="153"/>
      <c r="CL3" s="153"/>
      <c r="CM3" s="153"/>
      <c r="CN3" s="153" t="s">
        <v>237</v>
      </c>
      <c r="CO3" s="153"/>
      <c r="CP3" s="153"/>
      <c r="CQ3" s="153"/>
      <c r="CR3" s="153"/>
    </row>
    <row r="4" spans="1:96" x14ac:dyDescent="0.15">
      <c r="A4" s="39" t="s">
        <v>414</v>
      </c>
      <c r="E4" s="44">
        <v>2</v>
      </c>
      <c r="W4" s="117"/>
      <c r="X4" s="139"/>
      <c r="Y4" s="153"/>
      <c r="Z4" s="153"/>
      <c r="AA4" s="31" t="s">
        <v>74</v>
      </c>
      <c r="AB4" s="31" t="s">
        <v>75</v>
      </c>
      <c r="AC4" s="31" t="s">
        <v>76</v>
      </c>
      <c r="AD4" s="31" t="s">
        <v>77</v>
      </c>
      <c r="AE4" s="31" t="s">
        <v>78</v>
      </c>
      <c r="AH4" s="139"/>
      <c r="AI4" s="31" t="s">
        <v>74</v>
      </c>
      <c r="AJ4" s="31" t="s">
        <v>75</v>
      </c>
      <c r="AK4" s="31" t="s">
        <v>76</v>
      </c>
      <c r="AL4" s="31" t="s">
        <v>77</v>
      </c>
      <c r="AM4" s="31" t="s">
        <v>78</v>
      </c>
      <c r="AR4" s="139"/>
      <c r="AS4" s="153"/>
      <c r="AT4" s="31" t="s">
        <v>74</v>
      </c>
      <c r="AU4" s="31" t="s">
        <v>75</v>
      </c>
      <c r="AV4" s="31" t="s">
        <v>76</v>
      </c>
      <c r="AW4" s="31" t="s">
        <v>77</v>
      </c>
      <c r="AX4" s="31" t="s">
        <v>78</v>
      </c>
      <c r="AY4" s="31" t="s">
        <v>74</v>
      </c>
      <c r="AZ4" s="31" t="s">
        <v>75</v>
      </c>
      <c r="BA4" s="31" t="s">
        <v>76</v>
      </c>
      <c r="BB4" s="31" t="s">
        <v>77</v>
      </c>
      <c r="BC4" s="31" t="s">
        <v>78</v>
      </c>
      <c r="BD4" s="31" t="s">
        <v>74</v>
      </c>
      <c r="BE4" s="31" t="s">
        <v>75</v>
      </c>
      <c r="BF4" s="31" t="s">
        <v>76</v>
      </c>
      <c r="BG4" s="31" t="s">
        <v>77</v>
      </c>
      <c r="BH4" s="31" t="s">
        <v>78</v>
      </c>
      <c r="BK4" s="139"/>
      <c r="BL4" s="31" t="s">
        <v>74</v>
      </c>
      <c r="BM4" s="31" t="s">
        <v>75</v>
      </c>
      <c r="BN4" s="31" t="s">
        <v>76</v>
      </c>
      <c r="BO4" s="31" t="s">
        <v>77</v>
      </c>
      <c r="BP4" s="31" t="s">
        <v>78</v>
      </c>
      <c r="BQ4" s="31" t="s">
        <v>74</v>
      </c>
      <c r="BR4" s="31" t="s">
        <v>75</v>
      </c>
      <c r="BS4" s="31" t="s">
        <v>76</v>
      </c>
      <c r="BT4" s="31" t="s">
        <v>77</v>
      </c>
      <c r="BU4" s="31" t="s">
        <v>78</v>
      </c>
      <c r="BV4" s="31" t="s">
        <v>74</v>
      </c>
      <c r="BW4" s="31" t="s">
        <v>75</v>
      </c>
      <c r="BX4" s="31" t="s">
        <v>76</v>
      </c>
      <c r="BY4" s="31" t="s">
        <v>77</v>
      </c>
      <c r="BZ4" s="31" t="s">
        <v>78</v>
      </c>
      <c r="CC4" s="139"/>
      <c r="CD4" s="41" t="s">
        <v>74</v>
      </c>
      <c r="CE4" s="41" t="s">
        <v>75</v>
      </c>
      <c r="CF4" s="41" t="s">
        <v>76</v>
      </c>
      <c r="CG4" s="41" t="s">
        <v>77</v>
      </c>
      <c r="CH4" s="41" t="s">
        <v>78</v>
      </c>
      <c r="CI4" s="41" t="s">
        <v>74</v>
      </c>
      <c r="CJ4" s="41" t="s">
        <v>75</v>
      </c>
      <c r="CK4" s="41" t="s">
        <v>76</v>
      </c>
      <c r="CL4" s="41" t="s">
        <v>77</v>
      </c>
      <c r="CM4" s="41" t="s">
        <v>78</v>
      </c>
      <c r="CN4" s="41" t="s">
        <v>74</v>
      </c>
      <c r="CO4" s="41" t="s">
        <v>75</v>
      </c>
      <c r="CP4" s="41" t="s">
        <v>76</v>
      </c>
      <c r="CQ4" s="41" t="s">
        <v>77</v>
      </c>
      <c r="CR4" s="41" t="s">
        <v>78</v>
      </c>
    </row>
    <row r="5" spans="1:96" x14ac:dyDescent="0.15">
      <c r="A5" s="39" t="s">
        <v>415</v>
      </c>
      <c r="E5" s="44">
        <v>20</v>
      </c>
      <c r="X5" s="31">
        <v>1</v>
      </c>
      <c r="Y5" s="113">
        <v>0.42</v>
      </c>
      <c r="Z5" s="42">
        <f t="shared" ref="Z5:Z36" si="0">$E$42</f>
        <v>0.12</v>
      </c>
      <c r="AA5" s="31">
        <f>$Y5*$Z5*其他调用!V4</f>
        <v>0.16639959554414196</v>
      </c>
      <c r="AB5" s="113">
        <f>$Y5*$Z5*其他调用!W4</f>
        <v>0.20188973536769797</v>
      </c>
      <c r="AC5" s="113">
        <f>$Y5*$Z5*其他调用!X4</f>
        <v>0.21452778464927555</v>
      </c>
      <c r="AD5" s="113">
        <f>$Y5*$Z5*其他调用!Y4</f>
        <v>0.16915604101815582</v>
      </c>
      <c r="AE5" s="113">
        <f>$Y5*$Z5*其他调用!Z4</f>
        <v>8.8452960655749299E-2</v>
      </c>
      <c r="AH5" s="31">
        <v>1</v>
      </c>
      <c r="AI5" s="31">
        <f>SUM(AA$5:AA5)</f>
        <v>0.16639959554414196</v>
      </c>
      <c r="AJ5" s="31">
        <f>SUM(AB$5:AB5)</f>
        <v>0.20188973536769797</v>
      </c>
      <c r="AK5" s="31">
        <f>SUM(AC$5:AC5)</f>
        <v>0.21452778464927555</v>
      </c>
      <c r="AL5" s="31">
        <f>SUM(AD$5:AD5)</f>
        <v>0.16915604101815582</v>
      </c>
      <c r="AM5" s="31">
        <f>SUM(AE$5:AE5)</f>
        <v>8.8452960655749299E-2</v>
      </c>
      <c r="AR5" s="31">
        <v>1</v>
      </c>
      <c r="AS5" s="42">
        <f t="shared" ref="AS5:AS36" si="1">$E$43</f>
        <v>8.0000000000000016E-2</v>
      </c>
      <c r="AT5" s="31">
        <f>求节点(E$21:E$27,$M$21:$M$27,$AR5)*$AS5*其他调用!V4</f>
        <v>0</v>
      </c>
      <c r="AU5" s="52">
        <f>求节点(F$21:F$27,$M$21:$M$27,$AR5)*$AS5*其他调用!W4</f>
        <v>0</v>
      </c>
      <c r="AV5" s="52">
        <f>求节点(G$21:G$27,$M$21:$M$27,$AR5)*$AS5*其他调用!X4</f>
        <v>0</v>
      </c>
      <c r="AW5" s="52">
        <f>求节点(H$21:H$27,$M$21:$M$27,$AR5)*$AS5*其他调用!Y4</f>
        <v>0</v>
      </c>
      <c r="AX5" s="52">
        <f>求节点(I$21:I$27,$M$21:$M$27,$AR5)*$AS5*其他调用!Z4</f>
        <v>0</v>
      </c>
      <c r="AY5" s="31">
        <f>求节点(E$21:E$27,$N$21:$N$27,$AR5)*$AS5*其他调用!V4</f>
        <v>0</v>
      </c>
      <c r="AZ5" s="52">
        <f>求节点(F$21:F$27,$N$21:$N$27,$AR5)*$AS5*其他调用!W4</f>
        <v>0</v>
      </c>
      <c r="BA5" s="52">
        <f>求节点(G$21:G$27,$N$21:$N$27,$AR5)*$AS5*其他调用!X4</f>
        <v>0</v>
      </c>
      <c r="BB5" s="52">
        <f>求节点(H$21:H$27,$N$21:$N$27,$AR5)*$AS5*其他调用!Y4</f>
        <v>0</v>
      </c>
      <c r="BC5" s="52">
        <f>求节点(I$21:I$27,$N$21:$N$27,$AR5)*$AS5*其他调用!Z4</f>
        <v>0</v>
      </c>
      <c r="BD5" s="31">
        <f>求节点(E$21:E$27,$O$21:$O$27,$AR5)*$AS5*其他调用!V4</f>
        <v>0</v>
      </c>
      <c r="BE5" s="52">
        <f>求节点(F$21:F$27,$O$21:$O$27,$AR5)*$AS5*其他调用!W4</f>
        <v>0</v>
      </c>
      <c r="BF5" s="52">
        <f>求节点(G$21:G$27,$O$21:$O$27,$AR5)*$AS5*其他调用!X4</f>
        <v>0</v>
      </c>
      <c r="BG5" s="52">
        <f>求节点(H$21:H$27,$O$21:$O$27,$AR5)*$AS5*其他调用!Y4</f>
        <v>0</v>
      </c>
      <c r="BH5" s="52">
        <f>求节点(I$21:I$27,$O$21:$O$27,$AR5)*$AS5*其他调用!Z4</f>
        <v>0</v>
      </c>
      <c r="BK5" s="31">
        <v>1</v>
      </c>
      <c r="BL5" s="31">
        <f>SUM(AT$5:AT5)</f>
        <v>0</v>
      </c>
      <c r="BM5" s="31">
        <f>SUM(AU$5:AU5)</f>
        <v>0</v>
      </c>
      <c r="BN5" s="31">
        <f>SUM(AV$5:AV5)</f>
        <v>0</v>
      </c>
      <c r="BO5" s="31">
        <f>SUM(AW$5:AW5)</f>
        <v>0</v>
      </c>
      <c r="BP5" s="31">
        <f>SUM(AX$5:AX5)</f>
        <v>0</v>
      </c>
      <c r="BQ5" s="31">
        <f>SUM(AY$5:AY5)</f>
        <v>0</v>
      </c>
      <c r="BR5" s="31">
        <f>SUM(AZ$5:AZ5)</f>
        <v>0</v>
      </c>
      <c r="BS5" s="31">
        <f>SUM(BA$5:BA5)</f>
        <v>0</v>
      </c>
      <c r="BT5" s="31">
        <f>SUM(BB$5:BB5)</f>
        <v>0</v>
      </c>
      <c r="BU5" s="31">
        <f>SUM(BC$5:BC5)</f>
        <v>0</v>
      </c>
      <c r="BV5" s="31">
        <f>SUM(BD$5:BD5)</f>
        <v>0</v>
      </c>
      <c r="BW5" s="31">
        <f>SUM(BE$5:BE5)</f>
        <v>0</v>
      </c>
      <c r="BX5" s="31">
        <f>SUM(BF$5:BF5)</f>
        <v>0</v>
      </c>
      <c r="BY5" s="31">
        <f>SUM(BG$5:BG5)</f>
        <v>0</v>
      </c>
      <c r="BZ5" s="31">
        <f>SUM(BH$5:BH5)</f>
        <v>0</v>
      </c>
      <c r="CC5" s="41">
        <v>1</v>
      </c>
      <c r="CD5" s="41">
        <f t="shared" ref="CD5:CD36" si="2">(BL5*$E$57+BQ5*$F$57+BV5*$G$57)/$E$5</f>
        <v>0</v>
      </c>
      <c r="CE5" s="41">
        <f t="shared" ref="CE5:CE36" si="3">(BM5*$E$57+BR5*$F$57+BW5*$G$57)/$E$5</f>
        <v>0</v>
      </c>
      <c r="CF5" s="41">
        <f t="shared" ref="CF5:CF36" si="4">(BN5*$E$57+BS5*$F$57+BX5*$G$57)/$E$5</f>
        <v>0</v>
      </c>
      <c r="CG5" s="41">
        <f t="shared" ref="CG5:CG36" si="5">(BO5*$E$57+BT5*$F$57+BY5*$G$57)/$E$5</f>
        <v>0</v>
      </c>
      <c r="CH5" s="41">
        <f t="shared" ref="CH5:CH36" si="6">(BP5*$E$57+BU5*$F$57+BZ5*$G$57)/$E$5</f>
        <v>0</v>
      </c>
      <c r="CI5" s="41">
        <f t="shared" ref="CI5:CI36" si="7">(BL5*$E$58+BQ5*$F$58+BV5*$G$58)/$E$5</f>
        <v>0</v>
      </c>
      <c r="CJ5" s="41">
        <f t="shared" ref="CJ5:CJ36" si="8">(BM5*$E$58+BR5*$F$58+BW5*$G$58)/$E$5</f>
        <v>0</v>
      </c>
      <c r="CK5" s="41">
        <f t="shared" ref="CK5:CK36" si="9">(BN5*$E$58+BS5*$F$58+BX5*$G$58)/$E$5</f>
        <v>0</v>
      </c>
      <c r="CL5" s="41">
        <f t="shared" ref="CL5:CL36" si="10">(BO5*$E$58+BT5*$F$58+BY5*$G$58)/$E$5</f>
        <v>0</v>
      </c>
      <c r="CM5" s="41">
        <f t="shared" ref="CM5:CM36" si="11">(BP5*$E$58+BU5*$F$58+BZ5*$G$58)/$E$5</f>
        <v>0</v>
      </c>
      <c r="CN5" s="41">
        <f t="shared" ref="CN5:CN36" si="12">(BL5*$E$59+BQ5*$F$59+BV5*$G$59)/$E$5</f>
        <v>0</v>
      </c>
      <c r="CO5" s="41">
        <f t="shared" ref="CO5:CO36" si="13">(BM5*$E$59+BR5*$F$59+BW5*$G$59)/$E$5</f>
        <v>0</v>
      </c>
      <c r="CP5" s="41">
        <f t="shared" ref="CP5:CP36" si="14">(BN5*$E$59+BS5*$F$59+BX5*$G$59)/$E$5</f>
        <v>0</v>
      </c>
      <c r="CQ5" s="41">
        <f t="shared" ref="CQ5:CQ36" si="15">(BO5*$E$59+BT5*$F$59+BY5*$G$59)/$E$5</f>
        <v>0</v>
      </c>
      <c r="CR5" s="41">
        <f t="shared" ref="CR5:CR36" si="16">(BP5*$E$59+BU5*$F$59+BZ5*$G$59)/$E$5</f>
        <v>0</v>
      </c>
    </row>
    <row r="6" spans="1:96" x14ac:dyDescent="0.15">
      <c r="W6" s="37">
        <v>1.05</v>
      </c>
      <c r="X6" s="31">
        <v>2</v>
      </c>
      <c r="Y6" s="113">
        <f>Y5*W6</f>
        <v>0.441</v>
      </c>
      <c r="Z6" s="42">
        <f t="shared" si="0"/>
        <v>0.12</v>
      </c>
      <c r="AA6" s="113">
        <f>$Y6*$Z6*其他调用!V5</f>
        <v>0.18725980421503341</v>
      </c>
      <c r="AB6" s="113">
        <f>$Y6*$Z6*其他调用!W5</f>
        <v>0.23141691044514628</v>
      </c>
      <c r="AC6" s="113">
        <f>$Y6*$Z6*其他调用!X5</f>
        <v>0.25073061123962676</v>
      </c>
      <c r="AD6" s="113">
        <f>$Y6*$Z6*其他调用!Y5</f>
        <v>0.20300590069005325</v>
      </c>
      <c r="AE6" s="113">
        <f>$Y6*$Z6*其他调用!Z5</f>
        <v>0.10926784125508279</v>
      </c>
      <c r="AH6" s="31">
        <v>2</v>
      </c>
      <c r="AI6" s="31">
        <f>SUM(AA$5:AA6)</f>
        <v>0.35365939975917537</v>
      </c>
      <c r="AJ6" s="31">
        <f>SUM(AB$5:AB6)</f>
        <v>0.43330664581284428</v>
      </c>
      <c r="AK6" s="31">
        <f>SUM(AC$5:AC6)</f>
        <v>0.46525839588890228</v>
      </c>
      <c r="AL6" s="31">
        <f>SUM(AD$5:AD6)</f>
        <v>0.37216194170820904</v>
      </c>
      <c r="AM6" s="31">
        <f>SUM(AE$5:AE6)</f>
        <v>0.19772080191083208</v>
      </c>
      <c r="AR6" s="31">
        <v>2</v>
      </c>
      <c r="AS6" s="42">
        <f t="shared" si="1"/>
        <v>8.0000000000000016E-2</v>
      </c>
      <c r="AT6" s="52">
        <f>求节点(E$21:E$27,$M$21:$M$27,$AR6)*$AS6*其他调用!V5</f>
        <v>0</v>
      </c>
      <c r="AU6" s="52">
        <f>求节点(F$21:F$27,$M$21:$M$27,$AR6)*$AS6*其他调用!W5</f>
        <v>0</v>
      </c>
      <c r="AV6" s="52">
        <f>求节点(G$21:G$27,$M$21:$M$27,$AR6)*$AS6*其他调用!X5</f>
        <v>0</v>
      </c>
      <c r="AW6" s="52">
        <f>求节点(H$21:H$27,$M$21:$M$27,$AR6)*$AS6*其他调用!Y5</f>
        <v>0</v>
      </c>
      <c r="AX6" s="52">
        <f>求节点(I$21:I$27,$M$21:$M$27,$AR6)*$AS6*其他调用!Z5</f>
        <v>0</v>
      </c>
      <c r="AY6" s="52">
        <f>求节点(E$21:E$27,$N$21:$N$27,$AR6)*$AS6*其他调用!V5</f>
        <v>0</v>
      </c>
      <c r="AZ6" s="52">
        <f>求节点(F$21:F$27,$N$21:$N$27,$AR6)*$AS6*其他调用!W5</f>
        <v>0</v>
      </c>
      <c r="BA6" s="52">
        <f>求节点(G$21:G$27,$N$21:$N$27,$AR6)*$AS6*其他调用!X5</f>
        <v>0</v>
      </c>
      <c r="BB6" s="52">
        <f>求节点(H$21:H$27,$N$21:$N$27,$AR6)*$AS6*其他调用!Y5</f>
        <v>0</v>
      </c>
      <c r="BC6" s="52">
        <f>求节点(I$21:I$27,$N$21:$N$27,$AR6)*$AS6*其他调用!Z5</f>
        <v>0</v>
      </c>
      <c r="BD6" s="52">
        <f>求节点(E$21:E$27,$O$21:$O$27,$AR6)*$AS6*其他调用!V5</f>
        <v>0</v>
      </c>
      <c r="BE6" s="52">
        <f>求节点(F$21:F$27,$O$21:$O$27,$AR6)*$AS6*其他调用!W5</f>
        <v>0</v>
      </c>
      <c r="BF6" s="52">
        <f>求节点(G$21:G$27,$O$21:$O$27,$AR6)*$AS6*其他调用!X5</f>
        <v>0</v>
      </c>
      <c r="BG6" s="52">
        <f>求节点(H$21:H$27,$O$21:$O$27,$AR6)*$AS6*其他调用!Y5</f>
        <v>0</v>
      </c>
      <c r="BH6" s="52">
        <f>求节点(I$21:I$27,$O$21:$O$27,$AR6)*$AS6*其他调用!Z5</f>
        <v>0</v>
      </c>
      <c r="BK6" s="31">
        <v>2</v>
      </c>
      <c r="BL6" s="31">
        <f>SUM(AT$5:AT6)</f>
        <v>0</v>
      </c>
      <c r="BM6" s="31">
        <f>SUM(AU$5:AU6)</f>
        <v>0</v>
      </c>
      <c r="BN6" s="31">
        <f>SUM(AV$5:AV6)</f>
        <v>0</v>
      </c>
      <c r="BO6" s="31">
        <f>SUM(AW$5:AW6)</f>
        <v>0</v>
      </c>
      <c r="BP6" s="31">
        <f>SUM(AX$5:AX6)</f>
        <v>0</v>
      </c>
      <c r="BQ6" s="31">
        <f>SUM(AY$5:AY6)</f>
        <v>0</v>
      </c>
      <c r="BR6" s="31">
        <f>SUM(AZ$5:AZ6)</f>
        <v>0</v>
      </c>
      <c r="BS6" s="31">
        <f>SUM(BA$5:BA6)</f>
        <v>0</v>
      </c>
      <c r="BT6" s="31">
        <f>SUM(BB$5:BB6)</f>
        <v>0</v>
      </c>
      <c r="BU6" s="31">
        <f>SUM(BC$5:BC6)</f>
        <v>0</v>
      </c>
      <c r="BV6" s="31">
        <f>SUM(BD$5:BD6)</f>
        <v>0</v>
      </c>
      <c r="BW6" s="31">
        <f>SUM(BE$5:BE6)</f>
        <v>0</v>
      </c>
      <c r="BX6" s="31">
        <f>SUM(BF$5:BF6)</f>
        <v>0</v>
      </c>
      <c r="BY6" s="31">
        <f>SUM(BG$5:BG6)</f>
        <v>0</v>
      </c>
      <c r="BZ6" s="31">
        <f>SUM(BH$5:BH6)</f>
        <v>0</v>
      </c>
      <c r="CC6" s="41">
        <v>2</v>
      </c>
      <c r="CD6" s="41">
        <f t="shared" si="2"/>
        <v>0</v>
      </c>
      <c r="CE6" s="41">
        <f t="shared" si="3"/>
        <v>0</v>
      </c>
      <c r="CF6" s="41">
        <f t="shared" si="4"/>
        <v>0</v>
      </c>
      <c r="CG6" s="41">
        <f t="shared" si="5"/>
        <v>0</v>
      </c>
      <c r="CH6" s="41">
        <f t="shared" si="6"/>
        <v>0</v>
      </c>
      <c r="CI6" s="41">
        <f t="shared" si="7"/>
        <v>0</v>
      </c>
      <c r="CJ6" s="41">
        <f t="shared" si="8"/>
        <v>0</v>
      </c>
      <c r="CK6" s="41">
        <f t="shared" si="9"/>
        <v>0</v>
      </c>
      <c r="CL6" s="41">
        <f t="shared" si="10"/>
        <v>0</v>
      </c>
      <c r="CM6" s="41">
        <f t="shared" si="11"/>
        <v>0</v>
      </c>
      <c r="CN6" s="41">
        <f t="shared" si="12"/>
        <v>0</v>
      </c>
      <c r="CO6" s="41">
        <f t="shared" si="13"/>
        <v>0</v>
      </c>
      <c r="CP6" s="41">
        <f t="shared" si="14"/>
        <v>0</v>
      </c>
      <c r="CQ6" s="41">
        <f t="shared" si="15"/>
        <v>0</v>
      </c>
      <c r="CR6" s="41">
        <f t="shared" si="16"/>
        <v>0</v>
      </c>
    </row>
    <row r="7" spans="1:96" x14ac:dyDescent="0.15">
      <c r="W7" s="117">
        <v>1.05</v>
      </c>
      <c r="X7" s="31">
        <v>3</v>
      </c>
      <c r="Y7" s="113">
        <f t="shared" ref="Y7:Y70" si="17">Y6*W7</f>
        <v>0.46305000000000002</v>
      </c>
      <c r="Z7" s="42">
        <f t="shared" si="0"/>
        <v>0.12</v>
      </c>
      <c r="AA7" s="113">
        <f>$Y7*$Z7*其他调用!V6</f>
        <v>0.21073509319528488</v>
      </c>
      <c r="AB7" s="113">
        <f>$Y7*$Z7*其他调用!W6</f>
        <v>0.26347204782522654</v>
      </c>
      <c r="AC7" s="113">
        <f>$Y7*$Z7*其他调用!X6</f>
        <v>0.28984584672824099</v>
      </c>
      <c r="AD7" s="113">
        <f>$Y7*$Z7*其他调用!Y6</f>
        <v>0.23680048037930002</v>
      </c>
      <c r="AE7" s="113">
        <f>$Y7*$Z7*其他调用!Z6</f>
        <v>0.12760453488562878</v>
      </c>
      <c r="AH7" s="31">
        <v>3</v>
      </c>
      <c r="AI7" s="31">
        <f>SUM(AA$5:AA7)</f>
        <v>0.5643944929544602</v>
      </c>
      <c r="AJ7" s="31">
        <f>SUM(AB$5:AB7)</f>
        <v>0.69677869363807088</v>
      </c>
      <c r="AK7" s="31">
        <f>SUM(AC$5:AC7)</f>
        <v>0.75510424261714326</v>
      </c>
      <c r="AL7" s="31">
        <f>SUM(AD$5:AD7)</f>
        <v>0.60896242208750906</v>
      </c>
      <c r="AM7" s="31">
        <f>SUM(AE$5:AE7)</f>
        <v>0.32532533679646086</v>
      </c>
      <c r="AR7" s="31">
        <v>3</v>
      </c>
      <c r="AS7" s="42">
        <f t="shared" si="1"/>
        <v>8.0000000000000016E-2</v>
      </c>
      <c r="AT7" s="52">
        <f>求节点(E$21:E$27,$M$21:$M$27,$AR7)*$AS7*其他调用!V6</f>
        <v>0</v>
      </c>
      <c r="AU7" s="52">
        <f>求节点(F$21:F$27,$M$21:$M$27,$AR7)*$AS7*其他调用!W6</f>
        <v>0</v>
      </c>
      <c r="AV7" s="52">
        <f>求节点(G$21:G$27,$M$21:$M$27,$AR7)*$AS7*其他调用!X6</f>
        <v>0</v>
      </c>
      <c r="AW7" s="52">
        <f>求节点(H$21:H$27,$M$21:$M$27,$AR7)*$AS7*其他调用!Y6</f>
        <v>0</v>
      </c>
      <c r="AX7" s="52">
        <f>求节点(I$21:I$27,$M$21:$M$27,$AR7)*$AS7*其他调用!Z6</f>
        <v>0</v>
      </c>
      <c r="AY7" s="52">
        <f>求节点(E$21:E$27,$N$21:$N$27,$AR7)*$AS7*其他调用!V6</f>
        <v>0</v>
      </c>
      <c r="AZ7" s="52">
        <f>求节点(F$21:F$27,$N$21:$N$27,$AR7)*$AS7*其他调用!W6</f>
        <v>0</v>
      </c>
      <c r="BA7" s="52">
        <f>求节点(G$21:G$27,$N$21:$N$27,$AR7)*$AS7*其他调用!X6</f>
        <v>0</v>
      </c>
      <c r="BB7" s="52">
        <f>求节点(H$21:H$27,$N$21:$N$27,$AR7)*$AS7*其他调用!Y6</f>
        <v>0</v>
      </c>
      <c r="BC7" s="52">
        <f>求节点(I$21:I$27,$N$21:$N$27,$AR7)*$AS7*其他调用!Z6</f>
        <v>0</v>
      </c>
      <c r="BD7" s="52">
        <f>求节点(E$21:E$27,$O$21:$O$27,$AR7)*$AS7*其他调用!V6</f>
        <v>0</v>
      </c>
      <c r="BE7" s="52">
        <f>求节点(F$21:F$27,$O$21:$O$27,$AR7)*$AS7*其他调用!W6</f>
        <v>0</v>
      </c>
      <c r="BF7" s="52">
        <f>求节点(G$21:G$27,$O$21:$O$27,$AR7)*$AS7*其他调用!X6</f>
        <v>0</v>
      </c>
      <c r="BG7" s="52">
        <f>求节点(H$21:H$27,$O$21:$O$27,$AR7)*$AS7*其他调用!Y6</f>
        <v>0</v>
      </c>
      <c r="BH7" s="52">
        <f>求节点(I$21:I$27,$O$21:$O$27,$AR7)*$AS7*其他调用!Z6</f>
        <v>0</v>
      </c>
      <c r="BK7" s="31">
        <v>3</v>
      </c>
      <c r="BL7" s="31">
        <f>SUM(AT$5:AT7)</f>
        <v>0</v>
      </c>
      <c r="BM7" s="31">
        <f>SUM(AU$5:AU7)</f>
        <v>0</v>
      </c>
      <c r="BN7" s="31">
        <f>SUM(AV$5:AV7)</f>
        <v>0</v>
      </c>
      <c r="BO7" s="31">
        <f>SUM(AW$5:AW7)</f>
        <v>0</v>
      </c>
      <c r="BP7" s="31">
        <f>SUM(AX$5:AX7)</f>
        <v>0</v>
      </c>
      <c r="BQ7" s="31">
        <f>SUM(AY$5:AY7)</f>
        <v>0</v>
      </c>
      <c r="BR7" s="31">
        <f>SUM(AZ$5:AZ7)</f>
        <v>0</v>
      </c>
      <c r="BS7" s="31">
        <f>SUM(BA$5:BA7)</f>
        <v>0</v>
      </c>
      <c r="BT7" s="31">
        <f>SUM(BB$5:BB7)</f>
        <v>0</v>
      </c>
      <c r="BU7" s="31">
        <f>SUM(BC$5:BC7)</f>
        <v>0</v>
      </c>
      <c r="BV7" s="31">
        <f>SUM(BD$5:BD7)</f>
        <v>0</v>
      </c>
      <c r="BW7" s="31">
        <f>SUM(BE$5:BE7)</f>
        <v>0</v>
      </c>
      <c r="BX7" s="31">
        <f>SUM(BF$5:BF7)</f>
        <v>0</v>
      </c>
      <c r="BY7" s="31">
        <f>SUM(BG$5:BG7)</f>
        <v>0</v>
      </c>
      <c r="BZ7" s="31">
        <f>SUM(BH$5:BH7)</f>
        <v>0</v>
      </c>
      <c r="CC7" s="41">
        <v>3</v>
      </c>
      <c r="CD7" s="41">
        <f t="shared" si="2"/>
        <v>0</v>
      </c>
      <c r="CE7" s="41">
        <f t="shared" si="3"/>
        <v>0</v>
      </c>
      <c r="CF7" s="41">
        <f t="shared" si="4"/>
        <v>0</v>
      </c>
      <c r="CG7" s="41">
        <f t="shared" si="5"/>
        <v>0</v>
      </c>
      <c r="CH7" s="41">
        <f t="shared" si="6"/>
        <v>0</v>
      </c>
      <c r="CI7" s="41">
        <f t="shared" si="7"/>
        <v>0</v>
      </c>
      <c r="CJ7" s="41">
        <f t="shared" si="8"/>
        <v>0</v>
      </c>
      <c r="CK7" s="41">
        <f t="shared" si="9"/>
        <v>0</v>
      </c>
      <c r="CL7" s="41">
        <f t="shared" si="10"/>
        <v>0</v>
      </c>
      <c r="CM7" s="41">
        <f t="shared" si="11"/>
        <v>0</v>
      </c>
      <c r="CN7" s="41">
        <f t="shared" si="12"/>
        <v>0</v>
      </c>
      <c r="CO7" s="41">
        <f t="shared" si="13"/>
        <v>0</v>
      </c>
      <c r="CP7" s="41">
        <f t="shared" si="14"/>
        <v>0</v>
      </c>
      <c r="CQ7" s="41">
        <f t="shared" si="15"/>
        <v>0</v>
      </c>
      <c r="CR7" s="41">
        <f t="shared" si="16"/>
        <v>0</v>
      </c>
    </row>
    <row r="8" spans="1:96" x14ac:dyDescent="0.15">
      <c r="C8" s="113" t="s">
        <v>401</v>
      </c>
      <c r="D8" s="124">
        <v>300</v>
      </c>
      <c r="E8" s="37">
        <v>200</v>
      </c>
      <c r="F8" s="124">
        <v>200</v>
      </c>
      <c r="G8" s="124">
        <v>200</v>
      </c>
      <c r="H8" s="124">
        <v>0</v>
      </c>
      <c r="I8" s="124">
        <v>0</v>
      </c>
      <c r="J8" s="124">
        <v>100</v>
      </c>
      <c r="K8" s="113"/>
      <c r="L8" s="113"/>
      <c r="M8" s="113"/>
      <c r="W8" s="117">
        <v>1.05</v>
      </c>
      <c r="X8" s="31">
        <v>4</v>
      </c>
      <c r="Y8" s="113">
        <f t="shared" si="17"/>
        <v>0.48620250000000004</v>
      </c>
      <c r="Z8" s="42">
        <f t="shared" si="0"/>
        <v>0.12</v>
      </c>
      <c r="AA8" s="113">
        <f>$Y8*$Z8*其他调用!V7</f>
        <v>0.23715329453740983</v>
      </c>
      <c r="AB8" s="113">
        <f>$Y8*$Z8*其他调用!W7</f>
        <v>0.29763482937571883</v>
      </c>
      <c r="AC8" s="113">
        <f>$Y8*$Z8*其他调用!X7</f>
        <v>0.32917235958219171</v>
      </c>
      <c r="AD8" s="113">
        <f>$Y8*$Z8*其他调用!Y7</f>
        <v>0.26968088036588622</v>
      </c>
      <c r="AE8" s="113">
        <f>$Y8*$Z8*其他调用!Z7</f>
        <v>0.14832274808100912</v>
      </c>
      <c r="AH8" s="31">
        <v>4</v>
      </c>
      <c r="AI8" s="31">
        <f>SUM(AA$5:AA8)</f>
        <v>0.80154778749187006</v>
      </c>
      <c r="AJ8" s="31">
        <f>SUM(AB$5:AB8)</f>
        <v>0.99441352301378971</v>
      </c>
      <c r="AK8" s="31">
        <f>SUM(AC$5:AC8)</f>
        <v>1.0842766021993349</v>
      </c>
      <c r="AL8" s="31">
        <f>SUM(AD$5:AD8)</f>
        <v>0.87864330245339528</v>
      </c>
      <c r="AM8" s="31">
        <f>SUM(AE$5:AE8)</f>
        <v>0.47364808487747001</v>
      </c>
      <c r="AR8" s="31">
        <v>4</v>
      </c>
      <c r="AS8" s="42">
        <f t="shared" si="1"/>
        <v>8.0000000000000016E-2</v>
      </c>
      <c r="AT8" s="52">
        <f>求节点(E$21:E$27,$M$21:$M$27,$AR8)*$AS8*其他调用!V7</f>
        <v>0</v>
      </c>
      <c r="AU8" s="52">
        <f>求节点(F$21:F$27,$M$21:$M$27,$AR8)*$AS8*其他调用!W7</f>
        <v>0</v>
      </c>
      <c r="AV8" s="52">
        <f>求节点(G$21:G$27,$M$21:$M$27,$AR8)*$AS8*其他调用!X7</f>
        <v>0</v>
      </c>
      <c r="AW8" s="52">
        <f>求节点(H$21:H$27,$M$21:$M$27,$AR8)*$AS8*其他调用!Y7</f>
        <v>0</v>
      </c>
      <c r="AX8" s="52">
        <f>求节点(I$21:I$27,$M$21:$M$27,$AR8)*$AS8*其他调用!Z7</f>
        <v>0</v>
      </c>
      <c r="AY8" s="52">
        <f>求节点(E$21:E$27,$N$21:$N$27,$AR8)*$AS8*其他调用!V7</f>
        <v>0</v>
      </c>
      <c r="AZ8" s="52">
        <f>求节点(F$21:F$27,$N$21:$N$27,$AR8)*$AS8*其他调用!W7</f>
        <v>0</v>
      </c>
      <c r="BA8" s="52">
        <f>求节点(G$21:G$27,$N$21:$N$27,$AR8)*$AS8*其他调用!X7</f>
        <v>0</v>
      </c>
      <c r="BB8" s="52">
        <f>求节点(H$21:H$27,$N$21:$N$27,$AR8)*$AS8*其他调用!Y7</f>
        <v>0</v>
      </c>
      <c r="BC8" s="52">
        <f>求节点(I$21:I$27,$N$21:$N$27,$AR8)*$AS8*其他调用!Z7</f>
        <v>0</v>
      </c>
      <c r="BD8" s="52">
        <f>求节点(E$21:E$27,$O$21:$O$27,$AR8)*$AS8*其他调用!V7</f>
        <v>0</v>
      </c>
      <c r="BE8" s="52">
        <f>求节点(F$21:F$27,$O$21:$O$27,$AR8)*$AS8*其他调用!W7</f>
        <v>0</v>
      </c>
      <c r="BF8" s="52">
        <f>求节点(G$21:G$27,$O$21:$O$27,$AR8)*$AS8*其他调用!X7</f>
        <v>0</v>
      </c>
      <c r="BG8" s="52">
        <f>求节点(H$21:H$27,$O$21:$O$27,$AR8)*$AS8*其他调用!Y7</f>
        <v>0</v>
      </c>
      <c r="BH8" s="52">
        <f>求节点(I$21:I$27,$O$21:$O$27,$AR8)*$AS8*其他调用!Z7</f>
        <v>0</v>
      </c>
      <c r="BK8" s="31">
        <v>4</v>
      </c>
      <c r="BL8" s="31">
        <f>SUM(AT$5:AT8)</f>
        <v>0</v>
      </c>
      <c r="BM8" s="31">
        <f>SUM(AU$5:AU8)</f>
        <v>0</v>
      </c>
      <c r="BN8" s="31">
        <f>SUM(AV$5:AV8)</f>
        <v>0</v>
      </c>
      <c r="BO8" s="31">
        <f>SUM(AW$5:AW8)</f>
        <v>0</v>
      </c>
      <c r="BP8" s="31">
        <f>SUM(AX$5:AX8)</f>
        <v>0</v>
      </c>
      <c r="BQ8" s="31">
        <f>SUM(AY$5:AY8)</f>
        <v>0</v>
      </c>
      <c r="BR8" s="31">
        <f>SUM(AZ$5:AZ8)</f>
        <v>0</v>
      </c>
      <c r="BS8" s="31">
        <f>SUM(BA$5:BA8)</f>
        <v>0</v>
      </c>
      <c r="BT8" s="31">
        <f>SUM(BB$5:BB8)</f>
        <v>0</v>
      </c>
      <c r="BU8" s="31">
        <f>SUM(BC$5:BC8)</f>
        <v>0</v>
      </c>
      <c r="BV8" s="31">
        <f>SUM(BD$5:BD8)</f>
        <v>0</v>
      </c>
      <c r="BW8" s="31">
        <f>SUM(BE$5:BE8)</f>
        <v>0</v>
      </c>
      <c r="BX8" s="31">
        <f>SUM(BF$5:BF8)</f>
        <v>0</v>
      </c>
      <c r="BY8" s="31">
        <f>SUM(BG$5:BG8)</f>
        <v>0</v>
      </c>
      <c r="BZ8" s="31">
        <f>SUM(BH$5:BH8)</f>
        <v>0</v>
      </c>
      <c r="CC8" s="41">
        <v>4</v>
      </c>
      <c r="CD8" s="41">
        <f t="shared" si="2"/>
        <v>0</v>
      </c>
      <c r="CE8" s="41">
        <f t="shared" si="3"/>
        <v>0</v>
      </c>
      <c r="CF8" s="41">
        <f t="shared" si="4"/>
        <v>0</v>
      </c>
      <c r="CG8" s="41">
        <f t="shared" si="5"/>
        <v>0</v>
      </c>
      <c r="CH8" s="41">
        <f t="shared" si="6"/>
        <v>0</v>
      </c>
      <c r="CI8" s="41">
        <f t="shared" si="7"/>
        <v>0</v>
      </c>
      <c r="CJ8" s="41">
        <f t="shared" si="8"/>
        <v>0</v>
      </c>
      <c r="CK8" s="41">
        <f t="shared" si="9"/>
        <v>0</v>
      </c>
      <c r="CL8" s="41">
        <f t="shared" si="10"/>
        <v>0</v>
      </c>
      <c r="CM8" s="41">
        <f t="shared" si="11"/>
        <v>0</v>
      </c>
      <c r="CN8" s="41">
        <f t="shared" si="12"/>
        <v>0</v>
      </c>
      <c r="CO8" s="41">
        <f t="shared" si="13"/>
        <v>0</v>
      </c>
      <c r="CP8" s="41">
        <f t="shared" si="14"/>
        <v>0</v>
      </c>
      <c r="CQ8" s="41">
        <f t="shared" si="15"/>
        <v>0</v>
      </c>
      <c r="CR8" s="41">
        <f t="shared" si="16"/>
        <v>0</v>
      </c>
    </row>
    <row r="9" spans="1:96" x14ac:dyDescent="0.15">
      <c r="B9" s="117"/>
      <c r="C9" s="153" t="s">
        <v>402</v>
      </c>
      <c r="D9" s="61"/>
      <c r="F9" s="61"/>
      <c r="G9" s="61"/>
      <c r="H9" s="61" t="s">
        <v>403</v>
      </c>
      <c r="I9" s="61"/>
      <c r="J9" s="61"/>
      <c r="K9" s="42"/>
      <c r="L9" s="42"/>
      <c r="M9" s="113"/>
      <c r="N9" s="117"/>
      <c r="O9" s="117"/>
      <c r="P9" s="117"/>
      <c r="Q9" s="117"/>
      <c r="R9" s="117"/>
      <c r="S9" s="117"/>
      <c r="W9" s="117">
        <v>1.05</v>
      </c>
      <c r="X9" s="31">
        <v>5</v>
      </c>
      <c r="Y9" s="113">
        <f t="shared" si="17"/>
        <v>0.51051262500000005</v>
      </c>
      <c r="Z9" s="42">
        <f t="shared" si="0"/>
        <v>0.12</v>
      </c>
      <c r="AA9" s="113">
        <f>$Y9*$Z9*其他调用!V8</f>
        <v>0.26688333802016223</v>
      </c>
      <c r="AB9" s="113">
        <f>$Y9*$Z9*其他调用!W8</f>
        <v>0.33019958236294977</v>
      </c>
      <c r="AC9" s="113">
        <f>$Y9*$Z9*其他调用!X8</f>
        <v>0.36234173488078014</v>
      </c>
      <c r="AD9" s="113">
        <f>$Y9*$Z9*其他调用!Y8</f>
        <v>0.29584154802595947</v>
      </c>
      <c r="AE9" s="113">
        <f>$Y9*$Z9*其他调用!Z8</f>
        <v>0.16062279510967462</v>
      </c>
      <c r="AH9" s="31">
        <v>5</v>
      </c>
      <c r="AI9" s="31">
        <f>SUM(AA$5:AA9)</f>
        <v>1.0684311255120322</v>
      </c>
      <c r="AJ9" s="31">
        <f>SUM(AB$5:AB9)</f>
        <v>1.3246131053767396</v>
      </c>
      <c r="AK9" s="31">
        <f>SUM(AC$5:AC9)</f>
        <v>1.4466183370801149</v>
      </c>
      <c r="AL9" s="31">
        <f>SUM(AD$5:AD9)</f>
        <v>1.1744848504793548</v>
      </c>
      <c r="AM9" s="31">
        <f>SUM(AE$5:AE9)</f>
        <v>0.6342708799871446</v>
      </c>
      <c r="AR9" s="31">
        <v>5</v>
      </c>
      <c r="AS9" s="42">
        <f t="shared" si="1"/>
        <v>8.0000000000000016E-2</v>
      </c>
      <c r="AT9" s="52">
        <f>求节点(E$21:E$27,$M$21:$M$27,$AR9)*$AS9*其他调用!V8</f>
        <v>0</v>
      </c>
      <c r="AU9" s="52">
        <f>求节点(F$21:F$27,$M$21:$M$27,$AR9)*$AS9*其他调用!W8</f>
        <v>0</v>
      </c>
      <c r="AV9" s="52">
        <f>求节点(G$21:G$27,$M$21:$M$27,$AR9)*$AS9*其他调用!X8</f>
        <v>0</v>
      </c>
      <c r="AW9" s="52">
        <f>求节点(H$21:H$27,$M$21:$M$27,$AR9)*$AS9*其他调用!Y8</f>
        <v>0</v>
      </c>
      <c r="AX9" s="52">
        <f>求节点(I$21:I$27,$M$21:$M$27,$AR9)*$AS9*其他调用!Z8</f>
        <v>0</v>
      </c>
      <c r="AY9" s="52">
        <f>求节点(E$21:E$27,$N$21:$N$27,$AR9)*$AS9*其他调用!V8</f>
        <v>0</v>
      </c>
      <c r="AZ9" s="52">
        <f>求节点(F$21:F$27,$N$21:$N$27,$AR9)*$AS9*其他调用!W8</f>
        <v>0</v>
      </c>
      <c r="BA9" s="52">
        <f>求节点(G$21:G$27,$N$21:$N$27,$AR9)*$AS9*其他调用!X8</f>
        <v>0</v>
      </c>
      <c r="BB9" s="52">
        <f>求节点(H$21:H$27,$N$21:$N$27,$AR9)*$AS9*其他调用!Y8</f>
        <v>0</v>
      </c>
      <c r="BC9" s="52">
        <f>求节点(I$21:I$27,$N$21:$N$27,$AR9)*$AS9*其他调用!Z8</f>
        <v>0</v>
      </c>
      <c r="BD9" s="52">
        <f>求节点(E$21:E$27,$O$21:$O$27,$AR9)*$AS9*其他调用!V8</f>
        <v>0</v>
      </c>
      <c r="BE9" s="52">
        <f>求节点(F$21:F$27,$O$21:$O$27,$AR9)*$AS9*其他调用!W8</f>
        <v>0</v>
      </c>
      <c r="BF9" s="52">
        <f>求节点(G$21:G$27,$O$21:$O$27,$AR9)*$AS9*其他调用!X8</f>
        <v>0</v>
      </c>
      <c r="BG9" s="52">
        <f>求节点(H$21:H$27,$O$21:$O$27,$AR9)*$AS9*其他调用!Y8</f>
        <v>0</v>
      </c>
      <c r="BH9" s="52">
        <f>求节点(I$21:I$27,$O$21:$O$27,$AR9)*$AS9*其他调用!Z8</f>
        <v>0</v>
      </c>
      <c r="BK9" s="31">
        <v>5</v>
      </c>
      <c r="BL9" s="31">
        <f>SUM(AT$5:AT9)</f>
        <v>0</v>
      </c>
      <c r="BM9" s="31">
        <f>SUM(AU$5:AU9)</f>
        <v>0</v>
      </c>
      <c r="BN9" s="31">
        <f>SUM(AV$5:AV9)</f>
        <v>0</v>
      </c>
      <c r="BO9" s="31">
        <f>SUM(AW$5:AW9)</f>
        <v>0</v>
      </c>
      <c r="BP9" s="31">
        <f>SUM(AX$5:AX9)</f>
        <v>0</v>
      </c>
      <c r="BQ9" s="31">
        <f>SUM(AY$5:AY9)</f>
        <v>0</v>
      </c>
      <c r="BR9" s="31">
        <f>SUM(AZ$5:AZ9)</f>
        <v>0</v>
      </c>
      <c r="BS9" s="31">
        <f>SUM(BA$5:BA9)</f>
        <v>0</v>
      </c>
      <c r="BT9" s="31">
        <f>SUM(BB$5:BB9)</f>
        <v>0</v>
      </c>
      <c r="BU9" s="31">
        <f>SUM(BC$5:BC9)</f>
        <v>0</v>
      </c>
      <c r="BV9" s="31">
        <f>SUM(BD$5:BD9)</f>
        <v>0</v>
      </c>
      <c r="BW9" s="31">
        <f>SUM(BE$5:BE9)</f>
        <v>0</v>
      </c>
      <c r="BX9" s="31">
        <f>SUM(BF$5:BF9)</f>
        <v>0</v>
      </c>
      <c r="BY9" s="31">
        <f>SUM(BG$5:BG9)</f>
        <v>0</v>
      </c>
      <c r="BZ9" s="31">
        <f>SUM(BH$5:BH9)</f>
        <v>0</v>
      </c>
      <c r="CC9" s="41">
        <v>5</v>
      </c>
      <c r="CD9" s="41">
        <f t="shared" si="2"/>
        <v>0</v>
      </c>
      <c r="CE9" s="41">
        <f t="shared" si="3"/>
        <v>0</v>
      </c>
      <c r="CF9" s="41">
        <f t="shared" si="4"/>
        <v>0</v>
      </c>
      <c r="CG9" s="41">
        <f t="shared" si="5"/>
        <v>0</v>
      </c>
      <c r="CH9" s="41">
        <f t="shared" si="6"/>
        <v>0</v>
      </c>
      <c r="CI9" s="41">
        <f t="shared" si="7"/>
        <v>0</v>
      </c>
      <c r="CJ9" s="41">
        <f t="shared" si="8"/>
        <v>0</v>
      </c>
      <c r="CK9" s="41">
        <f t="shared" si="9"/>
        <v>0</v>
      </c>
      <c r="CL9" s="41">
        <f t="shared" si="10"/>
        <v>0</v>
      </c>
      <c r="CM9" s="41">
        <f t="shared" si="11"/>
        <v>0</v>
      </c>
      <c r="CN9" s="41">
        <f t="shared" si="12"/>
        <v>0</v>
      </c>
      <c r="CO9" s="41">
        <f t="shared" si="13"/>
        <v>0</v>
      </c>
      <c r="CP9" s="41">
        <f t="shared" si="14"/>
        <v>0</v>
      </c>
      <c r="CQ9" s="41">
        <f t="shared" si="15"/>
        <v>0</v>
      </c>
      <c r="CR9" s="41">
        <f t="shared" si="16"/>
        <v>0</v>
      </c>
    </row>
    <row r="10" spans="1:96" x14ac:dyDescent="0.15">
      <c r="B10" s="117"/>
      <c r="C10" s="153"/>
      <c r="D10" s="113" t="s">
        <v>404</v>
      </c>
      <c r="E10" s="37" t="s">
        <v>404</v>
      </c>
      <c r="F10" s="113" t="s">
        <v>404</v>
      </c>
      <c r="G10" s="113" t="s">
        <v>405</v>
      </c>
      <c r="H10" s="113" t="s">
        <v>406</v>
      </c>
      <c r="I10" s="113" t="s">
        <v>407</v>
      </c>
      <c r="J10" s="113" t="s">
        <v>408</v>
      </c>
      <c r="K10" s="22" t="s">
        <v>409</v>
      </c>
      <c r="L10" s="113" t="s">
        <v>410</v>
      </c>
      <c r="M10" s="22" t="s">
        <v>411</v>
      </c>
      <c r="N10" s="117"/>
      <c r="O10" s="117"/>
      <c r="P10" s="117"/>
      <c r="Q10" s="117"/>
      <c r="R10" s="117"/>
      <c r="S10" s="117"/>
      <c r="W10" s="117">
        <v>1.05</v>
      </c>
      <c r="X10" s="31">
        <v>6</v>
      </c>
      <c r="Y10" s="113">
        <f t="shared" si="17"/>
        <v>0.53603825625000012</v>
      </c>
      <c r="Z10" s="42">
        <f t="shared" si="0"/>
        <v>0.12</v>
      </c>
      <c r="AA10" s="113">
        <f>$Y10*$Z10*其他调用!V9</f>
        <v>0.30034040324726785</v>
      </c>
      <c r="AB10" s="113">
        <f>$Y10*$Z10*其他调用!W9</f>
        <v>0.37485156922923024</v>
      </c>
      <c r="AC10" s="113">
        <f>$Y10*$Z10*其他调用!X9</f>
        <v>0.41099210599324026</v>
      </c>
      <c r="AD10" s="113">
        <f>$Y10*$Z10*其他调用!Y9</f>
        <v>0.340801245558637</v>
      </c>
      <c r="AE10" s="113">
        <f>$Y10*$Z10*其他调用!Z9</f>
        <v>0.19113505105997683</v>
      </c>
      <c r="AH10" s="31">
        <v>6</v>
      </c>
      <c r="AI10" s="31">
        <f>SUM(AA$5:AA10)</f>
        <v>1.3687715287593001</v>
      </c>
      <c r="AJ10" s="31">
        <f>SUM(AB$5:AB10)</f>
        <v>1.6994646746059698</v>
      </c>
      <c r="AK10" s="31">
        <f>SUM(AC$5:AC10)</f>
        <v>1.8576104430733551</v>
      </c>
      <c r="AL10" s="31">
        <f>SUM(AD$5:AD10)</f>
        <v>1.5152860960379919</v>
      </c>
      <c r="AM10" s="31">
        <f>SUM(AE$5:AE10)</f>
        <v>0.82540593104712146</v>
      </c>
      <c r="AR10" s="31">
        <v>6</v>
      </c>
      <c r="AS10" s="42">
        <f t="shared" si="1"/>
        <v>8.0000000000000016E-2</v>
      </c>
      <c r="AT10" s="52">
        <f>求节点(E$21:E$27,$M$21:$M$27,$AR10)*$AS10*其他调用!V9</f>
        <v>0</v>
      </c>
      <c r="AU10" s="52">
        <f>求节点(F$21:F$27,$M$21:$M$27,$AR10)*$AS10*其他调用!W9</f>
        <v>0</v>
      </c>
      <c r="AV10" s="52">
        <f>求节点(G$21:G$27,$M$21:$M$27,$AR10)*$AS10*其他调用!X9</f>
        <v>0</v>
      </c>
      <c r="AW10" s="52">
        <f>求节点(H$21:H$27,$M$21:$M$27,$AR10)*$AS10*其他调用!Y9</f>
        <v>0</v>
      </c>
      <c r="AX10" s="52">
        <f>求节点(I$21:I$27,$M$21:$M$27,$AR10)*$AS10*其他调用!Z9</f>
        <v>0</v>
      </c>
      <c r="AY10" s="52">
        <f>求节点(E$21:E$27,$N$21:$N$27,$AR10)*$AS10*其他调用!V9</f>
        <v>0</v>
      </c>
      <c r="AZ10" s="52">
        <f>求节点(F$21:F$27,$N$21:$N$27,$AR10)*$AS10*其他调用!W9</f>
        <v>0</v>
      </c>
      <c r="BA10" s="52">
        <f>求节点(G$21:G$27,$N$21:$N$27,$AR10)*$AS10*其他调用!X9</f>
        <v>0</v>
      </c>
      <c r="BB10" s="52">
        <f>求节点(H$21:H$27,$N$21:$N$27,$AR10)*$AS10*其他调用!Y9</f>
        <v>0</v>
      </c>
      <c r="BC10" s="52">
        <f>求节点(I$21:I$27,$N$21:$N$27,$AR10)*$AS10*其他调用!Z9</f>
        <v>0</v>
      </c>
      <c r="BD10" s="52">
        <f>求节点(E$21:E$27,$O$21:$O$27,$AR10)*$AS10*其他调用!V9</f>
        <v>0</v>
      </c>
      <c r="BE10" s="52">
        <f>求节点(F$21:F$27,$O$21:$O$27,$AR10)*$AS10*其他调用!W9</f>
        <v>0</v>
      </c>
      <c r="BF10" s="52">
        <f>求节点(G$21:G$27,$O$21:$O$27,$AR10)*$AS10*其他调用!X9</f>
        <v>0</v>
      </c>
      <c r="BG10" s="52">
        <f>求节点(H$21:H$27,$O$21:$O$27,$AR10)*$AS10*其他调用!Y9</f>
        <v>0</v>
      </c>
      <c r="BH10" s="52">
        <f>求节点(I$21:I$27,$O$21:$O$27,$AR10)*$AS10*其他调用!Z9</f>
        <v>0</v>
      </c>
      <c r="BK10" s="31">
        <v>6</v>
      </c>
      <c r="BL10" s="31">
        <f>SUM(AT$5:AT10)</f>
        <v>0</v>
      </c>
      <c r="BM10" s="31">
        <f>SUM(AU$5:AU10)</f>
        <v>0</v>
      </c>
      <c r="BN10" s="31">
        <f>SUM(AV$5:AV10)</f>
        <v>0</v>
      </c>
      <c r="BO10" s="31">
        <f>SUM(AW$5:AW10)</f>
        <v>0</v>
      </c>
      <c r="BP10" s="31">
        <f>SUM(AX$5:AX10)</f>
        <v>0</v>
      </c>
      <c r="BQ10" s="31">
        <f>SUM(AY$5:AY10)</f>
        <v>0</v>
      </c>
      <c r="BR10" s="31">
        <f>SUM(AZ$5:AZ10)</f>
        <v>0</v>
      </c>
      <c r="BS10" s="31">
        <f>SUM(BA$5:BA10)</f>
        <v>0</v>
      </c>
      <c r="BT10" s="31">
        <f>SUM(BB$5:BB10)</f>
        <v>0</v>
      </c>
      <c r="BU10" s="31">
        <f>SUM(BC$5:BC10)</f>
        <v>0</v>
      </c>
      <c r="BV10" s="31">
        <f>SUM(BD$5:BD10)</f>
        <v>0</v>
      </c>
      <c r="BW10" s="31">
        <f>SUM(BE$5:BE10)</f>
        <v>0</v>
      </c>
      <c r="BX10" s="31">
        <f>SUM(BF$5:BF10)</f>
        <v>0</v>
      </c>
      <c r="BY10" s="31">
        <f>SUM(BG$5:BG10)</f>
        <v>0</v>
      </c>
      <c r="BZ10" s="31">
        <f>SUM(BH$5:BH10)</f>
        <v>0</v>
      </c>
      <c r="CC10" s="41">
        <v>6</v>
      </c>
      <c r="CD10" s="41">
        <f t="shared" si="2"/>
        <v>0</v>
      </c>
      <c r="CE10" s="41">
        <f t="shared" si="3"/>
        <v>0</v>
      </c>
      <c r="CF10" s="41">
        <f t="shared" si="4"/>
        <v>0</v>
      </c>
      <c r="CG10" s="41">
        <f t="shared" si="5"/>
        <v>0</v>
      </c>
      <c r="CH10" s="41">
        <f t="shared" si="6"/>
        <v>0</v>
      </c>
      <c r="CI10" s="41">
        <f t="shared" si="7"/>
        <v>0</v>
      </c>
      <c r="CJ10" s="41">
        <f t="shared" si="8"/>
        <v>0</v>
      </c>
      <c r="CK10" s="41">
        <f t="shared" si="9"/>
        <v>0</v>
      </c>
      <c r="CL10" s="41">
        <f t="shared" si="10"/>
        <v>0</v>
      </c>
      <c r="CM10" s="41">
        <f t="shared" si="11"/>
        <v>0</v>
      </c>
      <c r="CN10" s="41">
        <f t="shared" si="12"/>
        <v>0</v>
      </c>
      <c r="CO10" s="41">
        <f t="shared" si="13"/>
        <v>0</v>
      </c>
      <c r="CP10" s="41">
        <f t="shared" si="14"/>
        <v>0</v>
      </c>
      <c r="CQ10" s="41">
        <f t="shared" si="15"/>
        <v>0</v>
      </c>
      <c r="CR10" s="41">
        <f t="shared" si="16"/>
        <v>0</v>
      </c>
    </row>
    <row r="11" spans="1:96" x14ac:dyDescent="0.15">
      <c r="B11" s="126" t="s">
        <v>417</v>
      </c>
      <c r="C11" s="113" t="str">
        <f>'[1]功能-行军令'!AC7</f>
        <v>剿匪1</v>
      </c>
      <c r="D11" s="139" t="str">
        <f>'[1]功能-行军令'!AD7</f>
        <v>装备</v>
      </c>
      <c r="E11" s="139"/>
      <c r="F11" s="113" t="str">
        <f>'[1]功能-行军令'!AE7</f>
        <v>装备经验</v>
      </c>
      <c r="G11" s="113" t="str">
        <f>'[1]功能-行军令'!AF7</f>
        <v>武将经验</v>
      </c>
      <c r="H11" s="113" t="str">
        <f>'[1]功能-行军令'!AG7</f>
        <v>银币</v>
      </c>
      <c r="I11" s="113" t="str">
        <f>'[1]功能-行军令'!AH7</f>
        <v>城建资源</v>
      </c>
      <c r="J11" s="113" t="str">
        <f>'[1]功能-行军令'!AI7</f>
        <v>加速令</v>
      </c>
      <c r="K11" s="125">
        <f>'[1]功能-行军令'!AJ7</f>
        <v>0.6</v>
      </c>
      <c r="L11" s="113">
        <f>'[1]功能-行军令'!AK7</f>
        <v>1</v>
      </c>
      <c r="M11" s="113">
        <f>'[1]功能-行军令'!AL7</f>
        <v>24</v>
      </c>
      <c r="N11" s="117"/>
      <c r="O11" s="117"/>
      <c r="P11" s="117"/>
      <c r="Q11" s="117"/>
      <c r="R11" s="117"/>
      <c r="S11" s="117"/>
      <c r="W11" s="117">
        <v>1.05</v>
      </c>
      <c r="X11" s="31">
        <v>7</v>
      </c>
      <c r="Y11" s="113">
        <f t="shared" si="17"/>
        <v>0.56284016906250012</v>
      </c>
      <c r="Z11" s="42">
        <f t="shared" si="0"/>
        <v>0.12</v>
      </c>
      <c r="AA11" s="113">
        <f>$Y11*$Z11*其他调用!V10</f>
        <v>0.33799171762426505</v>
      </c>
      <c r="AB11" s="113">
        <f>$Y11*$Z11*其他调用!W10</f>
        <v>0.42875892831633333</v>
      </c>
      <c r="AC11" s="113">
        <f>$Y11*$Z11*其他调用!X10</f>
        <v>0.47542177503495481</v>
      </c>
      <c r="AD11" s="113">
        <f>$Y11*$Z11*其他调用!Y10</f>
        <v>0.38332549946857181</v>
      </c>
      <c r="AE11" s="113">
        <f>$Y11*$Z11*其他调用!Z10</f>
        <v>0.19914141765546864</v>
      </c>
      <c r="AH11" s="31">
        <v>7</v>
      </c>
      <c r="AI11" s="31">
        <f>SUM(AA$5:AA11)</f>
        <v>1.7067632463835651</v>
      </c>
      <c r="AJ11" s="31">
        <f>SUM(AB$5:AB11)</f>
        <v>2.1282236029223034</v>
      </c>
      <c r="AK11" s="31">
        <f>SUM(AC$5:AC11)</f>
        <v>2.3330322181083099</v>
      </c>
      <c r="AL11" s="31">
        <f>SUM(AD$5:AD11)</f>
        <v>1.8986115955065637</v>
      </c>
      <c r="AM11" s="31">
        <f>SUM(AE$5:AE11)</f>
        <v>1.02454734870259</v>
      </c>
      <c r="AR11" s="31">
        <v>7</v>
      </c>
      <c r="AS11" s="42">
        <f t="shared" si="1"/>
        <v>8.0000000000000016E-2</v>
      </c>
      <c r="AT11" s="52">
        <f>求节点(E$21:E$27,$M$21:$M$27,$AR11)*$AS11*其他调用!V10</f>
        <v>0</v>
      </c>
      <c r="AU11" s="52">
        <f>求节点(F$21:F$27,$M$21:$M$27,$AR11)*$AS11*其他调用!W10</f>
        <v>0</v>
      </c>
      <c r="AV11" s="52">
        <f>求节点(G$21:G$27,$M$21:$M$27,$AR11)*$AS11*其他调用!X10</f>
        <v>0</v>
      </c>
      <c r="AW11" s="52">
        <f>求节点(H$21:H$27,$M$21:$M$27,$AR11)*$AS11*其他调用!Y10</f>
        <v>0</v>
      </c>
      <c r="AX11" s="52">
        <f>求节点(I$21:I$27,$M$21:$M$27,$AR11)*$AS11*其他调用!Z10</f>
        <v>0</v>
      </c>
      <c r="AY11" s="52">
        <f>求节点(E$21:E$27,$N$21:$N$27,$AR11)*$AS11*其他调用!V10</f>
        <v>0</v>
      </c>
      <c r="AZ11" s="52">
        <f>求节点(F$21:F$27,$N$21:$N$27,$AR11)*$AS11*其他调用!W10</f>
        <v>0</v>
      </c>
      <c r="BA11" s="52">
        <f>求节点(G$21:G$27,$N$21:$N$27,$AR11)*$AS11*其他调用!X10</f>
        <v>0</v>
      </c>
      <c r="BB11" s="52">
        <f>求节点(H$21:H$27,$N$21:$N$27,$AR11)*$AS11*其他调用!Y10</f>
        <v>0</v>
      </c>
      <c r="BC11" s="52">
        <f>求节点(I$21:I$27,$N$21:$N$27,$AR11)*$AS11*其他调用!Z10</f>
        <v>0</v>
      </c>
      <c r="BD11" s="52">
        <f>求节点(E$21:E$27,$O$21:$O$27,$AR11)*$AS11*其他调用!V10</f>
        <v>0</v>
      </c>
      <c r="BE11" s="52">
        <f>求节点(F$21:F$27,$O$21:$O$27,$AR11)*$AS11*其他调用!W10</f>
        <v>0</v>
      </c>
      <c r="BF11" s="52">
        <f>求节点(G$21:G$27,$O$21:$O$27,$AR11)*$AS11*其他调用!X10</f>
        <v>0</v>
      </c>
      <c r="BG11" s="52">
        <f>求节点(H$21:H$27,$O$21:$O$27,$AR11)*$AS11*其他调用!Y10</f>
        <v>0</v>
      </c>
      <c r="BH11" s="52">
        <f>求节点(I$21:I$27,$O$21:$O$27,$AR11)*$AS11*其他调用!Z10</f>
        <v>0</v>
      </c>
      <c r="BK11" s="31">
        <v>7</v>
      </c>
      <c r="BL11" s="31">
        <f>SUM(AT$5:AT11)</f>
        <v>0</v>
      </c>
      <c r="BM11" s="31">
        <f>SUM(AU$5:AU11)</f>
        <v>0</v>
      </c>
      <c r="BN11" s="31">
        <f>SUM(AV$5:AV11)</f>
        <v>0</v>
      </c>
      <c r="BO11" s="31">
        <f>SUM(AW$5:AW11)</f>
        <v>0</v>
      </c>
      <c r="BP11" s="31">
        <f>SUM(AX$5:AX11)</f>
        <v>0</v>
      </c>
      <c r="BQ11" s="31">
        <f>SUM(AY$5:AY11)</f>
        <v>0</v>
      </c>
      <c r="BR11" s="31">
        <f>SUM(AZ$5:AZ11)</f>
        <v>0</v>
      </c>
      <c r="BS11" s="31">
        <f>SUM(BA$5:BA11)</f>
        <v>0</v>
      </c>
      <c r="BT11" s="31">
        <f>SUM(BB$5:BB11)</f>
        <v>0</v>
      </c>
      <c r="BU11" s="31">
        <f>SUM(BC$5:BC11)</f>
        <v>0</v>
      </c>
      <c r="BV11" s="31">
        <f>SUM(BD$5:BD11)</f>
        <v>0</v>
      </c>
      <c r="BW11" s="31">
        <f>SUM(BE$5:BE11)</f>
        <v>0</v>
      </c>
      <c r="BX11" s="31">
        <f>SUM(BF$5:BF11)</f>
        <v>0</v>
      </c>
      <c r="BY11" s="31">
        <f>SUM(BG$5:BG11)</f>
        <v>0</v>
      </c>
      <c r="BZ11" s="31">
        <f>SUM(BH$5:BH11)</f>
        <v>0</v>
      </c>
      <c r="CC11" s="41">
        <v>7</v>
      </c>
      <c r="CD11" s="41">
        <f t="shared" si="2"/>
        <v>0</v>
      </c>
      <c r="CE11" s="41">
        <f t="shared" si="3"/>
        <v>0</v>
      </c>
      <c r="CF11" s="41">
        <f t="shared" si="4"/>
        <v>0</v>
      </c>
      <c r="CG11" s="41">
        <f t="shared" si="5"/>
        <v>0</v>
      </c>
      <c r="CH11" s="41">
        <f t="shared" si="6"/>
        <v>0</v>
      </c>
      <c r="CI11" s="41">
        <f t="shared" si="7"/>
        <v>0</v>
      </c>
      <c r="CJ11" s="41">
        <f t="shared" si="8"/>
        <v>0</v>
      </c>
      <c r="CK11" s="41">
        <f t="shared" si="9"/>
        <v>0</v>
      </c>
      <c r="CL11" s="41">
        <f t="shared" si="10"/>
        <v>0</v>
      </c>
      <c r="CM11" s="41">
        <f t="shared" si="11"/>
        <v>0</v>
      </c>
      <c r="CN11" s="41">
        <f t="shared" si="12"/>
        <v>0</v>
      </c>
      <c r="CO11" s="41">
        <f t="shared" si="13"/>
        <v>0</v>
      </c>
      <c r="CP11" s="41">
        <f t="shared" si="14"/>
        <v>0</v>
      </c>
      <c r="CQ11" s="41">
        <f t="shared" si="15"/>
        <v>0</v>
      </c>
      <c r="CR11" s="41">
        <f t="shared" si="16"/>
        <v>0</v>
      </c>
    </row>
    <row r="12" spans="1:96" x14ac:dyDescent="0.15">
      <c r="B12" s="127" t="s">
        <v>418</v>
      </c>
      <c r="C12" s="113" t="s">
        <v>416</v>
      </c>
      <c r="D12" s="113" t="s">
        <v>202</v>
      </c>
      <c r="E12" s="37" t="s">
        <v>200</v>
      </c>
      <c r="F12" s="113" t="s">
        <v>193</v>
      </c>
      <c r="G12" s="113" t="s">
        <v>201</v>
      </c>
      <c r="H12" s="113" t="s">
        <v>413</v>
      </c>
      <c r="I12" s="113" t="s">
        <v>412</v>
      </c>
      <c r="J12" s="113" t="s">
        <v>195</v>
      </c>
      <c r="K12" s="125">
        <v>0.4</v>
      </c>
      <c r="L12" s="128">
        <f>$E$4</f>
        <v>2</v>
      </c>
      <c r="M12" s="113">
        <f>K12*40/L12</f>
        <v>8</v>
      </c>
      <c r="N12" s="117"/>
      <c r="O12" s="117"/>
      <c r="P12" s="117"/>
      <c r="Q12" s="117"/>
      <c r="R12" s="117"/>
      <c r="S12" s="117"/>
      <c r="W12" s="117">
        <v>1.05</v>
      </c>
      <c r="X12" s="31">
        <v>8</v>
      </c>
      <c r="Y12" s="113">
        <f t="shared" si="17"/>
        <v>0.5909821775156251</v>
      </c>
      <c r="Z12" s="42">
        <f t="shared" si="0"/>
        <v>0.12</v>
      </c>
      <c r="AA12" s="113">
        <f>$Y12*$Z12*其他调用!V11</f>
        <v>0.38036308118208534</v>
      </c>
      <c r="AB12" s="113">
        <f>$Y12*$Z12*其他调用!W11</f>
        <v>0.45975691138926661</v>
      </c>
      <c r="AC12" s="113">
        <f>$Y12*$Z12*其他调用!X11</f>
        <v>0.48262123513720778</v>
      </c>
      <c r="AD12" s="113">
        <f>$Y12*$Z12*其他调用!Y11</f>
        <v>0.38311737364360482</v>
      </c>
      <c r="AE12" s="113">
        <f>$Y12*$Z12*其他调用!Z11</f>
        <v>0.21041702587265607</v>
      </c>
      <c r="AH12" s="31">
        <v>8</v>
      </c>
      <c r="AI12" s="31">
        <f>SUM(AA$5:AA12)</f>
        <v>2.0871263275656506</v>
      </c>
      <c r="AJ12" s="31">
        <f>SUM(AB$5:AB12)</f>
        <v>2.5879805143115702</v>
      </c>
      <c r="AK12" s="31">
        <f>SUM(AC$5:AC12)</f>
        <v>2.8156534532455177</v>
      </c>
      <c r="AL12" s="31">
        <f>SUM(AD$5:AD12)</f>
        <v>2.2817289691501683</v>
      </c>
      <c r="AM12" s="31">
        <f>SUM(AE$5:AE12)</f>
        <v>1.2349643745752461</v>
      </c>
      <c r="AR12" s="31">
        <v>8</v>
      </c>
      <c r="AS12" s="42">
        <f t="shared" si="1"/>
        <v>8.0000000000000016E-2</v>
      </c>
      <c r="AT12" s="52">
        <f>求节点(E$21:E$27,$M$21:$M$27,$AR12)*$AS12*其他调用!V11</f>
        <v>0</v>
      </c>
      <c r="AU12" s="52">
        <f>求节点(F$21:F$27,$M$21:$M$27,$AR12)*$AS12*其他调用!W11</f>
        <v>0</v>
      </c>
      <c r="AV12" s="52">
        <f>求节点(G$21:G$27,$M$21:$M$27,$AR12)*$AS12*其他调用!X11</f>
        <v>0</v>
      </c>
      <c r="AW12" s="52">
        <f>求节点(H$21:H$27,$M$21:$M$27,$AR12)*$AS12*其他调用!Y11</f>
        <v>0</v>
      </c>
      <c r="AX12" s="52">
        <f>求节点(I$21:I$27,$M$21:$M$27,$AR12)*$AS12*其他调用!Z11</f>
        <v>0</v>
      </c>
      <c r="AY12" s="52">
        <f>求节点(E$21:E$27,$N$21:$N$27,$AR12)*$AS12*其他调用!V11</f>
        <v>0</v>
      </c>
      <c r="AZ12" s="52">
        <f>求节点(F$21:F$27,$N$21:$N$27,$AR12)*$AS12*其他调用!W11</f>
        <v>0</v>
      </c>
      <c r="BA12" s="52">
        <f>求节点(G$21:G$27,$N$21:$N$27,$AR12)*$AS12*其他调用!X11</f>
        <v>0</v>
      </c>
      <c r="BB12" s="52">
        <f>求节点(H$21:H$27,$N$21:$N$27,$AR12)*$AS12*其他调用!Y11</f>
        <v>0</v>
      </c>
      <c r="BC12" s="52">
        <f>求节点(I$21:I$27,$N$21:$N$27,$AR12)*$AS12*其他调用!Z11</f>
        <v>0</v>
      </c>
      <c r="BD12" s="52">
        <f>求节点(E$21:E$27,$O$21:$O$27,$AR12)*$AS12*其他调用!V11</f>
        <v>0</v>
      </c>
      <c r="BE12" s="52">
        <f>求节点(F$21:F$27,$O$21:$O$27,$AR12)*$AS12*其他调用!W11</f>
        <v>0</v>
      </c>
      <c r="BF12" s="52">
        <f>求节点(G$21:G$27,$O$21:$O$27,$AR12)*$AS12*其他调用!X11</f>
        <v>0</v>
      </c>
      <c r="BG12" s="52">
        <f>求节点(H$21:H$27,$O$21:$O$27,$AR12)*$AS12*其他调用!Y11</f>
        <v>0</v>
      </c>
      <c r="BH12" s="52">
        <f>求节点(I$21:I$27,$O$21:$O$27,$AR12)*$AS12*其他调用!Z11</f>
        <v>0</v>
      </c>
      <c r="BK12" s="31">
        <v>8</v>
      </c>
      <c r="BL12" s="31">
        <f>SUM(AT$5:AT12)</f>
        <v>0</v>
      </c>
      <c r="BM12" s="31">
        <f>SUM(AU$5:AU12)</f>
        <v>0</v>
      </c>
      <c r="BN12" s="31">
        <f>SUM(AV$5:AV12)</f>
        <v>0</v>
      </c>
      <c r="BO12" s="31">
        <f>SUM(AW$5:AW12)</f>
        <v>0</v>
      </c>
      <c r="BP12" s="31">
        <f>SUM(AX$5:AX12)</f>
        <v>0</v>
      </c>
      <c r="BQ12" s="31">
        <f>SUM(AY$5:AY12)</f>
        <v>0</v>
      </c>
      <c r="BR12" s="31">
        <f>SUM(AZ$5:AZ12)</f>
        <v>0</v>
      </c>
      <c r="BS12" s="31">
        <f>SUM(BA$5:BA12)</f>
        <v>0</v>
      </c>
      <c r="BT12" s="31">
        <f>SUM(BB$5:BB12)</f>
        <v>0</v>
      </c>
      <c r="BU12" s="31">
        <f>SUM(BC$5:BC12)</f>
        <v>0</v>
      </c>
      <c r="BV12" s="31">
        <f>SUM(BD$5:BD12)</f>
        <v>0</v>
      </c>
      <c r="BW12" s="31">
        <f>SUM(BE$5:BE12)</f>
        <v>0</v>
      </c>
      <c r="BX12" s="31">
        <f>SUM(BF$5:BF12)</f>
        <v>0</v>
      </c>
      <c r="BY12" s="31">
        <f>SUM(BG$5:BG12)</f>
        <v>0</v>
      </c>
      <c r="BZ12" s="31">
        <f>SUM(BH$5:BH12)</f>
        <v>0</v>
      </c>
      <c r="CC12" s="41">
        <v>8</v>
      </c>
      <c r="CD12" s="41">
        <f t="shared" si="2"/>
        <v>0</v>
      </c>
      <c r="CE12" s="41">
        <f t="shared" si="3"/>
        <v>0</v>
      </c>
      <c r="CF12" s="41">
        <f t="shared" si="4"/>
        <v>0</v>
      </c>
      <c r="CG12" s="41">
        <f t="shared" si="5"/>
        <v>0</v>
      </c>
      <c r="CH12" s="41">
        <f t="shared" si="6"/>
        <v>0</v>
      </c>
      <c r="CI12" s="41">
        <f t="shared" si="7"/>
        <v>0</v>
      </c>
      <c r="CJ12" s="41">
        <f t="shared" si="8"/>
        <v>0</v>
      </c>
      <c r="CK12" s="41">
        <f t="shared" si="9"/>
        <v>0</v>
      </c>
      <c r="CL12" s="41">
        <f t="shared" si="10"/>
        <v>0</v>
      </c>
      <c r="CM12" s="41">
        <f t="shared" si="11"/>
        <v>0</v>
      </c>
      <c r="CN12" s="41">
        <f t="shared" si="12"/>
        <v>0</v>
      </c>
      <c r="CO12" s="41">
        <f t="shared" si="13"/>
        <v>0</v>
      </c>
      <c r="CP12" s="41">
        <f t="shared" si="14"/>
        <v>0</v>
      </c>
      <c r="CQ12" s="41">
        <f t="shared" si="15"/>
        <v>0</v>
      </c>
      <c r="CR12" s="41">
        <f t="shared" si="16"/>
        <v>0</v>
      </c>
    </row>
    <row r="13" spans="1:96" x14ac:dyDescent="0.15">
      <c r="B13" s="117"/>
      <c r="M13" s="117"/>
      <c r="N13" s="117"/>
      <c r="O13" s="117"/>
      <c r="P13" s="117"/>
      <c r="Q13" s="117"/>
      <c r="R13" s="117"/>
      <c r="S13" s="117"/>
      <c r="W13" s="117">
        <v>1.05</v>
      </c>
      <c r="X13" s="31">
        <v>9</v>
      </c>
      <c r="Y13" s="113">
        <f t="shared" si="17"/>
        <v>0.62053128639140642</v>
      </c>
      <c r="Z13" s="42">
        <f t="shared" si="0"/>
        <v>0.12</v>
      </c>
      <c r="AA13" s="113">
        <f>$Y13*$Z13*其他调用!V12</f>
        <v>0.42804620936647136</v>
      </c>
      <c r="AB13" s="113">
        <f>$Y13*$Z13*其他调用!W12</f>
        <v>0.52945405454748273</v>
      </c>
      <c r="AC13" s="113">
        <f>$Y13*$Z13*其他调用!X12</f>
        <v>0.59167818854003884</v>
      </c>
      <c r="AD13" s="113">
        <f>$Y13*$Z13*其他调用!Y12</f>
        <v>0.50397724222097218</v>
      </c>
      <c r="AE13" s="113">
        <f>$Y13*$Z13*其他调用!Z12</f>
        <v>0.27713591864132703</v>
      </c>
      <c r="AH13" s="31">
        <v>9</v>
      </c>
      <c r="AI13" s="31">
        <f>SUM(AA$5:AA13)</f>
        <v>2.5151725369321221</v>
      </c>
      <c r="AJ13" s="31">
        <f>SUM(AB$5:AB13)</f>
        <v>3.117434568859053</v>
      </c>
      <c r="AK13" s="31">
        <f>SUM(AC$5:AC13)</f>
        <v>3.4073316417855564</v>
      </c>
      <c r="AL13" s="31">
        <f>SUM(AD$5:AD13)</f>
        <v>2.7857062113711404</v>
      </c>
      <c r="AM13" s="31">
        <f>SUM(AE$5:AE13)</f>
        <v>1.512100293216573</v>
      </c>
      <c r="AR13" s="31">
        <v>9</v>
      </c>
      <c r="AS13" s="42">
        <f t="shared" si="1"/>
        <v>8.0000000000000016E-2</v>
      </c>
      <c r="AT13" s="52">
        <f>求节点(E$21:E$27,$M$21:$M$27,$AR13)*$AS13*其他调用!V12</f>
        <v>0</v>
      </c>
      <c r="AU13" s="52">
        <f>求节点(F$21:F$27,$M$21:$M$27,$AR13)*$AS13*其他调用!W12</f>
        <v>0</v>
      </c>
      <c r="AV13" s="52">
        <f>求节点(G$21:G$27,$M$21:$M$27,$AR13)*$AS13*其他调用!X12</f>
        <v>0</v>
      </c>
      <c r="AW13" s="52">
        <f>求节点(H$21:H$27,$M$21:$M$27,$AR13)*$AS13*其他调用!Y12</f>
        <v>0</v>
      </c>
      <c r="AX13" s="52">
        <f>求节点(I$21:I$27,$M$21:$M$27,$AR13)*$AS13*其他调用!Z12</f>
        <v>0</v>
      </c>
      <c r="AY13" s="52">
        <f>求节点(E$21:E$27,$N$21:$N$27,$AR13)*$AS13*其他调用!V12</f>
        <v>0</v>
      </c>
      <c r="AZ13" s="52">
        <f>求节点(F$21:F$27,$N$21:$N$27,$AR13)*$AS13*其他调用!W12</f>
        <v>0</v>
      </c>
      <c r="BA13" s="52">
        <f>求节点(G$21:G$27,$N$21:$N$27,$AR13)*$AS13*其他调用!X12</f>
        <v>0</v>
      </c>
      <c r="BB13" s="52">
        <f>求节点(H$21:H$27,$N$21:$N$27,$AR13)*$AS13*其他调用!Y12</f>
        <v>0</v>
      </c>
      <c r="BC13" s="52">
        <f>求节点(I$21:I$27,$N$21:$N$27,$AR13)*$AS13*其他调用!Z12</f>
        <v>0</v>
      </c>
      <c r="BD13" s="52">
        <f>求节点(E$21:E$27,$O$21:$O$27,$AR13)*$AS13*其他调用!V12</f>
        <v>0</v>
      </c>
      <c r="BE13" s="52">
        <f>求节点(F$21:F$27,$O$21:$O$27,$AR13)*$AS13*其他调用!W12</f>
        <v>0</v>
      </c>
      <c r="BF13" s="52">
        <f>求节点(G$21:G$27,$O$21:$O$27,$AR13)*$AS13*其他调用!X12</f>
        <v>0</v>
      </c>
      <c r="BG13" s="52">
        <f>求节点(H$21:H$27,$O$21:$O$27,$AR13)*$AS13*其他调用!Y12</f>
        <v>0</v>
      </c>
      <c r="BH13" s="52">
        <f>求节点(I$21:I$27,$O$21:$O$27,$AR13)*$AS13*其他调用!Z12</f>
        <v>0</v>
      </c>
      <c r="BK13" s="31">
        <v>9</v>
      </c>
      <c r="BL13" s="31">
        <f>SUM(AT$5:AT13)</f>
        <v>0</v>
      </c>
      <c r="BM13" s="31">
        <f>SUM(AU$5:AU13)</f>
        <v>0</v>
      </c>
      <c r="BN13" s="31">
        <f>SUM(AV$5:AV13)</f>
        <v>0</v>
      </c>
      <c r="BO13" s="31">
        <f>SUM(AW$5:AW13)</f>
        <v>0</v>
      </c>
      <c r="BP13" s="31">
        <f>SUM(AX$5:AX13)</f>
        <v>0</v>
      </c>
      <c r="BQ13" s="31">
        <f>SUM(AY$5:AY13)</f>
        <v>0</v>
      </c>
      <c r="BR13" s="31">
        <f>SUM(AZ$5:AZ13)</f>
        <v>0</v>
      </c>
      <c r="BS13" s="31">
        <f>SUM(BA$5:BA13)</f>
        <v>0</v>
      </c>
      <c r="BT13" s="31">
        <f>SUM(BB$5:BB13)</f>
        <v>0</v>
      </c>
      <c r="BU13" s="31">
        <f>SUM(BC$5:BC13)</f>
        <v>0</v>
      </c>
      <c r="BV13" s="31">
        <f>SUM(BD$5:BD13)</f>
        <v>0</v>
      </c>
      <c r="BW13" s="31">
        <f>SUM(BE$5:BE13)</f>
        <v>0</v>
      </c>
      <c r="BX13" s="31">
        <f>SUM(BF$5:BF13)</f>
        <v>0</v>
      </c>
      <c r="BY13" s="31">
        <f>SUM(BG$5:BG13)</f>
        <v>0</v>
      </c>
      <c r="BZ13" s="31">
        <f>SUM(BH$5:BH13)</f>
        <v>0</v>
      </c>
      <c r="CC13" s="41">
        <v>9</v>
      </c>
      <c r="CD13" s="41">
        <f t="shared" si="2"/>
        <v>0</v>
      </c>
      <c r="CE13" s="41">
        <f t="shared" si="3"/>
        <v>0</v>
      </c>
      <c r="CF13" s="41">
        <f t="shared" si="4"/>
        <v>0</v>
      </c>
      <c r="CG13" s="41">
        <f t="shared" si="5"/>
        <v>0</v>
      </c>
      <c r="CH13" s="41">
        <f t="shared" si="6"/>
        <v>0</v>
      </c>
      <c r="CI13" s="41">
        <f t="shared" si="7"/>
        <v>0</v>
      </c>
      <c r="CJ13" s="41">
        <f t="shared" si="8"/>
        <v>0</v>
      </c>
      <c r="CK13" s="41">
        <f t="shared" si="9"/>
        <v>0</v>
      </c>
      <c r="CL13" s="41">
        <f t="shared" si="10"/>
        <v>0</v>
      </c>
      <c r="CM13" s="41">
        <f t="shared" si="11"/>
        <v>0</v>
      </c>
      <c r="CN13" s="41">
        <f t="shared" si="12"/>
        <v>0</v>
      </c>
      <c r="CO13" s="41">
        <f t="shared" si="13"/>
        <v>0</v>
      </c>
      <c r="CP13" s="41">
        <f t="shared" si="14"/>
        <v>0</v>
      </c>
      <c r="CQ13" s="41">
        <f t="shared" si="15"/>
        <v>0</v>
      </c>
      <c r="CR13" s="41">
        <f t="shared" si="16"/>
        <v>0</v>
      </c>
    </row>
    <row r="14" spans="1:96" x14ac:dyDescent="0.15">
      <c r="B14" s="117"/>
      <c r="M14" s="117"/>
      <c r="N14" s="117"/>
      <c r="O14" s="117"/>
      <c r="P14" s="117"/>
      <c r="Q14" s="117"/>
      <c r="R14" s="117"/>
      <c r="S14" s="117"/>
      <c r="W14" s="117">
        <v>1.05</v>
      </c>
      <c r="X14" s="31">
        <v>10</v>
      </c>
      <c r="Y14" s="113">
        <f t="shared" si="17"/>
        <v>0.65155785071097672</v>
      </c>
      <c r="Z14" s="42">
        <f t="shared" si="0"/>
        <v>0.12</v>
      </c>
      <c r="AA14" s="113">
        <f>$Y14*$Z14*其他调用!V13</f>
        <v>0.48170699633514985</v>
      </c>
      <c r="AB14" s="113">
        <f>$Y14*$Z14*其他调用!W13</f>
        <v>0.61698221741234016</v>
      </c>
      <c r="AC14" s="113">
        <f>$Y14*$Z14*其他调用!X13</f>
        <v>0.6878639270883482</v>
      </c>
      <c r="AD14" s="113">
        <f>$Y14*$Z14*其他调用!Y13</f>
        <v>0.58093457854352193</v>
      </c>
      <c r="AE14" s="113">
        <f>$Y14*$Z14*其他调用!Z13</f>
        <v>0.33233794159461405</v>
      </c>
      <c r="AH14" s="31">
        <v>10</v>
      </c>
      <c r="AI14" s="31">
        <f>SUM(AA$5:AA14)</f>
        <v>2.996879533267272</v>
      </c>
      <c r="AJ14" s="31">
        <f>SUM(AB$5:AB14)</f>
        <v>3.7344167862713933</v>
      </c>
      <c r="AK14" s="31">
        <f>SUM(AC$5:AC14)</f>
        <v>4.0951955688739048</v>
      </c>
      <c r="AL14" s="31">
        <f>SUM(AD$5:AD14)</f>
        <v>3.3666407899146624</v>
      </c>
      <c r="AM14" s="31">
        <f>SUM(AE$5:AE14)</f>
        <v>1.8444382348111872</v>
      </c>
      <c r="AR14" s="31">
        <v>10</v>
      </c>
      <c r="AS14" s="42">
        <f t="shared" si="1"/>
        <v>8.0000000000000016E-2</v>
      </c>
      <c r="AT14" s="52">
        <f>求节点(E$21:E$27,$M$21:$M$27,$AR14)*$AS14*其他调用!V13</f>
        <v>0</v>
      </c>
      <c r="AU14" s="52">
        <f>求节点(F$21:F$27,$M$21:$M$27,$AR14)*$AS14*其他调用!W13</f>
        <v>0</v>
      </c>
      <c r="AV14" s="52">
        <f>求节点(G$21:G$27,$M$21:$M$27,$AR14)*$AS14*其他调用!X13</f>
        <v>0</v>
      </c>
      <c r="AW14" s="52">
        <f>求节点(H$21:H$27,$M$21:$M$27,$AR14)*$AS14*其他调用!Y13</f>
        <v>0</v>
      </c>
      <c r="AX14" s="52">
        <f>求节点(I$21:I$27,$M$21:$M$27,$AR14)*$AS14*其他调用!Z13</f>
        <v>0</v>
      </c>
      <c r="AY14" s="52">
        <f>求节点(E$21:E$27,$N$21:$N$27,$AR14)*$AS14*其他调用!V13</f>
        <v>0</v>
      </c>
      <c r="AZ14" s="52">
        <f>求节点(F$21:F$27,$N$21:$N$27,$AR14)*$AS14*其他调用!W13</f>
        <v>0</v>
      </c>
      <c r="BA14" s="52">
        <f>求节点(G$21:G$27,$N$21:$N$27,$AR14)*$AS14*其他调用!X13</f>
        <v>0</v>
      </c>
      <c r="BB14" s="52">
        <f>求节点(H$21:H$27,$N$21:$N$27,$AR14)*$AS14*其他调用!Y13</f>
        <v>0</v>
      </c>
      <c r="BC14" s="52">
        <f>求节点(I$21:I$27,$N$21:$N$27,$AR14)*$AS14*其他调用!Z13</f>
        <v>0</v>
      </c>
      <c r="BD14" s="52">
        <f>求节点(E$21:E$27,$O$21:$O$27,$AR14)*$AS14*其他调用!V13</f>
        <v>0</v>
      </c>
      <c r="BE14" s="52">
        <f>求节点(F$21:F$27,$O$21:$O$27,$AR14)*$AS14*其他调用!W13</f>
        <v>0</v>
      </c>
      <c r="BF14" s="52">
        <f>求节点(G$21:G$27,$O$21:$O$27,$AR14)*$AS14*其他调用!X13</f>
        <v>0</v>
      </c>
      <c r="BG14" s="52">
        <f>求节点(H$21:H$27,$O$21:$O$27,$AR14)*$AS14*其他调用!Y13</f>
        <v>0</v>
      </c>
      <c r="BH14" s="52">
        <f>求节点(I$21:I$27,$O$21:$O$27,$AR14)*$AS14*其他调用!Z13</f>
        <v>0</v>
      </c>
      <c r="BK14" s="31">
        <v>10</v>
      </c>
      <c r="BL14" s="31">
        <f>SUM(AT$5:AT14)</f>
        <v>0</v>
      </c>
      <c r="BM14" s="31">
        <f>SUM(AU$5:AU14)</f>
        <v>0</v>
      </c>
      <c r="BN14" s="31">
        <f>SUM(AV$5:AV14)</f>
        <v>0</v>
      </c>
      <c r="BO14" s="31">
        <f>SUM(AW$5:AW14)</f>
        <v>0</v>
      </c>
      <c r="BP14" s="31">
        <f>SUM(AX$5:AX14)</f>
        <v>0</v>
      </c>
      <c r="BQ14" s="31">
        <f>SUM(AY$5:AY14)</f>
        <v>0</v>
      </c>
      <c r="BR14" s="31">
        <f>SUM(AZ$5:AZ14)</f>
        <v>0</v>
      </c>
      <c r="BS14" s="31">
        <f>SUM(BA$5:BA14)</f>
        <v>0</v>
      </c>
      <c r="BT14" s="31">
        <f>SUM(BB$5:BB14)</f>
        <v>0</v>
      </c>
      <c r="BU14" s="31">
        <f>SUM(BC$5:BC14)</f>
        <v>0</v>
      </c>
      <c r="BV14" s="31">
        <f>SUM(BD$5:BD14)</f>
        <v>0</v>
      </c>
      <c r="BW14" s="31">
        <f>SUM(BE$5:BE14)</f>
        <v>0</v>
      </c>
      <c r="BX14" s="31">
        <f>SUM(BF$5:BF14)</f>
        <v>0</v>
      </c>
      <c r="BY14" s="31">
        <f>SUM(BG$5:BG14)</f>
        <v>0</v>
      </c>
      <c r="BZ14" s="31">
        <f>SUM(BH$5:BH14)</f>
        <v>0</v>
      </c>
      <c r="CC14" s="41">
        <v>10</v>
      </c>
      <c r="CD14" s="41">
        <f t="shared" si="2"/>
        <v>0</v>
      </c>
      <c r="CE14" s="41">
        <f t="shared" si="3"/>
        <v>0</v>
      </c>
      <c r="CF14" s="41">
        <f t="shared" si="4"/>
        <v>0</v>
      </c>
      <c r="CG14" s="41">
        <f t="shared" si="5"/>
        <v>0</v>
      </c>
      <c r="CH14" s="41">
        <f t="shared" si="6"/>
        <v>0</v>
      </c>
      <c r="CI14" s="41">
        <f t="shared" si="7"/>
        <v>0</v>
      </c>
      <c r="CJ14" s="41">
        <f t="shared" si="8"/>
        <v>0</v>
      </c>
      <c r="CK14" s="41">
        <f t="shared" si="9"/>
        <v>0</v>
      </c>
      <c r="CL14" s="41">
        <f t="shared" si="10"/>
        <v>0</v>
      </c>
      <c r="CM14" s="41">
        <f t="shared" si="11"/>
        <v>0</v>
      </c>
      <c r="CN14" s="41">
        <f t="shared" si="12"/>
        <v>0</v>
      </c>
      <c r="CO14" s="41">
        <f t="shared" si="13"/>
        <v>0</v>
      </c>
      <c r="CP14" s="41">
        <f t="shared" si="14"/>
        <v>0</v>
      </c>
      <c r="CQ14" s="41">
        <f t="shared" si="15"/>
        <v>0</v>
      </c>
      <c r="CR14" s="41">
        <f t="shared" si="16"/>
        <v>0</v>
      </c>
    </row>
    <row r="15" spans="1:96" x14ac:dyDescent="0.15">
      <c r="B15" s="117"/>
      <c r="C15" s="117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W15" s="117">
        <v>1.05</v>
      </c>
      <c r="X15" s="31">
        <v>11</v>
      </c>
      <c r="Y15" s="113">
        <f t="shared" si="17"/>
        <v>0.6841357432465256</v>
      </c>
      <c r="Z15" s="42">
        <f t="shared" si="0"/>
        <v>0.12</v>
      </c>
      <c r="AA15" s="113">
        <f>$Y15*$Z15*其他调用!V14</f>
        <v>0.54209481415958527</v>
      </c>
      <c r="AB15" s="113">
        <f>$Y15*$Z15*其他调用!W14</f>
        <v>0.69065195974346805</v>
      </c>
      <c r="AC15" s="113">
        <f>$Y15*$Z15*其他调用!X14</f>
        <v>0.78470200540451063</v>
      </c>
      <c r="AD15" s="113">
        <f>$Y15*$Z15*其他调用!Y14</f>
        <v>0.64244576776065232</v>
      </c>
      <c r="AE15" s="113">
        <f>$Y15*$Z15*其他调用!Z14</f>
        <v>0.37609669476310825</v>
      </c>
      <c r="AH15" s="31">
        <v>11</v>
      </c>
      <c r="AI15" s="31">
        <f>SUM(AA$5:AA15)</f>
        <v>3.5389743474268571</v>
      </c>
      <c r="AJ15" s="31">
        <f>SUM(AB$5:AB15)</f>
        <v>4.425068746014861</v>
      </c>
      <c r="AK15" s="31">
        <f>SUM(AC$5:AC15)</f>
        <v>4.8798975742784156</v>
      </c>
      <c r="AL15" s="31">
        <f>SUM(AD$5:AD15)</f>
        <v>4.0090865576753147</v>
      </c>
      <c r="AM15" s="31">
        <f>SUM(AE$5:AE15)</f>
        <v>2.2205349295742955</v>
      </c>
      <c r="AR15" s="31">
        <v>11</v>
      </c>
      <c r="AS15" s="42">
        <f t="shared" si="1"/>
        <v>8.0000000000000016E-2</v>
      </c>
      <c r="AT15" s="52">
        <f>求节点(E$21:E$27,$M$21:$M$27,$AR15)*$AS15*其他调用!V14</f>
        <v>0</v>
      </c>
      <c r="AU15" s="52">
        <f>求节点(F$21:F$27,$M$21:$M$27,$AR15)*$AS15*其他调用!W14</f>
        <v>0</v>
      </c>
      <c r="AV15" s="52">
        <f>求节点(G$21:G$27,$M$21:$M$27,$AR15)*$AS15*其他调用!X14</f>
        <v>0</v>
      </c>
      <c r="AW15" s="52">
        <f>求节点(H$21:H$27,$M$21:$M$27,$AR15)*$AS15*其他调用!Y14</f>
        <v>0</v>
      </c>
      <c r="AX15" s="52">
        <f>求节点(I$21:I$27,$M$21:$M$27,$AR15)*$AS15*其他调用!Z14</f>
        <v>0</v>
      </c>
      <c r="AY15" s="52">
        <f>求节点(E$21:E$27,$N$21:$N$27,$AR15)*$AS15*其他调用!V14</f>
        <v>0</v>
      </c>
      <c r="AZ15" s="52">
        <f>求节点(F$21:F$27,$N$21:$N$27,$AR15)*$AS15*其他调用!W14</f>
        <v>0</v>
      </c>
      <c r="BA15" s="52">
        <f>求节点(G$21:G$27,$N$21:$N$27,$AR15)*$AS15*其他调用!X14</f>
        <v>0</v>
      </c>
      <c r="BB15" s="52">
        <f>求节点(H$21:H$27,$N$21:$N$27,$AR15)*$AS15*其他调用!Y14</f>
        <v>0</v>
      </c>
      <c r="BC15" s="52">
        <f>求节点(I$21:I$27,$N$21:$N$27,$AR15)*$AS15*其他调用!Z14</f>
        <v>0</v>
      </c>
      <c r="BD15" s="52">
        <f>求节点(E$21:E$27,$O$21:$O$27,$AR15)*$AS15*其他调用!V14</f>
        <v>0</v>
      </c>
      <c r="BE15" s="52">
        <f>求节点(F$21:F$27,$O$21:$O$27,$AR15)*$AS15*其他调用!W14</f>
        <v>0</v>
      </c>
      <c r="BF15" s="52">
        <f>求节点(G$21:G$27,$O$21:$O$27,$AR15)*$AS15*其他调用!X14</f>
        <v>0</v>
      </c>
      <c r="BG15" s="52">
        <f>求节点(H$21:H$27,$O$21:$O$27,$AR15)*$AS15*其他调用!Y14</f>
        <v>0</v>
      </c>
      <c r="BH15" s="52">
        <f>求节点(I$21:I$27,$O$21:$O$27,$AR15)*$AS15*其他调用!Z14</f>
        <v>0</v>
      </c>
      <c r="BK15" s="31">
        <v>11</v>
      </c>
      <c r="BL15" s="31">
        <f>SUM(AT$5:AT15)</f>
        <v>0</v>
      </c>
      <c r="BM15" s="31">
        <f>SUM(AU$5:AU15)</f>
        <v>0</v>
      </c>
      <c r="BN15" s="31">
        <f>SUM(AV$5:AV15)</f>
        <v>0</v>
      </c>
      <c r="BO15" s="31">
        <f>SUM(AW$5:AW15)</f>
        <v>0</v>
      </c>
      <c r="BP15" s="31">
        <f>SUM(AX$5:AX15)</f>
        <v>0</v>
      </c>
      <c r="BQ15" s="31">
        <f>SUM(AY$5:AY15)</f>
        <v>0</v>
      </c>
      <c r="BR15" s="31">
        <f>SUM(AZ$5:AZ15)</f>
        <v>0</v>
      </c>
      <c r="BS15" s="31">
        <f>SUM(BA$5:BA15)</f>
        <v>0</v>
      </c>
      <c r="BT15" s="31">
        <f>SUM(BB$5:BB15)</f>
        <v>0</v>
      </c>
      <c r="BU15" s="31">
        <f>SUM(BC$5:BC15)</f>
        <v>0</v>
      </c>
      <c r="BV15" s="31">
        <f>SUM(BD$5:BD15)</f>
        <v>0</v>
      </c>
      <c r="BW15" s="31">
        <f>SUM(BE$5:BE15)</f>
        <v>0</v>
      </c>
      <c r="BX15" s="31">
        <f>SUM(BF$5:BF15)</f>
        <v>0</v>
      </c>
      <c r="BY15" s="31">
        <f>SUM(BG$5:BG15)</f>
        <v>0</v>
      </c>
      <c r="BZ15" s="31">
        <f>SUM(BH$5:BH15)</f>
        <v>0</v>
      </c>
      <c r="CC15" s="41">
        <v>11</v>
      </c>
      <c r="CD15" s="41">
        <f t="shared" si="2"/>
        <v>0</v>
      </c>
      <c r="CE15" s="41">
        <f t="shared" si="3"/>
        <v>0</v>
      </c>
      <c r="CF15" s="41">
        <f t="shared" si="4"/>
        <v>0</v>
      </c>
      <c r="CG15" s="41">
        <f t="shared" si="5"/>
        <v>0</v>
      </c>
      <c r="CH15" s="41">
        <f t="shared" si="6"/>
        <v>0</v>
      </c>
      <c r="CI15" s="41">
        <f t="shared" si="7"/>
        <v>0</v>
      </c>
      <c r="CJ15" s="41">
        <f t="shared" si="8"/>
        <v>0</v>
      </c>
      <c r="CK15" s="41">
        <f t="shared" si="9"/>
        <v>0</v>
      </c>
      <c r="CL15" s="41">
        <f t="shared" si="10"/>
        <v>0</v>
      </c>
      <c r="CM15" s="41">
        <f t="shared" si="11"/>
        <v>0</v>
      </c>
      <c r="CN15" s="41">
        <f t="shared" si="12"/>
        <v>0</v>
      </c>
      <c r="CO15" s="41">
        <f t="shared" si="13"/>
        <v>0</v>
      </c>
      <c r="CP15" s="41">
        <f t="shared" si="14"/>
        <v>0</v>
      </c>
      <c r="CQ15" s="41">
        <f t="shared" si="15"/>
        <v>0</v>
      </c>
      <c r="CR15" s="41">
        <f t="shared" si="16"/>
        <v>0</v>
      </c>
    </row>
    <row r="16" spans="1:96" x14ac:dyDescent="0.15">
      <c r="B16" s="117"/>
      <c r="C16" s="117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W16" s="117">
        <v>1.05</v>
      </c>
      <c r="X16" s="31">
        <v>12</v>
      </c>
      <c r="Y16" s="113">
        <f t="shared" si="17"/>
        <v>0.71834253040885188</v>
      </c>
      <c r="Z16" s="42">
        <f t="shared" si="0"/>
        <v>0.12</v>
      </c>
      <c r="AA16" s="113">
        <f>$Y16*$Z16*其他调用!V15</f>
        <v>0.61005297779452672</v>
      </c>
      <c r="AB16" s="113">
        <f>$Y16*$Z16*其他调用!W15</f>
        <v>0.76400648941691418</v>
      </c>
      <c r="AC16" s="113">
        <f>$Y16*$Z16*其他调用!X15</f>
        <v>0.87311754212173098</v>
      </c>
      <c r="AD16" s="113">
        <f>$Y16*$Z16*其他调用!Y15</f>
        <v>0.76725762936069297</v>
      </c>
      <c r="AE16" s="113">
        <f>$Y16*$Z16*其他调用!Z15</f>
        <v>0.42554837466608086</v>
      </c>
      <c r="AH16" s="31">
        <v>12</v>
      </c>
      <c r="AI16" s="31">
        <f>SUM(AA$5:AA16)</f>
        <v>4.1490273252213843</v>
      </c>
      <c r="AJ16" s="31">
        <f>SUM(AB$5:AB16)</f>
        <v>5.1890752354317753</v>
      </c>
      <c r="AK16" s="31">
        <f>SUM(AC$5:AC16)</f>
        <v>5.7530151164001468</v>
      </c>
      <c r="AL16" s="31">
        <f>SUM(AD$5:AD16)</f>
        <v>4.7763441870360079</v>
      </c>
      <c r="AM16" s="31">
        <f>SUM(AE$5:AE16)</f>
        <v>2.6460833042403764</v>
      </c>
      <c r="AR16" s="31">
        <v>12</v>
      </c>
      <c r="AS16" s="42">
        <f t="shared" si="1"/>
        <v>8.0000000000000016E-2</v>
      </c>
      <c r="AT16" s="52">
        <f>求节点(E$21:E$27,$M$21:$M$27,$AR16)*$AS16*其他调用!V15</f>
        <v>0</v>
      </c>
      <c r="AU16" s="52">
        <f>求节点(F$21:F$27,$M$21:$M$27,$AR16)*$AS16*其他调用!W15</f>
        <v>0</v>
      </c>
      <c r="AV16" s="52">
        <f>求节点(G$21:G$27,$M$21:$M$27,$AR16)*$AS16*其他调用!X15</f>
        <v>0</v>
      </c>
      <c r="AW16" s="52">
        <f>求节点(H$21:H$27,$M$21:$M$27,$AR16)*$AS16*其他调用!Y15</f>
        <v>0</v>
      </c>
      <c r="AX16" s="52">
        <f>求节点(I$21:I$27,$M$21:$M$27,$AR16)*$AS16*其他调用!Z15</f>
        <v>0</v>
      </c>
      <c r="AY16" s="52">
        <f>求节点(E$21:E$27,$N$21:$N$27,$AR16)*$AS16*其他调用!V15</f>
        <v>0</v>
      </c>
      <c r="AZ16" s="52">
        <f>求节点(F$21:F$27,$N$21:$N$27,$AR16)*$AS16*其他调用!W15</f>
        <v>0</v>
      </c>
      <c r="BA16" s="52">
        <f>求节点(G$21:G$27,$N$21:$N$27,$AR16)*$AS16*其他调用!X15</f>
        <v>0</v>
      </c>
      <c r="BB16" s="52">
        <f>求节点(H$21:H$27,$N$21:$N$27,$AR16)*$AS16*其他调用!Y15</f>
        <v>0</v>
      </c>
      <c r="BC16" s="52">
        <f>求节点(I$21:I$27,$N$21:$N$27,$AR16)*$AS16*其他调用!Z15</f>
        <v>0</v>
      </c>
      <c r="BD16" s="52">
        <f>求节点(E$21:E$27,$O$21:$O$27,$AR16)*$AS16*其他调用!V15</f>
        <v>0</v>
      </c>
      <c r="BE16" s="52">
        <f>求节点(F$21:F$27,$O$21:$O$27,$AR16)*$AS16*其他调用!W15</f>
        <v>0</v>
      </c>
      <c r="BF16" s="52">
        <f>求节点(G$21:G$27,$O$21:$O$27,$AR16)*$AS16*其他调用!X15</f>
        <v>0</v>
      </c>
      <c r="BG16" s="52">
        <f>求节点(H$21:H$27,$O$21:$O$27,$AR16)*$AS16*其他调用!Y15</f>
        <v>0</v>
      </c>
      <c r="BH16" s="52">
        <f>求节点(I$21:I$27,$O$21:$O$27,$AR16)*$AS16*其他调用!Z15</f>
        <v>0</v>
      </c>
      <c r="BK16" s="31">
        <v>12</v>
      </c>
      <c r="BL16" s="31">
        <f>SUM(AT$5:AT16)</f>
        <v>0</v>
      </c>
      <c r="BM16" s="31">
        <f>SUM(AU$5:AU16)</f>
        <v>0</v>
      </c>
      <c r="BN16" s="31">
        <f>SUM(AV$5:AV16)</f>
        <v>0</v>
      </c>
      <c r="BO16" s="31">
        <f>SUM(AW$5:AW16)</f>
        <v>0</v>
      </c>
      <c r="BP16" s="31">
        <f>SUM(AX$5:AX16)</f>
        <v>0</v>
      </c>
      <c r="BQ16" s="31">
        <f>SUM(AY$5:AY16)</f>
        <v>0</v>
      </c>
      <c r="BR16" s="31">
        <f>SUM(AZ$5:AZ16)</f>
        <v>0</v>
      </c>
      <c r="BS16" s="31">
        <f>SUM(BA$5:BA16)</f>
        <v>0</v>
      </c>
      <c r="BT16" s="31">
        <f>SUM(BB$5:BB16)</f>
        <v>0</v>
      </c>
      <c r="BU16" s="31">
        <f>SUM(BC$5:BC16)</f>
        <v>0</v>
      </c>
      <c r="BV16" s="31">
        <f>SUM(BD$5:BD16)</f>
        <v>0</v>
      </c>
      <c r="BW16" s="31">
        <f>SUM(BE$5:BE16)</f>
        <v>0</v>
      </c>
      <c r="BX16" s="31">
        <f>SUM(BF$5:BF16)</f>
        <v>0</v>
      </c>
      <c r="BY16" s="31">
        <f>SUM(BG$5:BG16)</f>
        <v>0</v>
      </c>
      <c r="BZ16" s="31">
        <f>SUM(BH$5:BH16)</f>
        <v>0</v>
      </c>
      <c r="CC16" s="41">
        <v>12</v>
      </c>
      <c r="CD16" s="41">
        <f t="shared" si="2"/>
        <v>0</v>
      </c>
      <c r="CE16" s="41">
        <f t="shared" si="3"/>
        <v>0</v>
      </c>
      <c r="CF16" s="41">
        <f t="shared" si="4"/>
        <v>0</v>
      </c>
      <c r="CG16" s="41">
        <f t="shared" si="5"/>
        <v>0</v>
      </c>
      <c r="CH16" s="41">
        <f t="shared" si="6"/>
        <v>0</v>
      </c>
      <c r="CI16" s="41">
        <f t="shared" si="7"/>
        <v>0</v>
      </c>
      <c r="CJ16" s="41">
        <f t="shared" si="8"/>
        <v>0</v>
      </c>
      <c r="CK16" s="41">
        <f t="shared" si="9"/>
        <v>0</v>
      </c>
      <c r="CL16" s="41">
        <f t="shared" si="10"/>
        <v>0</v>
      </c>
      <c r="CM16" s="41">
        <f t="shared" si="11"/>
        <v>0</v>
      </c>
      <c r="CN16" s="41">
        <f t="shared" si="12"/>
        <v>0</v>
      </c>
      <c r="CO16" s="41">
        <f t="shared" si="13"/>
        <v>0</v>
      </c>
      <c r="CP16" s="41">
        <f t="shared" si="14"/>
        <v>0</v>
      </c>
      <c r="CQ16" s="41">
        <f t="shared" si="15"/>
        <v>0</v>
      </c>
      <c r="CR16" s="41">
        <f t="shared" si="16"/>
        <v>0</v>
      </c>
    </row>
    <row r="17" spans="3:96" x14ac:dyDescent="0.15">
      <c r="W17" s="117">
        <v>1.05</v>
      </c>
      <c r="X17" s="31">
        <v>13</v>
      </c>
      <c r="Y17" s="113">
        <f t="shared" si="17"/>
        <v>0.75425965692929453</v>
      </c>
      <c r="Z17" s="42">
        <f t="shared" si="0"/>
        <v>0.12</v>
      </c>
      <c r="AA17" s="113">
        <f>$Y17*$Z17*其他调用!V16</f>
        <v>0.68653052195848641</v>
      </c>
      <c r="AB17" s="113">
        <f>$Y17*$Z17*其他调用!W16</f>
        <v>0.91076031913681488</v>
      </c>
      <c r="AC17" s="113">
        <f>$Y17*$Z17*其他调用!X16</f>
        <v>1.0181070357144126</v>
      </c>
      <c r="AD17" s="113">
        <f>$Y17*$Z17*其他调用!Y16</f>
        <v>0.87048705723858721</v>
      </c>
      <c r="AE17" s="113">
        <f>$Y17*$Z17*其他调用!Z16</f>
        <v>0.49453763158177549</v>
      </c>
      <c r="AH17" s="31">
        <v>13</v>
      </c>
      <c r="AI17" s="31">
        <f>SUM(AA$5:AA17)</f>
        <v>4.8355578471798708</v>
      </c>
      <c r="AJ17" s="31">
        <f>SUM(AB$5:AB17)</f>
        <v>6.0998355545685898</v>
      </c>
      <c r="AK17" s="31">
        <f>SUM(AC$5:AC17)</f>
        <v>6.7711221521145593</v>
      </c>
      <c r="AL17" s="31">
        <f>SUM(AD$5:AD17)</f>
        <v>5.6468312442745949</v>
      </c>
      <c r="AM17" s="31">
        <f>SUM(AE$5:AE17)</f>
        <v>3.140620935822152</v>
      </c>
      <c r="AR17" s="31">
        <v>13</v>
      </c>
      <c r="AS17" s="42">
        <f t="shared" si="1"/>
        <v>8.0000000000000016E-2</v>
      </c>
      <c r="AT17" s="52">
        <f>求节点(E$21:E$27,$M$21:$M$27,$AR17)*$AS17*其他调用!V16</f>
        <v>0</v>
      </c>
      <c r="AU17" s="52">
        <f>求节点(F$21:F$27,$M$21:$M$27,$AR17)*$AS17*其他调用!W16</f>
        <v>0</v>
      </c>
      <c r="AV17" s="52">
        <f>求节点(G$21:G$27,$M$21:$M$27,$AR17)*$AS17*其他调用!X16</f>
        <v>0</v>
      </c>
      <c r="AW17" s="52">
        <f>求节点(H$21:H$27,$M$21:$M$27,$AR17)*$AS17*其他调用!Y16</f>
        <v>0</v>
      </c>
      <c r="AX17" s="52">
        <f>求节点(I$21:I$27,$M$21:$M$27,$AR17)*$AS17*其他调用!Z16</f>
        <v>0</v>
      </c>
      <c r="AY17" s="52">
        <f>求节点(E$21:E$27,$N$21:$N$27,$AR17)*$AS17*其他调用!V16</f>
        <v>0</v>
      </c>
      <c r="AZ17" s="52">
        <f>求节点(F$21:F$27,$N$21:$N$27,$AR17)*$AS17*其他调用!W16</f>
        <v>0</v>
      </c>
      <c r="BA17" s="52">
        <f>求节点(G$21:G$27,$N$21:$N$27,$AR17)*$AS17*其他调用!X16</f>
        <v>0</v>
      </c>
      <c r="BB17" s="52">
        <f>求节点(H$21:H$27,$N$21:$N$27,$AR17)*$AS17*其他调用!Y16</f>
        <v>0</v>
      </c>
      <c r="BC17" s="52">
        <f>求节点(I$21:I$27,$N$21:$N$27,$AR17)*$AS17*其他调用!Z16</f>
        <v>0</v>
      </c>
      <c r="BD17" s="52">
        <f>求节点(E$21:E$27,$O$21:$O$27,$AR17)*$AS17*其他调用!V16</f>
        <v>0</v>
      </c>
      <c r="BE17" s="52">
        <f>求节点(F$21:F$27,$O$21:$O$27,$AR17)*$AS17*其他调用!W16</f>
        <v>0</v>
      </c>
      <c r="BF17" s="52">
        <f>求节点(G$21:G$27,$O$21:$O$27,$AR17)*$AS17*其他调用!X16</f>
        <v>0</v>
      </c>
      <c r="BG17" s="52">
        <f>求节点(H$21:H$27,$O$21:$O$27,$AR17)*$AS17*其他调用!Y16</f>
        <v>0</v>
      </c>
      <c r="BH17" s="52">
        <f>求节点(I$21:I$27,$O$21:$O$27,$AR17)*$AS17*其他调用!Z16</f>
        <v>0</v>
      </c>
      <c r="BK17" s="31">
        <v>13</v>
      </c>
      <c r="BL17" s="31">
        <f>SUM(AT$5:AT17)</f>
        <v>0</v>
      </c>
      <c r="BM17" s="31">
        <f>SUM(AU$5:AU17)</f>
        <v>0</v>
      </c>
      <c r="BN17" s="31">
        <f>SUM(AV$5:AV17)</f>
        <v>0</v>
      </c>
      <c r="BO17" s="31">
        <f>SUM(AW$5:AW17)</f>
        <v>0</v>
      </c>
      <c r="BP17" s="31">
        <f>SUM(AX$5:AX17)</f>
        <v>0</v>
      </c>
      <c r="BQ17" s="31">
        <f>SUM(AY$5:AY17)</f>
        <v>0</v>
      </c>
      <c r="BR17" s="31">
        <f>SUM(AZ$5:AZ17)</f>
        <v>0</v>
      </c>
      <c r="BS17" s="31">
        <f>SUM(BA$5:BA17)</f>
        <v>0</v>
      </c>
      <c r="BT17" s="31">
        <f>SUM(BB$5:BB17)</f>
        <v>0</v>
      </c>
      <c r="BU17" s="31">
        <f>SUM(BC$5:BC17)</f>
        <v>0</v>
      </c>
      <c r="BV17" s="31">
        <f>SUM(BD$5:BD17)</f>
        <v>0</v>
      </c>
      <c r="BW17" s="31">
        <f>SUM(BE$5:BE17)</f>
        <v>0</v>
      </c>
      <c r="BX17" s="31">
        <f>SUM(BF$5:BF17)</f>
        <v>0</v>
      </c>
      <c r="BY17" s="31">
        <f>SUM(BG$5:BG17)</f>
        <v>0</v>
      </c>
      <c r="BZ17" s="31">
        <f>SUM(BH$5:BH17)</f>
        <v>0</v>
      </c>
      <c r="CC17" s="41">
        <v>13</v>
      </c>
      <c r="CD17" s="41">
        <f t="shared" si="2"/>
        <v>0</v>
      </c>
      <c r="CE17" s="41">
        <f t="shared" si="3"/>
        <v>0</v>
      </c>
      <c r="CF17" s="41">
        <f t="shared" si="4"/>
        <v>0</v>
      </c>
      <c r="CG17" s="41">
        <f t="shared" si="5"/>
        <v>0</v>
      </c>
      <c r="CH17" s="41">
        <f t="shared" si="6"/>
        <v>0</v>
      </c>
      <c r="CI17" s="41">
        <f t="shared" si="7"/>
        <v>0</v>
      </c>
      <c r="CJ17" s="41">
        <f t="shared" si="8"/>
        <v>0</v>
      </c>
      <c r="CK17" s="41">
        <f t="shared" si="9"/>
        <v>0</v>
      </c>
      <c r="CL17" s="41">
        <f t="shared" si="10"/>
        <v>0</v>
      </c>
      <c r="CM17" s="41">
        <f t="shared" si="11"/>
        <v>0</v>
      </c>
      <c r="CN17" s="41">
        <f t="shared" si="12"/>
        <v>0</v>
      </c>
      <c r="CO17" s="41">
        <f t="shared" si="13"/>
        <v>0</v>
      </c>
      <c r="CP17" s="41">
        <f t="shared" si="14"/>
        <v>0</v>
      </c>
      <c r="CQ17" s="41">
        <f t="shared" si="15"/>
        <v>0</v>
      </c>
      <c r="CR17" s="41">
        <f t="shared" si="16"/>
        <v>0</v>
      </c>
    </row>
    <row r="18" spans="3:96" x14ac:dyDescent="0.15">
      <c r="J18" s="130"/>
      <c r="K18" s="130"/>
      <c r="L18" s="130"/>
      <c r="M18" s="130"/>
      <c r="N18" s="130"/>
      <c r="O18" s="130"/>
      <c r="P18" s="130"/>
      <c r="Q18" s="130"/>
      <c r="R18" s="130"/>
      <c r="W18" s="117">
        <v>1.05</v>
      </c>
      <c r="X18" s="31">
        <v>14</v>
      </c>
      <c r="Y18" s="113">
        <f t="shared" si="17"/>
        <v>0.79197263977575927</v>
      </c>
      <c r="Z18" s="42">
        <f t="shared" si="0"/>
        <v>0.12</v>
      </c>
      <c r="AA18" s="113">
        <f>$Y18*$Z18*其他调用!V17</f>
        <v>0.77259545438910948</v>
      </c>
      <c r="AB18" s="113">
        <f>$Y18*$Z18*其他调用!W17</f>
        <v>0.96033086736440765</v>
      </c>
      <c r="AC18" s="113">
        <f>$Y18*$Z18*其他调用!X17</f>
        <v>1.0816602374570896</v>
      </c>
      <c r="AD18" s="113">
        <f>$Y18*$Z18*其他调用!Y17</f>
        <v>0.88583904503225175</v>
      </c>
      <c r="AE18" s="113">
        <f>$Y18*$Z18*其他调用!Z17</f>
        <v>0.48405161556575343</v>
      </c>
      <c r="AH18" s="31">
        <v>14</v>
      </c>
      <c r="AI18" s="31">
        <f>SUM(AA$5:AA18)</f>
        <v>5.6081533015689802</v>
      </c>
      <c r="AJ18" s="31">
        <f>SUM(AB$5:AB18)</f>
        <v>7.0601664219329976</v>
      </c>
      <c r="AK18" s="31">
        <f>SUM(AC$5:AC18)</f>
        <v>7.8527823895716491</v>
      </c>
      <c r="AL18" s="31">
        <f>SUM(AD$5:AD18)</f>
        <v>6.5326702893068465</v>
      </c>
      <c r="AM18" s="31">
        <f>SUM(AE$5:AE18)</f>
        <v>3.6246725513879055</v>
      </c>
      <c r="AR18" s="31">
        <v>14</v>
      </c>
      <c r="AS18" s="42">
        <f t="shared" si="1"/>
        <v>8.0000000000000016E-2</v>
      </c>
      <c r="AT18" s="52">
        <f>求节点(E$21:E$27,$M$21:$M$27,$AR18)*$AS18*其他调用!V17</f>
        <v>0</v>
      </c>
      <c r="AU18" s="52">
        <f>求节点(F$21:F$27,$M$21:$M$27,$AR18)*$AS18*其他调用!W17</f>
        <v>0</v>
      </c>
      <c r="AV18" s="52">
        <f>求节点(G$21:G$27,$M$21:$M$27,$AR18)*$AS18*其他调用!X17</f>
        <v>0</v>
      </c>
      <c r="AW18" s="52">
        <f>求节点(H$21:H$27,$M$21:$M$27,$AR18)*$AS18*其他调用!Y17</f>
        <v>0</v>
      </c>
      <c r="AX18" s="52">
        <f>求节点(I$21:I$27,$M$21:$M$27,$AR18)*$AS18*其他调用!Z17</f>
        <v>0</v>
      </c>
      <c r="AY18" s="52">
        <f>求节点(E$21:E$27,$N$21:$N$27,$AR18)*$AS18*其他调用!V17</f>
        <v>0</v>
      </c>
      <c r="AZ18" s="52">
        <f>求节点(F$21:F$27,$N$21:$N$27,$AR18)*$AS18*其他调用!W17</f>
        <v>0</v>
      </c>
      <c r="BA18" s="52">
        <f>求节点(G$21:G$27,$N$21:$N$27,$AR18)*$AS18*其他调用!X17</f>
        <v>0</v>
      </c>
      <c r="BB18" s="52">
        <f>求节点(H$21:H$27,$N$21:$N$27,$AR18)*$AS18*其他调用!Y17</f>
        <v>0</v>
      </c>
      <c r="BC18" s="52">
        <f>求节点(I$21:I$27,$N$21:$N$27,$AR18)*$AS18*其他调用!Z17</f>
        <v>0</v>
      </c>
      <c r="BD18" s="52">
        <f>求节点(E$21:E$27,$O$21:$O$27,$AR18)*$AS18*其他调用!V17</f>
        <v>0</v>
      </c>
      <c r="BE18" s="52">
        <f>求节点(F$21:F$27,$O$21:$O$27,$AR18)*$AS18*其他调用!W17</f>
        <v>0</v>
      </c>
      <c r="BF18" s="52">
        <f>求节点(G$21:G$27,$O$21:$O$27,$AR18)*$AS18*其他调用!X17</f>
        <v>0</v>
      </c>
      <c r="BG18" s="52">
        <f>求节点(H$21:H$27,$O$21:$O$27,$AR18)*$AS18*其他调用!Y17</f>
        <v>0</v>
      </c>
      <c r="BH18" s="52">
        <f>求节点(I$21:I$27,$O$21:$O$27,$AR18)*$AS18*其他调用!Z17</f>
        <v>0</v>
      </c>
      <c r="BK18" s="31">
        <v>14</v>
      </c>
      <c r="BL18" s="31">
        <f>SUM(AT$5:AT18)</f>
        <v>0</v>
      </c>
      <c r="BM18" s="31">
        <f>SUM(AU$5:AU18)</f>
        <v>0</v>
      </c>
      <c r="BN18" s="31">
        <f>SUM(AV$5:AV18)</f>
        <v>0</v>
      </c>
      <c r="BO18" s="31">
        <f>SUM(AW$5:AW18)</f>
        <v>0</v>
      </c>
      <c r="BP18" s="31">
        <f>SUM(AX$5:AX18)</f>
        <v>0</v>
      </c>
      <c r="BQ18" s="31">
        <f>SUM(AY$5:AY18)</f>
        <v>0</v>
      </c>
      <c r="BR18" s="31">
        <f>SUM(AZ$5:AZ18)</f>
        <v>0</v>
      </c>
      <c r="BS18" s="31">
        <f>SUM(BA$5:BA18)</f>
        <v>0</v>
      </c>
      <c r="BT18" s="31">
        <f>SUM(BB$5:BB18)</f>
        <v>0</v>
      </c>
      <c r="BU18" s="31">
        <f>SUM(BC$5:BC18)</f>
        <v>0</v>
      </c>
      <c r="BV18" s="31">
        <f>SUM(BD$5:BD18)</f>
        <v>0</v>
      </c>
      <c r="BW18" s="31">
        <f>SUM(BE$5:BE18)</f>
        <v>0</v>
      </c>
      <c r="BX18" s="31">
        <f>SUM(BF$5:BF18)</f>
        <v>0</v>
      </c>
      <c r="BY18" s="31">
        <f>SUM(BG$5:BG18)</f>
        <v>0</v>
      </c>
      <c r="BZ18" s="31">
        <f>SUM(BH$5:BH18)</f>
        <v>0</v>
      </c>
      <c r="CC18" s="41">
        <v>14</v>
      </c>
      <c r="CD18" s="41">
        <f t="shared" si="2"/>
        <v>0</v>
      </c>
      <c r="CE18" s="41">
        <f t="shared" si="3"/>
        <v>0</v>
      </c>
      <c r="CF18" s="41">
        <f t="shared" si="4"/>
        <v>0</v>
      </c>
      <c r="CG18" s="41">
        <f t="shared" si="5"/>
        <v>0</v>
      </c>
      <c r="CH18" s="41">
        <f t="shared" si="6"/>
        <v>0</v>
      </c>
      <c r="CI18" s="41">
        <f t="shared" si="7"/>
        <v>0</v>
      </c>
      <c r="CJ18" s="41">
        <f t="shared" si="8"/>
        <v>0</v>
      </c>
      <c r="CK18" s="41">
        <f t="shared" si="9"/>
        <v>0</v>
      </c>
      <c r="CL18" s="41">
        <f t="shared" si="10"/>
        <v>0</v>
      </c>
      <c r="CM18" s="41">
        <f t="shared" si="11"/>
        <v>0</v>
      </c>
      <c r="CN18" s="41">
        <f t="shared" si="12"/>
        <v>0</v>
      </c>
      <c r="CO18" s="41">
        <f t="shared" si="13"/>
        <v>0</v>
      </c>
      <c r="CP18" s="41">
        <f t="shared" si="14"/>
        <v>0</v>
      </c>
      <c r="CQ18" s="41">
        <f t="shared" si="15"/>
        <v>0</v>
      </c>
      <c r="CR18" s="41">
        <f t="shared" si="16"/>
        <v>0</v>
      </c>
    </row>
    <row r="19" spans="3:96" x14ac:dyDescent="0.15">
      <c r="E19" s="149" t="s">
        <v>399</v>
      </c>
      <c r="F19" s="149"/>
      <c r="G19" s="149"/>
      <c r="H19" s="149"/>
      <c r="I19" s="149"/>
      <c r="J19" s="149" t="s">
        <v>202</v>
      </c>
      <c r="K19" s="149"/>
      <c r="L19" s="149"/>
      <c r="M19" s="149" t="s">
        <v>200</v>
      </c>
      <c r="N19" s="149"/>
      <c r="O19" s="149"/>
      <c r="W19" s="117">
        <v>1.05</v>
      </c>
      <c r="X19" s="31">
        <v>15</v>
      </c>
      <c r="Y19" s="113">
        <f t="shared" si="17"/>
        <v>0.83157127176454726</v>
      </c>
      <c r="Z19" s="42">
        <f t="shared" si="0"/>
        <v>0.12</v>
      </c>
      <c r="AA19" s="113">
        <f>$Y19*$Z19*其他调用!V18</f>
        <v>0.86944967055493827</v>
      </c>
      <c r="AB19" s="113">
        <f>$Y19*$Z19*其他调用!W18</f>
        <v>1.1081380746253724</v>
      </c>
      <c r="AC19" s="113">
        <f>$Y19*$Z19*其他调用!X18</f>
        <v>1.2563962381398104</v>
      </c>
      <c r="AD19" s="113">
        <f>$Y19*$Z19*其他调用!Y18</f>
        <v>1.0575642893538906</v>
      </c>
      <c r="AE19" s="113">
        <f>$Y19*$Z19*其他调用!Z18</f>
        <v>0.6067503244945418</v>
      </c>
      <c r="AH19" s="31">
        <v>15</v>
      </c>
      <c r="AI19" s="31">
        <f>SUM(AA$5:AA19)</f>
        <v>6.4776029721239183</v>
      </c>
      <c r="AJ19" s="31">
        <f>SUM(AB$5:AB19)</f>
        <v>8.1683044965583704</v>
      </c>
      <c r="AK19" s="31">
        <f>SUM(AC$5:AC19)</f>
        <v>9.1091786277114597</v>
      </c>
      <c r="AL19" s="31">
        <f>SUM(AD$5:AD19)</f>
        <v>7.5902345786607368</v>
      </c>
      <c r="AM19" s="31">
        <f>SUM(AE$5:AE19)</f>
        <v>4.2314228758824477</v>
      </c>
      <c r="AR19" s="31">
        <v>15</v>
      </c>
      <c r="AS19" s="42">
        <f t="shared" si="1"/>
        <v>8.0000000000000016E-2</v>
      </c>
      <c r="AT19" s="52">
        <f>求节点(E$21:E$27,$M$21:$M$27,$AR19)*$AS19*其他调用!V18</f>
        <v>0</v>
      </c>
      <c r="AU19" s="52">
        <f>求节点(F$21:F$27,$M$21:$M$27,$AR19)*$AS19*其他调用!W18</f>
        <v>0</v>
      </c>
      <c r="AV19" s="52">
        <f>求节点(G$21:G$27,$M$21:$M$27,$AR19)*$AS19*其他调用!X18</f>
        <v>0</v>
      </c>
      <c r="AW19" s="52">
        <f>求节点(H$21:H$27,$M$21:$M$27,$AR19)*$AS19*其他调用!Y18</f>
        <v>0</v>
      </c>
      <c r="AX19" s="52">
        <f>求节点(I$21:I$27,$M$21:$M$27,$AR19)*$AS19*其他调用!Z18</f>
        <v>0</v>
      </c>
      <c r="AY19" s="52">
        <f>求节点(E$21:E$27,$N$21:$N$27,$AR19)*$AS19*其他调用!V18</f>
        <v>0</v>
      </c>
      <c r="AZ19" s="52">
        <f>求节点(F$21:F$27,$N$21:$N$27,$AR19)*$AS19*其他调用!W18</f>
        <v>0</v>
      </c>
      <c r="BA19" s="52">
        <f>求节点(G$21:G$27,$N$21:$N$27,$AR19)*$AS19*其他调用!X18</f>
        <v>0</v>
      </c>
      <c r="BB19" s="52">
        <f>求节点(H$21:H$27,$N$21:$N$27,$AR19)*$AS19*其他调用!Y18</f>
        <v>0</v>
      </c>
      <c r="BC19" s="52">
        <f>求节点(I$21:I$27,$N$21:$N$27,$AR19)*$AS19*其他调用!Z18</f>
        <v>0</v>
      </c>
      <c r="BD19" s="52">
        <f>求节点(E$21:E$27,$O$21:$O$27,$AR19)*$AS19*其他调用!V18</f>
        <v>0</v>
      </c>
      <c r="BE19" s="52">
        <f>求节点(F$21:F$27,$O$21:$O$27,$AR19)*$AS19*其他调用!W18</f>
        <v>0</v>
      </c>
      <c r="BF19" s="52">
        <f>求节点(G$21:G$27,$O$21:$O$27,$AR19)*$AS19*其他调用!X18</f>
        <v>0</v>
      </c>
      <c r="BG19" s="52">
        <f>求节点(H$21:H$27,$O$21:$O$27,$AR19)*$AS19*其他调用!Y18</f>
        <v>0</v>
      </c>
      <c r="BH19" s="52">
        <f>求节点(I$21:I$27,$O$21:$O$27,$AR19)*$AS19*其他调用!Z18</f>
        <v>0</v>
      </c>
      <c r="BK19" s="31">
        <v>15</v>
      </c>
      <c r="BL19" s="31">
        <f>SUM(AT$5:AT19)</f>
        <v>0</v>
      </c>
      <c r="BM19" s="31">
        <f>SUM(AU$5:AU19)</f>
        <v>0</v>
      </c>
      <c r="BN19" s="31">
        <f>SUM(AV$5:AV19)</f>
        <v>0</v>
      </c>
      <c r="BO19" s="31">
        <f>SUM(AW$5:AW19)</f>
        <v>0</v>
      </c>
      <c r="BP19" s="31">
        <f>SUM(AX$5:AX19)</f>
        <v>0</v>
      </c>
      <c r="BQ19" s="31">
        <f>SUM(AY$5:AY19)</f>
        <v>0</v>
      </c>
      <c r="BR19" s="31">
        <f>SUM(AZ$5:AZ19)</f>
        <v>0</v>
      </c>
      <c r="BS19" s="31">
        <f>SUM(BA$5:BA19)</f>
        <v>0</v>
      </c>
      <c r="BT19" s="31">
        <f>SUM(BB$5:BB19)</f>
        <v>0</v>
      </c>
      <c r="BU19" s="31">
        <f>SUM(BC$5:BC19)</f>
        <v>0</v>
      </c>
      <c r="BV19" s="31">
        <f>SUM(BD$5:BD19)</f>
        <v>0</v>
      </c>
      <c r="BW19" s="31">
        <f>SUM(BE$5:BE19)</f>
        <v>0</v>
      </c>
      <c r="BX19" s="31">
        <f>SUM(BF$5:BF19)</f>
        <v>0</v>
      </c>
      <c r="BY19" s="31">
        <f>SUM(BG$5:BG19)</f>
        <v>0</v>
      </c>
      <c r="BZ19" s="31">
        <f>SUM(BH$5:BH19)</f>
        <v>0</v>
      </c>
      <c r="CC19" s="41">
        <v>15</v>
      </c>
      <c r="CD19" s="41">
        <f t="shared" si="2"/>
        <v>0</v>
      </c>
      <c r="CE19" s="41">
        <f t="shared" si="3"/>
        <v>0</v>
      </c>
      <c r="CF19" s="41">
        <f t="shared" si="4"/>
        <v>0</v>
      </c>
      <c r="CG19" s="41">
        <f t="shared" si="5"/>
        <v>0</v>
      </c>
      <c r="CH19" s="41">
        <f t="shared" si="6"/>
        <v>0</v>
      </c>
      <c r="CI19" s="41">
        <f t="shared" si="7"/>
        <v>0</v>
      </c>
      <c r="CJ19" s="41">
        <f t="shared" si="8"/>
        <v>0</v>
      </c>
      <c r="CK19" s="41">
        <f t="shared" si="9"/>
        <v>0</v>
      </c>
      <c r="CL19" s="41">
        <f t="shared" si="10"/>
        <v>0</v>
      </c>
      <c r="CM19" s="41">
        <f t="shared" si="11"/>
        <v>0</v>
      </c>
      <c r="CN19" s="41">
        <f t="shared" si="12"/>
        <v>0</v>
      </c>
      <c r="CO19" s="41">
        <f t="shared" si="13"/>
        <v>0</v>
      </c>
      <c r="CP19" s="41">
        <f t="shared" si="14"/>
        <v>0</v>
      </c>
      <c r="CQ19" s="41">
        <f t="shared" si="15"/>
        <v>0</v>
      </c>
      <c r="CR19" s="41">
        <f t="shared" si="16"/>
        <v>0</v>
      </c>
    </row>
    <row r="20" spans="3:96" x14ac:dyDescent="0.15">
      <c r="D20" s="37" t="s">
        <v>186</v>
      </c>
      <c r="E20" s="37" t="s">
        <v>400</v>
      </c>
      <c r="F20" s="54" t="s">
        <v>274</v>
      </c>
      <c r="G20" s="54" t="s">
        <v>275</v>
      </c>
      <c r="H20" s="54" t="s">
        <v>276</v>
      </c>
      <c r="I20" s="54" t="s">
        <v>277</v>
      </c>
      <c r="J20" s="117" t="s">
        <v>1</v>
      </c>
      <c r="K20" s="117"/>
      <c r="L20" s="117"/>
      <c r="M20" s="37" t="s">
        <v>1</v>
      </c>
      <c r="N20" s="37" t="s">
        <v>2</v>
      </c>
      <c r="O20" s="37" t="s">
        <v>0</v>
      </c>
      <c r="W20" s="117">
        <v>1.05</v>
      </c>
      <c r="X20" s="31">
        <v>16</v>
      </c>
      <c r="Y20" s="113">
        <f t="shared" si="17"/>
        <v>0.87314983535277468</v>
      </c>
      <c r="Z20" s="42">
        <f t="shared" si="0"/>
        <v>0.12</v>
      </c>
      <c r="AA20" s="113">
        <f>$Y20*$Z20*其他调用!V19</f>
        <v>0.97844573810729185</v>
      </c>
      <c r="AB20" s="113">
        <f>$Y20*$Z20*其他调用!W19</f>
        <v>1.2581208605757954</v>
      </c>
      <c r="AC20" s="113">
        <f>$Y20*$Z20*其他调用!X19</f>
        <v>1.4016053617583248</v>
      </c>
      <c r="AD20" s="113">
        <f>$Y20*$Z20*其他调用!Y19</f>
        <v>1.218177229941642</v>
      </c>
      <c r="AE20" s="113">
        <f>$Y20*$Z20*其他调用!Z19</f>
        <v>0.72809051358938692</v>
      </c>
      <c r="AH20" s="31">
        <v>16</v>
      </c>
      <c r="AI20" s="31">
        <f>SUM(AA$5:AA20)</f>
        <v>7.4560487102312099</v>
      </c>
      <c r="AJ20" s="31">
        <f>SUM(AB$5:AB20)</f>
        <v>9.4264253571341658</v>
      </c>
      <c r="AK20" s="31">
        <f>SUM(AC$5:AC20)</f>
        <v>10.510783989469784</v>
      </c>
      <c r="AL20" s="31">
        <f>SUM(AD$5:AD20)</f>
        <v>8.8084118086023793</v>
      </c>
      <c r="AM20" s="31">
        <f>SUM(AE$5:AE20)</f>
        <v>4.9595133894718346</v>
      </c>
      <c r="AR20" s="31">
        <v>16</v>
      </c>
      <c r="AS20" s="42">
        <f t="shared" si="1"/>
        <v>8.0000000000000016E-2</v>
      </c>
      <c r="AT20" s="52">
        <f>求节点(E$21:E$27,$M$21:$M$27,$AR20)*$AS20*其他调用!V19</f>
        <v>0</v>
      </c>
      <c r="AU20" s="52">
        <f>求节点(F$21:F$27,$M$21:$M$27,$AR20)*$AS20*其他调用!W19</f>
        <v>0</v>
      </c>
      <c r="AV20" s="52">
        <f>求节点(G$21:G$27,$M$21:$M$27,$AR20)*$AS20*其他调用!X19</f>
        <v>0</v>
      </c>
      <c r="AW20" s="52">
        <f>求节点(H$21:H$27,$M$21:$M$27,$AR20)*$AS20*其他调用!Y19</f>
        <v>0</v>
      </c>
      <c r="AX20" s="52">
        <f>求节点(I$21:I$27,$M$21:$M$27,$AR20)*$AS20*其他调用!Z19</f>
        <v>0</v>
      </c>
      <c r="AY20" s="52">
        <f>求节点(E$21:E$27,$N$21:$N$27,$AR20)*$AS20*其他调用!V19</f>
        <v>0</v>
      </c>
      <c r="AZ20" s="52">
        <f>求节点(F$21:F$27,$N$21:$N$27,$AR20)*$AS20*其他调用!W19</f>
        <v>0</v>
      </c>
      <c r="BA20" s="52">
        <f>求节点(G$21:G$27,$N$21:$N$27,$AR20)*$AS20*其他调用!X19</f>
        <v>0</v>
      </c>
      <c r="BB20" s="52">
        <f>求节点(H$21:H$27,$N$21:$N$27,$AR20)*$AS20*其他调用!Y19</f>
        <v>0</v>
      </c>
      <c r="BC20" s="52">
        <f>求节点(I$21:I$27,$N$21:$N$27,$AR20)*$AS20*其他调用!Z19</f>
        <v>0</v>
      </c>
      <c r="BD20" s="52">
        <f>求节点(E$21:E$27,$O$21:$O$27,$AR20)*$AS20*其他调用!V19</f>
        <v>0</v>
      </c>
      <c r="BE20" s="52">
        <f>求节点(F$21:F$27,$O$21:$O$27,$AR20)*$AS20*其他调用!W19</f>
        <v>0</v>
      </c>
      <c r="BF20" s="52">
        <f>求节点(G$21:G$27,$O$21:$O$27,$AR20)*$AS20*其他调用!X19</f>
        <v>0</v>
      </c>
      <c r="BG20" s="52">
        <f>求节点(H$21:H$27,$O$21:$O$27,$AR20)*$AS20*其他调用!Y19</f>
        <v>0</v>
      </c>
      <c r="BH20" s="52">
        <f>求节点(I$21:I$27,$O$21:$O$27,$AR20)*$AS20*其他调用!Z19</f>
        <v>0</v>
      </c>
      <c r="BK20" s="31">
        <v>16</v>
      </c>
      <c r="BL20" s="31">
        <f>SUM(AT$5:AT20)</f>
        <v>0</v>
      </c>
      <c r="BM20" s="31">
        <f>SUM(AU$5:AU20)</f>
        <v>0</v>
      </c>
      <c r="BN20" s="31">
        <f>SUM(AV$5:AV20)</f>
        <v>0</v>
      </c>
      <c r="BO20" s="31">
        <f>SUM(AW$5:AW20)</f>
        <v>0</v>
      </c>
      <c r="BP20" s="31">
        <f>SUM(AX$5:AX20)</f>
        <v>0</v>
      </c>
      <c r="BQ20" s="31">
        <f>SUM(AY$5:AY20)</f>
        <v>0</v>
      </c>
      <c r="BR20" s="31">
        <f>SUM(AZ$5:AZ20)</f>
        <v>0</v>
      </c>
      <c r="BS20" s="31">
        <f>SUM(BA$5:BA20)</f>
        <v>0</v>
      </c>
      <c r="BT20" s="31">
        <f>SUM(BB$5:BB20)</f>
        <v>0</v>
      </c>
      <c r="BU20" s="31">
        <f>SUM(BC$5:BC20)</f>
        <v>0</v>
      </c>
      <c r="BV20" s="31">
        <f>SUM(BD$5:BD20)</f>
        <v>0</v>
      </c>
      <c r="BW20" s="31">
        <f>SUM(BE$5:BE20)</f>
        <v>0</v>
      </c>
      <c r="BX20" s="31">
        <f>SUM(BF$5:BF20)</f>
        <v>0</v>
      </c>
      <c r="BY20" s="31">
        <f>SUM(BG$5:BG20)</f>
        <v>0</v>
      </c>
      <c r="BZ20" s="31">
        <f>SUM(BH$5:BH20)</f>
        <v>0</v>
      </c>
      <c r="CC20" s="41">
        <v>16</v>
      </c>
      <c r="CD20" s="41">
        <f t="shared" si="2"/>
        <v>0</v>
      </c>
      <c r="CE20" s="41">
        <f t="shared" si="3"/>
        <v>0</v>
      </c>
      <c r="CF20" s="41">
        <f t="shared" si="4"/>
        <v>0</v>
      </c>
      <c r="CG20" s="41">
        <f t="shared" si="5"/>
        <v>0</v>
      </c>
      <c r="CH20" s="41">
        <f t="shared" si="6"/>
        <v>0</v>
      </c>
      <c r="CI20" s="41">
        <f t="shared" si="7"/>
        <v>0</v>
      </c>
      <c r="CJ20" s="41">
        <f t="shared" si="8"/>
        <v>0</v>
      </c>
      <c r="CK20" s="41">
        <f t="shared" si="9"/>
        <v>0</v>
      </c>
      <c r="CL20" s="41">
        <f t="shared" si="10"/>
        <v>0</v>
      </c>
      <c r="CM20" s="41">
        <f t="shared" si="11"/>
        <v>0</v>
      </c>
      <c r="CN20" s="41">
        <f t="shared" si="12"/>
        <v>0</v>
      </c>
      <c r="CO20" s="41">
        <f t="shared" si="13"/>
        <v>0</v>
      </c>
      <c r="CP20" s="41">
        <f t="shared" si="14"/>
        <v>0</v>
      </c>
      <c r="CQ20" s="41">
        <f t="shared" si="15"/>
        <v>0</v>
      </c>
      <c r="CR20" s="41">
        <f t="shared" si="16"/>
        <v>0</v>
      </c>
    </row>
    <row r="21" spans="3:96" x14ac:dyDescent="0.15">
      <c r="D21" s="37">
        <v>0</v>
      </c>
      <c r="E21" s="37">
        <f>E22-1</f>
        <v>37</v>
      </c>
      <c r="F21" s="54">
        <f>INDEX(其他调用!$AC$4:$AC$103,MATCH(INDEX(其他调用!$AD$4:$AD$103,$E21),其他调用!AE$4:AE$103,1))</f>
        <v>36</v>
      </c>
      <c r="G21" s="54">
        <f>INDEX(其他调用!$AC$4:$AC$103,MATCH(INDEX(其他调用!$AD$4:$AD$103,$E21),其他调用!AF$4:AF$103,1))</f>
        <v>34</v>
      </c>
      <c r="H21" s="54">
        <f>INDEX(其他调用!$AC$4:$AC$103,MATCH(INDEX(其他调用!$AD$4:$AD$103,$E21),其他调用!AG$4:AG$103,1))</f>
        <v>32</v>
      </c>
      <c r="I21" s="54">
        <f>INDEX(其他调用!$AC$4:$AC$103,MATCH(INDEX(其他调用!$AD$4:$AD$103,$E21),其他调用!AH$4:AH$103,1))</f>
        <v>31</v>
      </c>
      <c r="J21" s="117"/>
      <c r="K21" s="117"/>
      <c r="L21" s="117"/>
      <c r="W21" s="117">
        <v>1.05</v>
      </c>
      <c r="X21" s="31">
        <v>17</v>
      </c>
      <c r="Y21" s="113">
        <f t="shared" si="17"/>
        <v>0.91680732712041346</v>
      </c>
      <c r="Z21" s="42">
        <f t="shared" si="0"/>
        <v>0.12</v>
      </c>
      <c r="AA21" s="113">
        <f>$Y21*$Z21*其他调用!V20</f>
        <v>1.1011057854668884</v>
      </c>
      <c r="AB21" s="113">
        <f>$Y21*$Z21*其他调用!W20</f>
        <v>1.3618718629209519</v>
      </c>
      <c r="AC21" s="113">
        <f>$Y21*$Z21*其他调用!X20</f>
        <v>1.507935292818892</v>
      </c>
      <c r="AD21" s="113">
        <f>$Y21*$Z21*其他调用!Y20</f>
        <v>1.2734359169968441</v>
      </c>
      <c r="AE21" s="113">
        <f>$Y21*$Z21*其他调用!Z20</f>
        <v>0.6630416167794837</v>
      </c>
      <c r="AH21" s="31">
        <v>17</v>
      </c>
      <c r="AI21" s="31">
        <f>SUM(AA$5:AA21)</f>
        <v>8.5571544956980983</v>
      </c>
      <c r="AJ21" s="31">
        <f>SUM(AB$5:AB21)</f>
        <v>10.788297220055117</v>
      </c>
      <c r="AK21" s="31">
        <f>SUM(AC$5:AC21)</f>
        <v>12.018719282288677</v>
      </c>
      <c r="AL21" s="31">
        <f>SUM(AD$5:AD21)</f>
        <v>10.081847725599223</v>
      </c>
      <c r="AM21" s="31">
        <f>SUM(AE$5:AE21)</f>
        <v>5.6225550062513179</v>
      </c>
      <c r="AR21" s="31">
        <v>17</v>
      </c>
      <c r="AS21" s="42">
        <f t="shared" si="1"/>
        <v>8.0000000000000016E-2</v>
      </c>
      <c r="AT21" s="52">
        <f>求节点(E$21:E$27,$M$21:$M$27,$AR21)*$AS21*其他调用!V20</f>
        <v>0</v>
      </c>
      <c r="AU21" s="52">
        <f>求节点(F$21:F$27,$M$21:$M$27,$AR21)*$AS21*其他调用!W20</f>
        <v>0</v>
      </c>
      <c r="AV21" s="52">
        <f>求节点(G$21:G$27,$M$21:$M$27,$AR21)*$AS21*其他调用!X20</f>
        <v>0</v>
      </c>
      <c r="AW21" s="52">
        <f>求节点(H$21:H$27,$M$21:$M$27,$AR21)*$AS21*其他调用!Y20</f>
        <v>0</v>
      </c>
      <c r="AX21" s="52">
        <f>求节点(I$21:I$27,$M$21:$M$27,$AR21)*$AS21*其他调用!Z20</f>
        <v>0</v>
      </c>
      <c r="AY21" s="52">
        <f>求节点(E$21:E$27,$N$21:$N$27,$AR21)*$AS21*其他调用!V20</f>
        <v>0</v>
      </c>
      <c r="AZ21" s="52">
        <f>求节点(F$21:F$27,$N$21:$N$27,$AR21)*$AS21*其他调用!W20</f>
        <v>0</v>
      </c>
      <c r="BA21" s="52">
        <f>求节点(G$21:G$27,$N$21:$N$27,$AR21)*$AS21*其他调用!X20</f>
        <v>0</v>
      </c>
      <c r="BB21" s="52">
        <f>求节点(H$21:H$27,$N$21:$N$27,$AR21)*$AS21*其他调用!Y20</f>
        <v>0</v>
      </c>
      <c r="BC21" s="52">
        <f>求节点(I$21:I$27,$N$21:$N$27,$AR21)*$AS21*其他调用!Z20</f>
        <v>0</v>
      </c>
      <c r="BD21" s="52">
        <f>求节点(E$21:E$27,$O$21:$O$27,$AR21)*$AS21*其他调用!V20</f>
        <v>0</v>
      </c>
      <c r="BE21" s="52">
        <f>求节点(F$21:F$27,$O$21:$O$27,$AR21)*$AS21*其他调用!W20</f>
        <v>0</v>
      </c>
      <c r="BF21" s="52">
        <f>求节点(G$21:G$27,$O$21:$O$27,$AR21)*$AS21*其他调用!X20</f>
        <v>0</v>
      </c>
      <c r="BG21" s="52">
        <f>求节点(H$21:H$27,$O$21:$O$27,$AR21)*$AS21*其他调用!Y20</f>
        <v>0</v>
      </c>
      <c r="BH21" s="52">
        <f>求节点(I$21:I$27,$O$21:$O$27,$AR21)*$AS21*其他调用!Z20</f>
        <v>0</v>
      </c>
      <c r="BK21" s="31">
        <v>17</v>
      </c>
      <c r="BL21" s="31">
        <f>SUM(AT$5:AT21)</f>
        <v>0</v>
      </c>
      <c r="BM21" s="31">
        <f>SUM(AU$5:AU21)</f>
        <v>0</v>
      </c>
      <c r="BN21" s="31">
        <f>SUM(AV$5:AV21)</f>
        <v>0</v>
      </c>
      <c r="BO21" s="31">
        <f>SUM(AW$5:AW21)</f>
        <v>0</v>
      </c>
      <c r="BP21" s="31">
        <f>SUM(AX$5:AX21)</f>
        <v>0</v>
      </c>
      <c r="BQ21" s="31">
        <f>SUM(AY$5:AY21)</f>
        <v>0</v>
      </c>
      <c r="BR21" s="31">
        <f>SUM(AZ$5:AZ21)</f>
        <v>0</v>
      </c>
      <c r="BS21" s="31">
        <f>SUM(BA$5:BA21)</f>
        <v>0</v>
      </c>
      <c r="BT21" s="31">
        <f>SUM(BB$5:BB21)</f>
        <v>0</v>
      </c>
      <c r="BU21" s="31">
        <f>SUM(BC$5:BC21)</f>
        <v>0</v>
      </c>
      <c r="BV21" s="31">
        <f>SUM(BD$5:BD21)</f>
        <v>0</v>
      </c>
      <c r="BW21" s="31">
        <f>SUM(BE$5:BE21)</f>
        <v>0</v>
      </c>
      <c r="BX21" s="31">
        <f>SUM(BF$5:BF21)</f>
        <v>0</v>
      </c>
      <c r="BY21" s="31">
        <f>SUM(BG$5:BG21)</f>
        <v>0</v>
      </c>
      <c r="BZ21" s="31">
        <f>SUM(BH$5:BH21)</f>
        <v>0</v>
      </c>
      <c r="CC21" s="41">
        <v>17</v>
      </c>
      <c r="CD21" s="41">
        <f t="shared" si="2"/>
        <v>0</v>
      </c>
      <c r="CE21" s="41">
        <f t="shared" si="3"/>
        <v>0</v>
      </c>
      <c r="CF21" s="41">
        <f t="shared" si="4"/>
        <v>0</v>
      </c>
      <c r="CG21" s="41">
        <f t="shared" si="5"/>
        <v>0</v>
      </c>
      <c r="CH21" s="41">
        <f t="shared" si="6"/>
        <v>0</v>
      </c>
      <c r="CI21" s="41">
        <f t="shared" si="7"/>
        <v>0</v>
      </c>
      <c r="CJ21" s="41">
        <f t="shared" si="8"/>
        <v>0</v>
      </c>
      <c r="CK21" s="41">
        <f t="shared" si="9"/>
        <v>0</v>
      </c>
      <c r="CL21" s="41">
        <f t="shared" si="10"/>
        <v>0</v>
      </c>
      <c r="CM21" s="41">
        <f t="shared" si="11"/>
        <v>0</v>
      </c>
      <c r="CN21" s="41">
        <f t="shared" si="12"/>
        <v>0</v>
      </c>
      <c r="CO21" s="41">
        <f t="shared" si="13"/>
        <v>0</v>
      </c>
      <c r="CP21" s="41">
        <f t="shared" si="14"/>
        <v>0</v>
      </c>
      <c r="CQ21" s="41">
        <f t="shared" si="15"/>
        <v>0</v>
      </c>
      <c r="CR21" s="41">
        <f t="shared" si="16"/>
        <v>0</v>
      </c>
    </row>
    <row r="22" spans="3:96" x14ac:dyDescent="0.15">
      <c r="D22" s="37">
        <v>1</v>
      </c>
      <c r="E22" s="37">
        <f>'[1]功能-行军令'!GO12</f>
        <v>38</v>
      </c>
      <c r="F22" s="54">
        <f>INDEX(其他调用!$AC$4:$AC$103,MATCH(INDEX(其他调用!$AD$4:$AD$103,$E22),其他调用!AE$4:AE$103,1))</f>
        <v>37</v>
      </c>
      <c r="G22" s="54">
        <f>INDEX(其他调用!$AC$4:$AC$103,MATCH(INDEX(其他调用!$AD$4:$AD$103,$E22),其他调用!AF$4:AF$103,1))</f>
        <v>35</v>
      </c>
      <c r="H22" s="54">
        <f>INDEX(其他调用!$AC$4:$AC$103,MATCH(INDEX(其他调用!$AD$4:$AD$103,$E22),其他调用!AG$4:AG$103,1))</f>
        <v>33</v>
      </c>
      <c r="I22" s="54">
        <f>INDEX(其他调用!$AC$4:$AC$103,MATCH(INDEX(其他调用!$AD$4:$AD$103,$E22),其他调用!AH$4:AH$103,1))</f>
        <v>32</v>
      </c>
      <c r="J22" s="117">
        <f t="shared" ref="J22:J27" si="18">INDEX($Y$5:$Y$164,$E22)*$L$12</f>
        <v>5.1083818319271881</v>
      </c>
      <c r="K22" s="117"/>
      <c r="L22" s="117"/>
      <c r="M22" s="37">
        <v>2</v>
      </c>
      <c r="W22" s="117">
        <v>1.05</v>
      </c>
      <c r="X22" s="31">
        <v>18</v>
      </c>
      <c r="Y22" s="113">
        <f t="shared" si="17"/>
        <v>0.9626476934764342</v>
      </c>
      <c r="Z22" s="42">
        <f t="shared" si="0"/>
        <v>0.12</v>
      </c>
      <c r="AA22" s="113">
        <f>$Y22*$Z22*其他调用!V21</f>
        <v>1.2391427583240207</v>
      </c>
      <c r="AB22" s="113">
        <f>$Y22*$Z22*其他调用!W21</f>
        <v>1.6114317995601681</v>
      </c>
      <c r="AC22" s="113">
        <f>$Y22*$Z22*其他调用!X21</f>
        <v>1.8771055899611986</v>
      </c>
      <c r="AD22" s="113">
        <f>$Y22*$Z22*其他调用!Y21</f>
        <v>1.5756162580970288</v>
      </c>
      <c r="AE22" s="113">
        <f>$Y22*$Z22*其他调用!Z21</f>
        <v>0.86185919288759716</v>
      </c>
      <c r="AH22" s="31">
        <v>18</v>
      </c>
      <c r="AI22" s="31">
        <f>SUM(AA$5:AA22)</f>
        <v>9.796297254022118</v>
      </c>
      <c r="AJ22" s="31">
        <f>SUM(AB$5:AB22)</f>
        <v>12.399729019615286</v>
      </c>
      <c r="AK22" s="31">
        <f>SUM(AC$5:AC22)</f>
        <v>13.895824872249875</v>
      </c>
      <c r="AL22" s="31">
        <f>SUM(AD$5:AD22)</f>
        <v>11.657463983696251</v>
      </c>
      <c r="AM22" s="31">
        <f>SUM(AE$5:AE22)</f>
        <v>6.4844141991389153</v>
      </c>
      <c r="AR22" s="31">
        <v>18</v>
      </c>
      <c r="AS22" s="42">
        <f t="shared" si="1"/>
        <v>8.0000000000000016E-2</v>
      </c>
      <c r="AT22" s="52">
        <f>求节点(E$21:E$27,$M$21:$M$27,$AR22)*$AS22*其他调用!V21</f>
        <v>0</v>
      </c>
      <c r="AU22" s="52">
        <f>求节点(F$21:F$27,$M$21:$M$27,$AR22)*$AS22*其他调用!W21</f>
        <v>0</v>
      </c>
      <c r="AV22" s="52">
        <f>求节点(G$21:G$27,$M$21:$M$27,$AR22)*$AS22*其他调用!X21</f>
        <v>0</v>
      </c>
      <c r="AW22" s="52">
        <f>求节点(H$21:H$27,$M$21:$M$27,$AR22)*$AS22*其他调用!Y21</f>
        <v>0</v>
      </c>
      <c r="AX22" s="52">
        <f>求节点(I$21:I$27,$M$21:$M$27,$AR22)*$AS22*其他调用!Z21</f>
        <v>0</v>
      </c>
      <c r="AY22" s="52">
        <f>求节点(E$21:E$27,$N$21:$N$27,$AR22)*$AS22*其他调用!V21</f>
        <v>0</v>
      </c>
      <c r="AZ22" s="52">
        <f>求节点(F$21:F$27,$N$21:$N$27,$AR22)*$AS22*其他调用!W21</f>
        <v>0</v>
      </c>
      <c r="BA22" s="52">
        <f>求节点(G$21:G$27,$N$21:$N$27,$AR22)*$AS22*其他调用!X21</f>
        <v>0</v>
      </c>
      <c r="BB22" s="52">
        <f>求节点(H$21:H$27,$N$21:$N$27,$AR22)*$AS22*其他调用!Y21</f>
        <v>0</v>
      </c>
      <c r="BC22" s="52">
        <f>求节点(I$21:I$27,$N$21:$N$27,$AR22)*$AS22*其他调用!Z21</f>
        <v>0</v>
      </c>
      <c r="BD22" s="52">
        <f>求节点(E$21:E$27,$O$21:$O$27,$AR22)*$AS22*其他调用!V21</f>
        <v>0</v>
      </c>
      <c r="BE22" s="52">
        <f>求节点(F$21:F$27,$O$21:$O$27,$AR22)*$AS22*其他调用!W21</f>
        <v>0</v>
      </c>
      <c r="BF22" s="52">
        <f>求节点(G$21:G$27,$O$21:$O$27,$AR22)*$AS22*其他调用!X21</f>
        <v>0</v>
      </c>
      <c r="BG22" s="52">
        <f>求节点(H$21:H$27,$O$21:$O$27,$AR22)*$AS22*其他调用!Y21</f>
        <v>0</v>
      </c>
      <c r="BH22" s="52">
        <f>求节点(I$21:I$27,$O$21:$O$27,$AR22)*$AS22*其他调用!Z21</f>
        <v>0</v>
      </c>
      <c r="BK22" s="31">
        <v>18</v>
      </c>
      <c r="BL22" s="31">
        <f>SUM(AT$5:AT22)</f>
        <v>0</v>
      </c>
      <c r="BM22" s="31">
        <f>SUM(AU$5:AU22)</f>
        <v>0</v>
      </c>
      <c r="BN22" s="31">
        <f>SUM(AV$5:AV22)</f>
        <v>0</v>
      </c>
      <c r="BO22" s="31">
        <f>SUM(AW$5:AW22)</f>
        <v>0</v>
      </c>
      <c r="BP22" s="31">
        <f>SUM(AX$5:AX22)</f>
        <v>0</v>
      </c>
      <c r="BQ22" s="31">
        <f>SUM(AY$5:AY22)</f>
        <v>0</v>
      </c>
      <c r="BR22" s="31">
        <f>SUM(AZ$5:AZ22)</f>
        <v>0</v>
      </c>
      <c r="BS22" s="31">
        <f>SUM(BA$5:BA22)</f>
        <v>0</v>
      </c>
      <c r="BT22" s="31">
        <f>SUM(BB$5:BB22)</f>
        <v>0</v>
      </c>
      <c r="BU22" s="31">
        <f>SUM(BC$5:BC22)</f>
        <v>0</v>
      </c>
      <c r="BV22" s="31">
        <f>SUM(BD$5:BD22)</f>
        <v>0</v>
      </c>
      <c r="BW22" s="31">
        <f>SUM(BE$5:BE22)</f>
        <v>0</v>
      </c>
      <c r="BX22" s="31">
        <f>SUM(BF$5:BF22)</f>
        <v>0</v>
      </c>
      <c r="BY22" s="31">
        <f>SUM(BG$5:BG22)</f>
        <v>0</v>
      </c>
      <c r="BZ22" s="31">
        <f>SUM(BH$5:BH22)</f>
        <v>0</v>
      </c>
      <c r="CC22" s="41">
        <v>18</v>
      </c>
      <c r="CD22" s="41">
        <f t="shared" si="2"/>
        <v>0</v>
      </c>
      <c r="CE22" s="41">
        <f t="shared" si="3"/>
        <v>0</v>
      </c>
      <c r="CF22" s="41">
        <f t="shared" si="4"/>
        <v>0</v>
      </c>
      <c r="CG22" s="41">
        <f t="shared" si="5"/>
        <v>0</v>
      </c>
      <c r="CH22" s="41">
        <f t="shared" si="6"/>
        <v>0</v>
      </c>
      <c r="CI22" s="41">
        <f t="shared" si="7"/>
        <v>0</v>
      </c>
      <c r="CJ22" s="41">
        <f t="shared" si="8"/>
        <v>0</v>
      </c>
      <c r="CK22" s="41">
        <f t="shared" si="9"/>
        <v>0</v>
      </c>
      <c r="CL22" s="41">
        <f t="shared" si="10"/>
        <v>0</v>
      </c>
      <c r="CM22" s="41">
        <f t="shared" si="11"/>
        <v>0</v>
      </c>
      <c r="CN22" s="41">
        <f t="shared" si="12"/>
        <v>0</v>
      </c>
      <c r="CO22" s="41">
        <f t="shared" si="13"/>
        <v>0</v>
      </c>
      <c r="CP22" s="41">
        <f t="shared" si="14"/>
        <v>0</v>
      </c>
      <c r="CQ22" s="41">
        <f t="shared" si="15"/>
        <v>0</v>
      </c>
      <c r="CR22" s="41">
        <f t="shared" si="16"/>
        <v>0</v>
      </c>
    </row>
    <row r="23" spans="3:96" x14ac:dyDescent="0.15">
      <c r="D23" s="37">
        <v>2</v>
      </c>
      <c r="E23" s="37">
        <f>'[1]功能-行军令'!GO13</f>
        <v>47</v>
      </c>
      <c r="F23" s="54">
        <f>INDEX(其他调用!$AC$4:$AC$103,MATCH(INDEX(其他调用!$AD$4:$AD$103,$E23),其他调用!AE$4:AE$103,1))</f>
        <v>46</v>
      </c>
      <c r="G23" s="54">
        <f>INDEX(其他调用!$AC$4:$AC$103,MATCH(INDEX(其他调用!$AD$4:$AD$103,$E23),其他调用!AF$4:AF$103,1))</f>
        <v>44</v>
      </c>
      <c r="H23" s="54">
        <f>INDEX(其他调用!$AC$4:$AC$103,MATCH(INDEX(其他调用!$AD$4:$AD$103,$E23),其他调用!AG$4:AG$103,1))</f>
        <v>40</v>
      </c>
      <c r="I23" s="54">
        <f>INDEX(其他调用!$AC$4:$AC$103,MATCH(INDEX(其他调用!$AD$4:$AD$103,$E23),其他调用!AH$4:AH$103,1))</f>
        <v>39</v>
      </c>
      <c r="J23" s="117">
        <f t="shared" si="18"/>
        <v>7.9247768738606688</v>
      </c>
      <c r="K23" s="117"/>
      <c r="L23" s="117"/>
      <c r="M23" s="37">
        <v>4</v>
      </c>
      <c r="W23" s="117">
        <v>1.05</v>
      </c>
      <c r="X23" s="31">
        <v>19</v>
      </c>
      <c r="Y23" s="113">
        <f t="shared" si="17"/>
        <v>1.0107800781502561</v>
      </c>
      <c r="Z23" s="42">
        <f t="shared" si="0"/>
        <v>0.12</v>
      </c>
      <c r="AA23" s="113">
        <f>$Y23*$Z23*其他调用!V22</f>
        <v>1.3944843408989946</v>
      </c>
      <c r="AB23" s="113">
        <f>$Y23*$Z23*其他调用!W22</f>
        <v>1.8027406350842383</v>
      </c>
      <c r="AC23" s="113">
        <f>$Y23*$Z23*其他调用!X22</f>
        <v>2.0083116714843987</v>
      </c>
      <c r="AD23" s="113">
        <f>$Y23*$Z23*其他调用!Y22</f>
        <v>1.660714970335432</v>
      </c>
      <c r="AE23" s="113">
        <f>$Y23*$Z23*其他调用!Z22</f>
        <v>0.96388674741497804</v>
      </c>
      <c r="AH23" s="31">
        <v>19</v>
      </c>
      <c r="AI23" s="31">
        <f>SUM(AA$5:AA23)</f>
        <v>11.190781594921113</v>
      </c>
      <c r="AJ23" s="31">
        <f>SUM(AB$5:AB23)</f>
        <v>14.202469654699524</v>
      </c>
      <c r="AK23" s="31">
        <f>SUM(AC$5:AC23)</f>
        <v>15.904136543734275</v>
      </c>
      <c r="AL23" s="31">
        <f>SUM(AD$5:AD23)</f>
        <v>13.318178954031684</v>
      </c>
      <c r="AM23" s="31">
        <f>SUM(AE$5:AE23)</f>
        <v>7.4483009465538936</v>
      </c>
      <c r="AR23" s="31">
        <v>19</v>
      </c>
      <c r="AS23" s="42">
        <f t="shared" si="1"/>
        <v>8.0000000000000016E-2</v>
      </c>
      <c r="AT23" s="52">
        <f>求节点(E$21:E$27,$M$21:$M$27,$AR23)*$AS23*其他调用!V22</f>
        <v>0</v>
      </c>
      <c r="AU23" s="52">
        <f>求节点(F$21:F$27,$M$21:$M$27,$AR23)*$AS23*其他调用!W22</f>
        <v>0</v>
      </c>
      <c r="AV23" s="52">
        <f>求节点(G$21:G$27,$M$21:$M$27,$AR23)*$AS23*其他调用!X22</f>
        <v>0</v>
      </c>
      <c r="AW23" s="52">
        <f>求节点(H$21:H$27,$M$21:$M$27,$AR23)*$AS23*其他调用!Y22</f>
        <v>0</v>
      </c>
      <c r="AX23" s="52">
        <f>求节点(I$21:I$27,$M$21:$M$27,$AR23)*$AS23*其他调用!Z22</f>
        <v>0</v>
      </c>
      <c r="AY23" s="52">
        <f>求节点(E$21:E$27,$N$21:$N$27,$AR23)*$AS23*其他调用!V22</f>
        <v>0</v>
      </c>
      <c r="AZ23" s="52">
        <f>求节点(F$21:F$27,$N$21:$N$27,$AR23)*$AS23*其他调用!W22</f>
        <v>0</v>
      </c>
      <c r="BA23" s="52">
        <f>求节点(G$21:G$27,$N$21:$N$27,$AR23)*$AS23*其他调用!X22</f>
        <v>0</v>
      </c>
      <c r="BB23" s="52">
        <f>求节点(H$21:H$27,$N$21:$N$27,$AR23)*$AS23*其他调用!Y22</f>
        <v>0</v>
      </c>
      <c r="BC23" s="52">
        <f>求节点(I$21:I$27,$N$21:$N$27,$AR23)*$AS23*其他调用!Z22</f>
        <v>0</v>
      </c>
      <c r="BD23" s="52">
        <f>求节点(E$21:E$27,$O$21:$O$27,$AR23)*$AS23*其他调用!V22</f>
        <v>0</v>
      </c>
      <c r="BE23" s="52">
        <f>求节点(F$21:F$27,$O$21:$O$27,$AR23)*$AS23*其他调用!W22</f>
        <v>0</v>
      </c>
      <c r="BF23" s="52">
        <f>求节点(G$21:G$27,$O$21:$O$27,$AR23)*$AS23*其他调用!X22</f>
        <v>0</v>
      </c>
      <c r="BG23" s="52">
        <f>求节点(H$21:H$27,$O$21:$O$27,$AR23)*$AS23*其他调用!Y22</f>
        <v>0</v>
      </c>
      <c r="BH23" s="52">
        <f>求节点(I$21:I$27,$O$21:$O$27,$AR23)*$AS23*其他调用!Z22</f>
        <v>0</v>
      </c>
      <c r="BK23" s="31">
        <v>19</v>
      </c>
      <c r="BL23" s="31">
        <f>SUM(AT$5:AT23)</f>
        <v>0</v>
      </c>
      <c r="BM23" s="31">
        <f>SUM(AU$5:AU23)</f>
        <v>0</v>
      </c>
      <c r="BN23" s="31">
        <f>SUM(AV$5:AV23)</f>
        <v>0</v>
      </c>
      <c r="BO23" s="31">
        <f>SUM(AW$5:AW23)</f>
        <v>0</v>
      </c>
      <c r="BP23" s="31">
        <f>SUM(AX$5:AX23)</f>
        <v>0</v>
      </c>
      <c r="BQ23" s="31">
        <f>SUM(AY$5:AY23)</f>
        <v>0</v>
      </c>
      <c r="BR23" s="31">
        <f>SUM(AZ$5:AZ23)</f>
        <v>0</v>
      </c>
      <c r="BS23" s="31">
        <f>SUM(BA$5:BA23)</f>
        <v>0</v>
      </c>
      <c r="BT23" s="31">
        <f>SUM(BB$5:BB23)</f>
        <v>0</v>
      </c>
      <c r="BU23" s="31">
        <f>SUM(BC$5:BC23)</f>
        <v>0</v>
      </c>
      <c r="BV23" s="31">
        <f>SUM(BD$5:BD23)</f>
        <v>0</v>
      </c>
      <c r="BW23" s="31">
        <f>SUM(BE$5:BE23)</f>
        <v>0</v>
      </c>
      <c r="BX23" s="31">
        <f>SUM(BF$5:BF23)</f>
        <v>0</v>
      </c>
      <c r="BY23" s="31">
        <f>SUM(BG$5:BG23)</f>
        <v>0</v>
      </c>
      <c r="BZ23" s="31">
        <f>SUM(BH$5:BH23)</f>
        <v>0</v>
      </c>
      <c r="CC23" s="41">
        <v>19</v>
      </c>
      <c r="CD23" s="41">
        <f t="shared" si="2"/>
        <v>0</v>
      </c>
      <c r="CE23" s="41">
        <f t="shared" si="3"/>
        <v>0</v>
      </c>
      <c r="CF23" s="41">
        <f t="shared" si="4"/>
        <v>0</v>
      </c>
      <c r="CG23" s="41">
        <f t="shared" si="5"/>
        <v>0</v>
      </c>
      <c r="CH23" s="41">
        <f t="shared" si="6"/>
        <v>0</v>
      </c>
      <c r="CI23" s="41">
        <f t="shared" si="7"/>
        <v>0</v>
      </c>
      <c r="CJ23" s="41">
        <f t="shared" si="8"/>
        <v>0</v>
      </c>
      <c r="CK23" s="41">
        <f t="shared" si="9"/>
        <v>0</v>
      </c>
      <c r="CL23" s="41">
        <f t="shared" si="10"/>
        <v>0</v>
      </c>
      <c r="CM23" s="41">
        <f t="shared" si="11"/>
        <v>0</v>
      </c>
      <c r="CN23" s="41">
        <f t="shared" si="12"/>
        <v>0</v>
      </c>
      <c r="CO23" s="41">
        <f t="shared" si="13"/>
        <v>0</v>
      </c>
      <c r="CP23" s="41">
        <f t="shared" si="14"/>
        <v>0</v>
      </c>
      <c r="CQ23" s="41">
        <f t="shared" si="15"/>
        <v>0</v>
      </c>
      <c r="CR23" s="41">
        <f t="shared" si="16"/>
        <v>0</v>
      </c>
    </row>
    <row r="24" spans="3:96" x14ac:dyDescent="0.15">
      <c r="D24" s="117">
        <v>3</v>
      </c>
      <c r="E24" s="37">
        <f>'[1]功能-行军令'!GO14</f>
        <v>56</v>
      </c>
      <c r="F24" s="54">
        <f>INDEX(其他调用!$AC$4:$AC$103,MATCH(INDEX(其他调用!$AD$4:$AD$103,$E24),其他调用!AE$4:AE$103,1))</f>
        <v>55</v>
      </c>
      <c r="G24" s="54">
        <f>INDEX(其他调用!$AC$4:$AC$103,MATCH(INDEX(其他调用!$AD$4:$AD$103,$E24),其他调用!AF$4:AF$103,1))</f>
        <v>53</v>
      </c>
      <c r="H24" s="54">
        <f>INDEX(其他调用!$AC$4:$AC$103,MATCH(INDEX(其他调用!$AD$4:$AD$103,$E24),其他调用!AG$4:AG$103,1))</f>
        <v>49</v>
      </c>
      <c r="I24" s="54">
        <f>INDEX(其他调用!$AC$4:$AC$103,MATCH(INDEX(其他调用!$AD$4:$AD$103,$E24),其他调用!AH$4:AH$103,1))</f>
        <v>47</v>
      </c>
      <c r="J24" s="117">
        <f t="shared" si="18"/>
        <v>12.293929969754071</v>
      </c>
      <c r="K24" s="117"/>
      <c r="L24" s="117"/>
      <c r="M24" s="37">
        <v>6</v>
      </c>
      <c r="W24" s="117">
        <v>1.05</v>
      </c>
      <c r="X24" s="31">
        <v>20</v>
      </c>
      <c r="Y24" s="113">
        <f t="shared" si="17"/>
        <v>1.0613190820577689</v>
      </c>
      <c r="Z24" s="42">
        <f t="shared" si="0"/>
        <v>0.12</v>
      </c>
      <c r="AA24" s="113">
        <f>$Y24*$Z24*其他调用!V23</f>
        <v>1.5692998760228534</v>
      </c>
      <c r="AB24" s="113">
        <f>$Y24*$Z24*其他调用!W23</f>
        <v>1.9651252164311019</v>
      </c>
      <c r="AC24" s="113">
        <f>$Y24*$Z24*其他调用!X23</f>
        <v>2.1578054258033585</v>
      </c>
      <c r="AD24" s="113">
        <f>$Y24*$Z24*其他调用!Y23</f>
        <v>1.8435858398977483</v>
      </c>
      <c r="AE24" s="113">
        <f>$Y24*$Z24*其他调用!Z23</f>
        <v>1.0126973022246919</v>
      </c>
      <c r="AH24" s="31">
        <v>20</v>
      </c>
      <c r="AI24" s="31">
        <f>SUM(AA$5:AA24)</f>
        <v>12.760081470943966</v>
      </c>
      <c r="AJ24" s="31">
        <f>SUM(AB$5:AB24)</f>
        <v>16.167594871130625</v>
      </c>
      <c r="AK24" s="31">
        <f>SUM(AC$5:AC24)</f>
        <v>18.061941969537635</v>
      </c>
      <c r="AL24" s="31">
        <f>SUM(AD$5:AD24)</f>
        <v>15.161764793929432</v>
      </c>
      <c r="AM24" s="31">
        <f>SUM(AE$5:AE24)</f>
        <v>8.4609982487785853</v>
      </c>
      <c r="AR24" s="31">
        <v>20</v>
      </c>
      <c r="AS24" s="42">
        <f t="shared" si="1"/>
        <v>8.0000000000000016E-2</v>
      </c>
      <c r="AT24" s="52">
        <f>求节点(E$21:E$27,$M$21:$M$27,$AR24)*$AS24*其他调用!V23</f>
        <v>0</v>
      </c>
      <c r="AU24" s="52">
        <f>求节点(F$21:F$27,$M$21:$M$27,$AR24)*$AS24*其他调用!W23</f>
        <v>0</v>
      </c>
      <c r="AV24" s="52">
        <f>求节点(G$21:G$27,$M$21:$M$27,$AR24)*$AS24*其他调用!X23</f>
        <v>0</v>
      </c>
      <c r="AW24" s="52">
        <f>求节点(H$21:H$27,$M$21:$M$27,$AR24)*$AS24*其他调用!Y23</f>
        <v>0</v>
      </c>
      <c r="AX24" s="52">
        <f>求节点(I$21:I$27,$M$21:$M$27,$AR24)*$AS24*其他调用!Z23</f>
        <v>0</v>
      </c>
      <c r="AY24" s="52">
        <f>求节点(E$21:E$27,$N$21:$N$27,$AR24)*$AS24*其他调用!V23</f>
        <v>0</v>
      </c>
      <c r="AZ24" s="52">
        <f>求节点(F$21:F$27,$N$21:$N$27,$AR24)*$AS24*其他调用!W23</f>
        <v>0</v>
      </c>
      <c r="BA24" s="52">
        <f>求节点(G$21:G$27,$N$21:$N$27,$AR24)*$AS24*其他调用!X23</f>
        <v>0</v>
      </c>
      <c r="BB24" s="52">
        <f>求节点(H$21:H$27,$N$21:$N$27,$AR24)*$AS24*其他调用!Y23</f>
        <v>0</v>
      </c>
      <c r="BC24" s="52">
        <f>求节点(I$21:I$27,$N$21:$N$27,$AR24)*$AS24*其他调用!Z23</f>
        <v>0</v>
      </c>
      <c r="BD24" s="52">
        <f>求节点(E$21:E$27,$O$21:$O$27,$AR24)*$AS24*其他调用!V23</f>
        <v>0</v>
      </c>
      <c r="BE24" s="52">
        <f>求节点(F$21:F$27,$O$21:$O$27,$AR24)*$AS24*其他调用!W23</f>
        <v>0</v>
      </c>
      <c r="BF24" s="52">
        <f>求节点(G$21:G$27,$O$21:$O$27,$AR24)*$AS24*其他调用!X23</f>
        <v>0</v>
      </c>
      <c r="BG24" s="52">
        <f>求节点(H$21:H$27,$O$21:$O$27,$AR24)*$AS24*其他调用!Y23</f>
        <v>0</v>
      </c>
      <c r="BH24" s="52">
        <f>求节点(I$21:I$27,$O$21:$O$27,$AR24)*$AS24*其他调用!Z23</f>
        <v>0</v>
      </c>
      <c r="BK24" s="31">
        <v>20</v>
      </c>
      <c r="BL24" s="31">
        <f>SUM(AT$5:AT24)</f>
        <v>0</v>
      </c>
      <c r="BM24" s="31">
        <f>SUM(AU$5:AU24)</f>
        <v>0</v>
      </c>
      <c r="BN24" s="31">
        <f>SUM(AV$5:AV24)</f>
        <v>0</v>
      </c>
      <c r="BO24" s="31">
        <f>SUM(AW$5:AW24)</f>
        <v>0</v>
      </c>
      <c r="BP24" s="31">
        <f>SUM(AX$5:AX24)</f>
        <v>0</v>
      </c>
      <c r="BQ24" s="31">
        <f>SUM(AY$5:AY24)</f>
        <v>0</v>
      </c>
      <c r="BR24" s="31">
        <f>SUM(AZ$5:AZ24)</f>
        <v>0</v>
      </c>
      <c r="BS24" s="31">
        <f>SUM(BA$5:BA24)</f>
        <v>0</v>
      </c>
      <c r="BT24" s="31">
        <f>SUM(BB$5:BB24)</f>
        <v>0</v>
      </c>
      <c r="BU24" s="31">
        <f>SUM(BC$5:BC24)</f>
        <v>0</v>
      </c>
      <c r="BV24" s="31">
        <f>SUM(BD$5:BD24)</f>
        <v>0</v>
      </c>
      <c r="BW24" s="31">
        <f>SUM(BE$5:BE24)</f>
        <v>0</v>
      </c>
      <c r="BX24" s="31">
        <f>SUM(BF$5:BF24)</f>
        <v>0</v>
      </c>
      <c r="BY24" s="31">
        <f>SUM(BG$5:BG24)</f>
        <v>0</v>
      </c>
      <c r="BZ24" s="31">
        <f>SUM(BH$5:BH24)</f>
        <v>0</v>
      </c>
      <c r="CC24" s="41">
        <v>20</v>
      </c>
      <c r="CD24" s="41">
        <f t="shared" si="2"/>
        <v>0</v>
      </c>
      <c r="CE24" s="41">
        <f t="shared" si="3"/>
        <v>0</v>
      </c>
      <c r="CF24" s="41">
        <f t="shared" si="4"/>
        <v>0</v>
      </c>
      <c r="CG24" s="41">
        <f t="shared" si="5"/>
        <v>0</v>
      </c>
      <c r="CH24" s="41">
        <f t="shared" si="6"/>
        <v>0</v>
      </c>
      <c r="CI24" s="41">
        <f t="shared" si="7"/>
        <v>0</v>
      </c>
      <c r="CJ24" s="41">
        <f t="shared" si="8"/>
        <v>0</v>
      </c>
      <c r="CK24" s="41">
        <f t="shared" si="9"/>
        <v>0</v>
      </c>
      <c r="CL24" s="41">
        <f t="shared" si="10"/>
        <v>0</v>
      </c>
      <c r="CM24" s="41">
        <f t="shared" si="11"/>
        <v>0</v>
      </c>
      <c r="CN24" s="41">
        <f t="shared" si="12"/>
        <v>0</v>
      </c>
      <c r="CO24" s="41">
        <f t="shared" si="13"/>
        <v>0</v>
      </c>
      <c r="CP24" s="41">
        <f t="shared" si="14"/>
        <v>0</v>
      </c>
      <c r="CQ24" s="41">
        <f t="shared" si="15"/>
        <v>0</v>
      </c>
      <c r="CR24" s="41">
        <f t="shared" si="16"/>
        <v>0</v>
      </c>
    </row>
    <row r="25" spans="3:96" x14ac:dyDescent="0.15">
      <c r="D25" s="117">
        <v>4</v>
      </c>
      <c r="E25" s="38">
        <f>E24+9</f>
        <v>65</v>
      </c>
      <c r="F25" s="54">
        <f>INDEX(其他调用!$AC$4:$AC$103,MATCH(INDEX(其他调用!$AD$4:$AD$103,$E25),其他调用!AE$4:AE$103,1))</f>
        <v>64</v>
      </c>
      <c r="G25" s="54">
        <f>INDEX(其他调用!$AC$4:$AC$103,MATCH(INDEX(其他调用!$AD$4:$AD$103,$E25),其他调用!AF$4:AF$103,1))</f>
        <v>62</v>
      </c>
      <c r="H25" s="54">
        <f>INDEX(其他调用!$AC$4:$AC$103,MATCH(INDEX(其他调用!$AD$4:$AD$103,$E25),其他调用!AG$4:AG$103,1))</f>
        <v>59</v>
      </c>
      <c r="I25" s="54">
        <f>INDEX(其他调用!$AC$4:$AC$103,MATCH(INDEX(其他调用!$AD$4:$AD$103,$E25),其他调用!AH$4:AH$103,1))</f>
        <v>57</v>
      </c>
      <c r="J25" s="117">
        <f t="shared" si="18"/>
        <v>19.071920447343395</v>
      </c>
      <c r="K25" s="117"/>
      <c r="L25" s="117"/>
      <c r="N25" s="71">
        <v>2</v>
      </c>
      <c r="S25" s="117"/>
      <c r="W25" s="117">
        <v>1.05</v>
      </c>
      <c r="X25" s="31">
        <v>21</v>
      </c>
      <c r="Y25" s="113">
        <f t="shared" si="17"/>
        <v>1.1143850361606573</v>
      </c>
      <c r="Z25" s="42">
        <f t="shared" si="0"/>
        <v>0.12</v>
      </c>
      <c r="AA25" s="113">
        <f>$Y25*$Z25*其他调用!V24</f>
        <v>1.7660306599769287</v>
      </c>
      <c r="AB25" s="113">
        <f>$Y25*$Z25*其他调用!W24</f>
        <v>2.2236308629203148</v>
      </c>
      <c r="AC25" s="113">
        <f>$Y25*$Z25*其他调用!X24</f>
        <v>2.5488914289885689</v>
      </c>
      <c r="AD25" s="113">
        <f>$Y25*$Z25*其他调用!Y24</f>
        <v>2.1552094910683524</v>
      </c>
      <c r="AE25" s="113">
        <f>$Y25*$Z25*其他调用!Z24</f>
        <v>1.2639518720801317</v>
      </c>
      <c r="AH25" s="31">
        <v>21</v>
      </c>
      <c r="AI25" s="31">
        <f>SUM(AA$5:AA25)</f>
        <v>14.526112130920895</v>
      </c>
      <c r="AJ25" s="31">
        <f>SUM(AB$5:AB25)</f>
        <v>18.391225734050941</v>
      </c>
      <c r="AK25" s="31">
        <f>SUM(AC$5:AC25)</f>
        <v>20.610833398526204</v>
      </c>
      <c r="AL25" s="31">
        <f>SUM(AD$5:AD25)</f>
        <v>17.316974284997784</v>
      </c>
      <c r="AM25" s="31">
        <f>SUM(AE$5:AE25)</f>
        <v>9.7249501208587166</v>
      </c>
      <c r="AR25" s="31">
        <v>21</v>
      </c>
      <c r="AS25" s="42">
        <f t="shared" si="1"/>
        <v>8.0000000000000016E-2</v>
      </c>
      <c r="AT25" s="52">
        <f>求节点(E$21:E$27,$M$21:$M$27,$AR25)*$AS25*其他调用!V24</f>
        <v>0</v>
      </c>
      <c r="AU25" s="52">
        <f>求节点(F$21:F$27,$M$21:$M$27,$AR25)*$AS25*其他调用!W24</f>
        <v>0</v>
      </c>
      <c r="AV25" s="52">
        <f>求节点(G$21:G$27,$M$21:$M$27,$AR25)*$AS25*其他调用!X24</f>
        <v>0</v>
      </c>
      <c r="AW25" s="52">
        <f>求节点(H$21:H$27,$M$21:$M$27,$AR25)*$AS25*其他调用!Y24</f>
        <v>0</v>
      </c>
      <c r="AX25" s="52">
        <f>求节点(I$21:I$27,$M$21:$M$27,$AR25)*$AS25*其他调用!Z24</f>
        <v>0</v>
      </c>
      <c r="AY25" s="52">
        <f>求节点(E$21:E$27,$N$21:$N$27,$AR25)*$AS25*其他调用!V24</f>
        <v>0</v>
      </c>
      <c r="AZ25" s="52">
        <f>求节点(F$21:F$27,$N$21:$N$27,$AR25)*$AS25*其他调用!W24</f>
        <v>0</v>
      </c>
      <c r="BA25" s="52">
        <f>求节点(G$21:G$27,$N$21:$N$27,$AR25)*$AS25*其他调用!X24</f>
        <v>0</v>
      </c>
      <c r="BB25" s="52">
        <f>求节点(H$21:H$27,$N$21:$N$27,$AR25)*$AS25*其他调用!Y24</f>
        <v>0</v>
      </c>
      <c r="BC25" s="52">
        <f>求节点(I$21:I$27,$N$21:$N$27,$AR25)*$AS25*其他调用!Z24</f>
        <v>0</v>
      </c>
      <c r="BD25" s="52">
        <f>求节点(E$21:E$27,$O$21:$O$27,$AR25)*$AS25*其他调用!V24</f>
        <v>0</v>
      </c>
      <c r="BE25" s="52">
        <f>求节点(F$21:F$27,$O$21:$O$27,$AR25)*$AS25*其他调用!W24</f>
        <v>0</v>
      </c>
      <c r="BF25" s="52">
        <f>求节点(G$21:G$27,$O$21:$O$27,$AR25)*$AS25*其他调用!X24</f>
        <v>0</v>
      </c>
      <c r="BG25" s="52">
        <f>求节点(H$21:H$27,$O$21:$O$27,$AR25)*$AS25*其他调用!Y24</f>
        <v>0</v>
      </c>
      <c r="BH25" s="52">
        <f>求节点(I$21:I$27,$O$21:$O$27,$AR25)*$AS25*其他调用!Z24</f>
        <v>0</v>
      </c>
      <c r="BK25" s="31">
        <v>21</v>
      </c>
      <c r="BL25" s="31">
        <f>SUM(AT$5:AT25)</f>
        <v>0</v>
      </c>
      <c r="BM25" s="31">
        <f>SUM(AU$5:AU25)</f>
        <v>0</v>
      </c>
      <c r="BN25" s="31">
        <f>SUM(AV$5:AV25)</f>
        <v>0</v>
      </c>
      <c r="BO25" s="31">
        <f>SUM(AW$5:AW25)</f>
        <v>0</v>
      </c>
      <c r="BP25" s="31">
        <f>SUM(AX$5:AX25)</f>
        <v>0</v>
      </c>
      <c r="BQ25" s="31">
        <f>SUM(AY$5:AY25)</f>
        <v>0</v>
      </c>
      <c r="BR25" s="31">
        <f>SUM(AZ$5:AZ25)</f>
        <v>0</v>
      </c>
      <c r="BS25" s="31">
        <f>SUM(BA$5:BA25)</f>
        <v>0</v>
      </c>
      <c r="BT25" s="31">
        <f>SUM(BB$5:BB25)</f>
        <v>0</v>
      </c>
      <c r="BU25" s="31">
        <f>SUM(BC$5:BC25)</f>
        <v>0</v>
      </c>
      <c r="BV25" s="31">
        <f>SUM(BD$5:BD25)</f>
        <v>0</v>
      </c>
      <c r="BW25" s="31">
        <f>SUM(BE$5:BE25)</f>
        <v>0</v>
      </c>
      <c r="BX25" s="31">
        <f>SUM(BF$5:BF25)</f>
        <v>0</v>
      </c>
      <c r="BY25" s="31">
        <f>SUM(BG$5:BG25)</f>
        <v>0</v>
      </c>
      <c r="BZ25" s="31">
        <f>SUM(BH$5:BH25)</f>
        <v>0</v>
      </c>
      <c r="CC25" s="41">
        <v>21</v>
      </c>
      <c r="CD25" s="41">
        <f t="shared" si="2"/>
        <v>0</v>
      </c>
      <c r="CE25" s="41">
        <f t="shared" si="3"/>
        <v>0</v>
      </c>
      <c r="CF25" s="41">
        <f t="shared" si="4"/>
        <v>0</v>
      </c>
      <c r="CG25" s="41">
        <f t="shared" si="5"/>
        <v>0</v>
      </c>
      <c r="CH25" s="41">
        <f t="shared" si="6"/>
        <v>0</v>
      </c>
      <c r="CI25" s="41">
        <f t="shared" si="7"/>
        <v>0</v>
      </c>
      <c r="CJ25" s="41">
        <f t="shared" si="8"/>
        <v>0</v>
      </c>
      <c r="CK25" s="41">
        <f t="shared" si="9"/>
        <v>0</v>
      </c>
      <c r="CL25" s="41">
        <f t="shared" si="10"/>
        <v>0</v>
      </c>
      <c r="CM25" s="41">
        <f t="shared" si="11"/>
        <v>0</v>
      </c>
      <c r="CN25" s="41">
        <f t="shared" si="12"/>
        <v>0</v>
      </c>
      <c r="CO25" s="41">
        <f t="shared" si="13"/>
        <v>0</v>
      </c>
      <c r="CP25" s="41">
        <f t="shared" si="14"/>
        <v>0</v>
      </c>
      <c r="CQ25" s="41">
        <f t="shared" si="15"/>
        <v>0</v>
      </c>
      <c r="CR25" s="41">
        <f t="shared" si="16"/>
        <v>0</v>
      </c>
    </row>
    <row r="26" spans="3:96" x14ac:dyDescent="0.15">
      <c r="C26" s="117"/>
      <c r="D26" s="117">
        <v>5</v>
      </c>
      <c r="E26" s="38">
        <f t="shared" ref="E26:E27" si="19">E25+9</f>
        <v>74</v>
      </c>
      <c r="F26" s="54">
        <f>INDEX(其他调用!$AC$4:$AC$103,MATCH(INDEX(其他调用!$AD$4:$AD$103,$E26),其他调用!AE$4:AE$103,1))</f>
        <v>72</v>
      </c>
      <c r="G26" s="54">
        <f>INDEX(其他调用!$AC$4:$AC$103,MATCH(INDEX(其他调用!$AD$4:$AD$103,$E26),其他调用!AF$4:AF$103,1))</f>
        <v>70</v>
      </c>
      <c r="H26" s="54">
        <f>INDEX(其他调用!$AC$4:$AC$103,MATCH(INDEX(其他调用!$AD$4:$AD$103,$E26),其他调用!AG$4:AG$103,1))</f>
        <v>67</v>
      </c>
      <c r="I26" s="54">
        <f>INDEX(其他调用!$AC$4:$AC$103,MATCH(INDEX(其他调用!$AD$4:$AD$103,$E26),其他调用!AH$4:AH$103,1))</f>
        <v>67</v>
      </c>
      <c r="J26" s="117">
        <f t="shared" si="18"/>
        <v>29.586808322861415</v>
      </c>
      <c r="K26" s="117"/>
      <c r="L26" s="117"/>
      <c r="N26" s="71">
        <v>4</v>
      </c>
      <c r="S26" s="117"/>
      <c r="W26" s="117">
        <v>1.05</v>
      </c>
      <c r="X26" s="31">
        <v>22</v>
      </c>
      <c r="Y26" s="113">
        <f t="shared" si="17"/>
        <v>1.1701042879686903</v>
      </c>
      <c r="Z26" s="42">
        <f t="shared" si="0"/>
        <v>0.12</v>
      </c>
      <c r="AA26" s="113">
        <f>$Y26*$Z26*其他调用!V25</f>
        <v>1.9874240351581618</v>
      </c>
      <c r="AB26" s="113">
        <f>$Y26*$Z26*其他调用!W25</f>
        <v>2.5621923236918236</v>
      </c>
      <c r="AC26" s="113">
        <f>$Y26*$Z26*其他调用!X25</f>
        <v>2.917038350447489</v>
      </c>
      <c r="AD26" s="113">
        <f>$Y26*$Z26*其他调用!Y25</f>
        <v>2.4757638831932272</v>
      </c>
      <c r="AE26" s="113">
        <f>$Y26*$Z26*其他调用!Z25</f>
        <v>1.4038324684442169</v>
      </c>
      <c r="AH26" s="31">
        <v>22</v>
      </c>
      <c r="AI26" s="31">
        <f>SUM(AA$5:AA26)</f>
        <v>16.513536166079056</v>
      </c>
      <c r="AJ26" s="31">
        <f>SUM(AB$5:AB26)</f>
        <v>20.953418057742766</v>
      </c>
      <c r="AK26" s="31">
        <f>SUM(AC$5:AC26)</f>
        <v>23.527871748973691</v>
      </c>
      <c r="AL26" s="31">
        <f>SUM(AD$5:AD26)</f>
        <v>19.792738168191011</v>
      </c>
      <c r="AM26" s="31">
        <f>SUM(AE$5:AE26)</f>
        <v>11.128782589302933</v>
      </c>
      <c r="AR26" s="31">
        <v>22</v>
      </c>
      <c r="AS26" s="42">
        <f t="shared" si="1"/>
        <v>8.0000000000000016E-2</v>
      </c>
      <c r="AT26" s="52">
        <f>求节点(E$21:E$27,$M$21:$M$27,$AR26)*$AS26*其他调用!V25</f>
        <v>0</v>
      </c>
      <c r="AU26" s="52">
        <f>求节点(F$21:F$27,$M$21:$M$27,$AR26)*$AS26*其他调用!W25</f>
        <v>0</v>
      </c>
      <c r="AV26" s="52">
        <f>求节点(G$21:G$27,$M$21:$M$27,$AR26)*$AS26*其他调用!X25</f>
        <v>0</v>
      </c>
      <c r="AW26" s="52">
        <f>求节点(H$21:H$27,$M$21:$M$27,$AR26)*$AS26*其他调用!Y25</f>
        <v>0</v>
      </c>
      <c r="AX26" s="52">
        <f>求节点(I$21:I$27,$M$21:$M$27,$AR26)*$AS26*其他调用!Z25</f>
        <v>0</v>
      </c>
      <c r="AY26" s="52">
        <f>求节点(E$21:E$27,$N$21:$N$27,$AR26)*$AS26*其他调用!V25</f>
        <v>0</v>
      </c>
      <c r="AZ26" s="52">
        <f>求节点(F$21:F$27,$N$21:$N$27,$AR26)*$AS26*其他调用!W25</f>
        <v>0</v>
      </c>
      <c r="BA26" s="52">
        <f>求节点(G$21:G$27,$N$21:$N$27,$AR26)*$AS26*其他调用!X25</f>
        <v>0</v>
      </c>
      <c r="BB26" s="52">
        <f>求节点(H$21:H$27,$N$21:$N$27,$AR26)*$AS26*其他调用!Y25</f>
        <v>0</v>
      </c>
      <c r="BC26" s="52">
        <f>求节点(I$21:I$27,$N$21:$N$27,$AR26)*$AS26*其他调用!Z25</f>
        <v>0</v>
      </c>
      <c r="BD26" s="52">
        <f>求节点(E$21:E$27,$O$21:$O$27,$AR26)*$AS26*其他调用!V25</f>
        <v>0</v>
      </c>
      <c r="BE26" s="52">
        <f>求节点(F$21:F$27,$O$21:$O$27,$AR26)*$AS26*其他调用!W25</f>
        <v>0</v>
      </c>
      <c r="BF26" s="52">
        <f>求节点(G$21:G$27,$O$21:$O$27,$AR26)*$AS26*其他调用!X25</f>
        <v>0</v>
      </c>
      <c r="BG26" s="52">
        <f>求节点(H$21:H$27,$O$21:$O$27,$AR26)*$AS26*其他调用!Y25</f>
        <v>0</v>
      </c>
      <c r="BH26" s="52">
        <f>求节点(I$21:I$27,$O$21:$O$27,$AR26)*$AS26*其他调用!Z25</f>
        <v>0</v>
      </c>
      <c r="BK26" s="31">
        <v>22</v>
      </c>
      <c r="BL26" s="31">
        <f>SUM(AT$5:AT26)</f>
        <v>0</v>
      </c>
      <c r="BM26" s="31">
        <f>SUM(AU$5:AU26)</f>
        <v>0</v>
      </c>
      <c r="BN26" s="31">
        <f>SUM(AV$5:AV26)</f>
        <v>0</v>
      </c>
      <c r="BO26" s="31">
        <f>SUM(AW$5:AW26)</f>
        <v>0</v>
      </c>
      <c r="BP26" s="31">
        <f>SUM(AX$5:AX26)</f>
        <v>0</v>
      </c>
      <c r="BQ26" s="31">
        <f>SUM(AY$5:AY26)</f>
        <v>0</v>
      </c>
      <c r="BR26" s="31">
        <f>SUM(AZ$5:AZ26)</f>
        <v>0</v>
      </c>
      <c r="BS26" s="31">
        <f>SUM(BA$5:BA26)</f>
        <v>0</v>
      </c>
      <c r="BT26" s="31">
        <f>SUM(BB$5:BB26)</f>
        <v>0</v>
      </c>
      <c r="BU26" s="31">
        <f>SUM(BC$5:BC26)</f>
        <v>0</v>
      </c>
      <c r="BV26" s="31">
        <f>SUM(BD$5:BD26)</f>
        <v>0</v>
      </c>
      <c r="BW26" s="31">
        <f>SUM(BE$5:BE26)</f>
        <v>0</v>
      </c>
      <c r="BX26" s="31">
        <f>SUM(BF$5:BF26)</f>
        <v>0</v>
      </c>
      <c r="BY26" s="31">
        <f>SUM(BG$5:BG26)</f>
        <v>0</v>
      </c>
      <c r="BZ26" s="31">
        <f>SUM(BH$5:BH26)</f>
        <v>0</v>
      </c>
      <c r="CC26" s="41">
        <v>22</v>
      </c>
      <c r="CD26" s="41">
        <f t="shared" si="2"/>
        <v>0</v>
      </c>
      <c r="CE26" s="41">
        <f t="shared" si="3"/>
        <v>0</v>
      </c>
      <c r="CF26" s="41">
        <f t="shared" si="4"/>
        <v>0</v>
      </c>
      <c r="CG26" s="41">
        <f t="shared" si="5"/>
        <v>0</v>
      </c>
      <c r="CH26" s="41">
        <f t="shared" si="6"/>
        <v>0</v>
      </c>
      <c r="CI26" s="41">
        <f t="shared" si="7"/>
        <v>0</v>
      </c>
      <c r="CJ26" s="41">
        <f t="shared" si="8"/>
        <v>0</v>
      </c>
      <c r="CK26" s="41">
        <f t="shared" si="9"/>
        <v>0</v>
      </c>
      <c r="CL26" s="41">
        <f t="shared" si="10"/>
        <v>0</v>
      </c>
      <c r="CM26" s="41">
        <f t="shared" si="11"/>
        <v>0</v>
      </c>
      <c r="CN26" s="41">
        <f t="shared" si="12"/>
        <v>0</v>
      </c>
      <c r="CO26" s="41">
        <f t="shared" si="13"/>
        <v>0</v>
      </c>
      <c r="CP26" s="41">
        <f t="shared" si="14"/>
        <v>0</v>
      </c>
      <c r="CQ26" s="41">
        <f t="shared" si="15"/>
        <v>0</v>
      </c>
      <c r="CR26" s="41">
        <f t="shared" si="16"/>
        <v>0</v>
      </c>
    </row>
    <row r="27" spans="3:96" x14ac:dyDescent="0.15">
      <c r="C27" s="117"/>
      <c r="D27" s="117">
        <v>6</v>
      </c>
      <c r="E27" s="38">
        <f t="shared" si="19"/>
        <v>83</v>
      </c>
      <c r="F27" s="54">
        <f>INDEX(其他调用!$AC$4:$AC$103,MATCH(INDEX(其他调用!$AD$4:$AD$103,$E27),其他调用!AE$4:AE$103,1))</f>
        <v>81</v>
      </c>
      <c r="G27" s="54">
        <f>INDEX(其他调用!$AC$4:$AC$103,MATCH(INDEX(其他调用!$AD$4:$AD$103,$E27),其他调用!AF$4:AF$103,1))</f>
        <v>79</v>
      </c>
      <c r="H27" s="54">
        <f>INDEX(其他调用!$AC$4:$AC$103,MATCH(INDEX(其他调用!$AD$4:$AD$103,$E27),其他调用!AG$4:AG$103,1))</f>
        <v>76</v>
      </c>
      <c r="I27" s="54">
        <f>INDEX(其他调用!$AC$4:$AC$103,MATCH(INDEX(其他调用!$AD$4:$AD$103,$E27),其他调用!AH$4:AH$103,1))</f>
        <v>76</v>
      </c>
      <c r="J27" s="117">
        <f t="shared" si="18"/>
        <v>45.898850572002907</v>
      </c>
      <c r="K27" s="117"/>
      <c r="L27" s="117"/>
      <c r="N27" s="71">
        <v>6</v>
      </c>
      <c r="S27" s="117"/>
      <c r="W27" s="117">
        <v>1.05</v>
      </c>
      <c r="X27" s="31">
        <v>23</v>
      </c>
      <c r="Y27" s="113">
        <f t="shared" si="17"/>
        <v>1.2286095023671249</v>
      </c>
      <c r="Z27" s="42">
        <f t="shared" si="0"/>
        <v>0.12</v>
      </c>
      <c r="AA27" s="113">
        <f>$Y27*$Z27*其他调用!V26</f>
        <v>2.2365717566737824</v>
      </c>
      <c r="AB27" s="113">
        <f>$Y27*$Z27*其他调用!W26</f>
        <v>2.8040565901782228</v>
      </c>
      <c r="AC27" s="113">
        <f>$Y27*$Z27*其他调用!X26</f>
        <v>3.1061008680657096</v>
      </c>
      <c r="AD27" s="113">
        <f>$Y27*$Z27*其他调用!Y26</f>
        <v>2.6100551094363444</v>
      </c>
      <c r="AE27" s="113">
        <f>$Y27*$Z27*其他调用!Z26</f>
        <v>1.3994755532864647</v>
      </c>
      <c r="AH27" s="31">
        <v>23</v>
      </c>
      <c r="AI27" s="31">
        <f>SUM(AA$5:AA27)</f>
        <v>18.750107922752839</v>
      </c>
      <c r="AJ27" s="31">
        <f>SUM(AB$5:AB27)</f>
        <v>23.75747464792099</v>
      </c>
      <c r="AK27" s="31">
        <f>SUM(AC$5:AC27)</f>
        <v>26.633972617039401</v>
      </c>
      <c r="AL27" s="31">
        <f>SUM(AD$5:AD27)</f>
        <v>22.402793277627357</v>
      </c>
      <c r="AM27" s="31">
        <f>SUM(AE$5:AE27)</f>
        <v>12.528258142589397</v>
      </c>
      <c r="AR27" s="31">
        <v>23</v>
      </c>
      <c r="AS27" s="42">
        <f t="shared" si="1"/>
        <v>8.0000000000000016E-2</v>
      </c>
      <c r="AT27" s="52">
        <f>求节点(E$21:E$27,$M$21:$M$27,$AR27)*$AS27*其他调用!V26</f>
        <v>0</v>
      </c>
      <c r="AU27" s="52">
        <f>求节点(F$21:F$27,$M$21:$M$27,$AR27)*$AS27*其他调用!W26</f>
        <v>0</v>
      </c>
      <c r="AV27" s="52">
        <f>求节点(G$21:G$27,$M$21:$M$27,$AR27)*$AS27*其他调用!X26</f>
        <v>0</v>
      </c>
      <c r="AW27" s="52">
        <f>求节点(H$21:H$27,$M$21:$M$27,$AR27)*$AS27*其他调用!Y26</f>
        <v>0</v>
      </c>
      <c r="AX27" s="52">
        <f>求节点(I$21:I$27,$M$21:$M$27,$AR27)*$AS27*其他调用!Z26</f>
        <v>0</v>
      </c>
      <c r="AY27" s="52">
        <f>求节点(E$21:E$27,$N$21:$N$27,$AR27)*$AS27*其他调用!V26</f>
        <v>0</v>
      </c>
      <c r="AZ27" s="52">
        <f>求节点(F$21:F$27,$N$21:$N$27,$AR27)*$AS27*其他调用!W26</f>
        <v>0</v>
      </c>
      <c r="BA27" s="52">
        <f>求节点(G$21:G$27,$N$21:$N$27,$AR27)*$AS27*其他调用!X26</f>
        <v>0</v>
      </c>
      <c r="BB27" s="52">
        <f>求节点(H$21:H$27,$N$21:$N$27,$AR27)*$AS27*其他调用!Y26</f>
        <v>0</v>
      </c>
      <c r="BC27" s="52">
        <f>求节点(I$21:I$27,$N$21:$N$27,$AR27)*$AS27*其他调用!Z26</f>
        <v>0</v>
      </c>
      <c r="BD27" s="52">
        <f>求节点(E$21:E$27,$O$21:$O$27,$AR27)*$AS27*其他调用!V26</f>
        <v>0</v>
      </c>
      <c r="BE27" s="52">
        <f>求节点(F$21:F$27,$O$21:$O$27,$AR27)*$AS27*其他调用!W26</f>
        <v>0</v>
      </c>
      <c r="BF27" s="52">
        <f>求节点(G$21:G$27,$O$21:$O$27,$AR27)*$AS27*其他调用!X26</f>
        <v>0</v>
      </c>
      <c r="BG27" s="52">
        <f>求节点(H$21:H$27,$O$21:$O$27,$AR27)*$AS27*其他调用!Y26</f>
        <v>0</v>
      </c>
      <c r="BH27" s="52">
        <f>求节点(I$21:I$27,$O$21:$O$27,$AR27)*$AS27*其他调用!Z26</f>
        <v>0</v>
      </c>
      <c r="BK27" s="31">
        <v>23</v>
      </c>
      <c r="BL27" s="31">
        <f>SUM(AT$5:AT27)</f>
        <v>0</v>
      </c>
      <c r="BM27" s="31">
        <f>SUM(AU$5:AU27)</f>
        <v>0</v>
      </c>
      <c r="BN27" s="31">
        <f>SUM(AV$5:AV27)</f>
        <v>0</v>
      </c>
      <c r="BO27" s="31">
        <f>SUM(AW$5:AW27)</f>
        <v>0</v>
      </c>
      <c r="BP27" s="31">
        <f>SUM(AX$5:AX27)</f>
        <v>0</v>
      </c>
      <c r="BQ27" s="31">
        <f>SUM(AY$5:AY27)</f>
        <v>0</v>
      </c>
      <c r="BR27" s="31">
        <f>SUM(AZ$5:AZ27)</f>
        <v>0</v>
      </c>
      <c r="BS27" s="31">
        <f>SUM(BA$5:BA27)</f>
        <v>0</v>
      </c>
      <c r="BT27" s="31">
        <f>SUM(BB$5:BB27)</f>
        <v>0</v>
      </c>
      <c r="BU27" s="31">
        <f>SUM(BC$5:BC27)</f>
        <v>0</v>
      </c>
      <c r="BV27" s="31">
        <f>SUM(BD$5:BD27)</f>
        <v>0</v>
      </c>
      <c r="BW27" s="31">
        <f>SUM(BE$5:BE27)</f>
        <v>0</v>
      </c>
      <c r="BX27" s="31">
        <f>SUM(BF$5:BF27)</f>
        <v>0</v>
      </c>
      <c r="BY27" s="31">
        <f>SUM(BG$5:BG27)</f>
        <v>0</v>
      </c>
      <c r="BZ27" s="31">
        <f>SUM(BH$5:BH27)</f>
        <v>0</v>
      </c>
      <c r="CC27" s="41">
        <v>23</v>
      </c>
      <c r="CD27" s="41">
        <f t="shared" si="2"/>
        <v>0</v>
      </c>
      <c r="CE27" s="41">
        <f t="shared" si="3"/>
        <v>0</v>
      </c>
      <c r="CF27" s="41">
        <f t="shared" si="4"/>
        <v>0</v>
      </c>
      <c r="CG27" s="41">
        <f t="shared" si="5"/>
        <v>0</v>
      </c>
      <c r="CH27" s="41">
        <f t="shared" si="6"/>
        <v>0</v>
      </c>
      <c r="CI27" s="41">
        <f t="shared" si="7"/>
        <v>0</v>
      </c>
      <c r="CJ27" s="41">
        <f t="shared" si="8"/>
        <v>0</v>
      </c>
      <c r="CK27" s="41">
        <f t="shared" si="9"/>
        <v>0</v>
      </c>
      <c r="CL27" s="41">
        <f t="shared" si="10"/>
        <v>0</v>
      </c>
      <c r="CM27" s="41">
        <f t="shared" si="11"/>
        <v>0</v>
      </c>
      <c r="CN27" s="41">
        <f t="shared" si="12"/>
        <v>0</v>
      </c>
      <c r="CO27" s="41">
        <f t="shared" si="13"/>
        <v>0</v>
      </c>
      <c r="CP27" s="41">
        <f t="shared" si="14"/>
        <v>0</v>
      </c>
      <c r="CQ27" s="41">
        <f t="shared" si="15"/>
        <v>0</v>
      </c>
      <c r="CR27" s="41">
        <f t="shared" si="16"/>
        <v>0</v>
      </c>
    </row>
    <row r="28" spans="3:96" x14ac:dyDescent="0.15">
      <c r="C28" s="117"/>
      <c r="S28" s="117"/>
      <c r="W28" s="117">
        <v>1.05</v>
      </c>
      <c r="X28" s="31">
        <v>24</v>
      </c>
      <c r="Y28" s="113">
        <f t="shared" si="17"/>
        <v>1.2900399774854812</v>
      </c>
      <c r="Z28" s="42">
        <f t="shared" si="0"/>
        <v>0.12</v>
      </c>
      <c r="AA28" s="113">
        <f>$Y28*$Z28*其他调用!V27</f>
        <v>2.5169531686541986</v>
      </c>
      <c r="AB28" s="113">
        <f>$Y28*$Z28*其他调用!W27</f>
        <v>3.2501089125054046</v>
      </c>
      <c r="AC28" s="113">
        <f>$Y28*$Z28*其他调用!X27</f>
        <v>3.7112828526671504</v>
      </c>
      <c r="AD28" s="113">
        <f>$Y28*$Z28*其他调用!Y27</f>
        <v>3.1023649307868593</v>
      </c>
      <c r="AE28" s="113">
        <f>$Y28*$Z28*其他调用!Z27</f>
        <v>1.7284571152354689</v>
      </c>
      <c r="AH28" s="31">
        <v>24</v>
      </c>
      <c r="AI28" s="31">
        <f>SUM(AA$5:AA28)</f>
        <v>21.267061091407037</v>
      </c>
      <c r="AJ28" s="31">
        <f>SUM(AB$5:AB28)</f>
        <v>27.007583560426394</v>
      </c>
      <c r="AK28" s="31">
        <f>SUM(AC$5:AC28)</f>
        <v>30.345255469706551</v>
      </c>
      <c r="AL28" s="31">
        <f>SUM(AD$5:AD28)</f>
        <v>25.505158208414215</v>
      </c>
      <c r="AM28" s="31">
        <f>SUM(AE$5:AE28)</f>
        <v>14.256715257824865</v>
      </c>
      <c r="AR28" s="31">
        <v>24</v>
      </c>
      <c r="AS28" s="42">
        <f t="shared" si="1"/>
        <v>8.0000000000000016E-2</v>
      </c>
      <c r="AT28" s="52">
        <f>求节点(E$21:E$27,$M$21:$M$27,$AR28)*$AS28*其他调用!V27</f>
        <v>0</v>
      </c>
      <c r="AU28" s="52">
        <f>求节点(F$21:F$27,$M$21:$M$27,$AR28)*$AS28*其他调用!W27</f>
        <v>0</v>
      </c>
      <c r="AV28" s="52">
        <f>求节点(G$21:G$27,$M$21:$M$27,$AR28)*$AS28*其他调用!X27</f>
        <v>0</v>
      </c>
      <c r="AW28" s="52">
        <f>求节点(H$21:H$27,$M$21:$M$27,$AR28)*$AS28*其他调用!Y27</f>
        <v>0</v>
      </c>
      <c r="AX28" s="52">
        <f>求节点(I$21:I$27,$M$21:$M$27,$AR28)*$AS28*其他调用!Z27</f>
        <v>0</v>
      </c>
      <c r="AY28" s="52">
        <f>求节点(E$21:E$27,$N$21:$N$27,$AR28)*$AS28*其他调用!V27</f>
        <v>0</v>
      </c>
      <c r="AZ28" s="52">
        <f>求节点(F$21:F$27,$N$21:$N$27,$AR28)*$AS28*其他调用!W27</f>
        <v>0</v>
      </c>
      <c r="BA28" s="52">
        <f>求节点(G$21:G$27,$N$21:$N$27,$AR28)*$AS28*其他调用!X27</f>
        <v>0</v>
      </c>
      <c r="BB28" s="52">
        <f>求节点(H$21:H$27,$N$21:$N$27,$AR28)*$AS28*其他调用!Y27</f>
        <v>0</v>
      </c>
      <c r="BC28" s="52">
        <f>求节点(I$21:I$27,$N$21:$N$27,$AR28)*$AS28*其他调用!Z27</f>
        <v>0</v>
      </c>
      <c r="BD28" s="52">
        <f>求节点(E$21:E$27,$O$21:$O$27,$AR28)*$AS28*其他调用!V27</f>
        <v>0</v>
      </c>
      <c r="BE28" s="52">
        <f>求节点(F$21:F$27,$O$21:$O$27,$AR28)*$AS28*其他调用!W27</f>
        <v>0</v>
      </c>
      <c r="BF28" s="52">
        <f>求节点(G$21:G$27,$O$21:$O$27,$AR28)*$AS28*其他调用!X27</f>
        <v>0</v>
      </c>
      <c r="BG28" s="52">
        <f>求节点(H$21:H$27,$O$21:$O$27,$AR28)*$AS28*其他调用!Y27</f>
        <v>0</v>
      </c>
      <c r="BH28" s="52">
        <f>求节点(I$21:I$27,$O$21:$O$27,$AR28)*$AS28*其他调用!Z27</f>
        <v>0</v>
      </c>
      <c r="BK28" s="31">
        <v>24</v>
      </c>
      <c r="BL28" s="31">
        <f>SUM(AT$5:AT28)</f>
        <v>0</v>
      </c>
      <c r="BM28" s="31">
        <f>SUM(AU$5:AU28)</f>
        <v>0</v>
      </c>
      <c r="BN28" s="31">
        <f>SUM(AV$5:AV28)</f>
        <v>0</v>
      </c>
      <c r="BO28" s="31">
        <f>SUM(AW$5:AW28)</f>
        <v>0</v>
      </c>
      <c r="BP28" s="31">
        <f>SUM(AX$5:AX28)</f>
        <v>0</v>
      </c>
      <c r="BQ28" s="31">
        <f>SUM(AY$5:AY28)</f>
        <v>0</v>
      </c>
      <c r="BR28" s="31">
        <f>SUM(AZ$5:AZ28)</f>
        <v>0</v>
      </c>
      <c r="BS28" s="31">
        <f>SUM(BA$5:BA28)</f>
        <v>0</v>
      </c>
      <c r="BT28" s="31">
        <f>SUM(BB$5:BB28)</f>
        <v>0</v>
      </c>
      <c r="BU28" s="31">
        <f>SUM(BC$5:BC28)</f>
        <v>0</v>
      </c>
      <c r="BV28" s="31">
        <f>SUM(BD$5:BD28)</f>
        <v>0</v>
      </c>
      <c r="BW28" s="31">
        <f>SUM(BE$5:BE28)</f>
        <v>0</v>
      </c>
      <c r="BX28" s="31">
        <f>SUM(BF$5:BF28)</f>
        <v>0</v>
      </c>
      <c r="BY28" s="31">
        <f>SUM(BG$5:BG28)</f>
        <v>0</v>
      </c>
      <c r="BZ28" s="31">
        <f>SUM(BH$5:BH28)</f>
        <v>0</v>
      </c>
      <c r="CC28" s="41">
        <v>24</v>
      </c>
      <c r="CD28" s="41">
        <f t="shared" si="2"/>
        <v>0</v>
      </c>
      <c r="CE28" s="41">
        <f t="shared" si="3"/>
        <v>0</v>
      </c>
      <c r="CF28" s="41">
        <f t="shared" si="4"/>
        <v>0</v>
      </c>
      <c r="CG28" s="41">
        <f t="shared" si="5"/>
        <v>0</v>
      </c>
      <c r="CH28" s="41">
        <f t="shared" si="6"/>
        <v>0</v>
      </c>
      <c r="CI28" s="41">
        <f t="shared" si="7"/>
        <v>0</v>
      </c>
      <c r="CJ28" s="41">
        <f t="shared" si="8"/>
        <v>0</v>
      </c>
      <c r="CK28" s="41">
        <f t="shared" si="9"/>
        <v>0</v>
      </c>
      <c r="CL28" s="41">
        <f t="shared" si="10"/>
        <v>0</v>
      </c>
      <c r="CM28" s="41">
        <f t="shared" si="11"/>
        <v>0</v>
      </c>
      <c r="CN28" s="41">
        <f t="shared" si="12"/>
        <v>0</v>
      </c>
      <c r="CO28" s="41">
        <f t="shared" si="13"/>
        <v>0</v>
      </c>
      <c r="CP28" s="41">
        <f t="shared" si="14"/>
        <v>0</v>
      </c>
      <c r="CQ28" s="41">
        <f t="shared" si="15"/>
        <v>0</v>
      </c>
      <c r="CR28" s="41">
        <f t="shared" si="16"/>
        <v>0</v>
      </c>
    </row>
    <row r="29" spans="3:96" x14ac:dyDescent="0.15">
      <c r="C29" s="117"/>
      <c r="S29" s="117"/>
      <c r="W29" s="117">
        <v>1.05</v>
      </c>
      <c r="X29" s="31">
        <v>25</v>
      </c>
      <c r="Y29" s="113">
        <f t="shared" si="17"/>
        <v>1.3545419763597553</v>
      </c>
      <c r="Z29" s="42">
        <f t="shared" si="0"/>
        <v>0.12</v>
      </c>
      <c r="AA29" s="113">
        <f>$Y29*$Z29*其他调用!V28</f>
        <v>2.8324837932407219</v>
      </c>
      <c r="AB29" s="113">
        <f>$Y29*$Z29*其他调用!W28</f>
        <v>3.6243379013475385</v>
      </c>
      <c r="AC29" s="113">
        <f>$Y29*$Z29*其他调用!X28</f>
        <v>4.0623233835532986</v>
      </c>
      <c r="AD29" s="113">
        <f>$Y29*$Z29*其他调用!Y28</f>
        <v>3.4183464550365854</v>
      </c>
      <c r="AE29" s="113">
        <f>$Y29*$Z29*其他调用!Z28</f>
        <v>1.8583708979357103</v>
      </c>
      <c r="AH29" s="31">
        <v>25</v>
      </c>
      <c r="AI29" s="31">
        <f>SUM(AA$5:AA29)</f>
        <v>24.099544884647759</v>
      </c>
      <c r="AJ29" s="31">
        <f>SUM(AB$5:AB29)</f>
        <v>30.631921461773931</v>
      </c>
      <c r="AK29" s="31">
        <f>SUM(AC$5:AC29)</f>
        <v>34.407578853259849</v>
      </c>
      <c r="AL29" s="31">
        <f>SUM(AD$5:AD29)</f>
        <v>28.9235046634508</v>
      </c>
      <c r="AM29" s="31">
        <f>SUM(AE$5:AE29)</f>
        <v>16.115086155760576</v>
      </c>
      <c r="AR29" s="31">
        <v>25</v>
      </c>
      <c r="AS29" s="42">
        <f t="shared" si="1"/>
        <v>8.0000000000000016E-2</v>
      </c>
      <c r="AT29" s="52">
        <f>求节点(E$21:E$27,$M$21:$M$27,$AR29)*$AS29*其他调用!V28</f>
        <v>0</v>
      </c>
      <c r="AU29" s="52">
        <f>求节点(F$21:F$27,$M$21:$M$27,$AR29)*$AS29*其他调用!W28</f>
        <v>0</v>
      </c>
      <c r="AV29" s="52">
        <f>求节点(G$21:G$27,$M$21:$M$27,$AR29)*$AS29*其他调用!X28</f>
        <v>0</v>
      </c>
      <c r="AW29" s="52">
        <f>求节点(H$21:H$27,$M$21:$M$27,$AR29)*$AS29*其他调用!Y28</f>
        <v>0</v>
      </c>
      <c r="AX29" s="52">
        <f>求节点(I$21:I$27,$M$21:$M$27,$AR29)*$AS29*其他调用!Z28</f>
        <v>0</v>
      </c>
      <c r="AY29" s="52">
        <f>求节点(E$21:E$27,$N$21:$N$27,$AR29)*$AS29*其他调用!V28</f>
        <v>0</v>
      </c>
      <c r="AZ29" s="52">
        <f>求节点(F$21:F$27,$N$21:$N$27,$AR29)*$AS29*其他调用!W28</f>
        <v>0</v>
      </c>
      <c r="BA29" s="52">
        <f>求节点(G$21:G$27,$N$21:$N$27,$AR29)*$AS29*其他调用!X28</f>
        <v>0</v>
      </c>
      <c r="BB29" s="52">
        <f>求节点(H$21:H$27,$N$21:$N$27,$AR29)*$AS29*其他调用!Y28</f>
        <v>0</v>
      </c>
      <c r="BC29" s="52">
        <f>求节点(I$21:I$27,$N$21:$N$27,$AR29)*$AS29*其他调用!Z28</f>
        <v>0</v>
      </c>
      <c r="BD29" s="52">
        <f>求节点(E$21:E$27,$O$21:$O$27,$AR29)*$AS29*其他调用!V28</f>
        <v>0</v>
      </c>
      <c r="BE29" s="52">
        <f>求节点(F$21:F$27,$O$21:$O$27,$AR29)*$AS29*其他调用!W28</f>
        <v>0</v>
      </c>
      <c r="BF29" s="52">
        <f>求节点(G$21:G$27,$O$21:$O$27,$AR29)*$AS29*其他调用!X28</f>
        <v>0</v>
      </c>
      <c r="BG29" s="52">
        <f>求节点(H$21:H$27,$O$21:$O$27,$AR29)*$AS29*其他调用!Y28</f>
        <v>0</v>
      </c>
      <c r="BH29" s="52">
        <f>求节点(I$21:I$27,$O$21:$O$27,$AR29)*$AS29*其他调用!Z28</f>
        <v>0</v>
      </c>
      <c r="BK29" s="31">
        <v>25</v>
      </c>
      <c r="BL29" s="31">
        <f>SUM(AT$5:AT29)</f>
        <v>0</v>
      </c>
      <c r="BM29" s="31">
        <f>SUM(AU$5:AU29)</f>
        <v>0</v>
      </c>
      <c r="BN29" s="31">
        <f>SUM(AV$5:AV29)</f>
        <v>0</v>
      </c>
      <c r="BO29" s="31">
        <f>SUM(AW$5:AW29)</f>
        <v>0</v>
      </c>
      <c r="BP29" s="31">
        <f>SUM(AX$5:AX29)</f>
        <v>0</v>
      </c>
      <c r="BQ29" s="31">
        <f>SUM(AY$5:AY29)</f>
        <v>0</v>
      </c>
      <c r="BR29" s="31">
        <f>SUM(AZ$5:AZ29)</f>
        <v>0</v>
      </c>
      <c r="BS29" s="31">
        <f>SUM(BA$5:BA29)</f>
        <v>0</v>
      </c>
      <c r="BT29" s="31">
        <f>SUM(BB$5:BB29)</f>
        <v>0</v>
      </c>
      <c r="BU29" s="31">
        <f>SUM(BC$5:BC29)</f>
        <v>0</v>
      </c>
      <c r="BV29" s="31">
        <f>SUM(BD$5:BD29)</f>
        <v>0</v>
      </c>
      <c r="BW29" s="31">
        <f>SUM(BE$5:BE29)</f>
        <v>0</v>
      </c>
      <c r="BX29" s="31">
        <f>SUM(BF$5:BF29)</f>
        <v>0</v>
      </c>
      <c r="BY29" s="31">
        <f>SUM(BG$5:BG29)</f>
        <v>0</v>
      </c>
      <c r="BZ29" s="31">
        <f>SUM(BH$5:BH29)</f>
        <v>0</v>
      </c>
      <c r="CC29" s="41">
        <v>25</v>
      </c>
      <c r="CD29" s="41">
        <f t="shared" si="2"/>
        <v>0</v>
      </c>
      <c r="CE29" s="41">
        <f t="shared" si="3"/>
        <v>0</v>
      </c>
      <c r="CF29" s="41">
        <f t="shared" si="4"/>
        <v>0</v>
      </c>
      <c r="CG29" s="41">
        <f t="shared" si="5"/>
        <v>0</v>
      </c>
      <c r="CH29" s="41">
        <f t="shared" si="6"/>
        <v>0</v>
      </c>
      <c r="CI29" s="41">
        <f t="shared" si="7"/>
        <v>0</v>
      </c>
      <c r="CJ29" s="41">
        <f t="shared" si="8"/>
        <v>0</v>
      </c>
      <c r="CK29" s="41">
        <f t="shared" si="9"/>
        <v>0</v>
      </c>
      <c r="CL29" s="41">
        <f t="shared" si="10"/>
        <v>0</v>
      </c>
      <c r="CM29" s="41">
        <f t="shared" si="11"/>
        <v>0</v>
      </c>
      <c r="CN29" s="41">
        <f t="shared" si="12"/>
        <v>0</v>
      </c>
      <c r="CO29" s="41">
        <f t="shared" si="13"/>
        <v>0</v>
      </c>
      <c r="CP29" s="41">
        <f t="shared" si="14"/>
        <v>0</v>
      </c>
      <c r="CQ29" s="41">
        <f t="shared" si="15"/>
        <v>0</v>
      </c>
      <c r="CR29" s="41">
        <f t="shared" si="16"/>
        <v>0</v>
      </c>
    </row>
    <row r="30" spans="3:96" x14ac:dyDescent="0.15">
      <c r="F30" s="37"/>
      <c r="G30" s="37"/>
      <c r="H30" s="37"/>
      <c r="W30" s="117">
        <v>1.05</v>
      </c>
      <c r="X30" s="31">
        <v>26</v>
      </c>
      <c r="Y30" s="113">
        <f t="shared" si="17"/>
        <v>1.4222690751777431</v>
      </c>
      <c r="Z30" s="42">
        <f t="shared" si="0"/>
        <v>0.12</v>
      </c>
      <c r="AA30" s="113">
        <f>$Y30*$Z30*其他调用!V29</f>
        <v>3.1875700107925029</v>
      </c>
      <c r="AB30" s="113">
        <f>$Y30*$Z30*其他调用!W29</f>
        <v>4.0535700417454983</v>
      </c>
      <c r="AC30" s="113">
        <f>$Y30*$Z30*其他调用!X29</f>
        <v>4.5445843500721992</v>
      </c>
      <c r="AD30" s="113">
        <f>$Y30*$Z30*其他调用!Y29</f>
        <v>3.7451154876286532</v>
      </c>
      <c r="AE30" s="113">
        <f>$Y30*$Z30*其他调用!Z29</f>
        <v>2.0977206470852923</v>
      </c>
      <c r="AH30" s="31">
        <v>26</v>
      </c>
      <c r="AI30" s="31">
        <f>SUM(AA$5:AA30)</f>
        <v>27.287114895440261</v>
      </c>
      <c r="AJ30" s="31">
        <f>SUM(AB$5:AB30)</f>
        <v>34.68549150351943</v>
      </c>
      <c r="AK30" s="31">
        <f>SUM(AC$5:AC30)</f>
        <v>38.952163203332049</v>
      </c>
      <c r="AL30" s="31">
        <f>SUM(AD$5:AD30)</f>
        <v>32.668620151079452</v>
      </c>
      <c r="AM30" s="31">
        <f>SUM(AE$5:AE30)</f>
        <v>18.212806802845869</v>
      </c>
      <c r="AR30" s="31">
        <v>26</v>
      </c>
      <c r="AS30" s="42">
        <f t="shared" si="1"/>
        <v>8.0000000000000016E-2</v>
      </c>
      <c r="AT30" s="52">
        <f>求节点(E$21:E$27,$M$21:$M$27,$AR30)*$AS30*其他调用!V29</f>
        <v>0</v>
      </c>
      <c r="AU30" s="52">
        <f>求节点(F$21:F$27,$M$21:$M$27,$AR30)*$AS30*其他调用!W29</f>
        <v>0</v>
      </c>
      <c r="AV30" s="52">
        <f>求节点(G$21:G$27,$M$21:$M$27,$AR30)*$AS30*其他调用!X29</f>
        <v>0</v>
      </c>
      <c r="AW30" s="52">
        <f>求节点(H$21:H$27,$M$21:$M$27,$AR30)*$AS30*其他调用!Y29</f>
        <v>0</v>
      </c>
      <c r="AX30" s="52">
        <f>求节点(I$21:I$27,$M$21:$M$27,$AR30)*$AS30*其他调用!Z29</f>
        <v>0</v>
      </c>
      <c r="AY30" s="52">
        <f>求节点(E$21:E$27,$N$21:$N$27,$AR30)*$AS30*其他调用!V29</f>
        <v>0</v>
      </c>
      <c r="AZ30" s="52">
        <f>求节点(F$21:F$27,$N$21:$N$27,$AR30)*$AS30*其他调用!W29</f>
        <v>0</v>
      </c>
      <c r="BA30" s="52">
        <f>求节点(G$21:G$27,$N$21:$N$27,$AR30)*$AS30*其他调用!X29</f>
        <v>0</v>
      </c>
      <c r="BB30" s="52">
        <f>求节点(H$21:H$27,$N$21:$N$27,$AR30)*$AS30*其他调用!Y29</f>
        <v>0</v>
      </c>
      <c r="BC30" s="52">
        <f>求节点(I$21:I$27,$N$21:$N$27,$AR30)*$AS30*其他调用!Z29</f>
        <v>0</v>
      </c>
      <c r="BD30" s="52">
        <f>求节点(E$21:E$27,$O$21:$O$27,$AR30)*$AS30*其他调用!V29</f>
        <v>0</v>
      </c>
      <c r="BE30" s="52">
        <f>求节点(F$21:F$27,$O$21:$O$27,$AR30)*$AS30*其他调用!W29</f>
        <v>0</v>
      </c>
      <c r="BF30" s="52">
        <f>求节点(G$21:G$27,$O$21:$O$27,$AR30)*$AS30*其他调用!X29</f>
        <v>0</v>
      </c>
      <c r="BG30" s="52">
        <f>求节点(H$21:H$27,$O$21:$O$27,$AR30)*$AS30*其他调用!Y29</f>
        <v>0</v>
      </c>
      <c r="BH30" s="52">
        <f>求节点(I$21:I$27,$O$21:$O$27,$AR30)*$AS30*其他调用!Z29</f>
        <v>0</v>
      </c>
      <c r="BK30" s="31">
        <v>26</v>
      </c>
      <c r="BL30" s="31">
        <f>SUM(AT$5:AT30)</f>
        <v>0</v>
      </c>
      <c r="BM30" s="31">
        <f>SUM(AU$5:AU30)</f>
        <v>0</v>
      </c>
      <c r="BN30" s="31">
        <f>SUM(AV$5:AV30)</f>
        <v>0</v>
      </c>
      <c r="BO30" s="31">
        <f>SUM(AW$5:AW30)</f>
        <v>0</v>
      </c>
      <c r="BP30" s="31">
        <f>SUM(AX$5:AX30)</f>
        <v>0</v>
      </c>
      <c r="BQ30" s="31">
        <f>SUM(AY$5:AY30)</f>
        <v>0</v>
      </c>
      <c r="BR30" s="31">
        <f>SUM(AZ$5:AZ30)</f>
        <v>0</v>
      </c>
      <c r="BS30" s="31">
        <f>SUM(BA$5:BA30)</f>
        <v>0</v>
      </c>
      <c r="BT30" s="31">
        <f>SUM(BB$5:BB30)</f>
        <v>0</v>
      </c>
      <c r="BU30" s="31">
        <f>SUM(BC$5:BC30)</f>
        <v>0</v>
      </c>
      <c r="BV30" s="31">
        <f>SUM(BD$5:BD30)</f>
        <v>0</v>
      </c>
      <c r="BW30" s="31">
        <f>SUM(BE$5:BE30)</f>
        <v>0</v>
      </c>
      <c r="BX30" s="31">
        <f>SUM(BF$5:BF30)</f>
        <v>0</v>
      </c>
      <c r="BY30" s="31">
        <f>SUM(BG$5:BG30)</f>
        <v>0</v>
      </c>
      <c r="BZ30" s="31">
        <f>SUM(BH$5:BH30)</f>
        <v>0</v>
      </c>
      <c r="CC30" s="41">
        <v>26</v>
      </c>
      <c r="CD30" s="41">
        <f t="shared" si="2"/>
        <v>0</v>
      </c>
      <c r="CE30" s="41">
        <f t="shared" si="3"/>
        <v>0</v>
      </c>
      <c r="CF30" s="41">
        <f t="shared" si="4"/>
        <v>0</v>
      </c>
      <c r="CG30" s="41">
        <f t="shared" si="5"/>
        <v>0</v>
      </c>
      <c r="CH30" s="41">
        <f t="shared" si="6"/>
        <v>0</v>
      </c>
      <c r="CI30" s="41">
        <f t="shared" si="7"/>
        <v>0</v>
      </c>
      <c r="CJ30" s="41">
        <f t="shared" si="8"/>
        <v>0</v>
      </c>
      <c r="CK30" s="41">
        <f t="shared" si="9"/>
        <v>0</v>
      </c>
      <c r="CL30" s="41">
        <f t="shared" si="10"/>
        <v>0</v>
      </c>
      <c r="CM30" s="41">
        <f t="shared" si="11"/>
        <v>0</v>
      </c>
      <c r="CN30" s="41">
        <f t="shared" si="12"/>
        <v>0</v>
      </c>
      <c r="CO30" s="41">
        <f t="shared" si="13"/>
        <v>0</v>
      </c>
      <c r="CP30" s="41">
        <f t="shared" si="14"/>
        <v>0</v>
      </c>
      <c r="CQ30" s="41">
        <f t="shared" si="15"/>
        <v>0</v>
      </c>
      <c r="CR30" s="41">
        <f t="shared" si="16"/>
        <v>0</v>
      </c>
    </row>
    <row r="31" spans="3:96" x14ac:dyDescent="0.15">
      <c r="F31" s="71"/>
      <c r="G31" s="71"/>
      <c r="H31" s="71"/>
      <c r="W31" s="117">
        <v>1.05</v>
      </c>
      <c r="X31" s="31">
        <v>27</v>
      </c>
      <c r="Y31" s="113">
        <f t="shared" si="17"/>
        <v>1.4933825289366303</v>
      </c>
      <c r="Z31" s="42">
        <f t="shared" si="0"/>
        <v>0.12</v>
      </c>
      <c r="AA31" s="113">
        <f>$Y31*$Z31*其他调用!V30</f>
        <v>3.5871705949211439</v>
      </c>
      <c r="AB31" s="113">
        <f>$Y31*$Z31*其他调用!W30</f>
        <v>4.5563501922854099</v>
      </c>
      <c r="AC31" s="113">
        <f>$Y31*$Z31*其他调用!X30</f>
        <v>5.0890584387417048</v>
      </c>
      <c r="AD31" s="113">
        <f>$Y31*$Z31*其他调用!Y30</f>
        <v>4.2292937083998812</v>
      </c>
      <c r="AE31" s="113">
        <f>$Y31*$Z31*其他调用!Z30</f>
        <v>2.3892690714849891</v>
      </c>
      <c r="AH31" s="31">
        <v>27</v>
      </c>
      <c r="AI31" s="31">
        <f>SUM(AA$5:AA31)</f>
        <v>30.874285490361405</v>
      </c>
      <c r="AJ31" s="31">
        <f>SUM(AB$5:AB31)</f>
        <v>39.241841695804837</v>
      </c>
      <c r="AK31" s="31">
        <f>SUM(AC$5:AC31)</f>
        <v>44.041221642073751</v>
      </c>
      <c r="AL31" s="31">
        <f>SUM(AD$5:AD31)</f>
        <v>36.897913859479331</v>
      </c>
      <c r="AM31" s="31">
        <f>SUM(AE$5:AE31)</f>
        <v>20.602075874330858</v>
      </c>
      <c r="AR31" s="31">
        <v>27</v>
      </c>
      <c r="AS31" s="42">
        <f t="shared" si="1"/>
        <v>8.0000000000000016E-2</v>
      </c>
      <c r="AT31" s="52">
        <f>求节点(E$21:E$27,$M$21:$M$27,$AR31)*$AS31*其他调用!V30</f>
        <v>0</v>
      </c>
      <c r="AU31" s="52">
        <f>求节点(F$21:F$27,$M$21:$M$27,$AR31)*$AS31*其他调用!W30</f>
        <v>0</v>
      </c>
      <c r="AV31" s="52">
        <f>求节点(G$21:G$27,$M$21:$M$27,$AR31)*$AS31*其他调用!X30</f>
        <v>0</v>
      </c>
      <c r="AW31" s="52">
        <f>求节点(H$21:H$27,$M$21:$M$27,$AR31)*$AS31*其他调用!Y30</f>
        <v>0</v>
      </c>
      <c r="AX31" s="52">
        <f>求节点(I$21:I$27,$M$21:$M$27,$AR31)*$AS31*其他调用!Z30</f>
        <v>0</v>
      </c>
      <c r="AY31" s="52">
        <f>求节点(E$21:E$27,$N$21:$N$27,$AR31)*$AS31*其他调用!V30</f>
        <v>0</v>
      </c>
      <c r="AZ31" s="52">
        <f>求节点(F$21:F$27,$N$21:$N$27,$AR31)*$AS31*其他调用!W30</f>
        <v>0</v>
      </c>
      <c r="BA31" s="52">
        <f>求节点(G$21:G$27,$N$21:$N$27,$AR31)*$AS31*其他调用!X30</f>
        <v>0</v>
      </c>
      <c r="BB31" s="52">
        <f>求节点(H$21:H$27,$N$21:$N$27,$AR31)*$AS31*其他调用!Y30</f>
        <v>0</v>
      </c>
      <c r="BC31" s="52">
        <f>求节点(I$21:I$27,$N$21:$N$27,$AR31)*$AS31*其他调用!Z30</f>
        <v>0</v>
      </c>
      <c r="BD31" s="52">
        <f>求节点(E$21:E$27,$O$21:$O$27,$AR31)*$AS31*其他调用!V30</f>
        <v>0</v>
      </c>
      <c r="BE31" s="52">
        <f>求节点(F$21:F$27,$O$21:$O$27,$AR31)*$AS31*其他调用!W30</f>
        <v>0</v>
      </c>
      <c r="BF31" s="52">
        <f>求节点(G$21:G$27,$O$21:$O$27,$AR31)*$AS31*其他调用!X30</f>
        <v>0</v>
      </c>
      <c r="BG31" s="52">
        <f>求节点(H$21:H$27,$O$21:$O$27,$AR31)*$AS31*其他调用!Y30</f>
        <v>0</v>
      </c>
      <c r="BH31" s="52">
        <f>求节点(I$21:I$27,$O$21:$O$27,$AR31)*$AS31*其他调用!Z30</f>
        <v>0</v>
      </c>
      <c r="BK31" s="31">
        <v>27</v>
      </c>
      <c r="BL31" s="31">
        <f>SUM(AT$5:AT31)</f>
        <v>0</v>
      </c>
      <c r="BM31" s="31">
        <f>SUM(AU$5:AU31)</f>
        <v>0</v>
      </c>
      <c r="BN31" s="31">
        <f>SUM(AV$5:AV31)</f>
        <v>0</v>
      </c>
      <c r="BO31" s="31">
        <f>SUM(AW$5:AW31)</f>
        <v>0</v>
      </c>
      <c r="BP31" s="31">
        <f>SUM(AX$5:AX31)</f>
        <v>0</v>
      </c>
      <c r="BQ31" s="31">
        <f>SUM(AY$5:AY31)</f>
        <v>0</v>
      </c>
      <c r="BR31" s="31">
        <f>SUM(AZ$5:AZ31)</f>
        <v>0</v>
      </c>
      <c r="BS31" s="31">
        <f>SUM(BA$5:BA31)</f>
        <v>0</v>
      </c>
      <c r="BT31" s="31">
        <f>SUM(BB$5:BB31)</f>
        <v>0</v>
      </c>
      <c r="BU31" s="31">
        <f>SUM(BC$5:BC31)</f>
        <v>0</v>
      </c>
      <c r="BV31" s="31">
        <f>SUM(BD$5:BD31)</f>
        <v>0</v>
      </c>
      <c r="BW31" s="31">
        <f>SUM(BE$5:BE31)</f>
        <v>0</v>
      </c>
      <c r="BX31" s="31">
        <f>SUM(BF$5:BF31)</f>
        <v>0</v>
      </c>
      <c r="BY31" s="31">
        <f>SUM(BG$5:BG31)</f>
        <v>0</v>
      </c>
      <c r="BZ31" s="31">
        <f>SUM(BH$5:BH31)</f>
        <v>0</v>
      </c>
      <c r="CC31" s="41">
        <v>27</v>
      </c>
      <c r="CD31" s="41">
        <f t="shared" si="2"/>
        <v>0</v>
      </c>
      <c r="CE31" s="41">
        <f t="shared" si="3"/>
        <v>0</v>
      </c>
      <c r="CF31" s="41">
        <f t="shared" si="4"/>
        <v>0</v>
      </c>
      <c r="CG31" s="41">
        <f t="shared" si="5"/>
        <v>0</v>
      </c>
      <c r="CH31" s="41">
        <f t="shared" si="6"/>
        <v>0</v>
      </c>
      <c r="CI31" s="41">
        <f t="shared" si="7"/>
        <v>0</v>
      </c>
      <c r="CJ31" s="41">
        <f t="shared" si="8"/>
        <v>0</v>
      </c>
      <c r="CK31" s="41">
        <f t="shared" si="9"/>
        <v>0</v>
      </c>
      <c r="CL31" s="41">
        <f t="shared" si="10"/>
        <v>0</v>
      </c>
      <c r="CM31" s="41">
        <f t="shared" si="11"/>
        <v>0</v>
      </c>
      <c r="CN31" s="41">
        <f t="shared" si="12"/>
        <v>0</v>
      </c>
      <c r="CO31" s="41">
        <f t="shared" si="13"/>
        <v>0</v>
      </c>
      <c r="CP31" s="41">
        <f t="shared" si="14"/>
        <v>0</v>
      </c>
      <c r="CQ31" s="41">
        <f t="shared" si="15"/>
        <v>0</v>
      </c>
      <c r="CR31" s="41">
        <f t="shared" si="16"/>
        <v>0</v>
      </c>
    </row>
    <row r="32" spans="3:96" x14ac:dyDescent="0.15">
      <c r="F32" s="71"/>
      <c r="G32" s="71"/>
      <c r="H32" s="71"/>
      <c r="W32" s="117">
        <v>1.05</v>
      </c>
      <c r="X32" s="31">
        <v>28</v>
      </c>
      <c r="Y32" s="113">
        <f t="shared" si="17"/>
        <v>1.5680516553834618</v>
      </c>
      <c r="Z32" s="42">
        <f t="shared" si="0"/>
        <v>0.12</v>
      </c>
      <c r="AA32" s="113">
        <f>$Y32*$Z32*其他调用!V31</f>
        <v>4.0368659616883358</v>
      </c>
      <c r="AB32" s="113">
        <f>$Y32*$Z32*其他调用!W31</f>
        <v>5.0831060145071252</v>
      </c>
      <c r="AC32" s="113">
        <f>$Y32*$Z32*其他调用!X31</f>
        <v>5.583131243380083</v>
      </c>
      <c r="AD32" s="113">
        <f>$Y32*$Z32*其他调用!Y31</f>
        <v>4.7437552692366705</v>
      </c>
      <c r="AE32" s="113">
        <f>$Y32*$Z32*其他调用!Z31</f>
        <v>2.805432787186227</v>
      </c>
      <c r="AH32" s="31">
        <v>28</v>
      </c>
      <c r="AI32" s="31">
        <f>SUM(AA$5:AA32)</f>
        <v>34.911151452049744</v>
      </c>
      <c r="AJ32" s="31">
        <f>SUM(AB$5:AB32)</f>
        <v>44.32494771031196</v>
      </c>
      <c r="AK32" s="31">
        <f>SUM(AC$5:AC32)</f>
        <v>49.624352885453831</v>
      </c>
      <c r="AL32" s="31">
        <f>SUM(AD$5:AD32)</f>
        <v>41.641669128716003</v>
      </c>
      <c r="AM32" s="31">
        <f>SUM(AE$5:AE32)</f>
        <v>23.407508661517085</v>
      </c>
      <c r="AR32" s="31">
        <v>28</v>
      </c>
      <c r="AS32" s="42">
        <f t="shared" si="1"/>
        <v>8.0000000000000016E-2</v>
      </c>
      <c r="AT32" s="52">
        <f>求节点(E$21:E$27,$M$21:$M$27,$AR32)*$AS32*其他调用!V31</f>
        <v>0</v>
      </c>
      <c r="AU32" s="52">
        <f>求节点(F$21:F$27,$M$21:$M$27,$AR32)*$AS32*其他调用!W31</f>
        <v>0</v>
      </c>
      <c r="AV32" s="52">
        <f>求节点(G$21:G$27,$M$21:$M$27,$AR32)*$AS32*其他调用!X31</f>
        <v>0</v>
      </c>
      <c r="AW32" s="52">
        <f>求节点(H$21:H$27,$M$21:$M$27,$AR32)*$AS32*其他调用!Y31</f>
        <v>0</v>
      </c>
      <c r="AX32" s="52">
        <f>求节点(I$21:I$27,$M$21:$M$27,$AR32)*$AS32*其他调用!Z31</f>
        <v>0</v>
      </c>
      <c r="AY32" s="52">
        <f>求节点(E$21:E$27,$N$21:$N$27,$AR32)*$AS32*其他调用!V31</f>
        <v>0</v>
      </c>
      <c r="AZ32" s="52">
        <f>求节点(F$21:F$27,$N$21:$N$27,$AR32)*$AS32*其他调用!W31</f>
        <v>0</v>
      </c>
      <c r="BA32" s="52">
        <f>求节点(G$21:G$27,$N$21:$N$27,$AR32)*$AS32*其他调用!X31</f>
        <v>0</v>
      </c>
      <c r="BB32" s="52">
        <f>求节点(H$21:H$27,$N$21:$N$27,$AR32)*$AS32*其他调用!Y31</f>
        <v>0</v>
      </c>
      <c r="BC32" s="52">
        <f>求节点(I$21:I$27,$N$21:$N$27,$AR32)*$AS32*其他调用!Z31</f>
        <v>0</v>
      </c>
      <c r="BD32" s="52">
        <f>求节点(E$21:E$27,$O$21:$O$27,$AR32)*$AS32*其他调用!V31</f>
        <v>0</v>
      </c>
      <c r="BE32" s="52">
        <f>求节点(F$21:F$27,$O$21:$O$27,$AR32)*$AS32*其他调用!W31</f>
        <v>0</v>
      </c>
      <c r="BF32" s="52">
        <f>求节点(G$21:G$27,$O$21:$O$27,$AR32)*$AS32*其他调用!X31</f>
        <v>0</v>
      </c>
      <c r="BG32" s="52">
        <f>求节点(H$21:H$27,$O$21:$O$27,$AR32)*$AS32*其他调用!Y31</f>
        <v>0</v>
      </c>
      <c r="BH32" s="52">
        <f>求节点(I$21:I$27,$O$21:$O$27,$AR32)*$AS32*其他调用!Z31</f>
        <v>0</v>
      </c>
      <c r="BK32" s="31">
        <v>28</v>
      </c>
      <c r="BL32" s="31">
        <f>SUM(AT$5:AT32)</f>
        <v>0</v>
      </c>
      <c r="BM32" s="31">
        <f>SUM(AU$5:AU32)</f>
        <v>0</v>
      </c>
      <c r="BN32" s="31">
        <f>SUM(AV$5:AV32)</f>
        <v>0</v>
      </c>
      <c r="BO32" s="31">
        <f>SUM(AW$5:AW32)</f>
        <v>0</v>
      </c>
      <c r="BP32" s="31">
        <f>SUM(AX$5:AX32)</f>
        <v>0</v>
      </c>
      <c r="BQ32" s="31">
        <f>SUM(AY$5:AY32)</f>
        <v>0</v>
      </c>
      <c r="BR32" s="31">
        <f>SUM(AZ$5:AZ32)</f>
        <v>0</v>
      </c>
      <c r="BS32" s="31">
        <f>SUM(BA$5:BA32)</f>
        <v>0</v>
      </c>
      <c r="BT32" s="31">
        <f>SUM(BB$5:BB32)</f>
        <v>0</v>
      </c>
      <c r="BU32" s="31">
        <f>SUM(BC$5:BC32)</f>
        <v>0</v>
      </c>
      <c r="BV32" s="31">
        <f>SUM(BD$5:BD32)</f>
        <v>0</v>
      </c>
      <c r="BW32" s="31">
        <f>SUM(BE$5:BE32)</f>
        <v>0</v>
      </c>
      <c r="BX32" s="31">
        <f>SUM(BF$5:BF32)</f>
        <v>0</v>
      </c>
      <c r="BY32" s="31">
        <f>SUM(BG$5:BG32)</f>
        <v>0</v>
      </c>
      <c r="BZ32" s="31">
        <f>SUM(BH$5:BH32)</f>
        <v>0</v>
      </c>
      <c r="CC32" s="41">
        <v>28</v>
      </c>
      <c r="CD32" s="41">
        <f t="shared" si="2"/>
        <v>0</v>
      </c>
      <c r="CE32" s="41">
        <f t="shared" si="3"/>
        <v>0</v>
      </c>
      <c r="CF32" s="41">
        <f t="shared" si="4"/>
        <v>0</v>
      </c>
      <c r="CG32" s="41">
        <f t="shared" si="5"/>
        <v>0</v>
      </c>
      <c r="CH32" s="41">
        <f t="shared" si="6"/>
        <v>0</v>
      </c>
      <c r="CI32" s="41">
        <f t="shared" si="7"/>
        <v>0</v>
      </c>
      <c r="CJ32" s="41">
        <f t="shared" si="8"/>
        <v>0</v>
      </c>
      <c r="CK32" s="41">
        <f t="shared" si="9"/>
        <v>0</v>
      </c>
      <c r="CL32" s="41">
        <f t="shared" si="10"/>
        <v>0</v>
      </c>
      <c r="CM32" s="41">
        <f t="shared" si="11"/>
        <v>0</v>
      </c>
      <c r="CN32" s="41">
        <f t="shared" si="12"/>
        <v>0</v>
      </c>
      <c r="CO32" s="41">
        <f t="shared" si="13"/>
        <v>0</v>
      </c>
      <c r="CP32" s="41">
        <f t="shared" si="14"/>
        <v>0</v>
      </c>
      <c r="CQ32" s="41">
        <f t="shared" si="15"/>
        <v>0</v>
      </c>
      <c r="CR32" s="41">
        <f t="shared" si="16"/>
        <v>0</v>
      </c>
    </row>
    <row r="33" spans="4:96" x14ac:dyDescent="0.15">
      <c r="W33" s="117">
        <v>1.05</v>
      </c>
      <c r="X33" s="31">
        <v>29</v>
      </c>
      <c r="Y33" s="113">
        <f t="shared" si="17"/>
        <v>1.646454238152635</v>
      </c>
      <c r="Z33" s="42">
        <f t="shared" si="0"/>
        <v>0.12</v>
      </c>
      <c r="AA33" s="113">
        <f>$Y33*$Z33*其他调用!V32</f>
        <v>4.5429361000313095</v>
      </c>
      <c r="AB33" s="113">
        <f>$Y33*$Z33*其他调用!W32</f>
        <v>5.8363504469743557</v>
      </c>
      <c r="AC33" s="113">
        <f>$Y33*$Z33*其他调用!X32</f>
        <v>6.7557639926547379</v>
      </c>
      <c r="AD33" s="113">
        <f>$Y33*$Z33*其他调用!Y32</f>
        <v>5.8588217395039122</v>
      </c>
      <c r="AE33" s="113">
        <f>$Y33*$Z33*其他调用!Z32</f>
        <v>3.314627732819095</v>
      </c>
      <c r="AH33" s="31">
        <v>29</v>
      </c>
      <c r="AI33" s="31">
        <f>SUM(AA$5:AA33)</f>
        <v>39.454087552081056</v>
      </c>
      <c r="AJ33" s="31">
        <f>SUM(AB$5:AB33)</f>
        <v>50.161298157286318</v>
      </c>
      <c r="AK33" s="31">
        <f>SUM(AC$5:AC33)</f>
        <v>56.380116878108566</v>
      </c>
      <c r="AL33" s="31">
        <f>SUM(AD$5:AD33)</f>
        <v>47.500490868219913</v>
      </c>
      <c r="AM33" s="31">
        <f>SUM(AE$5:AE33)</f>
        <v>26.722136394336179</v>
      </c>
      <c r="AR33" s="31">
        <v>29</v>
      </c>
      <c r="AS33" s="42">
        <f t="shared" si="1"/>
        <v>8.0000000000000016E-2</v>
      </c>
      <c r="AT33" s="52">
        <f>求节点(E$21:E$27,$M$21:$M$27,$AR33)*$AS33*其他调用!V32</f>
        <v>0</v>
      </c>
      <c r="AU33" s="52">
        <f>求节点(F$21:F$27,$M$21:$M$27,$AR33)*$AS33*其他调用!W32</f>
        <v>0</v>
      </c>
      <c r="AV33" s="52">
        <f>求节点(G$21:G$27,$M$21:$M$27,$AR33)*$AS33*其他调用!X32</f>
        <v>0</v>
      </c>
      <c r="AW33" s="52">
        <f>求节点(H$21:H$27,$M$21:$M$27,$AR33)*$AS33*其他调用!Y32</f>
        <v>0</v>
      </c>
      <c r="AX33" s="52">
        <f>求节点(I$21:I$27,$M$21:$M$27,$AR33)*$AS33*其他调用!Z32</f>
        <v>0</v>
      </c>
      <c r="AY33" s="52">
        <f>求节点(E$21:E$27,$N$21:$N$27,$AR33)*$AS33*其他调用!V32</f>
        <v>0</v>
      </c>
      <c r="AZ33" s="52">
        <f>求节点(F$21:F$27,$N$21:$N$27,$AR33)*$AS33*其他调用!W32</f>
        <v>0</v>
      </c>
      <c r="BA33" s="52">
        <f>求节点(G$21:G$27,$N$21:$N$27,$AR33)*$AS33*其他调用!X32</f>
        <v>0</v>
      </c>
      <c r="BB33" s="52">
        <f>求节点(H$21:H$27,$N$21:$N$27,$AR33)*$AS33*其他调用!Y32</f>
        <v>0</v>
      </c>
      <c r="BC33" s="52">
        <f>求节点(I$21:I$27,$N$21:$N$27,$AR33)*$AS33*其他调用!Z32</f>
        <v>0</v>
      </c>
      <c r="BD33" s="52">
        <f>求节点(E$21:E$27,$O$21:$O$27,$AR33)*$AS33*其他调用!V32</f>
        <v>0</v>
      </c>
      <c r="BE33" s="52">
        <f>求节点(F$21:F$27,$O$21:$O$27,$AR33)*$AS33*其他调用!W32</f>
        <v>0</v>
      </c>
      <c r="BF33" s="52">
        <f>求节点(G$21:G$27,$O$21:$O$27,$AR33)*$AS33*其他调用!X32</f>
        <v>0</v>
      </c>
      <c r="BG33" s="52">
        <f>求节点(H$21:H$27,$O$21:$O$27,$AR33)*$AS33*其他调用!Y32</f>
        <v>0</v>
      </c>
      <c r="BH33" s="52">
        <f>求节点(I$21:I$27,$O$21:$O$27,$AR33)*$AS33*其他调用!Z32</f>
        <v>0</v>
      </c>
      <c r="BK33" s="31">
        <v>29</v>
      </c>
      <c r="BL33" s="31">
        <f>SUM(AT$5:AT33)</f>
        <v>0</v>
      </c>
      <c r="BM33" s="31">
        <f>SUM(AU$5:AU33)</f>
        <v>0</v>
      </c>
      <c r="BN33" s="31">
        <f>SUM(AV$5:AV33)</f>
        <v>0</v>
      </c>
      <c r="BO33" s="31">
        <f>SUM(AW$5:AW33)</f>
        <v>0</v>
      </c>
      <c r="BP33" s="31">
        <f>SUM(AX$5:AX33)</f>
        <v>0</v>
      </c>
      <c r="BQ33" s="31">
        <f>SUM(AY$5:AY33)</f>
        <v>0</v>
      </c>
      <c r="BR33" s="31">
        <f>SUM(AZ$5:AZ33)</f>
        <v>0</v>
      </c>
      <c r="BS33" s="31">
        <f>SUM(BA$5:BA33)</f>
        <v>0</v>
      </c>
      <c r="BT33" s="31">
        <f>SUM(BB$5:BB33)</f>
        <v>0</v>
      </c>
      <c r="BU33" s="31">
        <f>SUM(BC$5:BC33)</f>
        <v>0</v>
      </c>
      <c r="BV33" s="31">
        <f>SUM(BD$5:BD33)</f>
        <v>0</v>
      </c>
      <c r="BW33" s="31">
        <f>SUM(BE$5:BE33)</f>
        <v>0</v>
      </c>
      <c r="BX33" s="31">
        <f>SUM(BF$5:BF33)</f>
        <v>0</v>
      </c>
      <c r="BY33" s="31">
        <f>SUM(BG$5:BG33)</f>
        <v>0</v>
      </c>
      <c r="BZ33" s="31">
        <f>SUM(BH$5:BH33)</f>
        <v>0</v>
      </c>
      <c r="CC33" s="41">
        <v>29</v>
      </c>
      <c r="CD33" s="41">
        <f t="shared" si="2"/>
        <v>0</v>
      </c>
      <c r="CE33" s="41">
        <f t="shared" si="3"/>
        <v>0</v>
      </c>
      <c r="CF33" s="41">
        <f t="shared" si="4"/>
        <v>0</v>
      </c>
      <c r="CG33" s="41">
        <f t="shared" si="5"/>
        <v>0</v>
      </c>
      <c r="CH33" s="41">
        <f t="shared" si="6"/>
        <v>0</v>
      </c>
      <c r="CI33" s="41">
        <f t="shared" si="7"/>
        <v>0</v>
      </c>
      <c r="CJ33" s="41">
        <f t="shared" si="8"/>
        <v>0</v>
      </c>
      <c r="CK33" s="41">
        <f t="shared" si="9"/>
        <v>0</v>
      </c>
      <c r="CL33" s="41">
        <f t="shared" si="10"/>
        <v>0</v>
      </c>
      <c r="CM33" s="41">
        <f t="shared" si="11"/>
        <v>0</v>
      </c>
      <c r="CN33" s="41">
        <f t="shared" si="12"/>
        <v>0</v>
      </c>
      <c r="CO33" s="41">
        <f t="shared" si="13"/>
        <v>0</v>
      </c>
      <c r="CP33" s="41">
        <f t="shared" si="14"/>
        <v>0</v>
      </c>
      <c r="CQ33" s="41">
        <f t="shared" si="15"/>
        <v>0</v>
      </c>
      <c r="CR33" s="41">
        <f t="shared" si="16"/>
        <v>0</v>
      </c>
    </row>
    <row r="34" spans="4:96" x14ac:dyDescent="0.15">
      <c r="W34" s="117">
        <v>1.05</v>
      </c>
      <c r="X34" s="31">
        <v>30</v>
      </c>
      <c r="Y34" s="113">
        <f t="shared" si="17"/>
        <v>1.7287769500602668</v>
      </c>
      <c r="Z34" s="42">
        <f t="shared" si="0"/>
        <v>0.12</v>
      </c>
      <c r="AA34" s="113">
        <f>$Y34*$Z34*其他调用!V33</f>
        <v>5.1124482717122754</v>
      </c>
      <c r="AB34" s="113">
        <f>$Y34*$Z34*其他调用!W33</f>
        <v>6.5366891747350175</v>
      </c>
      <c r="AC34" s="113">
        <f>$Y34*$Z34*其他调用!X33</f>
        <v>7.3825658716636928</v>
      </c>
      <c r="AD34" s="113">
        <f>$Y34*$Z34*其他调用!Y33</f>
        <v>6.1900085490142986</v>
      </c>
      <c r="AE34" s="113">
        <f>$Y34*$Z34*其他调用!Z33</f>
        <v>3.504439471883845</v>
      </c>
      <c r="AH34" s="31">
        <v>30</v>
      </c>
      <c r="AI34" s="31">
        <f>SUM(AA$5:AA34)</f>
        <v>44.56653582379333</v>
      </c>
      <c r="AJ34" s="31">
        <f>SUM(AB$5:AB34)</f>
        <v>56.697987332021334</v>
      </c>
      <c r="AK34" s="31">
        <f>SUM(AC$5:AC34)</f>
        <v>63.76268274977226</v>
      </c>
      <c r="AL34" s="31">
        <f>SUM(AD$5:AD34)</f>
        <v>53.690499417234214</v>
      </c>
      <c r="AM34" s="31">
        <f>SUM(AE$5:AE34)</f>
        <v>30.226575866220024</v>
      </c>
      <c r="AR34" s="31">
        <v>30</v>
      </c>
      <c r="AS34" s="42">
        <f t="shared" si="1"/>
        <v>8.0000000000000016E-2</v>
      </c>
      <c r="AT34" s="52">
        <f>求节点(E$21:E$27,$M$21:$M$27,$AR34)*$AS34*其他调用!V33</f>
        <v>0</v>
      </c>
      <c r="AU34" s="52">
        <f>求节点(F$21:F$27,$M$21:$M$27,$AR34)*$AS34*其他调用!W33</f>
        <v>0</v>
      </c>
      <c r="AV34" s="52">
        <f>求节点(G$21:G$27,$M$21:$M$27,$AR34)*$AS34*其他调用!X33</f>
        <v>0</v>
      </c>
      <c r="AW34" s="52">
        <f>求节点(H$21:H$27,$M$21:$M$27,$AR34)*$AS34*其他调用!Y33</f>
        <v>0</v>
      </c>
      <c r="AX34" s="52">
        <f>求节点(I$21:I$27,$M$21:$M$27,$AR34)*$AS34*其他调用!Z33</f>
        <v>0</v>
      </c>
      <c r="AY34" s="52">
        <f>求节点(E$21:E$27,$N$21:$N$27,$AR34)*$AS34*其他调用!V33</f>
        <v>0</v>
      </c>
      <c r="AZ34" s="52">
        <f>求节点(F$21:F$27,$N$21:$N$27,$AR34)*$AS34*其他调用!W33</f>
        <v>0</v>
      </c>
      <c r="BA34" s="52">
        <f>求节点(G$21:G$27,$N$21:$N$27,$AR34)*$AS34*其他调用!X33</f>
        <v>0</v>
      </c>
      <c r="BB34" s="52">
        <f>求节点(H$21:H$27,$N$21:$N$27,$AR34)*$AS34*其他调用!Y33</f>
        <v>0</v>
      </c>
      <c r="BC34" s="52">
        <f>求节点(I$21:I$27,$N$21:$N$27,$AR34)*$AS34*其他调用!Z33</f>
        <v>0</v>
      </c>
      <c r="BD34" s="52">
        <f>求节点(E$21:E$27,$O$21:$O$27,$AR34)*$AS34*其他调用!V33</f>
        <v>0</v>
      </c>
      <c r="BE34" s="52">
        <f>求节点(F$21:F$27,$O$21:$O$27,$AR34)*$AS34*其他调用!W33</f>
        <v>0</v>
      </c>
      <c r="BF34" s="52">
        <f>求节点(G$21:G$27,$O$21:$O$27,$AR34)*$AS34*其他调用!X33</f>
        <v>0</v>
      </c>
      <c r="BG34" s="52">
        <f>求节点(H$21:H$27,$O$21:$O$27,$AR34)*$AS34*其他调用!Y33</f>
        <v>0</v>
      </c>
      <c r="BH34" s="52">
        <f>求节点(I$21:I$27,$O$21:$O$27,$AR34)*$AS34*其他调用!Z33</f>
        <v>0</v>
      </c>
      <c r="BK34" s="31">
        <v>30</v>
      </c>
      <c r="BL34" s="31">
        <f>SUM(AT$5:AT34)</f>
        <v>0</v>
      </c>
      <c r="BM34" s="31">
        <f>SUM(AU$5:AU34)</f>
        <v>0</v>
      </c>
      <c r="BN34" s="31">
        <f>SUM(AV$5:AV34)</f>
        <v>0</v>
      </c>
      <c r="BO34" s="31">
        <f>SUM(AW$5:AW34)</f>
        <v>0</v>
      </c>
      <c r="BP34" s="31">
        <f>SUM(AX$5:AX34)</f>
        <v>0</v>
      </c>
      <c r="BQ34" s="31">
        <f>SUM(AY$5:AY34)</f>
        <v>0</v>
      </c>
      <c r="BR34" s="31">
        <f>SUM(AZ$5:AZ34)</f>
        <v>0</v>
      </c>
      <c r="BS34" s="31">
        <f>SUM(BA$5:BA34)</f>
        <v>0</v>
      </c>
      <c r="BT34" s="31">
        <f>SUM(BB$5:BB34)</f>
        <v>0</v>
      </c>
      <c r="BU34" s="31">
        <f>SUM(BC$5:BC34)</f>
        <v>0</v>
      </c>
      <c r="BV34" s="31">
        <f>SUM(BD$5:BD34)</f>
        <v>0</v>
      </c>
      <c r="BW34" s="31">
        <f>SUM(BE$5:BE34)</f>
        <v>0</v>
      </c>
      <c r="BX34" s="31">
        <f>SUM(BF$5:BF34)</f>
        <v>0</v>
      </c>
      <c r="BY34" s="31">
        <f>SUM(BG$5:BG34)</f>
        <v>0</v>
      </c>
      <c r="BZ34" s="31">
        <f>SUM(BH$5:BH34)</f>
        <v>0</v>
      </c>
      <c r="CC34" s="41">
        <v>30</v>
      </c>
      <c r="CD34" s="41">
        <f t="shared" si="2"/>
        <v>0</v>
      </c>
      <c r="CE34" s="41">
        <f t="shared" si="3"/>
        <v>0</v>
      </c>
      <c r="CF34" s="41">
        <f t="shared" si="4"/>
        <v>0</v>
      </c>
      <c r="CG34" s="41">
        <f t="shared" si="5"/>
        <v>0</v>
      </c>
      <c r="CH34" s="41">
        <f t="shared" si="6"/>
        <v>0</v>
      </c>
      <c r="CI34" s="41">
        <f t="shared" si="7"/>
        <v>0</v>
      </c>
      <c r="CJ34" s="41">
        <f t="shared" si="8"/>
        <v>0</v>
      </c>
      <c r="CK34" s="41">
        <f t="shared" si="9"/>
        <v>0</v>
      </c>
      <c r="CL34" s="41">
        <f t="shared" si="10"/>
        <v>0</v>
      </c>
      <c r="CM34" s="41">
        <f t="shared" si="11"/>
        <v>0</v>
      </c>
      <c r="CN34" s="41">
        <f t="shared" si="12"/>
        <v>0</v>
      </c>
      <c r="CO34" s="41">
        <f t="shared" si="13"/>
        <v>0</v>
      </c>
      <c r="CP34" s="41">
        <f t="shared" si="14"/>
        <v>0</v>
      </c>
      <c r="CQ34" s="41">
        <f t="shared" si="15"/>
        <v>0</v>
      </c>
      <c r="CR34" s="41">
        <f t="shared" si="16"/>
        <v>0</v>
      </c>
    </row>
    <row r="35" spans="4:96" x14ac:dyDescent="0.15">
      <c r="W35" s="117">
        <v>1.05</v>
      </c>
      <c r="X35" s="31">
        <v>31</v>
      </c>
      <c r="Y35" s="113">
        <f t="shared" si="17"/>
        <v>1.8152157975632801</v>
      </c>
      <c r="Z35" s="42">
        <f t="shared" si="0"/>
        <v>0.12</v>
      </c>
      <c r="AA35" s="113">
        <f>$Y35*$Z35*其他调用!V34</f>
        <v>5.7533557055212539</v>
      </c>
      <c r="AB35" s="113">
        <f>$Y35*$Z35*其他调用!W34</f>
        <v>7.4271803163002641</v>
      </c>
      <c r="AC35" s="113">
        <f>$Y35*$Z35*其他调用!X34</f>
        <v>8.3483309174291342</v>
      </c>
      <c r="AD35" s="113">
        <f>$Y35*$Z35*其他调用!Y34</f>
        <v>6.9392606576056677</v>
      </c>
      <c r="AE35" s="113">
        <f>$Y35*$Z35*其他调用!Z34</f>
        <v>3.984996899362367</v>
      </c>
      <c r="AH35" s="31">
        <v>31</v>
      </c>
      <c r="AI35" s="31">
        <f>SUM(AA$5:AA35)</f>
        <v>50.319891529314582</v>
      </c>
      <c r="AJ35" s="31">
        <f>SUM(AB$5:AB35)</f>
        <v>64.125167648321593</v>
      </c>
      <c r="AK35" s="31">
        <f>SUM(AC$5:AC35)</f>
        <v>72.111013667201391</v>
      </c>
      <c r="AL35" s="31">
        <f>SUM(AD$5:AD35)</f>
        <v>60.629760074839879</v>
      </c>
      <c r="AM35" s="31">
        <f>SUM(AE$5:AE35)</f>
        <v>34.211572765582389</v>
      </c>
      <c r="AR35" s="31">
        <v>31</v>
      </c>
      <c r="AS35" s="42">
        <f t="shared" si="1"/>
        <v>8.0000000000000016E-2</v>
      </c>
      <c r="AT35" s="52">
        <f>求节点(E$21:E$27,$M$21:$M$27,$AR35)*$AS35*其他调用!V34</f>
        <v>0</v>
      </c>
      <c r="AU35" s="52">
        <f>求节点(F$21:F$27,$M$21:$M$27,$AR35)*$AS35*其他调用!W34</f>
        <v>0</v>
      </c>
      <c r="AV35" s="52">
        <f>求节点(G$21:G$27,$M$21:$M$27,$AR35)*$AS35*其他调用!X34</f>
        <v>0</v>
      </c>
      <c r="AW35" s="52">
        <f>求节点(H$21:H$27,$M$21:$M$27,$AR35)*$AS35*其他调用!Y34</f>
        <v>0</v>
      </c>
      <c r="AX35" s="52">
        <f>求节点(I$21:I$27,$M$21:$M$27,$AR35)*$AS35*其他调用!Z34</f>
        <v>0</v>
      </c>
      <c r="AY35" s="52">
        <f>求节点(E$21:E$27,$N$21:$N$27,$AR35)*$AS35*其他调用!V34</f>
        <v>0</v>
      </c>
      <c r="AZ35" s="52">
        <f>求节点(F$21:F$27,$N$21:$N$27,$AR35)*$AS35*其他调用!W34</f>
        <v>0</v>
      </c>
      <c r="BA35" s="52">
        <f>求节点(G$21:G$27,$N$21:$N$27,$AR35)*$AS35*其他调用!X34</f>
        <v>0</v>
      </c>
      <c r="BB35" s="52">
        <f>求节点(H$21:H$27,$N$21:$N$27,$AR35)*$AS35*其他调用!Y34</f>
        <v>0</v>
      </c>
      <c r="BC35" s="52">
        <f>求节点(I$21:I$27,$N$21:$N$27,$AR35)*$AS35*其他调用!Z34</f>
        <v>0</v>
      </c>
      <c r="BD35" s="52">
        <f>求节点(E$21:E$27,$O$21:$O$27,$AR35)*$AS35*其他调用!V34</f>
        <v>0</v>
      </c>
      <c r="BE35" s="52">
        <f>求节点(F$21:F$27,$O$21:$O$27,$AR35)*$AS35*其他调用!W34</f>
        <v>0</v>
      </c>
      <c r="BF35" s="52">
        <f>求节点(G$21:G$27,$O$21:$O$27,$AR35)*$AS35*其他调用!X34</f>
        <v>0</v>
      </c>
      <c r="BG35" s="52">
        <f>求节点(H$21:H$27,$O$21:$O$27,$AR35)*$AS35*其他调用!Y34</f>
        <v>0</v>
      </c>
      <c r="BH35" s="52">
        <f>求节点(I$21:I$27,$O$21:$O$27,$AR35)*$AS35*其他调用!Z34</f>
        <v>0</v>
      </c>
      <c r="BK35" s="31">
        <v>31</v>
      </c>
      <c r="BL35" s="31">
        <f>SUM(AT$5:AT35)</f>
        <v>0</v>
      </c>
      <c r="BM35" s="31">
        <f>SUM(AU$5:AU35)</f>
        <v>0</v>
      </c>
      <c r="BN35" s="31">
        <f>SUM(AV$5:AV35)</f>
        <v>0</v>
      </c>
      <c r="BO35" s="31">
        <f>SUM(AW$5:AW35)</f>
        <v>0</v>
      </c>
      <c r="BP35" s="31">
        <f>SUM(AX$5:AX35)</f>
        <v>0</v>
      </c>
      <c r="BQ35" s="31">
        <f>SUM(AY$5:AY35)</f>
        <v>0</v>
      </c>
      <c r="BR35" s="31">
        <f>SUM(AZ$5:AZ35)</f>
        <v>0</v>
      </c>
      <c r="BS35" s="31">
        <f>SUM(BA$5:BA35)</f>
        <v>0</v>
      </c>
      <c r="BT35" s="31">
        <f>SUM(BB$5:BB35)</f>
        <v>0</v>
      </c>
      <c r="BU35" s="31">
        <f>SUM(BC$5:BC35)</f>
        <v>0</v>
      </c>
      <c r="BV35" s="31">
        <f>SUM(BD$5:BD35)</f>
        <v>0</v>
      </c>
      <c r="BW35" s="31">
        <f>SUM(BE$5:BE35)</f>
        <v>0</v>
      </c>
      <c r="BX35" s="31">
        <f>SUM(BF$5:BF35)</f>
        <v>0</v>
      </c>
      <c r="BY35" s="31">
        <f>SUM(BG$5:BG35)</f>
        <v>0</v>
      </c>
      <c r="BZ35" s="31">
        <f>SUM(BH$5:BH35)</f>
        <v>0</v>
      </c>
      <c r="CC35" s="41">
        <v>31</v>
      </c>
      <c r="CD35" s="41">
        <f t="shared" si="2"/>
        <v>0</v>
      </c>
      <c r="CE35" s="41">
        <f t="shared" si="3"/>
        <v>0</v>
      </c>
      <c r="CF35" s="41">
        <f t="shared" si="4"/>
        <v>0</v>
      </c>
      <c r="CG35" s="41">
        <f t="shared" si="5"/>
        <v>0</v>
      </c>
      <c r="CH35" s="41">
        <f t="shared" si="6"/>
        <v>0</v>
      </c>
      <c r="CI35" s="41">
        <f t="shared" si="7"/>
        <v>0</v>
      </c>
      <c r="CJ35" s="41">
        <f t="shared" si="8"/>
        <v>0</v>
      </c>
      <c r="CK35" s="41">
        <f t="shared" si="9"/>
        <v>0</v>
      </c>
      <c r="CL35" s="41">
        <f t="shared" si="10"/>
        <v>0</v>
      </c>
      <c r="CM35" s="41">
        <f t="shared" si="11"/>
        <v>0</v>
      </c>
      <c r="CN35" s="41">
        <f t="shared" si="12"/>
        <v>0</v>
      </c>
      <c r="CO35" s="41">
        <f t="shared" si="13"/>
        <v>0</v>
      </c>
      <c r="CP35" s="41">
        <f t="shared" si="14"/>
        <v>0</v>
      </c>
      <c r="CQ35" s="41">
        <f t="shared" si="15"/>
        <v>0</v>
      </c>
      <c r="CR35" s="41">
        <f t="shared" si="16"/>
        <v>0</v>
      </c>
    </row>
    <row r="36" spans="4:96" x14ac:dyDescent="0.15">
      <c r="W36" s="117">
        <v>1.05</v>
      </c>
      <c r="X36" s="31">
        <v>32</v>
      </c>
      <c r="Y36" s="113">
        <f t="shared" si="17"/>
        <v>1.9059765874414443</v>
      </c>
      <c r="Z36" s="42">
        <f t="shared" si="0"/>
        <v>0.12</v>
      </c>
      <c r="AA36" s="113">
        <f>$Y36*$Z36*其他调用!V35</f>
        <v>6.47460866399497</v>
      </c>
      <c r="AB36" s="113">
        <f>$Y36*$Z36*其他调用!W35</f>
        <v>8.2820024412284194</v>
      </c>
      <c r="AC36" s="113">
        <f>$Y36*$Z36*其他调用!X35</f>
        <v>9.2217005762110542</v>
      </c>
      <c r="AD36" s="113">
        <f>$Y36*$Z36*其他调用!Y35</f>
        <v>7.8526235359860621</v>
      </c>
      <c r="AE36" s="113">
        <f>$Y36*$Z36*其他调用!Z35</f>
        <v>4.3994318339505174</v>
      </c>
      <c r="AH36" s="31">
        <v>32</v>
      </c>
      <c r="AI36" s="31">
        <f>SUM(AA$5:AA36)</f>
        <v>56.794500193309553</v>
      </c>
      <c r="AJ36" s="31">
        <f>SUM(AB$5:AB36)</f>
        <v>72.407170089550007</v>
      </c>
      <c r="AK36" s="31">
        <f>SUM(AC$5:AC36)</f>
        <v>81.33271424341244</v>
      </c>
      <c r="AL36" s="31">
        <f>SUM(AD$5:AD36)</f>
        <v>68.482383610825934</v>
      </c>
      <c r="AM36" s="31">
        <f>SUM(AE$5:AE36)</f>
        <v>38.611004599532905</v>
      </c>
      <c r="AR36" s="31">
        <v>32</v>
      </c>
      <c r="AS36" s="42">
        <f t="shared" si="1"/>
        <v>8.0000000000000016E-2</v>
      </c>
      <c r="AT36" s="52">
        <f>求节点(E$21:E$27,$M$21:$M$27,$AR36)*$AS36*其他调用!V35</f>
        <v>0</v>
      </c>
      <c r="AU36" s="52">
        <f>求节点(F$21:F$27,$M$21:$M$27,$AR36)*$AS36*其他调用!W35</f>
        <v>0</v>
      </c>
      <c r="AV36" s="52">
        <f>求节点(G$21:G$27,$M$21:$M$27,$AR36)*$AS36*其他调用!X35</f>
        <v>0</v>
      </c>
      <c r="AW36" s="52">
        <f>求节点(H$21:H$27,$M$21:$M$27,$AR36)*$AS36*其他调用!Y35</f>
        <v>0</v>
      </c>
      <c r="AX36" s="52">
        <f>求节点(I$21:I$27,$M$21:$M$27,$AR36)*$AS36*其他调用!Z35</f>
        <v>3.0776396470894412</v>
      </c>
      <c r="AY36" s="52">
        <f>求节点(E$21:E$27,$N$21:$N$27,$AR36)*$AS36*其他调用!V35</f>
        <v>0</v>
      </c>
      <c r="AZ36" s="52">
        <f>求节点(F$21:F$27,$N$21:$N$27,$AR36)*$AS36*其他调用!W35</f>
        <v>0</v>
      </c>
      <c r="BA36" s="52">
        <f>求节点(G$21:G$27,$N$21:$N$27,$AR36)*$AS36*其他调用!X35</f>
        <v>0</v>
      </c>
      <c r="BB36" s="52">
        <f>求节点(H$21:H$27,$N$21:$N$27,$AR36)*$AS36*其他调用!Y35</f>
        <v>0</v>
      </c>
      <c r="BC36" s="52">
        <f>求节点(I$21:I$27,$N$21:$N$27,$AR36)*$AS36*其他调用!Z35</f>
        <v>0</v>
      </c>
      <c r="BD36" s="52">
        <f>求节点(E$21:E$27,$O$21:$O$27,$AR36)*$AS36*其他调用!V35</f>
        <v>0</v>
      </c>
      <c r="BE36" s="52">
        <f>求节点(F$21:F$27,$O$21:$O$27,$AR36)*$AS36*其他调用!W35</f>
        <v>0</v>
      </c>
      <c r="BF36" s="52">
        <f>求节点(G$21:G$27,$O$21:$O$27,$AR36)*$AS36*其他调用!X35</f>
        <v>0</v>
      </c>
      <c r="BG36" s="52">
        <f>求节点(H$21:H$27,$O$21:$O$27,$AR36)*$AS36*其他调用!Y35</f>
        <v>0</v>
      </c>
      <c r="BH36" s="52">
        <f>求节点(I$21:I$27,$O$21:$O$27,$AR36)*$AS36*其他调用!Z35</f>
        <v>0</v>
      </c>
      <c r="BK36" s="31">
        <v>32</v>
      </c>
      <c r="BL36" s="31">
        <f>SUM(AT$5:AT36)</f>
        <v>0</v>
      </c>
      <c r="BM36" s="31">
        <f>SUM(AU$5:AU36)</f>
        <v>0</v>
      </c>
      <c r="BN36" s="31">
        <f>SUM(AV$5:AV36)</f>
        <v>0</v>
      </c>
      <c r="BO36" s="31">
        <f>SUM(AW$5:AW36)</f>
        <v>0</v>
      </c>
      <c r="BP36" s="31">
        <f>SUM(AX$5:AX36)</f>
        <v>3.0776396470894412</v>
      </c>
      <c r="BQ36" s="31">
        <f>SUM(AY$5:AY36)</f>
        <v>0</v>
      </c>
      <c r="BR36" s="31">
        <f>SUM(AZ$5:AZ36)</f>
        <v>0</v>
      </c>
      <c r="BS36" s="31">
        <f>SUM(BA$5:BA36)</f>
        <v>0</v>
      </c>
      <c r="BT36" s="31">
        <f>SUM(BB$5:BB36)</f>
        <v>0</v>
      </c>
      <c r="BU36" s="31">
        <f>SUM(BC$5:BC36)</f>
        <v>0</v>
      </c>
      <c r="BV36" s="31">
        <f>SUM(BD$5:BD36)</f>
        <v>0</v>
      </c>
      <c r="BW36" s="31">
        <f>SUM(BE$5:BE36)</f>
        <v>0</v>
      </c>
      <c r="BX36" s="31">
        <f>SUM(BF$5:BF36)</f>
        <v>0</v>
      </c>
      <c r="BY36" s="31">
        <f>SUM(BG$5:BG36)</f>
        <v>0</v>
      </c>
      <c r="BZ36" s="31">
        <f>SUM(BH$5:BH36)</f>
        <v>0</v>
      </c>
      <c r="CC36" s="41">
        <v>32</v>
      </c>
      <c r="CD36" s="41">
        <f t="shared" si="2"/>
        <v>0</v>
      </c>
      <c r="CE36" s="41">
        <f t="shared" si="3"/>
        <v>0</v>
      </c>
      <c r="CF36" s="41">
        <f t="shared" si="4"/>
        <v>0</v>
      </c>
      <c r="CG36" s="41">
        <f t="shared" si="5"/>
        <v>0</v>
      </c>
      <c r="CH36" s="41">
        <f t="shared" si="6"/>
        <v>0.13849378411902485</v>
      </c>
      <c r="CI36" s="41">
        <f t="shared" si="7"/>
        <v>0</v>
      </c>
      <c r="CJ36" s="41">
        <f t="shared" si="8"/>
        <v>0</v>
      </c>
      <c r="CK36" s="41">
        <f t="shared" si="9"/>
        <v>0</v>
      </c>
      <c r="CL36" s="41">
        <f t="shared" si="10"/>
        <v>0</v>
      </c>
      <c r="CM36" s="41">
        <f t="shared" si="11"/>
        <v>1.5388198235447206E-2</v>
      </c>
      <c r="CN36" s="41">
        <f t="shared" si="12"/>
        <v>0</v>
      </c>
      <c r="CO36" s="41">
        <f t="shared" si="13"/>
        <v>0</v>
      </c>
      <c r="CP36" s="41">
        <f t="shared" si="14"/>
        <v>0</v>
      </c>
      <c r="CQ36" s="41">
        <f t="shared" si="15"/>
        <v>0</v>
      </c>
      <c r="CR36" s="41">
        <f t="shared" si="16"/>
        <v>0</v>
      </c>
    </row>
    <row r="37" spans="4:96" x14ac:dyDescent="0.15">
      <c r="W37" s="117">
        <v>1.05</v>
      </c>
      <c r="X37" s="31">
        <v>33</v>
      </c>
      <c r="Y37" s="113">
        <f t="shared" si="17"/>
        <v>2.0012754168135167</v>
      </c>
      <c r="Z37" s="42">
        <f t="shared" ref="Z37:Z68" si="20">$E$42</f>
        <v>0.12</v>
      </c>
      <c r="AA37" s="113">
        <f>$Y37*$Z37*其他调用!V36</f>
        <v>7.2862794336962189</v>
      </c>
      <c r="AB37" s="113">
        <f>$Y37*$Z37*其他调用!W36</f>
        <v>9.0117115945985642</v>
      </c>
      <c r="AC37" s="113">
        <f>$Y37*$Z37*其他调用!X36</f>
        <v>10.124748946879851</v>
      </c>
      <c r="AD37" s="113">
        <f>$Y37*$Z37*其他调用!Y36</f>
        <v>8.6709778488660252</v>
      </c>
      <c r="AE37" s="113">
        <f>$Y37*$Z37*其他调用!Z36</f>
        <v>4.8889048790711804</v>
      </c>
      <c r="AH37" s="31">
        <v>33</v>
      </c>
      <c r="AI37" s="31">
        <f>SUM(AA$5:AA37)</f>
        <v>64.080779627005768</v>
      </c>
      <c r="AJ37" s="31">
        <f>SUM(AB$5:AB37)</f>
        <v>81.418881684148573</v>
      </c>
      <c r="AK37" s="31">
        <f>SUM(AC$5:AC37)</f>
        <v>91.457463190292287</v>
      </c>
      <c r="AL37" s="31">
        <f>SUM(AD$5:AD37)</f>
        <v>77.153361459691965</v>
      </c>
      <c r="AM37" s="31">
        <f>SUM(AE$5:AE37)</f>
        <v>43.499909478604081</v>
      </c>
      <c r="AR37" s="31">
        <v>33</v>
      </c>
      <c r="AS37" s="42">
        <f t="shared" ref="AS37:AS68" si="21">$E$43</f>
        <v>8.0000000000000016E-2</v>
      </c>
      <c r="AT37" s="52">
        <f>求节点(E$21:E$27,$M$21:$M$27,$AR37)*$AS37*其他调用!V36</f>
        <v>0</v>
      </c>
      <c r="AU37" s="52">
        <f>求节点(F$21:F$27,$M$21:$M$27,$AR37)*$AS37*其他调用!W36</f>
        <v>0</v>
      </c>
      <c r="AV37" s="52">
        <f>求节点(G$21:G$27,$M$21:$M$27,$AR37)*$AS37*其他调用!X36</f>
        <v>0</v>
      </c>
      <c r="AW37" s="52">
        <f>求节点(H$21:H$27,$M$21:$M$27,$AR37)*$AS37*其他调用!Y36</f>
        <v>5.7769678782624769</v>
      </c>
      <c r="AX37" s="52">
        <f>求节点(I$21:I$27,$M$21:$M$27,$AR37)*$AS37*其他调用!Z36</f>
        <v>3.7225060344713663</v>
      </c>
      <c r="AY37" s="52">
        <f>求节点(E$21:E$27,$N$21:$N$27,$AR37)*$AS37*其他调用!V36</f>
        <v>0</v>
      </c>
      <c r="AZ37" s="52">
        <f>求节点(F$21:F$27,$N$21:$N$27,$AR37)*$AS37*其他调用!W36</f>
        <v>0</v>
      </c>
      <c r="BA37" s="52">
        <f>求节点(G$21:G$27,$N$21:$N$27,$AR37)*$AS37*其他调用!X36</f>
        <v>0</v>
      </c>
      <c r="BB37" s="52">
        <f>求节点(H$21:H$27,$N$21:$N$27,$AR37)*$AS37*其他调用!Y36</f>
        <v>0</v>
      </c>
      <c r="BC37" s="52">
        <f>求节点(I$21:I$27,$N$21:$N$27,$AR37)*$AS37*其他调用!Z36</f>
        <v>0</v>
      </c>
      <c r="BD37" s="52">
        <f>求节点(E$21:E$27,$O$21:$O$27,$AR37)*$AS37*其他调用!V36</f>
        <v>0</v>
      </c>
      <c r="BE37" s="52">
        <f>求节点(F$21:F$27,$O$21:$O$27,$AR37)*$AS37*其他调用!W36</f>
        <v>0</v>
      </c>
      <c r="BF37" s="52">
        <f>求节点(G$21:G$27,$O$21:$O$27,$AR37)*$AS37*其他调用!X36</f>
        <v>0</v>
      </c>
      <c r="BG37" s="52">
        <f>求节点(H$21:H$27,$O$21:$O$27,$AR37)*$AS37*其他调用!Y36</f>
        <v>0</v>
      </c>
      <c r="BH37" s="52">
        <f>求节点(I$21:I$27,$O$21:$O$27,$AR37)*$AS37*其他调用!Z36</f>
        <v>0</v>
      </c>
      <c r="BK37" s="31">
        <v>33</v>
      </c>
      <c r="BL37" s="31">
        <f>SUM(AT$5:AT37)</f>
        <v>0</v>
      </c>
      <c r="BM37" s="31">
        <f>SUM(AU$5:AU37)</f>
        <v>0</v>
      </c>
      <c r="BN37" s="31">
        <f>SUM(AV$5:AV37)</f>
        <v>0</v>
      </c>
      <c r="BO37" s="31">
        <f>SUM(AW$5:AW37)</f>
        <v>5.7769678782624769</v>
      </c>
      <c r="BP37" s="31">
        <f>SUM(AX$5:AX37)</f>
        <v>6.8001456815608075</v>
      </c>
      <c r="BQ37" s="31">
        <f>SUM(AY$5:AY37)</f>
        <v>0</v>
      </c>
      <c r="BR37" s="31">
        <f>SUM(AZ$5:AZ37)</f>
        <v>0</v>
      </c>
      <c r="BS37" s="31">
        <f>SUM(BA$5:BA37)</f>
        <v>0</v>
      </c>
      <c r="BT37" s="31">
        <f>SUM(BB$5:BB37)</f>
        <v>0</v>
      </c>
      <c r="BU37" s="31">
        <f>SUM(BC$5:BC37)</f>
        <v>0</v>
      </c>
      <c r="BV37" s="31">
        <f>SUM(BD$5:BD37)</f>
        <v>0</v>
      </c>
      <c r="BW37" s="31">
        <f>SUM(BE$5:BE37)</f>
        <v>0</v>
      </c>
      <c r="BX37" s="31">
        <f>SUM(BF$5:BF37)</f>
        <v>0</v>
      </c>
      <c r="BY37" s="31">
        <f>SUM(BG$5:BG37)</f>
        <v>0</v>
      </c>
      <c r="BZ37" s="31">
        <f>SUM(BH$5:BH37)</f>
        <v>0</v>
      </c>
      <c r="CC37" s="41">
        <v>33</v>
      </c>
      <c r="CD37" s="41">
        <f t="shared" ref="CD37:CD68" si="22">(BL37*$E$57+BQ37*$F$57+BV37*$G$57)/$E$5</f>
        <v>0</v>
      </c>
      <c r="CE37" s="41">
        <f t="shared" ref="CE37:CE68" si="23">(BM37*$E$57+BR37*$F$57+BW37*$G$57)/$E$5</f>
        <v>0</v>
      </c>
      <c r="CF37" s="41">
        <f t="shared" ref="CF37:CF68" si="24">(BN37*$E$57+BS37*$F$57+BX37*$G$57)/$E$5</f>
        <v>0</v>
      </c>
      <c r="CG37" s="41">
        <f t="shared" ref="CG37:CG68" si="25">(BO37*$E$57+BT37*$F$57+BY37*$G$57)/$E$5</f>
        <v>0.25996355452181147</v>
      </c>
      <c r="CH37" s="41">
        <f t="shared" ref="CH37:CH68" si="26">(BP37*$E$57+BU37*$F$57+BZ37*$G$57)/$E$5</f>
        <v>0.30600655567023638</v>
      </c>
      <c r="CI37" s="41">
        <f t="shared" ref="CI37:CI68" si="27">(BL37*$E$58+BQ37*$F$58+BV37*$G$58)/$E$5</f>
        <v>0</v>
      </c>
      <c r="CJ37" s="41">
        <f t="shared" ref="CJ37:CJ68" si="28">(BM37*$E$58+BR37*$F$58+BW37*$G$58)/$E$5</f>
        <v>0</v>
      </c>
      <c r="CK37" s="41">
        <f t="shared" ref="CK37:CK68" si="29">(BN37*$E$58+BS37*$F$58+BX37*$G$58)/$E$5</f>
        <v>0</v>
      </c>
      <c r="CL37" s="41">
        <f t="shared" ref="CL37:CL68" si="30">(BO37*$E$58+BT37*$F$58+BY37*$G$58)/$E$5</f>
        <v>2.8884839391312384E-2</v>
      </c>
      <c r="CM37" s="41">
        <f t="shared" ref="CM37:CM68" si="31">(BP37*$E$58+BU37*$F$58+BZ37*$G$58)/$E$5</f>
        <v>3.4000728407804034E-2</v>
      </c>
      <c r="CN37" s="41">
        <f t="shared" ref="CN37:CN68" si="32">(BL37*$E$59+BQ37*$F$59+BV37*$G$59)/$E$5</f>
        <v>0</v>
      </c>
      <c r="CO37" s="41">
        <f t="shared" ref="CO37:CO68" si="33">(BM37*$E$59+BR37*$F$59+BW37*$G$59)/$E$5</f>
        <v>0</v>
      </c>
      <c r="CP37" s="41">
        <f t="shared" ref="CP37:CP68" si="34">(BN37*$E$59+BS37*$F$59+BX37*$G$59)/$E$5</f>
        <v>0</v>
      </c>
      <c r="CQ37" s="41">
        <f t="shared" ref="CQ37:CQ68" si="35">(BO37*$E$59+BT37*$F$59+BY37*$G$59)/$E$5</f>
        <v>0</v>
      </c>
      <c r="CR37" s="41">
        <f t="shared" ref="CR37:CR68" si="36">(BP37*$E$59+BU37*$F$59+BZ37*$G$59)/$E$5</f>
        <v>0</v>
      </c>
    </row>
    <row r="38" spans="4:96" x14ac:dyDescent="0.15">
      <c r="D38" s="139" t="s">
        <v>188</v>
      </c>
      <c r="E38" s="139"/>
      <c r="F38" s="31"/>
      <c r="G38" s="31"/>
      <c r="H38" s="37"/>
      <c r="I38" s="37"/>
      <c r="W38" s="117">
        <v>1.05</v>
      </c>
      <c r="X38" s="31">
        <v>34</v>
      </c>
      <c r="Y38" s="113">
        <f t="shared" si="17"/>
        <v>2.1013391876541925</v>
      </c>
      <c r="Z38" s="42">
        <f t="shared" si="20"/>
        <v>0.12</v>
      </c>
      <c r="AA38" s="113">
        <f>$Y38*$Z38*其他调用!V37</f>
        <v>8.1997029845425473</v>
      </c>
      <c r="AB38" s="113">
        <f>$Y38*$Z38*其他调用!W37</f>
        <v>10.456798524188413</v>
      </c>
      <c r="AC38" s="113">
        <f>$Y38*$Z38*其他调用!X37</f>
        <v>11.982976036940775</v>
      </c>
      <c r="AD38" s="113">
        <f>$Y38*$Z38*其他调用!Y37</f>
        <v>10.198674484220879</v>
      </c>
      <c r="AE38" s="113">
        <f>$Y38*$Z38*其他调用!Z37</f>
        <v>5.6735027491481915</v>
      </c>
      <c r="AH38" s="31">
        <v>34</v>
      </c>
      <c r="AI38" s="31">
        <f>SUM(AA$5:AA38)</f>
        <v>72.280482611548308</v>
      </c>
      <c r="AJ38" s="31">
        <f>SUM(AB$5:AB38)</f>
        <v>91.875680208336988</v>
      </c>
      <c r="AK38" s="31">
        <f>SUM(AC$5:AC38)</f>
        <v>103.44043922723306</v>
      </c>
      <c r="AL38" s="31">
        <f>SUM(AD$5:AD38)</f>
        <v>87.352035943912838</v>
      </c>
      <c r="AM38" s="31">
        <f>SUM(AE$5:AE38)</f>
        <v>49.173412227752273</v>
      </c>
      <c r="AR38" s="31">
        <v>34</v>
      </c>
      <c r="AS38" s="42">
        <f t="shared" si="21"/>
        <v>8.0000000000000016E-2</v>
      </c>
      <c r="AT38" s="52">
        <f>求节点(E$21:E$27,$M$21:$M$27,$AR38)*$AS38*其他调用!V37</f>
        <v>0</v>
      </c>
      <c r="AU38" s="52">
        <f>求节点(F$21:F$27,$M$21:$M$27,$AR38)*$AS38*其他调用!W37</f>
        <v>0</v>
      </c>
      <c r="AV38" s="52">
        <f>求节点(G$21:G$27,$M$21:$M$27,$AR38)*$AS38*其他调用!X37</f>
        <v>0</v>
      </c>
      <c r="AW38" s="52">
        <f>求节点(H$21:H$27,$M$21:$M$27,$AR38)*$AS38*其他调用!Y37</f>
        <v>7.3956824298497992</v>
      </c>
      <c r="AX38" s="52">
        <f>求节点(I$21:I$27,$M$21:$M$27,$AR38)*$AS38*其他调用!Z37</f>
        <v>4.6284791955376772</v>
      </c>
      <c r="AY38" s="52">
        <f>求节点(E$21:E$27,$N$21:$N$27,$AR38)*$AS38*其他调用!V37</f>
        <v>0</v>
      </c>
      <c r="AZ38" s="52">
        <f>求节点(F$21:F$27,$N$21:$N$27,$AR38)*$AS38*其他调用!W37</f>
        <v>0</v>
      </c>
      <c r="BA38" s="52">
        <f>求节点(G$21:G$27,$N$21:$N$27,$AR38)*$AS38*其他调用!X37</f>
        <v>0</v>
      </c>
      <c r="BB38" s="52">
        <f>求节点(H$21:H$27,$N$21:$N$27,$AR38)*$AS38*其他调用!Y37</f>
        <v>0</v>
      </c>
      <c r="BC38" s="52">
        <f>求节点(I$21:I$27,$N$21:$N$27,$AR38)*$AS38*其他调用!Z37</f>
        <v>0</v>
      </c>
      <c r="BD38" s="52">
        <f>求节点(E$21:E$27,$O$21:$O$27,$AR38)*$AS38*其他调用!V37</f>
        <v>0</v>
      </c>
      <c r="BE38" s="52">
        <f>求节点(F$21:F$27,$O$21:$O$27,$AR38)*$AS38*其他调用!W37</f>
        <v>0</v>
      </c>
      <c r="BF38" s="52">
        <f>求节点(G$21:G$27,$O$21:$O$27,$AR38)*$AS38*其他调用!X37</f>
        <v>0</v>
      </c>
      <c r="BG38" s="52">
        <f>求节点(H$21:H$27,$O$21:$O$27,$AR38)*$AS38*其他调用!Y37</f>
        <v>0</v>
      </c>
      <c r="BH38" s="52">
        <f>求节点(I$21:I$27,$O$21:$O$27,$AR38)*$AS38*其他调用!Z37</f>
        <v>0</v>
      </c>
      <c r="BK38" s="31">
        <v>34</v>
      </c>
      <c r="BL38" s="31">
        <f>SUM(AT$5:AT38)</f>
        <v>0</v>
      </c>
      <c r="BM38" s="31">
        <f>SUM(AU$5:AU38)</f>
        <v>0</v>
      </c>
      <c r="BN38" s="31">
        <f>SUM(AV$5:AV38)</f>
        <v>0</v>
      </c>
      <c r="BO38" s="31">
        <f>SUM(AW$5:AW38)</f>
        <v>13.172650308112276</v>
      </c>
      <c r="BP38" s="31">
        <f>SUM(AX$5:AX38)</f>
        <v>11.428624877098486</v>
      </c>
      <c r="BQ38" s="31">
        <f>SUM(AY$5:AY38)</f>
        <v>0</v>
      </c>
      <c r="BR38" s="31">
        <f>SUM(AZ$5:AZ38)</f>
        <v>0</v>
      </c>
      <c r="BS38" s="31">
        <f>SUM(BA$5:BA38)</f>
        <v>0</v>
      </c>
      <c r="BT38" s="31">
        <f>SUM(BB$5:BB38)</f>
        <v>0</v>
      </c>
      <c r="BU38" s="31">
        <f>SUM(BC$5:BC38)</f>
        <v>0</v>
      </c>
      <c r="BV38" s="31">
        <f>SUM(BD$5:BD38)</f>
        <v>0</v>
      </c>
      <c r="BW38" s="31">
        <f>SUM(BE$5:BE38)</f>
        <v>0</v>
      </c>
      <c r="BX38" s="31">
        <f>SUM(BF$5:BF38)</f>
        <v>0</v>
      </c>
      <c r="BY38" s="31">
        <f>SUM(BG$5:BG38)</f>
        <v>0</v>
      </c>
      <c r="BZ38" s="31">
        <f>SUM(BH$5:BH38)</f>
        <v>0</v>
      </c>
      <c r="CC38" s="41">
        <v>34</v>
      </c>
      <c r="CD38" s="41">
        <f t="shared" si="22"/>
        <v>0</v>
      </c>
      <c r="CE38" s="41">
        <f t="shared" si="23"/>
        <v>0</v>
      </c>
      <c r="CF38" s="41">
        <f t="shared" si="24"/>
        <v>0</v>
      </c>
      <c r="CG38" s="41">
        <f t="shared" si="25"/>
        <v>0.59276926386505235</v>
      </c>
      <c r="CH38" s="41">
        <f t="shared" si="26"/>
        <v>0.51428811946943187</v>
      </c>
      <c r="CI38" s="41">
        <f t="shared" si="27"/>
        <v>0</v>
      </c>
      <c r="CJ38" s="41">
        <f t="shared" si="28"/>
        <v>0</v>
      </c>
      <c r="CK38" s="41">
        <f t="shared" si="29"/>
        <v>0</v>
      </c>
      <c r="CL38" s="41">
        <f t="shared" si="30"/>
        <v>6.5863251540561385E-2</v>
      </c>
      <c r="CM38" s="41">
        <f t="shared" si="31"/>
        <v>5.7143124385492426E-2</v>
      </c>
      <c r="CN38" s="41">
        <f t="shared" si="32"/>
        <v>0</v>
      </c>
      <c r="CO38" s="41">
        <f t="shared" si="33"/>
        <v>0</v>
      </c>
      <c r="CP38" s="41">
        <f t="shared" si="34"/>
        <v>0</v>
      </c>
      <c r="CQ38" s="41">
        <f t="shared" si="35"/>
        <v>0</v>
      </c>
      <c r="CR38" s="41">
        <f t="shared" si="36"/>
        <v>0</v>
      </c>
    </row>
    <row r="39" spans="4:96" x14ac:dyDescent="0.15">
      <c r="D39" s="31"/>
      <c r="E39" s="31" t="s">
        <v>189</v>
      </c>
      <c r="F39" s="31" t="s">
        <v>190</v>
      </c>
      <c r="G39" s="31" t="s">
        <v>191</v>
      </c>
      <c r="H39" s="37"/>
      <c r="I39" s="37"/>
      <c r="W39" s="117">
        <v>1.05</v>
      </c>
      <c r="X39" s="31">
        <v>35</v>
      </c>
      <c r="Y39" s="113">
        <f t="shared" si="17"/>
        <v>2.2064061470369021</v>
      </c>
      <c r="Z39" s="42">
        <f t="shared" si="20"/>
        <v>0.12</v>
      </c>
      <c r="AA39" s="113">
        <f>$Y39*$Z39*其他调用!V38</f>
        <v>9.2276352624879827</v>
      </c>
      <c r="AB39" s="113">
        <f>$Y39*$Z39*其他调用!W38</f>
        <v>11.955059250346567</v>
      </c>
      <c r="AC39" s="113">
        <f>$Y39*$Z39*其他调用!X38</f>
        <v>13.562864677363775</v>
      </c>
      <c r="AD39" s="113">
        <f>$Y39*$Z39*其他调用!Y38</f>
        <v>11.229863936743326</v>
      </c>
      <c r="AE39" s="113">
        <f>$Y39*$Z39*其他调用!Z38</f>
        <v>6.2576832056999887</v>
      </c>
      <c r="AH39" s="31">
        <v>35</v>
      </c>
      <c r="AI39" s="31">
        <f>SUM(AA$5:AA39)</f>
        <v>81.508117874036287</v>
      </c>
      <c r="AJ39" s="31">
        <f>SUM(AB$5:AB39)</f>
        <v>103.83073945868355</v>
      </c>
      <c r="AK39" s="31">
        <f>SUM(AC$5:AC39)</f>
        <v>117.00330390459683</v>
      </c>
      <c r="AL39" s="31">
        <f>SUM(AD$5:AD39)</f>
        <v>98.581899880656167</v>
      </c>
      <c r="AM39" s="31">
        <f>SUM(AE$5:AE39)</f>
        <v>55.431095433452263</v>
      </c>
      <c r="AR39" s="31">
        <v>35</v>
      </c>
      <c r="AS39" s="42">
        <f t="shared" si="21"/>
        <v>8.0000000000000016E-2</v>
      </c>
      <c r="AT39" s="52">
        <f>求节点(E$21:E$27,$M$21:$M$27,$AR39)*$AS39*其他调用!V38</f>
        <v>0</v>
      </c>
      <c r="AU39" s="52">
        <f>求节点(F$21:F$27,$M$21:$M$27,$AR39)*$AS39*其他调用!W38</f>
        <v>0</v>
      </c>
      <c r="AV39" s="52">
        <f>求节点(G$21:G$27,$M$21:$M$27,$AR39)*$AS39*其他调用!X38</f>
        <v>8.1960520251922215</v>
      </c>
      <c r="AW39" s="52">
        <f>求节点(H$21:H$27,$M$21:$M$27,$AR39)*$AS39*其他调用!Y38</f>
        <v>8.7251367324120519</v>
      </c>
      <c r="AX39" s="52">
        <f>求节点(I$21:I$27,$M$21:$M$27,$AR39)*$AS39*其他调用!Z38</f>
        <v>5.402177019082762</v>
      </c>
      <c r="AY39" s="52">
        <f>求节点(E$21:E$27,$N$21:$N$27,$AR39)*$AS39*其他调用!V38</f>
        <v>0</v>
      </c>
      <c r="AZ39" s="52">
        <f>求节点(F$21:F$27,$N$21:$N$27,$AR39)*$AS39*其他调用!W38</f>
        <v>0</v>
      </c>
      <c r="BA39" s="52">
        <f>求节点(G$21:G$27,$N$21:$N$27,$AR39)*$AS39*其他调用!X38</f>
        <v>0</v>
      </c>
      <c r="BB39" s="52">
        <f>求节点(H$21:H$27,$N$21:$N$27,$AR39)*$AS39*其他调用!Y38</f>
        <v>0</v>
      </c>
      <c r="BC39" s="52">
        <f>求节点(I$21:I$27,$N$21:$N$27,$AR39)*$AS39*其他调用!Z38</f>
        <v>0</v>
      </c>
      <c r="BD39" s="52">
        <f>求节点(E$21:E$27,$O$21:$O$27,$AR39)*$AS39*其他调用!V38</f>
        <v>0</v>
      </c>
      <c r="BE39" s="52">
        <f>求节点(F$21:F$27,$O$21:$O$27,$AR39)*$AS39*其他调用!W38</f>
        <v>0</v>
      </c>
      <c r="BF39" s="52">
        <f>求节点(G$21:G$27,$O$21:$O$27,$AR39)*$AS39*其他调用!X38</f>
        <v>0</v>
      </c>
      <c r="BG39" s="52">
        <f>求节点(H$21:H$27,$O$21:$O$27,$AR39)*$AS39*其他调用!Y38</f>
        <v>0</v>
      </c>
      <c r="BH39" s="52">
        <f>求节点(I$21:I$27,$O$21:$O$27,$AR39)*$AS39*其他调用!Z38</f>
        <v>0</v>
      </c>
      <c r="BK39" s="31">
        <v>35</v>
      </c>
      <c r="BL39" s="31">
        <f>SUM(AT$5:AT39)</f>
        <v>0</v>
      </c>
      <c r="BM39" s="31">
        <f>SUM(AU$5:AU39)</f>
        <v>0</v>
      </c>
      <c r="BN39" s="31">
        <f>SUM(AV$5:AV39)</f>
        <v>8.1960520251922215</v>
      </c>
      <c r="BO39" s="31">
        <f>SUM(AW$5:AW39)</f>
        <v>21.897787040524328</v>
      </c>
      <c r="BP39" s="31">
        <f>SUM(AX$5:AX39)</f>
        <v>16.830801896181249</v>
      </c>
      <c r="BQ39" s="31">
        <f>SUM(AY$5:AY39)</f>
        <v>0</v>
      </c>
      <c r="BR39" s="31">
        <f>SUM(AZ$5:AZ39)</f>
        <v>0</v>
      </c>
      <c r="BS39" s="31">
        <f>SUM(BA$5:BA39)</f>
        <v>0</v>
      </c>
      <c r="BT39" s="31">
        <f>SUM(BB$5:BB39)</f>
        <v>0</v>
      </c>
      <c r="BU39" s="31">
        <f>SUM(BC$5:BC39)</f>
        <v>0</v>
      </c>
      <c r="BV39" s="31">
        <f>SUM(BD$5:BD39)</f>
        <v>0</v>
      </c>
      <c r="BW39" s="31">
        <f>SUM(BE$5:BE39)</f>
        <v>0</v>
      </c>
      <c r="BX39" s="31">
        <f>SUM(BF$5:BF39)</f>
        <v>0</v>
      </c>
      <c r="BY39" s="31">
        <f>SUM(BG$5:BG39)</f>
        <v>0</v>
      </c>
      <c r="BZ39" s="31">
        <f>SUM(BH$5:BH39)</f>
        <v>0</v>
      </c>
      <c r="CC39" s="41">
        <v>35</v>
      </c>
      <c r="CD39" s="41">
        <f t="shared" si="22"/>
        <v>0</v>
      </c>
      <c r="CE39" s="41">
        <f t="shared" si="23"/>
        <v>0</v>
      </c>
      <c r="CF39" s="41">
        <f t="shared" si="24"/>
        <v>0.36882234113364998</v>
      </c>
      <c r="CG39" s="41">
        <f t="shared" si="25"/>
        <v>0.9854004168235948</v>
      </c>
      <c r="CH39" s="41">
        <f t="shared" si="26"/>
        <v>0.75738608532815621</v>
      </c>
      <c r="CI39" s="41">
        <f t="shared" si="27"/>
        <v>0</v>
      </c>
      <c r="CJ39" s="41">
        <f t="shared" si="28"/>
        <v>0</v>
      </c>
      <c r="CK39" s="41">
        <f t="shared" si="29"/>
        <v>4.0980260125961107E-2</v>
      </c>
      <c r="CL39" s="41">
        <f t="shared" si="30"/>
        <v>0.10948893520262164</v>
      </c>
      <c r="CM39" s="41">
        <f t="shared" si="31"/>
        <v>8.4154009480906261E-2</v>
      </c>
      <c r="CN39" s="41">
        <f t="shared" si="32"/>
        <v>0</v>
      </c>
      <c r="CO39" s="41">
        <f t="shared" si="33"/>
        <v>0</v>
      </c>
      <c r="CP39" s="41">
        <f t="shared" si="34"/>
        <v>0</v>
      </c>
      <c r="CQ39" s="41">
        <f t="shared" si="35"/>
        <v>0</v>
      </c>
      <c r="CR39" s="41">
        <f t="shared" si="36"/>
        <v>0</v>
      </c>
    </row>
    <row r="40" spans="4:96" x14ac:dyDescent="0.15">
      <c r="D40" s="45" t="s">
        <v>192</v>
      </c>
      <c r="E40" s="46">
        <f>'[1]功能-行军令'!AD15</f>
        <v>0.3</v>
      </c>
      <c r="F40" s="46">
        <f>'[1]功能-行军令'!AE15</f>
        <v>0.5</v>
      </c>
      <c r="G40" s="46">
        <f>'[1]功能-行军令'!AF15</f>
        <v>1.6666666666666667</v>
      </c>
      <c r="H40" s="37"/>
      <c r="I40" s="37"/>
      <c r="W40" s="117">
        <v>1.05</v>
      </c>
      <c r="X40" s="31">
        <v>36</v>
      </c>
      <c r="Y40" s="113">
        <f t="shared" si="17"/>
        <v>2.3167264543887471</v>
      </c>
      <c r="Z40" s="42">
        <f t="shared" si="20"/>
        <v>0.12</v>
      </c>
      <c r="AA40" s="113">
        <f>$Y40*$Z40*其他调用!V39</f>
        <v>10.38443132611367</v>
      </c>
      <c r="AB40" s="113">
        <f>$Y40*$Z40*其他调用!W39</f>
        <v>13.433725009593468</v>
      </c>
      <c r="AC40" s="113">
        <f>$Y40*$Z40*其他调用!X39</f>
        <v>14.820416299567059</v>
      </c>
      <c r="AD40" s="113">
        <f>$Y40*$Z40*其他调用!Y39</f>
        <v>12.299876626683949</v>
      </c>
      <c r="AE40" s="113">
        <f>$Y40*$Z40*其他调用!Z39</f>
        <v>6.5349585525680629</v>
      </c>
      <c r="AH40" s="31">
        <v>36</v>
      </c>
      <c r="AI40" s="31">
        <f>SUM(AA$5:AA40)</f>
        <v>91.892549200149958</v>
      </c>
      <c r="AJ40" s="31">
        <f>SUM(AB$5:AB40)</f>
        <v>117.26446446827703</v>
      </c>
      <c r="AK40" s="31">
        <f>SUM(AC$5:AC40)</f>
        <v>131.82372020416389</v>
      </c>
      <c r="AL40" s="31">
        <f>SUM(AD$5:AD40)</f>
        <v>110.88177650734012</v>
      </c>
      <c r="AM40" s="31">
        <f>SUM(AE$5:AE40)</f>
        <v>61.966053986020327</v>
      </c>
      <c r="AR40" s="31">
        <v>36</v>
      </c>
      <c r="AS40" s="42">
        <f t="shared" si="21"/>
        <v>8.0000000000000016E-2</v>
      </c>
      <c r="AT40" s="52">
        <f>求节点(E$21:E$27,$M$21:$M$27,$AR40)*$AS40*其他调用!V39</f>
        <v>0</v>
      </c>
      <c r="AU40" s="52">
        <f>求节点(F$21:F$27,$M$21:$M$27,$AR40)*$AS40*其他调用!W39</f>
        <v>0</v>
      </c>
      <c r="AV40" s="52">
        <f>求节点(G$21:G$27,$M$21:$M$27,$AR40)*$AS40*其他调用!X39</f>
        <v>9.4772398588800595</v>
      </c>
      <c r="AW40" s="52">
        <f>求节点(H$21:H$27,$M$21:$M$27,$AR40)*$AS40*其他调用!Y39</f>
        <v>10.112689992984246</v>
      </c>
      <c r="AX40" s="52">
        <f>求节点(I$21:I$27,$M$21:$M$27,$AR40)*$AS40*其他调用!Z39</f>
        <v>5.9101902532361033</v>
      </c>
      <c r="AY40" s="52">
        <f>求节点(E$21:E$27,$N$21:$N$27,$AR40)*$AS40*其他调用!V39</f>
        <v>0</v>
      </c>
      <c r="AZ40" s="52">
        <f>求节点(F$21:F$27,$N$21:$N$27,$AR40)*$AS40*其他调用!W39</f>
        <v>0</v>
      </c>
      <c r="BA40" s="52">
        <f>求节点(G$21:G$27,$N$21:$N$27,$AR40)*$AS40*其他调用!X39</f>
        <v>0</v>
      </c>
      <c r="BB40" s="52">
        <f>求节点(H$21:H$27,$N$21:$N$27,$AR40)*$AS40*其他调用!Y39</f>
        <v>0</v>
      </c>
      <c r="BC40" s="52">
        <f>求节点(I$21:I$27,$N$21:$N$27,$AR40)*$AS40*其他调用!Z39</f>
        <v>0</v>
      </c>
      <c r="BD40" s="52">
        <f>求节点(E$21:E$27,$O$21:$O$27,$AR40)*$AS40*其他调用!V39</f>
        <v>0</v>
      </c>
      <c r="BE40" s="52">
        <f>求节点(F$21:F$27,$O$21:$O$27,$AR40)*$AS40*其他调用!W39</f>
        <v>0</v>
      </c>
      <c r="BF40" s="52">
        <f>求节点(G$21:G$27,$O$21:$O$27,$AR40)*$AS40*其他调用!X39</f>
        <v>0</v>
      </c>
      <c r="BG40" s="52">
        <f>求节点(H$21:H$27,$O$21:$O$27,$AR40)*$AS40*其他调用!Y39</f>
        <v>0</v>
      </c>
      <c r="BH40" s="52">
        <f>求节点(I$21:I$27,$O$21:$O$27,$AR40)*$AS40*其他调用!Z39</f>
        <v>0</v>
      </c>
      <c r="BK40" s="31">
        <v>36</v>
      </c>
      <c r="BL40" s="31">
        <f>SUM(AT$5:AT40)</f>
        <v>0</v>
      </c>
      <c r="BM40" s="31">
        <f>SUM(AU$5:AU40)</f>
        <v>0</v>
      </c>
      <c r="BN40" s="31">
        <f>SUM(AV$5:AV40)</f>
        <v>17.673291884072281</v>
      </c>
      <c r="BO40" s="31">
        <f>SUM(AW$5:AW40)</f>
        <v>32.010477033508572</v>
      </c>
      <c r="BP40" s="31">
        <f>SUM(AX$5:AX40)</f>
        <v>22.740992149417352</v>
      </c>
      <c r="BQ40" s="31">
        <f>SUM(AY$5:AY40)</f>
        <v>0</v>
      </c>
      <c r="BR40" s="31">
        <f>SUM(AZ$5:AZ40)</f>
        <v>0</v>
      </c>
      <c r="BS40" s="31">
        <f>SUM(BA$5:BA40)</f>
        <v>0</v>
      </c>
      <c r="BT40" s="31">
        <f>SUM(BB$5:BB40)</f>
        <v>0</v>
      </c>
      <c r="BU40" s="31">
        <f>SUM(BC$5:BC40)</f>
        <v>0</v>
      </c>
      <c r="BV40" s="31">
        <f>SUM(BD$5:BD40)</f>
        <v>0</v>
      </c>
      <c r="BW40" s="31">
        <f>SUM(BE$5:BE40)</f>
        <v>0</v>
      </c>
      <c r="BX40" s="31">
        <f>SUM(BF$5:BF40)</f>
        <v>0</v>
      </c>
      <c r="BY40" s="31">
        <f>SUM(BG$5:BG40)</f>
        <v>0</v>
      </c>
      <c r="BZ40" s="31">
        <f>SUM(BH$5:BH40)</f>
        <v>0</v>
      </c>
      <c r="CC40" s="41">
        <v>36</v>
      </c>
      <c r="CD40" s="41">
        <f t="shared" si="22"/>
        <v>0</v>
      </c>
      <c r="CE40" s="41">
        <f t="shared" si="23"/>
        <v>0</v>
      </c>
      <c r="CF40" s="41">
        <f t="shared" si="24"/>
        <v>0.79529813478325262</v>
      </c>
      <c r="CG40" s="41">
        <f t="shared" si="25"/>
        <v>1.4404714665078857</v>
      </c>
      <c r="CH40" s="41">
        <f t="shared" si="26"/>
        <v>1.0233446467237808</v>
      </c>
      <c r="CI40" s="41">
        <f t="shared" si="27"/>
        <v>0</v>
      </c>
      <c r="CJ40" s="41">
        <f t="shared" si="28"/>
        <v>0</v>
      </c>
      <c r="CK40" s="41">
        <f t="shared" si="29"/>
        <v>8.8366459420361407E-2</v>
      </c>
      <c r="CL40" s="41">
        <f t="shared" si="30"/>
        <v>0.16005238516754289</v>
      </c>
      <c r="CM40" s="41">
        <f t="shared" si="31"/>
        <v>0.11370496074708676</v>
      </c>
      <c r="CN40" s="41">
        <f t="shared" si="32"/>
        <v>0</v>
      </c>
      <c r="CO40" s="41">
        <f t="shared" si="33"/>
        <v>0</v>
      </c>
      <c r="CP40" s="41">
        <f t="shared" si="34"/>
        <v>0</v>
      </c>
      <c r="CQ40" s="41">
        <f t="shared" si="35"/>
        <v>0</v>
      </c>
      <c r="CR40" s="41">
        <f t="shared" si="36"/>
        <v>0</v>
      </c>
    </row>
    <row r="41" spans="4:96" x14ac:dyDescent="0.15">
      <c r="D41" s="31" t="s">
        <v>193</v>
      </c>
      <c r="E41" s="43">
        <f>'[1]功能-行军令'!AD16</f>
        <v>0.2</v>
      </c>
      <c r="F41" s="43">
        <f>'[1]功能-行军令'!AE16</f>
        <v>0.2</v>
      </c>
      <c r="G41" s="43">
        <f>'[1]功能-行军令'!AF16</f>
        <v>1</v>
      </c>
      <c r="H41" s="37"/>
      <c r="I41" s="31"/>
      <c r="J41" s="31"/>
      <c r="K41" s="31"/>
      <c r="W41" s="117">
        <v>1.05</v>
      </c>
      <c r="X41" s="31">
        <v>37</v>
      </c>
      <c r="Y41" s="113">
        <f t="shared" si="17"/>
        <v>2.4325627771081848</v>
      </c>
      <c r="Z41" s="42">
        <f t="shared" si="20"/>
        <v>0.12</v>
      </c>
      <c r="AA41" s="113">
        <f>$Y41*$Z41*其他调用!V40</f>
        <v>11.686245814802167</v>
      </c>
      <c r="AB41" s="113">
        <f>$Y41*$Z41*其他调用!W40</f>
        <v>14.809610323839978</v>
      </c>
      <c r="AC41" s="113">
        <f>$Y41*$Z41*其他调用!X40</f>
        <v>16.643967058919031</v>
      </c>
      <c r="AD41" s="113">
        <f>$Y41*$Z41*其他调用!Y40</f>
        <v>13.428073968947935</v>
      </c>
      <c r="AE41" s="113">
        <f>$Y41*$Z41*其他调用!Z40</f>
        <v>7.8527253045495558</v>
      </c>
      <c r="AH41" s="31">
        <v>37</v>
      </c>
      <c r="AI41" s="31">
        <f>SUM(AA$5:AA41)</f>
        <v>103.57879501495212</v>
      </c>
      <c r="AJ41" s="31">
        <f>SUM(AB$5:AB41)</f>
        <v>132.07407479211702</v>
      </c>
      <c r="AK41" s="31">
        <f>SUM(AC$5:AC41)</f>
        <v>148.46768726308292</v>
      </c>
      <c r="AL41" s="31">
        <f>SUM(AD$5:AD41)</f>
        <v>124.30985047628806</v>
      </c>
      <c r="AM41" s="31">
        <f>SUM(AE$5:AE41)</f>
        <v>69.818779290569879</v>
      </c>
      <c r="AR41" s="31">
        <v>37</v>
      </c>
      <c r="AS41" s="42">
        <f t="shared" si="21"/>
        <v>8.0000000000000016E-2</v>
      </c>
      <c r="AT41" s="52">
        <f>求节点(E$21:E$27,$M$21:$M$27,$AR41)*$AS41*其他调用!V40</f>
        <v>0</v>
      </c>
      <c r="AU41" s="52">
        <f>求节点(F$21:F$27,$M$21:$M$27,$AR41)*$AS41*其他调用!W40</f>
        <v>8.1174254922733802</v>
      </c>
      <c r="AV41" s="52">
        <f>求节点(G$21:G$27,$M$21:$M$27,$AR41)*$AS41*其他调用!X40</f>
        <v>11.150175497644602</v>
      </c>
      <c r="AW41" s="52">
        <f>求节点(H$21:H$27,$M$21:$M$27,$AR41)*$AS41*其他调用!Y40</f>
        <v>11.565996318854079</v>
      </c>
      <c r="AX41" s="52">
        <f>求节点(I$21:I$27,$M$21:$M$27,$AR41)*$AS41*其他调用!Z40</f>
        <v>7.3786734629462449</v>
      </c>
      <c r="AY41" s="52">
        <f>求节点(E$21:E$27,$N$21:$N$27,$AR41)*$AS41*其他调用!V40</f>
        <v>0</v>
      </c>
      <c r="AZ41" s="52">
        <f>求节点(F$21:F$27,$N$21:$N$27,$AR41)*$AS41*其他调用!W40</f>
        <v>0</v>
      </c>
      <c r="BA41" s="52">
        <f>求节点(G$21:G$27,$N$21:$N$27,$AR41)*$AS41*其他调用!X40</f>
        <v>0</v>
      </c>
      <c r="BB41" s="52">
        <f>求节点(H$21:H$27,$N$21:$N$27,$AR41)*$AS41*其他调用!Y40</f>
        <v>0</v>
      </c>
      <c r="BC41" s="52">
        <f>求节点(I$21:I$27,$N$21:$N$27,$AR41)*$AS41*其他调用!Z40</f>
        <v>0</v>
      </c>
      <c r="BD41" s="52">
        <f>求节点(E$21:E$27,$O$21:$O$27,$AR41)*$AS41*其他调用!V40</f>
        <v>0</v>
      </c>
      <c r="BE41" s="52">
        <f>求节点(F$21:F$27,$O$21:$O$27,$AR41)*$AS41*其他调用!W40</f>
        <v>0</v>
      </c>
      <c r="BF41" s="52">
        <f>求节点(G$21:G$27,$O$21:$O$27,$AR41)*$AS41*其他调用!X40</f>
        <v>0</v>
      </c>
      <c r="BG41" s="52">
        <f>求节点(H$21:H$27,$O$21:$O$27,$AR41)*$AS41*其他调用!Y40</f>
        <v>0</v>
      </c>
      <c r="BH41" s="52">
        <f>求节点(I$21:I$27,$O$21:$O$27,$AR41)*$AS41*其他调用!Z40</f>
        <v>0</v>
      </c>
      <c r="BK41" s="31">
        <v>37</v>
      </c>
      <c r="BL41" s="31">
        <f>SUM(AT$5:AT41)</f>
        <v>0</v>
      </c>
      <c r="BM41" s="31">
        <f>SUM(AU$5:AU41)</f>
        <v>8.1174254922733802</v>
      </c>
      <c r="BN41" s="31">
        <f>SUM(AV$5:AV41)</f>
        <v>28.823467381716881</v>
      </c>
      <c r="BO41" s="31">
        <f>SUM(AW$5:AW41)</f>
        <v>43.576473352362655</v>
      </c>
      <c r="BP41" s="31">
        <f>SUM(AX$5:AX41)</f>
        <v>30.119665612363598</v>
      </c>
      <c r="BQ41" s="31">
        <f>SUM(AY$5:AY41)</f>
        <v>0</v>
      </c>
      <c r="BR41" s="31">
        <f>SUM(AZ$5:AZ41)</f>
        <v>0</v>
      </c>
      <c r="BS41" s="31">
        <f>SUM(BA$5:BA41)</f>
        <v>0</v>
      </c>
      <c r="BT41" s="31">
        <f>SUM(BB$5:BB41)</f>
        <v>0</v>
      </c>
      <c r="BU41" s="31">
        <f>SUM(BC$5:BC41)</f>
        <v>0</v>
      </c>
      <c r="BV41" s="31">
        <f>SUM(BD$5:BD41)</f>
        <v>0</v>
      </c>
      <c r="BW41" s="31">
        <f>SUM(BE$5:BE41)</f>
        <v>0</v>
      </c>
      <c r="BX41" s="31">
        <f>SUM(BF$5:BF41)</f>
        <v>0</v>
      </c>
      <c r="BY41" s="31">
        <f>SUM(BG$5:BG41)</f>
        <v>0</v>
      </c>
      <c r="BZ41" s="31">
        <f>SUM(BH$5:BH41)</f>
        <v>0</v>
      </c>
      <c r="CC41" s="41">
        <v>37</v>
      </c>
      <c r="CD41" s="41">
        <f t="shared" si="22"/>
        <v>0</v>
      </c>
      <c r="CE41" s="41">
        <f t="shared" si="23"/>
        <v>0.36528414715230212</v>
      </c>
      <c r="CF41" s="41">
        <f t="shared" si="24"/>
        <v>1.2970560321772597</v>
      </c>
      <c r="CG41" s="41">
        <f t="shared" si="25"/>
        <v>1.9609413008563195</v>
      </c>
      <c r="CH41" s="41">
        <f t="shared" si="26"/>
        <v>1.3553849525563619</v>
      </c>
      <c r="CI41" s="41">
        <f t="shared" si="27"/>
        <v>0</v>
      </c>
      <c r="CJ41" s="41">
        <f t="shared" si="28"/>
        <v>4.0587127461366904E-2</v>
      </c>
      <c r="CK41" s="41">
        <f t="shared" si="29"/>
        <v>0.14411733690858441</v>
      </c>
      <c r="CL41" s="41">
        <f t="shared" si="30"/>
        <v>0.21788236676181327</v>
      </c>
      <c r="CM41" s="41">
        <f t="shared" si="31"/>
        <v>0.150598328061818</v>
      </c>
      <c r="CN41" s="41">
        <f t="shared" si="32"/>
        <v>0</v>
      </c>
      <c r="CO41" s="41">
        <f t="shared" si="33"/>
        <v>0</v>
      </c>
      <c r="CP41" s="41">
        <f t="shared" si="34"/>
        <v>0</v>
      </c>
      <c r="CQ41" s="41">
        <f t="shared" si="35"/>
        <v>0</v>
      </c>
      <c r="CR41" s="41">
        <f t="shared" si="36"/>
        <v>0</v>
      </c>
    </row>
    <row r="42" spans="4:96" x14ac:dyDescent="0.15">
      <c r="D42" s="31" t="s">
        <v>202</v>
      </c>
      <c r="E42" s="129">
        <f>$D$8/SUM($D$8:$J$8)*$K$12</f>
        <v>0.12</v>
      </c>
      <c r="F42" s="129">
        <f>E42/$K$12</f>
        <v>0.3</v>
      </c>
      <c r="G42" s="129">
        <f>F42/E42</f>
        <v>2.5</v>
      </c>
      <c r="H42" s="37"/>
      <c r="I42" s="37"/>
      <c r="W42" s="117">
        <v>1.05</v>
      </c>
      <c r="X42" s="31">
        <v>38</v>
      </c>
      <c r="Y42" s="113">
        <f t="shared" si="17"/>
        <v>2.554190915963594</v>
      </c>
      <c r="Z42" s="42">
        <f t="shared" si="20"/>
        <v>0.12</v>
      </c>
      <c r="AA42" s="113">
        <f>$Y42*$Z42*其他调用!V41</f>
        <v>13.15125854802978</v>
      </c>
      <c r="AB42" s="113">
        <f>$Y42*$Z42*其他调用!W41</f>
        <v>16.606885583175767</v>
      </c>
      <c r="AC42" s="113">
        <f>$Y42*$Z42*其他调用!X41</f>
        <v>18.18397566335382</v>
      </c>
      <c r="AD42" s="113">
        <f>$Y42*$Z42*其他调用!Y41</f>
        <v>15.139165444686911</v>
      </c>
      <c r="AE42" s="113">
        <f>$Y42*$Z42*其他调用!Z41</f>
        <v>8.5514477816865586</v>
      </c>
      <c r="AH42" s="31">
        <v>38</v>
      </c>
      <c r="AI42" s="31">
        <f>SUM(AA$5:AA42)</f>
        <v>116.73005356298191</v>
      </c>
      <c r="AJ42" s="31">
        <f>SUM(AB$5:AB42)</f>
        <v>148.68096037529278</v>
      </c>
      <c r="AK42" s="31">
        <f>SUM(AC$5:AC42)</f>
        <v>166.65166292643676</v>
      </c>
      <c r="AL42" s="31">
        <f>SUM(AD$5:AD42)</f>
        <v>139.44901592097497</v>
      </c>
      <c r="AM42" s="31">
        <f>SUM(AE$5:AE42)</f>
        <v>78.370227072256441</v>
      </c>
      <c r="AR42" s="31">
        <v>38</v>
      </c>
      <c r="AS42" s="42">
        <f t="shared" si="21"/>
        <v>8.0000000000000016E-2</v>
      </c>
      <c r="AT42" s="52">
        <f>求节点(E$21:E$27,$M$21:$M$27,$AR42)*$AS42*其他调用!V41</f>
        <v>6.8651921388412678</v>
      </c>
      <c r="AU42" s="52">
        <f>求节点(F$21:F$27,$M$21:$M$27,$AR42)*$AS42*其他调用!W41</f>
        <v>9.6323236069747935</v>
      </c>
      <c r="AV42" s="52">
        <f>求节点(G$21:G$27,$M$21:$M$27,$AR42)*$AS42*其他调用!X41</f>
        <v>12.65648062716042</v>
      </c>
      <c r="AW42" s="52">
        <f>求节点(H$21:H$27,$M$21:$M$27,$AR42)*$AS42*其他调用!Y41</f>
        <v>13.547854435798239</v>
      </c>
      <c r="AX42" s="52">
        <f>求节点(I$21:I$27,$M$21:$M$27,$AR42)*$AS42*其他调用!Z41</f>
        <v>8.290301802543194</v>
      </c>
      <c r="AY42" s="52">
        <f>求节点(E$21:E$27,$N$21:$N$27,$AR42)*$AS42*其他调用!V41</f>
        <v>0</v>
      </c>
      <c r="AZ42" s="52">
        <f>求节点(F$21:F$27,$N$21:$N$27,$AR42)*$AS42*其他调用!W41</f>
        <v>0</v>
      </c>
      <c r="BA42" s="52">
        <f>求节点(G$21:G$27,$N$21:$N$27,$AR42)*$AS42*其他调用!X41</f>
        <v>0</v>
      </c>
      <c r="BB42" s="52">
        <f>求节点(H$21:H$27,$N$21:$N$27,$AR42)*$AS42*其他调用!Y41</f>
        <v>0</v>
      </c>
      <c r="BC42" s="52">
        <f>求节点(I$21:I$27,$N$21:$N$27,$AR42)*$AS42*其他调用!Z41</f>
        <v>0</v>
      </c>
      <c r="BD42" s="52">
        <f>求节点(E$21:E$27,$O$21:$O$27,$AR42)*$AS42*其他调用!V41</f>
        <v>0</v>
      </c>
      <c r="BE42" s="52">
        <f>求节点(F$21:F$27,$O$21:$O$27,$AR42)*$AS42*其他调用!W41</f>
        <v>0</v>
      </c>
      <c r="BF42" s="52">
        <f>求节点(G$21:G$27,$O$21:$O$27,$AR42)*$AS42*其他调用!X41</f>
        <v>0</v>
      </c>
      <c r="BG42" s="52">
        <f>求节点(H$21:H$27,$O$21:$O$27,$AR42)*$AS42*其他调用!Y41</f>
        <v>0</v>
      </c>
      <c r="BH42" s="52">
        <f>求节点(I$21:I$27,$O$21:$O$27,$AR42)*$AS42*其他调用!Z41</f>
        <v>0</v>
      </c>
      <c r="BK42" s="31">
        <v>38</v>
      </c>
      <c r="BL42" s="31">
        <f>SUM(AT$5:AT42)</f>
        <v>6.8651921388412678</v>
      </c>
      <c r="BM42" s="31">
        <f>SUM(AU$5:AU42)</f>
        <v>17.749749099248174</v>
      </c>
      <c r="BN42" s="31">
        <f>SUM(AV$5:AV42)</f>
        <v>41.479948008877301</v>
      </c>
      <c r="BO42" s="31">
        <f>SUM(AW$5:AW42)</f>
        <v>57.124327788160898</v>
      </c>
      <c r="BP42" s="31">
        <f>SUM(AX$5:AX42)</f>
        <v>38.409967414906788</v>
      </c>
      <c r="BQ42" s="31">
        <f>SUM(AY$5:AY42)</f>
        <v>0</v>
      </c>
      <c r="BR42" s="31">
        <f>SUM(AZ$5:AZ42)</f>
        <v>0</v>
      </c>
      <c r="BS42" s="31">
        <f>SUM(BA$5:BA42)</f>
        <v>0</v>
      </c>
      <c r="BT42" s="31">
        <f>SUM(BB$5:BB42)</f>
        <v>0</v>
      </c>
      <c r="BU42" s="31">
        <f>SUM(BC$5:BC42)</f>
        <v>0</v>
      </c>
      <c r="BV42" s="31">
        <f>SUM(BD$5:BD42)</f>
        <v>0</v>
      </c>
      <c r="BW42" s="31">
        <f>SUM(BE$5:BE42)</f>
        <v>0</v>
      </c>
      <c r="BX42" s="31">
        <f>SUM(BF$5:BF42)</f>
        <v>0</v>
      </c>
      <c r="BY42" s="31">
        <f>SUM(BG$5:BG42)</f>
        <v>0</v>
      </c>
      <c r="BZ42" s="31">
        <f>SUM(BH$5:BH42)</f>
        <v>0</v>
      </c>
      <c r="CC42" s="41">
        <v>38</v>
      </c>
      <c r="CD42" s="41">
        <f t="shared" si="22"/>
        <v>0.30893364624785702</v>
      </c>
      <c r="CE42" s="41">
        <f t="shared" si="23"/>
        <v>0.79873870946616787</v>
      </c>
      <c r="CF42" s="41">
        <f t="shared" si="24"/>
        <v>1.8665976603994785</v>
      </c>
      <c r="CG42" s="41">
        <f t="shared" si="25"/>
        <v>2.5705947504672406</v>
      </c>
      <c r="CH42" s="41">
        <f t="shared" si="26"/>
        <v>1.7284485336708055</v>
      </c>
      <c r="CI42" s="41">
        <f t="shared" si="27"/>
        <v>3.4325960694206341E-2</v>
      </c>
      <c r="CJ42" s="41">
        <f t="shared" si="28"/>
        <v>8.8748745496240872E-2</v>
      </c>
      <c r="CK42" s="41">
        <f t="shared" si="29"/>
        <v>0.20739974004438649</v>
      </c>
      <c r="CL42" s="41">
        <f t="shared" si="30"/>
        <v>0.2856216389408045</v>
      </c>
      <c r="CM42" s="41">
        <f t="shared" si="31"/>
        <v>0.19204983707453396</v>
      </c>
      <c r="CN42" s="41">
        <f t="shared" si="32"/>
        <v>0</v>
      </c>
      <c r="CO42" s="41">
        <f t="shared" si="33"/>
        <v>0</v>
      </c>
      <c r="CP42" s="41">
        <f t="shared" si="34"/>
        <v>0</v>
      </c>
      <c r="CQ42" s="41">
        <f t="shared" si="35"/>
        <v>0</v>
      </c>
      <c r="CR42" s="41">
        <f t="shared" si="36"/>
        <v>0</v>
      </c>
    </row>
    <row r="43" spans="4:96" x14ac:dyDescent="0.15">
      <c r="D43" s="113" t="s">
        <v>200</v>
      </c>
      <c r="E43" s="129">
        <f>$E$8/SUM($D$8:$J$8)*$K$12</f>
        <v>8.0000000000000016E-2</v>
      </c>
      <c r="F43" s="129">
        <f>E43/$K$12</f>
        <v>0.20000000000000004</v>
      </c>
      <c r="G43" s="129">
        <f>F43/E43</f>
        <v>2.5</v>
      </c>
      <c r="H43" s="37"/>
      <c r="I43" s="37"/>
      <c r="W43" s="117">
        <v>1.05</v>
      </c>
      <c r="X43" s="31">
        <v>39</v>
      </c>
      <c r="Y43" s="113">
        <f t="shared" si="17"/>
        <v>2.6819004617617739</v>
      </c>
      <c r="Z43" s="42">
        <f t="shared" si="20"/>
        <v>0.12</v>
      </c>
      <c r="AA43" s="113">
        <f>$Y43*$Z43*其他调用!V42</f>
        <v>14.799928406268537</v>
      </c>
      <c r="AB43" s="113">
        <f>$Y43*$Z43*其他调用!W42</f>
        <v>18.436941331345139</v>
      </c>
      <c r="AC43" s="113">
        <f>$Y43*$Z43*其他调用!X42</f>
        <v>20.410211513615508</v>
      </c>
      <c r="AD43" s="113">
        <f>$Y43*$Z43*其他调用!Y42</f>
        <v>17.353131851987385</v>
      </c>
      <c r="AE43" s="113">
        <f>$Y43*$Z43*其他调用!Z42</f>
        <v>9.9218076560476156</v>
      </c>
      <c r="AH43" s="31">
        <v>39</v>
      </c>
      <c r="AI43" s="31">
        <f>SUM(AA$5:AA43)</f>
        <v>131.52998196925046</v>
      </c>
      <c r="AJ43" s="31">
        <f>SUM(AB$5:AB43)</f>
        <v>167.11790170663792</v>
      </c>
      <c r="AK43" s="31">
        <f>SUM(AC$5:AC43)</f>
        <v>187.06187444005226</v>
      </c>
      <c r="AL43" s="31">
        <f>SUM(AD$5:AD43)</f>
        <v>156.80214777296237</v>
      </c>
      <c r="AM43" s="31">
        <f>SUM(AE$5:AE43)</f>
        <v>88.29203472830406</v>
      </c>
      <c r="AR43" s="31">
        <v>39</v>
      </c>
      <c r="AS43" s="42">
        <f t="shared" si="21"/>
        <v>8.0000000000000016E-2</v>
      </c>
      <c r="AT43" s="52">
        <f>求节点(E$21:E$27,$M$21:$M$27,$AR43)*$AS43*其他调用!V42</f>
        <v>8.1754786106920729</v>
      </c>
      <c r="AU43" s="52">
        <f>求节点(F$21:F$27,$M$21:$M$27,$AR43)*$AS43*其他调用!W42</f>
        <v>11.203020507914754</v>
      </c>
      <c r="AV43" s="52">
        <f>求节点(G$21:G$27,$M$21:$M$27,$AR43)*$AS43*其他调用!X42</f>
        <v>14.656977791741634</v>
      </c>
      <c r="AW43" s="52">
        <f>求节点(H$21:H$27,$M$21:$M$27,$AR43)*$AS43*其他调用!Y42</f>
        <v>16.022093450754497</v>
      </c>
      <c r="AX43" s="52">
        <f>求节点(I$21:I$27,$M$21:$M$27,$AR43)*$AS43*其他调用!Z42</f>
        <v>9.8654495670878184</v>
      </c>
      <c r="AY43" s="52">
        <f>求节点(E$21:E$27,$N$21:$N$27,$AR43)*$AS43*其他调用!V42</f>
        <v>0</v>
      </c>
      <c r="AZ43" s="52">
        <f>求节点(F$21:F$27,$N$21:$N$27,$AR43)*$AS43*其他调用!W42</f>
        <v>0</v>
      </c>
      <c r="BA43" s="52">
        <f>求节点(G$21:G$27,$N$21:$N$27,$AR43)*$AS43*其他调用!X42</f>
        <v>0</v>
      </c>
      <c r="BB43" s="52">
        <f>求节点(H$21:H$27,$N$21:$N$27,$AR43)*$AS43*其他调用!Y42</f>
        <v>0</v>
      </c>
      <c r="BC43" s="52">
        <f>求节点(I$21:I$27,$N$21:$N$27,$AR43)*$AS43*其他调用!Z42</f>
        <v>0</v>
      </c>
      <c r="BD43" s="52">
        <f>求节点(E$21:E$27,$O$21:$O$27,$AR43)*$AS43*其他调用!V42</f>
        <v>0</v>
      </c>
      <c r="BE43" s="52">
        <f>求节点(F$21:F$27,$O$21:$O$27,$AR43)*$AS43*其他调用!W42</f>
        <v>0</v>
      </c>
      <c r="BF43" s="52">
        <f>求节点(G$21:G$27,$O$21:$O$27,$AR43)*$AS43*其他调用!X42</f>
        <v>0</v>
      </c>
      <c r="BG43" s="52">
        <f>求节点(H$21:H$27,$O$21:$O$27,$AR43)*$AS43*其他调用!Y42</f>
        <v>0</v>
      </c>
      <c r="BH43" s="52">
        <f>求节点(I$21:I$27,$O$21:$O$27,$AR43)*$AS43*其他调用!Z42</f>
        <v>0</v>
      </c>
      <c r="BK43" s="31">
        <v>39</v>
      </c>
      <c r="BL43" s="31">
        <f>SUM(AT$5:AT43)</f>
        <v>15.040670749533341</v>
      </c>
      <c r="BM43" s="31">
        <f>SUM(AU$5:AU43)</f>
        <v>28.952769607162928</v>
      </c>
      <c r="BN43" s="31">
        <f>SUM(AV$5:AV43)</f>
        <v>56.136925800618933</v>
      </c>
      <c r="BO43" s="31">
        <f>SUM(AW$5:AW43)</f>
        <v>73.146421238915394</v>
      </c>
      <c r="BP43" s="31">
        <f>SUM(AX$5:AX43)</f>
        <v>48.27541698199461</v>
      </c>
      <c r="BQ43" s="31">
        <f>SUM(AY$5:AY43)</f>
        <v>0</v>
      </c>
      <c r="BR43" s="31">
        <f>SUM(AZ$5:AZ43)</f>
        <v>0</v>
      </c>
      <c r="BS43" s="31">
        <f>SUM(BA$5:BA43)</f>
        <v>0</v>
      </c>
      <c r="BT43" s="31">
        <f>SUM(BB$5:BB43)</f>
        <v>0</v>
      </c>
      <c r="BU43" s="31">
        <f>SUM(BC$5:BC43)</f>
        <v>0</v>
      </c>
      <c r="BV43" s="31">
        <f>SUM(BD$5:BD43)</f>
        <v>0</v>
      </c>
      <c r="BW43" s="31">
        <f>SUM(BE$5:BE43)</f>
        <v>0</v>
      </c>
      <c r="BX43" s="31">
        <f>SUM(BF$5:BF43)</f>
        <v>0</v>
      </c>
      <c r="BY43" s="31">
        <f>SUM(BG$5:BG43)</f>
        <v>0</v>
      </c>
      <c r="BZ43" s="31">
        <f>SUM(BH$5:BH43)</f>
        <v>0</v>
      </c>
      <c r="CC43" s="41">
        <v>39</v>
      </c>
      <c r="CD43" s="41">
        <f t="shared" si="22"/>
        <v>0.67683018372900039</v>
      </c>
      <c r="CE43" s="41">
        <f t="shared" si="23"/>
        <v>1.3028746323223319</v>
      </c>
      <c r="CF43" s="41">
        <f t="shared" si="24"/>
        <v>2.5261616610278521</v>
      </c>
      <c r="CG43" s="41">
        <f t="shared" si="25"/>
        <v>3.2915889557511933</v>
      </c>
      <c r="CH43" s="41">
        <f t="shared" si="26"/>
        <v>2.1723937641897573</v>
      </c>
      <c r="CI43" s="41">
        <f t="shared" si="27"/>
        <v>7.5203353747666707E-2</v>
      </c>
      <c r="CJ43" s="41">
        <f t="shared" si="28"/>
        <v>0.14476384803581466</v>
      </c>
      <c r="CK43" s="41">
        <f t="shared" si="29"/>
        <v>0.28068462900309471</v>
      </c>
      <c r="CL43" s="41">
        <f t="shared" si="30"/>
        <v>0.36573210619457697</v>
      </c>
      <c r="CM43" s="41">
        <f t="shared" si="31"/>
        <v>0.24137708490997306</v>
      </c>
      <c r="CN43" s="41">
        <f t="shared" si="32"/>
        <v>0</v>
      </c>
      <c r="CO43" s="41">
        <f t="shared" si="33"/>
        <v>0</v>
      </c>
      <c r="CP43" s="41">
        <f t="shared" si="34"/>
        <v>0</v>
      </c>
      <c r="CQ43" s="41">
        <f t="shared" si="35"/>
        <v>0</v>
      </c>
      <c r="CR43" s="41">
        <f t="shared" si="36"/>
        <v>0</v>
      </c>
    </row>
    <row r="44" spans="4:96" x14ac:dyDescent="0.15">
      <c r="D44" s="45"/>
      <c r="E44" s="46">
        <f>'[1]功能-行军令'!AD19</f>
        <v>0</v>
      </c>
      <c r="F44" s="46">
        <f>'[1]功能-行军令'!AE19</f>
        <v>0</v>
      </c>
      <c r="G44" s="46">
        <f>'[1]功能-行军令'!AF19</f>
        <v>0</v>
      </c>
      <c r="H44" s="37"/>
      <c r="I44" s="37"/>
      <c r="W44" s="117">
        <v>1.05</v>
      </c>
      <c r="X44" s="31">
        <v>40</v>
      </c>
      <c r="Y44" s="113">
        <f t="shared" si="17"/>
        <v>2.8159954848498625</v>
      </c>
      <c r="Z44" s="42">
        <f t="shared" si="20"/>
        <v>0.12</v>
      </c>
      <c r="AA44" s="113">
        <f>$Y44*$Z44*其他调用!V43</f>
        <v>16.65527903893949</v>
      </c>
      <c r="AB44" s="113">
        <f>$Y44*$Z44*其他调用!W43</f>
        <v>20.64666495897681</v>
      </c>
      <c r="AC44" s="113">
        <f>$Y44*$Z44*其他调用!X43</f>
        <v>23.554878835744621</v>
      </c>
      <c r="AD44" s="113">
        <f>$Y44*$Z44*其他调用!Y43</f>
        <v>20.231623281772418</v>
      </c>
      <c r="AE44" s="113">
        <f>$Y44*$Z44*其他调用!Z43</f>
        <v>11.478877991183035</v>
      </c>
      <c r="AH44" s="31">
        <v>40</v>
      </c>
      <c r="AI44" s="31">
        <f>SUM(AA$5:AA44)</f>
        <v>148.18526100818994</v>
      </c>
      <c r="AJ44" s="31">
        <f>SUM(AB$5:AB44)</f>
        <v>187.76456666561472</v>
      </c>
      <c r="AK44" s="31">
        <f>SUM(AC$5:AC44)</f>
        <v>210.6167532757969</v>
      </c>
      <c r="AL44" s="31">
        <f>SUM(AD$5:AD44)</f>
        <v>177.03377105473479</v>
      </c>
      <c r="AM44" s="31">
        <f>SUM(AE$5:AE44)</f>
        <v>99.7709127194871</v>
      </c>
      <c r="AR44" s="31">
        <v>40</v>
      </c>
      <c r="AS44" s="42">
        <f t="shared" si="21"/>
        <v>8.0000000000000016E-2</v>
      </c>
      <c r="AT44" s="52">
        <f>求节点(E$21:E$27,$M$21:$M$27,$AR44)*$AS44*其他调用!V43</f>
        <v>9.6384871203201516</v>
      </c>
      <c r="AU44" s="52">
        <f>求节点(F$21:F$27,$M$21:$M$27,$AR44)*$AS44*其他调用!W43</f>
        <v>13.034531605880428</v>
      </c>
      <c r="AV44" s="52">
        <f>求节点(G$21:G$27,$M$21:$M$27,$AR44)*$AS44*其他调用!X43</f>
        <v>17.348949518567416</v>
      </c>
      <c r="AW44" s="52">
        <f>求节点(H$21:H$27,$M$21:$M$27,$AR44)*$AS44*其他调用!Y43</f>
        <v>19.158764887343644</v>
      </c>
      <c r="AX44" s="52">
        <f>求节点(I$21:I$27,$M$21:$M$27,$AR44)*$AS44*其他调用!Z43</f>
        <v>11.549552482119584</v>
      </c>
      <c r="AY44" s="52">
        <f>求节点(E$21:E$27,$N$21:$N$27,$AR44)*$AS44*其他调用!V43</f>
        <v>0</v>
      </c>
      <c r="AZ44" s="52">
        <f>求节点(F$21:F$27,$N$21:$N$27,$AR44)*$AS44*其他调用!W43</f>
        <v>0</v>
      </c>
      <c r="BA44" s="52">
        <f>求节点(G$21:G$27,$N$21:$N$27,$AR44)*$AS44*其他调用!X43</f>
        <v>0</v>
      </c>
      <c r="BB44" s="52">
        <f>求节点(H$21:H$27,$N$21:$N$27,$AR44)*$AS44*其他调用!Y43</f>
        <v>0</v>
      </c>
      <c r="BC44" s="52">
        <f>求节点(I$21:I$27,$N$21:$N$27,$AR44)*$AS44*其他调用!Z43</f>
        <v>0</v>
      </c>
      <c r="BD44" s="52">
        <f>求节点(E$21:E$27,$O$21:$O$27,$AR44)*$AS44*其他调用!V43</f>
        <v>0</v>
      </c>
      <c r="BE44" s="52">
        <f>求节点(F$21:F$27,$O$21:$O$27,$AR44)*$AS44*其他调用!W43</f>
        <v>0</v>
      </c>
      <c r="BF44" s="52">
        <f>求节点(G$21:G$27,$O$21:$O$27,$AR44)*$AS44*其他调用!X43</f>
        <v>0</v>
      </c>
      <c r="BG44" s="52">
        <f>求节点(H$21:H$27,$O$21:$O$27,$AR44)*$AS44*其他调用!Y43</f>
        <v>0</v>
      </c>
      <c r="BH44" s="52">
        <f>求节点(I$21:I$27,$O$21:$O$27,$AR44)*$AS44*其他调用!Z43</f>
        <v>0</v>
      </c>
      <c r="BK44" s="31">
        <v>40</v>
      </c>
      <c r="BL44" s="31">
        <f>SUM(AT$5:AT44)</f>
        <v>24.679157869853491</v>
      </c>
      <c r="BM44" s="31">
        <f>SUM(AU$5:AU44)</f>
        <v>41.987301213043352</v>
      </c>
      <c r="BN44" s="31">
        <f>SUM(AV$5:AV44)</f>
        <v>73.485875319186349</v>
      </c>
      <c r="BO44" s="31">
        <f>SUM(AW$5:AW44)</f>
        <v>92.305186126259031</v>
      </c>
      <c r="BP44" s="31">
        <f>SUM(AX$5:AX44)</f>
        <v>59.82496946411419</v>
      </c>
      <c r="BQ44" s="31">
        <f>SUM(AY$5:AY44)</f>
        <v>0</v>
      </c>
      <c r="BR44" s="31">
        <f>SUM(AZ$5:AZ44)</f>
        <v>0</v>
      </c>
      <c r="BS44" s="31">
        <f>SUM(BA$5:BA44)</f>
        <v>0</v>
      </c>
      <c r="BT44" s="31">
        <f>SUM(BB$5:BB44)</f>
        <v>0</v>
      </c>
      <c r="BU44" s="31">
        <f>SUM(BC$5:BC44)</f>
        <v>0</v>
      </c>
      <c r="BV44" s="31">
        <f>SUM(BD$5:BD44)</f>
        <v>0</v>
      </c>
      <c r="BW44" s="31">
        <f>SUM(BE$5:BE44)</f>
        <v>0</v>
      </c>
      <c r="BX44" s="31">
        <f>SUM(BF$5:BF44)</f>
        <v>0</v>
      </c>
      <c r="BY44" s="31">
        <f>SUM(BG$5:BG44)</f>
        <v>0</v>
      </c>
      <c r="BZ44" s="31">
        <f>SUM(BH$5:BH44)</f>
        <v>0</v>
      </c>
      <c r="CC44" s="41">
        <v>40</v>
      </c>
      <c r="CD44" s="41">
        <f t="shared" si="22"/>
        <v>1.1105621041434071</v>
      </c>
      <c r="CE44" s="41">
        <f t="shared" si="23"/>
        <v>1.8894285545869507</v>
      </c>
      <c r="CF44" s="41">
        <f t="shared" si="24"/>
        <v>3.3068643893633856</v>
      </c>
      <c r="CG44" s="41">
        <f t="shared" si="25"/>
        <v>4.1537333756816563</v>
      </c>
      <c r="CH44" s="41">
        <f t="shared" si="26"/>
        <v>2.6921236258851389</v>
      </c>
      <c r="CI44" s="41">
        <f t="shared" si="27"/>
        <v>0.12339578934926747</v>
      </c>
      <c r="CJ44" s="41">
        <f t="shared" si="28"/>
        <v>0.2099365060652168</v>
      </c>
      <c r="CK44" s="41">
        <f t="shared" si="29"/>
        <v>0.36742937659593178</v>
      </c>
      <c r="CL44" s="41">
        <f t="shared" si="30"/>
        <v>0.46152593063129521</v>
      </c>
      <c r="CM44" s="41">
        <f t="shared" si="31"/>
        <v>0.29912484732057099</v>
      </c>
      <c r="CN44" s="41">
        <f t="shared" si="32"/>
        <v>0</v>
      </c>
      <c r="CO44" s="41">
        <f t="shared" si="33"/>
        <v>0</v>
      </c>
      <c r="CP44" s="41">
        <f t="shared" si="34"/>
        <v>0</v>
      </c>
      <c r="CQ44" s="41">
        <f t="shared" si="35"/>
        <v>0</v>
      </c>
      <c r="CR44" s="41">
        <f t="shared" si="36"/>
        <v>0</v>
      </c>
    </row>
    <row r="45" spans="4:96" x14ac:dyDescent="0.15">
      <c r="D45" s="45" t="s">
        <v>194</v>
      </c>
      <c r="E45" s="46">
        <f>'[1]功能-行军令'!AD20</f>
        <v>0</v>
      </c>
      <c r="F45" s="46">
        <f>'[1]功能-行军令'!AE20</f>
        <v>0</v>
      </c>
      <c r="G45" s="46" t="e">
        <f>'[1]功能-行军令'!AF20</f>
        <v>#DIV/0!</v>
      </c>
      <c r="H45" s="37"/>
      <c r="I45" s="37"/>
      <c r="W45" s="117">
        <v>1.05</v>
      </c>
      <c r="X45" s="31">
        <v>41</v>
      </c>
      <c r="Y45" s="113">
        <f t="shared" si="17"/>
        <v>2.9567952590923556</v>
      </c>
      <c r="Z45" s="42">
        <f t="shared" si="20"/>
        <v>0.12</v>
      </c>
      <c r="AA45" s="113">
        <f>$Y45*$Z45*其他调用!V44</f>
        <v>18.743220389325774</v>
      </c>
      <c r="AB45" s="113">
        <f>$Y45*$Z45*其他调用!W44</f>
        <v>23.920855635035192</v>
      </c>
      <c r="AC45" s="113">
        <f>$Y45*$Z45*其他调用!X44</f>
        <v>27.121632278660471</v>
      </c>
      <c r="AD45" s="113">
        <f>$Y45*$Z45*其他调用!Y44</f>
        <v>22.976164374377809</v>
      </c>
      <c r="AE45" s="113">
        <f>$Y45*$Z45*其他调用!Z44</f>
        <v>13.180712922128476</v>
      </c>
      <c r="AH45" s="31">
        <v>41</v>
      </c>
      <c r="AI45" s="31">
        <f>SUM(AA$5:AA45)</f>
        <v>166.92848139751572</v>
      </c>
      <c r="AJ45" s="31">
        <f>SUM(AB$5:AB45)</f>
        <v>211.68542230064992</v>
      </c>
      <c r="AK45" s="31">
        <f>SUM(AC$5:AC45)</f>
        <v>237.73838555445735</v>
      </c>
      <c r="AL45" s="31">
        <f>SUM(AD$5:AD45)</f>
        <v>200.0099354291126</v>
      </c>
      <c r="AM45" s="31">
        <f>SUM(AE$5:AE45)</f>
        <v>112.95162564161558</v>
      </c>
      <c r="AR45" s="31">
        <v>41</v>
      </c>
      <c r="AS45" s="42">
        <f t="shared" si="21"/>
        <v>8.0000000000000016E-2</v>
      </c>
      <c r="AT45" s="52">
        <f>求节点(E$21:E$27,$M$21:$M$27,$AR45)*$AS45*其他调用!V44</f>
        <v>11.269390597698441</v>
      </c>
      <c r="AU45" s="52">
        <f>求节点(F$21:F$27,$M$21:$M$27,$AR45)*$AS45*其他调用!W44</f>
        <v>15.580989551500959</v>
      </c>
      <c r="AV45" s="52">
        <f>求节点(G$21:G$27,$M$21:$M$27,$AR45)*$AS45*其他调用!X44</f>
        <v>20.383654826029431</v>
      </c>
      <c r="AW45" s="52">
        <f>求节点(H$21:H$27,$M$21:$M$27,$AR45)*$AS45*其他调用!Y44</f>
        <v>21.872886757966409</v>
      </c>
      <c r="AX45" s="52">
        <f>求节点(I$21:I$27,$M$21:$M$27,$AR45)*$AS45*其他调用!Z44</f>
        <v>13.373309715913051</v>
      </c>
      <c r="AY45" s="52">
        <f>求节点(E$21:E$27,$N$21:$N$27,$AR45)*$AS45*其他调用!V44</f>
        <v>0</v>
      </c>
      <c r="AZ45" s="52">
        <f>求节点(F$21:F$27,$N$21:$N$27,$AR45)*$AS45*其他调用!W44</f>
        <v>0</v>
      </c>
      <c r="BA45" s="52">
        <f>求节点(G$21:G$27,$N$21:$N$27,$AR45)*$AS45*其他调用!X44</f>
        <v>0</v>
      </c>
      <c r="BB45" s="52">
        <f>求节点(H$21:H$27,$N$21:$N$27,$AR45)*$AS45*其他调用!Y44</f>
        <v>0</v>
      </c>
      <c r="BC45" s="52">
        <f>求节点(I$21:I$27,$N$21:$N$27,$AR45)*$AS45*其他调用!Z44</f>
        <v>0</v>
      </c>
      <c r="BD45" s="52">
        <f>求节点(E$21:E$27,$O$21:$O$27,$AR45)*$AS45*其他调用!V44</f>
        <v>0</v>
      </c>
      <c r="BE45" s="52">
        <f>求节点(F$21:F$27,$O$21:$O$27,$AR45)*$AS45*其他调用!W44</f>
        <v>0</v>
      </c>
      <c r="BF45" s="52">
        <f>求节点(G$21:G$27,$O$21:$O$27,$AR45)*$AS45*其他调用!X44</f>
        <v>0</v>
      </c>
      <c r="BG45" s="52">
        <f>求节点(H$21:H$27,$O$21:$O$27,$AR45)*$AS45*其他调用!Y44</f>
        <v>0</v>
      </c>
      <c r="BH45" s="52">
        <f>求节点(I$21:I$27,$O$21:$O$27,$AR45)*$AS45*其他调用!Z44</f>
        <v>0</v>
      </c>
      <c r="BK45" s="31">
        <v>41</v>
      </c>
      <c r="BL45" s="31">
        <f>SUM(AT$5:AT45)</f>
        <v>35.94854846755193</v>
      </c>
      <c r="BM45" s="31">
        <f>SUM(AU$5:AU45)</f>
        <v>57.568290764544315</v>
      </c>
      <c r="BN45" s="31">
        <f>SUM(AV$5:AV45)</f>
        <v>93.869530145215776</v>
      </c>
      <c r="BO45" s="31">
        <f>SUM(AW$5:AW45)</f>
        <v>114.17807288422544</v>
      </c>
      <c r="BP45" s="31">
        <f>SUM(AX$5:AX45)</f>
        <v>73.198279180027242</v>
      </c>
      <c r="BQ45" s="31">
        <f>SUM(AY$5:AY45)</f>
        <v>0</v>
      </c>
      <c r="BR45" s="31">
        <f>SUM(AZ$5:AZ45)</f>
        <v>0</v>
      </c>
      <c r="BS45" s="31">
        <f>SUM(BA$5:BA45)</f>
        <v>0</v>
      </c>
      <c r="BT45" s="31">
        <f>SUM(BB$5:BB45)</f>
        <v>0</v>
      </c>
      <c r="BU45" s="31">
        <f>SUM(BC$5:BC45)</f>
        <v>0</v>
      </c>
      <c r="BV45" s="31">
        <f>SUM(BD$5:BD45)</f>
        <v>0</v>
      </c>
      <c r="BW45" s="31">
        <f>SUM(BE$5:BE45)</f>
        <v>0</v>
      </c>
      <c r="BX45" s="31">
        <f>SUM(BF$5:BF45)</f>
        <v>0</v>
      </c>
      <c r="BY45" s="31">
        <f>SUM(BG$5:BG45)</f>
        <v>0</v>
      </c>
      <c r="BZ45" s="31">
        <f>SUM(BH$5:BH45)</f>
        <v>0</v>
      </c>
      <c r="CC45" s="41">
        <v>41</v>
      </c>
      <c r="CD45" s="41">
        <f t="shared" si="22"/>
        <v>1.6176846810398371</v>
      </c>
      <c r="CE45" s="41">
        <f t="shared" si="23"/>
        <v>2.5905730844044941</v>
      </c>
      <c r="CF45" s="41">
        <f t="shared" si="24"/>
        <v>4.2241288565347102</v>
      </c>
      <c r="CG45" s="41">
        <f t="shared" si="25"/>
        <v>5.1380132797901457</v>
      </c>
      <c r="CH45" s="41">
        <f t="shared" si="26"/>
        <v>3.2939225631012263</v>
      </c>
      <c r="CI45" s="41">
        <f t="shared" si="27"/>
        <v>0.17974274233775966</v>
      </c>
      <c r="CJ45" s="41">
        <f t="shared" si="28"/>
        <v>0.28784145382272158</v>
      </c>
      <c r="CK45" s="41">
        <f t="shared" si="29"/>
        <v>0.46934765072607892</v>
      </c>
      <c r="CL45" s="41">
        <f t="shared" si="30"/>
        <v>0.57089036442112717</v>
      </c>
      <c r="CM45" s="41">
        <f t="shared" si="31"/>
        <v>0.36599139590013624</v>
      </c>
      <c r="CN45" s="41">
        <f t="shared" si="32"/>
        <v>0</v>
      </c>
      <c r="CO45" s="41">
        <f t="shared" si="33"/>
        <v>0</v>
      </c>
      <c r="CP45" s="41">
        <f t="shared" si="34"/>
        <v>0</v>
      </c>
      <c r="CQ45" s="41">
        <f t="shared" si="35"/>
        <v>0</v>
      </c>
      <c r="CR45" s="41">
        <f t="shared" si="36"/>
        <v>0</v>
      </c>
    </row>
    <row r="46" spans="4:96" x14ac:dyDescent="0.15">
      <c r="D46" s="31" t="s">
        <v>195</v>
      </c>
      <c r="E46" s="43">
        <f>'[1]功能-行军令'!AD21</f>
        <v>0.1</v>
      </c>
      <c r="F46" s="43">
        <f>'[1]功能-行军令'!AE21</f>
        <v>0.1</v>
      </c>
      <c r="G46" s="43">
        <f>'[1]功能-行军令'!AF21</f>
        <v>1</v>
      </c>
      <c r="H46" s="37"/>
      <c r="I46" s="37"/>
      <c r="W46" s="117">
        <v>1.05</v>
      </c>
      <c r="X46" s="31">
        <v>42</v>
      </c>
      <c r="Y46" s="113">
        <f t="shared" si="17"/>
        <v>3.1046350220469736</v>
      </c>
      <c r="Z46" s="42">
        <f t="shared" si="20"/>
        <v>0.12</v>
      </c>
      <c r="AA46" s="113">
        <f>$Y46*$Z46*其他调用!V45</f>
        <v>21.092910526536198</v>
      </c>
      <c r="AB46" s="113">
        <f>$Y46*$Z46*其他调用!W45</f>
        <v>27.887004293430596</v>
      </c>
      <c r="AC46" s="113">
        <f>$Y46*$Z46*其他调用!X45</f>
        <v>31.386281746974316</v>
      </c>
      <c r="AD46" s="113">
        <f>$Y46*$Z46*其他调用!Y45</f>
        <v>26.573385423412315</v>
      </c>
      <c r="AE46" s="113">
        <f>$Y46*$Z46*其他调用!Z45</f>
        <v>14.883059205338373</v>
      </c>
      <c r="AH46" s="31">
        <v>42</v>
      </c>
      <c r="AI46" s="31">
        <f>SUM(AA$5:AA46)</f>
        <v>188.02139192405193</v>
      </c>
      <c r="AJ46" s="31">
        <f>SUM(AB$5:AB46)</f>
        <v>239.57242659408053</v>
      </c>
      <c r="AK46" s="31">
        <f>SUM(AC$5:AC46)</f>
        <v>269.12466730143166</v>
      </c>
      <c r="AL46" s="31">
        <f>SUM(AD$5:AD46)</f>
        <v>226.58332085252491</v>
      </c>
      <c r="AM46" s="31">
        <f>SUM(AE$5:AE46)</f>
        <v>127.83468484695395</v>
      </c>
      <c r="AR46" s="31">
        <v>42</v>
      </c>
      <c r="AS46" s="42">
        <f t="shared" si="21"/>
        <v>8.0000000000000016E-2</v>
      </c>
      <c r="AT46" s="52">
        <f>求节点(E$21:E$27,$M$21:$M$27,$AR46)*$AS46*其他调用!V45</f>
        <v>13.084753263366784</v>
      </c>
      <c r="AU46" s="52">
        <f>求节点(F$21:F$27,$M$21:$M$27,$AR46)*$AS46*其他调用!W45</f>
        <v>18.630116647483234</v>
      </c>
      <c r="AV46" s="52">
        <f>求节点(G$21:G$27,$M$21:$M$27,$AR46)*$AS46*其他调用!X45</f>
        <v>23.963239401993281</v>
      </c>
      <c r="AW46" s="52">
        <f>求节点(H$21:H$27,$M$21:$M$27,$AR46)*$AS46*其他调用!Y45</f>
        <v>25.360777112601706</v>
      </c>
      <c r="AX46" s="52">
        <f>求节点(I$21:I$27,$M$21:$M$27,$AR46)*$AS46*其他调用!Z45</f>
        <v>15.180427698872505</v>
      </c>
      <c r="AY46" s="52">
        <f>求节点(E$21:E$27,$N$21:$N$27,$AR46)*$AS46*其他调用!V45</f>
        <v>0</v>
      </c>
      <c r="AZ46" s="52">
        <f>求节点(F$21:F$27,$N$21:$N$27,$AR46)*$AS46*其他调用!W45</f>
        <v>0</v>
      </c>
      <c r="BA46" s="52">
        <f>求节点(G$21:G$27,$N$21:$N$27,$AR46)*$AS46*其他调用!X45</f>
        <v>0</v>
      </c>
      <c r="BB46" s="52">
        <f>求节点(H$21:H$27,$N$21:$N$27,$AR46)*$AS46*其他调用!Y45</f>
        <v>0</v>
      </c>
      <c r="BC46" s="52">
        <f>求节点(I$21:I$27,$N$21:$N$27,$AR46)*$AS46*其他调用!Z45</f>
        <v>0</v>
      </c>
      <c r="BD46" s="52">
        <f>求节点(E$21:E$27,$O$21:$O$27,$AR46)*$AS46*其他调用!V45</f>
        <v>0</v>
      </c>
      <c r="BE46" s="52">
        <f>求节点(F$21:F$27,$O$21:$O$27,$AR46)*$AS46*其他调用!W45</f>
        <v>0</v>
      </c>
      <c r="BF46" s="52">
        <f>求节点(G$21:G$27,$O$21:$O$27,$AR46)*$AS46*其他调用!X45</f>
        <v>0</v>
      </c>
      <c r="BG46" s="52">
        <f>求节点(H$21:H$27,$O$21:$O$27,$AR46)*$AS46*其他调用!Y45</f>
        <v>0</v>
      </c>
      <c r="BH46" s="52">
        <f>求节点(I$21:I$27,$O$21:$O$27,$AR46)*$AS46*其他调用!Z45</f>
        <v>0</v>
      </c>
      <c r="BK46" s="31">
        <v>42</v>
      </c>
      <c r="BL46" s="31">
        <f>SUM(AT$5:AT46)</f>
        <v>49.033301730918716</v>
      </c>
      <c r="BM46" s="31">
        <f>SUM(AU$5:AU46)</f>
        <v>76.198407412027549</v>
      </c>
      <c r="BN46" s="31">
        <f>SUM(AV$5:AV46)</f>
        <v>117.83276954720905</v>
      </c>
      <c r="BO46" s="31">
        <f>SUM(AW$5:AW46)</f>
        <v>139.53884999682714</v>
      </c>
      <c r="BP46" s="31">
        <f>SUM(AX$5:AX46)</f>
        <v>88.378706878899749</v>
      </c>
      <c r="BQ46" s="31">
        <f>SUM(AY$5:AY46)</f>
        <v>0</v>
      </c>
      <c r="BR46" s="31">
        <f>SUM(AZ$5:AZ46)</f>
        <v>0</v>
      </c>
      <c r="BS46" s="31">
        <f>SUM(BA$5:BA46)</f>
        <v>0</v>
      </c>
      <c r="BT46" s="31">
        <f>SUM(BB$5:BB46)</f>
        <v>0</v>
      </c>
      <c r="BU46" s="31">
        <f>SUM(BC$5:BC46)</f>
        <v>0</v>
      </c>
      <c r="BV46" s="31">
        <f>SUM(BD$5:BD46)</f>
        <v>0</v>
      </c>
      <c r="BW46" s="31">
        <f>SUM(BE$5:BE46)</f>
        <v>0</v>
      </c>
      <c r="BX46" s="31">
        <f>SUM(BF$5:BF46)</f>
        <v>0</v>
      </c>
      <c r="BY46" s="31">
        <f>SUM(BG$5:BG46)</f>
        <v>0</v>
      </c>
      <c r="BZ46" s="31">
        <f>SUM(BH$5:BH46)</f>
        <v>0</v>
      </c>
      <c r="CC46" s="41">
        <v>42</v>
      </c>
      <c r="CD46" s="41">
        <f t="shared" si="22"/>
        <v>2.2064985778913422</v>
      </c>
      <c r="CE46" s="41">
        <f t="shared" si="23"/>
        <v>3.4289283335412399</v>
      </c>
      <c r="CF46" s="41">
        <f t="shared" si="24"/>
        <v>5.3024746296244079</v>
      </c>
      <c r="CG46" s="41">
        <f t="shared" si="25"/>
        <v>6.2792482498572211</v>
      </c>
      <c r="CH46" s="41">
        <f t="shared" si="26"/>
        <v>3.9770418095504887</v>
      </c>
      <c r="CI46" s="41">
        <f t="shared" si="27"/>
        <v>0.24516650865459361</v>
      </c>
      <c r="CJ46" s="41">
        <f t="shared" si="28"/>
        <v>0.38099203706013773</v>
      </c>
      <c r="CK46" s="41">
        <f t="shared" si="29"/>
        <v>0.58916384773604524</v>
      </c>
      <c r="CL46" s="41">
        <f t="shared" si="30"/>
        <v>0.69769424998413565</v>
      </c>
      <c r="CM46" s="41">
        <f t="shared" si="31"/>
        <v>0.44189353439449874</v>
      </c>
      <c r="CN46" s="41">
        <f t="shared" si="32"/>
        <v>0</v>
      </c>
      <c r="CO46" s="41">
        <f t="shared" si="33"/>
        <v>0</v>
      </c>
      <c r="CP46" s="41">
        <f t="shared" si="34"/>
        <v>0</v>
      </c>
      <c r="CQ46" s="41">
        <f t="shared" si="35"/>
        <v>0</v>
      </c>
      <c r="CR46" s="41">
        <f t="shared" si="36"/>
        <v>0</v>
      </c>
    </row>
    <row r="47" spans="4:96" x14ac:dyDescent="0.15">
      <c r="D47" s="45" t="s">
        <v>196</v>
      </c>
      <c r="E47" s="46">
        <f>'[1]功能-行军令'!AD22</f>
        <v>0</v>
      </c>
      <c r="F47" s="46">
        <f>'[1]功能-行军令'!AE22</f>
        <v>0</v>
      </c>
      <c r="G47" s="46" t="e">
        <f>'[1]功能-行军令'!AF22</f>
        <v>#DIV/0!</v>
      </c>
      <c r="H47" s="37"/>
      <c r="I47" s="37"/>
      <c r="W47" s="117">
        <v>1.05</v>
      </c>
      <c r="X47" s="31">
        <v>43</v>
      </c>
      <c r="Y47" s="113">
        <f t="shared" si="17"/>
        <v>3.2598667731493225</v>
      </c>
      <c r="Z47" s="42">
        <f t="shared" si="20"/>
        <v>0.12</v>
      </c>
      <c r="AA47" s="113">
        <f>$Y47*$Z47*其他调用!V46</f>
        <v>23.73716283749355</v>
      </c>
      <c r="AB47" s="113">
        <f>$Y47*$Z47*其他调用!W46</f>
        <v>30.301592849034758</v>
      </c>
      <c r="AC47" s="113">
        <f>$Y47*$Z47*其他调用!X46</f>
        <v>34.236701733945239</v>
      </c>
      <c r="AD47" s="113">
        <f>$Y47*$Z47*其他调用!Y46</f>
        <v>28.133288119557708</v>
      </c>
      <c r="AE47" s="113">
        <f>$Y47*$Z47*其他调用!Z46</f>
        <v>15.750125747604297</v>
      </c>
      <c r="AH47" s="31">
        <v>43</v>
      </c>
      <c r="AI47" s="31">
        <f>SUM(AA$5:AA47)</f>
        <v>211.75855476154547</v>
      </c>
      <c r="AJ47" s="31">
        <f>SUM(AB$5:AB47)</f>
        <v>269.87401944311529</v>
      </c>
      <c r="AK47" s="31">
        <f>SUM(AC$5:AC47)</f>
        <v>303.36136903537692</v>
      </c>
      <c r="AL47" s="31">
        <f>SUM(AD$5:AD47)</f>
        <v>254.71660897208261</v>
      </c>
      <c r="AM47" s="31">
        <f>SUM(AE$5:AE47)</f>
        <v>143.58481059455823</v>
      </c>
      <c r="AR47" s="31">
        <v>43</v>
      </c>
      <c r="AS47" s="42">
        <f t="shared" si="21"/>
        <v>8.0000000000000016E-2</v>
      </c>
      <c r="AT47" s="52">
        <f>求节点(E$21:E$27,$M$21:$M$27,$AR47)*$AS47*其他调用!V46</f>
        <v>15.102652181627914</v>
      </c>
      <c r="AU47" s="52">
        <f>求节点(F$21:F$27,$M$21:$M$27,$AR47)*$AS47*其他调用!W46</f>
        <v>20.656326679510769</v>
      </c>
      <c r="AV47" s="52">
        <f>求节点(G$21:G$27,$M$21:$M$27,$AR47)*$AS47*其他调用!X46</f>
        <v>26.450702844716066</v>
      </c>
      <c r="AW47" s="52">
        <f>求节点(H$21:H$27,$M$21:$M$27,$AR47)*$AS47*其他调用!Y46</f>
        <v>26.849497648730132</v>
      </c>
      <c r="AX47" s="52">
        <f>求节点(I$21:I$27,$M$21:$M$27,$AR47)*$AS47*其他调用!Z46</f>
        <v>16.10508122329211</v>
      </c>
      <c r="AY47" s="52">
        <f>求节点(E$21:E$27,$N$21:$N$27,$AR47)*$AS47*其他调用!V46</f>
        <v>0</v>
      </c>
      <c r="AZ47" s="52">
        <f>求节点(F$21:F$27,$N$21:$N$27,$AR47)*$AS47*其他调用!W46</f>
        <v>0</v>
      </c>
      <c r="BA47" s="52">
        <f>求节点(G$21:G$27,$N$21:$N$27,$AR47)*$AS47*其他调用!X46</f>
        <v>0</v>
      </c>
      <c r="BB47" s="52">
        <f>求节点(H$21:H$27,$N$21:$N$27,$AR47)*$AS47*其他调用!Y46</f>
        <v>0</v>
      </c>
      <c r="BC47" s="52">
        <f>求节点(I$21:I$27,$N$21:$N$27,$AR47)*$AS47*其他调用!Z46</f>
        <v>0</v>
      </c>
      <c r="BD47" s="52">
        <f>求节点(E$21:E$27,$O$21:$O$27,$AR47)*$AS47*其他调用!V46</f>
        <v>0</v>
      </c>
      <c r="BE47" s="52">
        <f>求节点(F$21:F$27,$O$21:$O$27,$AR47)*$AS47*其他调用!W46</f>
        <v>0</v>
      </c>
      <c r="BF47" s="52">
        <f>求节点(G$21:G$27,$O$21:$O$27,$AR47)*$AS47*其他调用!X46</f>
        <v>0</v>
      </c>
      <c r="BG47" s="52">
        <f>求节点(H$21:H$27,$O$21:$O$27,$AR47)*$AS47*其他调用!Y46</f>
        <v>0</v>
      </c>
      <c r="BH47" s="52">
        <f>求节点(I$21:I$27,$O$21:$O$27,$AR47)*$AS47*其他调用!Z46</f>
        <v>0</v>
      </c>
      <c r="BK47" s="31">
        <v>43</v>
      </c>
      <c r="BL47" s="31">
        <f>SUM(AT$5:AT47)</f>
        <v>64.135953912546626</v>
      </c>
      <c r="BM47" s="31">
        <f>SUM(AU$5:AU47)</f>
        <v>96.854734091538319</v>
      </c>
      <c r="BN47" s="31">
        <f>SUM(AV$5:AV47)</f>
        <v>144.28347239192513</v>
      </c>
      <c r="BO47" s="31">
        <f>SUM(AW$5:AW47)</f>
        <v>166.38834764555727</v>
      </c>
      <c r="BP47" s="31">
        <f>SUM(AX$5:AX47)</f>
        <v>104.48378810219185</v>
      </c>
      <c r="BQ47" s="31">
        <f>SUM(AY$5:AY47)</f>
        <v>0</v>
      </c>
      <c r="BR47" s="31">
        <f>SUM(AZ$5:AZ47)</f>
        <v>0</v>
      </c>
      <c r="BS47" s="31">
        <f>SUM(BA$5:BA47)</f>
        <v>0</v>
      </c>
      <c r="BT47" s="31">
        <f>SUM(BB$5:BB47)</f>
        <v>0</v>
      </c>
      <c r="BU47" s="31">
        <f>SUM(BC$5:BC47)</f>
        <v>0</v>
      </c>
      <c r="BV47" s="31">
        <f>SUM(BD$5:BD47)</f>
        <v>0</v>
      </c>
      <c r="BW47" s="31">
        <f>SUM(BE$5:BE47)</f>
        <v>0</v>
      </c>
      <c r="BX47" s="31">
        <f>SUM(BF$5:BF47)</f>
        <v>0</v>
      </c>
      <c r="BY47" s="31">
        <f>SUM(BG$5:BG47)</f>
        <v>0</v>
      </c>
      <c r="BZ47" s="31">
        <f>SUM(BH$5:BH47)</f>
        <v>0</v>
      </c>
      <c r="CC47" s="41">
        <v>43</v>
      </c>
      <c r="CD47" s="41">
        <f t="shared" si="22"/>
        <v>2.8861179260645984</v>
      </c>
      <c r="CE47" s="41">
        <f t="shared" si="23"/>
        <v>4.3584630341192243</v>
      </c>
      <c r="CF47" s="41">
        <f t="shared" si="24"/>
        <v>6.4927562576366311</v>
      </c>
      <c r="CG47" s="41">
        <f t="shared" si="25"/>
        <v>7.4874756440500772</v>
      </c>
      <c r="CH47" s="41">
        <f t="shared" si="26"/>
        <v>4.7017704645986331</v>
      </c>
      <c r="CI47" s="41">
        <f t="shared" si="27"/>
        <v>0.32067976956273314</v>
      </c>
      <c r="CJ47" s="41">
        <f t="shared" si="28"/>
        <v>0.48427367045769165</v>
      </c>
      <c r="CK47" s="41">
        <f t="shared" si="29"/>
        <v>0.72141736195962569</v>
      </c>
      <c r="CL47" s="41">
        <f t="shared" si="30"/>
        <v>0.83194173822778639</v>
      </c>
      <c r="CM47" s="41">
        <f t="shared" si="31"/>
        <v>0.52241894051095927</v>
      </c>
      <c r="CN47" s="41">
        <f t="shared" si="32"/>
        <v>0</v>
      </c>
      <c r="CO47" s="41">
        <f t="shared" si="33"/>
        <v>0</v>
      </c>
      <c r="CP47" s="41">
        <f t="shared" si="34"/>
        <v>0</v>
      </c>
      <c r="CQ47" s="41">
        <f t="shared" si="35"/>
        <v>0</v>
      </c>
      <c r="CR47" s="41">
        <f t="shared" si="36"/>
        <v>0</v>
      </c>
    </row>
    <row r="48" spans="4:96" x14ac:dyDescent="0.15">
      <c r="D48" s="31" t="s">
        <v>197</v>
      </c>
      <c r="E48" s="43">
        <f>'[1]功能-行军令'!AD23</f>
        <v>0.2</v>
      </c>
      <c r="F48" s="43">
        <f>'[1]功能-行军令'!AE23</f>
        <v>0.2</v>
      </c>
      <c r="G48" s="43">
        <f>'[1]功能-行军令'!AF23</f>
        <v>1</v>
      </c>
      <c r="H48" s="37"/>
      <c r="I48" s="37"/>
      <c r="W48" s="117">
        <v>1.05</v>
      </c>
      <c r="X48" s="31">
        <v>44</v>
      </c>
      <c r="Y48" s="113">
        <f t="shared" si="17"/>
        <v>3.4228601118067887</v>
      </c>
      <c r="Z48" s="42">
        <f t="shared" si="20"/>
        <v>0.12</v>
      </c>
      <c r="AA48" s="113">
        <f>$Y48*$Z48*其他调用!V47</f>
        <v>26.712904265384616</v>
      </c>
      <c r="AB48" s="113">
        <f>$Y48*$Z48*其他调用!W47</f>
        <v>33.997745544679056</v>
      </c>
      <c r="AC48" s="113">
        <f>$Y48*$Z48*其他调用!X47</f>
        <v>37.804708014808632</v>
      </c>
      <c r="AD48" s="113">
        <f>$Y48*$Z48*其他调用!Y47</f>
        <v>31.628712119153775</v>
      </c>
      <c r="AE48" s="113">
        <f>$Y48*$Z48*其他调用!Z47</f>
        <v>17.529280140811004</v>
      </c>
      <c r="AH48" s="31">
        <v>44</v>
      </c>
      <c r="AI48" s="31">
        <f>SUM(AA$5:AA48)</f>
        <v>238.47145902693009</v>
      </c>
      <c r="AJ48" s="31">
        <f>SUM(AB$5:AB48)</f>
        <v>303.87176498779434</v>
      </c>
      <c r="AK48" s="31">
        <f>SUM(AC$5:AC48)</f>
        <v>341.16607705018555</v>
      </c>
      <c r="AL48" s="31">
        <f>SUM(AD$5:AD48)</f>
        <v>286.34532109123637</v>
      </c>
      <c r="AM48" s="31">
        <f>SUM(AE$5:AE48)</f>
        <v>161.11409073536925</v>
      </c>
      <c r="AR48" s="31">
        <v>44</v>
      </c>
      <c r="AS48" s="42">
        <f t="shared" si="21"/>
        <v>8.0000000000000016E-2</v>
      </c>
      <c r="AT48" s="52">
        <f>求节点(E$21:E$27,$M$21:$M$27,$AR48)*$AS48*其他调用!V47</f>
        <v>17.342809095197786</v>
      </c>
      <c r="AU48" s="52">
        <f>求节点(F$21:F$27,$M$21:$M$27,$AR48)*$AS48*其他调用!W47</f>
        <v>23.543833538660099</v>
      </c>
      <c r="AV48" s="52">
        <f>求节点(G$21:G$27,$M$21:$M$27,$AR48)*$AS48*其他调用!X47</f>
        <v>29.452724158493734</v>
      </c>
      <c r="AW48" s="52">
        <f>求节点(H$21:H$27,$M$21:$M$27,$AR48)*$AS48*其他调用!Y47</f>
        <v>30.116969278765684</v>
      </c>
      <c r="AX48" s="52">
        <f>求节点(I$21:I$27,$M$21:$M$27,$AR48)*$AS48*其他调用!Z47</f>
        <v>17.924331842019992</v>
      </c>
      <c r="AY48" s="52">
        <f>求节点(E$21:E$27,$N$21:$N$27,$AR48)*$AS48*其他调用!V47</f>
        <v>0</v>
      </c>
      <c r="AZ48" s="52">
        <f>求节点(F$21:F$27,$N$21:$N$27,$AR48)*$AS48*其他调用!W47</f>
        <v>0</v>
      </c>
      <c r="BA48" s="52">
        <f>求节点(G$21:G$27,$N$21:$N$27,$AR48)*$AS48*其他调用!X47</f>
        <v>0</v>
      </c>
      <c r="BB48" s="52">
        <f>求节点(H$21:H$27,$N$21:$N$27,$AR48)*$AS48*其他调用!Y47</f>
        <v>0</v>
      </c>
      <c r="BC48" s="52">
        <f>求节点(I$21:I$27,$N$21:$N$27,$AR48)*$AS48*其他调用!Z47</f>
        <v>0</v>
      </c>
      <c r="BD48" s="52">
        <f>求节点(E$21:E$27,$O$21:$O$27,$AR48)*$AS48*其他调用!V47</f>
        <v>0</v>
      </c>
      <c r="BE48" s="52">
        <f>求节点(F$21:F$27,$O$21:$O$27,$AR48)*$AS48*其他调用!W47</f>
        <v>0</v>
      </c>
      <c r="BF48" s="52">
        <f>求节点(G$21:G$27,$O$21:$O$27,$AR48)*$AS48*其他调用!X47</f>
        <v>0</v>
      </c>
      <c r="BG48" s="52">
        <f>求节点(H$21:H$27,$O$21:$O$27,$AR48)*$AS48*其他调用!Y47</f>
        <v>0</v>
      </c>
      <c r="BH48" s="52">
        <f>求节点(I$21:I$27,$O$21:$O$27,$AR48)*$AS48*其他调用!Z47</f>
        <v>0</v>
      </c>
      <c r="BK48" s="31">
        <v>44</v>
      </c>
      <c r="BL48" s="31">
        <f>SUM(AT$5:AT48)</f>
        <v>81.478763007744419</v>
      </c>
      <c r="BM48" s="31">
        <f>SUM(AU$5:AU48)</f>
        <v>120.39856763019841</v>
      </c>
      <c r="BN48" s="31">
        <f>SUM(AV$5:AV48)</f>
        <v>173.73619655041887</v>
      </c>
      <c r="BO48" s="31">
        <f>SUM(AW$5:AW48)</f>
        <v>196.50531692432295</v>
      </c>
      <c r="BP48" s="31">
        <f>SUM(AX$5:AX48)</f>
        <v>122.40811994421185</v>
      </c>
      <c r="BQ48" s="31">
        <f>SUM(AY$5:AY48)</f>
        <v>0</v>
      </c>
      <c r="BR48" s="31">
        <f>SUM(AZ$5:AZ48)</f>
        <v>0</v>
      </c>
      <c r="BS48" s="31">
        <f>SUM(BA$5:BA48)</f>
        <v>0</v>
      </c>
      <c r="BT48" s="31">
        <f>SUM(BB$5:BB48)</f>
        <v>0</v>
      </c>
      <c r="BU48" s="31">
        <f>SUM(BC$5:BC48)</f>
        <v>0</v>
      </c>
      <c r="BV48" s="31">
        <f>SUM(BD$5:BD48)</f>
        <v>0</v>
      </c>
      <c r="BW48" s="31">
        <f>SUM(BE$5:BE48)</f>
        <v>0</v>
      </c>
      <c r="BX48" s="31">
        <f>SUM(BF$5:BF48)</f>
        <v>0</v>
      </c>
      <c r="BY48" s="31">
        <f>SUM(BG$5:BG48)</f>
        <v>0</v>
      </c>
      <c r="BZ48" s="31">
        <f>SUM(BH$5:BH48)</f>
        <v>0</v>
      </c>
      <c r="CC48" s="41">
        <v>44</v>
      </c>
      <c r="CD48" s="41">
        <f t="shared" si="22"/>
        <v>3.6665443353484988</v>
      </c>
      <c r="CE48" s="41">
        <f t="shared" si="23"/>
        <v>5.4179355433589285</v>
      </c>
      <c r="CF48" s="41">
        <f t="shared" si="24"/>
        <v>7.8181288447688484</v>
      </c>
      <c r="CG48" s="41">
        <f t="shared" si="25"/>
        <v>8.8427392615945344</v>
      </c>
      <c r="CH48" s="41">
        <f t="shared" si="26"/>
        <v>5.5083653974895332</v>
      </c>
      <c r="CI48" s="41">
        <f t="shared" si="27"/>
        <v>0.40739381503872207</v>
      </c>
      <c r="CJ48" s="41">
        <f t="shared" si="28"/>
        <v>0.60199283815099203</v>
      </c>
      <c r="CK48" s="41">
        <f t="shared" si="29"/>
        <v>0.86868098275209449</v>
      </c>
      <c r="CL48" s="41">
        <f t="shared" si="30"/>
        <v>0.9825265846216148</v>
      </c>
      <c r="CM48" s="41">
        <f t="shared" si="31"/>
        <v>0.61204059972105929</v>
      </c>
      <c r="CN48" s="41">
        <f t="shared" si="32"/>
        <v>0</v>
      </c>
      <c r="CO48" s="41">
        <f t="shared" si="33"/>
        <v>0</v>
      </c>
      <c r="CP48" s="41">
        <f t="shared" si="34"/>
        <v>0</v>
      </c>
      <c r="CQ48" s="41">
        <f t="shared" si="35"/>
        <v>0</v>
      </c>
      <c r="CR48" s="41">
        <f t="shared" si="36"/>
        <v>0</v>
      </c>
    </row>
    <row r="49" spans="4:96" x14ac:dyDescent="0.15">
      <c r="D49" s="31" t="s">
        <v>198</v>
      </c>
      <c r="E49" s="43">
        <f>'[1]功能-行军令'!AD24</f>
        <v>1</v>
      </c>
      <c r="F49" s="43">
        <f>'[1]功能-行军令'!AE24</f>
        <v>0</v>
      </c>
      <c r="G49" s="43">
        <f>'[1]功能-行军令'!AF24</f>
        <v>0</v>
      </c>
      <c r="H49" s="37"/>
      <c r="I49" s="37"/>
      <c r="W49" s="117">
        <v>1.05</v>
      </c>
      <c r="X49" s="31">
        <v>45</v>
      </c>
      <c r="Y49" s="113">
        <f t="shared" si="17"/>
        <v>3.5940031173971283</v>
      </c>
      <c r="Z49" s="42">
        <f t="shared" si="20"/>
        <v>0.12</v>
      </c>
      <c r="AA49" s="113">
        <f>$Y49*$Z49*其他调用!V48</f>
        <v>30.0616909938574</v>
      </c>
      <c r="AB49" s="113">
        <f>$Y49*$Z49*其他调用!W48</f>
        <v>38.322269653197012</v>
      </c>
      <c r="AC49" s="113">
        <f>$Y49*$Z49*其他调用!X48</f>
        <v>42.512843587079679</v>
      </c>
      <c r="AD49" s="113">
        <f>$Y49*$Z49*其他调用!Y48</f>
        <v>35.750650937219419</v>
      </c>
      <c r="AE49" s="113">
        <f>$Y49*$Z49*其他调用!Z48</f>
        <v>19.780560969426414</v>
      </c>
      <c r="AH49" s="31">
        <v>45</v>
      </c>
      <c r="AI49" s="31">
        <f>SUM(AA$5:AA49)</f>
        <v>268.5331500207875</v>
      </c>
      <c r="AJ49" s="31">
        <f>SUM(AB$5:AB49)</f>
        <v>342.19403464099133</v>
      </c>
      <c r="AK49" s="31">
        <f>SUM(AC$5:AC49)</f>
        <v>383.67892063726521</v>
      </c>
      <c r="AL49" s="31">
        <f>SUM(AD$5:AD49)</f>
        <v>322.09597202845578</v>
      </c>
      <c r="AM49" s="31">
        <f>SUM(AE$5:AE49)</f>
        <v>180.89465170479565</v>
      </c>
      <c r="AR49" s="31">
        <v>45</v>
      </c>
      <c r="AS49" s="42">
        <f t="shared" si="21"/>
        <v>8.0000000000000016E-2</v>
      </c>
      <c r="AT49" s="52">
        <f>求节点(E$21:E$27,$M$21:$M$27,$AR49)*$AS49*其他调用!V48</f>
        <v>19.826733391003803</v>
      </c>
      <c r="AU49" s="52">
        <f>求节点(F$21:F$27,$M$21:$M$27,$AR49)*$AS49*其他调用!W48</f>
        <v>26.85455260905168</v>
      </c>
      <c r="AV49" s="52">
        <f>求节点(G$21:G$27,$M$21:$M$27,$AR49)*$AS49*其他调用!X48</f>
        <v>33.295959419056381</v>
      </c>
      <c r="AW49" s="52">
        <f>求节点(H$21:H$27,$M$21:$M$27,$AR49)*$AS49*其他调用!Y48</f>
        <v>33.894526199337612</v>
      </c>
      <c r="AX49" s="52">
        <f>求节点(I$21:I$27,$M$21:$M$27,$AR49)*$AS49*其他调用!Z48</f>
        <v>20.180484319415598</v>
      </c>
      <c r="AY49" s="52">
        <f>求节点(E$21:E$27,$N$21:$N$27,$AR49)*$AS49*其他调用!V48</f>
        <v>0</v>
      </c>
      <c r="AZ49" s="52">
        <f>求节点(F$21:F$27,$N$21:$N$27,$AR49)*$AS49*其他调用!W48</f>
        <v>0</v>
      </c>
      <c r="BA49" s="52">
        <f>求节点(G$21:G$27,$N$21:$N$27,$AR49)*$AS49*其他调用!X48</f>
        <v>0</v>
      </c>
      <c r="BB49" s="52">
        <f>求节点(H$21:H$27,$N$21:$N$27,$AR49)*$AS49*其他调用!Y48</f>
        <v>0</v>
      </c>
      <c r="BC49" s="52">
        <f>求节点(I$21:I$27,$N$21:$N$27,$AR49)*$AS49*其他调用!Z48</f>
        <v>0</v>
      </c>
      <c r="BD49" s="52">
        <f>求节点(E$21:E$27,$O$21:$O$27,$AR49)*$AS49*其他调用!V48</f>
        <v>0</v>
      </c>
      <c r="BE49" s="52">
        <f>求节点(F$21:F$27,$O$21:$O$27,$AR49)*$AS49*其他调用!W48</f>
        <v>0</v>
      </c>
      <c r="BF49" s="52">
        <f>求节点(G$21:G$27,$O$21:$O$27,$AR49)*$AS49*其他调用!X48</f>
        <v>0</v>
      </c>
      <c r="BG49" s="52">
        <f>求节点(H$21:H$27,$O$21:$O$27,$AR49)*$AS49*其他调用!Y48</f>
        <v>0</v>
      </c>
      <c r="BH49" s="52">
        <f>求节点(I$21:I$27,$O$21:$O$27,$AR49)*$AS49*其他调用!Z48</f>
        <v>0</v>
      </c>
      <c r="BK49" s="31">
        <v>45</v>
      </c>
      <c r="BL49" s="31">
        <f>SUM(AT$5:AT49)</f>
        <v>101.30549639874822</v>
      </c>
      <c r="BM49" s="31">
        <f>SUM(AU$5:AU49)</f>
        <v>147.25312023925011</v>
      </c>
      <c r="BN49" s="31">
        <f>SUM(AV$5:AV49)</f>
        <v>207.03215596947524</v>
      </c>
      <c r="BO49" s="31">
        <f>SUM(AW$5:AW49)</f>
        <v>230.39984312366056</v>
      </c>
      <c r="BP49" s="31">
        <f>SUM(AX$5:AX49)</f>
        <v>142.58860426362745</v>
      </c>
      <c r="BQ49" s="31">
        <f>SUM(AY$5:AY49)</f>
        <v>0</v>
      </c>
      <c r="BR49" s="31">
        <f>SUM(AZ$5:AZ49)</f>
        <v>0</v>
      </c>
      <c r="BS49" s="31">
        <f>SUM(BA$5:BA49)</f>
        <v>0</v>
      </c>
      <c r="BT49" s="31">
        <f>SUM(BB$5:BB49)</f>
        <v>0</v>
      </c>
      <c r="BU49" s="31">
        <f>SUM(BC$5:BC49)</f>
        <v>0</v>
      </c>
      <c r="BV49" s="31">
        <f>SUM(BD$5:BD49)</f>
        <v>0</v>
      </c>
      <c r="BW49" s="31">
        <f>SUM(BE$5:BE49)</f>
        <v>0</v>
      </c>
      <c r="BX49" s="31">
        <f>SUM(BF$5:BF49)</f>
        <v>0</v>
      </c>
      <c r="BY49" s="31">
        <f>SUM(BG$5:BG49)</f>
        <v>0</v>
      </c>
      <c r="BZ49" s="31">
        <f>SUM(BH$5:BH49)</f>
        <v>0</v>
      </c>
      <c r="CC49" s="41">
        <v>45</v>
      </c>
      <c r="CD49" s="41">
        <f t="shared" si="22"/>
        <v>4.5587473379436698</v>
      </c>
      <c r="CE49" s="41">
        <f t="shared" si="23"/>
        <v>6.6263904107662555</v>
      </c>
      <c r="CF49" s="41">
        <f t="shared" si="24"/>
        <v>9.3164470186263859</v>
      </c>
      <c r="CG49" s="41">
        <f t="shared" si="25"/>
        <v>10.367992940564726</v>
      </c>
      <c r="CH49" s="41">
        <f t="shared" si="26"/>
        <v>6.4164871918632356</v>
      </c>
      <c r="CI49" s="41">
        <f t="shared" si="27"/>
        <v>0.50652748199374109</v>
      </c>
      <c r="CJ49" s="41">
        <f t="shared" si="28"/>
        <v>0.73626560119625062</v>
      </c>
      <c r="CK49" s="41">
        <f t="shared" si="29"/>
        <v>1.0351607798473763</v>
      </c>
      <c r="CL49" s="41">
        <f t="shared" si="30"/>
        <v>1.151999215618303</v>
      </c>
      <c r="CM49" s="41">
        <f t="shared" si="31"/>
        <v>0.71294302131813725</v>
      </c>
      <c r="CN49" s="41">
        <f t="shared" si="32"/>
        <v>0</v>
      </c>
      <c r="CO49" s="41">
        <f t="shared" si="33"/>
        <v>0</v>
      </c>
      <c r="CP49" s="41">
        <f t="shared" si="34"/>
        <v>0</v>
      </c>
      <c r="CQ49" s="41">
        <f t="shared" si="35"/>
        <v>0</v>
      </c>
      <c r="CR49" s="41">
        <f t="shared" si="36"/>
        <v>0</v>
      </c>
    </row>
    <row r="50" spans="4:96" x14ac:dyDescent="0.15">
      <c r="W50" s="117">
        <v>1.05</v>
      </c>
      <c r="X50" s="31">
        <v>46</v>
      </c>
      <c r="Y50" s="113">
        <f t="shared" si="17"/>
        <v>3.7737032732669848</v>
      </c>
      <c r="Z50" s="42">
        <f t="shared" si="20"/>
        <v>0.12</v>
      </c>
      <c r="AA50" s="113">
        <f>$Y50*$Z50*其他调用!V49</f>
        <v>33.830288778491607</v>
      </c>
      <c r="AB50" s="113">
        <f>$Y50*$Z50*其他调用!W49</f>
        <v>42.778845038411127</v>
      </c>
      <c r="AC50" s="113">
        <f>$Y50*$Z50*其他调用!X49</f>
        <v>47.519953264167867</v>
      </c>
      <c r="AD50" s="113">
        <f>$Y50*$Z50*其他调用!Y49</f>
        <v>39.774892465163397</v>
      </c>
      <c r="AE50" s="113">
        <f>$Y50*$Z50*其他调用!Z49</f>
        <v>21.244679558611399</v>
      </c>
      <c r="AH50" s="31">
        <v>46</v>
      </c>
      <c r="AI50" s="31">
        <f>SUM(AA$5:AA50)</f>
        <v>302.36343879927909</v>
      </c>
      <c r="AJ50" s="31">
        <f>SUM(AB$5:AB50)</f>
        <v>384.97287967940247</v>
      </c>
      <c r="AK50" s="31">
        <f>SUM(AC$5:AC50)</f>
        <v>431.1988739014331</v>
      </c>
      <c r="AL50" s="31">
        <f>SUM(AD$5:AD50)</f>
        <v>361.87086449361919</v>
      </c>
      <c r="AM50" s="31">
        <f>SUM(AE$5:AE50)</f>
        <v>202.13933126340706</v>
      </c>
      <c r="AR50" s="31">
        <v>46</v>
      </c>
      <c r="AS50" s="42">
        <f t="shared" si="21"/>
        <v>8.0000000000000016E-2</v>
      </c>
      <c r="AT50" s="52">
        <f>求节点(E$21:E$27,$M$21:$M$27,$AR50)*$AS50*其他调用!V49</f>
        <v>22.577877115838728</v>
      </c>
      <c r="AU50" s="52">
        <f>求节点(F$21:F$27,$M$21:$M$27,$AR50)*$AS50*其他调用!W49</f>
        <v>30.229435607869242</v>
      </c>
      <c r="AV50" s="52">
        <f>求节点(G$21:G$27,$M$21:$M$27,$AR50)*$AS50*其他调用!X49</f>
        <v>37.31079296056221</v>
      </c>
      <c r="AW50" s="52">
        <f>求节点(H$21:H$27,$M$21:$M$27,$AR50)*$AS50*其他调用!Y49</f>
        <v>37.475612054072364</v>
      </c>
      <c r="AX50" s="52">
        <f>求节点(I$21:I$27,$M$21:$M$27,$AR50)*$AS50*其他调用!Z49</f>
        <v>21.580376730973768</v>
      </c>
      <c r="AY50" s="52">
        <f>求节点(E$21:E$27,$N$21:$N$27,$AR50)*$AS50*其他调用!V49</f>
        <v>0</v>
      </c>
      <c r="AZ50" s="52">
        <f>求节点(F$21:F$27,$N$21:$N$27,$AR50)*$AS50*其他调用!W49</f>
        <v>0</v>
      </c>
      <c r="BA50" s="52">
        <f>求节点(G$21:G$27,$N$21:$N$27,$AR50)*$AS50*其他调用!X49</f>
        <v>0</v>
      </c>
      <c r="BB50" s="52">
        <f>求节点(H$21:H$27,$N$21:$N$27,$AR50)*$AS50*其他调用!Y49</f>
        <v>0</v>
      </c>
      <c r="BC50" s="52">
        <f>求节点(I$21:I$27,$N$21:$N$27,$AR50)*$AS50*其他调用!Z49</f>
        <v>0</v>
      </c>
      <c r="BD50" s="52">
        <f>求节点(E$21:E$27,$O$21:$O$27,$AR50)*$AS50*其他调用!V49</f>
        <v>0</v>
      </c>
      <c r="BE50" s="52">
        <f>求节点(F$21:F$27,$O$21:$O$27,$AR50)*$AS50*其他调用!W49</f>
        <v>0</v>
      </c>
      <c r="BF50" s="52">
        <f>求节点(G$21:G$27,$O$21:$O$27,$AR50)*$AS50*其他调用!X49</f>
        <v>0</v>
      </c>
      <c r="BG50" s="52">
        <f>求节点(H$21:H$27,$O$21:$O$27,$AR50)*$AS50*其他调用!Y49</f>
        <v>0</v>
      </c>
      <c r="BH50" s="52">
        <f>求节点(I$21:I$27,$O$21:$O$27,$AR50)*$AS50*其他调用!Z49</f>
        <v>0</v>
      </c>
      <c r="BK50" s="31">
        <v>46</v>
      </c>
      <c r="BL50" s="31">
        <f>SUM(AT$5:AT50)</f>
        <v>123.88337351458695</v>
      </c>
      <c r="BM50" s="31">
        <f>SUM(AU$5:AU50)</f>
        <v>177.48255584711936</v>
      </c>
      <c r="BN50" s="31">
        <f>SUM(AV$5:AV50)</f>
        <v>244.34294893003744</v>
      </c>
      <c r="BO50" s="31">
        <f>SUM(AW$5:AW50)</f>
        <v>267.87545517773293</v>
      </c>
      <c r="BP50" s="31">
        <f>SUM(AX$5:AX50)</f>
        <v>164.16898099460121</v>
      </c>
      <c r="BQ50" s="31">
        <f>SUM(AY$5:AY50)</f>
        <v>0</v>
      </c>
      <c r="BR50" s="31">
        <f>SUM(AZ$5:AZ50)</f>
        <v>0</v>
      </c>
      <c r="BS50" s="31">
        <f>SUM(BA$5:BA50)</f>
        <v>0</v>
      </c>
      <c r="BT50" s="31">
        <f>SUM(BB$5:BB50)</f>
        <v>0</v>
      </c>
      <c r="BU50" s="31">
        <f>SUM(BC$5:BC50)</f>
        <v>0</v>
      </c>
      <c r="BV50" s="31">
        <f>SUM(BD$5:BD50)</f>
        <v>0</v>
      </c>
      <c r="BW50" s="31">
        <f>SUM(BE$5:BE50)</f>
        <v>0</v>
      </c>
      <c r="BX50" s="31">
        <f>SUM(BF$5:BF50)</f>
        <v>0</v>
      </c>
      <c r="BY50" s="31">
        <f>SUM(BG$5:BG50)</f>
        <v>0</v>
      </c>
      <c r="BZ50" s="31">
        <f>SUM(BH$5:BH50)</f>
        <v>0</v>
      </c>
      <c r="CC50" s="41">
        <v>46</v>
      </c>
      <c r="CD50" s="41">
        <f t="shared" si="22"/>
        <v>5.5747518081564129</v>
      </c>
      <c r="CE50" s="41">
        <f t="shared" si="23"/>
        <v>7.9867150131203717</v>
      </c>
      <c r="CF50" s="41">
        <f t="shared" si="24"/>
        <v>10.995432701851685</v>
      </c>
      <c r="CG50" s="41">
        <f t="shared" si="25"/>
        <v>12.054395482997982</v>
      </c>
      <c r="CH50" s="41">
        <f t="shared" si="26"/>
        <v>7.387604144757054</v>
      </c>
      <c r="CI50" s="41">
        <f t="shared" si="27"/>
        <v>0.61941686757293479</v>
      </c>
      <c r="CJ50" s="41">
        <f t="shared" si="28"/>
        <v>0.88741277923559692</v>
      </c>
      <c r="CK50" s="41">
        <f t="shared" si="29"/>
        <v>1.2217147446501873</v>
      </c>
      <c r="CL50" s="41">
        <f t="shared" si="30"/>
        <v>1.3393772758886648</v>
      </c>
      <c r="CM50" s="41">
        <f t="shared" si="31"/>
        <v>0.82084490497300622</v>
      </c>
      <c r="CN50" s="41">
        <f t="shared" si="32"/>
        <v>0</v>
      </c>
      <c r="CO50" s="41">
        <f t="shared" si="33"/>
        <v>0</v>
      </c>
      <c r="CP50" s="41">
        <f t="shared" si="34"/>
        <v>0</v>
      </c>
      <c r="CQ50" s="41">
        <f t="shared" si="35"/>
        <v>0</v>
      </c>
      <c r="CR50" s="41">
        <f t="shared" si="36"/>
        <v>0</v>
      </c>
    </row>
    <row r="51" spans="4:96" x14ac:dyDescent="0.15">
      <c r="W51" s="117">
        <v>1.05</v>
      </c>
      <c r="X51" s="31">
        <v>47</v>
      </c>
      <c r="Y51" s="113">
        <f t="shared" si="17"/>
        <v>3.9623884369303344</v>
      </c>
      <c r="Z51" s="42">
        <f t="shared" si="20"/>
        <v>0.12</v>
      </c>
      <c r="AA51" s="113">
        <f>$Y51*$Z51*其他调用!V50</f>
        <v>38.071326029863449</v>
      </c>
      <c r="AB51" s="113">
        <f>$Y51*$Z51*其他调用!W50</f>
        <v>48.198215881631725</v>
      </c>
      <c r="AC51" s="113">
        <f>$Y51*$Z51*其他调用!X50</f>
        <v>53.630697452821536</v>
      </c>
      <c r="AD51" s="113">
        <f>$Y51*$Z51*其他调用!Y50</f>
        <v>44.57662568702829</v>
      </c>
      <c r="AE51" s="113">
        <f>$Y51*$Z51*其他调用!Z50</f>
        <v>23.906090467366159</v>
      </c>
      <c r="AH51" s="31">
        <v>47</v>
      </c>
      <c r="AI51" s="31">
        <f>SUM(AA$5:AA51)</f>
        <v>340.43476482914252</v>
      </c>
      <c r="AJ51" s="31">
        <f>SUM(AB$5:AB51)</f>
        <v>433.17109556103418</v>
      </c>
      <c r="AK51" s="31">
        <f>SUM(AC$5:AC51)</f>
        <v>484.82957135425465</v>
      </c>
      <c r="AL51" s="31">
        <f>SUM(AD$5:AD51)</f>
        <v>406.44749018064749</v>
      </c>
      <c r="AM51" s="31">
        <f>SUM(AE$5:AE51)</f>
        <v>226.04542173077323</v>
      </c>
      <c r="AR51" s="31">
        <v>47</v>
      </c>
      <c r="AS51" s="42">
        <f t="shared" si="21"/>
        <v>8.0000000000000016E-2</v>
      </c>
      <c r="AT51" s="52">
        <f>求节点(E$21:E$27,$M$21:$M$27,$AR51)*$AS51*其他调用!V50</f>
        <v>25.621803035112393</v>
      </c>
      <c r="AU51" s="52">
        <f>求节点(F$21:F$27,$M$21:$M$27,$AR51)*$AS51*其他调用!W50</f>
        <v>34.239210584907383</v>
      </c>
      <c r="AV51" s="52">
        <f>求节点(G$21:G$27,$M$21:$M$27,$AR51)*$AS51*其他调用!X50</f>
        <v>42.108708269745293</v>
      </c>
      <c r="AW51" s="52">
        <f>求节点(H$21:H$27,$M$21:$M$27,$AR51)*$AS51*其他调用!Y50</f>
        <v>41.666438382694864</v>
      </c>
      <c r="AX51" s="52">
        <f>求节点(I$21:I$27,$M$21:$M$27,$AR51)*$AS51*其他调用!Z50</f>
        <v>24.133010529261725</v>
      </c>
      <c r="AY51" s="52">
        <f>求节点(E$21:E$27,$N$21:$N$27,$AR51)*$AS51*其他调用!V50</f>
        <v>0</v>
      </c>
      <c r="AZ51" s="52">
        <f>求节点(F$21:F$27,$N$21:$N$27,$AR51)*$AS51*其他调用!W50</f>
        <v>0</v>
      </c>
      <c r="BA51" s="52">
        <f>求节点(G$21:G$27,$N$21:$N$27,$AR51)*$AS51*其他调用!X50</f>
        <v>0</v>
      </c>
      <c r="BB51" s="52">
        <f>求节点(H$21:H$27,$N$21:$N$27,$AR51)*$AS51*其他调用!Y50</f>
        <v>0</v>
      </c>
      <c r="BC51" s="52">
        <f>求节点(I$21:I$27,$N$21:$N$27,$AR51)*$AS51*其他调用!Z50</f>
        <v>0</v>
      </c>
      <c r="BD51" s="52">
        <f>求节点(E$21:E$27,$O$21:$O$27,$AR51)*$AS51*其他调用!V50</f>
        <v>0</v>
      </c>
      <c r="BE51" s="52">
        <f>求节点(F$21:F$27,$O$21:$O$27,$AR51)*$AS51*其他调用!W50</f>
        <v>0</v>
      </c>
      <c r="BF51" s="52">
        <f>求节点(G$21:G$27,$O$21:$O$27,$AR51)*$AS51*其他调用!X50</f>
        <v>0</v>
      </c>
      <c r="BG51" s="52">
        <f>求节点(H$21:H$27,$O$21:$O$27,$AR51)*$AS51*其他调用!Y50</f>
        <v>0</v>
      </c>
      <c r="BH51" s="52">
        <f>求节点(I$21:I$27,$O$21:$O$27,$AR51)*$AS51*其他调用!Z50</f>
        <v>0</v>
      </c>
      <c r="BK51" s="31">
        <v>47</v>
      </c>
      <c r="BL51" s="31">
        <f>SUM(AT$5:AT51)</f>
        <v>149.50517654969934</v>
      </c>
      <c r="BM51" s="31">
        <f>SUM(AU$5:AU51)</f>
        <v>211.72176643202675</v>
      </c>
      <c r="BN51" s="31">
        <f>SUM(AV$5:AV51)</f>
        <v>286.45165719978274</v>
      </c>
      <c r="BO51" s="31">
        <f>SUM(AW$5:AW51)</f>
        <v>309.54189356042781</v>
      </c>
      <c r="BP51" s="31">
        <f>SUM(AX$5:AX51)</f>
        <v>188.30199152386294</v>
      </c>
      <c r="BQ51" s="31">
        <f>SUM(AY$5:AY51)</f>
        <v>0</v>
      </c>
      <c r="BR51" s="31">
        <f>SUM(AZ$5:AZ51)</f>
        <v>0</v>
      </c>
      <c r="BS51" s="31">
        <f>SUM(BA$5:BA51)</f>
        <v>0</v>
      </c>
      <c r="BT51" s="31">
        <f>SUM(BB$5:BB51)</f>
        <v>0</v>
      </c>
      <c r="BU51" s="31">
        <f>SUM(BC$5:BC51)</f>
        <v>0</v>
      </c>
      <c r="BV51" s="31">
        <f>SUM(BD$5:BD51)</f>
        <v>0</v>
      </c>
      <c r="BW51" s="31">
        <f>SUM(BE$5:BE51)</f>
        <v>0</v>
      </c>
      <c r="BX51" s="31">
        <f>SUM(BF$5:BF51)</f>
        <v>0</v>
      </c>
      <c r="BY51" s="31">
        <f>SUM(BG$5:BG51)</f>
        <v>0</v>
      </c>
      <c r="BZ51" s="31">
        <f>SUM(BH$5:BH51)</f>
        <v>0</v>
      </c>
      <c r="CC51" s="41">
        <v>47</v>
      </c>
      <c r="CD51" s="41">
        <f t="shared" si="22"/>
        <v>6.7277329447364709</v>
      </c>
      <c r="CE51" s="41">
        <f t="shared" si="23"/>
        <v>9.5274794894412036</v>
      </c>
      <c r="CF51" s="41">
        <f t="shared" si="24"/>
        <v>12.890324573990224</v>
      </c>
      <c r="CG51" s="41">
        <f t="shared" si="25"/>
        <v>13.929385210219252</v>
      </c>
      <c r="CH51" s="41">
        <f t="shared" si="26"/>
        <v>8.4735896185738326</v>
      </c>
      <c r="CI51" s="41">
        <f t="shared" si="27"/>
        <v>0.74752588274849674</v>
      </c>
      <c r="CJ51" s="41">
        <f t="shared" si="28"/>
        <v>1.0586088321601337</v>
      </c>
      <c r="CK51" s="41">
        <f t="shared" si="29"/>
        <v>1.4322582859989139</v>
      </c>
      <c r="CL51" s="41">
        <f t="shared" si="30"/>
        <v>1.547709467802139</v>
      </c>
      <c r="CM51" s="41">
        <f t="shared" si="31"/>
        <v>0.94150995761931477</v>
      </c>
      <c r="CN51" s="41">
        <f t="shared" si="32"/>
        <v>0</v>
      </c>
      <c r="CO51" s="41">
        <f t="shared" si="33"/>
        <v>0</v>
      </c>
      <c r="CP51" s="41">
        <f t="shared" si="34"/>
        <v>0</v>
      </c>
      <c r="CQ51" s="41">
        <f t="shared" si="35"/>
        <v>0</v>
      </c>
      <c r="CR51" s="41">
        <f t="shared" si="36"/>
        <v>0</v>
      </c>
    </row>
    <row r="52" spans="4:96" x14ac:dyDescent="0.15">
      <c r="W52" s="117">
        <v>1.05</v>
      </c>
      <c r="X52" s="31">
        <v>48</v>
      </c>
      <c r="Y52" s="113">
        <f t="shared" si="17"/>
        <v>4.1605078587768514</v>
      </c>
      <c r="Z52" s="42">
        <f t="shared" si="20"/>
        <v>0.12</v>
      </c>
      <c r="AA52" s="113">
        <f>$Y52*$Z52*其他调用!V51</f>
        <v>42.844028768493338</v>
      </c>
      <c r="AB52" s="113">
        <f>$Y52*$Z52*其他调用!W51</f>
        <v>53.592125714718648</v>
      </c>
      <c r="AC52" s="113">
        <f>$Y52*$Z52*其他调用!X51</f>
        <v>60.545188770561701</v>
      </c>
      <c r="AD52" s="113">
        <f>$Y52*$Z52*其他调用!Y51</f>
        <v>48.013463018821938</v>
      </c>
      <c r="AE52" s="113">
        <f>$Y52*$Z52*其他调用!Z51</f>
        <v>26.63538522873549</v>
      </c>
      <c r="AH52" s="31">
        <v>48</v>
      </c>
      <c r="AI52" s="31">
        <f>SUM(AA$5:AA52)</f>
        <v>383.27879359763585</v>
      </c>
      <c r="AJ52" s="31">
        <f>SUM(AB$5:AB52)</f>
        <v>486.76322127575281</v>
      </c>
      <c r="AK52" s="31">
        <f>SUM(AC$5:AC52)</f>
        <v>545.37476012481636</v>
      </c>
      <c r="AL52" s="31">
        <f>SUM(AD$5:AD52)</f>
        <v>454.46095319946943</v>
      </c>
      <c r="AM52" s="31">
        <f>SUM(AE$5:AE52)</f>
        <v>252.68080695950871</v>
      </c>
      <c r="AR52" s="31">
        <v>48</v>
      </c>
      <c r="AS52" s="42">
        <f t="shared" si="21"/>
        <v>8.0000000000000016E-2</v>
      </c>
      <c r="AT52" s="52">
        <f>求节点(E$21:E$27,$M$21:$M$27,$AR52)*$AS52*其他调用!V51</f>
        <v>28.986366808440987</v>
      </c>
      <c r="AU52" s="52">
        <f>求节点(F$21:F$27,$M$21:$M$27,$AR52)*$AS52*其他调用!W51</f>
        <v>38.16637030601585</v>
      </c>
      <c r="AV52" s="52">
        <f>求节点(G$21:G$27,$M$21:$M$27,$AR52)*$AS52*其他调用!X51</f>
        <v>47.429898897503065</v>
      </c>
      <c r="AW52" s="52">
        <f>求节点(H$21:H$27,$M$21:$M$27,$AR52)*$AS52*其他调用!Y51</f>
        <v>44.451483501641675</v>
      </c>
      <c r="AX52" s="52">
        <f>求节点(I$21:I$27,$M$21:$M$27,$AR52)*$AS52*其他调用!Z51</f>
        <v>23.047038986158231</v>
      </c>
      <c r="AY52" s="52">
        <f>求节点(E$21:E$27,$N$21:$N$27,$AR52)*$AS52*其他调用!V51</f>
        <v>0</v>
      </c>
      <c r="AZ52" s="52">
        <f>求节点(F$21:F$27,$N$21:$N$27,$AR52)*$AS52*其他调用!W51</f>
        <v>0</v>
      </c>
      <c r="BA52" s="52">
        <f>求节点(G$21:G$27,$N$21:$N$27,$AR52)*$AS52*其他调用!X51</f>
        <v>0</v>
      </c>
      <c r="BB52" s="52">
        <f>求节点(H$21:H$27,$N$21:$N$27,$AR52)*$AS52*其他调用!Y51</f>
        <v>0</v>
      </c>
      <c r="BC52" s="52">
        <f>求节点(I$21:I$27,$N$21:$N$27,$AR52)*$AS52*其他调用!Z51</f>
        <v>0.85359403652437893</v>
      </c>
      <c r="BD52" s="52">
        <f>求节点(E$21:E$27,$O$21:$O$27,$AR52)*$AS52*其他调用!V51</f>
        <v>0</v>
      </c>
      <c r="BE52" s="52">
        <f>求节点(F$21:F$27,$O$21:$O$27,$AR52)*$AS52*其他调用!W51</f>
        <v>0</v>
      </c>
      <c r="BF52" s="52">
        <f>求节点(G$21:G$27,$O$21:$O$27,$AR52)*$AS52*其他调用!X51</f>
        <v>0</v>
      </c>
      <c r="BG52" s="52">
        <f>求节点(H$21:H$27,$O$21:$O$27,$AR52)*$AS52*其他调用!Y51</f>
        <v>0</v>
      </c>
      <c r="BH52" s="52">
        <f>求节点(I$21:I$27,$O$21:$O$27,$AR52)*$AS52*其他调用!Z51</f>
        <v>0</v>
      </c>
      <c r="BK52" s="31">
        <v>48</v>
      </c>
      <c r="BL52" s="31">
        <f>SUM(AT$5:AT52)</f>
        <v>178.49154335814032</v>
      </c>
      <c r="BM52" s="31">
        <f>SUM(AU$5:AU52)</f>
        <v>249.88813673804259</v>
      </c>
      <c r="BN52" s="31">
        <f>SUM(AV$5:AV52)</f>
        <v>333.8815560972858</v>
      </c>
      <c r="BO52" s="31">
        <f>SUM(AW$5:AW52)</f>
        <v>353.9933770620695</v>
      </c>
      <c r="BP52" s="31">
        <f>SUM(AX$5:AX52)</f>
        <v>211.34903051002118</v>
      </c>
      <c r="BQ52" s="31">
        <f>SUM(AY$5:AY52)</f>
        <v>0</v>
      </c>
      <c r="BR52" s="31">
        <f>SUM(AZ$5:AZ52)</f>
        <v>0</v>
      </c>
      <c r="BS52" s="31">
        <f>SUM(BA$5:BA52)</f>
        <v>0</v>
      </c>
      <c r="BT52" s="31">
        <f>SUM(BB$5:BB52)</f>
        <v>0</v>
      </c>
      <c r="BU52" s="31">
        <f>SUM(BC$5:BC52)</f>
        <v>0.85359403652437893</v>
      </c>
      <c r="BV52" s="31">
        <f>SUM(BD$5:BD52)</f>
        <v>0</v>
      </c>
      <c r="BW52" s="31">
        <f>SUM(BE$5:BE52)</f>
        <v>0</v>
      </c>
      <c r="BX52" s="31">
        <f>SUM(BF$5:BF52)</f>
        <v>0</v>
      </c>
      <c r="BY52" s="31">
        <f>SUM(BG$5:BG52)</f>
        <v>0</v>
      </c>
      <c r="BZ52" s="31">
        <f>SUM(BH$5:BH52)</f>
        <v>0</v>
      </c>
      <c r="CC52" s="41">
        <v>48</v>
      </c>
      <c r="CD52" s="41">
        <f t="shared" si="22"/>
        <v>8.0321194511163139</v>
      </c>
      <c r="CE52" s="41">
        <f t="shared" si="23"/>
        <v>11.244966153211916</v>
      </c>
      <c r="CF52" s="41">
        <f t="shared" si="24"/>
        <v>15.02467002437786</v>
      </c>
      <c r="CG52" s="41">
        <f t="shared" si="25"/>
        <v>15.929701967793127</v>
      </c>
      <c r="CH52" s="41">
        <f t="shared" si="26"/>
        <v>9.5405821642293063</v>
      </c>
      <c r="CI52" s="41">
        <f t="shared" si="27"/>
        <v>0.89245771679070152</v>
      </c>
      <c r="CJ52" s="41">
        <f t="shared" si="28"/>
        <v>1.249440683690213</v>
      </c>
      <c r="CK52" s="41">
        <f t="shared" si="29"/>
        <v>1.6694077804864289</v>
      </c>
      <c r="CL52" s="41">
        <f t="shared" si="30"/>
        <v>1.7699668853103474</v>
      </c>
      <c r="CM52" s="41">
        <f t="shared" si="31"/>
        <v>1.0695490630979716</v>
      </c>
      <c r="CN52" s="41">
        <f t="shared" si="32"/>
        <v>0</v>
      </c>
      <c r="CO52" s="41">
        <f t="shared" si="33"/>
        <v>0</v>
      </c>
      <c r="CP52" s="41">
        <f t="shared" si="34"/>
        <v>0</v>
      </c>
      <c r="CQ52" s="41">
        <f t="shared" si="35"/>
        <v>0</v>
      </c>
      <c r="CR52" s="41">
        <f t="shared" si="36"/>
        <v>0</v>
      </c>
    </row>
    <row r="53" spans="4:96" x14ac:dyDescent="0.15">
      <c r="W53" s="117">
        <v>1.05</v>
      </c>
      <c r="X53" s="31">
        <v>49</v>
      </c>
      <c r="Y53" s="113">
        <f t="shared" si="17"/>
        <v>4.3685332517156938</v>
      </c>
      <c r="Z53" s="42">
        <f t="shared" si="20"/>
        <v>0.12</v>
      </c>
      <c r="AA53" s="113">
        <f>$Y53*$Z53*其他调用!V52</f>
        <v>48.215047715323301</v>
      </c>
      <c r="AB53" s="113">
        <f>$Y53*$Z53*其他调用!W52</f>
        <v>61.149993806305886</v>
      </c>
      <c r="AC53" s="113">
        <f>$Y53*$Z53*其他调用!X52</f>
        <v>66.306150144112536</v>
      </c>
      <c r="AD53" s="113">
        <f>$Y53*$Z53*其他调用!Y52</f>
        <v>53.931126214607318</v>
      </c>
      <c r="AE53" s="113">
        <f>$Y53*$Z53*其他调用!Z52</f>
        <v>31.687651260910133</v>
      </c>
      <c r="AH53" s="31">
        <v>49</v>
      </c>
      <c r="AI53" s="31">
        <f>SUM(AA$5:AA53)</f>
        <v>431.49384131295915</v>
      </c>
      <c r="AJ53" s="31">
        <f>SUM(AB$5:AB53)</f>
        <v>547.91321508205874</v>
      </c>
      <c r="AK53" s="31">
        <f>SUM(AC$5:AC53)</f>
        <v>611.68091026892887</v>
      </c>
      <c r="AL53" s="31">
        <f>SUM(AD$5:AD53)</f>
        <v>508.39207941407676</v>
      </c>
      <c r="AM53" s="31">
        <f>SUM(AE$5:AE53)</f>
        <v>284.36845822041886</v>
      </c>
      <c r="AR53" s="31">
        <v>49</v>
      </c>
      <c r="AS53" s="42">
        <f t="shared" si="21"/>
        <v>8.0000000000000016E-2</v>
      </c>
      <c r="AT53" s="52">
        <f>求节点(E$21:E$27,$M$21:$M$27,$AR53)*$AS53*其他调用!V52</f>
        <v>32.701914442768292</v>
      </c>
      <c r="AU53" s="52">
        <f>求节点(F$21:F$27,$M$21:$M$27,$AR53)*$AS53*其他调用!W52</f>
        <v>43.548810141357507</v>
      </c>
      <c r="AV53" s="52">
        <f>求节点(G$21:G$27,$M$21:$M$27,$AR53)*$AS53*其他调用!X52</f>
        <v>51.71806053415856</v>
      </c>
      <c r="AW53" s="52">
        <f>求节点(H$21:H$27,$M$21:$M$27,$AR53)*$AS53*其他调用!Y52</f>
        <v>49.381449660181907</v>
      </c>
      <c r="AX53" s="52">
        <f>求节点(I$21:I$27,$M$21:$M$27,$AR53)*$AS53*其他调用!Z52</f>
        <v>23.211562827200297</v>
      </c>
      <c r="AY53" s="52">
        <f>求节点(E$21:E$27,$N$21:$N$27,$AR53)*$AS53*其他调用!V52</f>
        <v>0</v>
      </c>
      <c r="AZ53" s="52">
        <f>求节点(F$21:F$27,$N$21:$N$27,$AR53)*$AS53*其他调用!W52</f>
        <v>0</v>
      </c>
      <c r="BA53" s="52">
        <f>求节点(G$21:G$27,$N$21:$N$27,$AR53)*$AS53*其他调用!X52</f>
        <v>0</v>
      </c>
      <c r="BB53" s="52">
        <f>求节点(H$21:H$27,$N$21:$N$27,$AR53)*$AS53*其他调用!Y52</f>
        <v>0</v>
      </c>
      <c r="BC53" s="52">
        <f>求节点(I$21:I$27,$N$21:$N$27,$AR53)*$AS53*其他调用!Z52</f>
        <v>1.9342969022666916</v>
      </c>
      <c r="BD53" s="52">
        <f>求节点(E$21:E$27,$O$21:$O$27,$AR53)*$AS53*其他调用!V52</f>
        <v>0</v>
      </c>
      <c r="BE53" s="52">
        <f>求节点(F$21:F$27,$O$21:$O$27,$AR53)*$AS53*其他调用!W52</f>
        <v>0</v>
      </c>
      <c r="BF53" s="52">
        <f>求节点(G$21:G$27,$O$21:$O$27,$AR53)*$AS53*其他调用!X52</f>
        <v>0</v>
      </c>
      <c r="BG53" s="52">
        <f>求节点(H$21:H$27,$O$21:$O$27,$AR53)*$AS53*其他调用!Y52</f>
        <v>0</v>
      </c>
      <c r="BH53" s="52">
        <f>求节点(I$21:I$27,$O$21:$O$27,$AR53)*$AS53*其他调用!Z52</f>
        <v>0</v>
      </c>
      <c r="BK53" s="31">
        <v>49</v>
      </c>
      <c r="BL53" s="31">
        <f>SUM(AT$5:AT53)</f>
        <v>211.19345780090862</v>
      </c>
      <c r="BM53" s="31">
        <f>SUM(AU$5:AU53)</f>
        <v>293.43694687940012</v>
      </c>
      <c r="BN53" s="31">
        <f>SUM(AV$5:AV53)</f>
        <v>385.59961663144435</v>
      </c>
      <c r="BO53" s="31">
        <f>SUM(AW$5:AW53)</f>
        <v>403.37482672225138</v>
      </c>
      <c r="BP53" s="31">
        <f>SUM(AX$5:AX53)</f>
        <v>234.56059333722146</v>
      </c>
      <c r="BQ53" s="31">
        <f>SUM(AY$5:AY53)</f>
        <v>0</v>
      </c>
      <c r="BR53" s="31">
        <f>SUM(AZ$5:AZ53)</f>
        <v>0</v>
      </c>
      <c r="BS53" s="31">
        <f>SUM(BA$5:BA53)</f>
        <v>0</v>
      </c>
      <c r="BT53" s="31">
        <f>SUM(BB$5:BB53)</f>
        <v>0</v>
      </c>
      <c r="BU53" s="31">
        <f>SUM(BC$5:BC53)</f>
        <v>2.7878909387910706</v>
      </c>
      <c r="BV53" s="31">
        <f>SUM(BD$5:BD53)</f>
        <v>0</v>
      </c>
      <c r="BW53" s="31">
        <f>SUM(BE$5:BE53)</f>
        <v>0</v>
      </c>
      <c r="BX53" s="31">
        <f>SUM(BF$5:BF53)</f>
        <v>0</v>
      </c>
      <c r="BY53" s="31">
        <f>SUM(BG$5:BG53)</f>
        <v>0</v>
      </c>
      <c r="BZ53" s="31">
        <f>SUM(BH$5:BH53)</f>
        <v>0</v>
      </c>
      <c r="CC53" s="41">
        <v>49</v>
      </c>
      <c r="CD53" s="41">
        <f t="shared" si="22"/>
        <v>9.5037056010408882</v>
      </c>
      <c r="CE53" s="41">
        <f t="shared" si="23"/>
        <v>13.204662609573006</v>
      </c>
      <c r="CF53" s="41">
        <f t="shared" si="24"/>
        <v>17.351982748414997</v>
      </c>
      <c r="CG53" s="41">
        <f t="shared" si="25"/>
        <v>18.151867202501315</v>
      </c>
      <c r="CH53" s="41">
        <f t="shared" si="26"/>
        <v>10.652802883032653</v>
      </c>
      <c r="CI53" s="41">
        <f t="shared" si="27"/>
        <v>1.0559672890045433</v>
      </c>
      <c r="CJ53" s="41">
        <f t="shared" si="28"/>
        <v>1.4671847343970008</v>
      </c>
      <c r="CK53" s="41">
        <f t="shared" si="29"/>
        <v>1.9279980831572217</v>
      </c>
      <c r="CL53" s="41">
        <f t="shared" si="30"/>
        <v>2.0168741336112572</v>
      </c>
      <c r="CM53" s="41">
        <f t="shared" si="31"/>
        <v>1.2146213307679736</v>
      </c>
      <c r="CN53" s="41">
        <f t="shared" si="32"/>
        <v>0</v>
      </c>
      <c r="CO53" s="41">
        <f t="shared" si="33"/>
        <v>0</v>
      </c>
      <c r="CP53" s="41">
        <f t="shared" si="34"/>
        <v>0</v>
      </c>
      <c r="CQ53" s="41">
        <f t="shared" si="35"/>
        <v>0</v>
      </c>
      <c r="CR53" s="41">
        <f t="shared" si="36"/>
        <v>0</v>
      </c>
    </row>
    <row r="54" spans="4:96" x14ac:dyDescent="0.15">
      <c r="W54" s="117">
        <v>1.05</v>
      </c>
      <c r="X54" s="31">
        <v>50</v>
      </c>
      <c r="Y54" s="113">
        <f t="shared" si="17"/>
        <v>4.5869599143014783</v>
      </c>
      <c r="Z54" s="42">
        <f t="shared" si="20"/>
        <v>0.12</v>
      </c>
      <c r="AA54" s="113">
        <f>$Y54*$Z54*其他调用!V53</f>
        <v>54.259389068014848</v>
      </c>
      <c r="AB54" s="113">
        <f>$Y54*$Z54*其他调用!W53</f>
        <v>68.922045322096906</v>
      </c>
      <c r="AC54" s="113">
        <f>$Y54*$Z54*其他调用!X53</f>
        <v>74.429842372112077</v>
      </c>
      <c r="AD54" s="113">
        <f>$Y54*$Z54*其他调用!Y53</f>
        <v>63.403625955625095</v>
      </c>
      <c r="AE54" s="113">
        <f>$Y54*$Z54*其他调用!Z53</f>
        <v>36.33798611477085</v>
      </c>
      <c r="AH54" s="31">
        <v>50</v>
      </c>
      <c r="AI54" s="31">
        <f>SUM(AA$5:AA54)</f>
        <v>485.753230380974</v>
      </c>
      <c r="AJ54" s="31">
        <f>SUM(AB$5:AB54)</f>
        <v>616.83526040415563</v>
      </c>
      <c r="AK54" s="31">
        <f>SUM(AC$5:AC54)</f>
        <v>686.1107526410409</v>
      </c>
      <c r="AL54" s="31">
        <f>SUM(AD$5:AD54)</f>
        <v>571.79570536970186</v>
      </c>
      <c r="AM54" s="31">
        <f>SUM(AE$5:AE54)</f>
        <v>320.7064443351897</v>
      </c>
      <c r="AR54" s="31">
        <v>50</v>
      </c>
      <c r="AS54" s="42">
        <f t="shared" si="21"/>
        <v>8.0000000000000016E-2</v>
      </c>
      <c r="AT54" s="52">
        <f>求节点(E$21:E$27,$M$21:$M$27,$AR54)*$AS54*其他调用!V53</f>
        <v>36.801496277585947</v>
      </c>
      <c r="AU54" s="52">
        <f>求节点(F$21:F$27,$M$21:$M$27,$AR54)*$AS54*其他调用!W53</f>
        <v>48.972482554894775</v>
      </c>
      <c r="AV54" s="52">
        <f>求节点(G$21:G$27,$M$21:$M$27,$AR54)*$AS54*其他调用!X53</f>
        <v>57.693863580577613</v>
      </c>
      <c r="AW54" s="52">
        <f>求节点(H$21:H$27,$M$21:$M$27,$AR54)*$AS54*其他调用!Y53</f>
        <v>49.761292382039436</v>
      </c>
      <c r="AX54" s="52">
        <f>求节点(I$21:I$27,$M$21:$M$27,$AR54)*$AS54*其他调用!Z53</f>
        <v>22.181654739150424</v>
      </c>
      <c r="AY54" s="52">
        <f>求节点(E$21:E$27,$N$21:$N$27,$AR54)*$AS54*其他调用!V53</f>
        <v>0</v>
      </c>
      <c r="AZ54" s="52">
        <f>求节点(F$21:F$27,$N$21:$N$27,$AR54)*$AS54*其他调用!W53</f>
        <v>0</v>
      </c>
      <c r="BA54" s="52">
        <f>求节点(G$21:G$27,$N$21:$N$27,$AR54)*$AS54*其他调用!X53</f>
        <v>0</v>
      </c>
      <c r="BB54" s="52">
        <f>求节点(H$21:H$27,$N$21:$N$27,$AR54)*$AS54*其他调用!Y53</f>
        <v>1.8430108289644236</v>
      </c>
      <c r="BC54" s="52">
        <f>求节点(I$21:I$27,$N$21:$N$27,$AR54)*$AS54*其他调用!Z53</f>
        <v>3.1688078198786327</v>
      </c>
      <c r="BD54" s="52">
        <f>求节点(E$21:E$27,$O$21:$O$27,$AR54)*$AS54*其他调用!V53</f>
        <v>0</v>
      </c>
      <c r="BE54" s="52">
        <f>求节点(F$21:F$27,$O$21:$O$27,$AR54)*$AS54*其他调用!W53</f>
        <v>0</v>
      </c>
      <c r="BF54" s="52">
        <f>求节点(G$21:G$27,$O$21:$O$27,$AR54)*$AS54*其他调用!X53</f>
        <v>0</v>
      </c>
      <c r="BG54" s="52">
        <f>求节点(H$21:H$27,$O$21:$O$27,$AR54)*$AS54*其他调用!Y53</f>
        <v>0</v>
      </c>
      <c r="BH54" s="52">
        <f>求节点(I$21:I$27,$O$21:$O$27,$AR54)*$AS54*其他调用!Z53</f>
        <v>0</v>
      </c>
      <c r="BK54" s="31">
        <v>50</v>
      </c>
      <c r="BL54" s="31">
        <f>SUM(AT$5:AT54)</f>
        <v>247.99495407849457</v>
      </c>
      <c r="BM54" s="31">
        <f>SUM(AU$5:AU54)</f>
        <v>342.40942943429491</v>
      </c>
      <c r="BN54" s="31">
        <f>SUM(AV$5:AV54)</f>
        <v>443.29348021202196</v>
      </c>
      <c r="BO54" s="31">
        <f>SUM(AW$5:AW54)</f>
        <v>453.1361191042908</v>
      </c>
      <c r="BP54" s="31">
        <f>SUM(AX$5:AX54)</f>
        <v>256.74224807637188</v>
      </c>
      <c r="BQ54" s="31">
        <f>SUM(AY$5:AY54)</f>
        <v>0</v>
      </c>
      <c r="BR54" s="31">
        <f>SUM(AZ$5:AZ54)</f>
        <v>0</v>
      </c>
      <c r="BS54" s="31">
        <f>SUM(BA$5:BA54)</f>
        <v>0</v>
      </c>
      <c r="BT54" s="31">
        <f>SUM(BB$5:BB54)</f>
        <v>1.8430108289644236</v>
      </c>
      <c r="BU54" s="31">
        <f>SUM(BC$5:BC54)</f>
        <v>5.9566987586697033</v>
      </c>
      <c r="BV54" s="31">
        <f>SUM(BD$5:BD54)</f>
        <v>0</v>
      </c>
      <c r="BW54" s="31">
        <f>SUM(BE$5:BE54)</f>
        <v>0</v>
      </c>
      <c r="BX54" s="31">
        <f>SUM(BF$5:BF54)</f>
        <v>0</v>
      </c>
      <c r="BY54" s="31">
        <f>SUM(BG$5:BG54)</f>
        <v>0</v>
      </c>
      <c r="BZ54" s="31">
        <f>SUM(BH$5:BH54)</f>
        <v>0</v>
      </c>
      <c r="CC54" s="41">
        <v>50</v>
      </c>
      <c r="CD54" s="41">
        <f t="shared" si="22"/>
        <v>11.159772933532256</v>
      </c>
      <c r="CE54" s="41">
        <f t="shared" si="23"/>
        <v>15.408424324543271</v>
      </c>
      <c r="CF54" s="41">
        <f t="shared" si="24"/>
        <v>19.948206609540989</v>
      </c>
      <c r="CG54" s="41">
        <f t="shared" si="25"/>
        <v>20.455630738706841</v>
      </c>
      <c r="CH54" s="41">
        <f t="shared" si="26"/>
        <v>11.761885619990174</v>
      </c>
      <c r="CI54" s="41">
        <f t="shared" si="27"/>
        <v>1.2399747703924731</v>
      </c>
      <c r="CJ54" s="41">
        <f t="shared" si="28"/>
        <v>1.7120471471714747</v>
      </c>
      <c r="CK54" s="41">
        <f t="shared" si="29"/>
        <v>2.2164674010601102</v>
      </c>
      <c r="CL54" s="41">
        <f t="shared" si="30"/>
        <v>2.2933257579559205</v>
      </c>
      <c r="CM54" s="41">
        <f t="shared" si="31"/>
        <v>1.3730617217619048</v>
      </c>
      <c r="CN54" s="41">
        <f t="shared" si="32"/>
        <v>0</v>
      </c>
      <c r="CO54" s="41">
        <f t="shared" si="33"/>
        <v>0</v>
      </c>
      <c r="CP54" s="41">
        <f t="shared" si="34"/>
        <v>0</v>
      </c>
      <c r="CQ54" s="41">
        <f t="shared" si="35"/>
        <v>0</v>
      </c>
      <c r="CR54" s="41">
        <f t="shared" si="36"/>
        <v>0</v>
      </c>
    </row>
    <row r="55" spans="4:96" x14ac:dyDescent="0.15">
      <c r="E55" s="37">
        <f>SUM(E57:E61)</f>
        <v>1</v>
      </c>
      <c r="F55" s="37">
        <f>SUM(F57:F61)</f>
        <v>1</v>
      </c>
      <c r="G55" s="37">
        <f>SUM(G57:G61)</f>
        <v>0.99999999999999989</v>
      </c>
      <c r="H55" s="37">
        <f>SUM(H57:H61)</f>
        <v>1</v>
      </c>
      <c r="I55" s="52"/>
      <c r="J55" s="31"/>
      <c r="W55" s="117">
        <v>1.05</v>
      </c>
      <c r="X55" s="31">
        <v>51</v>
      </c>
      <c r="Y55" s="113">
        <f t="shared" si="17"/>
        <v>4.816307910016552</v>
      </c>
      <c r="Z55" s="42">
        <f t="shared" si="20"/>
        <v>0.12</v>
      </c>
      <c r="AA55" s="113">
        <f>$Y55*$Z55*其他调用!V54</f>
        <v>61.061461961356294</v>
      </c>
      <c r="AB55" s="113">
        <f>$Y55*$Z55*其他调用!W54</f>
        <v>73.307392148078321</v>
      </c>
      <c r="AC55" s="113">
        <f>$Y55*$Z55*其他调用!X54</f>
        <v>83.023393140183046</v>
      </c>
      <c r="AD55" s="113">
        <f>$Y55*$Z55*其他调用!Y54</f>
        <v>71.479755415409869</v>
      </c>
      <c r="AE55" s="113">
        <f>$Y55*$Z55*其他调用!Z54</f>
        <v>39.137666098995766</v>
      </c>
      <c r="AH55" s="31">
        <v>51</v>
      </c>
      <c r="AI55" s="31">
        <f>SUM(AA$5:AA55)</f>
        <v>546.81469234233032</v>
      </c>
      <c r="AJ55" s="31">
        <f>SUM(AB$5:AB55)</f>
        <v>690.14265255223393</v>
      </c>
      <c r="AK55" s="31">
        <f>SUM(AC$5:AC55)</f>
        <v>769.13414578122399</v>
      </c>
      <c r="AL55" s="31">
        <f>SUM(AD$5:AD55)</f>
        <v>643.2754607851117</v>
      </c>
      <c r="AM55" s="31">
        <f>SUM(AE$5:AE55)</f>
        <v>359.8441104341855</v>
      </c>
      <c r="AR55" s="31">
        <v>51</v>
      </c>
      <c r="AS55" s="42">
        <f t="shared" si="21"/>
        <v>8.0000000000000016E-2</v>
      </c>
      <c r="AT55" s="52">
        <f>求节点(E$21:E$27,$M$21:$M$27,$AR55)*$AS55*其他调用!V54</f>
        <v>41.321098858227622</v>
      </c>
      <c r="AU55" s="52">
        <f>求节点(F$21:F$27,$M$21:$M$27,$AR55)*$AS55*其他调用!W54</f>
        <v>51.862994577982299</v>
      </c>
      <c r="AV55" s="52">
        <f>求节点(G$21:G$27,$M$21:$M$27,$AR55)*$AS55*其他调用!X54</f>
        <v>63.844350156235741</v>
      </c>
      <c r="AW55" s="52">
        <f>求节点(H$21:H$27,$M$21:$M$27,$AR55)*$AS55*其他调用!Y54</f>
        <v>47.491817716555737</v>
      </c>
      <c r="AX55" s="52">
        <f>求节点(I$21:I$27,$M$21:$M$27,$AR55)*$AS55*其他调用!Z54</f>
        <v>19.502573421902973</v>
      </c>
      <c r="AY55" s="52">
        <f>求节点(E$21:E$27,$N$21:$N$27,$AR55)*$AS55*其他调用!V54</f>
        <v>0</v>
      </c>
      <c r="AZ55" s="52">
        <f>求节点(F$21:F$27,$N$21:$N$27,$AR55)*$AS55*其他调用!W54</f>
        <v>0</v>
      </c>
      <c r="BA55" s="52">
        <f>求节点(G$21:G$27,$N$21:$N$27,$AR55)*$AS55*其他调用!X54</f>
        <v>0</v>
      </c>
      <c r="BB55" s="52">
        <f>求节点(H$21:H$27,$N$21:$N$27,$AR55)*$AS55*其他调用!Y54</f>
        <v>3.9576514763796449</v>
      </c>
      <c r="BC55" s="52">
        <f>求节点(I$21:I$27,$N$21:$N$27,$AR55)*$AS55*其他调用!Z54</f>
        <v>4.3339052048673263</v>
      </c>
      <c r="BD55" s="52">
        <f>求节点(E$21:E$27,$O$21:$O$27,$AR55)*$AS55*其他调用!V54</f>
        <v>0</v>
      </c>
      <c r="BE55" s="52">
        <f>求节点(F$21:F$27,$O$21:$O$27,$AR55)*$AS55*其他调用!W54</f>
        <v>0</v>
      </c>
      <c r="BF55" s="52">
        <f>求节点(G$21:G$27,$O$21:$O$27,$AR55)*$AS55*其他调用!X54</f>
        <v>0</v>
      </c>
      <c r="BG55" s="52">
        <f>求节点(H$21:H$27,$O$21:$O$27,$AR55)*$AS55*其他调用!Y54</f>
        <v>0</v>
      </c>
      <c r="BH55" s="52">
        <f>求节点(I$21:I$27,$O$21:$O$27,$AR55)*$AS55*其他调用!Z54</f>
        <v>0</v>
      </c>
      <c r="BK55" s="31">
        <v>51</v>
      </c>
      <c r="BL55" s="31">
        <f>SUM(AT$5:AT55)</f>
        <v>289.3160529367222</v>
      </c>
      <c r="BM55" s="31">
        <f>SUM(AU$5:AU55)</f>
        <v>394.27242401227721</v>
      </c>
      <c r="BN55" s="31">
        <f>SUM(AV$5:AV55)</f>
        <v>507.13783036825771</v>
      </c>
      <c r="BO55" s="31">
        <f>SUM(AW$5:AW55)</f>
        <v>500.62793682084651</v>
      </c>
      <c r="BP55" s="31">
        <f>SUM(AX$5:AX55)</f>
        <v>276.24482149827486</v>
      </c>
      <c r="BQ55" s="31">
        <f>SUM(AY$5:AY55)</f>
        <v>0</v>
      </c>
      <c r="BR55" s="31">
        <f>SUM(AZ$5:AZ55)</f>
        <v>0</v>
      </c>
      <c r="BS55" s="31">
        <f>SUM(BA$5:BA55)</f>
        <v>0</v>
      </c>
      <c r="BT55" s="31">
        <f>SUM(BB$5:BB55)</f>
        <v>5.8006623053440682</v>
      </c>
      <c r="BU55" s="31">
        <f>SUM(BC$5:BC55)</f>
        <v>10.290603963537031</v>
      </c>
      <c r="BV55" s="31">
        <f>SUM(BD$5:BD55)</f>
        <v>0</v>
      </c>
      <c r="BW55" s="31">
        <f>SUM(BE$5:BE55)</f>
        <v>0</v>
      </c>
      <c r="BX55" s="31">
        <f>SUM(BF$5:BF55)</f>
        <v>0</v>
      </c>
      <c r="BY55" s="31">
        <f>SUM(BG$5:BG55)</f>
        <v>0</v>
      </c>
      <c r="BZ55" s="31">
        <f>SUM(BH$5:BH55)</f>
        <v>0</v>
      </c>
      <c r="CC55" s="41">
        <v>51</v>
      </c>
      <c r="CD55" s="41">
        <f t="shared" si="22"/>
        <v>13.019222382152501</v>
      </c>
      <c r="CE55" s="41">
        <f t="shared" si="23"/>
        <v>17.742259080552476</v>
      </c>
      <c r="CF55" s="41">
        <f t="shared" si="24"/>
        <v>22.821202366571598</v>
      </c>
      <c r="CG55" s="41">
        <f t="shared" si="25"/>
        <v>22.731280337625137</v>
      </c>
      <c r="CH55" s="41">
        <f t="shared" si="26"/>
        <v>12.791188106146164</v>
      </c>
      <c r="CI55" s="41">
        <f t="shared" si="27"/>
        <v>1.446580264683611</v>
      </c>
      <c r="CJ55" s="41">
        <f t="shared" si="28"/>
        <v>1.9713621200613862</v>
      </c>
      <c r="CK55" s="41">
        <f t="shared" si="29"/>
        <v>2.5356891518412885</v>
      </c>
      <c r="CL55" s="41">
        <f t="shared" si="30"/>
        <v>2.5901496186843938</v>
      </c>
      <c r="CM55" s="41">
        <f t="shared" si="31"/>
        <v>1.5355831669444298</v>
      </c>
      <c r="CN55" s="41">
        <f t="shared" si="32"/>
        <v>0</v>
      </c>
      <c r="CO55" s="41">
        <f t="shared" si="33"/>
        <v>0</v>
      </c>
      <c r="CP55" s="41">
        <f t="shared" si="34"/>
        <v>0</v>
      </c>
      <c r="CQ55" s="41">
        <f t="shared" si="35"/>
        <v>0</v>
      </c>
      <c r="CR55" s="41">
        <f t="shared" si="36"/>
        <v>0</v>
      </c>
    </row>
    <row r="56" spans="4:96" x14ac:dyDescent="0.15">
      <c r="D56" s="131" t="s">
        <v>225</v>
      </c>
      <c r="E56" s="37" t="s">
        <v>1</v>
      </c>
      <c r="F56" s="37" t="s">
        <v>2</v>
      </c>
      <c r="G56" s="37" t="s">
        <v>0</v>
      </c>
      <c r="H56" s="37" t="s">
        <v>167</v>
      </c>
      <c r="I56" s="37"/>
      <c r="J56" s="37" t="s">
        <v>420</v>
      </c>
      <c r="W56" s="117">
        <v>1.05</v>
      </c>
      <c r="X56" s="31">
        <v>52</v>
      </c>
      <c r="Y56" s="113">
        <f t="shared" si="17"/>
        <v>5.0571233055173801</v>
      </c>
      <c r="Z56" s="42">
        <f t="shared" si="20"/>
        <v>0.12</v>
      </c>
      <c r="AA56" s="113">
        <f>$Y56*$Z56*其他调用!V55</f>
        <v>68.716257239544447</v>
      </c>
      <c r="AB56" s="113">
        <f>$Y56*$Z56*其他调用!W55</f>
        <v>87.536907848645171</v>
      </c>
      <c r="AC56" s="113">
        <f>$Y56*$Z56*其他调用!X55</f>
        <v>100.65548153612916</v>
      </c>
      <c r="AD56" s="113">
        <f>$Y56*$Z56*其他调用!Y55</f>
        <v>83.953450372426985</v>
      </c>
      <c r="AE56" s="113">
        <f>$Y56*$Z56*其他调用!Z55</f>
        <v>45.274269550596351</v>
      </c>
      <c r="AH56" s="31">
        <v>52</v>
      </c>
      <c r="AI56" s="31">
        <f>SUM(AA$5:AA56)</f>
        <v>615.53094958187478</v>
      </c>
      <c r="AJ56" s="31">
        <f>SUM(AB$5:AB56)</f>
        <v>777.67956040087915</v>
      </c>
      <c r="AK56" s="31">
        <f>SUM(AC$5:AC56)</f>
        <v>869.78962731735317</v>
      </c>
      <c r="AL56" s="31">
        <f>SUM(AD$5:AD56)</f>
        <v>727.22891115753873</v>
      </c>
      <c r="AM56" s="31">
        <f>SUM(AE$5:AE56)</f>
        <v>405.11837998478182</v>
      </c>
      <c r="AR56" s="31">
        <v>52</v>
      </c>
      <c r="AS56" s="42">
        <f t="shared" si="21"/>
        <v>8.0000000000000016E-2</v>
      </c>
      <c r="AT56" s="52">
        <f>求节点(E$21:E$27,$M$21:$M$27,$AR56)*$AS56*其他调用!V55</f>
        <v>46.29989616268255</v>
      </c>
      <c r="AU56" s="52">
        <f>求节点(F$21:F$27,$M$21:$M$27,$AR56)*$AS56*其他调用!W55</f>
        <v>61.54533322884101</v>
      </c>
      <c r="AV56" s="52">
        <f>求节点(G$21:G$27,$M$21:$M$27,$AR56)*$AS56*其他调用!X55</f>
        <v>76.666116195146543</v>
      </c>
      <c r="AW56" s="52">
        <f>求节点(H$21:H$27,$M$21:$M$27,$AR56)*$AS56*其他调用!Y55</f>
        <v>46.482881045501081</v>
      </c>
      <c r="AX56" s="52">
        <f>求节点(I$21:I$27,$M$21:$M$27,$AR56)*$AS56*其他调用!Z55</f>
        <v>17.905147577161745</v>
      </c>
      <c r="AY56" s="52">
        <f>求节点(E$21:E$27,$N$21:$N$27,$AR56)*$AS56*其他调用!V55</f>
        <v>0</v>
      </c>
      <c r="AZ56" s="52">
        <f>求节点(F$21:F$27,$N$21:$N$27,$AR56)*$AS56*其他调用!W55</f>
        <v>0</v>
      </c>
      <c r="BA56" s="52">
        <f>求节点(G$21:G$27,$N$21:$N$27,$AR56)*$AS56*其他调用!X55</f>
        <v>0</v>
      </c>
      <c r="BB56" s="52">
        <f>求节点(H$21:H$27,$N$21:$N$27,$AR56)*$AS56*其他调用!Y55</f>
        <v>6.6404115779287265</v>
      </c>
      <c r="BC56" s="52">
        <f>求节点(I$21:I$27,$N$21:$N$27,$AR56)*$AS56*其他调用!Z55</f>
        <v>5.9683825257205818</v>
      </c>
      <c r="BD56" s="52">
        <f>求节点(E$21:E$27,$O$21:$O$27,$AR56)*$AS56*其他调用!V55</f>
        <v>0</v>
      </c>
      <c r="BE56" s="52">
        <f>求节点(F$21:F$27,$O$21:$O$27,$AR56)*$AS56*其他调用!W55</f>
        <v>0</v>
      </c>
      <c r="BF56" s="52">
        <f>求节点(G$21:G$27,$O$21:$O$27,$AR56)*$AS56*其他调用!X55</f>
        <v>0</v>
      </c>
      <c r="BG56" s="52">
        <f>求节点(H$21:H$27,$O$21:$O$27,$AR56)*$AS56*其他调用!Y55</f>
        <v>0</v>
      </c>
      <c r="BH56" s="52">
        <f>求节点(I$21:I$27,$O$21:$O$27,$AR56)*$AS56*其他调用!Z55</f>
        <v>0</v>
      </c>
      <c r="BK56" s="31">
        <v>52</v>
      </c>
      <c r="BL56" s="31">
        <f>SUM(AT$5:AT56)</f>
        <v>335.61594909940476</v>
      </c>
      <c r="BM56" s="31">
        <f>SUM(AU$5:AU56)</f>
        <v>455.81775724111822</v>
      </c>
      <c r="BN56" s="31">
        <f>SUM(AV$5:AV56)</f>
        <v>583.80394656340422</v>
      </c>
      <c r="BO56" s="31">
        <f>SUM(AW$5:AW56)</f>
        <v>547.11081786634759</v>
      </c>
      <c r="BP56" s="31">
        <f>SUM(AX$5:AX56)</f>
        <v>294.14996907543662</v>
      </c>
      <c r="BQ56" s="31">
        <f>SUM(AY$5:AY56)</f>
        <v>0</v>
      </c>
      <c r="BR56" s="31">
        <f>SUM(AZ$5:AZ56)</f>
        <v>0</v>
      </c>
      <c r="BS56" s="31">
        <f>SUM(BA$5:BA56)</f>
        <v>0</v>
      </c>
      <c r="BT56" s="31">
        <f>SUM(BB$5:BB56)</f>
        <v>12.441073883272795</v>
      </c>
      <c r="BU56" s="31">
        <f>SUM(BC$5:BC56)</f>
        <v>16.258986489257612</v>
      </c>
      <c r="BV56" s="31">
        <f>SUM(BD$5:BD56)</f>
        <v>0</v>
      </c>
      <c r="BW56" s="31">
        <f>SUM(BE$5:BE56)</f>
        <v>0</v>
      </c>
      <c r="BX56" s="31">
        <f>SUM(BF$5:BF56)</f>
        <v>0</v>
      </c>
      <c r="BY56" s="31">
        <f>SUM(BG$5:BG56)</f>
        <v>0</v>
      </c>
      <c r="BZ56" s="31">
        <f>SUM(BH$5:BH56)</f>
        <v>0</v>
      </c>
      <c r="CC56" s="41">
        <v>52</v>
      </c>
      <c r="CD56" s="41">
        <f t="shared" si="22"/>
        <v>15.102717709473215</v>
      </c>
      <c r="CE56" s="41">
        <f t="shared" si="23"/>
        <v>20.51179907585032</v>
      </c>
      <c r="CF56" s="41">
        <f t="shared" si="24"/>
        <v>26.271177595353191</v>
      </c>
      <c r="CG56" s="41">
        <f t="shared" si="25"/>
        <v>25.055424389900189</v>
      </c>
      <c r="CH56" s="41">
        <f t="shared" si="26"/>
        <v>13.805813135518665</v>
      </c>
      <c r="CI56" s="41">
        <f t="shared" si="27"/>
        <v>1.6780797454970238</v>
      </c>
      <c r="CJ56" s="41">
        <f t="shared" si="28"/>
        <v>2.2790887862055911</v>
      </c>
      <c r="CK56" s="41">
        <f t="shared" si="29"/>
        <v>2.9190197328170213</v>
      </c>
      <c r="CL56" s="41">
        <f t="shared" si="30"/>
        <v>2.9221701975808303</v>
      </c>
      <c r="CM56" s="41">
        <f t="shared" si="31"/>
        <v>1.7146346427160473</v>
      </c>
      <c r="CN56" s="41">
        <f t="shared" si="32"/>
        <v>0</v>
      </c>
      <c r="CO56" s="41">
        <f t="shared" si="33"/>
        <v>0</v>
      </c>
      <c r="CP56" s="41">
        <f t="shared" si="34"/>
        <v>0</v>
      </c>
      <c r="CQ56" s="41">
        <f t="shared" si="35"/>
        <v>0</v>
      </c>
      <c r="CR56" s="41">
        <f t="shared" si="36"/>
        <v>0</v>
      </c>
    </row>
    <row r="57" spans="4:96" x14ac:dyDescent="0.15">
      <c r="D57" s="37" t="s">
        <v>226</v>
      </c>
      <c r="E57" s="37">
        <v>0.9</v>
      </c>
      <c r="F57" s="37">
        <v>0.7</v>
      </c>
      <c r="G57" s="37">
        <v>0.3</v>
      </c>
      <c r="H57" s="37"/>
      <c r="I57" s="37"/>
      <c r="J57" s="37">
        <f>投放验证!E10</f>
        <v>40</v>
      </c>
      <c r="W57" s="117">
        <v>1.05</v>
      </c>
      <c r="X57" s="31">
        <v>53</v>
      </c>
      <c r="Y57" s="113">
        <f t="shared" si="17"/>
        <v>5.3099794707932491</v>
      </c>
      <c r="Z57" s="42">
        <f t="shared" si="20"/>
        <v>0.12</v>
      </c>
      <c r="AA57" s="113">
        <f>$Y57*$Z57*其他调用!V56</f>
        <v>77.330674001868246</v>
      </c>
      <c r="AB57" s="113">
        <f>$Y57*$Z57*其他调用!W56</f>
        <v>100.19623833134449</v>
      </c>
      <c r="AC57" s="113">
        <f>$Y57*$Z57*其他调用!X56</f>
        <v>114.44729418107235</v>
      </c>
      <c r="AD57" s="113">
        <f>$Y57*$Z57*其他调用!Y56</f>
        <v>91.163440352907202</v>
      </c>
      <c r="AE57" s="113">
        <f>$Y57*$Z57*其他调用!Z56</f>
        <v>50.428157877993279</v>
      </c>
      <c r="AH57" s="31">
        <v>53</v>
      </c>
      <c r="AI57" s="31">
        <f>SUM(AA$5:AA57)</f>
        <v>692.86162358374304</v>
      </c>
      <c r="AJ57" s="31">
        <f>SUM(AB$5:AB57)</f>
        <v>877.87579873222364</v>
      </c>
      <c r="AK57" s="31">
        <f>SUM(AC$5:AC57)</f>
        <v>984.23692149842554</v>
      </c>
      <c r="AL57" s="31">
        <f>SUM(AD$5:AD57)</f>
        <v>818.39235151044591</v>
      </c>
      <c r="AM57" s="31">
        <f>SUM(AE$5:AE57)</f>
        <v>455.5465378627751</v>
      </c>
      <c r="AR57" s="31">
        <v>53</v>
      </c>
      <c r="AS57" s="42">
        <f t="shared" si="21"/>
        <v>8.0000000000000016E-2</v>
      </c>
      <c r="AT57" s="52">
        <f>求节点(E$21:E$27,$M$21:$M$27,$AR57)*$AS57*其他调用!V56</f>
        <v>51.780521765581035</v>
      </c>
      <c r="AU57" s="52">
        <f>求节点(F$21:F$27,$M$21:$M$27,$AR57)*$AS57*其他调用!W56</f>
        <v>69.88674458086787</v>
      </c>
      <c r="AV57" s="52">
        <f>求节点(G$21:G$27,$M$21:$M$27,$AR57)*$AS57*其他调用!X56</f>
        <v>86.212984295380167</v>
      </c>
      <c r="AW57" s="52">
        <f>求节点(H$21:H$27,$M$21:$M$27,$AR57)*$AS57*其他调用!Y56</f>
        <v>41.203974149130254</v>
      </c>
      <c r="AX57" s="52">
        <f>求节点(I$21:I$27,$M$21:$M$27,$AR57)*$AS57*其他调用!Z56</f>
        <v>15.194983906921935</v>
      </c>
      <c r="AY57" s="52">
        <f>求节点(E$21:E$27,$N$21:$N$27,$AR57)*$AS57*其他调用!V56</f>
        <v>0</v>
      </c>
      <c r="AZ57" s="52">
        <f>求节点(F$21:F$27,$N$21:$N$27,$AR57)*$AS57*其他调用!W56</f>
        <v>0</v>
      </c>
      <c r="BA57" s="52">
        <f>求节点(G$21:G$27,$N$21:$N$27,$AR57)*$AS57*其他调用!X56</f>
        <v>0</v>
      </c>
      <c r="BB57" s="52">
        <f>求节点(H$21:H$27,$N$21:$N$27,$AR57)*$AS57*其他调用!Y56</f>
        <v>9.1564386998067224</v>
      </c>
      <c r="BC57" s="52">
        <f>求节点(I$21:I$27,$N$21:$N$27,$AR57)*$AS57*其他调用!Z56</f>
        <v>7.5974919534609677</v>
      </c>
      <c r="BD57" s="52">
        <f>求节点(E$21:E$27,$O$21:$O$27,$AR57)*$AS57*其他调用!V56</f>
        <v>0</v>
      </c>
      <c r="BE57" s="52">
        <f>求节点(F$21:F$27,$O$21:$O$27,$AR57)*$AS57*其他调用!W56</f>
        <v>0</v>
      </c>
      <c r="BF57" s="52">
        <f>求节点(G$21:G$27,$O$21:$O$27,$AR57)*$AS57*其他调用!X56</f>
        <v>0</v>
      </c>
      <c r="BG57" s="52">
        <f>求节点(H$21:H$27,$O$21:$O$27,$AR57)*$AS57*其他调用!Y56</f>
        <v>0</v>
      </c>
      <c r="BH57" s="52">
        <f>求节点(I$21:I$27,$O$21:$O$27,$AR57)*$AS57*其他调用!Z56</f>
        <v>0</v>
      </c>
      <c r="BK57" s="31">
        <v>53</v>
      </c>
      <c r="BL57" s="31">
        <f>SUM(AT$5:AT57)</f>
        <v>387.39647086498582</v>
      </c>
      <c r="BM57" s="31">
        <f>SUM(AU$5:AU57)</f>
        <v>525.70450182198613</v>
      </c>
      <c r="BN57" s="31">
        <f>SUM(AV$5:AV57)</f>
        <v>670.01693085878435</v>
      </c>
      <c r="BO57" s="31">
        <f>SUM(AW$5:AW57)</f>
        <v>588.31479201547779</v>
      </c>
      <c r="BP57" s="31">
        <f>SUM(AX$5:AX57)</f>
        <v>309.34495298235856</v>
      </c>
      <c r="BQ57" s="31">
        <f>SUM(AY$5:AY57)</f>
        <v>0</v>
      </c>
      <c r="BR57" s="31">
        <f>SUM(AZ$5:AZ57)</f>
        <v>0</v>
      </c>
      <c r="BS57" s="31">
        <f>SUM(BA$5:BA57)</f>
        <v>0</v>
      </c>
      <c r="BT57" s="31">
        <f>SUM(BB$5:BB57)</f>
        <v>21.597512583079517</v>
      </c>
      <c r="BU57" s="31">
        <f>SUM(BC$5:BC57)</f>
        <v>23.856478442718579</v>
      </c>
      <c r="BV57" s="31">
        <f>SUM(BD$5:BD57)</f>
        <v>0</v>
      </c>
      <c r="BW57" s="31">
        <f>SUM(BE$5:BE57)</f>
        <v>0</v>
      </c>
      <c r="BX57" s="31">
        <f>SUM(BF$5:BF57)</f>
        <v>0</v>
      </c>
      <c r="BY57" s="31">
        <f>SUM(BG$5:BG57)</f>
        <v>0</v>
      </c>
      <c r="BZ57" s="31">
        <f>SUM(BH$5:BH57)</f>
        <v>0</v>
      </c>
      <c r="CC57" s="41">
        <v>53</v>
      </c>
      <c r="CD57" s="41">
        <f t="shared" si="22"/>
        <v>17.432841188924364</v>
      </c>
      <c r="CE57" s="41">
        <f t="shared" si="23"/>
        <v>23.656702581989375</v>
      </c>
      <c r="CF57" s="41">
        <f t="shared" si="24"/>
        <v>30.150761888645299</v>
      </c>
      <c r="CG57" s="41">
        <f t="shared" si="25"/>
        <v>27.230078581104287</v>
      </c>
      <c r="CH57" s="41">
        <f t="shared" si="26"/>
        <v>14.755499629701285</v>
      </c>
      <c r="CI57" s="41">
        <f t="shared" si="27"/>
        <v>1.9369823543249294</v>
      </c>
      <c r="CJ57" s="41">
        <f t="shared" si="28"/>
        <v>2.6285225091099305</v>
      </c>
      <c r="CK57" s="41">
        <f t="shared" si="29"/>
        <v>3.350084654293922</v>
      </c>
      <c r="CL57" s="41">
        <f t="shared" si="30"/>
        <v>3.2655366488235815</v>
      </c>
      <c r="CM57" s="41">
        <f t="shared" si="31"/>
        <v>1.9045719415525717</v>
      </c>
      <c r="CN57" s="41">
        <f t="shared" si="32"/>
        <v>0</v>
      </c>
      <c r="CO57" s="41">
        <f t="shared" si="33"/>
        <v>0</v>
      </c>
      <c r="CP57" s="41">
        <f t="shared" si="34"/>
        <v>0</v>
      </c>
      <c r="CQ57" s="41">
        <f t="shared" si="35"/>
        <v>0</v>
      </c>
      <c r="CR57" s="41">
        <f t="shared" si="36"/>
        <v>0</v>
      </c>
    </row>
    <row r="58" spans="4:96" x14ac:dyDescent="0.15">
      <c r="D58" s="37" t="s">
        <v>227</v>
      </c>
      <c r="E58" s="37">
        <v>0.1</v>
      </c>
      <c r="F58" s="37">
        <v>0.3</v>
      </c>
      <c r="G58" s="37">
        <v>0.6</v>
      </c>
      <c r="H58" s="37">
        <v>0.73</v>
      </c>
      <c r="I58" s="37"/>
      <c r="J58" s="37">
        <f>投放验证!F10</f>
        <v>400</v>
      </c>
      <c r="W58" s="117">
        <v>1.05</v>
      </c>
      <c r="X58" s="31">
        <v>54</v>
      </c>
      <c r="Y58" s="113">
        <f t="shared" si="17"/>
        <v>5.5754784443329122</v>
      </c>
      <c r="Z58" s="42">
        <f t="shared" si="20"/>
        <v>0.12</v>
      </c>
      <c r="AA58" s="113">
        <f>$Y58*$Z58*其他调用!V57</f>
        <v>87.025012447010866</v>
      </c>
      <c r="AB58" s="113">
        <f>$Y58*$Z58*其他调用!W57</f>
        <v>112.9390124346435</v>
      </c>
      <c r="AC58" s="113">
        <f>$Y58*$Z58*其他调用!X57</f>
        <v>120.14734903043181</v>
      </c>
      <c r="AD58" s="113">
        <f>$Y58*$Z58*其他调用!Y57</f>
        <v>99.426950902035216</v>
      </c>
      <c r="AE58" s="113">
        <f>$Y58*$Z58*其他调用!Z57</f>
        <v>53.280937432584132</v>
      </c>
      <c r="AH58" s="31">
        <v>54</v>
      </c>
      <c r="AI58" s="31">
        <f>SUM(AA$5:AA58)</f>
        <v>779.88663603075395</v>
      </c>
      <c r="AJ58" s="31">
        <f>SUM(AB$5:AB58)</f>
        <v>990.81481116686712</v>
      </c>
      <c r="AK58" s="31">
        <f>SUM(AC$5:AC58)</f>
        <v>1104.3842705288573</v>
      </c>
      <c r="AL58" s="31">
        <f>SUM(AD$5:AD58)</f>
        <v>917.81930241248108</v>
      </c>
      <c r="AM58" s="31">
        <f>SUM(AE$5:AE58)</f>
        <v>508.82747529535925</v>
      </c>
      <c r="AR58" s="31">
        <v>54</v>
      </c>
      <c r="AS58" s="42">
        <f t="shared" si="21"/>
        <v>8.0000000000000016E-2</v>
      </c>
      <c r="AT58" s="52">
        <f>求节点(E$21:E$27,$M$21:$M$27,$AR58)*$AS58*其他调用!V57</f>
        <v>57.809363650659591</v>
      </c>
      <c r="AU58" s="52">
        <f>求节点(F$21:F$27,$M$21:$M$27,$AR58)*$AS58*其他调用!W57</f>
        <v>78.024576462110289</v>
      </c>
      <c r="AV58" s="52">
        <f>求节点(G$21:G$27,$M$21:$M$27,$AR58)*$AS58*其他调用!X57</f>
        <v>76.619536528678353</v>
      </c>
      <c r="AW58" s="52">
        <f>求节点(H$21:H$27,$M$21:$M$27,$AR58)*$AS58*其他调用!Y57</f>
        <v>35.665800485013392</v>
      </c>
      <c r="AX58" s="52">
        <f>求节点(I$21:I$27,$M$21:$M$27,$AR58)*$AS58*其他调用!Z57</f>
        <v>11.467558444977692</v>
      </c>
      <c r="AY58" s="52">
        <f>求节点(E$21:E$27,$N$21:$N$27,$AR58)*$AS58*其他调用!V57</f>
        <v>0</v>
      </c>
      <c r="AZ58" s="52">
        <f>求节点(F$21:F$27,$N$21:$N$27,$AR58)*$AS58*其他调用!W57</f>
        <v>0</v>
      </c>
      <c r="BA58" s="52">
        <f>求节点(G$21:G$27,$N$21:$N$27,$AR58)*$AS58*其他调用!X57</f>
        <v>3.1924806886949315</v>
      </c>
      <c r="BB58" s="52">
        <f>求节点(H$21:H$27,$N$21:$N$27,$AR58)*$AS58*其他调用!Y57</f>
        <v>11.888600161671132</v>
      </c>
      <c r="BC58" s="52">
        <f>求节点(I$21:I$27,$N$21:$N$27,$AR58)*$AS58*其他调用!Z57</f>
        <v>8.9192121238715387</v>
      </c>
      <c r="BD58" s="52">
        <f>求节点(E$21:E$27,$O$21:$O$27,$AR58)*$AS58*其他调用!V57</f>
        <v>0</v>
      </c>
      <c r="BE58" s="52">
        <f>求节点(F$21:F$27,$O$21:$O$27,$AR58)*$AS58*其他调用!W57</f>
        <v>0</v>
      </c>
      <c r="BF58" s="52">
        <f>求节点(G$21:G$27,$O$21:$O$27,$AR58)*$AS58*其他调用!X57</f>
        <v>0</v>
      </c>
      <c r="BG58" s="52">
        <f>求节点(H$21:H$27,$O$21:$O$27,$AR58)*$AS58*其他调用!Y57</f>
        <v>0</v>
      </c>
      <c r="BH58" s="52">
        <f>求节点(I$21:I$27,$O$21:$O$27,$AR58)*$AS58*其他调用!Z57</f>
        <v>0</v>
      </c>
      <c r="BK58" s="31">
        <v>54</v>
      </c>
      <c r="BL58" s="31">
        <f>SUM(AT$5:AT58)</f>
        <v>445.20583451564539</v>
      </c>
      <c r="BM58" s="31">
        <f>SUM(AU$5:AU58)</f>
        <v>603.72907828409643</v>
      </c>
      <c r="BN58" s="31">
        <f>SUM(AV$5:AV58)</f>
        <v>746.63646738746274</v>
      </c>
      <c r="BO58" s="31">
        <f>SUM(AW$5:AW58)</f>
        <v>623.98059250049118</v>
      </c>
      <c r="BP58" s="31">
        <f>SUM(AX$5:AX58)</f>
        <v>320.81251142733623</v>
      </c>
      <c r="BQ58" s="31">
        <f>SUM(AY$5:AY58)</f>
        <v>0</v>
      </c>
      <c r="BR58" s="31">
        <f>SUM(AZ$5:AZ58)</f>
        <v>0</v>
      </c>
      <c r="BS58" s="31">
        <f>SUM(BA$5:BA58)</f>
        <v>3.1924806886949315</v>
      </c>
      <c r="BT58" s="31">
        <f>SUM(BB$5:BB58)</f>
        <v>33.486112744750649</v>
      </c>
      <c r="BU58" s="31">
        <f>SUM(BC$5:BC58)</f>
        <v>32.775690566590114</v>
      </c>
      <c r="BV58" s="31">
        <f>SUM(BD$5:BD58)</f>
        <v>0</v>
      </c>
      <c r="BW58" s="31">
        <f>SUM(BE$5:BE58)</f>
        <v>0</v>
      </c>
      <c r="BX58" s="31">
        <f>SUM(BF$5:BF58)</f>
        <v>0</v>
      </c>
      <c r="BY58" s="31">
        <f>SUM(BG$5:BG58)</f>
        <v>0</v>
      </c>
      <c r="BZ58" s="31">
        <f>SUM(BH$5:BH58)</f>
        <v>0</v>
      </c>
      <c r="CC58" s="41">
        <v>54</v>
      </c>
      <c r="CD58" s="41">
        <f t="shared" si="22"/>
        <v>20.034262553204044</v>
      </c>
      <c r="CE58" s="41">
        <f t="shared" si="23"/>
        <v>27.167808522784338</v>
      </c>
      <c r="CF58" s="41">
        <f t="shared" si="24"/>
        <v>33.710377856540148</v>
      </c>
      <c r="CG58" s="41">
        <f t="shared" si="25"/>
        <v>29.251140608588379</v>
      </c>
      <c r="CH58" s="41">
        <f t="shared" si="26"/>
        <v>15.583712184060786</v>
      </c>
      <c r="CI58" s="41">
        <f t="shared" si="27"/>
        <v>2.2260291725782269</v>
      </c>
      <c r="CJ58" s="41">
        <f t="shared" si="28"/>
        <v>3.018645391420482</v>
      </c>
      <c r="CK58" s="41">
        <f t="shared" si="29"/>
        <v>3.7810695472677383</v>
      </c>
      <c r="CL58" s="41">
        <f t="shared" si="30"/>
        <v>3.6221946536737155</v>
      </c>
      <c r="CM58" s="41">
        <f t="shared" si="31"/>
        <v>2.0956979156355331</v>
      </c>
      <c r="CN58" s="41">
        <f t="shared" si="32"/>
        <v>0</v>
      </c>
      <c r="CO58" s="41">
        <f t="shared" si="33"/>
        <v>0</v>
      </c>
      <c r="CP58" s="41">
        <f t="shared" si="34"/>
        <v>0</v>
      </c>
      <c r="CQ58" s="41">
        <f t="shared" si="35"/>
        <v>0</v>
      </c>
      <c r="CR58" s="41">
        <f t="shared" si="36"/>
        <v>0</v>
      </c>
    </row>
    <row r="59" spans="4:96" x14ac:dyDescent="0.15">
      <c r="D59" s="37" t="s">
        <v>228</v>
      </c>
      <c r="F59" s="37"/>
      <c r="G59" s="37">
        <v>0.1</v>
      </c>
      <c r="H59" s="37">
        <v>0.25</v>
      </c>
      <c r="I59" s="37"/>
      <c r="J59" s="37">
        <f>投放验证!G10</f>
        <v>1000</v>
      </c>
      <c r="W59" s="117">
        <v>1.05</v>
      </c>
      <c r="X59" s="31">
        <v>55</v>
      </c>
      <c r="Y59" s="113">
        <f t="shared" si="17"/>
        <v>5.8542523665495576</v>
      </c>
      <c r="Z59" s="42">
        <f t="shared" si="20"/>
        <v>0.12</v>
      </c>
      <c r="AA59" s="113">
        <f>$Y59*$Z59*其他调用!V58</f>
        <v>97.934653863476569</v>
      </c>
      <c r="AB59" s="113">
        <f>$Y59*$Z59*其他调用!W58</f>
        <v>121.67763310402627</v>
      </c>
      <c r="AC59" s="113">
        <f>$Y59*$Z59*其他调用!X58</f>
        <v>133.51704601903697</v>
      </c>
      <c r="AD59" s="113">
        <f>$Y59*$Z59*其他调用!Y58</f>
        <v>109.99839134072035</v>
      </c>
      <c r="AE59" s="113">
        <f>$Y59*$Z59*其他调用!Z58</f>
        <v>60.264069912188234</v>
      </c>
      <c r="AH59" s="31">
        <v>55</v>
      </c>
      <c r="AI59" s="31">
        <f>SUM(AA$5:AA59)</f>
        <v>877.82128989423052</v>
      </c>
      <c r="AJ59" s="31">
        <f>SUM(AB$5:AB59)</f>
        <v>1112.4924442708934</v>
      </c>
      <c r="AK59" s="31">
        <f>SUM(AC$5:AC59)</f>
        <v>1237.9013165478943</v>
      </c>
      <c r="AL59" s="31">
        <f>SUM(AD$5:AD59)</f>
        <v>1027.8176937532014</v>
      </c>
      <c r="AM59" s="31">
        <f>SUM(AE$5:AE59)</f>
        <v>569.09154520754748</v>
      </c>
      <c r="AR59" s="31">
        <v>55</v>
      </c>
      <c r="AS59" s="42">
        <f t="shared" si="21"/>
        <v>8.0000000000000016E-2</v>
      </c>
      <c r="AT59" s="52">
        <f>求节点(E$21:E$27,$M$21:$M$27,$AR59)*$AS59*其他调用!V58</f>
        <v>64.436883520762578</v>
      </c>
      <c r="AU59" s="52">
        <f>求节点(F$21:F$27,$M$21:$M$27,$AR59)*$AS59*其他调用!W58</f>
        <v>83.13794861272234</v>
      </c>
      <c r="AV59" s="52">
        <f>求节点(G$21:G$27,$M$21:$M$27,$AR59)*$AS59*其他调用!X58</f>
        <v>70.954639360274882</v>
      </c>
      <c r="AW59" s="52">
        <f>求节点(H$21:H$27,$M$21:$M$27,$AR59)*$AS59*其他调用!Y58</f>
        <v>30.063177178828028</v>
      </c>
      <c r="AX59" s="52">
        <f>求节点(I$21:I$27,$M$21:$M$27,$AR59)*$AS59*其他调用!Z58</f>
        <v>8.2352541214696338</v>
      </c>
      <c r="AY59" s="52">
        <f>求节点(E$21:E$27,$N$21:$N$27,$AR59)*$AS59*其他调用!V58</f>
        <v>0</v>
      </c>
      <c r="AZ59" s="52">
        <f>求节点(F$21:F$27,$N$21:$N$27,$AR59)*$AS59*其他调用!W58</f>
        <v>0</v>
      </c>
      <c r="BA59" s="52">
        <f>求节点(G$21:G$27,$N$21:$N$27,$AR59)*$AS59*其他调用!X58</f>
        <v>6.7575847009785592</v>
      </c>
      <c r="BB59" s="52">
        <f>求节点(H$21:H$27,$N$21:$N$27,$AR59)*$AS59*其他调用!Y58</f>
        <v>15.031588589414014</v>
      </c>
      <c r="BC59" s="52">
        <f>求节点(I$21:I$27,$N$21:$N$27,$AR59)*$AS59*其他调用!Z58</f>
        <v>10.980338828626179</v>
      </c>
      <c r="BD59" s="52">
        <f>求节点(E$21:E$27,$O$21:$O$27,$AR59)*$AS59*其他调用!V58</f>
        <v>0</v>
      </c>
      <c r="BE59" s="52">
        <f>求节点(F$21:F$27,$O$21:$O$27,$AR59)*$AS59*其他调用!W58</f>
        <v>0</v>
      </c>
      <c r="BF59" s="52">
        <f>求节点(G$21:G$27,$O$21:$O$27,$AR59)*$AS59*其他调用!X58</f>
        <v>0</v>
      </c>
      <c r="BG59" s="52">
        <f>求节点(H$21:H$27,$O$21:$O$27,$AR59)*$AS59*其他调用!Y58</f>
        <v>0</v>
      </c>
      <c r="BH59" s="52">
        <f>求节点(I$21:I$27,$O$21:$O$27,$AR59)*$AS59*其他调用!Z58</f>
        <v>0</v>
      </c>
      <c r="BK59" s="31">
        <v>55</v>
      </c>
      <c r="BL59" s="31">
        <f>SUM(AT$5:AT59)</f>
        <v>509.64271803640798</v>
      </c>
      <c r="BM59" s="31">
        <f>SUM(AU$5:AU59)</f>
        <v>686.86702689681874</v>
      </c>
      <c r="BN59" s="31">
        <f>SUM(AV$5:AV59)</f>
        <v>817.59110674773763</v>
      </c>
      <c r="BO59" s="31">
        <f>SUM(AW$5:AW59)</f>
        <v>654.04376967931921</v>
      </c>
      <c r="BP59" s="31">
        <f>SUM(AX$5:AX59)</f>
        <v>329.04776554880584</v>
      </c>
      <c r="BQ59" s="31">
        <f>SUM(AY$5:AY59)</f>
        <v>0</v>
      </c>
      <c r="BR59" s="31">
        <f>SUM(AZ$5:AZ59)</f>
        <v>0</v>
      </c>
      <c r="BS59" s="31">
        <f>SUM(BA$5:BA59)</f>
        <v>9.9500653896734903</v>
      </c>
      <c r="BT59" s="31">
        <f>SUM(BB$5:BB59)</f>
        <v>48.517701334164663</v>
      </c>
      <c r="BU59" s="31">
        <f>SUM(BC$5:BC59)</f>
        <v>43.756029395216295</v>
      </c>
      <c r="BV59" s="31">
        <f>SUM(BD$5:BD59)</f>
        <v>0</v>
      </c>
      <c r="BW59" s="31">
        <f>SUM(BE$5:BE59)</f>
        <v>0</v>
      </c>
      <c r="BX59" s="31">
        <f>SUM(BF$5:BF59)</f>
        <v>0</v>
      </c>
      <c r="BY59" s="31">
        <f>SUM(BG$5:BG59)</f>
        <v>0</v>
      </c>
      <c r="BZ59" s="31">
        <f>SUM(BH$5:BH59)</f>
        <v>0</v>
      </c>
      <c r="CC59" s="41">
        <v>55</v>
      </c>
      <c r="CD59" s="41">
        <f t="shared" si="22"/>
        <v>22.933922311638362</v>
      </c>
      <c r="CE59" s="41">
        <f t="shared" si="23"/>
        <v>30.909016210356846</v>
      </c>
      <c r="CF59" s="41">
        <f t="shared" si="24"/>
        <v>37.139852092286766</v>
      </c>
      <c r="CG59" s="41">
        <f t="shared" si="25"/>
        <v>31.130089182265131</v>
      </c>
      <c r="CH59" s="41">
        <f t="shared" si="26"/>
        <v>16.338610478528832</v>
      </c>
      <c r="CI59" s="41">
        <f t="shared" si="27"/>
        <v>2.5482135901820397</v>
      </c>
      <c r="CJ59" s="41">
        <f t="shared" si="28"/>
        <v>3.434335134484094</v>
      </c>
      <c r="CK59" s="41">
        <f t="shared" si="29"/>
        <v>4.2372065145837912</v>
      </c>
      <c r="CL59" s="41">
        <f t="shared" si="30"/>
        <v>3.9979843684090661</v>
      </c>
      <c r="CM59" s="41">
        <f t="shared" si="31"/>
        <v>2.3015792686722736</v>
      </c>
      <c r="CN59" s="41">
        <f t="shared" si="32"/>
        <v>0</v>
      </c>
      <c r="CO59" s="41">
        <f t="shared" si="33"/>
        <v>0</v>
      </c>
      <c r="CP59" s="41">
        <f t="shared" si="34"/>
        <v>0</v>
      </c>
      <c r="CQ59" s="41">
        <f t="shared" si="35"/>
        <v>0</v>
      </c>
      <c r="CR59" s="41">
        <f t="shared" si="36"/>
        <v>0</v>
      </c>
    </row>
    <row r="60" spans="4:96" x14ac:dyDescent="0.15">
      <c r="D60" s="37" t="s">
        <v>229</v>
      </c>
      <c r="F60" s="37"/>
      <c r="G60" s="37"/>
      <c r="H60" s="37">
        <v>0.02</v>
      </c>
      <c r="I60" s="37"/>
      <c r="J60" s="37">
        <f>投放验证!H10</f>
        <v>8500</v>
      </c>
      <c r="W60" s="117">
        <v>1.05</v>
      </c>
      <c r="X60" s="31">
        <v>56</v>
      </c>
      <c r="Y60" s="113">
        <f t="shared" si="17"/>
        <v>6.1469649848770356</v>
      </c>
      <c r="Z60" s="42">
        <f t="shared" si="20"/>
        <v>0.12</v>
      </c>
      <c r="AA60" s="113">
        <f>$Y60*$Z60*其他调用!V59</f>
        <v>110.21195122722833</v>
      </c>
      <c r="AB60" s="113">
        <f>$Y60*$Z60*其他调用!W59</f>
        <v>135.54427044194509</v>
      </c>
      <c r="AC60" s="113">
        <f>$Y60*$Z60*其他调用!X59</f>
        <v>150.78820931158353</v>
      </c>
      <c r="AD60" s="113">
        <f>$Y60*$Z60*其他调用!Y59</f>
        <v>123.69491752135549</v>
      </c>
      <c r="AE60" s="113">
        <f>$Y60*$Z60*其他调用!Z59</f>
        <v>67.851911357701624</v>
      </c>
      <c r="AH60" s="31">
        <v>56</v>
      </c>
      <c r="AI60" s="31">
        <f>SUM(AA$5:AA60)</f>
        <v>988.03324112145879</v>
      </c>
      <c r="AJ60" s="31">
        <f>SUM(AB$5:AB60)</f>
        <v>1248.0367147128386</v>
      </c>
      <c r="AK60" s="31">
        <f>SUM(AC$5:AC60)</f>
        <v>1388.689525859478</v>
      </c>
      <c r="AL60" s="31">
        <f>SUM(AD$5:AD60)</f>
        <v>1151.512611274557</v>
      </c>
      <c r="AM60" s="31">
        <f>SUM(AE$5:AE60)</f>
        <v>636.94345656524911</v>
      </c>
      <c r="AR60" s="31">
        <v>56</v>
      </c>
      <c r="AS60" s="42">
        <f t="shared" si="21"/>
        <v>8.0000000000000016E-2</v>
      </c>
      <c r="AT60" s="52">
        <f>求节点(E$21:E$27,$M$21:$M$27,$AR60)*$AS60*其他调用!V59</f>
        <v>71.717962603252431</v>
      </c>
      <c r="AU60" s="52">
        <f>求节点(F$21:F$27,$M$21:$M$27,$AR60)*$AS60*其他调用!W59</f>
        <v>78.402135847406868</v>
      </c>
      <c r="AV60" s="52">
        <f>求节点(G$21:G$27,$M$21:$M$27,$AR60)*$AS60*其他调用!X59</f>
        <v>65.41470343280308</v>
      </c>
      <c r="AW60" s="52">
        <f>求节点(H$21:H$27,$M$21:$M$27,$AR60)*$AS60*其他调用!Y59</f>
        <v>24.147510420314504</v>
      </c>
      <c r="AX60" s="52">
        <f>求节点(I$21:I$27,$M$21:$M$27,$AR60)*$AS60*其他调用!Z59</f>
        <v>4.4153113951117788</v>
      </c>
      <c r="AY60" s="52">
        <f>求节点(E$21:E$27,$N$21:$N$27,$AR60)*$AS60*其他调用!V59</f>
        <v>0</v>
      </c>
      <c r="AZ60" s="52">
        <f>求节点(F$21:F$27,$N$21:$N$27,$AR60)*$AS60*其他调用!W59</f>
        <v>3.2667556603086192</v>
      </c>
      <c r="BA60" s="52">
        <f>求节点(G$21:G$27,$N$21:$N$27,$AR60)*$AS60*其他调用!X59</f>
        <v>10.902450572133848</v>
      </c>
      <c r="BB60" s="52">
        <f>求节点(H$21:H$27,$N$21:$N$27,$AR60)*$AS60*其他调用!Y59</f>
        <v>18.78139699357795</v>
      </c>
      <c r="BC60" s="52">
        <f>求节点(I$21:I$27,$N$21:$N$27,$AR60)*$AS60*其他调用!Z59</f>
        <v>13.245934185335326</v>
      </c>
      <c r="BD60" s="52">
        <f>求节点(E$21:E$27,$O$21:$O$27,$AR60)*$AS60*其他调用!V59</f>
        <v>0</v>
      </c>
      <c r="BE60" s="52">
        <f>求节点(F$21:F$27,$O$21:$O$27,$AR60)*$AS60*其他调用!W59</f>
        <v>0</v>
      </c>
      <c r="BF60" s="52">
        <f>求节点(G$21:G$27,$O$21:$O$27,$AR60)*$AS60*其他调用!X59</f>
        <v>0</v>
      </c>
      <c r="BG60" s="52">
        <f>求节点(H$21:H$27,$O$21:$O$27,$AR60)*$AS60*其他调用!Y59</f>
        <v>0</v>
      </c>
      <c r="BH60" s="52">
        <f>求节点(I$21:I$27,$O$21:$O$27,$AR60)*$AS60*其他调用!Z59</f>
        <v>0</v>
      </c>
      <c r="BK60" s="31">
        <v>56</v>
      </c>
      <c r="BL60" s="31">
        <f>SUM(AT$5:AT60)</f>
        <v>581.36068063966036</v>
      </c>
      <c r="BM60" s="31">
        <f>SUM(AU$5:AU60)</f>
        <v>765.26916274422558</v>
      </c>
      <c r="BN60" s="31">
        <f>SUM(AV$5:AV60)</f>
        <v>883.00581018054072</v>
      </c>
      <c r="BO60" s="31">
        <f>SUM(AW$5:AW60)</f>
        <v>678.19128009963367</v>
      </c>
      <c r="BP60" s="31">
        <f>SUM(AX$5:AX60)</f>
        <v>333.4630769439176</v>
      </c>
      <c r="BQ60" s="31">
        <f>SUM(AY$5:AY60)</f>
        <v>0</v>
      </c>
      <c r="BR60" s="31">
        <f>SUM(AZ$5:AZ60)</f>
        <v>3.2667556603086192</v>
      </c>
      <c r="BS60" s="31">
        <f>SUM(BA$5:BA60)</f>
        <v>20.852515961807338</v>
      </c>
      <c r="BT60" s="31">
        <f>SUM(BB$5:BB60)</f>
        <v>67.299098327742612</v>
      </c>
      <c r="BU60" s="31">
        <f>SUM(BC$5:BC60)</f>
        <v>57.001963580551617</v>
      </c>
      <c r="BV60" s="31">
        <f>SUM(BD$5:BD60)</f>
        <v>0</v>
      </c>
      <c r="BW60" s="31">
        <f>SUM(BE$5:BE60)</f>
        <v>0</v>
      </c>
      <c r="BX60" s="31">
        <f>SUM(BF$5:BF60)</f>
        <v>0</v>
      </c>
      <c r="BY60" s="31">
        <f>SUM(BG$5:BG60)</f>
        <v>0</v>
      </c>
      <c r="BZ60" s="31">
        <f>SUM(BH$5:BH60)</f>
        <v>0</v>
      </c>
      <c r="CC60" s="41">
        <v>56</v>
      </c>
      <c r="CD60" s="41">
        <f t="shared" si="22"/>
        <v>26.161230628784715</v>
      </c>
      <c r="CE60" s="41">
        <f t="shared" si="23"/>
        <v>34.551448771600953</v>
      </c>
      <c r="CF60" s="41">
        <f t="shared" si="24"/>
        <v>40.465099516787589</v>
      </c>
      <c r="CG60" s="41">
        <f t="shared" si="25"/>
        <v>32.87407604595451</v>
      </c>
      <c r="CH60" s="41">
        <f t="shared" si="26"/>
        <v>17.000907187795598</v>
      </c>
      <c r="CI60" s="41">
        <f t="shared" si="27"/>
        <v>2.9068034031983019</v>
      </c>
      <c r="CJ60" s="41">
        <f t="shared" si="28"/>
        <v>3.8753471486257576</v>
      </c>
      <c r="CK60" s="41">
        <f t="shared" si="29"/>
        <v>4.7278167903298138</v>
      </c>
      <c r="CL60" s="41">
        <f t="shared" si="30"/>
        <v>4.4004428754143081</v>
      </c>
      <c r="CM60" s="41">
        <f t="shared" si="31"/>
        <v>2.5223448384278622</v>
      </c>
      <c r="CN60" s="41">
        <f t="shared" si="32"/>
        <v>0</v>
      </c>
      <c r="CO60" s="41">
        <f t="shared" si="33"/>
        <v>0</v>
      </c>
      <c r="CP60" s="41">
        <f t="shared" si="34"/>
        <v>0</v>
      </c>
      <c r="CQ60" s="41">
        <f t="shared" si="35"/>
        <v>0</v>
      </c>
      <c r="CR60" s="41">
        <f t="shared" si="36"/>
        <v>0</v>
      </c>
    </row>
    <row r="61" spans="4:96" x14ac:dyDescent="0.15">
      <c r="F61" s="37"/>
      <c r="G61" s="37"/>
      <c r="H61" s="37"/>
      <c r="I61" s="37"/>
      <c r="W61" s="117">
        <v>1.05</v>
      </c>
      <c r="X61" s="31">
        <v>57</v>
      </c>
      <c r="Y61" s="113">
        <f t="shared" si="17"/>
        <v>6.454313234120888</v>
      </c>
      <c r="Z61" s="42">
        <f t="shared" si="20"/>
        <v>0.12</v>
      </c>
      <c r="AA61" s="113">
        <f>$Y61*$Z61*其他调用!V60</f>
        <v>124.02835680867346</v>
      </c>
      <c r="AB61" s="113">
        <f>$Y61*$Z61*其他调用!W60</f>
        <v>157.49592408269856</v>
      </c>
      <c r="AC61" s="113">
        <f>$Y61*$Z61*其他调用!X60</f>
        <v>171.08738029461136</v>
      </c>
      <c r="AD61" s="113">
        <f>$Y61*$Z61*其他调用!Y60</f>
        <v>139.9399091565212</v>
      </c>
      <c r="AE61" s="113">
        <f>$Y61*$Z61*其他调用!Z60</f>
        <v>78.051480531796187</v>
      </c>
      <c r="AH61" s="31">
        <v>57</v>
      </c>
      <c r="AI61" s="31">
        <f>SUM(AA$5:AA61)</f>
        <v>1112.0615979301322</v>
      </c>
      <c r="AJ61" s="31">
        <f>SUM(AB$5:AB61)</f>
        <v>1405.5326387955372</v>
      </c>
      <c r="AK61" s="31">
        <f>SUM(AC$5:AC61)</f>
        <v>1559.7769061540894</v>
      </c>
      <c r="AL61" s="31">
        <f>SUM(AD$5:AD61)</f>
        <v>1291.4525204310783</v>
      </c>
      <c r="AM61" s="31">
        <f>SUM(AE$5:AE61)</f>
        <v>714.99493709704529</v>
      </c>
      <c r="AR61" s="31">
        <v>57</v>
      </c>
      <c r="AS61" s="42">
        <f t="shared" si="21"/>
        <v>8.0000000000000016E-2</v>
      </c>
      <c r="AT61" s="52">
        <f>求节点(E$21:E$27,$M$21:$M$27,$AR61)*$AS61*其他调用!V60</f>
        <v>68.324808093633052</v>
      </c>
      <c r="AU61" s="52">
        <f>求节点(F$21:F$27,$M$21:$M$27,$AR61)*$AS61*其他调用!W60</f>
        <v>75.916259653787094</v>
      </c>
      <c r="AV61" s="52">
        <f>求节点(G$21:G$27,$M$21:$M$27,$AR61)*$AS61*其他调用!X60</f>
        <v>58.905442708073693</v>
      </c>
      <c r="AW61" s="52">
        <f>求节点(H$21:H$27,$M$21:$M$27,$AR61)*$AS61*其他调用!Y60</f>
        <v>17.345288842410117</v>
      </c>
      <c r="AX61" s="52">
        <f>求节点(I$21:I$27,$M$21:$M$27,$AR61)*$AS61*其他调用!Z60</f>
        <v>0</v>
      </c>
      <c r="AY61" s="52">
        <f>求节点(E$21:E$27,$N$21:$N$27,$AR61)*$AS61*其他调用!V60</f>
        <v>2.846867003901377</v>
      </c>
      <c r="AZ61" s="52">
        <f>求节点(F$21:F$27,$N$21:$N$27,$AR61)*$AS61*其他调用!W60</f>
        <v>7.2301199670273419</v>
      </c>
      <c r="BA61" s="52">
        <f>求节点(G$21:G$27,$N$21:$N$27,$AR61)*$AS61*其他调用!X60</f>
        <v>15.708118055486317</v>
      </c>
      <c r="BB61" s="52">
        <f>求节点(H$21:H$27,$N$21:$N$27,$AR61)*$AS61*其他调用!Y60</f>
        <v>23.127051789880152</v>
      </c>
      <c r="BC61" s="52">
        <f>求节点(I$21:I$27,$N$21:$N$27,$AR61)*$AS61*其他调用!Z60</f>
        <v>16.123890634699933</v>
      </c>
      <c r="BD61" s="52">
        <f>求节点(E$21:E$27,$O$21:$O$27,$AR61)*$AS61*其他调用!V60</f>
        <v>0</v>
      </c>
      <c r="BE61" s="52">
        <f>求节点(F$21:F$27,$O$21:$O$27,$AR61)*$AS61*其他调用!W60</f>
        <v>0</v>
      </c>
      <c r="BF61" s="52">
        <f>求节点(G$21:G$27,$O$21:$O$27,$AR61)*$AS61*其他调用!X60</f>
        <v>0</v>
      </c>
      <c r="BG61" s="52">
        <f>求节点(H$21:H$27,$O$21:$O$27,$AR61)*$AS61*其他调用!Y60</f>
        <v>0</v>
      </c>
      <c r="BH61" s="52">
        <f>求节点(I$21:I$27,$O$21:$O$27,$AR61)*$AS61*其他调用!Z60</f>
        <v>0</v>
      </c>
      <c r="BK61" s="31">
        <v>57</v>
      </c>
      <c r="BL61" s="31">
        <f>SUM(AT$5:AT61)</f>
        <v>649.68548873329337</v>
      </c>
      <c r="BM61" s="31">
        <f>SUM(AU$5:AU61)</f>
        <v>841.18542239801263</v>
      </c>
      <c r="BN61" s="31">
        <f>SUM(AV$5:AV61)</f>
        <v>941.9112528886144</v>
      </c>
      <c r="BO61" s="31">
        <f>SUM(AW$5:AW61)</f>
        <v>695.5365689420438</v>
      </c>
      <c r="BP61" s="31">
        <f>SUM(AX$5:AX61)</f>
        <v>333.4630769439176</v>
      </c>
      <c r="BQ61" s="31">
        <f>SUM(AY$5:AY61)</f>
        <v>2.846867003901377</v>
      </c>
      <c r="BR61" s="31">
        <f>SUM(AZ$5:AZ61)</f>
        <v>10.49687562733596</v>
      </c>
      <c r="BS61" s="31">
        <f>SUM(BA$5:BA61)</f>
        <v>36.560634017293651</v>
      </c>
      <c r="BT61" s="31">
        <f>SUM(BB$5:BB61)</f>
        <v>90.426150117622768</v>
      </c>
      <c r="BU61" s="31">
        <f>SUM(BC$5:BC61)</f>
        <v>73.12585421525155</v>
      </c>
      <c r="BV61" s="31">
        <f>SUM(BD$5:BD61)</f>
        <v>0</v>
      </c>
      <c r="BW61" s="31">
        <f>SUM(BE$5:BE61)</f>
        <v>0</v>
      </c>
      <c r="BX61" s="31">
        <f>SUM(BF$5:BF61)</f>
        <v>0</v>
      </c>
      <c r="BY61" s="31">
        <f>SUM(BG$5:BG61)</f>
        <v>0</v>
      </c>
      <c r="BZ61" s="31">
        <f>SUM(BH$5:BH61)</f>
        <v>0</v>
      </c>
      <c r="CC61" s="41">
        <v>57</v>
      </c>
      <c r="CD61" s="41">
        <f t="shared" si="22"/>
        <v>29.335487338134755</v>
      </c>
      <c r="CE61" s="41">
        <f t="shared" si="23"/>
        <v>38.220734654867329</v>
      </c>
      <c r="CF61" s="41">
        <f t="shared" si="24"/>
        <v>43.665628570592929</v>
      </c>
      <c r="CG61" s="41">
        <f t="shared" si="25"/>
        <v>34.464060856508766</v>
      </c>
      <c r="CH61" s="41">
        <f t="shared" si="26"/>
        <v>17.565243360010097</v>
      </c>
      <c r="CI61" s="41">
        <f t="shared" si="27"/>
        <v>3.2911304487249877</v>
      </c>
      <c r="CJ61" s="41">
        <f t="shared" si="28"/>
        <v>4.3633802464001032</v>
      </c>
      <c r="CK61" s="41">
        <f t="shared" si="29"/>
        <v>5.2579657747024768</v>
      </c>
      <c r="CL61" s="41">
        <f t="shared" si="30"/>
        <v>4.8340750964745602</v>
      </c>
      <c r="CM61" s="41">
        <f t="shared" si="31"/>
        <v>2.764203197948361</v>
      </c>
      <c r="CN61" s="41">
        <f t="shared" si="32"/>
        <v>0</v>
      </c>
      <c r="CO61" s="41">
        <f t="shared" si="33"/>
        <v>0</v>
      </c>
      <c r="CP61" s="41">
        <f t="shared" si="34"/>
        <v>0</v>
      </c>
      <c r="CQ61" s="41">
        <f t="shared" si="35"/>
        <v>0</v>
      </c>
      <c r="CR61" s="41">
        <f t="shared" si="36"/>
        <v>0</v>
      </c>
    </row>
    <row r="62" spans="4:96" x14ac:dyDescent="0.15">
      <c r="D62" s="132" t="s">
        <v>234</v>
      </c>
      <c r="E62" s="37">
        <f>SUMPRODUCT(E$57:E$61,$J$57:$J$61)</f>
        <v>76</v>
      </c>
      <c r="F62" s="117">
        <f>SUMPRODUCT(F$57:F$61,$J$57:$J$61)</f>
        <v>148</v>
      </c>
      <c r="G62" s="117">
        <f>SUMPRODUCT(G$57:G$61,$J$57:$J$61)</f>
        <v>352</v>
      </c>
      <c r="H62" s="117">
        <f>SUMPRODUCT(H$57:H$61,$J$57:$J$61)</f>
        <v>712</v>
      </c>
      <c r="I62" s="37"/>
      <c r="W62" s="117">
        <v>1.05</v>
      </c>
      <c r="X62" s="31">
        <v>58</v>
      </c>
      <c r="Y62" s="113">
        <f t="shared" si="17"/>
        <v>6.7770288958269322</v>
      </c>
      <c r="Z62" s="42">
        <f t="shared" si="20"/>
        <v>0.12</v>
      </c>
      <c r="AA62" s="113">
        <f>$Y62*$Z62*其他调用!V61</f>
        <v>139.57681650099275</v>
      </c>
      <c r="AB62" s="113">
        <f>$Y62*$Z62*其他调用!W61</f>
        <v>171.6169472705952</v>
      </c>
      <c r="AC62" s="113">
        <f>$Y62*$Z62*其他调用!X61</f>
        <v>192.22568561664218</v>
      </c>
      <c r="AD62" s="113">
        <f>$Y62*$Z62*其他调用!Y61</f>
        <v>159.78701795533328</v>
      </c>
      <c r="AE62" s="113">
        <f>$Y62*$Z62*其他调用!Z61</f>
        <v>87.154883782560248</v>
      </c>
      <c r="AH62" s="31">
        <v>58</v>
      </c>
      <c r="AI62" s="31">
        <f>SUM(AA$5:AA62)</f>
        <v>1251.6384144311248</v>
      </c>
      <c r="AJ62" s="31">
        <f>SUM(AB$5:AB62)</f>
        <v>1577.1495860661323</v>
      </c>
      <c r="AK62" s="31">
        <f>SUM(AC$5:AC62)</f>
        <v>1752.0025917707317</v>
      </c>
      <c r="AL62" s="31">
        <f>SUM(AD$5:AD62)</f>
        <v>1451.2395383864116</v>
      </c>
      <c r="AM62" s="31">
        <f>SUM(AE$5:AE62)</f>
        <v>802.1498208796055</v>
      </c>
      <c r="AR62" s="31">
        <v>58</v>
      </c>
      <c r="AS62" s="42">
        <f t="shared" si="21"/>
        <v>8.0000000000000016E-2</v>
      </c>
      <c r="AT62" s="52">
        <f>求节点(E$21:E$27,$M$21:$M$27,$AR62)*$AS62*其他调用!V61</f>
        <v>64.075126629184822</v>
      </c>
      <c r="AU62" s="52">
        <f>求节点(F$21:F$27,$M$21:$M$27,$AR62)*$AS62*其他调用!W61</f>
        <v>67.528883195907554</v>
      </c>
      <c r="AV62" s="52">
        <f>求节点(G$21:G$27,$M$21:$M$27,$AR62)*$AS62*其他调用!X61</f>
        <v>50.425423509377787</v>
      </c>
      <c r="AW62" s="52">
        <f>求节点(H$21:H$27,$M$21:$M$27,$AR62)*$AS62*其他调用!Y61</f>
        <v>9.4310955677774935</v>
      </c>
      <c r="AX62" s="52">
        <f>求节点(I$21:I$27,$M$21:$M$27,$AR62)*$AS62*其他调用!Z61</f>
        <v>0</v>
      </c>
      <c r="AY62" s="52">
        <f>求节点(E$21:E$27,$N$21:$N$27,$AR62)*$AS62*其他调用!V61</f>
        <v>6.1023930123033168</v>
      </c>
      <c r="AZ62" s="52">
        <f>求节点(F$21:F$27,$N$21:$N$27,$AR62)*$AS62*其他调用!W61</f>
        <v>11.254813865984593</v>
      </c>
      <c r="BA62" s="52">
        <f>求节点(G$21:G$27,$N$21:$N$27,$AR62)*$AS62*其他调用!X61</f>
        <v>21.010593128907409</v>
      </c>
      <c r="BB62" s="52">
        <f>求节点(H$21:H$27,$N$21:$N$27,$AR62)*$AS62*其他调用!Y61</f>
        <v>28.293286703332459</v>
      </c>
      <c r="BC62" s="52">
        <f>求节点(I$21:I$27,$N$21:$N$27,$AR62)*$AS62*其他调用!Z61</f>
        <v>18.861829401347265</v>
      </c>
      <c r="BD62" s="52">
        <f>求节点(E$21:E$27,$O$21:$O$27,$AR62)*$AS62*其他调用!V61</f>
        <v>0</v>
      </c>
      <c r="BE62" s="52">
        <f>求节点(F$21:F$27,$O$21:$O$27,$AR62)*$AS62*其他调用!W61</f>
        <v>0</v>
      </c>
      <c r="BF62" s="52">
        <f>求节点(G$21:G$27,$O$21:$O$27,$AR62)*$AS62*其他调用!X61</f>
        <v>0</v>
      </c>
      <c r="BG62" s="52">
        <f>求节点(H$21:H$27,$O$21:$O$27,$AR62)*$AS62*其他调用!Y61</f>
        <v>0</v>
      </c>
      <c r="BH62" s="52">
        <f>求节点(I$21:I$27,$O$21:$O$27,$AR62)*$AS62*其他调用!Z61</f>
        <v>0</v>
      </c>
      <c r="BK62" s="31">
        <v>58</v>
      </c>
      <c r="BL62" s="31">
        <f>SUM(AT$5:AT62)</f>
        <v>713.76061536247823</v>
      </c>
      <c r="BM62" s="31">
        <f>SUM(AU$5:AU62)</f>
        <v>908.71430559392024</v>
      </c>
      <c r="BN62" s="31">
        <f>SUM(AV$5:AV62)</f>
        <v>992.33667639799216</v>
      </c>
      <c r="BO62" s="31">
        <f>SUM(AW$5:AW62)</f>
        <v>704.96766450982125</v>
      </c>
      <c r="BP62" s="31">
        <f>SUM(AX$5:AX62)</f>
        <v>333.4630769439176</v>
      </c>
      <c r="BQ62" s="31">
        <f>SUM(AY$5:AY62)</f>
        <v>8.9492600162046934</v>
      </c>
      <c r="BR62" s="31">
        <f>SUM(AZ$5:AZ62)</f>
        <v>21.751689493320555</v>
      </c>
      <c r="BS62" s="31">
        <f>SUM(BA$5:BA62)</f>
        <v>57.571227146201061</v>
      </c>
      <c r="BT62" s="31">
        <f>SUM(BB$5:BB62)</f>
        <v>118.71943682095522</v>
      </c>
      <c r="BU62" s="31">
        <f>SUM(BC$5:BC62)</f>
        <v>91.987683616598815</v>
      </c>
      <c r="BV62" s="31">
        <f>SUM(BD$5:BD62)</f>
        <v>0</v>
      </c>
      <c r="BW62" s="31">
        <f>SUM(BE$5:BE62)</f>
        <v>0</v>
      </c>
      <c r="BX62" s="31">
        <f>SUM(BF$5:BF62)</f>
        <v>0</v>
      </c>
      <c r="BY62" s="31">
        <f>SUM(BG$5:BG62)</f>
        <v>0</v>
      </c>
      <c r="BZ62" s="31">
        <f>SUM(BH$5:BH62)</f>
        <v>0</v>
      </c>
      <c r="CC62" s="41">
        <v>58</v>
      </c>
      <c r="CD62" s="41">
        <f t="shared" si="22"/>
        <v>32.432451791878684</v>
      </c>
      <c r="CE62" s="41">
        <f t="shared" si="23"/>
        <v>41.653452883992628</v>
      </c>
      <c r="CF62" s="41">
        <f t="shared" si="24"/>
        <v>46.670143388026688</v>
      </c>
      <c r="CG62" s="41">
        <f t="shared" si="25"/>
        <v>35.878725191675386</v>
      </c>
      <c r="CH62" s="41">
        <f t="shared" si="26"/>
        <v>18.225407389057253</v>
      </c>
      <c r="CI62" s="41">
        <f t="shared" si="27"/>
        <v>3.7030419770554621</v>
      </c>
      <c r="CJ62" s="41">
        <f t="shared" si="28"/>
        <v>4.8698468703694093</v>
      </c>
      <c r="CK62" s="41">
        <f t="shared" si="29"/>
        <v>5.8252517891829765</v>
      </c>
      <c r="CL62" s="41">
        <f t="shared" si="30"/>
        <v>5.3056298748634347</v>
      </c>
      <c r="CM62" s="41">
        <f t="shared" si="31"/>
        <v>3.0471306389685702</v>
      </c>
      <c r="CN62" s="41">
        <f t="shared" si="32"/>
        <v>0</v>
      </c>
      <c r="CO62" s="41">
        <f t="shared" si="33"/>
        <v>0</v>
      </c>
      <c r="CP62" s="41">
        <f t="shared" si="34"/>
        <v>0</v>
      </c>
      <c r="CQ62" s="41">
        <f t="shared" si="35"/>
        <v>0</v>
      </c>
      <c r="CR62" s="41">
        <f t="shared" si="36"/>
        <v>0</v>
      </c>
    </row>
    <row r="63" spans="4:96" x14ac:dyDescent="0.15">
      <c r="I63" s="37"/>
      <c r="W63" s="117">
        <v>1.05</v>
      </c>
      <c r="X63" s="31">
        <v>59</v>
      </c>
      <c r="Y63" s="113">
        <f t="shared" si="17"/>
        <v>7.1158803406182791</v>
      </c>
      <c r="Z63" s="42">
        <f t="shared" si="20"/>
        <v>0.12</v>
      </c>
      <c r="AA63" s="113">
        <f>$Y63*$Z63*其他调用!V62</f>
        <v>157.07446430661813</v>
      </c>
      <c r="AB63" s="113">
        <f>$Y63*$Z63*其他调用!W62</f>
        <v>199.11765597466209</v>
      </c>
      <c r="AC63" s="113">
        <f>$Y63*$Z63*其他调用!X62</f>
        <v>218.71300807578115</v>
      </c>
      <c r="AD63" s="113">
        <f>$Y63*$Z63*其他调用!Y62</f>
        <v>179.01543749179129</v>
      </c>
      <c r="AE63" s="113">
        <f>$Y63*$Z63*其他调用!Z62</f>
        <v>100.89281188251678</v>
      </c>
      <c r="AH63" s="31">
        <v>59</v>
      </c>
      <c r="AI63" s="31">
        <f>SUM(AA$5:AA63)</f>
        <v>1408.712878737743</v>
      </c>
      <c r="AJ63" s="31">
        <f>SUM(AB$5:AB63)</f>
        <v>1776.2672420407944</v>
      </c>
      <c r="AK63" s="31">
        <f>SUM(AC$5:AC63)</f>
        <v>1970.7155998465128</v>
      </c>
      <c r="AL63" s="31">
        <f>SUM(AD$5:AD63)</f>
        <v>1630.2549758782029</v>
      </c>
      <c r="AM63" s="31">
        <f>SUM(AE$5:AE63)</f>
        <v>903.04263276212225</v>
      </c>
      <c r="AR63" s="31">
        <v>59</v>
      </c>
      <c r="AS63" s="42">
        <f t="shared" si="21"/>
        <v>8.0000000000000016E-2</v>
      </c>
      <c r="AT63" s="52">
        <f>求节点(E$21:E$27,$M$21:$M$27,$AR63)*$AS63*其他调用!V62</f>
        <v>58.863445996983657</v>
      </c>
      <c r="AU63" s="52">
        <f>求节点(F$21:F$27,$M$21:$M$27,$AR63)*$AS63*其他调用!W62</f>
        <v>62.182563332037063</v>
      </c>
      <c r="AV63" s="52">
        <f>求节点(G$21:G$27,$M$21:$M$27,$AR63)*$AS63*其他调用!X62</f>
        <v>40.981204031278544</v>
      </c>
      <c r="AW63" s="52">
        <f>求节点(H$21:H$27,$M$21:$M$27,$AR63)*$AS63*其他调用!Y62</f>
        <v>0</v>
      </c>
      <c r="AX63" s="52">
        <f>求节点(I$21:I$27,$M$21:$M$27,$AR63)*$AS63*其他调用!Z62</f>
        <v>0</v>
      </c>
      <c r="AY63" s="52">
        <f>求节点(E$21:E$27,$N$21:$N$27,$AR63)*$AS63*其他调用!V62</f>
        <v>9.8105743328306101</v>
      </c>
      <c r="AZ63" s="52">
        <f>求节点(F$21:F$27,$N$21:$N$27,$AR63)*$AS63*其他调用!W62</f>
        <v>16.582016888543215</v>
      </c>
      <c r="BA63" s="52">
        <f>求节点(G$21:G$27,$N$21:$N$27,$AR63)*$AS63*其他调用!X62</f>
        <v>27.320802687519031</v>
      </c>
      <c r="BB63" s="52">
        <f>求节点(H$21:H$27,$N$21:$N$27,$AR63)*$AS63*其他调用!Y62</f>
        <v>33.542898216907929</v>
      </c>
      <c r="BC63" s="52">
        <f>求节点(I$21:I$27,$N$21:$N$27,$AR63)*$AS63*其他调用!Z62</f>
        <v>22.685668010825601</v>
      </c>
      <c r="BD63" s="52">
        <f>求节点(E$21:E$27,$O$21:$O$27,$AR63)*$AS63*其他调用!V62</f>
        <v>0</v>
      </c>
      <c r="BE63" s="52">
        <f>求节点(F$21:F$27,$O$21:$O$27,$AR63)*$AS63*其他调用!W62</f>
        <v>0</v>
      </c>
      <c r="BF63" s="52">
        <f>求节点(G$21:G$27,$O$21:$O$27,$AR63)*$AS63*其他调用!X62</f>
        <v>0</v>
      </c>
      <c r="BG63" s="52">
        <f>求节点(H$21:H$27,$O$21:$O$27,$AR63)*$AS63*其他调用!Y62</f>
        <v>0</v>
      </c>
      <c r="BH63" s="52">
        <f>求节点(I$21:I$27,$O$21:$O$27,$AR63)*$AS63*其他调用!Z62</f>
        <v>0</v>
      </c>
      <c r="BK63" s="31">
        <v>59</v>
      </c>
      <c r="BL63" s="31">
        <f>SUM(AT$5:AT63)</f>
        <v>772.62406135946185</v>
      </c>
      <c r="BM63" s="31">
        <f>SUM(AU$5:AU63)</f>
        <v>970.89686892595728</v>
      </c>
      <c r="BN63" s="31">
        <f>SUM(AV$5:AV63)</f>
        <v>1033.3178804292706</v>
      </c>
      <c r="BO63" s="31">
        <f>SUM(AW$5:AW63)</f>
        <v>704.96766450982125</v>
      </c>
      <c r="BP63" s="31">
        <f>SUM(AX$5:AX63)</f>
        <v>333.4630769439176</v>
      </c>
      <c r="BQ63" s="31">
        <f>SUM(AY$5:AY63)</f>
        <v>18.759834349035302</v>
      </c>
      <c r="BR63" s="31">
        <f>SUM(AZ$5:AZ63)</f>
        <v>38.33370638186377</v>
      </c>
      <c r="BS63" s="31">
        <f>SUM(BA$5:BA63)</f>
        <v>84.892029833720088</v>
      </c>
      <c r="BT63" s="31">
        <f>SUM(BB$5:BB63)</f>
        <v>152.26233503786315</v>
      </c>
      <c r="BU63" s="31">
        <f>SUM(BC$5:BC63)</f>
        <v>114.67335162742441</v>
      </c>
      <c r="BV63" s="31">
        <f>SUM(BD$5:BD63)</f>
        <v>0</v>
      </c>
      <c r="BW63" s="31">
        <f>SUM(BE$5:BE63)</f>
        <v>0</v>
      </c>
      <c r="BX63" s="31">
        <f>SUM(BF$5:BF63)</f>
        <v>0</v>
      </c>
      <c r="BY63" s="31">
        <f>SUM(BG$5:BG63)</f>
        <v>0</v>
      </c>
      <c r="BZ63" s="31">
        <f>SUM(BH$5:BH63)</f>
        <v>0</v>
      </c>
      <c r="CC63" s="41">
        <v>59</v>
      </c>
      <c r="CD63" s="41">
        <f t="shared" si="22"/>
        <v>35.424676963392017</v>
      </c>
      <c r="CE63" s="41">
        <f t="shared" si="23"/>
        <v>45.032038825033311</v>
      </c>
      <c r="CF63" s="41">
        <f t="shared" si="24"/>
        <v>49.470525663497384</v>
      </c>
      <c r="CG63" s="41">
        <f t="shared" si="25"/>
        <v>37.052726629267163</v>
      </c>
      <c r="CH63" s="41">
        <f t="shared" si="26"/>
        <v>19.019405769436148</v>
      </c>
      <c r="CI63" s="41">
        <f t="shared" si="27"/>
        <v>4.1445178220328396</v>
      </c>
      <c r="CJ63" s="41">
        <f t="shared" si="28"/>
        <v>5.429489940357743</v>
      </c>
      <c r="CK63" s="41">
        <f t="shared" si="29"/>
        <v>6.4399698496521554</v>
      </c>
      <c r="CL63" s="41">
        <f t="shared" si="30"/>
        <v>5.8087733481170529</v>
      </c>
      <c r="CM63" s="41">
        <f t="shared" si="31"/>
        <v>3.3874156591309541</v>
      </c>
      <c r="CN63" s="41">
        <f t="shared" si="32"/>
        <v>0</v>
      </c>
      <c r="CO63" s="41">
        <f t="shared" si="33"/>
        <v>0</v>
      </c>
      <c r="CP63" s="41">
        <f t="shared" si="34"/>
        <v>0</v>
      </c>
      <c r="CQ63" s="41">
        <f t="shared" si="35"/>
        <v>0</v>
      </c>
      <c r="CR63" s="41">
        <f t="shared" si="36"/>
        <v>0</v>
      </c>
    </row>
    <row r="64" spans="4:96" x14ac:dyDescent="0.15">
      <c r="D64" s="117"/>
      <c r="E64" s="117"/>
      <c r="F64" s="117"/>
      <c r="G64" s="117"/>
      <c r="H64" s="117"/>
      <c r="W64" s="117">
        <v>1.05</v>
      </c>
      <c r="X64" s="31">
        <v>60</v>
      </c>
      <c r="Y64" s="113">
        <f t="shared" si="17"/>
        <v>7.4716743576491931</v>
      </c>
      <c r="Z64" s="42">
        <f t="shared" si="20"/>
        <v>0.12</v>
      </c>
      <c r="AA64" s="113">
        <f>$Y64*$Z64*其他调用!V63</f>
        <v>176.76565461023091</v>
      </c>
      <c r="AB64" s="113">
        <f>$Y64*$Z64*其他调用!W63</f>
        <v>219.21190725412686</v>
      </c>
      <c r="AC64" s="113">
        <f>$Y64*$Z64*其他调用!X63</f>
        <v>243.89748031727487</v>
      </c>
      <c r="AD64" s="113">
        <f>$Y64*$Z64*其他调用!Y63</f>
        <v>203.42222574203376</v>
      </c>
      <c r="AE64" s="113">
        <f>$Y64*$Z64*其他调用!Z63</f>
        <v>117.53309469957358</v>
      </c>
      <c r="AH64" s="31">
        <v>60</v>
      </c>
      <c r="AI64" s="31">
        <f>SUM(AA$5:AA64)</f>
        <v>1585.478533347974</v>
      </c>
      <c r="AJ64" s="31">
        <f>SUM(AB$5:AB64)</f>
        <v>1995.4791492949212</v>
      </c>
      <c r="AK64" s="31">
        <f>SUM(AC$5:AC64)</f>
        <v>2214.6130801637878</v>
      </c>
      <c r="AL64" s="31">
        <f>SUM(AD$5:AD64)</f>
        <v>1833.6772016202367</v>
      </c>
      <c r="AM64" s="31">
        <f>SUM(AE$5:AE64)</f>
        <v>1020.5757274616958</v>
      </c>
      <c r="AR64" s="31">
        <v>60</v>
      </c>
      <c r="AS64" s="42">
        <f t="shared" si="21"/>
        <v>8.0000000000000016E-2</v>
      </c>
      <c r="AT64" s="52">
        <f>求节点(E$21:E$27,$M$21:$M$27,$AR64)*$AS64*其他调用!V63</f>
        <v>52.573566110836701</v>
      </c>
      <c r="AU64" s="52">
        <f>求节点(F$21:F$27,$M$21:$M$27,$AR64)*$AS64*其他调用!W63</f>
        <v>52.158330072522624</v>
      </c>
      <c r="AV64" s="52">
        <f>求节点(G$21:G$27,$M$21:$M$27,$AR64)*$AS64*其他调用!X63</f>
        <v>29.015954109412384</v>
      </c>
      <c r="AW64" s="52">
        <f>求节点(H$21:H$27,$M$21:$M$27,$AR64)*$AS64*其他调用!Y63</f>
        <v>0</v>
      </c>
      <c r="AX64" s="52">
        <f>求节点(I$21:I$27,$M$21:$M$27,$AR64)*$AS64*其他调用!Z63</f>
        <v>0</v>
      </c>
      <c r="AY64" s="52">
        <f>求节点(E$21:E$27,$N$21:$N$27,$AR64)*$AS64*其他调用!V63</f>
        <v>14.019617629556453</v>
      </c>
      <c r="AZ64" s="52">
        <f>求节点(F$21:F$27,$N$21:$N$27,$AR64)*$AS64*其他调用!W63</f>
        <v>21.732637530217758</v>
      </c>
      <c r="BA64" s="52">
        <f>求节点(G$21:G$27,$N$21:$N$27,$AR64)*$AS64*其他调用!X63</f>
        <v>33.851946460981097</v>
      </c>
      <c r="BB64" s="52">
        <f>求节点(H$21:H$27,$N$21:$N$27,$AR64)*$AS64*其他调用!Y63</f>
        <v>40.838682737915065</v>
      </c>
      <c r="BC64" s="52">
        <f>求节点(I$21:I$27,$N$21:$N$27,$AR64)*$AS64*其他调用!Z63</f>
        <v>27.266181723247879</v>
      </c>
      <c r="BD64" s="52">
        <f>求节点(E$21:E$27,$O$21:$O$27,$AR64)*$AS64*其他调用!V63</f>
        <v>0</v>
      </c>
      <c r="BE64" s="52">
        <f>求节点(F$21:F$27,$O$21:$O$27,$AR64)*$AS64*其他调用!W63</f>
        <v>0</v>
      </c>
      <c r="BF64" s="52">
        <f>求节点(G$21:G$27,$O$21:$O$27,$AR64)*$AS64*其他调用!X63</f>
        <v>0</v>
      </c>
      <c r="BG64" s="52">
        <f>求节点(H$21:H$27,$O$21:$O$27,$AR64)*$AS64*其他调用!Y63</f>
        <v>0</v>
      </c>
      <c r="BH64" s="52">
        <f>求节点(I$21:I$27,$O$21:$O$27,$AR64)*$AS64*其他调用!Z63</f>
        <v>0</v>
      </c>
      <c r="BK64" s="31">
        <v>60</v>
      </c>
      <c r="BL64" s="31">
        <f>SUM(AT$5:AT64)</f>
        <v>825.19762747029858</v>
      </c>
      <c r="BM64" s="31">
        <f>SUM(AU$5:AU64)</f>
        <v>1023.0551989984799</v>
      </c>
      <c r="BN64" s="31">
        <f>SUM(AV$5:AV64)</f>
        <v>1062.333834538683</v>
      </c>
      <c r="BO64" s="31">
        <f>SUM(AW$5:AW64)</f>
        <v>704.96766450982125</v>
      </c>
      <c r="BP64" s="31">
        <f>SUM(AX$5:AX64)</f>
        <v>333.4630769439176</v>
      </c>
      <c r="BQ64" s="31">
        <f>SUM(AY$5:AY64)</f>
        <v>32.779451978591752</v>
      </c>
      <c r="BR64" s="31">
        <f>SUM(AZ$5:AZ64)</f>
        <v>60.066343912081528</v>
      </c>
      <c r="BS64" s="31">
        <f>SUM(BA$5:BA64)</f>
        <v>118.74397629470118</v>
      </c>
      <c r="BT64" s="31">
        <f>SUM(BB$5:BB64)</f>
        <v>193.10101777577822</v>
      </c>
      <c r="BU64" s="31">
        <f>SUM(BC$5:BC64)</f>
        <v>141.93953335067229</v>
      </c>
      <c r="BV64" s="31">
        <f>SUM(BD$5:BD64)</f>
        <v>0</v>
      </c>
      <c r="BW64" s="31">
        <f>SUM(BE$5:BE64)</f>
        <v>0</v>
      </c>
      <c r="BX64" s="31">
        <f>SUM(BF$5:BF64)</f>
        <v>0</v>
      </c>
      <c r="BY64" s="31">
        <f>SUM(BG$5:BG64)</f>
        <v>0</v>
      </c>
      <c r="BZ64" s="31">
        <f>SUM(BH$5:BH64)</f>
        <v>0</v>
      </c>
      <c r="CC64" s="41">
        <v>60</v>
      </c>
      <c r="CD64" s="41">
        <f t="shared" si="22"/>
        <v>38.281174055414148</v>
      </c>
      <c r="CE64" s="41">
        <f t="shared" si="23"/>
        <v>48.139805991854452</v>
      </c>
      <c r="CF64" s="41">
        <f t="shared" si="24"/>
        <v>51.961061724555279</v>
      </c>
      <c r="CG64" s="41">
        <f t="shared" si="25"/>
        <v>38.48208052509419</v>
      </c>
      <c r="CH64" s="41">
        <f t="shared" si="26"/>
        <v>19.973722129749824</v>
      </c>
      <c r="CI64" s="41">
        <f t="shared" si="27"/>
        <v>4.6176799170303697</v>
      </c>
      <c r="CJ64" s="41">
        <f t="shared" si="28"/>
        <v>6.0162711536736229</v>
      </c>
      <c r="CK64" s="41">
        <f t="shared" si="29"/>
        <v>7.0928288171139329</v>
      </c>
      <c r="CL64" s="41">
        <f t="shared" si="30"/>
        <v>6.4213535891857791</v>
      </c>
      <c r="CM64" s="41">
        <f t="shared" si="31"/>
        <v>3.7964083849796721</v>
      </c>
      <c r="CN64" s="41">
        <f t="shared" si="32"/>
        <v>0</v>
      </c>
      <c r="CO64" s="41">
        <f t="shared" si="33"/>
        <v>0</v>
      </c>
      <c r="CP64" s="41">
        <f t="shared" si="34"/>
        <v>0</v>
      </c>
      <c r="CQ64" s="41">
        <f t="shared" si="35"/>
        <v>0</v>
      </c>
      <c r="CR64" s="41">
        <f t="shared" si="36"/>
        <v>0</v>
      </c>
    </row>
    <row r="65" spans="4:96" x14ac:dyDescent="0.15">
      <c r="D65" s="117"/>
      <c r="E65" s="117"/>
      <c r="F65" s="117"/>
      <c r="G65" s="117"/>
      <c r="H65" s="117"/>
      <c r="W65" s="117">
        <v>1.05</v>
      </c>
      <c r="X65" s="31">
        <v>61</v>
      </c>
      <c r="Y65" s="113">
        <f t="shared" si="17"/>
        <v>7.8452580755316532</v>
      </c>
      <c r="Z65" s="42">
        <f t="shared" si="20"/>
        <v>0.12</v>
      </c>
      <c r="AA65" s="113">
        <f>$Y65*$Z65*其他调用!V64</f>
        <v>198.92537458405684</v>
      </c>
      <c r="AB65" s="113">
        <f>$Y65*$Z65*其他调用!W64</f>
        <v>252.76436605259227</v>
      </c>
      <c r="AC65" s="113">
        <f>$Y65*$Z65*其他调用!X64</f>
        <v>279.32495674040177</v>
      </c>
      <c r="AD65" s="113">
        <f>$Y65*$Z65*其他调用!Y64</f>
        <v>234.59640950635995</v>
      </c>
      <c r="AE65" s="113">
        <f>$Y65*$Z65*其他调用!Z64</f>
        <v>128.560864983865</v>
      </c>
      <c r="AH65" s="31">
        <v>61</v>
      </c>
      <c r="AI65" s="31">
        <f>SUM(AA$5:AA65)</f>
        <v>1784.403907932031</v>
      </c>
      <c r="AJ65" s="31">
        <f>SUM(AB$5:AB65)</f>
        <v>2248.2435153475135</v>
      </c>
      <c r="AK65" s="31">
        <f>SUM(AC$5:AC65)</f>
        <v>2493.9380369041896</v>
      </c>
      <c r="AL65" s="31">
        <f>SUM(AD$5:AD65)</f>
        <v>2068.2736111265967</v>
      </c>
      <c r="AM65" s="31">
        <f>SUM(AE$5:AE65)</f>
        <v>1149.1365924455608</v>
      </c>
      <c r="AR65" s="31">
        <v>61</v>
      </c>
      <c r="AS65" s="42">
        <f t="shared" si="21"/>
        <v>8.0000000000000016E-2</v>
      </c>
      <c r="AT65" s="52">
        <f>求节点(E$21:E$27,$M$21:$M$27,$AR65)*$AS65*其他调用!V64</f>
        <v>45.077562390793773</v>
      </c>
      <c r="AU65" s="52">
        <f>求节点(F$21:F$27,$M$21:$M$27,$AR65)*$AS65*其他调用!W64</f>
        <v>42.958326098654297</v>
      </c>
      <c r="AV65" s="52">
        <f>求节点(G$21:G$27,$M$21:$M$27,$AR65)*$AS65*其他调用!X64</f>
        <v>15.824135295835182</v>
      </c>
      <c r="AW65" s="52">
        <f>求节点(H$21:H$27,$M$21:$M$27,$AR65)*$AS65*其他调用!Y64</f>
        <v>0</v>
      </c>
      <c r="AX65" s="52">
        <f>求节点(I$21:I$27,$M$21:$M$27,$AR65)*$AS65*其他调用!Z64</f>
        <v>0</v>
      </c>
      <c r="AY65" s="52">
        <f>求节点(E$21:E$27,$N$21:$N$27,$AR65)*$AS65*其他调用!V64</f>
        <v>18.782317662830735</v>
      </c>
      <c r="AZ65" s="52">
        <f>求节点(F$21:F$27,$N$21:$N$27,$AR65)*$AS65*其他调用!W64</f>
        <v>28.638884065769531</v>
      </c>
      <c r="BA65" s="52">
        <f>求节点(G$21:G$27,$N$21:$N$27,$AR65)*$AS65*其他调用!X64</f>
        <v>42.197694122227134</v>
      </c>
      <c r="BB65" s="52">
        <f>求节点(H$21:H$27,$N$21:$N$27,$AR65)*$AS65*其他调用!Y64</f>
        <v>49.838260523690508</v>
      </c>
      <c r="BC65" s="52">
        <f>求节点(I$21:I$27,$N$21:$N$27,$AR65)*$AS65*其他调用!Z64</f>
        <v>30.589214400949057</v>
      </c>
      <c r="BD65" s="52">
        <f>求节点(E$21:E$27,$O$21:$O$27,$AR65)*$AS65*其他调用!V64</f>
        <v>0</v>
      </c>
      <c r="BE65" s="52">
        <f>求节点(F$21:F$27,$O$21:$O$27,$AR65)*$AS65*其他调用!W64</f>
        <v>0</v>
      </c>
      <c r="BF65" s="52">
        <f>求节点(G$21:G$27,$O$21:$O$27,$AR65)*$AS65*其他调用!X64</f>
        <v>0</v>
      </c>
      <c r="BG65" s="52">
        <f>求节点(H$21:H$27,$O$21:$O$27,$AR65)*$AS65*其他调用!Y64</f>
        <v>0</v>
      </c>
      <c r="BH65" s="52">
        <f>求节点(I$21:I$27,$O$21:$O$27,$AR65)*$AS65*其他调用!Z64</f>
        <v>0</v>
      </c>
      <c r="BK65" s="31">
        <v>61</v>
      </c>
      <c r="BL65" s="31">
        <f>SUM(AT$5:AT65)</f>
        <v>870.27518986109237</v>
      </c>
      <c r="BM65" s="31">
        <f>SUM(AU$5:AU65)</f>
        <v>1066.0135250971341</v>
      </c>
      <c r="BN65" s="31">
        <f>SUM(AV$5:AV65)</f>
        <v>1078.1579698345183</v>
      </c>
      <c r="BO65" s="31">
        <f>SUM(AW$5:AW65)</f>
        <v>704.96766450982125</v>
      </c>
      <c r="BP65" s="31">
        <f>SUM(AX$5:AX65)</f>
        <v>333.4630769439176</v>
      </c>
      <c r="BQ65" s="31">
        <f>SUM(AY$5:AY65)</f>
        <v>51.561769641422487</v>
      </c>
      <c r="BR65" s="31">
        <f>SUM(AZ$5:AZ65)</f>
        <v>88.705227977851052</v>
      </c>
      <c r="BS65" s="31">
        <f>SUM(BA$5:BA65)</f>
        <v>160.94167041692833</v>
      </c>
      <c r="BT65" s="31">
        <f>SUM(BB$5:BB65)</f>
        <v>242.93927829946873</v>
      </c>
      <c r="BU65" s="31">
        <f>SUM(BC$5:BC65)</f>
        <v>172.52874775162135</v>
      </c>
      <c r="BV65" s="31">
        <f>SUM(BD$5:BD65)</f>
        <v>0</v>
      </c>
      <c r="BW65" s="31">
        <f>SUM(BE$5:BE65)</f>
        <v>0</v>
      </c>
      <c r="BX65" s="31">
        <f>SUM(BF$5:BF65)</f>
        <v>0</v>
      </c>
      <c r="BY65" s="31">
        <f>SUM(BG$5:BG65)</f>
        <v>0</v>
      </c>
      <c r="BZ65" s="31">
        <f>SUM(BH$5:BH65)</f>
        <v>0</v>
      </c>
      <c r="CC65" s="41">
        <v>61</v>
      </c>
      <c r="CD65" s="41">
        <f t="shared" si="22"/>
        <v>40.967045481198944</v>
      </c>
      <c r="CE65" s="41">
        <f t="shared" si="23"/>
        <v>51.075291608595826</v>
      </c>
      <c r="CF65" s="41">
        <f t="shared" si="24"/>
        <v>54.150067107145809</v>
      </c>
      <c r="CG65" s="41">
        <f t="shared" si="25"/>
        <v>40.226419643423363</v>
      </c>
      <c r="CH65" s="41">
        <f t="shared" si="26"/>
        <v>21.044344633783041</v>
      </c>
      <c r="CI65" s="41">
        <f t="shared" si="27"/>
        <v>5.1248024939267989</v>
      </c>
      <c r="CJ65" s="41">
        <f t="shared" si="28"/>
        <v>6.6606460451534373</v>
      </c>
      <c r="CK65" s="41">
        <f t="shared" si="29"/>
        <v>7.804914905426517</v>
      </c>
      <c r="CL65" s="41">
        <f t="shared" si="30"/>
        <v>7.1689274970411363</v>
      </c>
      <c r="CM65" s="41">
        <f t="shared" si="31"/>
        <v>4.2552466009939085</v>
      </c>
      <c r="CN65" s="41">
        <f t="shared" si="32"/>
        <v>0</v>
      </c>
      <c r="CO65" s="41">
        <f t="shared" si="33"/>
        <v>0</v>
      </c>
      <c r="CP65" s="41">
        <f t="shared" si="34"/>
        <v>0</v>
      </c>
      <c r="CQ65" s="41">
        <f t="shared" si="35"/>
        <v>0</v>
      </c>
      <c r="CR65" s="41">
        <f t="shared" si="36"/>
        <v>0</v>
      </c>
    </row>
    <row r="66" spans="4:96" x14ac:dyDescent="0.15">
      <c r="W66" s="117">
        <v>1.05</v>
      </c>
      <c r="X66" s="31">
        <v>62</v>
      </c>
      <c r="Y66" s="113">
        <f t="shared" si="17"/>
        <v>8.2375209793082362</v>
      </c>
      <c r="Z66" s="42">
        <f t="shared" si="20"/>
        <v>0.12</v>
      </c>
      <c r="AA66" s="113">
        <f>$Y66*$Z66*其他调用!V65</f>
        <v>223.86308437949955</v>
      </c>
      <c r="AB66" s="113">
        <f>$Y66*$Z66*其他调用!W65</f>
        <v>281.22184312791154</v>
      </c>
      <c r="AC66" s="113">
        <f>$Y66*$Z66*其他调用!X65</f>
        <v>317.60330341719759</v>
      </c>
      <c r="AD66" s="113">
        <f>$Y66*$Z66*其他调用!Y65</f>
        <v>266.42434564753387</v>
      </c>
      <c r="AE66" s="113">
        <f>$Y66*$Z66*其他调用!Z65</f>
        <v>154.96335221862068</v>
      </c>
      <c r="AH66" s="31">
        <v>62</v>
      </c>
      <c r="AI66" s="31">
        <f>SUM(AA$5:AA66)</f>
        <v>2008.2669923115304</v>
      </c>
      <c r="AJ66" s="31">
        <f>SUM(AB$5:AB66)</f>
        <v>2529.4653584754251</v>
      </c>
      <c r="AK66" s="31">
        <f>SUM(AC$5:AC66)</f>
        <v>2811.541340321387</v>
      </c>
      <c r="AL66" s="31">
        <f>SUM(AD$5:AD66)</f>
        <v>2334.6979567741305</v>
      </c>
      <c r="AM66" s="31">
        <f>SUM(AE$5:AE66)</f>
        <v>1304.0999446641815</v>
      </c>
      <c r="AR66" s="31">
        <v>62</v>
      </c>
      <c r="AS66" s="42">
        <f t="shared" si="21"/>
        <v>8.0000000000000016E-2</v>
      </c>
      <c r="AT66" s="52">
        <f>求节点(E$21:E$27,$M$21:$M$27,$AR66)*$AS66*其他调用!V65</f>
        <v>36.234701344707872</v>
      </c>
      <c r="AU66" s="52">
        <f>求节点(F$21:F$27,$M$21:$M$27,$AR66)*$AS66*其他调用!W65</f>
        <v>30.345898031357372</v>
      </c>
      <c r="AV66" s="52">
        <f>求节点(G$21:G$27,$M$21:$M$27,$AR66)*$AS66*其他调用!X65</f>
        <v>0</v>
      </c>
      <c r="AW66" s="52">
        <f>求节点(H$21:H$27,$M$21:$M$27,$AR66)*$AS66*其他调用!Y65</f>
        <v>0</v>
      </c>
      <c r="AX66" s="52">
        <f>求节点(I$21:I$27,$M$21:$M$27,$AR66)*$AS66*其他调用!Z65</f>
        <v>0</v>
      </c>
      <c r="AY66" s="52">
        <f>求节点(E$21:E$27,$N$21:$N$27,$AR66)*$AS66*其他调用!V65</f>
        <v>24.15646756313858</v>
      </c>
      <c r="AZ66" s="52">
        <f>求节点(F$21:F$27,$N$21:$N$27,$AR66)*$AS66*其他调用!W65</f>
        <v>35.403547703250254</v>
      </c>
      <c r="BA66" s="52">
        <f>求节点(G$21:G$27,$N$21:$N$27,$AR66)*$AS66*其他调用!X65</f>
        <v>51.40758637054082</v>
      </c>
      <c r="BB66" s="52">
        <f>求节点(H$21:H$27,$N$21:$N$27,$AR66)*$AS66*其他调用!Y65</f>
        <v>59.295100420874888</v>
      </c>
      <c r="BC66" s="52">
        <f>求节点(I$21:I$27,$N$21:$N$27,$AR66)*$AS66*其他调用!Z65</f>
        <v>37.623783322160129</v>
      </c>
      <c r="BD66" s="52">
        <f>求节点(E$21:E$27,$O$21:$O$27,$AR66)*$AS66*其他调用!V65</f>
        <v>0</v>
      </c>
      <c r="BE66" s="52">
        <f>求节点(F$21:F$27,$O$21:$O$27,$AR66)*$AS66*其他调用!W65</f>
        <v>0</v>
      </c>
      <c r="BF66" s="52">
        <f>求节点(G$21:G$27,$O$21:$O$27,$AR66)*$AS66*其他调用!X65</f>
        <v>0</v>
      </c>
      <c r="BG66" s="52">
        <f>求节点(H$21:H$27,$O$21:$O$27,$AR66)*$AS66*其他调用!Y65</f>
        <v>0</v>
      </c>
      <c r="BH66" s="52">
        <f>求节点(I$21:I$27,$O$21:$O$27,$AR66)*$AS66*其他调用!Z65</f>
        <v>0</v>
      </c>
      <c r="BK66" s="31">
        <v>62</v>
      </c>
      <c r="BL66" s="31">
        <f>SUM(AT$5:AT66)</f>
        <v>906.50989120580027</v>
      </c>
      <c r="BM66" s="31">
        <f>SUM(AU$5:AU66)</f>
        <v>1096.3594231284915</v>
      </c>
      <c r="BN66" s="31">
        <f>SUM(AV$5:AV66)</f>
        <v>1078.1579698345183</v>
      </c>
      <c r="BO66" s="31">
        <f>SUM(AW$5:AW66)</f>
        <v>704.96766450982125</v>
      </c>
      <c r="BP66" s="31">
        <f>SUM(AX$5:AX66)</f>
        <v>333.4630769439176</v>
      </c>
      <c r="BQ66" s="31">
        <f>SUM(AY$5:AY66)</f>
        <v>75.718237204561063</v>
      </c>
      <c r="BR66" s="31">
        <f>SUM(AZ$5:AZ66)</f>
        <v>124.10877568110131</v>
      </c>
      <c r="BS66" s="31">
        <f>SUM(BA$5:BA66)</f>
        <v>212.34925678746916</v>
      </c>
      <c r="BT66" s="31">
        <f>SUM(BB$5:BB66)</f>
        <v>302.23437872034361</v>
      </c>
      <c r="BU66" s="31">
        <f>SUM(BC$5:BC66)</f>
        <v>210.15253107378149</v>
      </c>
      <c r="BV66" s="31">
        <f>SUM(BD$5:BD66)</f>
        <v>0</v>
      </c>
      <c r="BW66" s="31">
        <f>SUM(BE$5:BE66)</f>
        <v>0</v>
      </c>
      <c r="BX66" s="31">
        <f>SUM(BF$5:BF66)</f>
        <v>0</v>
      </c>
      <c r="BY66" s="31">
        <f>SUM(BG$5:BG66)</f>
        <v>0</v>
      </c>
      <c r="BZ66" s="31">
        <f>SUM(BH$5:BH66)</f>
        <v>0</v>
      </c>
      <c r="CC66" s="41">
        <v>62</v>
      </c>
      <c r="CD66" s="41">
        <f t="shared" si="22"/>
        <v>43.443083406420655</v>
      </c>
      <c r="CE66" s="41">
        <f t="shared" si="23"/>
        <v>53.679981189620662</v>
      </c>
      <c r="CF66" s="41">
        <f t="shared" si="24"/>
        <v>55.949332630114746</v>
      </c>
      <c r="CG66" s="41">
        <f t="shared" si="25"/>
        <v>42.301748158153984</v>
      </c>
      <c r="CH66" s="41">
        <f t="shared" si="26"/>
        <v>22.361177050058647</v>
      </c>
      <c r="CI66" s="41">
        <f t="shared" si="27"/>
        <v>5.6683230140974175</v>
      </c>
      <c r="CJ66" s="41">
        <f t="shared" si="28"/>
        <v>7.3434287508589779</v>
      </c>
      <c r="CK66" s="41">
        <f t="shared" si="29"/>
        <v>8.5760287009846277</v>
      </c>
      <c r="CL66" s="41">
        <f t="shared" si="30"/>
        <v>8.0583540033542604</v>
      </c>
      <c r="CM66" s="41">
        <f t="shared" si="31"/>
        <v>4.8196033508263101</v>
      </c>
      <c r="CN66" s="41">
        <f t="shared" si="32"/>
        <v>0</v>
      </c>
      <c r="CO66" s="41">
        <f t="shared" si="33"/>
        <v>0</v>
      </c>
      <c r="CP66" s="41">
        <f t="shared" si="34"/>
        <v>0</v>
      </c>
      <c r="CQ66" s="41">
        <f t="shared" si="35"/>
        <v>0</v>
      </c>
      <c r="CR66" s="41">
        <f t="shared" si="36"/>
        <v>0</v>
      </c>
    </row>
    <row r="67" spans="4:96" x14ac:dyDescent="0.15">
      <c r="W67" s="117">
        <v>1.05</v>
      </c>
      <c r="X67" s="31">
        <v>63</v>
      </c>
      <c r="Y67" s="113">
        <f t="shared" si="17"/>
        <v>8.6493970282736488</v>
      </c>
      <c r="Z67" s="42">
        <f t="shared" si="20"/>
        <v>0.12</v>
      </c>
      <c r="AA67" s="113">
        <f>$Y67*$Z67*其他调用!V66</f>
        <v>251.92703873344385</v>
      </c>
      <c r="AB67" s="113">
        <f>$Y67*$Z67*其他调用!W66</f>
        <v>321.77466715860169</v>
      </c>
      <c r="AC67" s="113">
        <f>$Y67*$Z67*其他调用!X66</f>
        <v>356.20177370717465</v>
      </c>
      <c r="AD67" s="113">
        <f>$Y67*$Z67*其他调用!Y66</f>
        <v>302.71909208303964</v>
      </c>
      <c r="AE67" s="113">
        <f>$Y67*$Z67*其他调用!Z66</f>
        <v>168.47990515962132</v>
      </c>
      <c r="AH67" s="31">
        <v>63</v>
      </c>
      <c r="AI67" s="31">
        <f>SUM(AA$5:AA67)</f>
        <v>2260.1940310449745</v>
      </c>
      <c r="AJ67" s="31">
        <f>SUM(AB$5:AB67)</f>
        <v>2851.240025634027</v>
      </c>
      <c r="AK67" s="31">
        <f>SUM(AC$5:AC67)</f>
        <v>3167.7431140285616</v>
      </c>
      <c r="AL67" s="31">
        <f>SUM(AD$5:AD67)</f>
        <v>2637.4170488571699</v>
      </c>
      <c r="AM67" s="31">
        <f>SUM(AE$5:AE67)</f>
        <v>1472.5798498238028</v>
      </c>
      <c r="AR67" s="31">
        <v>63</v>
      </c>
      <c r="AS67" s="42">
        <f t="shared" si="21"/>
        <v>8.0000000000000016E-2</v>
      </c>
      <c r="AT67" s="52">
        <f>求节点(E$21:E$27,$M$21:$M$27,$AR67)*$AS67*其他调用!V66</f>
        <v>25.89026088279067</v>
      </c>
      <c r="AU67" s="52">
        <f>求节点(F$21:F$27,$M$21:$M$27,$AR67)*$AS67*其他调用!W66</f>
        <v>16.534211889466786</v>
      </c>
      <c r="AV67" s="52">
        <f>求节点(G$21:G$27,$M$21:$M$27,$AR67)*$AS67*其他调用!X66</f>
        <v>0</v>
      </c>
      <c r="AW67" s="52">
        <f>求节点(H$21:H$27,$M$21:$M$27,$AR67)*$AS67*其他调用!Y66</f>
        <v>0</v>
      </c>
      <c r="AX67" s="52">
        <f>求节点(I$21:I$27,$M$21:$M$27,$AR67)*$AS67*其他调用!Z66</f>
        <v>0</v>
      </c>
      <c r="AY67" s="52">
        <f>求节点(E$21:E$27,$N$21:$N$27,$AR67)*$AS67*其他调用!V66</f>
        <v>30.205304363255767</v>
      </c>
      <c r="AZ67" s="52">
        <f>求节点(F$21:F$27,$N$21:$N$27,$AR67)*$AS67*其他调用!W66</f>
        <v>44.091231705244745</v>
      </c>
      <c r="BA67" s="52">
        <f>求节点(G$21:G$27,$N$21:$N$27,$AR67)*$AS67*其他调用!X66</f>
        <v>61.773399788933581</v>
      </c>
      <c r="BB67" s="52">
        <f>求节点(H$21:H$27,$N$21:$N$27,$AR67)*$AS67*其他调用!Y66</f>
        <v>69.997733042776062</v>
      </c>
      <c r="BC67" s="52">
        <f>求节点(I$21:I$27,$N$21:$N$27,$AR67)*$AS67*其他调用!Z66</f>
        <v>41.554780812922992</v>
      </c>
      <c r="BD67" s="52">
        <f>求节点(E$21:E$27,$O$21:$O$27,$AR67)*$AS67*其他调用!V66</f>
        <v>0</v>
      </c>
      <c r="BE67" s="52">
        <f>求节点(F$21:F$27,$O$21:$O$27,$AR67)*$AS67*其他调用!W66</f>
        <v>0</v>
      </c>
      <c r="BF67" s="52">
        <f>求节点(G$21:G$27,$O$21:$O$27,$AR67)*$AS67*其他调用!X66</f>
        <v>0</v>
      </c>
      <c r="BG67" s="52">
        <f>求节点(H$21:H$27,$O$21:$O$27,$AR67)*$AS67*其他调用!Y66</f>
        <v>0</v>
      </c>
      <c r="BH67" s="52">
        <f>求节点(I$21:I$27,$O$21:$O$27,$AR67)*$AS67*其他调用!Z66</f>
        <v>0</v>
      </c>
      <c r="BK67" s="31">
        <v>63</v>
      </c>
      <c r="BL67" s="31">
        <f>SUM(AT$5:AT67)</f>
        <v>932.40015208859097</v>
      </c>
      <c r="BM67" s="31">
        <f>SUM(AU$5:AU67)</f>
        <v>1112.8936350179583</v>
      </c>
      <c r="BN67" s="31">
        <f>SUM(AV$5:AV67)</f>
        <v>1078.1579698345183</v>
      </c>
      <c r="BO67" s="31">
        <f>SUM(AW$5:AW67)</f>
        <v>704.96766450982125</v>
      </c>
      <c r="BP67" s="31">
        <f>SUM(AX$5:AX67)</f>
        <v>333.4630769439176</v>
      </c>
      <c r="BQ67" s="31">
        <f>SUM(AY$5:AY67)</f>
        <v>105.92354156781683</v>
      </c>
      <c r="BR67" s="31">
        <f>SUM(AZ$5:AZ67)</f>
        <v>168.20000738634604</v>
      </c>
      <c r="BS67" s="31">
        <f>SUM(BA$5:BA67)</f>
        <v>274.12265657640273</v>
      </c>
      <c r="BT67" s="31">
        <f>SUM(BB$5:BB67)</f>
        <v>372.23211176311969</v>
      </c>
      <c r="BU67" s="31">
        <f>SUM(BC$5:BC67)</f>
        <v>251.70731188670447</v>
      </c>
      <c r="BV67" s="31">
        <f>SUM(BD$5:BD67)</f>
        <v>0</v>
      </c>
      <c r="BW67" s="31">
        <f>SUM(BE$5:BE67)</f>
        <v>0</v>
      </c>
      <c r="BX67" s="31">
        <f>SUM(BF$5:BF67)</f>
        <v>0</v>
      </c>
      <c r="BY67" s="31">
        <f>SUM(BG$5:BG67)</f>
        <v>0</v>
      </c>
      <c r="BZ67" s="31">
        <f>SUM(BH$5:BH67)</f>
        <v>0</v>
      </c>
      <c r="CC67" s="41">
        <v>63</v>
      </c>
      <c r="CD67" s="41">
        <f t="shared" si="22"/>
        <v>45.665330798860182</v>
      </c>
      <c r="CE67" s="41">
        <f t="shared" si="23"/>
        <v>55.967213834330231</v>
      </c>
      <c r="CF67" s="41">
        <f t="shared" si="24"/>
        <v>58.111401622727421</v>
      </c>
      <c r="CG67" s="41">
        <f t="shared" si="25"/>
        <v>44.751668814651147</v>
      </c>
      <c r="CH67" s="41">
        <f t="shared" si="26"/>
        <v>23.815594378510951</v>
      </c>
      <c r="CI67" s="41">
        <f t="shared" si="27"/>
        <v>6.2508538839602075</v>
      </c>
      <c r="CJ67" s="41">
        <f t="shared" si="28"/>
        <v>8.0874682858849827</v>
      </c>
      <c r="CK67" s="41">
        <f t="shared" si="29"/>
        <v>9.502629697818632</v>
      </c>
      <c r="CL67" s="41">
        <f t="shared" si="30"/>
        <v>9.1083199989959009</v>
      </c>
      <c r="CM67" s="41">
        <f t="shared" si="31"/>
        <v>5.4429250630201551</v>
      </c>
      <c r="CN67" s="41">
        <f t="shared" si="32"/>
        <v>0</v>
      </c>
      <c r="CO67" s="41">
        <f t="shared" si="33"/>
        <v>0</v>
      </c>
      <c r="CP67" s="41">
        <f t="shared" si="34"/>
        <v>0</v>
      </c>
      <c r="CQ67" s="41">
        <f t="shared" si="35"/>
        <v>0</v>
      </c>
      <c r="CR67" s="41">
        <f t="shared" si="36"/>
        <v>0</v>
      </c>
    </row>
    <row r="68" spans="4:96" x14ac:dyDescent="0.15">
      <c r="W68" s="117">
        <v>1.05</v>
      </c>
      <c r="X68" s="31">
        <v>64</v>
      </c>
      <c r="Y68" s="113">
        <f t="shared" si="17"/>
        <v>9.0818668796873308</v>
      </c>
      <c r="Z68" s="42">
        <f t="shared" si="20"/>
        <v>0.12</v>
      </c>
      <c r="AA68" s="113">
        <f>$Y68*$Z68*其他调用!V67</f>
        <v>283.50915034035052</v>
      </c>
      <c r="AB68" s="113">
        <f>$Y68*$Z68*其他调用!W67</f>
        <v>359.96844703022526</v>
      </c>
      <c r="AC68" s="113">
        <f>$Y68*$Z68*其他调用!X67</f>
        <v>405.16434123254209</v>
      </c>
      <c r="AD68" s="113">
        <f>$Y68*$Z68*其他调用!Y67</f>
        <v>341.31147464535047</v>
      </c>
      <c r="AE68" s="113">
        <f>$Y68*$Z68*其他调用!Z67</f>
        <v>184.30199046335525</v>
      </c>
      <c r="AH68" s="31">
        <v>64</v>
      </c>
      <c r="AI68" s="31">
        <f>SUM(AA$5:AA68)</f>
        <v>2543.703181385325</v>
      </c>
      <c r="AJ68" s="31">
        <f>SUM(AB$5:AB68)</f>
        <v>3211.2084726642524</v>
      </c>
      <c r="AK68" s="31">
        <f>SUM(AC$5:AC68)</f>
        <v>3572.9074552611037</v>
      </c>
      <c r="AL68" s="31">
        <f>SUM(AD$5:AD68)</f>
        <v>2978.7285235025201</v>
      </c>
      <c r="AM68" s="31">
        <f>SUM(AE$5:AE68)</f>
        <v>1656.881840287158</v>
      </c>
      <c r="AR68" s="31">
        <v>64</v>
      </c>
      <c r="AS68" s="42">
        <f t="shared" si="21"/>
        <v>8.0000000000000016E-2</v>
      </c>
      <c r="AT68" s="52">
        <f>求节点(E$21:E$27,$M$21:$M$27,$AR68)*$AS68*其他调用!V67</f>
        <v>13.874247276158234</v>
      </c>
      <c r="AU68" s="52">
        <f>求节点(F$21:F$27,$M$21:$M$27,$AR68)*$AS68*其他调用!W67</f>
        <v>0</v>
      </c>
      <c r="AV68" s="52">
        <f>求节点(G$21:G$27,$M$21:$M$27,$AR68)*$AS68*其他调用!X67</f>
        <v>0</v>
      </c>
      <c r="AW68" s="52">
        <f>求节点(H$21:H$27,$M$21:$M$27,$AR68)*$AS68*其他调用!Y67</f>
        <v>0</v>
      </c>
      <c r="AX68" s="52">
        <f>求节点(I$21:I$27,$M$21:$M$27,$AR68)*$AS68*其他调用!Z67</f>
        <v>0</v>
      </c>
      <c r="AY68" s="52">
        <f>求节点(E$21:E$27,$N$21:$N$27,$AR68)*$AS68*其他调用!V67</f>
        <v>36.997992736421949</v>
      </c>
      <c r="AZ68" s="52">
        <f>求节点(F$21:F$27,$N$21:$N$27,$AR68)*$AS68*其他调用!W67</f>
        <v>52.847937074162189</v>
      </c>
      <c r="BA68" s="52">
        <f>求节点(G$21:G$27,$N$21:$N$27,$AR68)*$AS68*其他调用!X67</f>
        <v>74.354085013574348</v>
      </c>
      <c r="BB68" s="52">
        <f>求节点(H$21:H$27,$N$21:$N$27,$AR68)*$AS68*其他调用!Y67</f>
        <v>81.42689216453104</v>
      </c>
      <c r="BC68" s="52">
        <f>求节点(I$21:I$27,$N$21:$N$27,$AR68)*$AS68*其他调用!Z67</f>
        <v>45.998381601249335</v>
      </c>
      <c r="BD68" s="52">
        <f>求节点(E$21:E$27,$O$21:$O$27,$AR68)*$AS68*其他调用!V67</f>
        <v>0</v>
      </c>
      <c r="BE68" s="52">
        <f>求节点(F$21:F$27,$O$21:$O$27,$AR68)*$AS68*其他调用!W67</f>
        <v>0</v>
      </c>
      <c r="BF68" s="52">
        <f>求节点(G$21:G$27,$O$21:$O$27,$AR68)*$AS68*其他调用!X67</f>
        <v>0</v>
      </c>
      <c r="BG68" s="52">
        <f>求节点(H$21:H$27,$O$21:$O$27,$AR68)*$AS68*其他调用!Y67</f>
        <v>0</v>
      </c>
      <c r="BH68" s="52">
        <f>求节点(I$21:I$27,$O$21:$O$27,$AR68)*$AS68*其他调用!Z67</f>
        <v>0</v>
      </c>
      <c r="BK68" s="31">
        <v>64</v>
      </c>
      <c r="BL68" s="31">
        <f>SUM(AT$5:AT68)</f>
        <v>946.27439936474923</v>
      </c>
      <c r="BM68" s="31">
        <f>SUM(AU$5:AU68)</f>
        <v>1112.8936350179583</v>
      </c>
      <c r="BN68" s="31">
        <f>SUM(AV$5:AV68)</f>
        <v>1078.1579698345183</v>
      </c>
      <c r="BO68" s="31">
        <f>SUM(AW$5:AW68)</f>
        <v>704.96766450982125</v>
      </c>
      <c r="BP68" s="31">
        <f>SUM(AX$5:AX68)</f>
        <v>333.4630769439176</v>
      </c>
      <c r="BQ68" s="31">
        <f>SUM(AY$5:AY68)</f>
        <v>142.92153430423878</v>
      </c>
      <c r="BR68" s="31">
        <f>SUM(AZ$5:AZ68)</f>
        <v>221.04794446050823</v>
      </c>
      <c r="BS68" s="31">
        <f>SUM(BA$5:BA68)</f>
        <v>348.47674158997711</v>
      </c>
      <c r="BT68" s="31">
        <f>SUM(BB$5:BB68)</f>
        <v>453.6590039276507</v>
      </c>
      <c r="BU68" s="31">
        <f>SUM(BC$5:BC68)</f>
        <v>297.70569348795379</v>
      </c>
      <c r="BV68" s="31">
        <f>SUM(BD$5:BD68)</f>
        <v>0</v>
      </c>
      <c r="BW68" s="31">
        <f>SUM(BE$5:BE68)</f>
        <v>0</v>
      </c>
      <c r="BX68" s="31">
        <f>SUM(BF$5:BF68)</f>
        <v>0</v>
      </c>
      <c r="BY68" s="31">
        <f>SUM(BG$5:BG68)</f>
        <v>0</v>
      </c>
      <c r="BZ68" s="31">
        <f>SUM(BH$5:BH68)</f>
        <v>0</v>
      </c>
      <c r="CC68" s="41">
        <v>64</v>
      </c>
      <c r="CD68" s="41">
        <f t="shared" si="22"/>
        <v>47.584601672062071</v>
      </c>
      <c r="CE68" s="41">
        <f t="shared" si="23"/>
        <v>57.816891631925913</v>
      </c>
      <c r="CF68" s="41">
        <f t="shared" si="24"/>
        <v>60.713794598202526</v>
      </c>
      <c r="CG68" s="41">
        <f t="shared" si="25"/>
        <v>47.601610040409732</v>
      </c>
      <c r="CH68" s="41">
        <f t="shared" si="26"/>
        <v>25.425537734554677</v>
      </c>
      <c r="CI68" s="41">
        <f t="shared" si="27"/>
        <v>6.8751950113873281</v>
      </c>
      <c r="CJ68" s="41">
        <f t="shared" si="28"/>
        <v>8.8801873419974164</v>
      </c>
      <c r="CK68" s="41">
        <f t="shared" si="29"/>
        <v>10.617940973022248</v>
      </c>
      <c r="CL68" s="41">
        <f t="shared" si="30"/>
        <v>10.329723381463868</v>
      </c>
      <c r="CM68" s="41">
        <f t="shared" si="31"/>
        <v>6.1329007870388947</v>
      </c>
      <c r="CN68" s="41">
        <f t="shared" si="32"/>
        <v>0</v>
      </c>
      <c r="CO68" s="41">
        <f t="shared" si="33"/>
        <v>0</v>
      </c>
      <c r="CP68" s="41">
        <f t="shared" si="34"/>
        <v>0</v>
      </c>
      <c r="CQ68" s="41">
        <f t="shared" si="35"/>
        <v>0</v>
      </c>
      <c r="CR68" s="41">
        <f t="shared" si="36"/>
        <v>0</v>
      </c>
    </row>
    <row r="69" spans="4:96" x14ac:dyDescent="0.15">
      <c r="W69" s="117">
        <v>1.05</v>
      </c>
      <c r="X69" s="31">
        <v>65</v>
      </c>
      <c r="Y69" s="113">
        <f t="shared" si="17"/>
        <v>9.5359602236716974</v>
      </c>
      <c r="Z69" s="42">
        <f t="shared" ref="Z69:Z100" si="37">$E$42</f>
        <v>0.12</v>
      </c>
      <c r="AA69" s="113">
        <f>$Y69*$Z69*其他调用!V68</f>
        <v>319.05046290705127</v>
      </c>
      <c r="AB69" s="113">
        <f>$Y69*$Z69*其他调用!W68</f>
        <v>402.49087134659368</v>
      </c>
      <c r="AC69" s="113">
        <f>$Y69*$Z69*其他调用!X68</f>
        <v>462.06004882304484</v>
      </c>
      <c r="AD69" s="113">
        <f>$Y69*$Z69*其他调用!Y68</f>
        <v>378.49185951713713</v>
      </c>
      <c r="AE69" s="113">
        <f>$Y69*$Z69*其他调用!Z68</f>
        <v>194.67418476290703</v>
      </c>
      <c r="AH69" s="31">
        <v>65</v>
      </c>
      <c r="AI69" s="31">
        <f>SUM(AA$5:AA69)</f>
        <v>2862.7536442923765</v>
      </c>
      <c r="AJ69" s="31">
        <f>SUM(AB$5:AB69)</f>
        <v>3613.6993440108463</v>
      </c>
      <c r="AK69" s="31">
        <f>SUM(AC$5:AC69)</f>
        <v>4034.9675040841485</v>
      </c>
      <c r="AL69" s="31">
        <f>SUM(AD$5:AD69)</f>
        <v>3357.2203830196572</v>
      </c>
      <c r="AM69" s="31">
        <f>SUM(AE$5:AE69)</f>
        <v>1851.556025050065</v>
      </c>
      <c r="AR69" s="31">
        <v>65</v>
      </c>
      <c r="AS69" s="42">
        <f t="shared" ref="AS69:AS100" si="38">$E$43</f>
        <v>8.0000000000000016E-2</v>
      </c>
      <c r="AT69" s="52">
        <f>求节点(E$21:E$27,$M$21:$M$27,$AR69)*$AS69*其他调用!V68</f>
        <v>0</v>
      </c>
      <c r="AU69" s="52">
        <f>求节点(F$21:F$27,$M$21:$M$27,$AR69)*$AS69*其他调用!W68</f>
        <v>0</v>
      </c>
      <c r="AV69" s="52">
        <f>求节点(G$21:G$27,$M$21:$M$27,$AR69)*$AS69*其他调用!X68</f>
        <v>0</v>
      </c>
      <c r="AW69" s="52">
        <f>求节点(H$21:H$27,$M$21:$M$27,$AR69)*$AS69*其他调用!Y68</f>
        <v>0</v>
      </c>
      <c r="AX69" s="52">
        <f>求节点(I$21:I$27,$M$21:$M$27,$AR69)*$AS69*其他调用!Z68</f>
        <v>0</v>
      </c>
      <c r="AY69" s="52">
        <f>求节点(E$21:E$27,$N$21:$N$27,$AR69)*$AS69*其他调用!V68</f>
        <v>44.610150129758701</v>
      </c>
      <c r="AZ69" s="52">
        <f>求节点(F$21:F$27,$N$21:$N$27,$AR69)*$AS69*其他调用!W68</f>
        <v>63.31153789014337</v>
      </c>
      <c r="BA69" s="52">
        <f>求节点(G$21:G$27,$N$21:$N$27,$AR69)*$AS69*其他调用!X68</f>
        <v>88.833223885108339</v>
      </c>
      <c r="BB69" s="52">
        <f>求节点(H$21:H$27,$N$21:$N$27,$AR69)*$AS69*其他调用!Y68</f>
        <v>92.612348572340096</v>
      </c>
      <c r="BC69" s="52">
        <f>求节点(I$21:I$27,$N$21:$N$27,$AR69)*$AS69*其他调用!Z68</f>
        <v>48.995385097263004</v>
      </c>
      <c r="BD69" s="52">
        <f>求节点(E$21:E$27,$O$21:$O$27,$AR69)*$AS69*其他调用!V68</f>
        <v>0</v>
      </c>
      <c r="BE69" s="52">
        <f>求节点(F$21:F$27,$O$21:$O$27,$AR69)*$AS69*其他调用!W68</f>
        <v>0</v>
      </c>
      <c r="BF69" s="52">
        <f>求节点(G$21:G$27,$O$21:$O$27,$AR69)*$AS69*其他调用!X68</f>
        <v>0</v>
      </c>
      <c r="BG69" s="52">
        <f>求节点(H$21:H$27,$O$21:$O$27,$AR69)*$AS69*其他调用!Y68</f>
        <v>0</v>
      </c>
      <c r="BH69" s="52">
        <f>求节点(I$21:I$27,$O$21:$O$27,$AR69)*$AS69*其他调用!Z68</f>
        <v>0</v>
      </c>
      <c r="BK69" s="31">
        <v>65</v>
      </c>
      <c r="BL69" s="31">
        <f>SUM(AT$5:AT69)</f>
        <v>946.27439936474923</v>
      </c>
      <c r="BM69" s="31">
        <f>SUM(AU$5:AU69)</f>
        <v>1112.8936350179583</v>
      </c>
      <c r="BN69" s="31">
        <f>SUM(AV$5:AV69)</f>
        <v>1078.1579698345183</v>
      </c>
      <c r="BO69" s="31">
        <f>SUM(AW$5:AW69)</f>
        <v>704.96766450982125</v>
      </c>
      <c r="BP69" s="31">
        <f>SUM(AX$5:AX69)</f>
        <v>333.4630769439176</v>
      </c>
      <c r="BQ69" s="31">
        <f>SUM(AY$5:AY69)</f>
        <v>187.53168443399747</v>
      </c>
      <c r="BR69" s="31">
        <f>SUM(AZ$5:AZ69)</f>
        <v>284.3594823506516</v>
      </c>
      <c r="BS69" s="31">
        <f>SUM(BA$5:BA69)</f>
        <v>437.30996547508545</v>
      </c>
      <c r="BT69" s="31">
        <f>SUM(BB$5:BB69)</f>
        <v>546.27135249999083</v>
      </c>
      <c r="BU69" s="31">
        <f>SUM(BC$5:BC69)</f>
        <v>346.70107858521681</v>
      </c>
      <c r="BV69" s="31">
        <f>SUM(BD$5:BD69)</f>
        <v>0</v>
      </c>
      <c r="BW69" s="31">
        <f>SUM(BE$5:BE69)</f>
        <v>0</v>
      </c>
      <c r="BX69" s="31">
        <f>SUM(BF$5:BF69)</f>
        <v>0</v>
      </c>
      <c r="BY69" s="31">
        <f>SUM(BG$5:BG69)</f>
        <v>0</v>
      </c>
      <c r="BZ69" s="31">
        <f>SUM(BH$5:BH69)</f>
        <v>0</v>
      </c>
      <c r="CC69" s="41">
        <v>65</v>
      </c>
      <c r="CD69" s="41">
        <f t="shared" ref="CD69:CD100" si="39">(BL69*$E$57+BQ69*$F$57+BV69*$G$57)/$E$5</f>
        <v>49.145956926603624</v>
      </c>
      <c r="CE69" s="41">
        <f t="shared" ref="CE69:CE100" si="40">(BM69*$E$57+BR69*$F$57+BW69*$G$57)/$E$5</f>
        <v>60.032795458080933</v>
      </c>
      <c r="CF69" s="41">
        <f t="shared" ref="CF69:CF100" si="41">(BN69*$E$57+BS69*$F$57+BX69*$G$57)/$E$5</f>
        <v>63.822957434181305</v>
      </c>
      <c r="CG69" s="41">
        <f t="shared" ref="CG69:CG100" si="42">(BO69*$E$57+BT69*$F$57+BY69*$G$57)/$E$5</f>
        <v>50.843042240441633</v>
      </c>
      <c r="CH69" s="41">
        <f t="shared" ref="CH69:CH100" si="43">(BP69*$E$57+BU69*$F$57+BZ69*$G$57)/$E$5</f>
        <v>27.140376212958881</v>
      </c>
      <c r="CI69" s="41">
        <f t="shared" ref="CI69:CI100" si="44">(BL69*$E$58+BQ69*$F$58+BV69*$G$58)/$E$5</f>
        <v>7.5443472633337079</v>
      </c>
      <c r="CJ69" s="41">
        <f t="shared" ref="CJ69:CJ100" si="45">(BM69*$E$58+BR69*$F$58+BW69*$G$58)/$E$5</f>
        <v>9.8298604103495641</v>
      </c>
      <c r="CK69" s="41">
        <f t="shared" ref="CK69:CK100" si="46">(BN69*$E$58+BS69*$F$58+BX69*$G$58)/$E$5</f>
        <v>11.950439331298872</v>
      </c>
      <c r="CL69" s="41">
        <f t="shared" ref="CL69:CL100" si="47">(BO69*$E$58+BT69*$F$58+BY69*$G$58)/$E$5</f>
        <v>11.718908610048967</v>
      </c>
      <c r="CM69" s="41">
        <f t="shared" ref="CM69:CM100" si="48">(BP69*$E$58+BU69*$F$58+BZ69*$G$58)/$E$5</f>
        <v>6.8678315634978402</v>
      </c>
      <c r="CN69" s="41">
        <f t="shared" ref="CN69:CN100" si="49">(BL69*$E$59+BQ69*$F$59+BV69*$G$59)/$E$5</f>
        <v>0</v>
      </c>
      <c r="CO69" s="41">
        <f t="shared" ref="CO69:CO100" si="50">(BM69*$E$59+BR69*$F$59+BW69*$G$59)/$E$5</f>
        <v>0</v>
      </c>
      <c r="CP69" s="41">
        <f t="shared" ref="CP69:CP100" si="51">(BN69*$E$59+BS69*$F$59+BX69*$G$59)/$E$5</f>
        <v>0</v>
      </c>
      <c r="CQ69" s="41">
        <f t="shared" ref="CQ69:CQ100" si="52">(BO69*$E$59+BT69*$F$59+BY69*$G$59)/$E$5</f>
        <v>0</v>
      </c>
      <c r="CR69" s="41">
        <f t="shared" ref="CR69:CR100" si="53">(BP69*$E$59+BU69*$F$59+BZ69*$G$59)/$E$5</f>
        <v>0</v>
      </c>
    </row>
    <row r="70" spans="4:96" x14ac:dyDescent="0.15">
      <c r="W70" s="117">
        <v>1.05</v>
      </c>
      <c r="X70" s="31">
        <v>66</v>
      </c>
      <c r="Y70" s="113">
        <f t="shared" si="17"/>
        <v>10.012758234855283</v>
      </c>
      <c r="Z70" s="42">
        <f t="shared" si="37"/>
        <v>0.12</v>
      </c>
      <c r="AA70" s="113">
        <f>$Y70*$Z70*其他调用!V69</f>
        <v>359.04731032138108</v>
      </c>
      <c r="AB70" s="113">
        <f>$Y70*$Z70*其他调用!W69</f>
        <v>459.0780880127561</v>
      </c>
      <c r="AC70" s="113">
        <f>$Y70*$Z70*其他调用!X69</f>
        <v>512.59250264098625</v>
      </c>
      <c r="AD70" s="113">
        <f>$Y70*$Z70*其他调用!Y69</f>
        <v>400.12632180997974</v>
      </c>
      <c r="AE70" s="113">
        <f>$Y70*$Z70*其他调用!Z69</f>
        <v>229.90373282468849</v>
      </c>
      <c r="AH70" s="31">
        <v>66</v>
      </c>
      <c r="AI70" s="31">
        <f>SUM(AA$5:AA70)</f>
        <v>3221.8009546137578</v>
      </c>
      <c r="AJ70" s="31">
        <f>SUM(AB$5:AB70)</f>
        <v>4072.7774320236022</v>
      </c>
      <c r="AK70" s="31">
        <f>SUM(AC$5:AC70)</f>
        <v>4547.5600067251344</v>
      </c>
      <c r="AL70" s="31">
        <f>SUM(AD$5:AD70)</f>
        <v>3757.346704829637</v>
      </c>
      <c r="AM70" s="31">
        <f>SUM(AE$5:AE70)</f>
        <v>2081.4597578747534</v>
      </c>
      <c r="AR70" s="31">
        <v>66</v>
      </c>
      <c r="AS70" s="42">
        <f t="shared" si="38"/>
        <v>8.0000000000000016E-2</v>
      </c>
      <c r="AT70" s="52">
        <f>求节点(E$21:E$27,$M$21:$M$27,$AR70)*$AS70*其他调用!V69</f>
        <v>0</v>
      </c>
      <c r="AU70" s="52">
        <f>求节点(F$21:F$27,$M$21:$M$27,$AR70)*$AS70*其他调用!W69</f>
        <v>0</v>
      </c>
      <c r="AV70" s="52">
        <f>求节点(G$21:G$27,$M$21:$M$27,$AR70)*$AS70*其他调用!X69</f>
        <v>0</v>
      </c>
      <c r="AW70" s="52">
        <f>求节点(H$21:H$27,$M$21:$M$27,$AR70)*$AS70*其他调用!Y69</f>
        <v>0</v>
      </c>
      <c r="AX70" s="52">
        <f>求节点(I$21:I$27,$M$21:$M$27,$AR70)*$AS70*其他调用!Z69</f>
        <v>0</v>
      </c>
      <c r="AY70" s="52">
        <f>求节点(E$21:E$27,$N$21:$N$27,$AR70)*$AS70*其他调用!V69</f>
        <v>53.124416743150192</v>
      </c>
      <c r="AZ70" s="52">
        <f>求节点(F$21:F$27,$N$21:$N$27,$AR70)*$AS70*其他调用!W69</f>
        <v>76.415521951228413</v>
      </c>
      <c r="BA70" s="52">
        <f>求节点(G$21:G$27,$N$21:$N$27,$AR70)*$AS70*其他调用!X69</f>
        <v>102.38787167687866</v>
      </c>
      <c r="BB70" s="52">
        <f>求节点(H$21:H$27,$N$21:$N$27,$AR70)*$AS70*其他调用!Y69</f>
        <v>99.904120429350144</v>
      </c>
      <c r="BC70" s="52">
        <f>求节点(I$21:I$27,$N$21:$N$27,$AR70)*$AS70*其他调用!Z69</f>
        <v>58.16806679652764</v>
      </c>
      <c r="BD70" s="52">
        <f>求节点(E$21:E$27,$O$21:$O$27,$AR70)*$AS70*其他调用!V69</f>
        <v>0</v>
      </c>
      <c r="BE70" s="52">
        <f>求节点(F$21:F$27,$O$21:$O$27,$AR70)*$AS70*其他调用!W69</f>
        <v>0</v>
      </c>
      <c r="BF70" s="52">
        <f>求节点(G$21:G$27,$O$21:$O$27,$AR70)*$AS70*其他调用!X69</f>
        <v>0</v>
      </c>
      <c r="BG70" s="52">
        <f>求节点(H$21:H$27,$O$21:$O$27,$AR70)*$AS70*其他调用!Y69</f>
        <v>0</v>
      </c>
      <c r="BH70" s="52">
        <f>求节点(I$21:I$27,$O$21:$O$27,$AR70)*$AS70*其他调用!Z69</f>
        <v>0</v>
      </c>
      <c r="BK70" s="31">
        <v>66</v>
      </c>
      <c r="BL70" s="31">
        <f>SUM(AT$5:AT70)</f>
        <v>946.27439936474923</v>
      </c>
      <c r="BM70" s="31">
        <f>SUM(AU$5:AU70)</f>
        <v>1112.8936350179583</v>
      </c>
      <c r="BN70" s="31">
        <f>SUM(AV$5:AV70)</f>
        <v>1078.1579698345183</v>
      </c>
      <c r="BO70" s="31">
        <f>SUM(AW$5:AW70)</f>
        <v>704.96766450982125</v>
      </c>
      <c r="BP70" s="31">
        <f>SUM(AX$5:AX70)</f>
        <v>333.4630769439176</v>
      </c>
      <c r="BQ70" s="31">
        <f>SUM(AY$5:AY70)</f>
        <v>240.65610117714766</v>
      </c>
      <c r="BR70" s="31">
        <f>SUM(AZ$5:AZ70)</f>
        <v>360.77500430188002</v>
      </c>
      <c r="BS70" s="31">
        <f>SUM(BA$5:BA70)</f>
        <v>539.69783715196411</v>
      </c>
      <c r="BT70" s="31">
        <f>SUM(BB$5:BB70)</f>
        <v>646.17547292934091</v>
      </c>
      <c r="BU70" s="31">
        <f>SUM(BC$5:BC70)</f>
        <v>404.86914538174443</v>
      </c>
      <c r="BV70" s="31">
        <f>SUM(BD$5:BD70)</f>
        <v>0</v>
      </c>
      <c r="BW70" s="31">
        <f>SUM(BE$5:BE70)</f>
        <v>0</v>
      </c>
      <c r="BX70" s="31">
        <f>SUM(BF$5:BF70)</f>
        <v>0</v>
      </c>
      <c r="BY70" s="31">
        <f>SUM(BG$5:BG70)</f>
        <v>0</v>
      </c>
      <c r="BZ70" s="31">
        <f>SUM(BH$5:BH70)</f>
        <v>0</v>
      </c>
      <c r="CC70" s="41">
        <v>66</v>
      </c>
      <c r="CD70" s="41">
        <f t="shared" si="39"/>
        <v>51.005311512613879</v>
      </c>
      <c r="CE70" s="41">
        <f t="shared" si="40"/>
        <v>62.707338726373926</v>
      </c>
      <c r="CF70" s="41">
        <f t="shared" si="41"/>
        <v>67.406532942872076</v>
      </c>
      <c r="CG70" s="41">
        <f t="shared" si="42"/>
        <v>54.339686455468879</v>
      </c>
      <c r="CH70" s="41">
        <f t="shared" si="43"/>
        <v>29.17625855083735</v>
      </c>
      <c r="CI70" s="41">
        <f t="shared" si="44"/>
        <v>8.3412135144809607</v>
      </c>
      <c r="CJ70" s="41">
        <f t="shared" si="45"/>
        <v>10.976093239617992</v>
      </c>
      <c r="CK70" s="41">
        <f t="shared" si="46"/>
        <v>13.486257406452051</v>
      </c>
      <c r="CL70" s="41">
        <f t="shared" si="47"/>
        <v>13.21747041648922</v>
      </c>
      <c r="CM70" s="41">
        <f t="shared" si="48"/>
        <v>7.7403525654457539</v>
      </c>
      <c r="CN70" s="41">
        <f t="shared" si="49"/>
        <v>0</v>
      </c>
      <c r="CO70" s="41">
        <f t="shared" si="50"/>
        <v>0</v>
      </c>
      <c r="CP70" s="41">
        <f t="shared" si="51"/>
        <v>0</v>
      </c>
      <c r="CQ70" s="41">
        <f t="shared" si="52"/>
        <v>0</v>
      </c>
      <c r="CR70" s="41">
        <f t="shared" si="53"/>
        <v>0</v>
      </c>
    </row>
    <row r="71" spans="4:96" x14ac:dyDescent="0.15">
      <c r="W71" s="117">
        <v>1.05</v>
      </c>
      <c r="X71" s="31">
        <v>67</v>
      </c>
      <c r="Y71" s="113">
        <f t="shared" ref="Y71:Y134" si="54">Y70*W71</f>
        <v>10.513396146598048</v>
      </c>
      <c r="Z71" s="42">
        <f t="shared" si="37"/>
        <v>0.12</v>
      </c>
      <c r="AA71" s="113">
        <f>$Y71*$Z71*其他调用!V70</f>
        <v>404.05824794736367</v>
      </c>
      <c r="AB71" s="113">
        <f>$Y71*$Z71*其他调用!W70</f>
        <v>517.04530808982827</v>
      </c>
      <c r="AC71" s="113">
        <f>$Y71*$Z71*其他调用!X70</f>
        <v>551.32963759630354</v>
      </c>
      <c r="AD71" s="113">
        <f>$Y71*$Z71*其他调用!Y70</f>
        <v>449.97972126790899</v>
      </c>
      <c r="AE71" s="113">
        <f>$Y71*$Z71*其他调用!Z70</f>
        <v>253.09862565258686</v>
      </c>
      <c r="AH71" s="31">
        <v>67</v>
      </c>
      <c r="AI71" s="31">
        <f>SUM(AA$5:AA71)</f>
        <v>3625.8592025611215</v>
      </c>
      <c r="AJ71" s="31">
        <f>SUM(AB$5:AB71)</f>
        <v>4589.82274011343</v>
      </c>
      <c r="AK71" s="31">
        <f>SUM(AC$5:AC71)</f>
        <v>5098.889644321438</v>
      </c>
      <c r="AL71" s="31">
        <f>SUM(AD$5:AD71)</f>
        <v>4207.3264260975457</v>
      </c>
      <c r="AM71" s="31">
        <f>SUM(AE$5:AE71)</f>
        <v>2334.5583835273401</v>
      </c>
      <c r="AR71" s="31">
        <v>67</v>
      </c>
      <c r="AS71" s="42">
        <f t="shared" si="38"/>
        <v>8.0000000000000016E-2</v>
      </c>
      <c r="AT71" s="52">
        <f>求节点(E$21:E$27,$M$21:$M$27,$AR71)*$AS71*其他调用!V70</f>
        <v>0</v>
      </c>
      <c r="AU71" s="52">
        <f>求节点(F$21:F$27,$M$21:$M$27,$AR71)*$AS71*其他调用!W70</f>
        <v>0</v>
      </c>
      <c r="AV71" s="52">
        <f>求节点(G$21:G$27,$M$21:$M$27,$AR71)*$AS71*其他调用!X70</f>
        <v>0</v>
      </c>
      <c r="AW71" s="52">
        <f>求节点(H$21:H$27,$M$21:$M$27,$AR71)*$AS71*其他调用!Y70</f>
        <v>0</v>
      </c>
      <c r="AX71" s="52">
        <f>求节点(I$21:I$27,$M$21:$M$27,$AR71)*$AS71*其他调用!Z70</f>
        <v>0</v>
      </c>
      <c r="AY71" s="52">
        <f>求节点(E$21:E$27,$N$21:$N$27,$AR71)*$AS71*其他调用!V70</f>
        <v>62.631074085829773</v>
      </c>
      <c r="AZ71" s="52">
        <f>求节点(F$21:F$27,$N$21:$N$27,$AR71)*$AS71*其他调用!W70</f>
        <v>90.162720489840439</v>
      </c>
      <c r="BA71" s="52">
        <f>求节点(G$21:G$27,$N$21:$N$27,$AR71)*$AS71*其他调用!X70</f>
        <v>113.62147221208434</v>
      </c>
      <c r="BB71" s="52">
        <f>求节点(H$21:H$27,$N$21:$N$27,$AR71)*$AS71*其他调用!Y70</f>
        <v>114.13494808424703</v>
      </c>
      <c r="BC71" s="52">
        <f>求节点(I$21:I$27,$N$21:$N$27,$AR71)*$AS71*其他调用!Z70</f>
        <v>64.197111855743586</v>
      </c>
      <c r="BD71" s="52">
        <f>求节点(E$21:E$27,$O$21:$O$27,$AR71)*$AS71*其他调用!V70</f>
        <v>0</v>
      </c>
      <c r="BE71" s="52">
        <f>求节点(F$21:F$27,$O$21:$O$27,$AR71)*$AS71*其他调用!W70</f>
        <v>0</v>
      </c>
      <c r="BF71" s="52">
        <f>求节点(G$21:G$27,$O$21:$O$27,$AR71)*$AS71*其他调用!X70</f>
        <v>0</v>
      </c>
      <c r="BG71" s="52">
        <f>求节点(H$21:H$27,$O$21:$O$27,$AR71)*$AS71*其他调用!Y70</f>
        <v>0</v>
      </c>
      <c r="BH71" s="52">
        <f>求节点(I$21:I$27,$O$21:$O$27,$AR71)*$AS71*其他调用!Z70</f>
        <v>0</v>
      </c>
      <c r="BK71" s="31">
        <v>67</v>
      </c>
      <c r="BL71" s="31">
        <f>SUM(AT$5:AT71)</f>
        <v>946.27439936474923</v>
      </c>
      <c r="BM71" s="31">
        <f>SUM(AU$5:AU71)</f>
        <v>1112.8936350179583</v>
      </c>
      <c r="BN71" s="31">
        <f>SUM(AV$5:AV71)</f>
        <v>1078.1579698345183</v>
      </c>
      <c r="BO71" s="31">
        <f>SUM(AW$5:AW71)</f>
        <v>704.96766450982125</v>
      </c>
      <c r="BP71" s="31">
        <f>SUM(AX$5:AX71)</f>
        <v>333.4630769439176</v>
      </c>
      <c r="BQ71" s="31">
        <f>SUM(AY$5:AY71)</f>
        <v>303.28717526297743</v>
      </c>
      <c r="BR71" s="31">
        <f>SUM(AZ$5:AZ71)</f>
        <v>450.93772479172048</v>
      </c>
      <c r="BS71" s="31">
        <f>SUM(BA$5:BA71)</f>
        <v>653.31930936404842</v>
      </c>
      <c r="BT71" s="31">
        <f>SUM(BB$5:BB71)</f>
        <v>760.31042101358798</v>
      </c>
      <c r="BU71" s="31">
        <f>SUM(BC$5:BC71)</f>
        <v>469.066257237488</v>
      </c>
      <c r="BV71" s="31">
        <f>SUM(BD$5:BD71)</f>
        <v>0</v>
      </c>
      <c r="BW71" s="31">
        <f>SUM(BE$5:BE71)</f>
        <v>0</v>
      </c>
      <c r="BX71" s="31">
        <f>SUM(BF$5:BF71)</f>
        <v>0</v>
      </c>
      <c r="BY71" s="31">
        <f>SUM(BG$5:BG71)</f>
        <v>0</v>
      </c>
      <c r="BZ71" s="31">
        <f>SUM(BH$5:BH71)</f>
        <v>0</v>
      </c>
      <c r="CC71" s="41">
        <v>67</v>
      </c>
      <c r="CD71" s="41">
        <f t="shared" si="39"/>
        <v>53.197399105617919</v>
      </c>
      <c r="CE71" s="41">
        <f t="shared" si="40"/>
        <v>65.863033943518332</v>
      </c>
      <c r="CF71" s="41">
        <f t="shared" si="41"/>
        <v>71.383284470295024</v>
      </c>
      <c r="CG71" s="41">
        <f t="shared" si="42"/>
        <v>58.33440963841754</v>
      </c>
      <c r="CH71" s="41">
        <f t="shared" si="43"/>
        <v>31.423157465788371</v>
      </c>
      <c r="CI71" s="41">
        <f t="shared" si="44"/>
        <v>9.2806796257684088</v>
      </c>
      <c r="CJ71" s="41">
        <f t="shared" si="45"/>
        <v>12.328534046965599</v>
      </c>
      <c r="CK71" s="41">
        <f t="shared" si="46"/>
        <v>15.190579489633318</v>
      </c>
      <c r="CL71" s="41">
        <f t="shared" si="47"/>
        <v>14.929494637752924</v>
      </c>
      <c r="CM71" s="41">
        <f t="shared" si="48"/>
        <v>8.7033092432819075</v>
      </c>
      <c r="CN71" s="41">
        <f t="shared" si="49"/>
        <v>0</v>
      </c>
      <c r="CO71" s="41">
        <f t="shared" si="50"/>
        <v>0</v>
      </c>
      <c r="CP71" s="41">
        <f t="shared" si="51"/>
        <v>0</v>
      </c>
      <c r="CQ71" s="41">
        <f t="shared" si="52"/>
        <v>0</v>
      </c>
      <c r="CR71" s="41">
        <f t="shared" si="53"/>
        <v>0</v>
      </c>
    </row>
    <row r="72" spans="4:96" x14ac:dyDescent="0.15">
      <c r="W72" s="117">
        <v>1.05</v>
      </c>
      <c r="X72" s="31">
        <v>68</v>
      </c>
      <c r="Y72" s="113">
        <f t="shared" si="54"/>
        <v>11.039065953927951</v>
      </c>
      <c r="Z72" s="42">
        <f t="shared" si="37"/>
        <v>0.12</v>
      </c>
      <c r="AA72" s="113">
        <f>$Y72*$Z72*其他调用!V71</f>
        <v>454.71185284234105</v>
      </c>
      <c r="AB72" s="113">
        <f>$Y72*$Z72*其他调用!W71</f>
        <v>564.68919870651393</v>
      </c>
      <c r="AC72" s="113">
        <f>$Y72*$Z72*其他调用!X71</f>
        <v>597.69316452449618</v>
      </c>
      <c r="AD72" s="113">
        <f>$Y72*$Z72*其他调用!Y71</f>
        <v>516.69658064969292</v>
      </c>
      <c r="AE72" s="113">
        <f>$Y72*$Z72*其他调用!Z71</f>
        <v>281.09455362763032</v>
      </c>
      <c r="AH72" s="31">
        <v>68</v>
      </c>
      <c r="AI72" s="31">
        <f>SUM(AA$5:AA72)</f>
        <v>4080.5710554034627</v>
      </c>
      <c r="AJ72" s="31">
        <f>SUM(AB$5:AB72)</f>
        <v>5154.5119388199437</v>
      </c>
      <c r="AK72" s="31">
        <f>SUM(AC$5:AC72)</f>
        <v>5696.5828088459339</v>
      </c>
      <c r="AL72" s="31">
        <f>SUM(AD$5:AD72)</f>
        <v>4724.0230067472385</v>
      </c>
      <c r="AM72" s="31">
        <f>SUM(AE$5:AE72)</f>
        <v>2615.6529371549705</v>
      </c>
      <c r="AR72" s="31">
        <v>68</v>
      </c>
      <c r="AS72" s="42">
        <f t="shared" si="38"/>
        <v>8.0000000000000016E-2</v>
      </c>
      <c r="AT72" s="52">
        <f>求节点(E$21:E$27,$M$21:$M$27,$AR72)*$AS72*其他调用!V71</f>
        <v>0</v>
      </c>
      <c r="AU72" s="52">
        <f>求节点(F$21:F$27,$M$21:$M$27,$AR72)*$AS72*其他调用!W71</f>
        <v>0</v>
      </c>
      <c r="AV72" s="52">
        <f>求节点(G$21:G$27,$M$21:$M$27,$AR72)*$AS72*其他调用!X71</f>
        <v>0</v>
      </c>
      <c r="AW72" s="52">
        <f>求节点(H$21:H$27,$M$21:$M$27,$AR72)*$AS72*其他调用!Y71</f>
        <v>0</v>
      </c>
      <c r="AX72" s="52">
        <f>求节点(I$21:I$27,$M$21:$M$27,$AR72)*$AS72*其他调用!Z71</f>
        <v>0</v>
      </c>
      <c r="AY72" s="52">
        <f>求节点(E$21:E$27,$N$21:$N$27,$AR72)*$AS72*其他调用!V71</f>
        <v>73.228716147640583</v>
      </c>
      <c r="AZ72" s="52">
        <f>求节点(F$21:F$27,$N$21:$N$27,$AR72)*$AS72*其他调用!W71</f>
        <v>102.30742366487715</v>
      </c>
      <c r="BA72" s="52">
        <f>求节点(G$21:G$27,$N$21:$N$27,$AR72)*$AS72*其他调用!X71</f>
        <v>126.33472702409706</v>
      </c>
      <c r="BB72" s="52">
        <f>求节点(H$21:H$27,$N$21:$N$27,$AR72)*$AS72*其他调用!Y71</f>
        <v>131.75074739538113</v>
      </c>
      <c r="BC72" s="52">
        <f>求节点(I$21:I$27,$N$21:$N$27,$AR72)*$AS72*其他调用!Z71</f>
        <v>71.675367935751311</v>
      </c>
      <c r="BD72" s="52">
        <f>求节点(E$21:E$27,$O$21:$O$27,$AR72)*$AS72*其他调用!V71</f>
        <v>0</v>
      </c>
      <c r="BE72" s="52">
        <f>求节点(F$21:F$27,$O$21:$O$27,$AR72)*$AS72*其他调用!W71</f>
        <v>0</v>
      </c>
      <c r="BF72" s="52">
        <f>求节点(G$21:G$27,$O$21:$O$27,$AR72)*$AS72*其他调用!X71</f>
        <v>0</v>
      </c>
      <c r="BG72" s="52">
        <f>求节点(H$21:H$27,$O$21:$O$27,$AR72)*$AS72*其他调用!Y71</f>
        <v>0</v>
      </c>
      <c r="BH72" s="52">
        <f>求节点(I$21:I$27,$O$21:$O$27,$AR72)*$AS72*其他调用!Z71</f>
        <v>0</v>
      </c>
      <c r="BK72" s="31">
        <v>68</v>
      </c>
      <c r="BL72" s="31">
        <f>SUM(AT$5:AT72)</f>
        <v>946.27439936474923</v>
      </c>
      <c r="BM72" s="31">
        <f>SUM(AU$5:AU72)</f>
        <v>1112.8936350179583</v>
      </c>
      <c r="BN72" s="31">
        <f>SUM(AV$5:AV72)</f>
        <v>1078.1579698345183</v>
      </c>
      <c r="BO72" s="31">
        <f>SUM(AW$5:AW72)</f>
        <v>704.96766450982125</v>
      </c>
      <c r="BP72" s="31">
        <f>SUM(AX$5:AX72)</f>
        <v>333.4630769439176</v>
      </c>
      <c r="BQ72" s="31">
        <f>SUM(AY$5:AY72)</f>
        <v>376.515891410618</v>
      </c>
      <c r="BR72" s="31">
        <f>SUM(AZ$5:AZ72)</f>
        <v>553.24514845659769</v>
      </c>
      <c r="BS72" s="31">
        <f>SUM(BA$5:BA72)</f>
        <v>779.65403638814553</v>
      </c>
      <c r="BT72" s="31">
        <f>SUM(BB$5:BB72)</f>
        <v>892.06116840896914</v>
      </c>
      <c r="BU72" s="31">
        <f>SUM(BC$5:BC72)</f>
        <v>540.7416251732393</v>
      </c>
      <c r="BV72" s="31">
        <f>SUM(BD$5:BD72)</f>
        <v>0</v>
      </c>
      <c r="BW72" s="31">
        <f>SUM(BE$5:BE72)</f>
        <v>0</v>
      </c>
      <c r="BX72" s="31">
        <f>SUM(BF$5:BF72)</f>
        <v>0</v>
      </c>
      <c r="BY72" s="31">
        <f>SUM(BG$5:BG72)</f>
        <v>0</v>
      </c>
      <c r="BZ72" s="31">
        <f>SUM(BH$5:BH72)</f>
        <v>0</v>
      </c>
      <c r="CC72" s="41">
        <v>68</v>
      </c>
      <c r="CD72" s="41">
        <f t="shared" si="39"/>
        <v>55.760404170785343</v>
      </c>
      <c r="CE72" s="41">
        <f t="shared" si="40"/>
        <v>69.443793771789046</v>
      </c>
      <c r="CF72" s="41">
        <f t="shared" si="41"/>
        <v>75.804999916138428</v>
      </c>
      <c r="CG72" s="41">
        <f t="shared" si="42"/>
        <v>62.945685797255877</v>
      </c>
      <c r="CH72" s="41">
        <f t="shared" si="43"/>
        <v>33.931795343539669</v>
      </c>
      <c r="CI72" s="41">
        <f t="shared" si="44"/>
        <v>10.379110367983017</v>
      </c>
      <c r="CJ72" s="41">
        <f t="shared" si="45"/>
        <v>13.863145401938755</v>
      </c>
      <c r="CK72" s="41">
        <f t="shared" si="46"/>
        <v>17.085600394994774</v>
      </c>
      <c r="CL72" s="41">
        <f t="shared" si="47"/>
        <v>16.905755848683643</v>
      </c>
      <c r="CM72" s="41">
        <f t="shared" si="48"/>
        <v>9.7784397623181771</v>
      </c>
      <c r="CN72" s="41">
        <f t="shared" si="49"/>
        <v>0</v>
      </c>
      <c r="CO72" s="41">
        <f t="shared" si="50"/>
        <v>0</v>
      </c>
      <c r="CP72" s="41">
        <f t="shared" si="51"/>
        <v>0</v>
      </c>
      <c r="CQ72" s="41">
        <f t="shared" si="52"/>
        <v>0</v>
      </c>
      <c r="CR72" s="41">
        <f t="shared" si="53"/>
        <v>0</v>
      </c>
    </row>
    <row r="73" spans="4:96" x14ac:dyDescent="0.15">
      <c r="W73" s="117">
        <v>1.05</v>
      </c>
      <c r="X73" s="31">
        <v>69</v>
      </c>
      <c r="Y73" s="113">
        <f t="shared" si="54"/>
        <v>11.591019251624349</v>
      </c>
      <c r="Z73" s="42">
        <f t="shared" si="37"/>
        <v>0.12</v>
      </c>
      <c r="AA73" s="113">
        <f>$Y73*$Z73*其他调用!V72</f>
        <v>511.71550182598435</v>
      </c>
      <c r="AB73" s="113">
        <f>$Y73*$Z73*其他调用!W72</f>
        <v>622.51243533552088</v>
      </c>
      <c r="AC73" s="113">
        <f>$Y73*$Z73*其他调用!X72</f>
        <v>714.32258048476513</v>
      </c>
      <c r="AD73" s="113">
        <f>$Y73*$Z73*其他调用!Y72</f>
        <v>590.61026661665323</v>
      </c>
      <c r="AE73" s="113">
        <f>$Y73*$Z73*其他调用!Z72</f>
        <v>315.29269485251149</v>
      </c>
      <c r="AH73" s="31">
        <v>69</v>
      </c>
      <c r="AI73" s="31">
        <f>SUM(AA$5:AA73)</f>
        <v>4592.2865572294468</v>
      </c>
      <c r="AJ73" s="31">
        <f>SUM(AB$5:AB73)</f>
        <v>5777.0243741554641</v>
      </c>
      <c r="AK73" s="31">
        <f>SUM(AC$5:AC73)</f>
        <v>6410.9053893306991</v>
      </c>
      <c r="AL73" s="31">
        <f>SUM(AD$5:AD73)</f>
        <v>5314.6332733638919</v>
      </c>
      <c r="AM73" s="31">
        <f>SUM(AE$5:AE73)</f>
        <v>2930.9456320074819</v>
      </c>
      <c r="AR73" s="31">
        <v>69</v>
      </c>
      <c r="AS73" s="42">
        <f t="shared" si="38"/>
        <v>8.0000000000000016E-2</v>
      </c>
      <c r="AT73" s="52">
        <f>求节点(E$21:E$27,$M$21:$M$27,$AR73)*$AS73*其他调用!V72</f>
        <v>0</v>
      </c>
      <c r="AU73" s="52">
        <f>求节点(F$21:F$27,$M$21:$M$27,$AR73)*$AS73*其他调用!W72</f>
        <v>0</v>
      </c>
      <c r="AV73" s="52">
        <f>求节点(G$21:G$27,$M$21:$M$27,$AR73)*$AS73*其他调用!X72</f>
        <v>0</v>
      </c>
      <c r="AW73" s="52">
        <f>求节点(H$21:H$27,$M$21:$M$27,$AR73)*$AS73*其他调用!Y72</f>
        <v>0</v>
      </c>
      <c r="AX73" s="52">
        <f>求节点(I$21:I$27,$M$21:$M$27,$AR73)*$AS73*其他调用!Z72</f>
        <v>0</v>
      </c>
      <c r="AY73" s="52">
        <f>求节点(E$21:E$27,$N$21:$N$27,$AR73)*$AS73*其他调用!V72</f>
        <v>85.024977551197566</v>
      </c>
      <c r="AZ73" s="52">
        <f>求节点(F$21:F$27,$N$21:$N$27,$AR73)*$AS73*其他调用!W72</f>
        <v>116.36396368144645</v>
      </c>
      <c r="BA73" s="52">
        <f>求节点(G$21:G$27,$N$21:$N$27,$AR73)*$AS73*其他调用!X72</f>
        <v>154.06811191014569</v>
      </c>
      <c r="BB73" s="52">
        <f>求节点(H$21:H$27,$N$21:$N$27,$AR73)*$AS73*其他调用!Y72</f>
        <v>150.97519101140207</v>
      </c>
      <c r="BC73" s="52">
        <f>求节点(I$21:I$27,$N$21:$N$27,$AR73)*$AS73*其他调用!Z72</f>
        <v>80.59693087041137</v>
      </c>
      <c r="BD73" s="52">
        <f>求节点(E$21:E$27,$O$21:$O$27,$AR73)*$AS73*其他调用!V72</f>
        <v>0</v>
      </c>
      <c r="BE73" s="52">
        <f>求节点(F$21:F$27,$O$21:$O$27,$AR73)*$AS73*其他调用!W72</f>
        <v>0</v>
      </c>
      <c r="BF73" s="52">
        <f>求节点(G$21:G$27,$O$21:$O$27,$AR73)*$AS73*其他调用!X72</f>
        <v>0</v>
      </c>
      <c r="BG73" s="52">
        <f>求节点(H$21:H$27,$O$21:$O$27,$AR73)*$AS73*其他调用!Y72</f>
        <v>0</v>
      </c>
      <c r="BH73" s="52">
        <f>求节点(I$21:I$27,$O$21:$O$27,$AR73)*$AS73*其他调用!Z72</f>
        <v>0</v>
      </c>
      <c r="BK73" s="31">
        <v>69</v>
      </c>
      <c r="BL73" s="31">
        <f>SUM(AT$5:AT73)</f>
        <v>946.27439936474923</v>
      </c>
      <c r="BM73" s="31">
        <f>SUM(AU$5:AU73)</f>
        <v>1112.8936350179583</v>
      </c>
      <c r="BN73" s="31">
        <f>SUM(AV$5:AV73)</f>
        <v>1078.1579698345183</v>
      </c>
      <c r="BO73" s="31">
        <f>SUM(AW$5:AW73)</f>
        <v>704.96766450982125</v>
      </c>
      <c r="BP73" s="31">
        <f>SUM(AX$5:AX73)</f>
        <v>333.4630769439176</v>
      </c>
      <c r="BQ73" s="31">
        <f>SUM(AY$5:AY73)</f>
        <v>461.54086896181559</v>
      </c>
      <c r="BR73" s="31">
        <f>SUM(AZ$5:AZ73)</f>
        <v>669.60911213804411</v>
      </c>
      <c r="BS73" s="31">
        <f>SUM(BA$5:BA73)</f>
        <v>933.72214829829124</v>
      </c>
      <c r="BT73" s="31">
        <f>SUM(BB$5:BB73)</f>
        <v>1043.0363594203711</v>
      </c>
      <c r="BU73" s="31">
        <f>SUM(BC$5:BC73)</f>
        <v>621.33855604365067</v>
      </c>
      <c r="BV73" s="31">
        <f>SUM(BD$5:BD73)</f>
        <v>0</v>
      </c>
      <c r="BW73" s="31">
        <f>SUM(BE$5:BE73)</f>
        <v>0</v>
      </c>
      <c r="BX73" s="31">
        <f>SUM(BF$5:BF73)</f>
        <v>0</v>
      </c>
      <c r="BY73" s="31">
        <f>SUM(BG$5:BG73)</f>
        <v>0</v>
      </c>
      <c r="BZ73" s="31">
        <f>SUM(BH$5:BH73)</f>
        <v>0</v>
      </c>
      <c r="CC73" s="41">
        <v>69</v>
      </c>
      <c r="CD73" s="41">
        <f t="shared" si="39"/>
        <v>58.736278385077256</v>
      </c>
      <c r="CE73" s="41">
        <f t="shared" si="40"/>
        <v>73.51653250063967</v>
      </c>
      <c r="CF73" s="41">
        <f t="shared" si="41"/>
        <v>81.197383832993523</v>
      </c>
      <c r="CG73" s="41">
        <f t="shared" si="42"/>
        <v>68.229817482654951</v>
      </c>
      <c r="CH73" s="41">
        <f t="shared" si="43"/>
        <v>36.752687924004064</v>
      </c>
      <c r="CI73" s="41">
        <f t="shared" si="44"/>
        <v>11.65448503125098</v>
      </c>
      <c r="CJ73" s="41">
        <f t="shared" si="45"/>
        <v>15.608604857160453</v>
      </c>
      <c r="CK73" s="41">
        <f t="shared" si="46"/>
        <v>19.396622073646959</v>
      </c>
      <c r="CL73" s="41">
        <f t="shared" si="47"/>
        <v>19.170383713854672</v>
      </c>
      <c r="CM73" s="41">
        <f t="shared" si="48"/>
        <v>10.987393725374348</v>
      </c>
      <c r="CN73" s="41">
        <f t="shared" si="49"/>
        <v>0</v>
      </c>
      <c r="CO73" s="41">
        <f t="shared" si="50"/>
        <v>0</v>
      </c>
      <c r="CP73" s="41">
        <f t="shared" si="51"/>
        <v>0</v>
      </c>
      <c r="CQ73" s="41">
        <f t="shared" si="52"/>
        <v>0</v>
      </c>
      <c r="CR73" s="41">
        <f t="shared" si="53"/>
        <v>0</v>
      </c>
    </row>
    <row r="74" spans="4:96" x14ac:dyDescent="0.15">
      <c r="W74" s="117">
        <v>1.05</v>
      </c>
      <c r="X74" s="31">
        <v>70</v>
      </c>
      <c r="Y74" s="113">
        <f t="shared" si="54"/>
        <v>12.170570214205567</v>
      </c>
      <c r="Z74" s="42">
        <f t="shared" si="37"/>
        <v>0.12</v>
      </c>
      <c r="AA74" s="113">
        <f>$Y74*$Z74*其他调用!V73</f>
        <v>575.86524998681</v>
      </c>
      <c r="AB74" s="113">
        <f>$Y74*$Z74*其他调用!W73</f>
        <v>729.75901483801522</v>
      </c>
      <c r="AC74" s="113">
        <f>$Y74*$Z74*其他调用!X73</f>
        <v>825.58405828697039</v>
      </c>
      <c r="AD74" s="113">
        <f>$Y74*$Z74*其他调用!Y73</f>
        <v>660.43948323981328</v>
      </c>
      <c r="AE74" s="113">
        <f>$Y74*$Z74*其他调用!Z73</f>
        <v>367.02132092443907</v>
      </c>
      <c r="AH74" s="31">
        <v>70</v>
      </c>
      <c r="AI74" s="31">
        <f>SUM(AA$5:AA74)</f>
        <v>5168.1518072162571</v>
      </c>
      <c r="AJ74" s="31">
        <f>SUM(AB$5:AB74)</f>
        <v>6506.7833889934791</v>
      </c>
      <c r="AK74" s="31">
        <f>SUM(AC$5:AC74)</f>
        <v>7236.4894476176696</v>
      </c>
      <c r="AL74" s="31">
        <f>SUM(AD$5:AD74)</f>
        <v>5975.0727566037049</v>
      </c>
      <c r="AM74" s="31">
        <f>SUM(AE$5:AE74)</f>
        <v>3297.9669529319208</v>
      </c>
      <c r="AR74" s="31">
        <v>70</v>
      </c>
      <c r="AS74" s="42">
        <f t="shared" si="38"/>
        <v>8.0000000000000016E-2</v>
      </c>
      <c r="AT74" s="52">
        <f>求节点(E$21:E$27,$M$21:$M$27,$AR74)*$AS74*其他调用!V73</f>
        <v>0</v>
      </c>
      <c r="AU74" s="52">
        <f>求节点(F$21:F$27,$M$21:$M$27,$AR74)*$AS74*其他调用!W73</f>
        <v>0</v>
      </c>
      <c r="AV74" s="52">
        <f>求节点(G$21:G$27,$M$21:$M$27,$AR74)*$AS74*其他调用!X73</f>
        <v>0</v>
      </c>
      <c r="AW74" s="52">
        <f>求节点(H$21:H$27,$M$21:$M$27,$AR74)*$AS74*其他调用!Y73</f>
        <v>0</v>
      </c>
      <c r="AX74" s="52">
        <f>求节点(I$21:I$27,$M$21:$M$27,$AR74)*$AS74*其他调用!Z73</f>
        <v>0</v>
      </c>
      <c r="AY74" s="52">
        <f>求节点(E$21:E$27,$N$21:$N$27,$AR74)*$AS74*其他调用!V73</f>
        <v>98.137323406896087</v>
      </c>
      <c r="AZ74" s="52">
        <f>求节点(F$21:F$27,$N$21:$N$27,$AR74)*$AS74*其他调用!W73</f>
        <v>139.90889536420821</v>
      </c>
      <c r="BA74" s="52">
        <f>求节点(G$21:G$27,$N$21:$N$27,$AR74)*$AS74*其他调用!X73</f>
        <v>180.8918933145452</v>
      </c>
      <c r="BB74" s="52">
        <f>求节点(H$21:H$27,$N$21:$N$27,$AR74)*$AS74*其他调用!Y73</f>
        <v>168.82533672297492</v>
      </c>
      <c r="BC74" s="52">
        <f>求节点(I$21:I$27,$N$21:$N$27,$AR74)*$AS74*其他调用!Z73</f>
        <v>93.82009958826184</v>
      </c>
      <c r="BD74" s="52">
        <f>求节点(E$21:E$27,$O$21:$O$27,$AR74)*$AS74*其他调用!V73</f>
        <v>0</v>
      </c>
      <c r="BE74" s="52">
        <f>求节点(F$21:F$27,$O$21:$O$27,$AR74)*$AS74*其他调用!W73</f>
        <v>0</v>
      </c>
      <c r="BF74" s="52">
        <f>求节点(G$21:G$27,$O$21:$O$27,$AR74)*$AS74*其他调用!X73</f>
        <v>0</v>
      </c>
      <c r="BG74" s="52">
        <f>求节点(H$21:H$27,$O$21:$O$27,$AR74)*$AS74*其他调用!Y73</f>
        <v>0</v>
      </c>
      <c r="BH74" s="52">
        <f>求节点(I$21:I$27,$O$21:$O$27,$AR74)*$AS74*其他调用!Z73</f>
        <v>0</v>
      </c>
      <c r="BK74" s="31">
        <v>70</v>
      </c>
      <c r="BL74" s="31">
        <f>SUM(AT$5:AT74)</f>
        <v>946.27439936474923</v>
      </c>
      <c r="BM74" s="31">
        <f>SUM(AU$5:AU74)</f>
        <v>1112.8936350179583</v>
      </c>
      <c r="BN74" s="31">
        <f>SUM(AV$5:AV74)</f>
        <v>1078.1579698345183</v>
      </c>
      <c r="BO74" s="31">
        <f>SUM(AW$5:AW74)</f>
        <v>704.96766450982125</v>
      </c>
      <c r="BP74" s="31">
        <f>SUM(AX$5:AX74)</f>
        <v>333.4630769439176</v>
      </c>
      <c r="BQ74" s="31">
        <f>SUM(AY$5:AY74)</f>
        <v>559.67819236871173</v>
      </c>
      <c r="BR74" s="31">
        <f>SUM(AZ$5:AZ74)</f>
        <v>809.51800750225232</v>
      </c>
      <c r="BS74" s="31">
        <f>SUM(BA$5:BA74)</f>
        <v>1114.6140416128364</v>
      </c>
      <c r="BT74" s="31">
        <f>SUM(BB$5:BB74)</f>
        <v>1211.8616961433461</v>
      </c>
      <c r="BU74" s="31">
        <f>SUM(BC$5:BC74)</f>
        <v>715.15865563191255</v>
      </c>
      <c r="BV74" s="31">
        <f>SUM(BD$5:BD74)</f>
        <v>0</v>
      </c>
      <c r="BW74" s="31">
        <f>SUM(BE$5:BE74)</f>
        <v>0</v>
      </c>
      <c r="BX74" s="31">
        <f>SUM(BF$5:BF74)</f>
        <v>0</v>
      </c>
      <c r="BY74" s="31">
        <f>SUM(BG$5:BG74)</f>
        <v>0</v>
      </c>
      <c r="BZ74" s="31">
        <f>SUM(BH$5:BH74)</f>
        <v>0</v>
      </c>
      <c r="CC74" s="41">
        <v>70</v>
      </c>
      <c r="CD74" s="41">
        <f t="shared" si="39"/>
        <v>62.171084704318631</v>
      </c>
      <c r="CE74" s="41">
        <f t="shared" si="40"/>
        <v>78.413343838386965</v>
      </c>
      <c r="CF74" s="41">
        <f t="shared" si="41"/>
        <v>87.528600099002603</v>
      </c>
      <c r="CG74" s="41">
        <f t="shared" si="42"/>
        <v>74.138704267959071</v>
      </c>
      <c r="CH74" s="41">
        <f t="shared" si="43"/>
        <v>40.036391409593229</v>
      </c>
      <c r="CI74" s="41">
        <f t="shared" si="44"/>
        <v>13.12654488235442</v>
      </c>
      <c r="CJ74" s="41">
        <f t="shared" si="45"/>
        <v>17.707238287623575</v>
      </c>
      <c r="CK74" s="41">
        <f t="shared" si="46"/>
        <v>22.11000047336514</v>
      </c>
      <c r="CL74" s="41">
        <f t="shared" si="47"/>
        <v>21.702763764699299</v>
      </c>
      <c r="CM74" s="41">
        <f t="shared" si="48"/>
        <v>12.394695219198276</v>
      </c>
      <c r="CN74" s="41">
        <f t="shared" si="49"/>
        <v>0</v>
      </c>
      <c r="CO74" s="41">
        <f t="shared" si="50"/>
        <v>0</v>
      </c>
      <c r="CP74" s="41">
        <f t="shared" si="51"/>
        <v>0</v>
      </c>
      <c r="CQ74" s="41">
        <f t="shared" si="52"/>
        <v>0</v>
      </c>
      <c r="CR74" s="41">
        <f t="shared" si="53"/>
        <v>0</v>
      </c>
    </row>
    <row r="75" spans="4:96" x14ac:dyDescent="0.15">
      <c r="W75" s="117">
        <v>1.05</v>
      </c>
      <c r="X75" s="31">
        <v>71</v>
      </c>
      <c r="Y75" s="113">
        <f t="shared" si="54"/>
        <v>12.779098724915846</v>
      </c>
      <c r="Z75" s="42">
        <f t="shared" si="37"/>
        <v>0.12</v>
      </c>
      <c r="AA75" s="113">
        <f>$Y75*$Z75*其他调用!V74</f>
        <v>648.05694757932167</v>
      </c>
      <c r="AB75" s="113">
        <f>$Y75*$Z75*其他调用!W74</f>
        <v>828.52474403319684</v>
      </c>
      <c r="AC75" s="113">
        <f>$Y75*$Z75*其他调用!X74</f>
        <v>903.89585731548289</v>
      </c>
      <c r="AD75" s="113">
        <f>$Y75*$Z75*其他调用!Y74</f>
        <v>740.35130793204894</v>
      </c>
      <c r="AE75" s="113">
        <f>$Y75*$Z75*其他调用!Z74</f>
        <v>414.89048251218088</v>
      </c>
      <c r="AH75" s="31">
        <v>71</v>
      </c>
      <c r="AI75" s="31">
        <f>SUM(AA$5:AA75)</f>
        <v>5816.2087547955789</v>
      </c>
      <c r="AJ75" s="31">
        <f>SUM(AB$5:AB75)</f>
        <v>7335.3081330266759</v>
      </c>
      <c r="AK75" s="31">
        <f>SUM(AC$5:AC75)</f>
        <v>8140.3853049331528</v>
      </c>
      <c r="AL75" s="31">
        <f>SUM(AD$5:AD75)</f>
        <v>6715.424064535754</v>
      </c>
      <c r="AM75" s="31">
        <f>SUM(AE$5:AE75)</f>
        <v>3712.8574354441016</v>
      </c>
      <c r="AR75" s="31">
        <v>71</v>
      </c>
      <c r="AS75" s="42">
        <f t="shared" si="38"/>
        <v>8.0000000000000016E-2</v>
      </c>
      <c r="AT75" s="52">
        <f>求节点(E$21:E$27,$M$21:$M$27,$AR75)*$AS75*其他调用!V74</f>
        <v>0</v>
      </c>
      <c r="AU75" s="52">
        <f>求节点(F$21:F$27,$M$21:$M$27,$AR75)*$AS75*其他调用!W74</f>
        <v>0</v>
      </c>
      <c r="AV75" s="52">
        <f>求节点(G$21:G$27,$M$21:$M$27,$AR75)*$AS75*其他调用!X74</f>
        <v>0</v>
      </c>
      <c r="AW75" s="52">
        <f>求节点(H$21:H$27,$M$21:$M$27,$AR75)*$AS75*其他调用!Y74</f>
        <v>0</v>
      </c>
      <c r="AX75" s="52">
        <f>求节点(I$21:I$27,$M$21:$M$27,$AR75)*$AS75*其他调用!Z74</f>
        <v>0</v>
      </c>
      <c r="AY75" s="52">
        <f>求节点(E$21:E$27,$N$21:$N$27,$AR75)*$AS75*其他调用!V74</f>
        <v>112.69390597698465</v>
      </c>
      <c r="AZ75" s="52">
        <f>求节点(F$21:F$27,$N$21:$N$27,$AR75)*$AS75*其他调用!W74</f>
        <v>162.08591111707159</v>
      </c>
      <c r="BA75" s="52">
        <f>求节点(G$21:G$27,$N$21:$N$27,$AR75)*$AS75*其他调用!X74</f>
        <v>199.09850490947784</v>
      </c>
      <c r="BB75" s="52">
        <f>求节点(H$21:H$27,$N$21:$N$27,$AR75)*$AS75*其他调用!Y74</f>
        <v>188.82371186142663</v>
      </c>
      <c r="BC75" s="52">
        <f>求节点(I$21:I$27,$N$21:$N$27,$AR75)*$AS75*其他调用!Z74</f>
        <v>105.81619845145008</v>
      </c>
      <c r="BD75" s="52">
        <f>求节点(E$21:E$27,$O$21:$O$27,$AR75)*$AS75*其他调用!V74</f>
        <v>0</v>
      </c>
      <c r="BE75" s="52">
        <f>求节点(F$21:F$27,$O$21:$O$27,$AR75)*$AS75*其他调用!W74</f>
        <v>0</v>
      </c>
      <c r="BF75" s="52">
        <f>求节点(G$21:G$27,$O$21:$O$27,$AR75)*$AS75*其他调用!X74</f>
        <v>0</v>
      </c>
      <c r="BG75" s="52">
        <f>求节点(H$21:H$27,$O$21:$O$27,$AR75)*$AS75*其他调用!Y74</f>
        <v>0</v>
      </c>
      <c r="BH75" s="52">
        <f>求节点(I$21:I$27,$O$21:$O$27,$AR75)*$AS75*其他调用!Z74</f>
        <v>0</v>
      </c>
      <c r="BK75" s="31">
        <v>71</v>
      </c>
      <c r="BL75" s="31">
        <f>SUM(AT$5:AT75)</f>
        <v>946.27439936474923</v>
      </c>
      <c r="BM75" s="31">
        <f>SUM(AU$5:AU75)</f>
        <v>1112.8936350179583</v>
      </c>
      <c r="BN75" s="31">
        <f>SUM(AV$5:AV75)</f>
        <v>1078.1579698345183</v>
      </c>
      <c r="BO75" s="31">
        <f>SUM(AW$5:AW75)</f>
        <v>704.96766450982125</v>
      </c>
      <c r="BP75" s="31">
        <f>SUM(AX$5:AX75)</f>
        <v>333.4630769439176</v>
      </c>
      <c r="BQ75" s="31">
        <f>SUM(AY$5:AY75)</f>
        <v>672.37209834569637</v>
      </c>
      <c r="BR75" s="31">
        <f>SUM(AZ$5:AZ75)</f>
        <v>971.60391861932385</v>
      </c>
      <c r="BS75" s="31">
        <f>SUM(BA$5:BA75)</f>
        <v>1313.7125465223144</v>
      </c>
      <c r="BT75" s="31">
        <f>SUM(BB$5:BB75)</f>
        <v>1400.6854080047726</v>
      </c>
      <c r="BU75" s="31">
        <f>SUM(BC$5:BC75)</f>
        <v>820.97485408336263</v>
      </c>
      <c r="BV75" s="31">
        <f>SUM(BD$5:BD75)</f>
        <v>0</v>
      </c>
      <c r="BW75" s="31">
        <f>SUM(BE$5:BE75)</f>
        <v>0</v>
      </c>
      <c r="BX75" s="31">
        <f>SUM(BF$5:BF75)</f>
        <v>0</v>
      </c>
      <c r="BY75" s="31">
        <f>SUM(BG$5:BG75)</f>
        <v>0</v>
      </c>
      <c r="BZ75" s="31">
        <f>SUM(BH$5:BH75)</f>
        <v>0</v>
      </c>
      <c r="CC75" s="41">
        <v>71</v>
      </c>
      <c r="CD75" s="41">
        <f t="shared" si="39"/>
        <v>66.115371413513088</v>
      </c>
      <c r="CE75" s="41">
        <f t="shared" si="40"/>
        <v>84.086350727484458</v>
      </c>
      <c r="CF75" s="41">
        <f t="shared" si="41"/>
        <v>94.497047770834314</v>
      </c>
      <c r="CG75" s="41">
        <f t="shared" si="42"/>
        <v>80.747534183108996</v>
      </c>
      <c r="CH75" s="41">
        <f t="shared" si="43"/>
        <v>43.739958355393988</v>
      </c>
      <c r="CI75" s="41">
        <f t="shared" si="44"/>
        <v>14.816953472009192</v>
      </c>
      <c r="CJ75" s="41">
        <f t="shared" si="45"/>
        <v>20.13852695437965</v>
      </c>
      <c r="CK75" s="41">
        <f t="shared" si="46"/>
        <v>25.096478047007306</v>
      </c>
      <c r="CL75" s="41">
        <f t="shared" si="47"/>
        <v>24.535119442620694</v>
      </c>
      <c r="CM75" s="41">
        <f t="shared" si="48"/>
        <v>13.981938195970027</v>
      </c>
      <c r="CN75" s="41">
        <f t="shared" si="49"/>
        <v>0</v>
      </c>
      <c r="CO75" s="41">
        <f t="shared" si="50"/>
        <v>0</v>
      </c>
      <c r="CP75" s="41">
        <f t="shared" si="51"/>
        <v>0</v>
      </c>
      <c r="CQ75" s="41">
        <f t="shared" si="52"/>
        <v>0</v>
      </c>
      <c r="CR75" s="41">
        <f t="shared" si="53"/>
        <v>0</v>
      </c>
    </row>
    <row r="76" spans="4:96" x14ac:dyDescent="0.15">
      <c r="W76" s="117">
        <v>1.05</v>
      </c>
      <c r="X76" s="31">
        <v>72</v>
      </c>
      <c r="Y76" s="113">
        <f t="shared" si="54"/>
        <v>13.418053661161638</v>
      </c>
      <c r="Z76" s="42">
        <f t="shared" si="37"/>
        <v>0.12</v>
      </c>
      <c r="AA76" s="113">
        <f>$Y76*$Z76*其他调用!V75</f>
        <v>729.29875055918228</v>
      </c>
      <c r="AB76" s="113">
        <f>$Y76*$Z76*其他调用!W75</f>
        <v>922.21838624499549</v>
      </c>
      <c r="AC76" s="113">
        <f>$Y76*$Z76*其他调用!X75</f>
        <v>986.81760527851736</v>
      </c>
      <c r="AD76" s="113">
        <f>$Y76*$Z76*其他调用!Y75</f>
        <v>824.91062382671419</v>
      </c>
      <c r="AE76" s="113">
        <f>$Y76*$Z76*其他调用!Z75</f>
        <v>459.47178348360308</v>
      </c>
      <c r="AH76" s="31">
        <v>72</v>
      </c>
      <c r="AI76" s="31">
        <f>SUM(AA$5:AA76)</f>
        <v>6545.5075053547607</v>
      </c>
      <c r="AJ76" s="31">
        <f>SUM(AB$5:AB76)</f>
        <v>8257.5265192716706</v>
      </c>
      <c r="AK76" s="31">
        <f>SUM(AC$5:AC76)</f>
        <v>9127.2029102116703</v>
      </c>
      <c r="AL76" s="31">
        <f>SUM(AD$5:AD76)</f>
        <v>7540.3346883624681</v>
      </c>
      <c r="AM76" s="31">
        <f>SUM(AE$5:AE76)</f>
        <v>4172.3292189277045</v>
      </c>
      <c r="AR76" s="31">
        <v>72</v>
      </c>
      <c r="AS76" s="42">
        <f t="shared" si="38"/>
        <v>8.0000000000000016E-2</v>
      </c>
      <c r="AT76" s="52">
        <f>求节点(E$21:E$27,$M$21:$M$27,$AR76)*$AS76*其他调用!V75</f>
        <v>0</v>
      </c>
      <c r="AU76" s="52">
        <f>求节点(F$21:F$27,$M$21:$M$27,$AR76)*$AS76*其他调用!W75</f>
        <v>0</v>
      </c>
      <c r="AV76" s="52">
        <f>求节点(G$21:G$27,$M$21:$M$27,$AR76)*$AS76*其他调用!X75</f>
        <v>0</v>
      </c>
      <c r="AW76" s="52">
        <f>求节点(H$21:H$27,$M$21:$M$27,$AR76)*$AS76*其他调用!Y75</f>
        <v>0</v>
      </c>
      <c r="AX76" s="52">
        <f>求节点(I$21:I$27,$M$21:$M$27,$AR76)*$AS76*其他调用!Z75</f>
        <v>0</v>
      </c>
      <c r="AY76" s="52">
        <f>求节点(E$21:E$27,$N$21:$N$27,$AR76)*$AS76*其他调用!V75</f>
        <v>128.83449367007216</v>
      </c>
      <c r="AZ76" s="52">
        <f>求节点(F$21:F$27,$N$21:$N$27,$AR76)*$AS76*其他调用!W75</f>
        <v>183.27911723180213</v>
      </c>
      <c r="BA76" s="52">
        <f>求节点(G$21:G$27,$N$21:$N$27,$AR76)*$AS76*其他调用!X75</f>
        <v>217.9082070675608</v>
      </c>
      <c r="BB76" s="52">
        <f>求节点(H$21:H$27,$N$21:$N$27,$AR76)*$AS76*其他调用!Y75</f>
        <v>209.47945514721337</v>
      </c>
      <c r="BC76" s="52">
        <f>求节点(I$21:I$27,$N$21:$N$27,$AR76)*$AS76*其他调用!Z75</f>
        <v>116.67918448324217</v>
      </c>
      <c r="BD76" s="52">
        <f>求节点(E$21:E$27,$O$21:$O$27,$AR76)*$AS76*其他调用!V75</f>
        <v>0</v>
      </c>
      <c r="BE76" s="52">
        <f>求节点(F$21:F$27,$O$21:$O$27,$AR76)*$AS76*其他调用!W75</f>
        <v>0</v>
      </c>
      <c r="BF76" s="52">
        <f>求节点(G$21:G$27,$O$21:$O$27,$AR76)*$AS76*其他调用!X75</f>
        <v>0</v>
      </c>
      <c r="BG76" s="52">
        <f>求节点(H$21:H$27,$O$21:$O$27,$AR76)*$AS76*其他调用!Y75</f>
        <v>0</v>
      </c>
      <c r="BH76" s="52">
        <f>求节点(I$21:I$27,$O$21:$O$27,$AR76)*$AS76*其他调用!Z75</f>
        <v>0</v>
      </c>
      <c r="BK76" s="31">
        <v>72</v>
      </c>
      <c r="BL76" s="31">
        <f>SUM(AT$5:AT76)</f>
        <v>946.27439936474923</v>
      </c>
      <c r="BM76" s="31">
        <f>SUM(AU$5:AU76)</f>
        <v>1112.8936350179583</v>
      </c>
      <c r="BN76" s="31">
        <f>SUM(AV$5:AV76)</f>
        <v>1078.1579698345183</v>
      </c>
      <c r="BO76" s="31">
        <f>SUM(AW$5:AW76)</f>
        <v>704.96766450982125</v>
      </c>
      <c r="BP76" s="31">
        <f>SUM(AX$5:AX76)</f>
        <v>333.4630769439176</v>
      </c>
      <c r="BQ76" s="31">
        <f>SUM(AY$5:AY76)</f>
        <v>801.20659201576859</v>
      </c>
      <c r="BR76" s="31">
        <f>SUM(AZ$5:AZ76)</f>
        <v>1154.8830358511259</v>
      </c>
      <c r="BS76" s="31">
        <f>SUM(BA$5:BA76)</f>
        <v>1531.6207535898752</v>
      </c>
      <c r="BT76" s="31">
        <f>SUM(BB$5:BB76)</f>
        <v>1610.1648631519861</v>
      </c>
      <c r="BU76" s="31">
        <f>SUM(BC$5:BC76)</f>
        <v>937.65403856660475</v>
      </c>
      <c r="BV76" s="31">
        <f>SUM(BD$5:BD76)</f>
        <v>0</v>
      </c>
      <c r="BW76" s="31">
        <f>SUM(BE$5:BE76)</f>
        <v>0</v>
      </c>
      <c r="BX76" s="31">
        <f>SUM(BF$5:BF76)</f>
        <v>0</v>
      </c>
      <c r="BY76" s="31">
        <f>SUM(BG$5:BG76)</f>
        <v>0</v>
      </c>
      <c r="BZ76" s="31">
        <f>SUM(BH$5:BH76)</f>
        <v>0</v>
      </c>
      <c r="CC76" s="41">
        <v>72</v>
      </c>
      <c r="CD76" s="41">
        <f t="shared" si="39"/>
        <v>70.62457869196561</v>
      </c>
      <c r="CE76" s="41">
        <f t="shared" si="40"/>
        <v>90.501119830597531</v>
      </c>
      <c r="CF76" s="41">
        <f t="shared" si="41"/>
        <v>102.12383501819895</v>
      </c>
      <c r="CG76" s="41">
        <f t="shared" si="42"/>
        <v>88.079315113261458</v>
      </c>
      <c r="CH76" s="41">
        <f t="shared" si="43"/>
        <v>47.823729812307462</v>
      </c>
      <c r="CI76" s="41">
        <f t="shared" si="44"/>
        <v>16.749470877060276</v>
      </c>
      <c r="CJ76" s="41">
        <f t="shared" si="45"/>
        <v>22.88771371285668</v>
      </c>
      <c r="CK76" s="41">
        <f t="shared" si="46"/>
        <v>28.365101153020721</v>
      </c>
      <c r="CL76" s="41">
        <f t="shared" si="47"/>
        <v>27.677311269828898</v>
      </c>
      <c r="CM76" s="41">
        <f t="shared" si="48"/>
        <v>15.73212596321866</v>
      </c>
      <c r="CN76" s="41">
        <f t="shared" si="49"/>
        <v>0</v>
      </c>
      <c r="CO76" s="41">
        <f t="shared" si="50"/>
        <v>0</v>
      </c>
      <c r="CP76" s="41">
        <f t="shared" si="51"/>
        <v>0</v>
      </c>
      <c r="CQ76" s="41">
        <f t="shared" si="52"/>
        <v>0</v>
      </c>
      <c r="CR76" s="41">
        <f t="shared" si="53"/>
        <v>0</v>
      </c>
    </row>
    <row r="77" spans="4:96" x14ac:dyDescent="0.15">
      <c r="W77" s="117">
        <v>1.05</v>
      </c>
      <c r="X77" s="31">
        <v>73</v>
      </c>
      <c r="Y77" s="113">
        <f t="shared" si="54"/>
        <v>14.088956344219721</v>
      </c>
      <c r="Z77" s="42">
        <f t="shared" si="37"/>
        <v>0.12</v>
      </c>
      <c r="AA77" s="113">
        <f>$Y77*$Z77*其他调用!V76</f>
        <v>820.72519946572152</v>
      </c>
      <c r="AB77" s="113">
        <f>$Y77*$Z77*其他调用!W76</f>
        <v>1000.7015358253201</v>
      </c>
      <c r="AC77" s="113">
        <f>$Y77*$Z77*其他调用!X76</f>
        <v>1117.3846812702561</v>
      </c>
      <c r="AD77" s="113">
        <f>$Y77*$Z77*其他调用!Y76</f>
        <v>934.83836060603016</v>
      </c>
      <c r="AE77" s="113">
        <f>$Y77*$Z77*其他调用!Z76</f>
        <v>519.05885301635624</v>
      </c>
      <c r="AH77" s="31">
        <v>73</v>
      </c>
      <c r="AI77" s="31">
        <f>SUM(AA$5:AA77)</f>
        <v>7366.2327048204825</v>
      </c>
      <c r="AJ77" s="31">
        <f>SUM(AB$5:AB77)</f>
        <v>9258.2280550969899</v>
      </c>
      <c r="AK77" s="31">
        <f>SUM(AC$5:AC77)</f>
        <v>10244.587591481926</v>
      </c>
      <c r="AL77" s="31">
        <f>SUM(AD$5:AD77)</f>
        <v>8475.1730489684978</v>
      </c>
      <c r="AM77" s="31">
        <f>SUM(AE$5:AE77)</f>
        <v>4691.3880719440604</v>
      </c>
      <c r="AR77" s="31">
        <v>73</v>
      </c>
      <c r="AS77" s="42">
        <f t="shared" si="38"/>
        <v>8.0000000000000016E-2</v>
      </c>
      <c r="AT77" s="52">
        <f>求节点(E$21:E$27,$M$21:$M$27,$AR77)*$AS77*其他调用!V76</f>
        <v>0</v>
      </c>
      <c r="AU77" s="52">
        <f>求节点(F$21:F$27,$M$21:$M$27,$AR77)*$AS77*其他调用!W76</f>
        <v>0</v>
      </c>
      <c r="AV77" s="52">
        <f>求节点(G$21:G$27,$M$21:$M$27,$AR77)*$AS77*其他调用!X76</f>
        <v>0</v>
      </c>
      <c r="AW77" s="52">
        <f>求节点(H$21:H$27,$M$21:$M$27,$AR77)*$AS77*其他调用!Y76</f>
        <v>0</v>
      </c>
      <c r="AX77" s="52">
        <f>求节点(I$21:I$27,$M$21:$M$27,$AR77)*$AS77*其他调用!Z76</f>
        <v>0</v>
      </c>
      <c r="AY77" s="52">
        <f>求节点(E$21:E$27,$N$21:$N$27,$AR77)*$AS77*其他调用!V76</f>
        <v>146.71147833581429</v>
      </c>
      <c r="AZ77" s="52">
        <f>求节点(F$21:F$27,$N$21:$N$27,$AR77)*$AS77*其他调用!W76</f>
        <v>199.92889745908644</v>
      </c>
      <c r="BA77" s="52">
        <f>求节点(G$21:G$27,$N$21:$N$27,$AR77)*$AS77*其他调用!X76</f>
        <v>246.73991545949164</v>
      </c>
      <c r="BB77" s="52">
        <f>求节点(H$21:H$27,$N$21:$N$27,$AR77)*$AS77*其他调用!Y76</f>
        <v>235.92022328629784</v>
      </c>
      <c r="BC77" s="52">
        <f>求节点(I$21:I$27,$N$21:$N$27,$AR77)*$AS77*其他调用!Z76</f>
        <v>130.99214330802945</v>
      </c>
      <c r="BD77" s="52">
        <f>求节点(E$21:E$27,$O$21:$O$27,$AR77)*$AS77*其他调用!V76</f>
        <v>0</v>
      </c>
      <c r="BE77" s="52">
        <f>求节点(F$21:F$27,$O$21:$O$27,$AR77)*$AS77*其他调用!W76</f>
        <v>0</v>
      </c>
      <c r="BF77" s="52">
        <f>求节点(G$21:G$27,$O$21:$O$27,$AR77)*$AS77*其他调用!X76</f>
        <v>0</v>
      </c>
      <c r="BG77" s="52">
        <f>求节点(H$21:H$27,$O$21:$O$27,$AR77)*$AS77*其他调用!Y76</f>
        <v>0</v>
      </c>
      <c r="BH77" s="52">
        <f>求节点(I$21:I$27,$O$21:$O$27,$AR77)*$AS77*其他调用!Z76</f>
        <v>0</v>
      </c>
      <c r="BK77" s="31">
        <v>73</v>
      </c>
      <c r="BL77" s="31">
        <f>SUM(AT$5:AT77)</f>
        <v>946.27439936474923</v>
      </c>
      <c r="BM77" s="31">
        <f>SUM(AU$5:AU77)</f>
        <v>1112.8936350179583</v>
      </c>
      <c r="BN77" s="31">
        <f>SUM(AV$5:AV77)</f>
        <v>1078.1579698345183</v>
      </c>
      <c r="BO77" s="31">
        <f>SUM(AW$5:AW77)</f>
        <v>704.96766450982125</v>
      </c>
      <c r="BP77" s="31">
        <f>SUM(AX$5:AX77)</f>
        <v>333.4630769439176</v>
      </c>
      <c r="BQ77" s="31">
        <f>SUM(AY$5:AY77)</f>
        <v>947.91807035158286</v>
      </c>
      <c r="BR77" s="31">
        <f>SUM(AZ$5:AZ77)</f>
        <v>1354.8119333102122</v>
      </c>
      <c r="BS77" s="31">
        <f>SUM(BA$5:BA77)</f>
        <v>1778.3606690493668</v>
      </c>
      <c r="BT77" s="31">
        <f>SUM(BB$5:BB77)</f>
        <v>1846.085086438284</v>
      </c>
      <c r="BU77" s="31">
        <f>SUM(BC$5:BC77)</f>
        <v>1068.6461818746343</v>
      </c>
      <c r="BV77" s="31">
        <f>SUM(BD$5:BD77)</f>
        <v>0</v>
      </c>
      <c r="BW77" s="31">
        <f>SUM(BE$5:BE77)</f>
        <v>0</v>
      </c>
      <c r="BX77" s="31">
        <f>SUM(BF$5:BF77)</f>
        <v>0</v>
      </c>
      <c r="BY77" s="31">
        <f>SUM(BG$5:BG77)</f>
        <v>0</v>
      </c>
      <c r="BZ77" s="31">
        <f>SUM(BH$5:BH77)</f>
        <v>0</v>
      </c>
      <c r="CC77" s="41">
        <v>73</v>
      </c>
      <c r="CD77" s="41">
        <f t="shared" si="39"/>
        <v>75.759480433719119</v>
      </c>
      <c r="CE77" s="41">
        <f t="shared" si="40"/>
        <v>97.498631241665549</v>
      </c>
      <c r="CF77" s="41">
        <f t="shared" si="41"/>
        <v>110.75973205928116</v>
      </c>
      <c r="CG77" s="41">
        <f t="shared" si="42"/>
        <v>96.33652292828188</v>
      </c>
      <c r="CH77" s="41">
        <f t="shared" si="43"/>
        <v>52.408454828088495</v>
      </c>
      <c r="CI77" s="41">
        <f t="shared" si="44"/>
        <v>18.950143052097491</v>
      </c>
      <c r="CJ77" s="41">
        <f t="shared" si="45"/>
        <v>25.886647174742972</v>
      </c>
      <c r="CK77" s="41">
        <f t="shared" si="46"/>
        <v>32.066199884913097</v>
      </c>
      <c r="CL77" s="41">
        <f t="shared" si="47"/>
        <v>31.216114619123363</v>
      </c>
      <c r="CM77" s="41">
        <f t="shared" si="48"/>
        <v>17.697008112839104</v>
      </c>
      <c r="CN77" s="41">
        <f t="shared" si="49"/>
        <v>0</v>
      </c>
      <c r="CO77" s="41">
        <f t="shared" si="50"/>
        <v>0</v>
      </c>
      <c r="CP77" s="41">
        <f t="shared" si="51"/>
        <v>0</v>
      </c>
      <c r="CQ77" s="41">
        <f t="shared" si="52"/>
        <v>0</v>
      </c>
      <c r="CR77" s="41">
        <f t="shared" si="53"/>
        <v>0</v>
      </c>
    </row>
    <row r="78" spans="4:96" x14ac:dyDescent="0.15">
      <c r="W78" s="117">
        <v>1.05</v>
      </c>
      <c r="X78" s="31">
        <v>74</v>
      </c>
      <c r="Y78" s="113">
        <f t="shared" si="54"/>
        <v>14.793404161430708</v>
      </c>
      <c r="Z78" s="42">
        <f t="shared" si="37"/>
        <v>0.12</v>
      </c>
      <c r="AA78" s="113">
        <f>$Y78*$Z78*其他调用!V77</f>
        <v>923.61306326326996</v>
      </c>
      <c r="AB78" s="113">
        <f>$Y78*$Z78*其他调用!W77</f>
        <v>1159.3891149561762</v>
      </c>
      <c r="AC78" s="113">
        <f>$Y78*$Z78*其他调用!X77</f>
        <v>1312.0298226104071</v>
      </c>
      <c r="AD78" s="113">
        <f>$Y78*$Z78*其他调用!Y77</f>
        <v>1081.4823427908211</v>
      </c>
      <c r="AE78" s="113">
        <f>$Y78*$Z78*其他调用!Z77</f>
        <v>601.92444146365619</v>
      </c>
      <c r="AH78" s="31">
        <v>74</v>
      </c>
      <c r="AI78" s="31">
        <f>SUM(AA$5:AA78)</f>
        <v>8289.8457680837528</v>
      </c>
      <c r="AJ78" s="31">
        <f>SUM(AB$5:AB78)</f>
        <v>10417.617170053167</v>
      </c>
      <c r="AK78" s="31">
        <f>SUM(AC$5:AC78)</f>
        <v>11556.617414092334</v>
      </c>
      <c r="AL78" s="31">
        <f>SUM(AD$5:AD78)</f>
        <v>9556.6553917593192</v>
      </c>
      <c r="AM78" s="31">
        <f>SUM(AE$5:AE78)</f>
        <v>5293.3125134077163</v>
      </c>
      <c r="AR78" s="31">
        <v>74</v>
      </c>
      <c r="AS78" s="42">
        <f t="shared" si="38"/>
        <v>8.0000000000000016E-2</v>
      </c>
      <c r="AT78" s="52">
        <f>求节点(E$21:E$27,$M$21:$M$27,$AR78)*$AS78*其他调用!V77</f>
        <v>0</v>
      </c>
      <c r="AU78" s="52">
        <f>求节点(F$21:F$27,$M$21:$M$27,$AR78)*$AS78*其他调用!W77</f>
        <v>0</v>
      </c>
      <c r="AV78" s="52">
        <f>求节点(G$21:G$27,$M$21:$M$27,$AR78)*$AS78*其他调用!X77</f>
        <v>0</v>
      </c>
      <c r="AW78" s="52">
        <f>求节点(H$21:H$27,$M$21:$M$27,$AR78)*$AS78*其他调用!Y77</f>
        <v>0</v>
      </c>
      <c r="AX78" s="52">
        <f>求节点(I$21:I$27,$M$21:$M$27,$AR78)*$AS78*其他调用!Z77</f>
        <v>0</v>
      </c>
      <c r="AY78" s="52">
        <f>求节点(E$21:E$27,$N$21:$N$27,$AR78)*$AS78*其他调用!V77</f>
        <v>166.49096731389875</v>
      </c>
      <c r="AZ78" s="52">
        <f>求节点(F$21:F$27,$N$21:$N$27,$AR78)*$AS78*其他调用!W77</f>
        <v>232.21342226516512</v>
      </c>
      <c r="BA78" s="52">
        <f>求节点(G$21:G$27,$N$21:$N$27,$AR78)*$AS78*其他调用!X77</f>
        <v>289.06432225493177</v>
      </c>
      <c r="BB78" s="52">
        <f>求节点(H$21:H$27,$N$21:$N$27,$AR78)*$AS78*其他调用!Y77</f>
        <v>270.76189596223014</v>
      </c>
      <c r="BC78" s="52">
        <f>求节点(I$21:I$27,$N$21:$N$27,$AR78)*$AS78*其他调用!Z77</f>
        <v>150.69890329982852</v>
      </c>
      <c r="BD78" s="52">
        <f>求节点(E$21:E$27,$O$21:$O$27,$AR78)*$AS78*其他调用!V77</f>
        <v>0</v>
      </c>
      <c r="BE78" s="52">
        <f>求节点(F$21:F$27,$O$21:$O$27,$AR78)*$AS78*其他调用!W77</f>
        <v>0</v>
      </c>
      <c r="BF78" s="52">
        <f>求节点(G$21:G$27,$O$21:$O$27,$AR78)*$AS78*其他调用!X77</f>
        <v>0</v>
      </c>
      <c r="BG78" s="52">
        <f>求节点(H$21:H$27,$O$21:$O$27,$AR78)*$AS78*其他调用!Y77</f>
        <v>0</v>
      </c>
      <c r="BH78" s="52">
        <f>求节点(I$21:I$27,$O$21:$O$27,$AR78)*$AS78*其他调用!Z77</f>
        <v>0</v>
      </c>
      <c r="BK78" s="31">
        <v>74</v>
      </c>
      <c r="BL78" s="31">
        <f>SUM(AT$5:AT78)</f>
        <v>946.27439936474923</v>
      </c>
      <c r="BM78" s="31">
        <f>SUM(AU$5:AU78)</f>
        <v>1112.8936350179583</v>
      </c>
      <c r="BN78" s="31">
        <f>SUM(AV$5:AV78)</f>
        <v>1078.1579698345183</v>
      </c>
      <c r="BO78" s="31">
        <f>SUM(AW$5:AW78)</f>
        <v>704.96766450982125</v>
      </c>
      <c r="BP78" s="31">
        <f>SUM(AX$5:AX78)</f>
        <v>333.4630769439176</v>
      </c>
      <c r="BQ78" s="31">
        <f>SUM(AY$5:AY78)</f>
        <v>1114.4090376654817</v>
      </c>
      <c r="BR78" s="31">
        <f>SUM(AZ$5:AZ78)</f>
        <v>1587.0253555753773</v>
      </c>
      <c r="BS78" s="31">
        <f>SUM(BA$5:BA78)</f>
        <v>2067.4249913042986</v>
      </c>
      <c r="BT78" s="31">
        <f>SUM(BB$5:BB78)</f>
        <v>2116.8469824005142</v>
      </c>
      <c r="BU78" s="31">
        <f>SUM(BC$5:BC78)</f>
        <v>1219.3450851744628</v>
      </c>
      <c r="BV78" s="31">
        <f>SUM(BD$5:BD78)</f>
        <v>0</v>
      </c>
      <c r="BW78" s="31">
        <f>SUM(BE$5:BE78)</f>
        <v>0</v>
      </c>
      <c r="BX78" s="31">
        <f>SUM(BF$5:BF78)</f>
        <v>0</v>
      </c>
      <c r="BY78" s="31">
        <f>SUM(BG$5:BG78)</f>
        <v>0</v>
      </c>
      <c r="BZ78" s="31">
        <f>SUM(BH$5:BH78)</f>
        <v>0</v>
      </c>
      <c r="CC78" s="41">
        <v>74</v>
      </c>
      <c r="CD78" s="41">
        <f t="shared" si="39"/>
        <v>81.586664289705567</v>
      </c>
      <c r="CE78" s="41">
        <f t="shared" si="40"/>
        <v>105.62610102094632</v>
      </c>
      <c r="CF78" s="41">
        <f t="shared" si="41"/>
        <v>120.87698333820376</v>
      </c>
      <c r="CG78" s="41">
        <f t="shared" si="42"/>
        <v>105.81318928695995</v>
      </c>
      <c r="CH78" s="41">
        <f t="shared" si="43"/>
        <v>57.682916443582485</v>
      </c>
      <c r="CI78" s="41">
        <f t="shared" si="44"/>
        <v>21.447507561805971</v>
      </c>
      <c r="CJ78" s="41">
        <f t="shared" si="45"/>
        <v>29.369848508720452</v>
      </c>
      <c r="CK78" s="41">
        <f t="shared" si="46"/>
        <v>36.402164718737069</v>
      </c>
      <c r="CL78" s="41">
        <f t="shared" si="47"/>
        <v>35.277543058556816</v>
      </c>
      <c r="CM78" s="41">
        <f t="shared" si="48"/>
        <v>19.95749166233653</v>
      </c>
      <c r="CN78" s="41">
        <f t="shared" si="49"/>
        <v>0</v>
      </c>
      <c r="CO78" s="41">
        <f t="shared" si="50"/>
        <v>0</v>
      </c>
      <c r="CP78" s="41">
        <f t="shared" si="51"/>
        <v>0</v>
      </c>
      <c r="CQ78" s="41">
        <f t="shared" si="52"/>
        <v>0</v>
      </c>
      <c r="CR78" s="41">
        <f t="shared" si="53"/>
        <v>0</v>
      </c>
    </row>
    <row r="79" spans="4:96" x14ac:dyDescent="0.15">
      <c r="W79" s="117">
        <v>1.05</v>
      </c>
      <c r="X79" s="31">
        <v>75</v>
      </c>
      <c r="Y79" s="113">
        <f t="shared" si="54"/>
        <v>15.533074369502243</v>
      </c>
      <c r="Z79" s="42">
        <f t="shared" si="37"/>
        <v>0.12</v>
      </c>
      <c r="AA79" s="113">
        <f>$Y79*$Z79*其他调用!V78</f>
        <v>1039.3991694002996</v>
      </c>
      <c r="AB79" s="113">
        <f>$Y79*$Z79*其他调用!W78</f>
        <v>1322.4135402912177</v>
      </c>
      <c r="AC79" s="113">
        <f>$Y79*$Z79*其他调用!X78</f>
        <v>1472.0563666747773</v>
      </c>
      <c r="AD79" s="113">
        <f>$Y79*$Z79*其他调用!Y78</f>
        <v>1217.9957309710242</v>
      </c>
      <c r="AE79" s="113">
        <f>$Y79*$Z79*其他调用!Z78</f>
        <v>688.4538228027302</v>
      </c>
      <c r="AH79" s="31">
        <v>75</v>
      </c>
      <c r="AI79" s="31">
        <f>SUM(AA$5:AA79)</f>
        <v>9329.2449374840526</v>
      </c>
      <c r="AJ79" s="31">
        <f>SUM(AB$5:AB79)</f>
        <v>11740.030710344385</v>
      </c>
      <c r="AK79" s="31">
        <f>SUM(AC$5:AC79)</f>
        <v>13028.673780767111</v>
      </c>
      <c r="AL79" s="31">
        <f>SUM(AD$5:AD79)</f>
        <v>10774.651122730344</v>
      </c>
      <c r="AM79" s="31">
        <f>SUM(AE$5:AE79)</f>
        <v>5981.7663362104468</v>
      </c>
      <c r="AR79" s="31">
        <v>75</v>
      </c>
      <c r="AS79" s="42">
        <f t="shared" si="38"/>
        <v>8.0000000000000016E-2</v>
      </c>
      <c r="AT79" s="52">
        <f>求节点(E$21:E$27,$M$21:$M$27,$AR79)*$AS79*其他调用!V78</f>
        <v>0</v>
      </c>
      <c r="AU79" s="52">
        <f>求节点(F$21:F$27,$M$21:$M$27,$AR79)*$AS79*其他调用!W78</f>
        <v>0</v>
      </c>
      <c r="AV79" s="52">
        <f>求节点(G$21:G$27,$M$21:$M$27,$AR79)*$AS79*其他调用!X78</f>
        <v>0</v>
      </c>
      <c r="AW79" s="52">
        <f>求节点(H$21:H$27,$M$21:$M$27,$AR79)*$AS79*其他调用!Y78</f>
        <v>0</v>
      </c>
      <c r="AX79" s="52">
        <f>求节点(I$21:I$27,$M$21:$M$27,$AR79)*$AS79*其他调用!Z78</f>
        <v>0</v>
      </c>
      <c r="AY79" s="52">
        <f>求节点(E$21:E$27,$N$21:$N$27,$AR79)*$AS79*其他调用!V78</f>
        <v>188.35396721453614</v>
      </c>
      <c r="AZ79" s="52">
        <f>求节点(F$21:F$27,$N$21:$N$27,$AR79)*$AS79*其他调用!W78</f>
        <v>264.86549673396229</v>
      </c>
      <c r="BA79" s="52">
        <f>求节点(G$21:G$27,$N$21:$N$27,$AR79)*$AS79*其他调用!X78</f>
        <v>322.91712822653574</v>
      </c>
      <c r="BB79" s="52">
        <f>求节点(H$21:H$27,$N$21:$N$27,$AR79)*$AS79*其他调用!Y78</f>
        <v>302.03545030981081</v>
      </c>
      <c r="BC79" s="52">
        <f>求节点(I$21:I$27,$N$21:$N$27,$AR79)*$AS79*其他调用!Z78</f>
        <v>170.72100919595101</v>
      </c>
      <c r="BD79" s="52">
        <f>求节点(E$21:E$27,$O$21:$O$27,$AR79)*$AS79*其他调用!V78</f>
        <v>0</v>
      </c>
      <c r="BE79" s="52">
        <f>求节点(F$21:F$27,$O$21:$O$27,$AR79)*$AS79*其他调用!W78</f>
        <v>0</v>
      </c>
      <c r="BF79" s="52">
        <f>求节点(G$21:G$27,$O$21:$O$27,$AR79)*$AS79*其他调用!X78</f>
        <v>0</v>
      </c>
      <c r="BG79" s="52">
        <f>求节点(H$21:H$27,$O$21:$O$27,$AR79)*$AS79*其他调用!Y78</f>
        <v>0</v>
      </c>
      <c r="BH79" s="52">
        <f>求节点(I$21:I$27,$O$21:$O$27,$AR79)*$AS79*其他调用!Z78</f>
        <v>0</v>
      </c>
      <c r="BK79" s="31">
        <v>75</v>
      </c>
      <c r="BL79" s="31">
        <f>SUM(AT$5:AT79)</f>
        <v>946.27439936474923</v>
      </c>
      <c r="BM79" s="31">
        <f>SUM(AU$5:AU79)</f>
        <v>1112.8936350179583</v>
      </c>
      <c r="BN79" s="31">
        <f>SUM(AV$5:AV79)</f>
        <v>1078.1579698345183</v>
      </c>
      <c r="BO79" s="31">
        <f>SUM(AW$5:AW79)</f>
        <v>704.96766450982125</v>
      </c>
      <c r="BP79" s="31">
        <f>SUM(AX$5:AX79)</f>
        <v>333.4630769439176</v>
      </c>
      <c r="BQ79" s="31">
        <f>SUM(AY$5:AY79)</f>
        <v>1302.7630048800179</v>
      </c>
      <c r="BR79" s="31">
        <f>SUM(AZ$5:AZ79)</f>
        <v>1851.8908523093396</v>
      </c>
      <c r="BS79" s="31">
        <f>SUM(BA$5:BA79)</f>
        <v>2390.3421195308342</v>
      </c>
      <c r="BT79" s="31">
        <f>SUM(BB$5:BB79)</f>
        <v>2418.8824327103248</v>
      </c>
      <c r="BU79" s="31">
        <f>SUM(BC$5:BC79)</f>
        <v>1390.0660943704138</v>
      </c>
      <c r="BV79" s="31">
        <f>SUM(BD$5:BD79)</f>
        <v>0</v>
      </c>
      <c r="BW79" s="31">
        <f>SUM(BE$5:BE79)</f>
        <v>0</v>
      </c>
      <c r="BX79" s="31">
        <f>SUM(BF$5:BF79)</f>
        <v>0</v>
      </c>
      <c r="BY79" s="31">
        <f>SUM(BG$5:BG79)</f>
        <v>0</v>
      </c>
      <c r="BZ79" s="31">
        <f>SUM(BH$5:BH79)</f>
        <v>0</v>
      </c>
      <c r="CC79" s="41">
        <v>75</v>
      </c>
      <c r="CD79" s="41">
        <f t="shared" si="39"/>
        <v>88.179053142214343</v>
      </c>
      <c r="CE79" s="41">
        <f t="shared" si="40"/>
        <v>114.896393406635</v>
      </c>
      <c r="CF79" s="41">
        <f t="shared" si="41"/>
        <v>132.17908282613251</v>
      </c>
      <c r="CG79" s="41">
        <f t="shared" si="42"/>
        <v>116.38443004780333</v>
      </c>
      <c r="CH79" s="41">
        <f t="shared" si="43"/>
        <v>63.658151765440763</v>
      </c>
      <c r="CI79" s="41">
        <f t="shared" si="44"/>
        <v>24.272817070024011</v>
      </c>
      <c r="CJ79" s="41">
        <f t="shared" si="45"/>
        <v>33.342830959729881</v>
      </c>
      <c r="CK79" s="41">
        <f t="shared" si="46"/>
        <v>41.245921642135102</v>
      </c>
      <c r="CL79" s="41">
        <f t="shared" si="47"/>
        <v>39.80807481320398</v>
      </c>
      <c r="CM79" s="41">
        <f t="shared" si="48"/>
        <v>22.518306800275795</v>
      </c>
      <c r="CN79" s="41">
        <f t="shared" si="49"/>
        <v>0</v>
      </c>
      <c r="CO79" s="41">
        <f t="shared" si="50"/>
        <v>0</v>
      </c>
      <c r="CP79" s="41">
        <f t="shared" si="51"/>
        <v>0</v>
      </c>
      <c r="CQ79" s="41">
        <f t="shared" si="52"/>
        <v>0</v>
      </c>
      <c r="CR79" s="41">
        <f t="shared" si="53"/>
        <v>0</v>
      </c>
    </row>
    <row r="80" spans="4:96" x14ac:dyDescent="0.15">
      <c r="W80" s="117">
        <v>1.05</v>
      </c>
      <c r="X80" s="31">
        <v>76</v>
      </c>
      <c r="Y80" s="113">
        <f t="shared" si="54"/>
        <v>16.309728087977355</v>
      </c>
      <c r="Z80" s="42">
        <f t="shared" si="37"/>
        <v>0.12</v>
      </c>
      <c r="AA80" s="113">
        <f>$Y80*$Z80*其他调用!V79</f>
        <v>1169.7004690827807</v>
      </c>
      <c r="AB80" s="113">
        <f>$Y80*$Z80*其他调用!W79</f>
        <v>1471.5052217030584</v>
      </c>
      <c r="AC80" s="113">
        <f>$Y80*$Z80*其他调用!X79</f>
        <v>1627.0543138453354</v>
      </c>
      <c r="AD80" s="113">
        <f>$Y80*$Z80*其他调用!Y79</f>
        <v>1375.6305985641168</v>
      </c>
      <c r="AE80" s="113">
        <f>$Y80*$Z80*其他调用!Z79</f>
        <v>788.0126805612997</v>
      </c>
      <c r="AH80" s="31">
        <v>76</v>
      </c>
      <c r="AI80" s="31">
        <f>SUM(AA$5:AA80)</f>
        <v>10498.945406566832</v>
      </c>
      <c r="AJ80" s="31">
        <f>SUM(AB$5:AB80)</f>
        <v>13211.535932047444</v>
      </c>
      <c r="AK80" s="31">
        <f>SUM(AC$5:AC80)</f>
        <v>14655.728094612447</v>
      </c>
      <c r="AL80" s="31">
        <f>SUM(AD$5:AD80)</f>
        <v>12150.281721294461</v>
      </c>
      <c r="AM80" s="31">
        <f>SUM(AE$5:AE80)</f>
        <v>6769.7790167717467</v>
      </c>
      <c r="AR80" s="31">
        <v>76</v>
      </c>
      <c r="AS80" s="42">
        <f t="shared" si="38"/>
        <v>8.0000000000000016E-2</v>
      </c>
      <c r="AT80" s="52">
        <f>求节点(E$21:E$27,$M$21:$M$27,$AR80)*$AS80*其他调用!V79</f>
        <v>0</v>
      </c>
      <c r="AU80" s="52">
        <f>求节点(F$21:F$27,$M$21:$M$27,$AR80)*$AS80*其他调用!W79</f>
        <v>0</v>
      </c>
      <c r="AV80" s="52">
        <f>求节点(G$21:G$27,$M$21:$M$27,$AR80)*$AS80*其他调用!X79</f>
        <v>0</v>
      </c>
      <c r="AW80" s="52">
        <f>求节点(H$21:H$27,$M$21:$M$27,$AR80)*$AS80*其他调用!Y79</f>
        <v>0</v>
      </c>
      <c r="AX80" s="52">
        <f>求节点(I$21:I$27,$M$21:$M$27,$AR80)*$AS80*其他调用!Z79</f>
        <v>0</v>
      </c>
      <c r="AY80" s="52">
        <f>求节点(E$21:E$27,$N$21:$N$27,$AR80)*$AS80*其他调用!V79</f>
        <v>212.49766697260077</v>
      </c>
      <c r="AZ80" s="52">
        <f>求节点(F$21:F$27,$N$21:$N$27,$AR80)*$AS80*其他调用!W79</f>
        <v>294.05867424726762</v>
      </c>
      <c r="BA80" s="52">
        <f>求节点(G$21:G$27,$N$21:$N$27,$AR80)*$AS80*其他调用!X79</f>
        <v>354.70131528727717</v>
      </c>
      <c r="BB80" s="52">
        <f>求节点(H$21:H$27,$N$21:$N$27,$AR80)*$AS80*其他调用!Y79</f>
        <v>337.37670944450809</v>
      </c>
      <c r="BC80" s="52">
        <f>求节点(I$21:I$27,$N$21:$N$27,$AR80)*$AS80*其他调用!Z79</f>
        <v>193.26200321933754</v>
      </c>
      <c r="BD80" s="52">
        <f>求节点(E$21:E$27,$O$21:$O$27,$AR80)*$AS80*其他调用!V79</f>
        <v>0</v>
      </c>
      <c r="BE80" s="52">
        <f>求节点(F$21:F$27,$O$21:$O$27,$AR80)*$AS80*其他调用!W79</f>
        <v>0</v>
      </c>
      <c r="BF80" s="52">
        <f>求节点(G$21:G$27,$O$21:$O$27,$AR80)*$AS80*其他调用!X79</f>
        <v>0</v>
      </c>
      <c r="BG80" s="52">
        <f>求节点(H$21:H$27,$O$21:$O$27,$AR80)*$AS80*其他调用!Y79</f>
        <v>0</v>
      </c>
      <c r="BH80" s="52">
        <f>求节点(I$21:I$27,$O$21:$O$27,$AR80)*$AS80*其他调用!Z79</f>
        <v>0</v>
      </c>
      <c r="BK80" s="31">
        <v>76</v>
      </c>
      <c r="BL80" s="31">
        <f>SUM(AT$5:AT80)</f>
        <v>946.27439936474923</v>
      </c>
      <c r="BM80" s="31">
        <f>SUM(AU$5:AU80)</f>
        <v>1112.8936350179583</v>
      </c>
      <c r="BN80" s="31">
        <f>SUM(AV$5:AV80)</f>
        <v>1078.1579698345183</v>
      </c>
      <c r="BO80" s="31">
        <f>SUM(AW$5:AW80)</f>
        <v>704.96766450982125</v>
      </c>
      <c r="BP80" s="31">
        <f>SUM(AX$5:AX80)</f>
        <v>333.4630769439176</v>
      </c>
      <c r="BQ80" s="31">
        <f>SUM(AY$5:AY80)</f>
        <v>1515.2606718526185</v>
      </c>
      <c r="BR80" s="31">
        <f>SUM(AZ$5:AZ80)</f>
        <v>2145.9495265566075</v>
      </c>
      <c r="BS80" s="31">
        <f>SUM(BA$5:BA80)</f>
        <v>2745.0434348181116</v>
      </c>
      <c r="BT80" s="31">
        <f>SUM(BB$5:BB80)</f>
        <v>2756.2591421548327</v>
      </c>
      <c r="BU80" s="31">
        <f>SUM(BC$5:BC80)</f>
        <v>1583.3280975897515</v>
      </c>
      <c r="BV80" s="31">
        <f>SUM(BD$5:BD80)</f>
        <v>0</v>
      </c>
      <c r="BW80" s="31">
        <f>SUM(BE$5:BE80)</f>
        <v>0</v>
      </c>
      <c r="BX80" s="31">
        <f>SUM(BF$5:BF80)</f>
        <v>0</v>
      </c>
      <c r="BY80" s="31">
        <f>SUM(BG$5:BG80)</f>
        <v>0</v>
      </c>
      <c r="BZ80" s="31">
        <f>SUM(BH$5:BH80)</f>
        <v>0</v>
      </c>
      <c r="CC80" s="41">
        <v>76</v>
      </c>
      <c r="CD80" s="41">
        <f t="shared" si="39"/>
        <v>95.616471486255364</v>
      </c>
      <c r="CE80" s="41">
        <f t="shared" si="40"/>
        <v>125.18844700528939</v>
      </c>
      <c r="CF80" s="41">
        <f t="shared" si="41"/>
        <v>144.59362886118723</v>
      </c>
      <c r="CG80" s="41">
        <f t="shared" si="42"/>
        <v>128.1926148783611</v>
      </c>
      <c r="CH80" s="41">
        <f t="shared" si="43"/>
        <v>70.4223218781176</v>
      </c>
      <c r="CI80" s="41">
        <f t="shared" si="44"/>
        <v>27.460282074613026</v>
      </c>
      <c r="CJ80" s="41">
        <f t="shared" si="45"/>
        <v>37.753711073438907</v>
      </c>
      <c r="CK80" s="41">
        <f t="shared" si="46"/>
        <v>46.566441371444263</v>
      </c>
      <c r="CL80" s="41">
        <f t="shared" si="47"/>
        <v>44.868725454871594</v>
      </c>
      <c r="CM80" s="41">
        <f t="shared" si="48"/>
        <v>25.41723684856586</v>
      </c>
      <c r="CN80" s="41">
        <f t="shared" si="49"/>
        <v>0</v>
      </c>
      <c r="CO80" s="41">
        <f t="shared" si="50"/>
        <v>0</v>
      </c>
      <c r="CP80" s="41">
        <f t="shared" si="51"/>
        <v>0</v>
      </c>
      <c r="CQ80" s="41">
        <f t="shared" si="52"/>
        <v>0</v>
      </c>
      <c r="CR80" s="41">
        <f t="shared" si="53"/>
        <v>0</v>
      </c>
    </row>
    <row r="81" spans="23:96" x14ac:dyDescent="0.15">
      <c r="W81" s="117">
        <v>1.05</v>
      </c>
      <c r="X81" s="31">
        <v>77</v>
      </c>
      <c r="Y81" s="113">
        <f t="shared" si="54"/>
        <v>17.125214492376223</v>
      </c>
      <c r="Z81" s="42">
        <f t="shared" si="37"/>
        <v>0.12</v>
      </c>
      <c r="AA81" s="113">
        <f>$Y81*$Z81*其他调用!V80</f>
        <v>1316.3366179731397</v>
      </c>
      <c r="AB81" s="113">
        <f>$Y81*$Z81*其他调用!W80</f>
        <v>1672.8789981146408</v>
      </c>
      <c r="AC81" s="113">
        <f>$Y81*$Z81*其他调用!X80</f>
        <v>1872.8086063628796</v>
      </c>
      <c r="AD81" s="113">
        <f>$Y81*$Z81*其他调用!Y80</f>
        <v>1562.7044451069714</v>
      </c>
      <c r="AE81" s="113">
        <f>$Y81*$Z81*其他调用!Z80</f>
        <v>819.38315143239333</v>
      </c>
      <c r="AH81" s="31">
        <v>77</v>
      </c>
      <c r="AI81" s="31">
        <f>SUM(AA$5:AA81)</f>
        <v>11815.282024539973</v>
      </c>
      <c r="AJ81" s="31">
        <f>SUM(AB$5:AB81)</f>
        <v>14884.414930162084</v>
      </c>
      <c r="AK81" s="31">
        <f>SUM(AC$5:AC81)</f>
        <v>16528.536700975324</v>
      </c>
      <c r="AL81" s="31">
        <f>SUM(AD$5:AD81)</f>
        <v>13712.986166401432</v>
      </c>
      <c r="AM81" s="31">
        <f>SUM(AE$5:AE81)</f>
        <v>7589.1621682041405</v>
      </c>
      <c r="AR81" s="31">
        <v>77</v>
      </c>
      <c r="AS81" s="42">
        <f t="shared" si="38"/>
        <v>8.0000000000000016E-2</v>
      </c>
      <c r="AT81" s="52">
        <f>求节点(E$21:E$27,$M$21:$M$27,$AR81)*$AS81*其他调用!V80</f>
        <v>0</v>
      </c>
      <c r="AU81" s="52">
        <f>求节点(F$21:F$27,$M$21:$M$27,$AR81)*$AS81*其他调用!W80</f>
        <v>0</v>
      </c>
      <c r="AV81" s="52">
        <f>求节点(G$21:G$27,$M$21:$M$27,$AR81)*$AS81*其他调用!X80</f>
        <v>0</v>
      </c>
      <c r="AW81" s="52">
        <f>求节点(H$21:H$27,$M$21:$M$27,$AR81)*$AS81*其他调用!Y80</f>
        <v>0</v>
      </c>
      <c r="AX81" s="52">
        <f>求节点(I$21:I$27,$M$21:$M$27,$AR81)*$AS81*其他调用!Z80</f>
        <v>0</v>
      </c>
      <c r="AY81" s="52">
        <f>求节点(E$21:E$27,$N$21:$N$27,$AR81)*$AS81*其他调用!V80</f>
        <v>239.13682832771431</v>
      </c>
      <c r="AZ81" s="52">
        <f>求节点(F$21:F$27,$N$21:$N$27,$AR81)*$AS81*其他调用!W80</f>
        <v>332.85307418541873</v>
      </c>
      <c r="BA81" s="52">
        <f>求节点(G$21:G$27,$N$21:$N$27,$AR81)*$AS81*其他调用!X80</f>
        <v>405.0359880048378</v>
      </c>
      <c r="BB81" s="52">
        <f>求节点(H$21:H$27,$N$21:$N$27,$AR81)*$AS81*其他调用!Y80</f>
        <v>365.00668550520152</v>
      </c>
      <c r="BC81" s="52">
        <f>求节点(I$21:I$27,$N$21:$N$27,$AR81)*$AS81*其他调用!Z80</f>
        <v>191.38636816424466</v>
      </c>
      <c r="BD81" s="52">
        <f>求节点(E$21:E$27,$O$21:$O$27,$AR81)*$AS81*其他调用!V80</f>
        <v>0</v>
      </c>
      <c r="BE81" s="52">
        <f>求节点(F$21:F$27,$O$21:$O$27,$AR81)*$AS81*其他调用!W80</f>
        <v>0</v>
      </c>
      <c r="BF81" s="52">
        <f>求节点(G$21:G$27,$O$21:$O$27,$AR81)*$AS81*其他调用!X80</f>
        <v>0</v>
      </c>
      <c r="BG81" s="52">
        <f>求节点(H$21:H$27,$O$21:$O$27,$AR81)*$AS81*其他调用!Y80</f>
        <v>0</v>
      </c>
      <c r="BH81" s="52">
        <f>求节点(I$21:I$27,$O$21:$O$27,$AR81)*$AS81*其他调用!Z80</f>
        <v>0</v>
      </c>
      <c r="BK81" s="31">
        <v>77</v>
      </c>
      <c r="BL81" s="31">
        <f>SUM(AT$5:AT81)</f>
        <v>946.27439936474923</v>
      </c>
      <c r="BM81" s="31">
        <f>SUM(AU$5:AU81)</f>
        <v>1112.8936350179583</v>
      </c>
      <c r="BN81" s="31">
        <f>SUM(AV$5:AV81)</f>
        <v>1078.1579698345183</v>
      </c>
      <c r="BO81" s="31">
        <f>SUM(AW$5:AW81)</f>
        <v>704.96766450982125</v>
      </c>
      <c r="BP81" s="31">
        <f>SUM(AX$5:AX81)</f>
        <v>333.4630769439176</v>
      </c>
      <c r="BQ81" s="31">
        <f>SUM(AY$5:AY81)</f>
        <v>1754.3975001803328</v>
      </c>
      <c r="BR81" s="31">
        <f>SUM(AZ$5:AZ81)</f>
        <v>2478.8026007420262</v>
      </c>
      <c r="BS81" s="31">
        <f>SUM(BA$5:BA81)</f>
        <v>3150.0794228229493</v>
      </c>
      <c r="BT81" s="31">
        <f>SUM(BB$5:BB81)</f>
        <v>3121.2658276600341</v>
      </c>
      <c r="BU81" s="31">
        <f>SUM(BC$5:BC81)</f>
        <v>1774.7144657539961</v>
      </c>
      <c r="BV81" s="31">
        <f>SUM(BD$5:BD81)</f>
        <v>0</v>
      </c>
      <c r="BW81" s="31">
        <f>SUM(BE$5:BE81)</f>
        <v>0</v>
      </c>
      <c r="BX81" s="31">
        <f>SUM(BF$5:BF81)</f>
        <v>0</v>
      </c>
      <c r="BY81" s="31">
        <f>SUM(BG$5:BG81)</f>
        <v>0</v>
      </c>
      <c r="BZ81" s="31">
        <f>SUM(BH$5:BH81)</f>
        <v>0</v>
      </c>
      <c r="CC81" s="41">
        <v>77</v>
      </c>
      <c r="CD81" s="41">
        <f t="shared" si="39"/>
        <v>103.98626047772537</v>
      </c>
      <c r="CE81" s="41">
        <f t="shared" si="40"/>
        <v>136.83830460177904</v>
      </c>
      <c r="CF81" s="41">
        <f t="shared" si="41"/>
        <v>158.76988844135656</v>
      </c>
      <c r="CG81" s="41">
        <f t="shared" si="42"/>
        <v>140.96784887104315</v>
      </c>
      <c r="CH81" s="41">
        <f t="shared" si="43"/>
        <v>77.120844763866145</v>
      </c>
      <c r="CI81" s="41">
        <f t="shared" si="44"/>
        <v>31.047334499528738</v>
      </c>
      <c r="CJ81" s="41">
        <f t="shared" si="45"/>
        <v>42.746507186220185</v>
      </c>
      <c r="CK81" s="41">
        <f t="shared" si="46"/>
        <v>52.641981191516834</v>
      </c>
      <c r="CL81" s="41">
        <f t="shared" si="47"/>
        <v>50.34382573744962</v>
      </c>
      <c r="CM81" s="41">
        <f t="shared" si="48"/>
        <v>28.288032371029527</v>
      </c>
      <c r="CN81" s="41">
        <f t="shared" si="49"/>
        <v>0</v>
      </c>
      <c r="CO81" s="41">
        <f t="shared" si="50"/>
        <v>0</v>
      </c>
      <c r="CP81" s="41">
        <f t="shared" si="51"/>
        <v>0</v>
      </c>
      <c r="CQ81" s="41">
        <f t="shared" si="52"/>
        <v>0</v>
      </c>
      <c r="CR81" s="41">
        <f t="shared" si="53"/>
        <v>0</v>
      </c>
    </row>
    <row r="82" spans="23:96" x14ac:dyDescent="0.15">
      <c r="W82" s="117">
        <v>1.05</v>
      </c>
      <c r="X82" s="31">
        <v>78</v>
      </c>
      <c r="Y82" s="113">
        <f t="shared" si="54"/>
        <v>17.981475216995037</v>
      </c>
      <c r="Z82" s="42">
        <f t="shared" si="37"/>
        <v>0.12</v>
      </c>
      <c r="AA82" s="113">
        <f>$Y82*$Z82*其他调用!V81</f>
        <v>1481.3553876538044</v>
      </c>
      <c r="AB82" s="113">
        <f>$Y82*$Z82*其他调用!W81</f>
        <v>1867.6413473491307</v>
      </c>
      <c r="AC82" s="113">
        <f>$Y82*$Z82*其他调用!X81</f>
        <v>2101.2307521203097</v>
      </c>
      <c r="AD82" s="113">
        <f>$Y82*$Z82*其他调用!Y81</f>
        <v>1721.827672137005</v>
      </c>
      <c r="AE82" s="113">
        <f>$Y82*$Z82*其他调用!Z81</f>
        <v>914.83886104240025</v>
      </c>
      <c r="AH82" s="31">
        <v>78</v>
      </c>
      <c r="AI82" s="31">
        <f>SUM(AA$5:AA82)</f>
        <v>13296.637412193777</v>
      </c>
      <c r="AJ82" s="31">
        <f>SUM(AB$5:AB82)</f>
        <v>16752.056277511216</v>
      </c>
      <c r="AK82" s="31">
        <f>SUM(AC$5:AC82)</f>
        <v>18629.767453095636</v>
      </c>
      <c r="AL82" s="31">
        <f>SUM(AD$5:AD82)</f>
        <v>15434.813838538437</v>
      </c>
      <c r="AM82" s="31">
        <f>SUM(AE$5:AE82)</f>
        <v>8504.0010292465413</v>
      </c>
      <c r="AR82" s="31">
        <v>78</v>
      </c>
      <c r="AS82" s="42">
        <f t="shared" si="38"/>
        <v>8.0000000000000016E-2</v>
      </c>
      <c r="AT82" s="52">
        <f>求节点(E$21:E$27,$M$21:$M$27,$AR82)*$AS82*其他调用!V81</f>
        <v>0</v>
      </c>
      <c r="AU82" s="52">
        <f>求节点(F$21:F$27,$M$21:$M$27,$AR82)*$AS82*其他调用!W81</f>
        <v>0</v>
      </c>
      <c r="AV82" s="52">
        <f>求节点(G$21:G$27,$M$21:$M$27,$AR82)*$AS82*其他调用!X81</f>
        <v>0</v>
      </c>
      <c r="AW82" s="52">
        <f>求节点(H$21:H$27,$M$21:$M$27,$AR82)*$AS82*其他调用!Y81</f>
        <v>0</v>
      </c>
      <c r="AX82" s="52">
        <f>求节点(I$21:I$27,$M$21:$M$27,$AR82)*$AS82*其他调用!Z81</f>
        <v>0</v>
      </c>
      <c r="AY82" s="52">
        <f>求节点(E$21:E$27,$N$21:$N$27,$AR82)*$AS82*其他调用!V81</f>
        <v>268.50529254134813</v>
      </c>
      <c r="AZ82" s="52">
        <f>求节点(F$21:F$27,$N$21:$N$27,$AR82)*$AS82*其他调用!W81</f>
        <v>369.2968729326642</v>
      </c>
      <c r="BA82" s="52">
        <f>求节点(G$21:G$27,$N$21:$N$27,$AR82)*$AS82*其他调用!X81</f>
        <v>450.10931895471242</v>
      </c>
      <c r="BB82" s="52">
        <f>求节点(H$21:H$27,$N$21:$N$27,$AR82)*$AS82*其他调用!Y81</f>
        <v>383.02256102094117</v>
      </c>
      <c r="BC82" s="52">
        <f>求节点(I$21:I$27,$N$21:$N$27,$AR82)*$AS82*其他调用!Z81</f>
        <v>203.50696480736985</v>
      </c>
      <c r="BD82" s="52">
        <f>求节点(E$21:E$27,$O$21:$O$27,$AR82)*$AS82*其他调用!V81</f>
        <v>0</v>
      </c>
      <c r="BE82" s="52">
        <f>求节点(F$21:F$27,$O$21:$O$27,$AR82)*$AS82*其他调用!W81</f>
        <v>0</v>
      </c>
      <c r="BF82" s="52">
        <f>求节点(G$21:G$27,$O$21:$O$27,$AR82)*$AS82*其他调用!X81</f>
        <v>0</v>
      </c>
      <c r="BG82" s="52">
        <f>求节点(H$21:H$27,$O$21:$O$27,$AR82)*$AS82*其他调用!Y81</f>
        <v>0</v>
      </c>
      <c r="BH82" s="52">
        <f>求节点(I$21:I$27,$O$21:$O$27,$AR82)*$AS82*其他调用!Z81</f>
        <v>0</v>
      </c>
      <c r="BK82" s="31">
        <v>78</v>
      </c>
      <c r="BL82" s="31">
        <f>SUM(AT$5:AT82)</f>
        <v>946.27439936474923</v>
      </c>
      <c r="BM82" s="31">
        <f>SUM(AU$5:AU82)</f>
        <v>1112.8936350179583</v>
      </c>
      <c r="BN82" s="31">
        <f>SUM(AV$5:AV82)</f>
        <v>1078.1579698345183</v>
      </c>
      <c r="BO82" s="31">
        <f>SUM(AW$5:AW82)</f>
        <v>704.96766450982125</v>
      </c>
      <c r="BP82" s="31">
        <f>SUM(AX$5:AX82)</f>
        <v>333.4630769439176</v>
      </c>
      <c r="BQ82" s="31">
        <f>SUM(AY$5:AY82)</f>
        <v>2022.902792721681</v>
      </c>
      <c r="BR82" s="31">
        <f>SUM(AZ$5:AZ82)</f>
        <v>2848.0994736746907</v>
      </c>
      <c r="BS82" s="31">
        <f>SUM(BA$5:BA82)</f>
        <v>3600.1887417776616</v>
      </c>
      <c r="BT82" s="31">
        <f>SUM(BB$5:BB82)</f>
        <v>3504.2883886809755</v>
      </c>
      <c r="BU82" s="31">
        <f>SUM(BC$5:BC82)</f>
        <v>1978.2214305613661</v>
      </c>
      <c r="BV82" s="31">
        <f>SUM(BD$5:BD82)</f>
        <v>0</v>
      </c>
      <c r="BW82" s="31">
        <f>SUM(BE$5:BE82)</f>
        <v>0</v>
      </c>
      <c r="BX82" s="31">
        <f>SUM(BF$5:BF82)</f>
        <v>0</v>
      </c>
      <c r="BY82" s="31">
        <f>SUM(BG$5:BG82)</f>
        <v>0</v>
      </c>
      <c r="BZ82" s="31">
        <f>SUM(BH$5:BH82)</f>
        <v>0</v>
      </c>
      <c r="CC82" s="41">
        <v>78</v>
      </c>
      <c r="CD82" s="41">
        <f t="shared" si="39"/>
        <v>113.38394571667254</v>
      </c>
      <c r="CE82" s="41">
        <f t="shared" si="40"/>
        <v>149.76369515442229</v>
      </c>
      <c r="CF82" s="41">
        <f t="shared" si="41"/>
        <v>174.52371460477147</v>
      </c>
      <c r="CG82" s="41">
        <f t="shared" si="42"/>
        <v>154.37363850677608</v>
      </c>
      <c r="CH82" s="41">
        <f t="shared" si="43"/>
        <v>84.243588532124107</v>
      </c>
      <c r="CI82" s="41">
        <f t="shared" si="44"/>
        <v>35.074913887648961</v>
      </c>
      <c r="CJ82" s="41">
        <f t="shared" si="45"/>
        <v>48.285960280210148</v>
      </c>
      <c r="CK82" s="41">
        <f t="shared" si="46"/>
        <v>59.393620975837507</v>
      </c>
      <c r="CL82" s="41">
        <f t="shared" si="47"/>
        <v>56.089164152763729</v>
      </c>
      <c r="CM82" s="41">
        <f t="shared" si="48"/>
        <v>31.340636843140079</v>
      </c>
      <c r="CN82" s="41">
        <f t="shared" si="49"/>
        <v>0</v>
      </c>
      <c r="CO82" s="41">
        <f t="shared" si="50"/>
        <v>0</v>
      </c>
      <c r="CP82" s="41">
        <f t="shared" si="51"/>
        <v>0</v>
      </c>
      <c r="CQ82" s="41">
        <f t="shared" si="52"/>
        <v>0</v>
      </c>
      <c r="CR82" s="41">
        <f t="shared" si="53"/>
        <v>0</v>
      </c>
    </row>
    <row r="83" spans="23:96" x14ac:dyDescent="0.15">
      <c r="W83" s="117">
        <v>1.05</v>
      </c>
      <c r="X83" s="31">
        <v>79</v>
      </c>
      <c r="Y83" s="113">
        <f t="shared" si="54"/>
        <v>18.880548977844789</v>
      </c>
      <c r="Z83" s="42">
        <f t="shared" si="37"/>
        <v>0.12</v>
      </c>
      <c r="AA83" s="113">
        <f>$Y83*$Z83*其他调用!V82</f>
        <v>1667.0612627261364</v>
      </c>
      <c r="AB83" s="113">
        <f>$Y83*$Z83*其他调用!W82</f>
        <v>2130.6580685959625</v>
      </c>
      <c r="AC83" s="113">
        <f>$Y83*$Z83*其他调用!X82</f>
        <v>2371.5371541474137</v>
      </c>
      <c r="AD83" s="113">
        <f>$Y83*$Z83*其他调用!Y82</f>
        <v>1854.4191168567243</v>
      </c>
      <c r="AE83" s="113">
        <f>$Y83*$Z83*其他调用!Z82</f>
        <v>1043.1775108128672</v>
      </c>
      <c r="AH83" s="31">
        <v>79</v>
      </c>
      <c r="AI83" s="31">
        <f>SUM(AA$5:AA83)</f>
        <v>14963.698674919913</v>
      </c>
      <c r="AJ83" s="31">
        <f>SUM(AB$5:AB83)</f>
        <v>18882.714346107179</v>
      </c>
      <c r="AK83" s="31">
        <f>SUM(AC$5:AC83)</f>
        <v>21001.304607243048</v>
      </c>
      <c r="AL83" s="31">
        <f>SUM(AD$5:AD83)</f>
        <v>17289.23295539516</v>
      </c>
      <c r="AM83" s="31">
        <f>SUM(AE$5:AE83)</f>
        <v>9547.178540059409</v>
      </c>
      <c r="AR83" s="31">
        <v>79</v>
      </c>
      <c r="AS83" s="42">
        <f t="shared" si="38"/>
        <v>8.0000000000000016E-2</v>
      </c>
      <c r="AT83" s="52">
        <f>求节点(E$21:E$27,$M$21:$M$27,$AR83)*$AS83*其他调用!V82</f>
        <v>0</v>
      </c>
      <c r="AU83" s="52">
        <f>求节点(F$21:F$27,$M$21:$M$27,$AR83)*$AS83*其他调用!W82</f>
        <v>0</v>
      </c>
      <c r="AV83" s="52">
        <f>求节点(G$21:G$27,$M$21:$M$27,$AR83)*$AS83*其他调用!X82</f>
        <v>0</v>
      </c>
      <c r="AW83" s="52">
        <f>求节点(H$21:H$27,$M$21:$M$27,$AR83)*$AS83*其他调用!Y82</f>
        <v>0</v>
      </c>
      <c r="AX83" s="52">
        <f>求节点(I$21:I$27,$M$21:$M$27,$AR83)*$AS83*其他调用!Z82</f>
        <v>0</v>
      </c>
      <c r="AY83" s="52">
        <f>求节点(E$21:E$27,$N$21:$N$27,$AR83)*$AS83*其他调用!V82</f>
        <v>300.85761287346827</v>
      </c>
      <c r="AZ83" s="52">
        <f>求节点(F$21:F$27,$N$21:$N$27,$AR83)*$AS83*其他调用!W82</f>
        <v>417.96063182511563</v>
      </c>
      <c r="BA83" s="52">
        <f>求节点(G$21:G$27,$N$21:$N$27,$AR83)*$AS83*其他调用!X82</f>
        <v>502.42970306218814</v>
      </c>
      <c r="BB83" s="52">
        <f>求节点(H$21:H$27,$N$21:$N$27,$AR83)*$AS83*其他调用!Y82</f>
        <v>392.87398243192536</v>
      </c>
      <c r="BC83" s="52">
        <f>求节点(I$21:I$27,$N$21:$N$27,$AR83)*$AS83*其他调用!Z82</f>
        <v>221.00575826200281</v>
      </c>
      <c r="BD83" s="52">
        <f>求节点(E$21:E$27,$O$21:$O$27,$AR83)*$AS83*其他调用!V82</f>
        <v>0</v>
      </c>
      <c r="BE83" s="52">
        <f>求节点(F$21:F$27,$O$21:$O$27,$AR83)*$AS83*其他调用!W82</f>
        <v>0</v>
      </c>
      <c r="BF83" s="52">
        <f>求节点(G$21:G$27,$O$21:$O$27,$AR83)*$AS83*其他调用!X82</f>
        <v>0</v>
      </c>
      <c r="BG83" s="52">
        <f>求节点(H$21:H$27,$O$21:$O$27,$AR83)*$AS83*其他调用!Y82</f>
        <v>0</v>
      </c>
      <c r="BH83" s="52">
        <f>求节点(I$21:I$27,$O$21:$O$27,$AR83)*$AS83*其他调用!Z82</f>
        <v>0</v>
      </c>
      <c r="BK83" s="31">
        <v>79</v>
      </c>
      <c r="BL83" s="31">
        <f>SUM(AT$5:AT83)</f>
        <v>946.27439936474923</v>
      </c>
      <c r="BM83" s="31">
        <f>SUM(AU$5:AU83)</f>
        <v>1112.8936350179583</v>
      </c>
      <c r="BN83" s="31">
        <f>SUM(AV$5:AV83)</f>
        <v>1078.1579698345183</v>
      </c>
      <c r="BO83" s="31">
        <f>SUM(AW$5:AW83)</f>
        <v>704.96766450982125</v>
      </c>
      <c r="BP83" s="31">
        <f>SUM(AX$5:AX83)</f>
        <v>333.4630769439176</v>
      </c>
      <c r="BQ83" s="31">
        <f>SUM(AY$5:AY83)</f>
        <v>2323.7604055951492</v>
      </c>
      <c r="BR83" s="31">
        <f>SUM(AZ$5:AZ83)</f>
        <v>3266.0601054998065</v>
      </c>
      <c r="BS83" s="31">
        <f>SUM(BA$5:BA83)</f>
        <v>4102.6184448398499</v>
      </c>
      <c r="BT83" s="31">
        <f>SUM(BB$5:BB83)</f>
        <v>3897.1623711129009</v>
      </c>
      <c r="BU83" s="31">
        <f>SUM(BC$5:BC83)</f>
        <v>2199.227188823369</v>
      </c>
      <c r="BV83" s="31">
        <f>SUM(BD$5:BD83)</f>
        <v>0</v>
      </c>
      <c r="BW83" s="31">
        <f>SUM(BE$5:BE83)</f>
        <v>0</v>
      </c>
      <c r="BX83" s="31">
        <f>SUM(BF$5:BF83)</f>
        <v>0</v>
      </c>
      <c r="BY83" s="31">
        <f>SUM(BG$5:BG83)</f>
        <v>0</v>
      </c>
      <c r="BZ83" s="31">
        <f>SUM(BH$5:BH83)</f>
        <v>0</v>
      </c>
      <c r="CC83" s="41">
        <v>79</v>
      </c>
      <c r="CD83" s="41">
        <f t="shared" si="39"/>
        <v>123.91396216724392</v>
      </c>
      <c r="CE83" s="41">
        <f t="shared" si="40"/>
        <v>164.39231726830135</v>
      </c>
      <c r="CF83" s="41">
        <f t="shared" si="41"/>
        <v>192.10875421194808</v>
      </c>
      <c r="CG83" s="41">
        <f t="shared" si="42"/>
        <v>168.1242278918935</v>
      </c>
      <c r="CH83" s="41">
        <f t="shared" si="43"/>
        <v>91.978790071294199</v>
      </c>
      <c r="CI83" s="41">
        <f t="shared" si="44"/>
        <v>39.587778080750986</v>
      </c>
      <c r="CJ83" s="41">
        <f t="shared" si="45"/>
        <v>54.555369757586888</v>
      </c>
      <c r="CK83" s="41">
        <f t="shared" si="46"/>
        <v>66.930066521770343</v>
      </c>
      <c r="CL83" s="41">
        <f t="shared" si="47"/>
        <v>61.98227388924262</v>
      </c>
      <c r="CM83" s="41">
        <f t="shared" si="48"/>
        <v>34.655723217070118</v>
      </c>
      <c r="CN83" s="41">
        <f t="shared" si="49"/>
        <v>0</v>
      </c>
      <c r="CO83" s="41">
        <f t="shared" si="50"/>
        <v>0</v>
      </c>
      <c r="CP83" s="41">
        <f t="shared" si="51"/>
        <v>0</v>
      </c>
      <c r="CQ83" s="41">
        <f t="shared" si="52"/>
        <v>0</v>
      </c>
      <c r="CR83" s="41">
        <f t="shared" si="53"/>
        <v>0</v>
      </c>
    </row>
    <row r="84" spans="23:96" x14ac:dyDescent="0.15">
      <c r="W84" s="117">
        <v>1.05</v>
      </c>
      <c r="X84" s="31">
        <v>80</v>
      </c>
      <c r="Y84" s="113">
        <f t="shared" si="54"/>
        <v>19.824576426737028</v>
      </c>
      <c r="Z84" s="42">
        <f t="shared" si="37"/>
        <v>0.12</v>
      </c>
      <c r="AA84" s="113">
        <f>$Y84*$Z84*其他调用!V83</f>
        <v>1876.0476229027261</v>
      </c>
      <c r="AB84" s="113">
        <f>$Y84*$Z84*其他调用!W83</f>
        <v>2391.8282003965824</v>
      </c>
      <c r="AC84" s="113">
        <f>$Y84*$Z84*其他调用!X83</f>
        <v>2511.3567161983506</v>
      </c>
      <c r="AD84" s="113">
        <f>$Y84*$Z84*其他调用!Y83</f>
        <v>2074.3172946006325</v>
      </c>
      <c r="AE84" s="113">
        <f>$Y84*$Z84*其他调用!Z83</f>
        <v>1140.6017703993473</v>
      </c>
      <c r="AH84" s="31">
        <v>80</v>
      </c>
      <c r="AI84" s="31">
        <f>SUM(AA$5:AA84)</f>
        <v>16839.746297822639</v>
      </c>
      <c r="AJ84" s="31">
        <f>SUM(AB$5:AB84)</f>
        <v>21274.542546503762</v>
      </c>
      <c r="AK84" s="31">
        <f>SUM(AC$5:AC84)</f>
        <v>23512.6613234414</v>
      </c>
      <c r="AL84" s="31">
        <f>SUM(AD$5:AD84)</f>
        <v>19363.550249995795</v>
      </c>
      <c r="AM84" s="31">
        <f>SUM(AE$5:AE84)</f>
        <v>10687.780310458757</v>
      </c>
      <c r="AR84" s="31">
        <v>80</v>
      </c>
      <c r="AS84" s="42">
        <f t="shared" si="38"/>
        <v>8.0000000000000016E-2</v>
      </c>
      <c r="AT84" s="52">
        <f>求节点(E$21:E$27,$M$21:$M$27,$AR84)*$AS84*其他调用!V83</f>
        <v>0</v>
      </c>
      <c r="AU84" s="52">
        <f>求节点(F$21:F$27,$M$21:$M$27,$AR84)*$AS84*其他调用!W83</f>
        <v>0</v>
      </c>
      <c r="AV84" s="52">
        <f>求节点(G$21:G$27,$M$21:$M$27,$AR84)*$AS84*其他调用!X83</f>
        <v>0</v>
      </c>
      <c r="AW84" s="52">
        <f>求节点(H$21:H$27,$M$21:$M$27,$AR84)*$AS84*其他调用!Y83</f>
        <v>0</v>
      </c>
      <c r="AX84" s="52">
        <f>求节点(I$21:I$27,$M$21:$M$27,$AR84)*$AS84*其他调用!Z83</f>
        <v>0</v>
      </c>
      <c r="AY84" s="52">
        <f>求节点(E$21:E$27,$N$21:$N$27,$AR84)*$AS84*其他调用!V83</f>
        <v>336.47082310935798</v>
      </c>
      <c r="AZ84" s="52">
        <f>求节点(F$21:F$27,$N$21:$N$27,$AR84)*$AS84*其他调用!W83</f>
        <v>464.72457643956039</v>
      </c>
      <c r="BA84" s="52">
        <f>求节点(G$21:G$27,$N$21:$N$27,$AR84)*$AS84*其他调用!X83</f>
        <v>506.71583838963278</v>
      </c>
      <c r="BB84" s="52">
        <f>求节点(H$21:H$27,$N$21:$N$27,$AR84)*$AS84*其他调用!Y83</f>
        <v>418.5344997945158</v>
      </c>
      <c r="BC84" s="52">
        <f>求节点(I$21:I$27,$N$21:$N$27,$AR84)*$AS84*其他调用!Z83</f>
        <v>230.13894387393611</v>
      </c>
      <c r="BD84" s="52">
        <f>求节点(E$21:E$27,$O$21:$O$27,$AR84)*$AS84*其他调用!V83</f>
        <v>0</v>
      </c>
      <c r="BE84" s="52">
        <f>求节点(F$21:F$27,$O$21:$O$27,$AR84)*$AS84*其他调用!W83</f>
        <v>0</v>
      </c>
      <c r="BF84" s="52">
        <f>求节点(G$21:G$27,$O$21:$O$27,$AR84)*$AS84*其他调用!X83</f>
        <v>0</v>
      </c>
      <c r="BG84" s="52">
        <f>求节点(H$21:H$27,$O$21:$O$27,$AR84)*$AS84*其他调用!Y83</f>
        <v>0</v>
      </c>
      <c r="BH84" s="52">
        <f>求节点(I$21:I$27,$O$21:$O$27,$AR84)*$AS84*其他调用!Z83</f>
        <v>0</v>
      </c>
      <c r="BK84" s="31">
        <v>80</v>
      </c>
      <c r="BL84" s="31">
        <f>SUM(AT$5:AT84)</f>
        <v>946.27439936474923</v>
      </c>
      <c r="BM84" s="31">
        <f>SUM(AU$5:AU84)</f>
        <v>1112.8936350179583</v>
      </c>
      <c r="BN84" s="31">
        <f>SUM(AV$5:AV84)</f>
        <v>1078.1579698345183</v>
      </c>
      <c r="BO84" s="31">
        <f>SUM(AW$5:AW84)</f>
        <v>704.96766450982125</v>
      </c>
      <c r="BP84" s="31">
        <f>SUM(AX$5:AX84)</f>
        <v>333.4630769439176</v>
      </c>
      <c r="BQ84" s="31">
        <f>SUM(AY$5:AY84)</f>
        <v>2660.231228704507</v>
      </c>
      <c r="BR84" s="31">
        <f>SUM(AZ$5:AZ84)</f>
        <v>3730.7846819393667</v>
      </c>
      <c r="BS84" s="31">
        <f>SUM(BA$5:BA84)</f>
        <v>4609.3342832294829</v>
      </c>
      <c r="BT84" s="31">
        <f>SUM(BB$5:BB84)</f>
        <v>4315.6968709074172</v>
      </c>
      <c r="BU84" s="31">
        <f>SUM(BC$5:BC84)</f>
        <v>2429.3661326973051</v>
      </c>
      <c r="BV84" s="31">
        <f>SUM(BD$5:BD84)</f>
        <v>0</v>
      </c>
      <c r="BW84" s="31">
        <f>SUM(BE$5:BE84)</f>
        <v>0</v>
      </c>
      <c r="BX84" s="31">
        <f>SUM(BF$5:BF84)</f>
        <v>0</v>
      </c>
      <c r="BY84" s="31">
        <f>SUM(BG$5:BG84)</f>
        <v>0</v>
      </c>
      <c r="BZ84" s="31">
        <f>SUM(BH$5:BH84)</f>
        <v>0</v>
      </c>
      <c r="CC84" s="41">
        <v>80</v>
      </c>
      <c r="CD84" s="41">
        <f t="shared" si="39"/>
        <v>135.69044097607144</v>
      </c>
      <c r="CE84" s="41">
        <f t="shared" si="40"/>
        <v>180.65767744368594</v>
      </c>
      <c r="CF84" s="41">
        <f t="shared" si="41"/>
        <v>209.84380855558521</v>
      </c>
      <c r="CG84" s="41">
        <f t="shared" si="42"/>
        <v>182.77293538470153</v>
      </c>
      <c r="CH84" s="41">
        <f t="shared" si="43"/>
        <v>100.03365310688199</v>
      </c>
      <c r="CI84" s="41">
        <f t="shared" si="44"/>
        <v>44.634840427391353</v>
      </c>
      <c r="CJ84" s="41">
        <f t="shared" si="45"/>
        <v>61.52623840418029</v>
      </c>
      <c r="CK84" s="41">
        <f t="shared" si="46"/>
        <v>74.530804097614833</v>
      </c>
      <c r="CL84" s="41">
        <f t="shared" si="47"/>
        <v>68.260291386160361</v>
      </c>
      <c r="CM84" s="41">
        <f t="shared" si="48"/>
        <v>38.107807375179164</v>
      </c>
      <c r="CN84" s="41">
        <f t="shared" si="49"/>
        <v>0</v>
      </c>
      <c r="CO84" s="41">
        <f t="shared" si="50"/>
        <v>0</v>
      </c>
      <c r="CP84" s="41">
        <f t="shared" si="51"/>
        <v>0</v>
      </c>
      <c r="CQ84" s="41">
        <f t="shared" si="52"/>
        <v>0</v>
      </c>
      <c r="CR84" s="41">
        <f t="shared" si="53"/>
        <v>0</v>
      </c>
    </row>
    <row r="85" spans="23:96" x14ac:dyDescent="0.15">
      <c r="W85" s="117">
        <v>1.05</v>
      </c>
      <c r="X85" s="31">
        <v>81</v>
      </c>
      <c r="Y85" s="113">
        <f t="shared" si="54"/>
        <v>20.815805248073879</v>
      </c>
      <c r="Z85" s="42">
        <f t="shared" si="37"/>
        <v>0.12</v>
      </c>
      <c r="AA85" s="113">
        <f>$Y85*$Z85*其他调用!V84</f>
        <v>2111.2329595154947</v>
      </c>
      <c r="AB85" s="113">
        <f>$Y85*$Z85*其他调用!W84</f>
        <v>2556.2702710583003</v>
      </c>
      <c r="AC85" s="113">
        <f>$Y85*$Z85*其他调用!X84</f>
        <v>2804.5333599786773</v>
      </c>
      <c r="AD85" s="113">
        <f>$Y85*$Z85*其他调用!Y84</f>
        <v>2361.9321638257356</v>
      </c>
      <c r="AE85" s="113">
        <f>$Y85*$Z85*其他调用!Z84</f>
        <v>1306.9780845682428</v>
      </c>
      <c r="AH85" s="31">
        <v>81</v>
      </c>
      <c r="AI85" s="31">
        <f>SUM(AA$5:AA85)</f>
        <v>18950.979257338135</v>
      </c>
      <c r="AJ85" s="31">
        <f>SUM(AB$5:AB85)</f>
        <v>23830.812817562062</v>
      </c>
      <c r="AK85" s="31">
        <f>SUM(AC$5:AC85)</f>
        <v>26317.194683420079</v>
      </c>
      <c r="AL85" s="31">
        <f>SUM(AD$5:AD85)</f>
        <v>21725.48241382153</v>
      </c>
      <c r="AM85" s="31">
        <f>SUM(AE$5:AE85)</f>
        <v>11994.758395027</v>
      </c>
      <c r="AR85" s="31">
        <v>81</v>
      </c>
      <c r="AS85" s="42">
        <f t="shared" si="38"/>
        <v>8.0000000000000016E-2</v>
      </c>
      <c r="AT85" s="52">
        <f>求节点(E$21:E$27,$M$21:$M$27,$AR85)*$AS85*其他调用!V84</f>
        <v>0</v>
      </c>
      <c r="AU85" s="52">
        <f>求节点(F$21:F$27,$M$21:$M$27,$AR85)*$AS85*其他调用!W84</f>
        <v>0</v>
      </c>
      <c r="AV85" s="52">
        <f>求节点(G$21:G$27,$M$21:$M$27,$AR85)*$AS85*其他调用!X84</f>
        <v>0</v>
      </c>
      <c r="AW85" s="52">
        <f>求节点(H$21:H$27,$M$21:$M$27,$AR85)*$AS85*其他调用!Y84</f>
        <v>0</v>
      </c>
      <c r="AX85" s="52">
        <f>求节点(I$21:I$27,$M$21:$M$27,$AR85)*$AS85*其他调用!Z84</f>
        <v>0</v>
      </c>
      <c r="AY85" s="52">
        <f>求节点(E$21:E$27,$N$21:$N$27,$AR85)*$AS85*其他调用!V84</f>
        <v>375.6463532566155</v>
      </c>
      <c r="AZ85" s="52">
        <f>求节点(F$21:F$27,$N$21:$N$27,$AR85)*$AS85*其他调用!W84</f>
        <v>491.21717667777216</v>
      </c>
      <c r="BA85" s="52">
        <f>求节点(G$21:G$27,$N$21:$N$27,$AR85)*$AS85*其他调用!X84</f>
        <v>538.92382765027764</v>
      </c>
      <c r="BB85" s="52">
        <f>求节点(H$21:H$27,$N$21:$N$27,$AR85)*$AS85*其他调用!Y84</f>
        <v>453.87284050311524</v>
      </c>
      <c r="BC85" s="52">
        <f>求节点(I$21:I$27,$N$21:$N$27,$AR85)*$AS85*其他调用!Z84</f>
        <v>251.15109773409893</v>
      </c>
      <c r="BD85" s="52">
        <f>求节点(E$21:E$27,$O$21:$O$27,$AR85)*$AS85*其他调用!V84</f>
        <v>0</v>
      </c>
      <c r="BE85" s="52">
        <f>求节点(F$21:F$27,$O$21:$O$27,$AR85)*$AS85*其他调用!W84</f>
        <v>0</v>
      </c>
      <c r="BF85" s="52">
        <f>求节点(G$21:G$27,$O$21:$O$27,$AR85)*$AS85*其他调用!X84</f>
        <v>0</v>
      </c>
      <c r="BG85" s="52">
        <f>求节点(H$21:H$27,$O$21:$O$27,$AR85)*$AS85*其他调用!Y84</f>
        <v>0</v>
      </c>
      <c r="BH85" s="52">
        <f>求节点(I$21:I$27,$O$21:$O$27,$AR85)*$AS85*其他调用!Z84</f>
        <v>0</v>
      </c>
      <c r="BK85" s="31">
        <v>81</v>
      </c>
      <c r="BL85" s="31">
        <f>SUM(AT$5:AT85)</f>
        <v>946.27439936474923</v>
      </c>
      <c r="BM85" s="31">
        <f>SUM(AU$5:AU85)</f>
        <v>1112.8936350179583</v>
      </c>
      <c r="BN85" s="31">
        <f>SUM(AV$5:AV85)</f>
        <v>1078.1579698345183</v>
      </c>
      <c r="BO85" s="31">
        <f>SUM(AW$5:AW85)</f>
        <v>704.96766450982125</v>
      </c>
      <c r="BP85" s="31">
        <f>SUM(AX$5:AX85)</f>
        <v>333.4630769439176</v>
      </c>
      <c r="BQ85" s="31">
        <f>SUM(AY$5:AY85)</f>
        <v>3035.8775819611224</v>
      </c>
      <c r="BR85" s="31">
        <f>SUM(AZ$5:AZ85)</f>
        <v>4222.0018586171391</v>
      </c>
      <c r="BS85" s="31">
        <f>SUM(BA$5:BA85)</f>
        <v>5148.2581108797604</v>
      </c>
      <c r="BT85" s="31">
        <f>SUM(BB$5:BB85)</f>
        <v>4769.5697114105324</v>
      </c>
      <c r="BU85" s="31">
        <f>SUM(BC$5:BC85)</f>
        <v>2680.5172304314042</v>
      </c>
      <c r="BV85" s="31">
        <f>SUM(BD$5:BD85)</f>
        <v>0</v>
      </c>
      <c r="BW85" s="31">
        <f>SUM(BE$5:BE85)</f>
        <v>0</v>
      </c>
      <c r="BX85" s="31">
        <f>SUM(BF$5:BF85)</f>
        <v>0</v>
      </c>
      <c r="BY85" s="31">
        <f>SUM(BG$5:BG85)</f>
        <v>0</v>
      </c>
      <c r="BZ85" s="31">
        <f>SUM(BH$5:BH85)</f>
        <v>0</v>
      </c>
      <c r="CC85" s="41">
        <v>81</v>
      </c>
      <c r="CD85" s="41">
        <f t="shared" si="39"/>
        <v>148.838063340053</v>
      </c>
      <c r="CE85" s="41">
        <f t="shared" si="40"/>
        <v>197.85027862740799</v>
      </c>
      <c r="CF85" s="41">
        <f t="shared" si="41"/>
        <v>228.70614252334491</v>
      </c>
      <c r="CG85" s="41">
        <f t="shared" si="42"/>
        <v>198.65848480231057</v>
      </c>
      <c r="CH85" s="41">
        <f t="shared" si="43"/>
        <v>108.82394152757543</v>
      </c>
      <c r="CI85" s="41">
        <f t="shared" si="44"/>
        <v>50.269535726240584</v>
      </c>
      <c r="CJ85" s="41">
        <f t="shared" si="45"/>
        <v>68.894496054346874</v>
      </c>
      <c r="CK85" s="41">
        <f t="shared" si="46"/>
        <v>82.614661512368997</v>
      </c>
      <c r="CL85" s="41">
        <f t="shared" si="47"/>
        <v>75.068383993707087</v>
      </c>
      <c r="CM85" s="41">
        <f t="shared" si="48"/>
        <v>41.875073841190648</v>
      </c>
      <c r="CN85" s="41">
        <f t="shared" si="49"/>
        <v>0</v>
      </c>
      <c r="CO85" s="41">
        <f t="shared" si="50"/>
        <v>0</v>
      </c>
      <c r="CP85" s="41">
        <f t="shared" si="51"/>
        <v>0</v>
      </c>
      <c r="CQ85" s="41">
        <f t="shared" si="52"/>
        <v>0</v>
      </c>
      <c r="CR85" s="41">
        <f t="shared" si="53"/>
        <v>0</v>
      </c>
    </row>
    <row r="86" spans="23:96" x14ac:dyDescent="0.15">
      <c r="W86" s="117">
        <v>1.05</v>
      </c>
      <c r="X86" s="31">
        <v>82</v>
      </c>
      <c r="Y86" s="113">
        <f t="shared" si="54"/>
        <v>21.856595510477575</v>
      </c>
      <c r="Z86" s="42">
        <f t="shared" si="37"/>
        <v>0.12</v>
      </c>
      <c r="AA86" s="113">
        <f>$Y86*$Z86*其他调用!V85</f>
        <v>2375.9016322026846</v>
      </c>
      <c r="AB86" s="113">
        <f>$Y86*$Z86*其他调用!W85</f>
        <v>2950.7937822230897</v>
      </c>
      <c r="AC86" s="113">
        <f>$Y86*$Z86*其他调用!X85</f>
        <v>3270.6995394755663</v>
      </c>
      <c r="AD86" s="113">
        <f>$Y86*$Z86*其他调用!Y85</f>
        <v>2715.4927577152139</v>
      </c>
      <c r="AE86" s="113">
        <f>$Y86*$Z86*其他调用!Z85</f>
        <v>1451.7857899363978</v>
      </c>
      <c r="AH86" s="31">
        <v>82</v>
      </c>
      <c r="AI86" s="31">
        <f>SUM(AA$5:AA86)</f>
        <v>21326.880889540818</v>
      </c>
      <c r="AJ86" s="31">
        <f>SUM(AB$5:AB86)</f>
        <v>26781.606599785151</v>
      </c>
      <c r="AK86" s="31">
        <f>SUM(AC$5:AC86)</f>
        <v>29587.894222895644</v>
      </c>
      <c r="AL86" s="31">
        <f>SUM(AD$5:AD86)</f>
        <v>24440.975171536746</v>
      </c>
      <c r="AM86" s="31">
        <f>SUM(AE$5:AE86)</f>
        <v>13446.544184963397</v>
      </c>
      <c r="AR86" s="31">
        <v>82</v>
      </c>
      <c r="AS86" s="42">
        <f t="shared" si="38"/>
        <v>8.0000000000000016E-2</v>
      </c>
      <c r="AT86" s="52">
        <f>求节点(E$21:E$27,$M$21:$M$27,$AR86)*$AS86*其他调用!V85</f>
        <v>0</v>
      </c>
      <c r="AU86" s="52">
        <f>求节点(F$21:F$27,$M$21:$M$27,$AR86)*$AS86*其他调用!W85</f>
        <v>0</v>
      </c>
      <c r="AV86" s="52">
        <f>求节点(G$21:G$27,$M$21:$M$27,$AR86)*$AS86*其他调用!X85</f>
        <v>0</v>
      </c>
      <c r="AW86" s="52">
        <f>求节点(H$21:H$27,$M$21:$M$27,$AR86)*$AS86*其他调用!Y85</f>
        <v>0</v>
      </c>
      <c r="AX86" s="52">
        <f>求节点(I$21:I$27,$M$21:$M$27,$AR86)*$AS86*其他调用!Z85</f>
        <v>0</v>
      </c>
      <c r="AY86" s="52">
        <f>求节点(E$21:E$27,$N$21:$N$27,$AR86)*$AS86*其他调用!V85</f>
        <v>418.71210442773037</v>
      </c>
      <c r="AZ86" s="52">
        <f>求节点(F$21:F$27,$N$21:$N$27,$AR86)*$AS86*其他调用!W85</f>
        <v>540.02807176598822</v>
      </c>
      <c r="BA86" s="52">
        <f>求节点(G$21:G$27,$N$21:$N$27,$AR86)*$AS86*其他调用!X85</f>
        <v>598.57438234745473</v>
      </c>
      <c r="BB86" s="52">
        <f>求节点(H$21:H$27,$N$21:$N$27,$AR86)*$AS86*其他调用!Y85</f>
        <v>496.96536798944123</v>
      </c>
      <c r="BC86" s="52">
        <f>求节点(I$21:I$27,$N$21:$N$27,$AR86)*$AS86*其他调用!Z85</f>
        <v>265.6929418381639</v>
      </c>
      <c r="BD86" s="52">
        <f>求节点(E$21:E$27,$O$21:$O$27,$AR86)*$AS86*其他调用!V85</f>
        <v>0</v>
      </c>
      <c r="BE86" s="52">
        <f>求节点(F$21:F$27,$O$21:$O$27,$AR86)*$AS86*其他调用!W85</f>
        <v>0</v>
      </c>
      <c r="BF86" s="52">
        <f>求节点(G$21:G$27,$O$21:$O$27,$AR86)*$AS86*其他调用!X85</f>
        <v>0</v>
      </c>
      <c r="BG86" s="52">
        <f>求节点(H$21:H$27,$O$21:$O$27,$AR86)*$AS86*其他调用!Y85</f>
        <v>0</v>
      </c>
      <c r="BH86" s="52">
        <f>求节点(I$21:I$27,$O$21:$O$27,$AR86)*$AS86*其他调用!Z85</f>
        <v>0</v>
      </c>
      <c r="BK86" s="31">
        <v>82</v>
      </c>
      <c r="BL86" s="31">
        <f>SUM(AT$5:AT86)</f>
        <v>946.27439936474923</v>
      </c>
      <c r="BM86" s="31">
        <f>SUM(AU$5:AU86)</f>
        <v>1112.8936350179583</v>
      </c>
      <c r="BN86" s="31">
        <f>SUM(AV$5:AV86)</f>
        <v>1078.1579698345183</v>
      </c>
      <c r="BO86" s="31">
        <f>SUM(AW$5:AW86)</f>
        <v>704.96766450982125</v>
      </c>
      <c r="BP86" s="31">
        <f>SUM(AX$5:AX86)</f>
        <v>333.4630769439176</v>
      </c>
      <c r="BQ86" s="31">
        <f>SUM(AY$5:AY86)</f>
        <v>3454.5896863888529</v>
      </c>
      <c r="BR86" s="31">
        <f>SUM(AZ$5:AZ86)</f>
        <v>4762.0299303831271</v>
      </c>
      <c r="BS86" s="31">
        <f>SUM(BA$5:BA86)</f>
        <v>5746.8324932272153</v>
      </c>
      <c r="BT86" s="31">
        <f>SUM(BB$5:BB86)</f>
        <v>5266.5350793999733</v>
      </c>
      <c r="BU86" s="31">
        <f>SUM(BC$5:BC86)</f>
        <v>2946.2101722695679</v>
      </c>
      <c r="BV86" s="31">
        <f>SUM(BD$5:BD86)</f>
        <v>0</v>
      </c>
      <c r="BW86" s="31">
        <f>SUM(BE$5:BE86)</f>
        <v>0</v>
      </c>
      <c r="BX86" s="31">
        <f>SUM(BF$5:BF86)</f>
        <v>0</v>
      </c>
      <c r="BY86" s="31">
        <f>SUM(BG$5:BG86)</f>
        <v>0</v>
      </c>
      <c r="BZ86" s="31">
        <f>SUM(BH$5:BH86)</f>
        <v>0</v>
      </c>
      <c r="CC86" s="41">
        <v>82</v>
      </c>
      <c r="CD86" s="41">
        <f t="shared" si="39"/>
        <v>163.49298699502356</v>
      </c>
      <c r="CE86" s="41">
        <f t="shared" si="40"/>
        <v>216.75126113921755</v>
      </c>
      <c r="CF86" s="41">
        <f t="shared" si="41"/>
        <v>249.65624590550584</v>
      </c>
      <c r="CG86" s="41">
        <f t="shared" si="42"/>
        <v>216.05227268194099</v>
      </c>
      <c r="CH86" s="41">
        <f t="shared" si="43"/>
        <v>118.12319449191118</v>
      </c>
      <c r="CI86" s="41">
        <f t="shared" si="44"/>
        <v>56.550217292656541</v>
      </c>
      <c r="CJ86" s="41">
        <f t="shared" si="45"/>
        <v>76.994917130836697</v>
      </c>
      <c r="CK86" s="41">
        <f t="shared" si="46"/>
        <v>91.593277247580815</v>
      </c>
      <c r="CL86" s="41">
        <f t="shared" si="47"/>
        <v>82.522864513548697</v>
      </c>
      <c r="CM86" s="41">
        <f t="shared" si="48"/>
        <v>45.860467968763103</v>
      </c>
      <c r="CN86" s="41">
        <f t="shared" si="49"/>
        <v>0</v>
      </c>
      <c r="CO86" s="41">
        <f t="shared" si="50"/>
        <v>0</v>
      </c>
      <c r="CP86" s="41">
        <f t="shared" si="51"/>
        <v>0</v>
      </c>
      <c r="CQ86" s="41">
        <f t="shared" si="52"/>
        <v>0</v>
      </c>
      <c r="CR86" s="41">
        <f t="shared" si="53"/>
        <v>0</v>
      </c>
    </row>
    <row r="87" spans="23:96" x14ac:dyDescent="0.15">
      <c r="W87" s="117">
        <v>1.05</v>
      </c>
      <c r="X87" s="31">
        <v>83</v>
      </c>
      <c r="Y87" s="113">
        <f t="shared" si="54"/>
        <v>22.949425286001453</v>
      </c>
      <c r="Z87" s="42">
        <f t="shared" si="37"/>
        <v>0.12</v>
      </c>
      <c r="AA87" s="113">
        <f>$Y87*$Z87*其他调用!V86</f>
        <v>2673.749734941176</v>
      </c>
      <c r="AB87" s="113">
        <f>$Y87*$Z87*其他调用!W86</f>
        <v>3392.9453496906426</v>
      </c>
      <c r="AC87" s="113">
        <f>$Y87*$Z87*其他调用!X86</f>
        <v>3803.5116786955218</v>
      </c>
      <c r="AD87" s="113">
        <f>$Y87*$Z87*其他调用!Y86</f>
        <v>3054.1105592100471</v>
      </c>
      <c r="AE87" s="113">
        <f>$Y87*$Z87*其他调用!Z86</f>
        <v>1691.3606613209067</v>
      </c>
      <c r="AH87" s="31">
        <v>83</v>
      </c>
      <c r="AI87" s="31">
        <f>SUM(AA$5:AA87)</f>
        <v>24000.630624481993</v>
      </c>
      <c r="AJ87" s="31">
        <f>SUM(AB$5:AB87)</f>
        <v>30174.551949475794</v>
      </c>
      <c r="AK87" s="31">
        <f>SUM(AC$5:AC87)</f>
        <v>33391.405901591163</v>
      </c>
      <c r="AL87" s="31">
        <f>SUM(AD$5:AD87)</f>
        <v>27495.085730746792</v>
      </c>
      <c r="AM87" s="31">
        <f>SUM(AE$5:AE87)</f>
        <v>15137.904846284304</v>
      </c>
      <c r="AR87" s="31">
        <v>83</v>
      </c>
      <c r="AS87" s="42">
        <f t="shared" si="38"/>
        <v>8.0000000000000016E-2</v>
      </c>
      <c r="AT87" s="52">
        <f>求节点(E$21:E$27,$M$21:$M$27,$AR87)*$AS87*其他调用!V86</f>
        <v>0</v>
      </c>
      <c r="AU87" s="52">
        <f>求节点(F$21:F$27,$M$21:$M$27,$AR87)*$AS87*其他调用!W86</f>
        <v>0</v>
      </c>
      <c r="AV87" s="52">
        <f>求节点(G$21:G$27,$M$21:$M$27,$AR87)*$AS87*其他调用!X86</f>
        <v>0</v>
      </c>
      <c r="AW87" s="52">
        <f>求节点(H$21:H$27,$M$21:$M$27,$AR87)*$AS87*其他调用!Y86</f>
        <v>0</v>
      </c>
      <c r="AX87" s="52">
        <f>求节点(I$21:I$27,$M$21:$M$27,$AR87)*$AS87*其他调用!Z86</f>
        <v>0</v>
      </c>
      <c r="AY87" s="52">
        <f>求节点(E$21:E$27,$N$21:$N$27,$AR87)*$AS87*其他调用!V86</f>
        <v>466.02469589024412</v>
      </c>
      <c r="AZ87" s="52">
        <f>求节点(F$21:F$27,$N$21:$N$27,$AR87)*$AS87*其他调用!W86</f>
        <v>591.37783319746154</v>
      </c>
      <c r="BA87" s="52">
        <f>求节点(G$21:G$27,$N$21:$N$27,$AR87)*$AS87*其他调用!X86</f>
        <v>662.93802677761425</v>
      </c>
      <c r="BB87" s="52">
        <f>求节点(H$21:H$27,$N$21:$N$27,$AR87)*$AS87*其他调用!Y86</f>
        <v>532.32018164271415</v>
      </c>
      <c r="BC87" s="52">
        <f>求节点(I$21:I$27,$N$21:$N$27,$AR87)*$AS87*其他调用!Z86</f>
        <v>294.79791153682487</v>
      </c>
      <c r="BD87" s="52">
        <f>求节点(E$21:E$27,$O$21:$O$27,$AR87)*$AS87*其他调用!V86</f>
        <v>0</v>
      </c>
      <c r="BE87" s="52">
        <f>求节点(F$21:F$27,$O$21:$O$27,$AR87)*$AS87*其他调用!W86</f>
        <v>0</v>
      </c>
      <c r="BF87" s="52">
        <f>求节点(G$21:G$27,$O$21:$O$27,$AR87)*$AS87*其他调用!X86</f>
        <v>0</v>
      </c>
      <c r="BG87" s="52">
        <f>求节点(H$21:H$27,$O$21:$O$27,$AR87)*$AS87*其他调用!Y86</f>
        <v>0</v>
      </c>
      <c r="BH87" s="52">
        <f>求节点(I$21:I$27,$O$21:$O$27,$AR87)*$AS87*其他调用!Z86</f>
        <v>0</v>
      </c>
      <c r="BK87" s="31">
        <v>83</v>
      </c>
      <c r="BL87" s="31">
        <f>SUM(AT$5:AT87)</f>
        <v>946.27439936474923</v>
      </c>
      <c r="BM87" s="31">
        <f>SUM(AU$5:AU87)</f>
        <v>1112.8936350179583</v>
      </c>
      <c r="BN87" s="31">
        <f>SUM(AV$5:AV87)</f>
        <v>1078.1579698345183</v>
      </c>
      <c r="BO87" s="31">
        <f>SUM(AW$5:AW87)</f>
        <v>704.96766450982125</v>
      </c>
      <c r="BP87" s="31">
        <f>SUM(AX$5:AX87)</f>
        <v>333.4630769439176</v>
      </c>
      <c r="BQ87" s="31">
        <f>SUM(AY$5:AY87)</f>
        <v>3920.6143822790968</v>
      </c>
      <c r="BR87" s="31">
        <f>SUM(AZ$5:AZ87)</f>
        <v>5353.4077635805888</v>
      </c>
      <c r="BS87" s="31">
        <f>SUM(BA$5:BA87)</f>
        <v>6409.7705200048295</v>
      </c>
      <c r="BT87" s="31">
        <f>SUM(BB$5:BB87)</f>
        <v>5798.8552610426877</v>
      </c>
      <c r="BU87" s="31">
        <f>SUM(BC$5:BC87)</f>
        <v>3241.0080838063927</v>
      </c>
      <c r="BV87" s="31">
        <f>SUM(BD$5:BD87)</f>
        <v>0</v>
      </c>
      <c r="BW87" s="31">
        <f>SUM(BE$5:BE87)</f>
        <v>0</v>
      </c>
      <c r="BX87" s="31">
        <f>SUM(BF$5:BF87)</f>
        <v>0</v>
      </c>
      <c r="BY87" s="31">
        <f>SUM(BG$5:BG87)</f>
        <v>0</v>
      </c>
      <c r="BZ87" s="31">
        <f>SUM(BH$5:BH87)</f>
        <v>0</v>
      </c>
      <c r="CC87" s="41">
        <v>83</v>
      </c>
      <c r="CD87" s="41">
        <f t="shared" si="39"/>
        <v>179.80385135118212</v>
      </c>
      <c r="CE87" s="41">
        <f t="shared" si="40"/>
        <v>237.4494853011287</v>
      </c>
      <c r="CF87" s="41">
        <f t="shared" si="41"/>
        <v>272.85907684272235</v>
      </c>
      <c r="CG87" s="41">
        <f t="shared" si="42"/>
        <v>234.68347903943601</v>
      </c>
      <c r="CH87" s="41">
        <f t="shared" si="43"/>
        <v>128.44112139570004</v>
      </c>
      <c r="CI87" s="41">
        <f t="shared" si="44"/>
        <v>63.540587731010206</v>
      </c>
      <c r="CJ87" s="41">
        <f t="shared" si="45"/>
        <v>85.865584628798629</v>
      </c>
      <c r="CK87" s="41">
        <f t="shared" si="46"/>
        <v>101.53734764924502</v>
      </c>
      <c r="CL87" s="41">
        <f t="shared" si="47"/>
        <v>90.507667238189413</v>
      </c>
      <c r="CM87" s="41">
        <f t="shared" si="48"/>
        <v>50.282436641815472</v>
      </c>
      <c r="CN87" s="41">
        <f t="shared" si="49"/>
        <v>0</v>
      </c>
      <c r="CO87" s="41">
        <f t="shared" si="50"/>
        <v>0</v>
      </c>
      <c r="CP87" s="41">
        <f t="shared" si="51"/>
        <v>0</v>
      </c>
      <c r="CQ87" s="41">
        <f t="shared" si="52"/>
        <v>0</v>
      </c>
      <c r="CR87" s="41">
        <f t="shared" si="53"/>
        <v>0</v>
      </c>
    </row>
    <row r="88" spans="23:96" x14ac:dyDescent="0.15">
      <c r="W88" s="117">
        <v>1.05</v>
      </c>
      <c r="X88" s="31">
        <v>84</v>
      </c>
      <c r="Y88" s="113">
        <f t="shared" si="54"/>
        <v>24.096896550301526</v>
      </c>
      <c r="Z88" s="42">
        <f t="shared" si="37"/>
        <v>0.12</v>
      </c>
      <c r="AA88" s="113">
        <f>$Y88*$Z88*其他调用!V87</f>
        <v>3008.9367119419508</v>
      </c>
      <c r="AB88" s="113">
        <f>$Y88*$Z88*其他调用!W87</f>
        <v>3820.4904684434014</v>
      </c>
      <c r="AC88" s="113">
        <f>$Y88*$Z88*其他调用!X87</f>
        <v>4135.6396901503431</v>
      </c>
      <c r="AD88" s="113">
        <f>$Y88*$Z88*其他调用!Y87</f>
        <v>3394.828772650566</v>
      </c>
      <c r="AE88" s="113">
        <f>$Y88*$Z88*其他调用!Z87</f>
        <v>1922.7793557554423</v>
      </c>
      <c r="AH88" s="31">
        <v>84</v>
      </c>
      <c r="AI88" s="31">
        <f>SUM(AA$5:AA88)</f>
        <v>27009.567336423945</v>
      </c>
      <c r="AJ88" s="31">
        <f>SUM(AB$5:AB88)</f>
        <v>33995.042417919198</v>
      </c>
      <c r="AK88" s="31">
        <f>SUM(AC$5:AC88)</f>
        <v>37527.045591741509</v>
      </c>
      <c r="AL88" s="31">
        <f>SUM(AD$5:AD88)</f>
        <v>30889.914503397358</v>
      </c>
      <c r="AM88" s="31">
        <f>SUM(AE$5:AE88)</f>
        <v>17060.684202039745</v>
      </c>
      <c r="AR88" s="31">
        <v>84</v>
      </c>
      <c r="AS88" s="42">
        <f t="shared" si="38"/>
        <v>8.0000000000000016E-2</v>
      </c>
      <c r="AT88" s="52">
        <f>求节点(E$21:E$27,$M$21:$M$27,$AR88)*$AS88*其他调用!V87</f>
        <v>0</v>
      </c>
      <c r="AU88" s="52">
        <f>求节点(F$21:F$27,$M$21:$M$27,$AR88)*$AS88*其他调用!W87</f>
        <v>0</v>
      </c>
      <c r="AV88" s="52">
        <f>求节点(G$21:G$27,$M$21:$M$27,$AR88)*$AS88*其他调用!X87</f>
        <v>0</v>
      </c>
      <c r="AW88" s="52">
        <f>求节点(H$21:H$27,$M$21:$M$27,$AR88)*$AS88*其他调用!Y87</f>
        <v>0</v>
      </c>
      <c r="AX88" s="52">
        <f>求节点(I$21:I$27,$M$21:$M$27,$AR88)*$AS88*其他调用!Z87</f>
        <v>0</v>
      </c>
      <c r="AY88" s="52">
        <f>求节点(E$21:E$27,$N$21:$N$27,$AR88)*$AS88*其他调用!V87</f>
        <v>499.47290194169017</v>
      </c>
      <c r="AZ88" s="52">
        <f>求节点(F$21:F$27,$N$21:$N$27,$AR88)*$AS88*其他调用!W87</f>
        <v>634.18796864040087</v>
      </c>
      <c r="BA88" s="52">
        <f>求节点(G$21:G$27,$N$21:$N$27,$AR88)*$AS88*其他调用!X87</f>
        <v>686.50163003643638</v>
      </c>
      <c r="BB88" s="52">
        <f>求节点(H$21:H$27,$N$21:$N$27,$AR88)*$AS88*其他调用!Y87</f>
        <v>563.5296255787905</v>
      </c>
      <c r="BC88" s="52">
        <f>求节点(I$21:I$27,$N$21:$N$27,$AR88)*$AS88*其他调用!Z87</f>
        <v>319.17460437143023</v>
      </c>
      <c r="BD88" s="52">
        <f>求节点(E$21:E$27,$O$21:$O$27,$AR88)*$AS88*其他调用!V87</f>
        <v>0</v>
      </c>
      <c r="BE88" s="52">
        <f>求节点(F$21:F$27,$O$21:$O$27,$AR88)*$AS88*其他调用!W87</f>
        <v>0</v>
      </c>
      <c r="BF88" s="52">
        <f>求节点(G$21:G$27,$O$21:$O$27,$AR88)*$AS88*其他调用!X87</f>
        <v>0</v>
      </c>
      <c r="BG88" s="52">
        <f>求节点(H$21:H$27,$O$21:$O$27,$AR88)*$AS88*其他调用!Y87</f>
        <v>0</v>
      </c>
      <c r="BH88" s="52">
        <f>求节点(I$21:I$27,$O$21:$O$27,$AR88)*$AS88*其他调用!Z87</f>
        <v>0</v>
      </c>
      <c r="BK88" s="31">
        <v>84</v>
      </c>
      <c r="BL88" s="31">
        <f>SUM(AT$5:AT88)</f>
        <v>946.27439936474923</v>
      </c>
      <c r="BM88" s="31">
        <f>SUM(AU$5:AU88)</f>
        <v>1112.8936350179583</v>
      </c>
      <c r="BN88" s="31">
        <f>SUM(AV$5:AV88)</f>
        <v>1078.1579698345183</v>
      </c>
      <c r="BO88" s="31">
        <f>SUM(AW$5:AW88)</f>
        <v>704.96766450982125</v>
      </c>
      <c r="BP88" s="31">
        <f>SUM(AX$5:AX88)</f>
        <v>333.4630769439176</v>
      </c>
      <c r="BQ88" s="31">
        <f>SUM(AY$5:AY88)</f>
        <v>4420.0872842207873</v>
      </c>
      <c r="BR88" s="31">
        <f>SUM(AZ$5:AZ88)</f>
        <v>5987.5957322209897</v>
      </c>
      <c r="BS88" s="31">
        <f>SUM(BA$5:BA88)</f>
        <v>7096.2721500412663</v>
      </c>
      <c r="BT88" s="31">
        <f>SUM(BB$5:BB88)</f>
        <v>6362.3848866214785</v>
      </c>
      <c r="BU88" s="31">
        <f>SUM(BC$5:BC88)</f>
        <v>3560.1826881778229</v>
      </c>
      <c r="BV88" s="31">
        <f>SUM(BD$5:BD88)</f>
        <v>0</v>
      </c>
      <c r="BW88" s="31">
        <f>SUM(BE$5:BE88)</f>
        <v>0</v>
      </c>
      <c r="BX88" s="31">
        <f>SUM(BF$5:BF88)</f>
        <v>0</v>
      </c>
      <c r="BY88" s="31">
        <f>SUM(BG$5:BG88)</f>
        <v>0</v>
      </c>
      <c r="BZ88" s="31">
        <f>SUM(BH$5:BH88)</f>
        <v>0</v>
      </c>
      <c r="CC88" s="41">
        <v>84</v>
      </c>
      <c r="CD88" s="41">
        <f t="shared" si="39"/>
        <v>197.28540291914126</v>
      </c>
      <c r="CE88" s="41">
        <f t="shared" si="40"/>
        <v>259.64606420354278</v>
      </c>
      <c r="CF88" s="41">
        <f t="shared" si="41"/>
        <v>296.88663389399761</v>
      </c>
      <c r="CG88" s="41">
        <f t="shared" si="42"/>
        <v>254.4070159346937</v>
      </c>
      <c r="CH88" s="41">
        <f t="shared" si="43"/>
        <v>139.61223254870009</v>
      </c>
      <c r="CI88" s="41">
        <f t="shared" si="44"/>
        <v>71.032681260135547</v>
      </c>
      <c r="CJ88" s="41">
        <f t="shared" si="45"/>
        <v>95.378404158404635</v>
      </c>
      <c r="CK88" s="41">
        <f t="shared" si="46"/>
        <v>111.8348720997916</v>
      </c>
      <c r="CL88" s="41">
        <f t="shared" si="47"/>
        <v>98.960611621871266</v>
      </c>
      <c r="CM88" s="41">
        <f t="shared" si="48"/>
        <v>55.070055707386928</v>
      </c>
      <c r="CN88" s="41">
        <f t="shared" si="49"/>
        <v>0</v>
      </c>
      <c r="CO88" s="41">
        <f t="shared" si="50"/>
        <v>0</v>
      </c>
      <c r="CP88" s="41">
        <f t="shared" si="51"/>
        <v>0</v>
      </c>
      <c r="CQ88" s="41">
        <f t="shared" si="52"/>
        <v>0</v>
      </c>
      <c r="CR88" s="41">
        <f t="shared" si="53"/>
        <v>0</v>
      </c>
    </row>
    <row r="89" spans="23:96" x14ac:dyDescent="0.15">
      <c r="W89" s="117">
        <v>1.05</v>
      </c>
      <c r="X89" s="31">
        <v>85</v>
      </c>
      <c r="Y89" s="113">
        <f t="shared" si="54"/>
        <v>25.301741377816604</v>
      </c>
      <c r="Z89" s="42">
        <f t="shared" si="37"/>
        <v>0.12</v>
      </c>
      <c r="AA89" s="113">
        <f>$Y89*$Z89*其他调用!V88</f>
        <v>3386.1434442261789</v>
      </c>
      <c r="AB89" s="113">
        <f>$Y89*$Z89*其他调用!W88</f>
        <v>4162.3637679676322</v>
      </c>
      <c r="AC89" s="113">
        <f>$Y89*$Z89*其他调用!X88</f>
        <v>4599.5127672375829</v>
      </c>
      <c r="AD89" s="113">
        <f>$Y89*$Z89*其他调用!Y88</f>
        <v>3939.2868310409694</v>
      </c>
      <c r="AE89" s="113">
        <f>$Y89*$Z89*其他调用!Z88</f>
        <v>2153.2927832718269</v>
      </c>
      <c r="AH89" s="31">
        <v>85</v>
      </c>
      <c r="AI89" s="31">
        <f>SUM(AA$5:AA89)</f>
        <v>30395.710780650123</v>
      </c>
      <c r="AJ89" s="31">
        <f>SUM(AB$5:AB89)</f>
        <v>38157.40618588683</v>
      </c>
      <c r="AK89" s="31">
        <f>SUM(AC$5:AC89)</f>
        <v>42126.558358979091</v>
      </c>
      <c r="AL89" s="31">
        <f>SUM(AD$5:AD89)</f>
        <v>34829.20133443833</v>
      </c>
      <c r="AM89" s="31">
        <f>SUM(AE$5:AE89)</f>
        <v>19213.976985311572</v>
      </c>
      <c r="AR89" s="31">
        <v>85</v>
      </c>
      <c r="AS89" s="42">
        <f t="shared" si="38"/>
        <v>8.0000000000000016E-2</v>
      </c>
      <c r="AT89" s="52">
        <f>求节点(E$21:E$27,$M$21:$M$27,$AR89)*$AS89*其他调用!V88</f>
        <v>0</v>
      </c>
      <c r="AU89" s="52">
        <f>求节点(F$21:F$27,$M$21:$M$27,$AR89)*$AS89*其他调用!W88</f>
        <v>0</v>
      </c>
      <c r="AV89" s="52">
        <f>求节点(G$21:G$27,$M$21:$M$27,$AR89)*$AS89*其他调用!X88</f>
        <v>0</v>
      </c>
      <c r="AW89" s="52">
        <f>求节点(H$21:H$27,$M$21:$M$27,$AR89)*$AS89*其他调用!Y88</f>
        <v>0</v>
      </c>
      <c r="AX89" s="52">
        <f>求节点(I$21:I$27,$M$21:$M$27,$AR89)*$AS89*其他调用!Z88</f>
        <v>0</v>
      </c>
      <c r="AY89" s="52">
        <f>求节点(E$21:E$27,$N$21:$N$27,$AR89)*$AS89*其他调用!V88</f>
        <v>535.32180155710444</v>
      </c>
      <c r="AZ89" s="52">
        <f>求节点(F$21:F$27,$N$21:$N$27,$AR89)*$AS89*其他调用!W88</f>
        <v>658.03593607466098</v>
      </c>
      <c r="BA89" s="52">
        <f>求节点(G$21:G$27,$N$21:$N$27,$AR89)*$AS89*其他调用!X88</f>
        <v>727.14564559895848</v>
      </c>
      <c r="BB89" s="52">
        <f>求节点(H$21:H$27,$N$21:$N$27,$AR89)*$AS89*其他调用!Y88</f>
        <v>622.76928251187564</v>
      </c>
      <c r="BC89" s="52">
        <f>求节点(I$21:I$27,$N$21:$N$27,$AR89)*$AS89*其他调用!Z88</f>
        <v>340.4181160684434</v>
      </c>
      <c r="BD89" s="52">
        <f>求节点(E$21:E$27,$O$21:$O$27,$AR89)*$AS89*其他调用!V88</f>
        <v>0</v>
      </c>
      <c r="BE89" s="52">
        <f>求节点(F$21:F$27,$O$21:$O$27,$AR89)*$AS89*其他调用!W88</f>
        <v>0</v>
      </c>
      <c r="BF89" s="52">
        <f>求节点(G$21:G$27,$O$21:$O$27,$AR89)*$AS89*其他调用!X88</f>
        <v>0</v>
      </c>
      <c r="BG89" s="52">
        <f>求节点(H$21:H$27,$O$21:$O$27,$AR89)*$AS89*其他调用!Y88</f>
        <v>0</v>
      </c>
      <c r="BH89" s="52">
        <f>求节点(I$21:I$27,$O$21:$O$27,$AR89)*$AS89*其他调用!Z88</f>
        <v>0</v>
      </c>
      <c r="BK89" s="31">
        <v>85</v>
      </c>
      <c r="BL89" s="31">
        <f>SUM(AT$5:AT89)</f>
        <v>946.27439936474923</v>
      </c>
      <c r="BM89" s="31">
        <f>SUM(AU$5:AU89)</f>
        <v>1112.8936350179583</v>
      </c>
      <c r="BN89" s="31">
        <f>SUM(AV$5:AV89)</f>
        <v>1078.1579698345183</v>
      </c>
      <c r="BO89" s="31">
        <f>SUM(AW$5:AW89)</f>
        <v>704.96766450982125</v>
      </c>
      <c r="BP89" s="31">
        <f>SUM(AX$5:AX89)</f>
        <v>333.4630769439176</v>
      </c>
      <c r="BQ89" s="31">
        <f>SUM(AY$5:AY89)</f>
        <v>4955.409085777892</v>
      </c>
      <c r="BR89" s="31">
        <f>SUM(AZ$5:AZ89)</f>
        <v>6645.6316682956503</v>
      </c>
      <c r="BS89" s="31">
        <f>SUM(BA$5:BA89)</f>
        <v>7823.4177956402245</v>
      </c>
      <c r="BT89" s="31">
        <f>SUM(BB$5:BB89)</f>
        <v>6985.1541691333541</v>
      </c>
      <c r="BU89" s="31">
        <f>SUM(BC$5:BC89)</f>
        <v>3900.6008042462663</v>
      </c>
      <c r="BV89" s="31">
        <f>SUM(BD$5:BD89)</f>
        <v>0</v>
      </c>
      <c r="BW89" s="31">
        <f>SUM(BE$5:BE89)</f>
        <v>0</v>
      </c>
      <c r="BX89" s="31">
        <f>SUM(BF$5:BF89)</f>
        <v>0</v>
      </c>
      <c r="BY89" s="31">
        <f>SUM(BG$5:BG89)</f>
        <v>0</v>
      </c>
      <c r="BZ89" s="31">
        <f>SUM(BH$5:BH89)</f>
        <v>0</v>
      </c>
      <c r="CC89" s="41">
        <v>85</v>
      </c>
      <c r="CD89" s="41">
        <f t="shared" si="39"/>
        <v>216.02166597363993</v>
      </c>
      <c r="CE89" s="41">
        <f t="shared" si="40"/>
        <v>282.67732196615589</v>
      </c>
      <c r="CF89" s="41">
        <f t="shared" si="41"/>
        <v>322.33673148996115</v>
      </c>
      <c r="CG89" s="41">
        <f t="shared" si="42"/>
        <v>276.20394082260935</v>
      </c>
      <c r="CH89" s="41">
        <f t="shared" si="43"/>
        <v>151.52686661109561</v>
      </c>
      <c r="CI89" s="41">
        <f t="shared" si="44"/>
        <v>79.062508283492122</v>
      </c>
      <c r="CJ89" s="41">
        <f t="shared" si="45"/>
        <v>105.24894319952455</v>
      </c>
      <c r="CK89" s="41">
        <f t="shared" si="46"/>
        <v>122.74205678377595</v>
      </c>
      <c r="CL89" s="41">
        <f t="shared" si="47"/>
        <v>108.30215085954941</v>
      </c>
      <c r="CM89" s="41">
        <f t="shared" si="48"/>
        <v>60.176327448413574</v>
      </c>
      <c r="CN89" s="41">
        <f t="shared" si="49"/>
        <v>0</v>
      </c>
      <c r="CO89" s="41">
        <f t="shared" si="50"/>
        <v>0</v>
      </c>
      <c r="CP89" s="41">
        <f t="shared" si="51"/>
        <v>0</v>
      </c>
      <c r="CQ89" s="41">
        <f t="shared" si="52"/>
        <v>0</v>
      </c>
      <c r="CR89" s="41">
        <f t="shared" si="53"/>
        <v>0</v>
      </c>
    </row>
    <row r="90" spans="23:96" x14ac:dyDescent="0.15">
      <c r="W90" s="117">
        <v>1.05</v>
      </c>
      <c r="X90" s="31">
        <v>86</v>
      </c>
      <c r="Y90" s="113">
        <f t="shared" si="54"/>
        <v>26.566828446707436</v>
      </c>
      <c r="Z90" s="42">
        <f t="shared" si="37"/>
        <v>0.12</v>
      </c>
      <c r="AA90" s="113">
        <f>$Y90*$Z90*其他调用!V89</f>
        <v>3810.6376180559901</v>
      </c>
      <c r="AB90" s="113">
        <f>$Y90*$Z90*其他调用!W89</f>
        <v>4759.0418916342805</v>
      </c>
      <c r="AC90" s="113">
        <f>$Y90*$Z90*其他调用!X89</f>
        <v>5313.009465991383</v>
      </c>
      <c r="AD90" s="113">
        <f>$Y90*$Z90*其他调用!Y89</f>
        <v>4538.2149454877999</v>
      </c>
      <c r="AE90" s="113">
        <f>$Y90*$Z90*其他调用!Z89</f>
        <v>2105.5208175860962</v>
      </c>
      <c r="AH90" s="31">
        <v>86</v>
      </c>
      <c r="AI90" s="31">
        <f>SUM(AA$5:AA90)</f>
        <v>34206.348398706112</v>
      </c>
      <c r="AJ90" s="31">
        <f>SUM(AB$5:AB90)</f>
        <v>42916.448077521112</v>
      </c>
      <c r="AK90" s="31">
        <f>SUM(AC$5:AC90)</f>
        <v>47439.567824970472</v>
      </c>
      <c r="AL90" s="31">
        <f>SUM(AD$5:AD90)</f>
        <v>39367.416279926132</v>
      </c>
      <c r="AM90" s="31">
        <f>SUM(AE$5:AE90)</f>
        <v>21319.497802897669</v>
      </c>
      <c r="AR90" s="31">
        <v>86</v>
      </c>
      <c r="AS90" s="42">
        <f t="shared" si="38"/>
        <v>8.0000000000000016E-2</v>
      </c>
      <c r="AT90" s="52">
        <f>求节点(E$21:E$27,$M$21:$M$27,$AR90)*$AS90*其他调用!V89</f>
        <v>0</v>
      </c>
      <c r="AU90" s="52">
        <f>求节点(F$21:F$27,$M$21:$M$27,$AR90)*$AS90*其他调用!W89</f>
        <v>0</v>
      </c>
      <c r="AV90" s="52">
        <f>求节点(G$21:G$27,$M$21:$M$27,$AR90)*$AS90*其他调用!X89</f>
        <v>0</v>
      </c>
      <c r="AW90" s="52">
        <f>求节点(H$21:H$27,$M$21:$M$27,$AR90)*$AS90*其他调用!Y89</f>
        <v>0</v>
      </c>
      <c r="AX90" s="52">
        <f>求节点(I$21:I$27,$M$21:$M$27,$AR90)*$AS90*其他调用!Z89</f>
        <v>0</v>
      </c>
      <c r="AY90" s="52">
        <f>求节点(E$21:E$27,$N$21:$N$27,$AR90)*$AS90*其他调用!V89</f>
        <v>573.74370082602206</v>
      </c>
      <c r="AZ90" s="52">
        <f>求节点(F$21:F$27,$N$21:$N$27,$AR90)*$AS90*其他调用!W89</f>
        <v>716.53895777297339</v>
      </c>
      <c r="BA90" s="52">
        <f>求节点(G$21:G$27,$N$21:$N$27,$AR90)*$AS90*其他调用!X89</f>
        <v>799.94636569422391</v>
      </c>
      <c r="BB90" s="52">
        <f>求节点(H$21:H$27,$N$21:$N$27,$AR90)*$AS90*其他调用!Y89</f>
        <v>683.290435603388</v>
      </c>
      <c r="BC90" s="52">
        <f>求节点(I$21:I$27,$N$21:$N$27,$AR90)*$AS90*其他调用!Z89</f>
        <v>317.01500565786125</v>
      </c>
      <c r="BD90" s="52">
        <f>求节点(E$21:E$27,$O$21:$O$27,$AR90)*$AS90*其他调用!V89</f>
        <v>0</v>
      </c>
      <c r="BE90" s="52">
        <f>求节点(F$21:F$27,$O$21:$O$27,$AR90)*$AS90*其他调用!W89</f>
        <v>0</v>
      </c>
      <c r="BF90" s="52">
        <f>求节点(G$21:G$27,$O$21:$O$27,$AR90)*$AS90*其他调用!X89</f>
        <v>0</v>
      </c>
      <c r="BG90" s="52">
        <f>求节点(H$21:H$27,$O$21:$O$27,$AR90)*$AS90*其他调用!Y89</f>
        <v>0</v>
      </c>
      <c r="BH90" s="52">
        <f>求节点(I$21:I$27,$O$21:$O$27,$AR90)*$AS90*其他调用!Z89</f>
        <v>0</v>
      </c>
      <c r="BK90" s="31">
        <v>86</v>
      </c>
      <c r="BL90" s="31">
        <f>SUM(AT$5:AT90)</f>
        <v>946.27439936474923</v>
      </c>
      <c r="BM90" s="31">
        <f>SUM(AU$5:AU90)</f>
        <v>1112.8936350179583</v>
      </c>
      <c r="BN90" s="31">
        <f>SUM(AV$5:AV90)</f>
        <v>1078.1579698345183</v>
      </c>
      <c r="BO90" s="31">
        <f>SUM(AW$5:AW90)</f>
        <v>704.96766450982125</v>
      </c>
      <c r="BP90" s="31">
        <f>SUM(AX$5:AX90)</f>
        <v>333.4630769439176</v>
      </c>
      <c r="BQ90" s="31">
        <f>SUM(AY$5:AY90)</f>
        <v>5529.1527866039141</v>
      </c>
      <c r="BR90" s="31">
        <f>SUM(AZ$5:AZ90)</f>
        <v>7362.1706260686242</v>
      </c>
      <c r="BS90" s="31">
        <f>SUM(BA$5:BA90)</f>
        <v>8623.364161334448</v>
      </c>
      <c r="BT90" s="31">
        <f>SUM(BB$5:BB90)</f>
        <v>7668.4446047367419</v>
      </c>
      <c r="BU90" s="31">
        <f>SUM(BC$5:BC90)</f>
        <v>4217.6158099041277</v>
      </c>
      <c r="BV90" s="31">
        <f>SUM(BD$5:BD90)</f>
        <v>0</v>
      </c>
      <c r="BW90" s="31">
        <f>SUM(BE$5:BE90)</f>
        <v>0</v>
      </c>
      <c r="BX90" s="31">
        <f>SUM(BF$5:BF90)</f>
        <v>0</v>
      </c>
      <c r="BY90" s="31">
        <f>SUM(BG$5:BG90)</f>
        <v>0</v>
      </c>
      <c r="BZ90" s="31">
        <f>SUM(BH$5:BH90)</f>
        <v>0</v>
      </c>
      <c r="CC90" s="41">
        <v>86</v>
      </c>
      <c r="CD90" s="41">
        <f t="shared" si="39"/>
        <v>236.10269550255072</v>
      </c>
      <c r="CE90" s="41">
        <f t="shared" si="40"/>
        <v>307.75618548820995</v>
      </c>
      <c r="CF90" s="41">
        <f t="shared" si="41"/>
        <v>350.334854289259</v>
      </c>
      <c r="CG90" s="41">
        <f t="shared" si="42"/>
        <v>300.11910606872794</v>
      </c>
      <c r="CH90" s="41">
        <f t="shared" si="43"/>
        <v>162.62239180912076</v>
      </c>
      <c r="CI90" s="41">
        <f t="shared" si="44"/>
        <v>87.668663795882452</v>
      </c>
      <c r="CJ90" s="41">
        <f t="shared" si="45"/>
        <v>115.99702756611914</v>
      </c>
      <c r="CK90" s="41">
        <f t="shared" si="46"/>
        <v>134.74125226918932</v>
      </c>
      <c r="CL90" s="41">
        <f t="shared" si="47"/>
        <v>118.55150739360025</v>
      </c>
      <c r="CM90" s="41">
        <f t="shared" si="48"/>
        <v>64.931552533281504</v>
      </c>
      <c r="CN90" s="41">
        <f t="shared" si="49"/>
        <v>0</v>
      </c>
      <c r="CO90" s="41">
        <f t="shared" si="50"/>
        <v>0</v>
      </c>
      <c r="CP90" s="41">
        <f t="shared" si="51"/>
        <v>0</v>
      </c>
      <c r="CQ90" s="41">
        <f t="shared" si="52"/>
        <v>0</v>
      </c>
      <c r="CR90" s="41">
        <f t="shared" si="53"/>
        <v>0</v>
      </c>
    </row>
    <row r="91" spans="23:96" x14ac:dyDescent="0.15">
      <c r="W91" s="117">
        <v>1.05</v>
      </c>
      <c r="X91" s="31">
        <v>87</v>
      </c>
      <c r="Y91" s="113">
        <f t="shared" si="54"/>
        <v>27.89516986904281</v>
      </c>
      <c r="Z91" s="42">
        <f t="shared" si="37"/>
        <v>0.12</v>
      </c>
      <c r="AA91" s="113">
        <f>$Y91*$Z91*其他调用!V90</f>
        <v>4288.3472880936151</v>
      </c>
      <c r="AB91" s="113">
        <f>$Y91*$Z91*其他调用!W90</f>
        <v>5446.1872710813414</v>
      </c>
      <c r="AC91" s="113">
        <f>$Y91*$Z91*其他调用!X90</f>
        <v>6144.1999406826326</v>
      </c>
      <c r="AD91" s="113">
        <f>$Y91*$Z91*其他调用!Y90</f>
        <v>4546.5204616466108</v>
      </c>
      <c r="AE91" s="113">
        <f>$Y91*$Z91*其他调用!Z90</f>
        <v>2345.4061157350552</v>
      </c>
      <c r="AH91" s="31">
        <v>87</v>
      </c>
      <c r="AI91" s="31">
        <f>SUM(AA$5:AA91)</f>
        <v>38494.695686799729</v>
      </c>
      <c r="AJ91" s="31">
        <f>SUM(AB$5:AB91)</f>
        <v>48362.635348602453</v>
      </c>
      <c r="AK91" s="31">
        <f>SUM(AC$5:AC91)</f>
        <v>53583.767765653101</v>
      </c>
      <c r="AL91" s="31">
        <f>SUM(AD$5:AD91)</f>
        <v>43913.936741572747</v>
      </c>
      <c r="AM91" s="31">
        <f>SUM(AE$5:AE91)</f>
        <v>23664.903918632725</v>
      </c>
      <c r="AR91" s="31">
        <v>87</v>
      </c>
      <c r="AS91" s="42">
        <f t="shared" si="38"/>
        <v>8.0000000000000016E-2</v>
      </c>
      <c r="AT91" s="52">
        <f>求节点(E$21:E$27,$M$21:$M$27,$AR91)*$AS91*其他调用!V90</f>
        <v>0</v>
      </c>
      <c r="AU91" s="52">
        <f>求节点(F$21:F$27,$M$21:$M$27,$AR91)*$AS91*其他调用!W90</f>
        <v>0</v>
      </c>
      <c r="AV91" s="52">
        <f>求节点(G$21:G$27,$M$21:$M$27,$AR91)*$AS91*其他调用!X90</f>
        <v>0</v>
      </c>
      <c r="AW91" s="52">
        <f>求节点(H$21:H$27,$M$21:$M$27,$AR91)*$AS91*其他调用!Y90</f>
        <v>0</v>
      </c>
      <c r="AX91" s="52">
        <f>求节点(I$21:I$27,$M$21:$M$27,$AR91)*$AS91*其他调用!Z90</f>
        <v>0</v>
      </c>
      <c r="AY91" s="52">
        <f>求节点(E$21:E$27,$N$21:$N$27,$AR91)*$AS91*其他调用!V90</f>
        <v>614.92327284268526</v>
      </c>
      <c r="AZ91" s="52">
        <f>求节点(F$21:F$27,$N$21:$N$27,$AR91)*$AS91*其他调用!W90</f>
        <v>780.95057985294454</v>
      </c>
      <c r="BA91" s="52">
        <f>求节点(G$21:G$27,$N$21:$N$27,$AR91)*$AS91*其他调用!X90</f>
        <v>881.04140889298185</v>
      </c>
      <c r="BB91" s="52">
        <f>求节点(H$21:H$27,$N$21:$N$27,$AR91)*$AS91*其他调用!Y90</f>
        <v>651.94375700033982</v>
      </c>
      <c r="BC91" s="52">
        <f>求节点(I$21:I$27,$N$21:$N$27,$AR91)*$AS91*其他调用!Z90</f>
        <v>336.31716555172</v>
      </c>
      <c r="BD91" s="52">
        <f>求节点(E$21:E$27,$O$21:$O$27,$AR91)*$AS91*其他调用!V90</f>
        <v>0</v>
      </c>
      <c r="BE91" s="52">
        <f>求节点(F$21:F$27,$O$21:$O$27,$AR91)*$AS91*其他调用!W90</f>
        <v>0</v>
      </c>
      <c r="BF91" s="52">
        <f>求节点(G$21:G$27,$O$21:$O$27,$AR91)*$AS91*其他调用!X90</f>
        <v>0</v>
      </c>
      <c r="BG91" s="52">
        <f>求节点(H$21:H$27,$O$21:$O$27,$AR91)*$AS91*其他调用!Y90</f>
        <v>0</v>
      </c>
      <c r="BH91" s="52">
        <f>求节点(I$21:I$27,$O$21:$O$27,$AR91)*$AS91*其他调用!Z90</f>
        <v>0</v>
      </c>
      <c r="BK91" s="31">
        <v>87</v>
      </c>
      <c r="BL91" s="31">
        <f>SUM(AT$5:AT91)</f>
        <v>946.27439936474923</v>
      </c>
      <c r="BM91" s="31">
        <f>SUM(AU$5:AU91)</f>
        <v>1112.8936350179583</v>
      </c>
      <c r="BN91" s="31">
        <f>SUM(AV$5:AV91)</f>
        <v>1078.1579698345183</v>
      </c>
      <c r="BO91" s="31">
        <f>SUM(AW$5:AW91)</f>
        <v>704.96766450982125</v>
      </c>
      <c r="BP91" s="31">
        <f>SUM(AX$5:AX91)</f>
        <v>333.4630769439176</v>
      </c>
      <c r="BQ91" s="31">
        <f>SUM(AY$5:AY91)</f>
        <v>6144.0760594465992</v>
      </c>
      <c r="BR91" s="31">
        <f>SUM(AZ$5:AZ91)</f>
        <v>8143.1212059215686</v>
      </c>
      <c r="BS91" s="31">
        <f>SUM(BA$5:BA91)</f>
        <v>9504.4055702274291</v>
      </c>
      <c r="BT91" s="31">
        <f>SUM(BB$5:BB91)</f>
        <v>8320.3883617370811</v>
      </c>
      <c r="BU91" s="31">
        <f>SUM(BC$5:BC91)</f>
        <v>4553.9329754558476</v>
      </c>
      <c r="BV91" s="31">
        <f>SUM(BD$5:BD91)</f>
        <v>0</v>
      </c>
      <c r="BW91" s="31">
        <f>SUM(BE$5:BE91)</f>
        <v>0</v>
      </c>
      <c r="BX91" s="31">
        <f>SUM(BF$5:BF91)</f>
        <v>0</v>
      </c>
      <c r="BY91" s="31">
        <f>SUM(BG$5:BG91)</f>
        <v>0</v>
      </c>
      <c r="BZ91" s="31">
        <f>SUM(BH$5:BH91)</f>
        <v>0</v>
      </c>
      <c r="CC91" s="41">
        <v>87</v>
      </c>
      <c r="CD91" s="41">
        <f t="shared" si="39"/>
        <v>257.62501005204467</v>
      </c>
      <c r="CE91" s="41">
        <f t="shared" si="40"/>
        <v>335.08945578306304</v>
      </c>
      <c r="CF91" s="41">
        <f t="shared" si="41"/>
        <v>381.17130360051334</v>
      </c>
      <c r="CG91" s="41">
        <f t="shared" si="42"/>
        <v>322.93713756373978</v>
      </c>
      <c r="CH91" s="41">
        <f t="shared" si="43"/>
        <v>174.39349260343096</v>
      </c>
      <c r="CI91" s="41">
        <f t="shared" si="44"/>
        <v>96.892512888522731</v>
      </c>
      <c r="CJ91" s="41">
        <f t="shared" si="45"/>
        <v>127.71128626391332</v>
      </c>
      <c r="CK91" s="41">
        <f t="shared" si="46"/>
        <v>147.95687340258402</v>
      </c>
      <c r="CL91" s="41">
        <f t="shared" si="47"/>
        <v>128.33066374860533</v>
      </c>
      <c r="CM91" s="41">
        <f t="shared" si="48"/>
        <v>69.976310016557292</v>
      </c>
      <c r="CN91" s="41">
        <f t="shared" si="49"/>
        <v>0</v>
      </c>
      <c r="CO91" s="41">
        <f t="shared" si="50"/>
        <v>0</v>
      </c>
      <c r="CP91" s="41">
        <f t="shared" si="51"/>
        <v>0</v>
      </c>
      <c r="CQ91" s="41">
        <f t="shared" si="52"/>
        <v>0</v>
      </c>
      <c r="CR91" s="41">
        <f t="shared" si="53"/>
        <v>0</v>
      </c>
    </row>
    <row r="92" spans="23:96" x14ac:dyDescent="0.15">
      <c r="W92" s="117">
        <v>1.05</v>
      </c>
      <c r="X92" s="31">
        <v>88</v>
      </c>
      <c r="Y92" s="113">
        <f t="shared" si="54"/>
        <v>29.289928362494951</v>
      </c>
      <c r="Z92" s="42">
        <f t="shared" si="37"/>
        <v>0.12</v>
      </c>
      <c r="AA92" s="113">
        <f>$Y92*$Z92*其他调用!V91</f>
        <v>4825.9436625942444</v>
      </c>
      <c r="AB92" s="113">
        <f>$Y92*$Z92*其他调用!W91</f>
        <v>6237.888547834681</v>
      </c>
      <c r="AC92" s="113">
        <f>$Y92*$Z92*其他调用!X91</f>
        <v>6558.0173069371349</v>
      </c>
      <c r="AD92" s="113">
        <f>$Y92*$Z92*其他调用!Y91</f>
        <v>4860.7529602588684</v>
      </c>
      <c r="AE92" s="113">
        <f>$Y92*$Z92*其他调用!Z91</f>
        <v>2692.8513733910636</v>
      </c>
      <c r="AH92" s="31">
        <v>88</v>
      </c>
      <c r="AI92" s="31">
        <f>SUM(AA$5:AA92)</f>
        <v>43320.639349393976</v>
      </c>
      <c r="AJ92" s="31">
        <f>SUM(AB$5:AB92)</f>
        <v>54600.523896437131</v>
      </c>
      <c r="AK92" s="31">
        <f>SUM(AC$5:AC92)</f>
        <v>60141.785072590239</v>
      </c>
      <c r="AL92" s="31">
        <f>SUM(AD$5:AD92)</f>
        <v>48774.689701831616</v>
      </c>
      <c r="AM92" s="31">
        <f>SUM(AE$5:AE92)</f>
        <v>26357.755292023787</v>
      </c>
      <c r="AR92" s="31">
        <v>88</v>
      </c>
      <c r="AS92" s="42">
        <f t="shared" si="38"/>
        <v>8.0000000000000016E-2</v>
      </c>
      <c r="AT92" s="52">
        <f>求节点(E$21:E$27,$M$21:$M$27,$AR92)*$AS92*其他调用!V91</f>
        <v>0</v>
      </c>
      <c r="AU92" s="52">
        <f>求节点(F$21:F$27,$M$21:$M$27,$AR92)*$AS92*其他调用!W91</f>
        <v>0</v>
      </c>
      <c r="AV92" s="52">
        <f>求节点(G$21:G$27,$M$21:$M$27,$AR92)*$AS92*其他调用!X91</f>
        <v>0</v>
      </c>
      <c r="AW92" s="52">
        <f>求节点(H$21:H$27,$M$21:$M$27,$AR92)*$AS92*其他调用!Y91</f>
        <v>0</v>
      </c>
      <c r="AX92" s="52">
        <f>求节点(I$21:I$27,$M$21:$M$27,$AR92)*$AS92*其他调用!Z91</f>
        <v>0</v>
      </c>
      <c r="AY92" s="52">
        <f>求节点(E$21:E$27,$N$21:$N$27,$AR92)*$AS92*其他调用!V91</f>
        <v>659.0584453287704</v>
      </c>
      <c r="AZ92" s="52">
        <f>求节点(F$21:F$27,$N$21:$N$27,$AR92)*$AS92*其他调用!W91</f>
        <v>851.88170768244674</v>
      </c>
      <c r="BA92" s="52">
        <f>求节点(G$21:G$27,$N$21:$N$27,$AR92)*$AS92*其他调用!X91</f>
        <v>895.60032046162598</v>
      </c>
      <c r="BB92" s="52">
        <f>求节点(H$21:H$27,$N$21:$N$27,$AR92)*$AS92*其他调用!Y91</f>
        <v>663.81220194214563</v>
      </c>
      <c r="BC92" s="52">
        <f>求节点(I$21:I$27,$N$21:$N$27,$AR92)*$AS92*其他调用!Z91</f>
        <v>367.75117235714316</v>
      </c>
      <c r="BD92" s="52">
        <f>求节点(E$21:E$27,$O$21:$O$27,$AR92)*$AS92*其他调用!V91</f>
        <v>0</v>
      </c>
      <c r="BE92" s="52">
        <f>求节点(F$21:F$27,$O$21:$O$27,$AR92)*$AS92*其他调用!W91</f>
        <v>0</v>
      </c>
      <c r="BF92" s="52">
        <f>求节点(G$21:G$27,$O$21:$O$27,$AR92)*$AS92*其他调用!X91</f>
        <v>0</v>
      </c>
      <c r="BG92" s="52">
        <f>求节点(H$21:H$27,$O$21:$O$27,$AR92)*$AS92*其他调用!Y91</f>
        <v>0</v>
      </c>
      <c r="BH92" s="52">
        <f>求节点(I$21:I$27,$O$21:$O$27,$AR92)*$AS92*其他调用!Z91</f>
        <v>0</v>
      </c>
      <c r="BK92" s="31">
        <v>88</v>
      </c>
      <c r="BL92" s="31">
        <f>SUM(AT$5:AT92)</f>
        <v>946.27439936474923</v>
      </c>
      <c r="BM92" s="31">
        <f>SUM(AU$5:AU92)</f>
        <v>1112.8936350179583</v>
      </c>
      <c r="BN92" s="31">
        <f>SUM(AV$5:AV92)</f>
        <v>1078.1579698345183</v>
      </c>
      <c r="BO92" s="31">
        <f>SUM(AW$5:AW92)</f>
        <v>704.96766450982125</v>
      </c>
      <c r="BP92" s="31">
        <f>SUM(AX$5:AX92)</f>
        <v>333.4630769439176</v>
      </c>
      <c r="BQ92" s="31">
        <f>SUM(AY$5:AY92)</f>
        <v>6803.1345047753694</v>
      </c>
      <c r="BR92" s="31">
        <f>SUM(AZ$5:AZ92)</f>
        <v>8995.0029136040157</v>
      </c>
      <c r="BS92" s="31">
        <f>SUM(BA$5:BA92)</f>
        <v>10400.005890689055</v>
      </c>
      <c r="BT92" s="31">
        <f>SUM(BB$5:BB92)</f>
        <v>8984.2005636792273</v>
      </c>
      <c r="BU92" s="31">
        <f>SUM(BC$5:BC92)</f>
        <v>4921.6841478129909</v>
      </c>
      <c r="BV92" s="31">
        <f>SUM(BD$5:BD92)</f>
        <v>0</v>
      </c>
      <c r="BW92" s="31">
        <f>SUM(BE$5:BE92)</f>
        <v>0</v>
      </c>
      <c r="BX92" s="31">
        <f>SUM(BF$5:BF92)</f>
        <v>0</v>
      </c>
      <c r="BY92" s="31">
        <f>SUM(BG$5:BG92)</f>
        <v>0</v>
      </c>
      <c r="BZ92" s="31">
        <f>SUM(BH$5:BH92)</f>
        <v>0</v>
      </c>
      <c r="CC92" s="41">
        <v>88</v>
      </c>
      <c r="CD92" s="41">
        <f t="shared" si="39"/>
        <v>280.69205563855161</v>
      </c>
      <c r="CE92" s="41">
        <f t="shared" si="40"/>
        <v>364.90531555194866</v>
      </c>
      <c r="CF92" s="41">
        <f t="shared" si="41"/>
        <v>412.51731481667019</v>
      </c>
      <c r="CG92" s="41">
        <f t="shared" si="42"/>
        <v>346.17056463171491</v>
      </c>
      <c r="CH92" s="41">
        <f t="shared" si="43"/>
        <v>187.26478363593097</v>
      </c>
      <c r="CI92" s="41">
        <f t="shared" si="44"/>
        <v>106.77838956845429</v>
      </c>
      <c r="CJ92" s="41">
        <f t="shared" si="45"/>
        <v>140.48951187915003</v>
      </c>
      <c r="CK92" s="41">
        <f t="shared" si="46"/>
        <v>161.39087820950843</v>
      </c>
      <c r="CL92" s="41">
        <f t="shared" si="47"/>
        <v>138.28784677773751</v>
      </c>
      <c r="CM92" s="41">
        <f t="shared" si="48"/>
        <v>75.492577601914448</v>
      </c>
      <c r="CN92" s="41">
        <f t="shared" si="49"/>
        <v>0</v>
      </c>
      <c r="CO92" s="41">
        <f t="shared" si="50"/>
        <v>0</v>
      </c>
      <c r="CP92" s="41">
        <f t="shared" si="51"/>
        <v>0</v>
      </c>
      <c r="CQ92" s="41">
        <f t="shared" si="52"/>
        <v>0</v>
      </c>
      <c r="CR92" s="41">
        <f t="shared" si="53"/>
        <v>0</v>
      </c>
    </row>
    <row r="93" spans="23:96" x14ac:dyDescent="0.15">
      <c r="W93" s="117">
        <v>1.05</v>
      </c>
      <c r="X93" s="31">
        <v>89</v>
      </c>
      <c r="Y93" s="113">
        <f t="shared" si="54"/>
        <v>30.754424780619701</v>
      </c>
      <c r="Z93" s="42">
        <f t="shared" si="37"/>
        <v>0.12</v>
      </c>
      <c r="AA93" s="113">
        <f>$Y93*$Z93*其他调用!V92</f>
        <v>5430.9342667268429</v>
      </c>
      <c r="AB93" s="113">
        <f>$Y93*$Z93*其他调用!W92</f>
        <v>6678.9443495657551</v>
      </c>
      <c r="AC93" s="113">
        <f>$Y93*$Z93*其他调用!X92</f>
        <v>6614.7601282476944</v>
      </c>
      <c r="AD93" s="113">
        <f>$Y93*$Z93*其他调用!Y92</f>
        <v>5437.0393834189181</v>
      </c>
      <c r="AE93" s="113">
        <f>$Y93*$Z93*其他调用!Z92</f>
        <v>2824.8469261389928</v>
      </c>
      <c r="AH93" s="31">
        <v>89</v>
      </c>
      <c r="AI93" s="31">
        <f>SUM(AA$5:AA93)</f>
        <v>48751.573616120819</v>
      </c>
      <c r="AJ93" s="31">
        <f>SUM(AB$5:AB93)</f>
        <v>61279.468246002885</v>
      </c>
      <c r="AK93" s="31">
        <f>SUM(AC$5:AC93)</f>
        <v>66756.545200837936</v>
      </c>
      <c r="AL93" s="31">
        <f>SUM(AD$5:AD93)</f>
        <v>54211.729085250532</v>
      </c>
      <c r="AM93" s="31">
        <f>SUM(AE$5:AE93)</f>
        <v>29182.602218162778</v>
      </c>
      <c r="AR93" s="31">
        <v>89</v>
      </c>
      <c r="AS93" s="42">
        <f t="shared" si="38"/>
        <v>8.0000000000000016E-2</v>
      </c>
      <c r="AT93" s="52">
        <f>求节点(E$21:E$27,$M$21:$M$27,$AR93)*$AS93*其他调用!V92</f>
        <v>0</v>
      </c>
      <c r="AU93" s="52">
        <f>求节点(F$21:F$27,$M$21:$M$27,$AR93)*$AS93*其他调用!W92</f>
        <v>0</v>
      </c>
      <c r="AV93" s="52">
        <f>求节点(G$21:G$27,$M$21:$M$27,$AR93)*$AS93*其他调用!X92</f>
        <v>0</v>
      </c>
      <c r="AW93" s="52">
        <f>求节点(H$21:H$27,$M$21:$M$27,$AR93)*$AS93*其他调用!Y92</f>
        <v>0</v>
      </c>
      <c r="AX93" s="52">
        <f>求节点(I$21:I$27,$M$21:$M$27,$AR93)*$AS93*其他调用!Z92</f>
        <v>0</v>
      </c>
      <c r="AY93" s="52">
        <f>求节点(E$21:E$27,$N$21:$N$27,$AR93)*$AS93*其他调用!V92</f>
        <v>706.36135196379519</v>
      </c>
      <c r="AZ93" s="52">
        <f>求节点(F$21:F$27,$N$21:$N$27,$AR93)*$AS93*其他调用!W92</f>
        <v>868.68076996511797</v>
      </c>
      <c r="BA93" s="52">
        <f>求节点(G$21:G$27,$N$21:$N$27,$AR93)*$AS93*其他调用!X92</f>
        <v>860.33280419747246</v>
      </c>
      <c r="BB93" s="52">
        <f>求节点(H$21:H$27,$N$21:$N$27,$AR93)*$AS93*其他调用!Y92</f>
        <v>707.15539922504297</v>
      </c>
      <c r="BC93" s="52">
        <f>求节点(I$21:I$27,$N$21:$N$27,$AR93)*$AS93*其他调用!Z92</f>
        <v>367.40689462273502</v>
      </c>
      <c r="BD93" s="52">
        <f>求节点(E$21:E$27,$O$21:$O$27,$AR93)*$AS93*其他调用!V92</f>
        <v>0</v>
      </c>
      <c r="BE93" s="52">
        <f>求节点(F$21:F$27,$O$21:$O$27,$AR93)*$AS93*其他调用!W92</f>
        <v>0</v>
      </c>
      <c r="BF93" s="52">
        <f>求节点(G$21:G$27,$O$21:$O$27,$AR93)*$AS93*其他调用!X92</f>
        <v>0</v>
      </c>
      <c r="BG93" s="52">
        <f>求节点(H$21:H$27,$O$21:$O$27,$AR93)*$AS93*其他调用!Y92</f>
        <v>0</v>
      </c>
      <c r="BH93" s="52">
        <f>求节点(I$21:I$27,$O$21:$O$27,$AR93)*$AS93*其他调用!Z92</f>
        <v>0</v>
      </c>
      <c r="BK93" s="31">
        <v>89</v>
      </c>
      <c r="BL93" s="31">
        <f>SUM(AT$5:AT93)</f>
        <v>946.27439936474923</v>
      </c>
      <c r="BM93" s="31">
        <f>SUM(AU$5:AU93)</f>
        <v>1112.8936350179583</v>
      </c>
      <c r="BN93" s="31">
        <f>SUM(AV$5:AV93)</f>
        <v>1078.1579698345183</v>
      </c>
      <c r="BO93" s="31">
        <f>SUM(AW$5:AW93)</f>
        <v>704.96766450982125</v>
      </c>
      <c r="BP93" s="31">
        <f>SUM(AX$5:AX93)</f>
        <v>333.4630769439176</v>
      </c>
      <c r="BQ93" s="31">
        <f>SUM(AY$5:AY93)</f>
        <v>7509.4958567391641</v>
      </c>
      <c r="BR93" s="31">
        <f>SUM(AZ$5:AZ93)</f>
        <v>9863.6836835691338</v>
      </c>
      <c r="BS93" s="31">
        <f>SUM(BA$5:BA93)</f>
        <v>11260.338694886528</v>
      </c>
      <c r="BT93" s="31">
        <f>SUM(BB$5:BB93)</f>
        <v>9691.3559629042702</v>
      </c>
      <c r="BU93" s="31">
        <f>SUM(BC$5:BC93)</f>
        <v>5289.0910424357262</v>
      </c>
      <c r="BV93" s="31">
        <f>SUM(BD$5:BD93)</f>
        <v>0</v>
      </c>
      <c r="BW93" s="31">
        <f>SUM(BE$5:BE93)</f>
        <v>0</v>
      </c>
      <c r="BX93" s="31">
        <f>SUM(BF$5:BF93)</f>
        <v>0</v>
      </c>
      <c r="BY93" s="31">
        <f>SUM(BG$5:BG93)</f>
        <v>0</v>
      </c>
      <c r="BZ93" s="31">
        <f>SUM(BH$5:BH93)</f>
        <v>0</v>
      </c>
      <c r="CC93" s="41">
        <v>89</v>
      </c>
      <c r="CD93" s="41">
        <f t="shared" si="39"/>
        <v>305.41470295728448</v>
      </c>
      <c r="CE93" s="41">
        <f t="shared" si="40"/>
        <v>395.30914250072783</v>
      </c>
      <c r="CF93" s="41">
        <f t="shared" si="41"/>
        <v>442.62896296358178</v>
      </c>
      <c r="CG93" s="41">
        <f t="shared" si="42"/>
        <v>370.92100360459142</v>
      </c>
      <c r="CH93" s="41">
        <f t="shared" si="43"/>
        <v>200.1240249477267</v>
      </c>
      <c r="CI93" s="41">
        <f t="shared" si="44"/>
        <v>117.37380984791119</v>
      </c>
      <c r="CJ93" s="41">
        <f t="shared" si="45"/>
        <v>153.5197234286268</v>
      </c>
      <c r="CK93" s="41">
        <f t="shared" si="46"/>
        <v>174.29587027247049</v>
      </c>
      <c r="CL93" s="41">
        <f t="shared" si="47"/>
        <v>148.89517776611316</v>
      </c>
      <c r="CM93" s="41">
        <f t="shared" si="48"/>
        <v>81.003681021255474</v>
      </c>
      <c r="CN93" s="41">
        <f t="shared" si="49"/>
        <v>0</v>
      </c>
      <c r="CO93" s="41">
        <f t="shared" si="50"/>
        <v>0</v>
      </c>
      <c r="CP93" s="41">
        <f t="shared" si="51"/>
        <v>0</v>
      </c>
      <c r="CQ93" s="41">
        <f t="shared" si="52"/>
        <v>0</v>
      </c>
      <c r="CR93" s="41">
        <f t="shared" si="53"/>
        <v>0</v>
      </c>
    </row>
    <row r="94" spans="23:96" x14ac:dyDescent="0.15">
      <c r="W94" s="117">
        <v>1.05</v>
      </c>
      <c r="X94" s="31">
        <v>90</v>
      </c>
      <c r="Y94" s="113">
        <f t="shared" si="54"/>
        <v>32.292146019650687</v>
      </c>
      <c r="Z94" s="42">
        <f t="shared" si="37"/>
        <v>0.12</v>
      </c>
      <c r="AA94" s="113">
        <f>$Y94*$Z94*其他调用!V93</f>
        <v>6111.7677850496857</v>
      </c>
      <c r="AB94" s="113">
        <f>$Y94*$Z94*其他调用!W93</f>
        <v>6840.3905752901001</v>
      </c>
      <c r="AC94" s="113">
        <f>$Y94*$Z94*其他调用!X93</f>
        <v>7462.61332452645</v>
      </c>
      <c r="AD94" s="113">
        <f>$Y94*$Z94*其他调用!Y93</f>
        <v>5817.6650308277749</v>
      </c>
      <c r="AE94" s="113">
        <f>$Y94*$Z94*其他调用!Z93</f>
        <v>3137.8346929222348</v>
      </c>
      <c r="AH94" s="31">
        <v>90</v>
      </c>
      <c r="AI94" s="31">
        <f>SUM(AA$5:AA94)</f>
        <v>54863.341401170503</v>
      </c>
      <c r="AJ94" s="31">
        <f>SUM(AB$5:AB94)</f>
        <v>68119.85882129299</v>
      </c>
      <c r="AK94" s="31">
        <f>SUM(AC$5:AC94)</f>
        <v>74219.158525364386</v>
      </c>
      <c r="AL94" s="31">
        <f>SUM(AD$5:AD94)</f>
        <v>60029.394116078307</v>
      </c>
      <c r="AM94" s="31">
        <f>SUM(AE$5:AE94)</f>
        <v>32320.436911085013</v>
      </c>
      <c r="AR94" s="31">
        <v>90</v>
      </c>
      <c r="AS94" s="42">
        <f t="shared" si="38"/>
        <v>8.0000000000000016E-2</v>
      </c>
      <c r="AT94" s="52">
        <f>求节点(E$21:E$27,$M$21:$M$27,$AR94)*$AS94*其他调用!V93</f>
        <v>0</v>
      </c>
      <c r="AU94" s="52">
        <f>求节点(F$21:F$27,$M$21:$M$27,$AR94)*$AS94*其他调用!W93</f>
        <v>0</v>
      </c>
      <c r="AV94" s="52">
        <f>求节点(G$21:G$27,$M$21:$M$27,$AR94)*$AS94*其他调用!X93</f>
        <v>0</v>
      </c>
      <c r="AW94" s="52">
        <f>求节点(H$21:H$27,$M$21:$M$27,$AR94)*$AS94*其他调用!Y93</f>
        <v>0</v>
      </c>
      <c r="AX94" s="52">
        <f>求节点(I$21:I$27,$M$21:$M$27,$AR94)*$AS94*其他调用!Z93</f>
        <v>0</v>
      </c>
      <c r="AY94" s="52">
        <f>求节点(E$21:E$27,$N$21:$N$27,$AR94)*$AS94*其他调用!V93</f>
        <v>757.05935199605551</v>
      </c>
      <c r="AZ94" s="52">
        <f>求节点(F$21:F$27,$N$21:$N$27,$AR94)*$AS94*其他调用!W93</f>
        <v>847.31322237023574</v>
      </c>
      <c r="BA94" s="52">
        <f>求节点(G$21:G$27,$N$21:$N$27,$AR94)*$AS94*其他调用!X93</f>
        <v>924.38741234295674</v>
      </c>
      <c r="BB94" s="52">
        <f>求节点(H$21:H$27,$N$21:$N$27,$AR94)*$AS94*其他调用!Y93</f>
        <v>720.62910000314776</v>
      </c>
      <c r="BC94" s="52">
        <f>求节点(I$21:I$27,$N$21:$N$27,$AR94)*$AS94*其他调用!Z93</f>
        <v>388.68085026158059</v>
      </c>
      <c r="BD94" s="52">
        <f>求节点(E$21:E$27,$O$21:$O$27,$AR94)*$AS94*其他调用!V93</f>
        <v>0</v>
      </c>
      <c r="BE94" s="52">
        <f>求节点(F$21:F$27,$O$21:$O$27,$AR94)*$AS94*其他调用!W93</f>
        <v>0</v>
      </c>
      <c r="BF94" s="52">
        <f>求节点(G$21:G$27,$O$21:$O$27,$AR94)*$AS94*其他调用!X93</f>
        <v>0</v>
      </c>
      <c r="BG94" s="52">
        <f>求节点(H$21:H$27,$O$21:$O$27,$AR94)*$AS94*其他调用!Y93</f>
        <v>0</v>
      </c>
      <c r="BH94" s="52">
        <f>求节点(I$21:I$27,$O$21:$O$27,$AR94)*$AS94*其他调用!Z93</f>
        <v>0</v>
      </c>
      <c r="BK94" s="31">
        <v>90</v>
      </c>
      <c r="BL94" s="31">
        <f>SUM(AT$5:AT94)</f>
        <v>946.27439936474923</v>
      </c>
      <c r="BM94" s="31">
        <f>SUM(AU$5:AU94)</f>
        <v>1112.8936350179583</v>
      </c>
      <c r="BN94" s="31">
        <f>SUM(AV$5:AV94)</f>
        <v>1078.1579698345183</v>
      </c>
      <c r="BO94" s="31">
        <f>SUM(AW$5:AW94)</f>
        <v>704.96766450982125</v>
      </c>
      <c r="BP94" s="31">
        <f>SUM(AX$5:AX94)</f>
        <v>333.4630769439176</v>
      </c>
      <c r="BQ94" s="31">
        <f>SUM(AY$5:AY94)</f>
        <v>8266.5552087352189</v>
      </c>
      <c r="BR94" s="31">
        <f>SUM(AZ$5:AZ94)</f>
        <v>10710.99690593937</v>
      </c>
      <c r="BS94" s="31">
        <f>SUM(BA$5:BA94)</f>
        <v>12184.726107229484</v>
      </c>
      <c r="BT94" s="31">
        <f>SUM(BB$5:BB94)</f>
        <v>10411.985062907417</v>
      </c>
      <c r="BU94" s="31">
        <f>SUM(BC$5:BC94)</f>
        <v>5677.7718926973066</v>
      </c>
      <c r="BV94" s="31">
        <f>SUM(BD$5:BD94)</f>
        <v>0</v>
      </c>
      <c r="BW94" s="31">
        <f>SUM(BE$5:BE94)</f>
        <v>0</v>
      </c>
      <c r="BX94" s="31">
        <f>SUM(BF$5:BF94)</f>
        <v>0</v>
      </c>
      <c r="BY94" s="31">
        <f>SUM(BG$5:BG94)</f>
        <v>0</v>
      </c>
      <c r="BZ94" s="31">
        <f>SUM(BH$5:BH94)</f>
        <v>0</v>
      </c>
      <c r="CC94" s="41">
        <v>90</v>
      </c>
      <c r="CD94" s="41">
        <f t="shared" si="39"/>
        <v>331.91178027714636</v>
      </c>
      <c r="CE94" s="41">
        <f t="shared" si="40"/>
        <v>424.96510528368606</v>
      </c>
      <c r="CF94" s="41">
        <f t="shared" si="41"/>
        <v>474.98252239558525</v>
      </c>
      <c r="CG94" s="41">
        <f t="shared" si="42"/>
        <v>396.14302210470157</v>
      </c>
      <c r="CH94" s="41">
        <f t="shared" si="43"/>
        <v>213.727854706882</v>
      </c>
      <c r="CI94" s="41">
        <f t="shared" si="44"/>
        <v>128.72970012785203</v>
      </c>
      <c r="CJ94" s="41">
        <f t="shared" si="45"/>
        <v>166.22942176418033</v>
      </c>
      <c r="CK94" s="41">
        <f t="shared" si="46"/>
        <v>188.16168145761486</v>
      </c>
      <c r="CL94" s="41">
        <f t="shared" si="47"/>
        <v>159.70461426616038</v>
      </c>
      <c r="CM94" s="41">
        <f t="shared" si="48"/>
        <v>86.833893775179178</v>
      </c>
      <c r="CN94" s="41">
        <f t="shared" si="49"/>
        <v>0</v>
      </c>
      <c r="CO94" s="41">
        <f t="shared" si="50"/>
        <v>0</v>
      </c>
      <c r="CP94" s="41">
        <f t="shared" si="51"/>
        <v>0</v>
      </c>
      <c r="CQ94" s="41">
        <f t="shared" si="52"/>
        <v>0</v>
      </c>
      <c r="CR94" s="41">
        <f t="shared" si="53"/>
        <v>0</v>
      </c>
    </row>
    <row r="95" spans="23:96" x14ac:dyDescent="0.15">
      <c r="W95" s="117">
        <v>1.05</v>
      </c>
      <c r="X95" s="31">
        <v>91</v>
      </c>
      <c r="Y95" s="113">
        <f t="shared" si="54"/>
        <v>33.906753320633221</v>
      </c>
      <c r="Z95" s="42">
        <f t="shared" si="37"/>
        <v>0.12</v>
      </c>
      <c r="AA95" s="113">
        <f>$Y95*$Z95*其他调用!V94</f>
        <v>6877.9520472604827</v>
      </c>
      <c r="AB95" s="113">
        <f>$Y95*$Z95*其他调用!W94</f>
        <v>8529.6073379995014</v>
      </c>
      <c r="AC95" s="113">
        <f>$Y95*$Z95*其他调用!X94</f>
        <v>9135.7650362932545</v>
      </c>
      <c r="AD95" s="113">
        <f>$Y95*$Z95*其他调用!Y94</f>
        <v>7429.3253584814529</v>
      </c>
      <c r="AE95" s="113">
        <f>$Y95*$Z95*其他调用!Z94</f>
        <v>3944.0168769560182</v>
      </c>
      <c r="AH95" s="31">
        <v>91</v>
      </c>
      <c r="AI95" s="31">
        <f>SUM(AA$5:AA95)</f>
        <v>61741.293448430988</v>
      </c>
      <c r="AJ95" s="31">
        <f>SUM(AB$5:AB95)</f>
        <v>76649.466159292497</v>
      </c>
      <c r="AK95" s="31">
        <f>SUM(AC$5:AC95)</f>
        <v>83354.923561657633</v>
      </c>
      <c r="AL95" s="31">
        <f>SUM(AD$5:AD95)</f>
        <v>67458.719474559766</v>
      </c>
      <c r="AM95" s="31">
        <f>SUM(AE$5:AE95)</f>
        <v>36264.453788041028</v>
      </c>
      <c r="AR95" s="31">
        <v>91</v>
      </c>
      <c r="AS95" s="42">
        <f t="shared" si="38"/>
        <v>8.0000000000000016E-2</v>
      </c>
      <c r="AT95" s="52">
        <f>求节点(E$21:E$27,$M$21:$M$27,$AR95)*$AS95*其他调用!V94</f>
        <v>0</v>
      </c>
      <c r="AU95" s="52">
        <f>求节点(F$21:F$27,$M$21:$M$27,$AR95)*$AS95*其他调用!W94</f>
        <v>0</v>
      </c>
      <c r="AV95" s="52">
        <f>求节点(G$21:G$27,$M$21:$M$27,$AR95)*$AS95*其他调用!X94</f>
        <v>0</v>
      </c>
      <c r="AW95" s="52">
        <f>求节点(H$21:H$27,$M$21:$M$27,$AR95)*$AS95*其他调用!Y94</f>
        <v>0</v>
      </c>
      <c r="AX95" s="52">
        <f>求节点(I$21:I$27,$M$21:$M$27,$AR95)*$AS95*其他调用!Z94</f>
        <v>0</v>
      </c>
      <c r="AY95" s="52">
        <f>求节点(E$21:E$27,$N$21:$N$27,$AR95)*$AS95*其他调用!V94</f>
        <v>811.39612303429294</v>
      </c>
      <c r="AZ95" s="52">
        <f>求节点(F$21:F$27,$N$21:$N$27,$AR95)*$AS95*其他调用!W94</f>
        <v>1006.2428870544788</v>
      </c>
      <c r="BA95" s="52">
        <f>求节点(G$21:G$27,$N$21:$N$27,$AR95)*$AS95*其他调用!X94</f>
        <v>1077.7516738217321</v>
      </c>
      <c r="BB95" s="52">
        <f>求节点(H$21:H$27,$N$21:$N$27,$AR95)*$AS95*其他调用!Y94</f>
        <v>876.44196284172085</v>
      </c>
      <c r="BC95" s="52">
        <f>求节点(I$21:I$27,$N$21:$N$27,$AR95)*$AS95*其他调用!Z94</f>
        <v>465.27803351268938</v>
      </c>
      <c r="BD95" s="52">
        <f>求节点(E$21:E$27,$O$21:$O$27,$AR95)*$AS95*其他调用!V94</f>
        <v>0</v>
      </c>
      <c r="BE95" s="52">
        <f>求节点(F$21:F$27,$O$21:$O$27,$AR95)*$AS95*其他调用!W94</f>
        <v>0</v>
      </c>
      <c r="BF95" s="52">
        <f>求节点(G$21:G$27,$O$21:$O$27,$AR95)*$AS95*其他调用!X94</f>
        <v>0</v>
      </c>
      <c r="BG95" s="52">
        <f>求节点(H$21:H$27,$O$21:$O$27,$AR95)*$AS95*其他调用!Y94</f>
        <v>0</v>
      </c>
      <c r="BH95" s="52">
        <f>求节点(I$21:I$27,$O$21:$O$27,$AR95)*$AS95*其他调用!Z94</f>
        <v>0</v>
      </c>
      <c r="BK95" s="31">
        <v>91</v>
      </c>
      <c r="BL95" s="31">
        <f>SUM(AT$5:AT95)</f>
        <v>946.27439936474923</v>
      </c>
      <c r="BM95" s="31">
        <f>SUM(AU$5:AU95)</f>
        <v>1112.8936350179583</v>
      </c>
      <c r="BN95" s="31">
        <f>SUM(AV$5:AV95)</f>
        <v>1078.1579698345183</v>
      </c>
      <c r="BO95" s="31">
        <f>SUM(AW$5:AW95)</f>
        <v>704.96766450982125</v>
      </c>
      <c r="BP95" s="31">
        <f>SUM(AX$5:AX95)</f>
        <v>333.4630769439176</v>
      </c>
      <c r="BQ95" s="31">
        <f>SUM(AY$5:AY95)</f>
        <v>9077.9513317695128</v>
      </c>
      <c r="BR95" s="31">
        <f>SUM(AZ$5:AZ95)</f>
        <v>11717.239792993849</v>
      </c>
      <c r="BS95" s="31">
        <f>SUM(BA$5:BA95)</f>
        <v>13262.477781051217</v>
      </c>
      <c r="BT95" s="31">
        <f>SUM(BB$5:BB95)</f>
        <v>11288.427025749137</v>
      </c>
      <c r="BU95" s="31">
        <f>SUM(BC$5:BC95)</f>
        <v>6143.0499262099956</v>
      </c>
      <c r="BV95" s="31">
        <f>SUM(BD$5:BD95)</f>
        <v>0</v>
      </c>
      <c r="BW95" s="31">
        <f>SUM(BE$5:BE95)</f>
        <v>0</v>
      </c>
      <c r="BX95" s="31">
        <f>SUM(BF$5:BF95)</f>
        <v>0</v>
      </c>
      <c r="BY95" s="31">
        <f>SUM(BG$5:BG95)</f>
        <v>0</v>
      </c>
      <c r="BZ95" s="31">
        <f>SUM(BH$5:BH95)</f>
        <v>0</v>
      </c>
      <c r="CC95" s="41">
        <v>91</v>
      </c>
      <c r="CD95" s="41">
        <f t="shared" si="39"/>
        <v>360.31064458334663</v>
      </c>
      <c r="CE95" s="41">
        <f t="shared" si="40"/>
        <v>460.18360633059285</v>
      </c>
      <c r="CF95" s="41">
        <f t="shared" si="41"/>
        <v>512.70383097934587</v>
      </c>
      <c r="CG95" s="41">
        <f t="shared" si="42"/>
        <v>426.81849080416168</v>
      </c>
      <c r="CH95" s="41">
        <f t="shared" si="43"/>
        <v>230.0125858798261</v>
      </c>
      <c r="CI95" s="41">
        <f t="shared" si="44"/>
        <v>140.90064197336642</v>
      </c>
      <c r="CJ95" s="41">
        <f t="shared" si="45"/>
        <v>181.32306506999754</v>
      </c>
      <c r="CK95" s="41">
        <f t="shared" si="46"/>
        <v>204.32795656494085</v>
      </c>
      <c r="CL95" s="41">
        <f t="shared" si="47"/>
        <v>172.85124370878617</v>
      </c>
      <c r="CM95" s="41">
        <f t="shared" si="48"/>
        <v>93.813064277869515</v>
      </c>
      <c r="CN95" s="41">
        <f t="shared" si="49"/>
        <v>0</v>
      </c>
      <c r="CO95" s="41">
        <f t="shared" si="50"/>
        <v>0</v>
      </c>
      <c r="CP95" s="41">
        <f t="shared" si="51"/>
        <v>0</v>
      </c>
      <c r="CQ95" s="41">
        <f t="shared" si="52"/>
        <v>0</v>
      </c>
      <c r="CR95" s="41">
        <f t="shared" si="53"/>
        <v>0</v>
      </c>
    </row>
    <row r="96" spans="23:96" x14ac:dyDescent="0.15">
      <c r="W96" s="117">
        <v>1.05</v>
      </c>
      <c r="X96" s="31">
        <v>92</v>
      </c>
      <c r="Y96" s="113">
        <f t="shared" si="54"/>
        <v>35.602090986664884</v>
      </c>
      <c r="Z96" s="42">
        <f t="shared" si="37"/>
        <v>0.12</v>
      </c>
      <c r="AA96" s="113">
        <f>$Y96*$Z96*其他调用!V95</f>
        <v>7740.1868048933984</v>
      </c>
      <c r="AB96" s="113">
        <f>$Y96*$Z96*其他调用!W95</f>
        <v>9409.5116676665202</v>
      </c>
      <c r="AC96" s="113">
        <f>$Y96*$Z96*其他调用!X95</f>
        <v>10373.699410407658</v>
      </c>
      <c r="AD96" s="113">
        <f>$Y96*$Z96*其他调用!Y95</f>
        <v>8341.5822936668465</v>
      </c>
      <c r="AE96" s="113">
        <f>$Y96*$Z96*其他调用!Z95</f>
        <v>4550.2660514597919</v>
      </c>
      <c r="AH96" s="31">
        <v>92</v>
      </c>
      <c r="AI96" s="31">
        <f>SUM(AA$5:AA96)</f>
        <v>69481.480253324393</v>
      </c>
      <c r="AJ96" s="31">
        <f>SUM(AB$5:AB96)</f>
        <v>86058.977826959017</v>
      </c>
      <c r="AK96" s="31">
        <f>SUM(AC$5:AC96)</f>
        <v>93728.622972065292</v>
      </c>
      <c r="AL96" s="31">
        <f>SUM(AD$5:AD96)</f>
        <v>75800.301768226607</v>
      </c>
      <c r="AM96" s="31">
        <f>SUM(AE$5:AE96)</f>
        <v>40814.719839500816</v>
      </c>
      <c r="AR96" s="31">
        <v>92</v>
      </c>
      <c r="AS96" s="42">
        <f t="shared" si="38"/>
        <v>8.0000000000000016E-2</v>
      </c>
      <c r="AT96" s="52">
        <f>求节点(E$21:E$27,$M$21:$M$27,$AR96)*$AS96*其他调用!V95</f>
        <v>0</v>
      </c>
      <c r="AU96" s="52">
        <f>求节点(F$21:F$27,$M$21:$M$27,$AR96)*$AS96*其他调用!W95</f>
        <v>0</v>
      </c>
      <c r="AV96" s="52">
        <f>求节点(G$21:G$27,$M$21:$M$27,$AR96)*$AS96*其他调用!X95</f>
        <v>0</v>
      </c>
      <c r="AW96" s="52">
        <f>求节点(H$21:H$27,$M$21:$M$27,$AR96)*$AS96*其他调用!Y95</f>
        <v>0</v>
      </c>
      <c r="AX96" s="52">
        <f>求节点(I$21:I$27,$M$21:$M$27,$AR96)*$AS96*其他调用!Z95</f>
        <v>0</v>
      </c>
      <c r="AY96" s="52">
        <f>求节点(E$21:E$27,$N$21:$N$27,$AR96)*$AS96*其他调用!V95</f>
        <v>869.63283227297666</v>
      </c>
      <c r="AZ96" s="52">
        <f>求节点(F$21:F$27,$N$21:$N$27,$AR96)*$AS96*其他调用!W95</f>
        <v>1057.1864075276869</v>
      </c>
      <c r="BA96" s="52">
        <f>求节点(G$21:G$27,$N$21:$N$27,$AR96)*$AS96*其他调用!X95</f>
        <v>1165.5157461726878</v>
      </c>
      <c r="BB96" s="52">
        <f>求节点(H$21:H$27,$N$21:$N$27,$AR96)*$AS96*其他调用!Y95</f>
        <v>937.20139042296933</v>
      </c>
      <c r="BC96" s="52">
        <f>求节点(I$21:I$27,$N$21:$N$27,$AR96)*$AS96*其他调用!Z95</f>
        <v>511.23582074593764</v>
      </c>
      <c r="BD96" s="52">
        <f>求节点(E$21:E$27,$O$21:$O$27,$AR96)*$AS96*其他调用!V95</f>
        <v>0</v>
      </c>
      <c r="BE96" s="52">
        <f>求节点(F$21:F$27,$O$21:$O$27,$AR96)*$AS96*其他调用!W95</f>
        <v>0</v>
      </c>
      <c r="BF96" s="52">
        <f>求节点(G$21:G$27,$O$21:$O$27,$AR96)*$AS96*其他调用!X95</f>
        <v>0</v>
      </c>
      <c r="BG96" s="52">
        <f>求节点(H$21:H$27,$O$21:$O$27,$AR96)*$AS96*其他调用!Y95</f>
        <v>0</v>
      </c>
      <c r="BH96" s="52">
        <f>求节点(I$21:I$27,$O$21:$O$27,$AR96)*$AS96*其他调用!Z95</f>
        <v>0</v>
      </c>
      <c r="BK96" s="31">
        <v>92</v>
      </c>
      <c r="BL96" s="31">
        <f>SUM(AT$5:AT96)</f>
        <v>946.27439936474923</v>
      </c>
      <c r="BM96" s="31">
        <f>SUM(AU$5:AU96)</f>
        <v>1112.8936350179583</v>
      </c>
      <c r="BN96" s="31">
        <f>SUM(AV$5:AV96)</f>
        <v>1078.1579698345183</v>
      </c>
      <c r="BO96" s="31">
        <f>SUM(AW$5:AW96)</f>
        <v>704.96766450982125</v>
      </c>
      <c r="BP96" s="31">
        <f>SUM(AX$5:AX96)</f>
        <v>333.4630769439176</v>
      </c>
      <c r="BQ96" s="31">
        <f>SUM(AY$5:AY96)</f>
        <v>9947.5841640424896</v>
      </c>
      <c r="BR96" s="31">
        <f>SUM(AZ$5:AZ96)</f>
        <v>12774.426200521535</v>
      </c>
      <c r="BS96" s="31">
        <f>SUM(BA$5:BA96)</f>
        <v>14427.993527223905</v>
      </c>
      <c r="BT96" s="31">
        <f>SUM(BB$5:BB96)</f>
        <v>12225.628416172107</v>
      </c>
      <c r="BU96" s="31">
        <f>SUM(BC$5:BC96)</f>
        <v>6654.2857469559331</v>
      </c>
      <c r="BV96" s="31">
        <f>SUM(BD$5:BD96)</f>
        <v>0</v>
      </c>
      <c r="BW96" s="31">
        <f>SUM(BE$5:BE96)</f>
        <v>0</v>
      </c>
      <c r="BX96" s="31">
        <f>SUM(BF$5:BF96)</f>
        <v>0</v>
      </c>
      <c r="BY96" s="31">
        <f>SUM(BG$5:BG96)</f>
        <v>0</v>
      </c>
      <c r="BZ96" s="31">
        <f>SUM(BH$5:BH96)</f>
        <v>0</v>
      </c>
      <c r="CC96" s="41">
        <v>92</v>
      </c>
      <c r="CD96" s="41">
        <f t="shared" si="39"/>
        <v>390.74779371290083</v>
      </c>
      <c r="CE96" s="41">
        <f t="shared" si="40"/>
        <v>497.18513059406177</v>
      </c>
      <c r="CF96" s="41">
        <f t="shared" si="41"/>
        <v>553.49688209538988</v>
      </c>
      <c r="CG96" s="41">
        <f t="shared" si="42"/>
        <v>459.62053946896566</v>
      </c>
      <c r="CH96" s="41">
        <f t="shared" si="43"/>
        <v>247.90583960593389</v>
      </c>
      <c r="CI96" s="41">
        <f t="shared" si="44"/>
        <v>153.94513445746108</v>
      </c>
      <c r="CJ96" s="41">
        <f t="shared" si="45"/>
        <v>197.18086118291279</v>
      </c>
      <c r="CK96" s="41">
        <f t="shared" si="46"/>
        <v>221.81069275753117</v>
      </c>
      <c r="CL96" s="41">
        <f t="shared" si="47"/>
        <v>186.90926456513071</v>
      </c>
      <c r="CM96" s="41">
        <f t="shared" si="48"/>
        <v>101.48160158905857</v>
      </c>
      <c r="CN96" s="41">
        <f t="shared" si="49"/>
        <v>0</v>
      </c>
      <c r="CO96" s="41">
        <f t="shared" si="50"/>
        <v>0</v>
      </c>
      <c r="CP96" s="41">
        <f t="shared" si="51"/>
        <v>0</v>
      </c>
      <c r="CQ96" s="41">
        <f t="shared" si="52"/>
        <v>0</v>
      </c>
      <c r="CR96" s="41">
        <f t="shared" si="53"/>
        <v>0</v>
      </c>
    </row>
    <row r="97" spans="23:96" x14ac:dyDescent="0.15">
      <c r="W97" s="117">
        <v>1.05</v>
      </c>
      <c r="X97" s="31">
        <v>93</v>
      </c>
      <c r="Y97" s="113">
        <f t="shared" si="54"/>
        <v>37.382195535998129</v>
      </c>
      <c r="Z97" s="42">
        <f t="shared" si="37"/>
        <v>0.12</v>
      </c>
      <c r="AA97" s="113">
        <f>$Y97*$Z97*其他调用!V96</f>
        <v>8710.5131531864536</v>
      </c>
      <c r="AB97" s="113">
        <f>$Y97*$Z97*其他调用!W96</f>
        <v>10778.112099476264</v>
      </c>
      <c r="AC97" s="113">
        <f>$Y97*$Z97*其他调用!X96</f>
        <v>11658.633653619931</v>
      </c>
      <c r="AD97" s="113">
        <f>$Y97*$Z97*其他调用!Y96</f>
        <v>9598.4383939120489</v>
      </c>
      <c r="AE97" s="113">
        <f>$Y97*$Z97*其他调用!Z96</f>
        <v>4820.1430771350788</v>
      </c>
      <c r="AH97" s="31">
        <v>93</v>
      </c>
      <c r="AI97" s="31">
        <f>SUM(AA$5:AA97)</f>
        <v>78191.993406510854</v>
      </c>
      <c r="AJ97" s="31">
        <f>SUM(AB$5:AB97)</f>
        <v>96837.089926435277</v>
      </c>
      <c r="AK97" s="31">
        <f>SUM(AC$5:AC97)</f>
        <v>105387.25662568523</v>
      </c>
      <c r="AL97" s="31">
        <f>SUM(AD$5:AD97)</f>
        <v>85398.740162138653</v>
      </c>
      <c r="AM97" s="31">
        <f>SUM(AE$5:AE97)</f>
        <v>45634.862916635895</v>
      </c>
      <c r="AR97" s="31">
        <v>93</v>
      </c>
      <c r="AS97" s="42">
        <f t="shared" si="38"/>
        <v>8.0000000000000016E-2</v>
      </c>
      <c r="AT97" s="52">
        <f>求节点(E$21:E$27,$M$21:$M$27,$AR97)*$AS97*其他调用!V96</f>
        <v>0</v>
      </c>
      <c r="AU97" s="52">
        <f>求节点(F$21:F$27,$M$21:$M$27,$AR97)*$AS97*其他调用!W96</f>
        <v>0</v>
      </c>
      <c r="AV97" s="52">
        <f>求节点(G$21:G$27,$M$21:$M$27,$AR97)*$AS97*其他调用!X96</f>
        <v>0</v>
      </c>
      <c r="AW97" s="52">
        <f>求节点(H$21:H$27,$M$21:$M$27,$AR97)*$AS97*其他调用!Y96</f>
        <v>0</v>
      </c>
      <c r="AX97" s="52">
        <f>求节点(I$21:I$27,$M$21:$M$27,$AR97)*$AS97*其他调用!Z96</f>
        <v>0</v>
      </c>
      <c r="AY97" s="52">
        <f>求节点(E$21:E$27,$N$21:$N$27,$AR97)*$AS97*其他调用!V96</f>
        <v>932.04939178047425</v>
      </c>
      <c r="AZ97" s="52">
        <f>求节点(F$21:F$27,$N$21:$N$27,$AR97)*$AS97*其他调用!W96</f>
        <v>1153.2882908492852</v>
      </c>
      <c r="BA97" s="52">
        <f>求节点(G$21:G$27,$N$21:$N$27,$AR97)*$AS97*其他调用!X96</f>
        <v>1247.5065722015131</v>
      </c>
      <c r="BB97" s="52">
        <f>求节点(H$21:H$27,$N$21:$N$27,$AR97)*$AS97*其他调用!Y96</f>
        <v>1027.059888407998</v>
      </c>
      <c r="BC97" s="52">
        <f>求节点(I$21:I$27,$N$21:$N$27,$AR97)*$AS97*其他调用!Z96</f>
        <v>515.76885819811207</v>
      </c>
      <c r="BD97" s="52">
        <f>求节点(E$21:E$27,$O$21:$O$27,$AR97)*$AS97*其他调用!V96</f>
        <v>0</v>
      </c>
      <c r="BE97" s="52">
        <f>求节点(F$21:F$27,$O$21:$O$27,$AR97)*$AS97*其他调用!W96</f>
        <v>0</v>
      </c>
      <c r="BF97" s="52">
        <f>求节点(G$21:G$27,$O$21:$O$27,$AR97)*$AS97*其他调用!X96</f>
        <v>0</v>
      </c>
      <c r="BG97" s="52">
        <f>求节点(H$21:H$27,$O$21:$O$27,$AR97)*$AS97*其他调用!Y96</f>
        <v>0</v>
      </c>
      <c r="BH97" s="52">
        <f>求节点(I$21:I$27,$O$21:$O$27,$AR97)*$AS97*其他调用!Z96</f>
        <v>0</v>
      </c>
      <c r="BK97" s="31">
        <v>93</v>
      </c>
      <c r="BL97" s="31">
        <f>SUM(AT$5:AT97)</f>
        <v>946.27439936474923</v>
      </c>
      <c r="BM97" s="31">
        <f>SUM(AU$5:AU97)</f>
        <v>1112.8936350179583</v>
      </c>
      <c r="BN97" s="31">
        <f>SUM(AV$5:AV97)</f>
        <v>1078.1579698345183</v>
      </c>
      <c r="BO97" s="31">
        <f>SUM(AW$5:AW97)</f>
        <v>704.96766450982125</v>
      </c>
      <c r="BP97" s="31">
        <f>SUM(AX$5:AX97)</f>
        <v>333.4630769439176</v>
      </c>
      <c r="BQ97" s="31">
        <f>SUM(AY$5:AY97)</f>
        <v>10879.633555822964</v>
      </c>
      <c r="BR97" s="31">
        <f>SUM(AZ$5:AZ97)</f>
        <v>13927.71449137082</v>
      </c>
      <c r="BS97" s="31">
        <f>SUM(BA$5:BA97)</f>
        <v>15675.500099425419</v>
      </c>
      <c r="BT97" s="31">
        <f>SUM(BB$5:BB97)</f>
        <v>13252.688304580104</v>
      </c>
      <c r="BU97" s="31">
        <f>SUM(BC$5:BC97)</f>
        <v>7170.054605154045</v>
      </c>
      <c r="BV97" s="31">
        <f>SUM(BD$5:BD97)</f>
        <v>0</v>
      </c>
      <c r="BW97" s="31">
        <f>SUM(BE$5:BE97)</f>
        <v>0</v>
      </c>
      <c r="BX97" s="31">
        <f>SUM(BF$5:BF97)</f>
        <v>0</v>
      </c>
      <c r="BY97" s="31">
        <f>SUM(BG$5:BG97)</f>
        <v>0</v>
      </c>
      <c r="BZ97" s="31">
        <f>SUM(BH$5:BH97)</f>
        <v>0</v>
      </c>
      <c r="CC97" s="41">
        <v>93</v>
      </c>
      <c r="CD97" s="41">
        <f t="shared" si="39"/>
        <v>423.36952242521738</v>
      </c>
      <c r="CE97" s="41">
        <f t="shared" si="40"/>
        <v>537.5502207737868</v>
      </c>
      <c r="CF97" s="41">
        <f t="shared" si="41"/>
        <v>597.15961212244292</v>
      </c>
      <c r="CG97" s="41">
        <f t="shared" si="42"/>
        <v>495.56763556324552</v>
      </c>
      <c r="CH97" s="41">
        <f t="shared" si="43"/>
        <v>265.95774964286784</v>
      </c>
      <c r="CI97" s="41">
        <f t="shared" si="44"/>
        <v>167.92587533416821</v>
      </c>
      <c r="CJ97" s="41">
        <f t="shared" si="45"/>
        <v>214.48018554565206</v>
      </c>
      <c r="CK97" s="41">
        <f t="shared" si="46"/>
        <v>240.52329134055384</v>
      </c>
      <c r="CL97" s="41">
        <f t="shared" si="47"/>
        <v>202.31516289125065</v>
      </c>
      <c r="CM97" s="41">
        <f t="shared" si="48"/>
        <v>109.21813446203025</v>
      </c>
      <c r="CN97" s="41">
        <f t="shared" si="49"/>
        <v>0</v>
      </c>
      <c r="CO97" s="41">
        <f t="shared" si="50"/>
        <v>0</v>
      </c>
      <c r="CP97" s="41">
        <f t="shared" si="51"/>
        <v>0</v>
      </c>
      <c r="CQ97" s="41">
        <f t="shared" si="52"/>
        <v>0</v>
      </c>
      <c r="CR97" s="41">
        <f t="shared" si="53"/>
        <v>0</v>
      </c>
    </row>
    <row r="98" spans="23:96" x14ac:dyDescent="0.15">
      <c r="W98" s="117">
        <v>1.05</v>
      </c>
      <c r="X98" s="31">
        <v>94</v>
      </c>
      <c r="Y98" s="113">
        <f t="shared" si="54"/>
        <v>39.251305312798038</v>
      </c>
      <c r="Z98" s="42">
        <f t="shared" si="37"/>
        <v>0.12</v>
      </c>
      <c r="AA98" s="113">
        <f>$Y98*$Z98*其他调用!V97</f>
        <v>9802.4816847913935</v>
      </c>
      <c r="AB98" s="113">
        <f>$Y98*$Z98*其他调用!W97</f>
        <v>12123.559179492437</v>
      </c>
      <c r="AC98" s="113">
        <f>$Y98*$Z98*其他调用!X97</f>
        <v>13131.61898052514</v>
      </c>
      <c r="AD98" s="113">
        <f>$Y98*$Z98*其他调用!Y97</f>
        <v>10009.666890667702</v>
      </c>
      <c r="AE98" s="113">
        <f>$Y98*$Z98*其他调用!Z97</f>
        <v>5391.4307239444524</v>
      </c>
      <c r="AH98" s="31">
        <v>94</v>
      </c>
      <c r="AI98" s="31">
        <f>SUM(AA$5:AA98)</f>
        <v>87994.475091302244</v>
      </c>
      <c r="AJ98" s="31">
        <f>SUM(AB$5:AB98)</f>
        <v>108960.64910592772</v>
      </c>
      <c r="AK98" s="31">
        <f>SUM(AC$5:AC98)</f>
        <v>118518.87560621036</v>
      </c>
      <c r="AL98" s="31">
        <f>SUM(AD$5:AD98)</f>
        <v>95408.40705280636</v>
      </c>
      <c r="AM98" s="31">
        <f>SUM(AE$5:AE98)</f>
        <v>51026.293640580348</v>
      </c>
      <c r="AR98" s="31">
        <v>94</v>
      </c>
      <c r="AS98" s="42">
        <f t="shared" si="38"/>
        <v>8.0000000000000016E-2</v>
      </c>
      <c r="AT98" s="52">
        <f>求节点(E$21:E$27,$M$21:$M$27,$AR98)*$AS98*其他调用!V97</f>
        <v>0</v>
      </c>
      <c r="AU98" s="52">
        <f>求节点(F$21:F$27,$M$21:$M$27,$AR98)*$AS98*其他调用!W97</f>
        <v>0</v>
      </c>
      <c r="AV98" s="52">
        <f>求节点(G$21:G$27,$M$21:$M$27,$AR98)*$AS98*其他调用!X97</f>
        <v>0</v>
      </c>
      <c r="AW98" s="52">
        <f>求节点(H$21:H$27,$M$21:$M$27,$AR98)*$AS98*其他调用!Y97</f>
        <v>0</v>
      </c>
      <c r="AX98" s="52">
        <f>求节点(I$21:I$27,$M$21:$M$27,$AR98)*$AS98*其他调用!Z97</f>
        <v>0</v>
      </c>
      <c r="AY98" s="52">
        <f>求节点(E$21:E$27,$N$21:$N$27,$AR98)*$AS98*其他调用!V97</f>
        <v>998.94580388339432</v>
      </c>
      <c r="AZ98" s="52">
        <f>求节点(F$21:F$27,$N$21:$N$27,$AR98)*$AS98*其他调用!W97</f>
        <v>1235.4808669804422</v>
      </c>
      <c r="BA98" s="52">
        <f>求节点(G$21:G$27,$N$21:$N$27,$AR98)*$AS98*其他调用!X97</f>
        <v>1338.2096596154247</v>
      </c>
      <c r="BB98" s="52">
        <f>求节点(H$21:H$27,$N$21:$N$27,$AR98)*$AS98*其他调用!Y97</f>
        <v>1020.0595176032542</v>
      </c>
      <c r="BC98" s="52">
        <f>求节点(I$21:I$27,$N$21:$N$27,$AR98)*$AS98*其他调用!Z97</f>
        <v>549.42689737113608</v>
      </c>
      <c r="BD98" s="52">
        <f>求节点(E$21:E$27,$O$21:$O$27,$AR98)*$AS98*其他调用!V97</f>
        <v>0</v>
      </c>
      <c r="BE98" s="52">
        <f>求节点(F$21:F$27,$O$21:$O$27,$AR98)*$AS98*其他调用!W97</f>
        <v>0</v>
      </c>
      <c r="BF98" s="52">
        <f>求节点(G$21:G$27,$O$21:$O$27,$AR98)*$AS98*其他调用!X97</f>
        <v>0</v>
      </c>
      <c r="BG98" s="52">
        <f>求节点(H$21:H$27,$O$21:$O$27,$AR98)*$AS98*其他调用!Y97</f>
        <v>0</v>
      </c>
      <c r="BH98" s="52">
        <f>求节点(I$21:I$27,$O$21:$O$27,$AR98)*$AS98*其他调用!Z97</f>
        <v>0</v>
      </c>
      <c r="BK98" s="31">
        <v>94</v>
      </c>
      <c r="BL98" s="31">
        <f>SUM(AT$5:AT98)</f>
        <v>946.27439936474923</v>
      </c>
      <c r="BM98" s="31">
        <f>SUM(AU$5:AU98)</f>
        <v>1112.8936350179583</v>
      </c>
      <c r="BN98" s="31">
        <f>SUM(AV$5:AV98)</f>
        <v>1078.1579698345183</v>
      </c>
      <c r="BO98" s="31">
        <f>SUM(AW$5:AW98)</f>
        <v>704.96766450982125</v>
      </c>
      <c r="BP98" s="31">
        <f>SUM(AX$5:AX98)</f>
        <v>333.4630769439176</v>
      </c>
      <c r="BQ98" s="31">
        <f>SUM(AY$5:AY98)</f>
        <v>11878.579359706358</v>
      </c>
      <c r="BR98" s="31">
        <f>SUM(AZ$5:AZ98)</f>
        <v>15163.195358351262</v>
      </c>
      <c r="BS98" s="31">
        <f>SUM(BA$5:BA98)</f>
        <v>17013.709759040845</v>
      </c>
      <c r="BT98" s="31">
        <f>SUM(BB$5:BB98)</f>
        <v>14272.747822183359</v>
      </c>
      <c r="BU98" s="31">
        <f>SUM(BC$5:BC98)</f>
        <v>7719.481502525181</v>
      </c>
      <c r="BV98" s="31">
        <f>SUM(BD$5:BD98)</f>
        <v>0</v>
      </c>
      <c r="BW98" s="31">
        <f>SUM(BE$5:BE98)</f>
        <v>0</v>
      </c>
      <c r="BX98" s="31">
        <f>SUM(BF$5:BF98)</f>
        <v>0</v>
      </c>
      <c r="BY98" s="31">
        <f>SUM(BG$5:BG98)</f>
        <v>0</v>
      </c>
      <c r="BZ98" s="31">
        <f>SUM(BH$5:BH98)</f>
        <v>0</v>
      </c>
      <c r="CC98" s="41">
        <v>94</v>
      </c>
      <c r="CD98" s="41">
        <f t="shared" si="39"/>
        <v>458.33262556113624</v>
      </c>
      <c r="CE98" s="41">
        <f t="shared" si="40"/>
        <v>580.79205111810222</v>
      </c>
      <c r="CF98" s="41">
        <f t="shared" si="41"/>
        <v>643.99695020898275</v>
      </c>
      <c r="CG98" s="41">
        <f t="shared" si="42"/>
        <v>531.26971867935947</v>
      </c>
      <c r="CH98" s="41">
        <f t="shared" si="43"/>
        <v>285.18769105085755</v>
      </c>
      <c r="CI98" s="41">
        <f t="shared" si="44"/>
        <v>182.91006239241909</v>
      </c>
      <c r="CJ98" s="41">
        <f t="shared" si="45"/>
        <v>233.01239855035874</v>
      </c>
      <c r="CK98" s="41">
        <f t="shared" si="46"/>
        <v>260.5964362347853</v>
      </c>
      <c r="CL98" s="41">
        <f t="shared" si="47"/>
        <v>217.61605565529948</v>
      </c>
      <c r="CM98" s="41">
        <f t="shared" si="48"/>
        <v>117.45953792259729</v>
      </c>
      <c r="CN98" s="41">
        <f t="shared" si="49"/>
        <v>0</v>
      </c>
      <c r="CO98" s="41">
        <f t="shared" si="50"/>
        <v>0</v>
      </c>
      <c r="CP98" s="41">
        <f t="shared" si="51"/>
        <v>0</v>
      </c>
      <c r="CQ98" s="41">
        <f t="shared" si="52"/>
        <v>0</v>
      </c>
      <c r="CR98" s="41">
        <f t="shared" si="53"/>
        <v>0</v>
      </c>
    </row>
    <row r="99" spans="23:96" x14ac:dyDescent="0.15">
      <c r="W99" s="117">
        <v>1.05</v>
      </c>
      <c r="X99" s="31">
        <v>95</v>
      </c>
      <c r="Y99" s="113">
        <f t="shared" si="54"/>
        <v>41.213870578437941</v>
      </c>
      <c r="Z99" s="42">
        <f t="shared" si="37"/>
        <v>0.12</v>
      </c>
      <c r="AA99" s="113">
        <f>$Y99*$Z99*其他调用!V98</f>
        <v>11031.341723595351</v>
      </c>
      <c r="AB99" s="113">
        <f>$Y99*$Z99*其他调用!W98</f>
        <v>13876.556542542699</v>
      </c>
      <c r="AC99" s="113">
        <f>$Y99*$Z99*其他调用!X98</f>
        <v>14369.832747873957</v>
      </c>
      <c r="AD99" s="113">
        <f>$Y99*$Z99*其他调用!Y98</f>
        <v>11566.04782447336</v>
      </c>
      <c r="AE99" s="113">
        <f>$Y99*$Z99*其他调用!Z98</f>
        <v>6582.7133617789232</v>
      </c>
      <c r="AH99" s="31">
        <v>95</v>
      </c>
      <c r="AI99" s="31">
        <f>SUM(AA$5:AA99)</f>
        <v>99025.816814897596</v>
      </c>
      <c r="AJ99" s="31">
        <f>SUM(AB$5:AB99)</f>
        <v>122837.20564847042</v>
      </c>
      <c r="AK99" s="31">
        <f>SUM(AC$5:AC99)</f>
        <v>132888.70835408432</v>
      </c>
      <c r="AL99" s="31">
        <f>SUM(AD$5:AD99)</f>
        <v>106974.45487727973</v>
      </c>
      <c r="AM99" s="31">
        <f>SUM(AE$5:AE99)</f>
        <v>57609.007002359271</v>
      </c>
      <c r="AR99" s="31">
        <v>95</v>
      </c>
      <c r="AS99" s="42">
        <f t="shared" si="38"/>
        <v>8.0000000000000016E-2</v>
      </c>
      <c r="AT99" s="52">
        <f>求节点(E$21:E$27,$M$21:$M$27,$AR99)*$AS99*其他调用!V98</f>
        <v>0</v>
      </c>
      <c r="AU99" s="52">
        <f>求节点(F$21:F$27,$M$21:$M$27,$AR99)*$AS99*其他调用!W98</f>
        <v>0</v>
      </c>
      <c r="AV99" s="52">
        <f>求节点(G$21:G$27,$M$21:$M$27,$AR99)*$AS99*其他调用!X98</f>
        <v>0</v>
      </c>
      <c r="AW99" s="52">
        <f>求节点(H$21:H$27,$M$21:$M$27,$AR99)*$AS99*其他调用!Y98</f>
        <v>0</v>
      </c>
      <c r="AX99" s="52">
        <f>求节点(I$21:I$27,$M$21:$M$27,$AR99)*$AS99*其他调用!Z98</f>
        <v>0</v>
      </c>
      <c r="AY99" s="52">
        <f>求节点(E$21:E$27,$N$21:$N$27,$AR99)*$AS99*其他调用!V98</f>
        <v>1070.6436031142071</v>
      </c>
      <c r="AZ99" s="52">
        <f>求节点(F$21:F$27,$N$21:$N$27,$AR99)*$AS99*其他调用!W98</f>
        <v>1346.7850845149756</v>
      </c>
      <c r="BA99" s="52">
        <f>求节点(G$21:G$27,$N$21:$N$27,$AR99)*$AS99*其他调用!X98</f>
        <v>1394.6598604977321</v>
      </c>
      <c r="BB99" s="52">
        <f>求节点(H$21:H$27,$N$21:$N$27,$AR99)*$AS99*其他调用!Y98</f>
        <v>1122.5393453362692</v>
      </c>
      <c r="BC99" s="52">
        <f>求节点(I$21:I$27,$N$21:$N$27,$AR99)*$AS99*其他调用!Z98</f>
        <v>638.88329529746568</v>
      </c>
      <c r="BD99" s="52">
        <f>求节点(E$21:E$27,$O$21:$O$27,$AR99)*$AS99*其他调用!V98</f>
        <v>0</v>
      </c>
      <c r="BE99" s="52">
        <f>求节点(F$21:F$27,$O$21:$O$27,$AR99)*$AS99*其他调用!W98</f>
        <v>0</v>
      </c>
      <c r="BF99" s="52">
        <f>求节点(G$21:G$27,$O$21:$O$27,$AR99)*$AS99*其他调用!X98</f>
        <v>0</v>
      </c>
      <c r="BG99" s="52">
        <f>求节点(H$21:H$27,$O$21:$O$27,$AR99)*$AS99*其他调用!Y98</f>
        <v>0</v>
      </c>
      <c r="BH99" s="52">
        <f>求节点(I$21:I$27,$O$21:$O$27,$AR99)*$AS99*其他调用!Z98</f>
        <v>0</v>
      </c>
      <c r="BK99" s="31">
        <v>95</v>
      </c>
      <c r="BL99" s="31">
        <f>SUM(AT$5:AT99)</f>
        <v>946.27439936474923</v>
      </c>
      <c r="BM99" s="31">
        <f>SUM(AU$5:AU99)</f>
        <v>1112.8936350179583</v>
      </c>
      <c r="BN99" s="31">
        <f>SUM(AV$5:AV99)</f>
        <v>1078.1579698345183</v>
      </c>
      <c r="BO99" s="31">
        <f>SUM(AW$5:AW99)</f>
        <v>704.96766450982125</v>
      </c>
      <c r="BP99" s="31">
        <f>SUM(AX$5:AX99)</f>
        <v>333.4630769439176</v>
      </c>
      <c r="BQ99" s="31">
        <f>SUM(AY$5:AY99)</f>
        <v>12949.222962820566</v>
      </c>
      <c r="BR99" s="31">
        <f>SUM(AZ$5:AZ99)</f>
        <v>16509.980442866239</v>
      </c>
      <c r="BS99" s="31">
        <f>SUM(BA$5:BA99)</f>
        <v>18408.369619538578</v>
      </c>
      <c r="BT99" s="31">
        <f>SUM(BB$5:BB99)</f>
        <v>15395.287167519627</v>
      </c>
      <c r="BU99" s="31">
        <f>SUM(BC$5:BC99)</f>
        <v>8358.3647978226472</v>
      </c>
      <c r="BV99" s="31">
        <f>SUM(BD$5:BD99)</f>
        <v>0</v>
      </c>
      <c r="BW99" s="31">
        <f>SUM(BE$5:BE99)</f>
        <v>0</v>
      </c>
      <c r="BX99" s="31">
        <f>SUM(BF$5:BF99)</f>
        <v>0</v>
      </c>
      <c r="BY99" s="31">
        <f>SUM(BG$5:BG99)</f>
        <v>0</v>
      </c>
      <c r="BZ99" s="31">
        <f>SUM(BH$5:BH99)</f>
        <v>0</v>
      </c>
      <c r="CC99" s="41">
        <v>95</v>
      </c>
      <c r="CD99" s="41">
        <f t="shared" si="39"/>
        <v>495.80515167013345</v>
      </c>
      <c r="CE99" s="41">
        <f t="shared" si="40"/>
        <v>627.92952907612641</v>
      </c>
      <c r="CF99" s="41">
        <f t="shared" si="41"/>
        <v>692.8100453264035</v>
      </c>
      <c r="CG99" s="41">
        <f t="shared" si="42"/>
        <v>570.55859576612886</v>
      </c>
      <c r="CH99" s="41">
        <f t="shared" si="43"/>
        <v>307.54860638626894</v>
      </c>
      <c r="CI99" s="41">
        <f t="shared" si="44"/>
        <v>198.96971643913221</v>
      </c>
      <c r="CJ99" s="41">
        <f t="shared" si="45"/>
        <v>253.21417481808339</v>
      </c>
      <c r="CK99" s="41">
        <f t="shared" si="46"/>
        <v>281.51633414225125</v>
      </c>
      <c r="CL99" s="41">
        <f t="shared" si="47"/>
        <v>234.45414583534352</v>
      </c>
      <c r="CM99" s="41">
        <f t="shared" si="48"/>
        <v>127.04278735205928</v>
      </c>
      <c r="CN99" s="41">
        <f t="shared" si="49"/>
        <v>0</v>
      </c>
      <c r="CO99" s="41">
        <f t="shared" si="50"/>
        <v>0</v>
      </c>
      <c r="CP99" s="41">
        <f t="shared" si="51"/>
        <v>0</v>
      </c>
      <c r="CQ99" s="41">
        <f t="shared" si="52"/>
        <v>0</v>
      </c>
      <c r="CR99" s="41">
        <f t="shared" si="53"/>
        <v>0</v>
      </c>
    </row>
    <row r="100" spans="23:96" x14ac:dyDescent="0.15">
      <c r="W100" s="117">
        <v>1.05</v>
      </c>
      <c r="X100" s="31">
        <v>96</v>
      </c>
      <c r="Y100" s="113">
        <f t="shared" si="54"/>
        <v>43.274564107359843</v>
      </c>
      <c r="Z100" s="42">
        <f t="shared" si="37"/>
        <v>0.12</v>
      </c>
      <c r="AA100" s="113">
        <f>$Y100*$Z100*其他调用!V99</f>
        <v>12414.254281294787</v>
      </c>
      <c r="AB100" s="113">
        <f>$Y100*$Z100*其他调用!W99</f>
        <v>14818.034906758807</v>
      </c>
      <c r="AC100" s="113">
        <f>$Y100*$Z100*其他调用!X99</f>
        <v>15792.451257560771</v>
      </c>
      <c r="AD100" s="113">
        <f>$Y100*$Z100*其他调用!Y99</f>
        <v>13217.403164925745</v>
      </c>
      <c r="AE100" s="113">
        <f>$Y100*$Z100*其他调用!Z99</f>
        <v>7407.9363672696018</v>
      </c>
      <c r="AH100" s="31">
        <v>96</v>
      </c>
      <c r="AI100" s="31">
        <f>SUM(AA$5:AA100)</f>
        <v>111440.07109619238</v>
      </c>
      <c r="AJ100" s="31">
        <f>SUM(AB$5:AB100)</f>
        <v>137655.24055522922</v>
      </c>
      <c r="AK100" s="31">
        <f>SUM(AC$5:AC100)</f>
        <v>148681.1596116451</v>
      </c>
      <c r="AL100" s="31">
        <f>SUM(AD$5:AD100)</f>
        <v>120191.85804220548</v>
      </c>
      <c r="AM100" s="31">
        <f>SUM(AE$5:AE100)</f>
        <v>65016.943369628876</v>
      </c>
      <c r="AR100" s="31">
        <v>96</v>
      </c>
      <c r="AS100" s="42">
        <f t="shared" si="38"/>
        <v>8.0000000000000016E-2</v>
      </c>
      <c r="AT100" s="52">
        <f>求节点(E$21:E$27,$M$21:$M$27,$AR100)*$AS100*其他调用!V99</f>
        <v>0</v>
      </c>
      <c r="AU100" s="52">
        <f>求节点(F$21:F$27,$M$21:$M$27,$AR100)*$AS100*其他调用!W99</f>
        <v>0</v>
      </c>
      <c r="AV100" s="52">
        <f>求节点(G$21:G$27,$M$21:$M$27,$AR100)*$AS100*其他调用!X99</f>
        <v>0</v>
      </c>
      <c r="AW100" s="52">
        <f>求节点(H$21:H$27,$M$21:$M$27,$AR100)*$AS100*其他调用!Y99</f>
        <v>0</v>
      </c>
      <c r="AX100" s="52">
        <f>求节点(I$21:I$27,$M$21:$M$27,$AR100)*$AS100*其他调用!Z99</f>
        <v>0</v>
      </c>
      <c r="AY100" s="52">
        <f>求节点(E$21:E$27,$N$21:$N$27,$AR100)*$AS100*其他调用!V99</f>
        <v>1147.4874016520441</v>
      </c>
      <c r="AZ100" s="52">
        <f>求节点(F$21:F$27,$N$21:$N$27,$AR100)*$AS100*其他调用!W99</f>
        <v>1369.6761792906109</v>
      </c>
      <c r="BA100" s="52">
        <f>求节点(G$21:G$27,$N$21:$N$27,$AR100)*$AS100*其他调用!X99</f>
        <v>1459.7444557390609</v>
      </c>
      <c r="BB100" s="52">
        <f>求节点(H$21:H$27,$N$21:$N$27,$AR100)*$AS100*其他调用!Y99</f>
        <v>1221.724903537764</v>
      </c>
      <c r="BC100" s="52">
        <f>求节点(I$21:I$27,$N$21:$N$27,$AR100)*$AS100*其他调用!Z99</f>
        <v>684.7381615575614</v>
      </c>
      <c r="BD100" s="52">
        <f>求节点(E$21:E$27,$O$21:$O$27,$AR100)*$AS100*其他调用!V99</f>
        <v>0</v>
      </c>
      <c r="BE100" s="52">
        <f>求节点(F$21:F$27,$O$21:$O$27,$AR100)*$AS100*其他调用!W99</f>
        <v>0</v>
      </c>
      <c r="BF100" s="52">
        <f>求节点(G$21:G$27,$O$21:$O$27,$AR100)*$AS100*其他调用!X99</f>
        <v>0</v>
      </c>
      <c r="BG100" s="52">
        <f>求节点(H$21:H$27,$O$21:$O$27,$AR100)*$AS100*其他调用!Y99</f>
        <v>0</v>
      </c>
      <c r="BH100" s="52">
        <f>求节点(I$21:I$27,$O$21:$O$27,$AR100)*$AS100*其他调用!Z99</f>
        <v>0</v>
      </c>
      <c r="BK100" s="31">
        <v>96</v>
      </c>
      <c r="BL100" s="31">
        <f>SUM(AT$5:AT100)</f>
        <v>946.27439936474923</v>
      </c>
      <c r="BM100" s="31">
        <f>SUM(AU$5:AU100)</f>
        <v>1112.8936350179583</v>
      </c>
      <c r="BN100" s="31">
        <f>SUM(AV$5:AV100)</f>
        <v>1078.1579698345183</v>
      </c>
      <c r="BO100" s="31">
        <f>SUM(AW$5:AW100)</f>
        <v>704.96766450982125</v>
      </c>
      <c r="BP100" s="31">
        <f>SUM(AX$5:AX100)</f>
        <v>333.4630769439176</v>
      </c>
      <c r="BQ100" s="31">
        <f>SUM(AY$5:AY100)</f>
        <v>14096.71036447261</v>
      </c>
      <c r="BR100" s="31">
        <f>SUM(AZ$5:AZ100)</f>
        <v>17879.65662215685</v>
      </c>
      <c r="BS100" s="31">
        <f>SUM(BA$5:BA100)</f>
        <v>19868.114075277641</v>
      </c>
      <c r="BT100" s="31">
        <f>SUM(BB$5:BB100)</f>
        <v>16617.01207105739</v>
      </c>
      <c r="BU100" s="31">
        <f>SUM(BC$5:BC100)</f>
        <v>9043.1029593802086</v>
      </c>
      <c r="BV100" s="31">
        <f>SUM(BD$5:BD100)</f>
        <v>0</v>
      </c>
      <c r="BW100" s="31">
        <f>SUM(BE$5:BE100)</f>
        <v>0</v>
      </c>
      <c r="BX100" s="31">
        <f>SUM(BF$5:BF100)</f>
        <v>0</v>
      </c>
      <c r="BY100" s="31">
        <f>SUM(BG$5:BG100)</f>
        <v>0</v>
      </c>
      <c r="BZ100" s="31">
        <f>SUM(BH$5:BH100)</f>
        <v>0</v>
      </c>
      <c r="CC100" s="41">
        <v>96</v>
      </c>
      <c r="CD100" s="41">
        <f t="shared" si="39"/>
        <v>535.96721072795503</v>
      </c>
      <c r="CE100" s="41">
        <f t="shared" si="40"/>
        <v>675.8681953512978</v>
      </c>
      <c r="CF100" s="41">
        <f t="shared" si="41"/>
        <v>743.90110127727064</v>
      </c>
      <c r="CG100" s="41">
        <f t="shared" si="42"/>
        <v>613.31896738995056</v>
      </c>
      <c r="CH100" s="41">
        <f t="shared" si="43"/>
        <v>331.51444204078359</v>
      </c>
      <c r="CI100" s="41">
        <f t="shared" si="44"/>
        <v>216.1820274639129</v>
      </c>
      <c r="CJ100" s="41">
        <f t="shared" si="45"/>
        <v>273.75931750744257</v>
      </c>
      <c r="CK100" s="41">
        <f t="shared" si="46"/>
        <v>303.41250097833722</v>
      </c>
      <c r="CL100" s="41">
        <f t="shared" si="47"/>
        <v>252.78001938840993</v>
      </c>
      <c r="CM100" s="41">
        <f t="shared" si="48"/>
        <v>137.31385977542271</v>
      </c>
      <c r="CN100" s="41">
        <f t="shared" si="49"/>
        <v>0</v>
      </c>
      <c r="CO100" s="41">
        <f t="shared" si="50"/>
        <v>0</v>
      </c>
      <c r="CP100" s="41">
        <f t="shared" si="51"/>
        <v>0</v>
      </c>
      <c r="CQ100" s="41">
        <f t="shared" si="52"/>
        <v>0</v>
      </c>
      <c r="CR100" s="41">
        <f t="shared" si="53"/>
        <v>0</v>
      </c>
    </row>
    <row r="101" spans="23:96" x14ac:dyDescent="0.15">
      <c r="W101" s="117">
        <v>1.05</v>
      </c>
      <c r="X101" s="31">
        <v>97</v>
      </c>
      <c r="Y101" s="113">
        <f t="shared" si="54"/>
        <v>45.438292312727839</v>
      </c>
      <c r="Z101" s="42">
        <f t="shared" ref="Z101:Z132" si="55">$E$42</f>
        <v>0.12</v>
      </c>
      <c r="AA101" s="113">
        <f>$Y101*$Z101*其他调用!V100</f>
        <v>13970.53171066265</v>
      </c>
      <c r="AB101" s="113">
        <f>$Y101*$Z101*其他调用!W100</f>
        <v>16930.247869790986</v>
      </c>
      <c r="AC101" s="113">
        <f>$Y101*$Z101*其他调用!X100</f>
        <v>19340.794608973283</v>
      </c>
      <c r="AD101" s="113">
        <f>$Y101*$Z101*其他调用!Y100</f>
        <v>16146.283095264649</v>
      </c>
      <c r="AE101" s="113">
        <f>$Y101*$Z101*其他调用!Z100</f>
        <v>9036.453452995218</v>
      </c>
      <c r="AH101" s="31">
        <v>97</v>
      </c>
      <c r="AI101" s="31">
        <f>SUM(AA$5:AA101)</f>
        <v>125410.60280685502</v>
      </c>
      <c r="AJ101" s="31">
        <f>SUM(AB$5:AB101)</f>
        <v>154585.48842502022</v>
      </c>
      <c r="AK101" s="31">
        <f>SUM(AC$5:AC101)</f>
        <v>168021.95422061838</v>
      </c>
      <c r="AL101" s="31">
        <f>SUM(AD$5:AD101)</f>
        <v>136338.14113747014</v>
      </c>
      <c r="AM101" s="31">
        <f>SUM(AE$5:AE101)</f>
        <v>74053.396822624098</v>
      </c>
      <c r="AR101" s="31">
        <v>97</v>
      </c>
      <c r="AS101" s="42">
        <f t="shared" ref="AS101:AS132" si="56">$E$43</f>
        <v>8.0000000000000016E-2</v>
      </c>
      <c r="AT101" s="52">
        <f>求节点(E$21:E$27,$M$21:$M$27,$AR101)*$AS101*其他调用!V100</f>
        <v>0</v>
      </c>
      <c r="AU101" s="52">
        <f>求节点(F$21:F$27,$M$21:$M$27,$AR101)*$AS101*其他调用!W100</f>
        <v>0</v>
      </c>
      <c r="AV101" s="52">
        <f>求节点(G$21:G$27,$M$21:$M$27,$AR101)*$AS101*其他调用!X100</f>
        <v>0</v>
      </c>
      <c r="AW101" s="52">
        <f>求节点(H$21:H$27,$M$21:$M$27,$AR101)*$AS101*其他调用!Y100</f>
        <v>0</v>
      </c>
      <c r="AX101" s="52">
        <f>求节点(I$21:I$27,$M$21:$M$27,$AR101)*$AS101*其他调用!Z100</f>
        <v>0</v>
      </c>
      <c r="AY101" s="52">
        <f>求节点(E$21:E$27,$N$21:$N$27,$AR101)*$AS101*其他调用!V100</f>
        <v>1229.8465456853739</v>
      </c>
      <c r="AZ101" s="52">
        <f>求节点(F$21:F$27,$N$21:$N$27,$AR101)*$AS101*其他调用!W100</f>
        <v>1490.3947316742458</v>
      </c>
      <c r="BA101" s="52">
        <f>求节点(G$21:G$27,$N$21:$N$27,$AR101)*$AS101*其他调用!X100</f>
        <v>1702.5987223164798</v>
      </c>
      <c r="BB101" s="52">
        <f>求节点(H$21:H$27,$N$21:$N$27,$AR101)*$AS101*其他调用!Y100</f>
        <v>1421.3811543918323</v>
      </c>
      <c r="BC101" s="52">
        <f>求节点(I$21:I$27,$N$21:$N$27,$AR101)*$AS101*其他调用!Z100</f>
        <v>795.4923473621825</v>
      </c>
      <c r="BD101" s="52">
        <f>求节点(E$21:E$27,$O$21:$O$27,$AR101)*$AS101*其他调用!V100</f>
        <v>0</v>
      </c>
      <c r="BE101" s="52">
        <f>求节点(F$21:F$27,$O$21:$O$27,$AR101)*$AS101*其他调用!W100</f>
        <v>0</v>
      </c>
      <c r="BF101" s="52">
        <f>求节点(G$21:G$27,$O$21:$O$27,$AR101)*$AS101*其他调用!X100</f>
        <v>0</v>
      </c>
      <c r="BG101" s="52">
        <f>求节点(H$21:H$27,$O$21:$O$27,$AR101)*$AS101*其他调用!Y100</f>
        <v>0</v>
      </c>
      <c r="BH101" s="52">
        <f>求节点(I$21:I$27,$O$21:$O$27,$AR101)*$AS101*其他调用!Z100</f>
        <v>0</v>
      </c>
      <c r="BK101" s="31">
        <v>97</v>
      </c>
      <c r="BL101" s="31">
        <f>SUM(AT$5:AT101)</f>
        <v>946.27439936474923</v>
      </c>
      <c r="BM101" s="31">
        <f>SUM(AU$5:AU101)</f>
        <v>1112.8936350179583</v>
      </c>
      <c r="BN101" s="31">
        <f>SUM(AV$5:AV101)</f>
        <v>1078.1579698345183</v>
      </c>
      <c r="BO101" s="31">
        <f>SUM(AW$5:AW101)</f>
        <v>704.96766450982125</v>
      </c>
      <c r="BP101" s="31">
        <f>SUM(AX$5:AX101)</f>
        <v>333.4630769439176</v>
      </c>
      <c r="BQ101" s="31">
        <f>SUM(AY$5:AY101)</f>
        <v>15326.556910157984</v>
      </c>
      <c r="BR101" s="31">
        <f>SUM(AZ$5:AZ101)</f>
        <v>19370.051353831095</v>
      </c>
      <c r="BS101" s="31">
        <f>SUM(BA$5:BA101)</f>
        <v>21570.712797594122</v>
      </c>
      <c r="BT101" s="31">
        <f>SUM(BB$5:BB101)</f>
        <v>18038.393225449221</v>
      </c>
      <c r="BU101" s="31">
        <f>SUM(BC$5:BC101)</f>
        <v>9838.5953067423907</v>
      </c>
      <c r="BV101" s="31">
        <f>SUM(BD$5:BD101)</f>
        <v>0</v>
      </c>
      <c r="BW101" s="31">
        <f>SUM(BE$5:BE101)</f>
        <v>0</v>
      </c>
      <c r="BX101" s="31">
        <f>SUM(BF$5:BF101)</f>
        <v>0</v>
      </c>
      <c r="BY101" s="31">
        <f>SUM(BG$5:BG101)</f>
        <v>0</v>
      </c>
      <c r="BZ101" s="31">
        <f>SUM(BH$5:BH101)</f>
        <v>0</v>
      </c>
      <c r="CC101" s="41">
        <v>97</v>
      </c>
      <c r="CD101" s="41">
        <f t="shared" ref="CD101:CD132" si="57">(BL101*$E$57+BQ101*$F$57+BV101*$G$57)/$E$5</f>
        <v>579.01183982694306</v>
      </c>
      <c r="CE101" s="41">
        <f t="shared" ref="CE101:CE132" si="58">(BM101*$E$57+BR101*$F$57+BW101*$G$57)/$E$5</f>
        <v>728.03201095989641</v>
      </c>
      <c r="CF101" s="41">
        <f t="shared" ref="CF101:CF132" si="59">(BN101*$E$57+BS101*$F$57+BX101*$G$57)/$E$5</f>
        <v>803.49205655834749</v>
      </c>
      <c r="CG101" s="41">
        <f t="shared" ref="CG101:CG132" si="60">(BO101*$E$57+BT101*$F$57+BY101*$G$57)/$E$5</f>
        <v>663.06730779366467</v>
      </c>
      <c r="CH101" s="41">
        <f t="shared" ref="CH101:CH132" si="61">(BP101*$E$57+BU101*$F$57+BZ101*$G$57)/$E$5</f>
        <v>359.35667419845993</v>
      </c>
      <c r="CI101" s="41">
        <f t="shared" ref="CI101:CI132" si="62">(BL101*$E$58+BQ101*$F$58+BV101*$G$58)/$E$5</f>
        <v>234.62972564919352</v>
      </c>
      <c r="CJ101" s="41">
        <f t="shared" ref="CJ101:CJ132" si="63">(BM101*$E$58+BR101*$F$58+BW101*$G$58)/$E$5</f>
        <v>296.11523848255621</v>
      </c>
      <c r="CK101" s="41">
        <f t="shared" ref="CK101:CK132" si="64">(BN101*$E$58+BS101*$F$58+BX101*$G$58)/$E$5</f>
        <v>328.9514818130844</v>
      </c>
      <c r="CL101" s="41">
        <f t="shared" ref="CL101:CL132" si="65">(BO101*$E$58+BT101*$F$58+BY101*$G$58)/$E$5</f>
        <v>274.10073670428744</v>
      </c>
      <c r="CM101" s="41">
        <f t="shared" ref="CM101:CM132" si="66">(BP101*$E$58+BU101*$F$58+BZ101*$G$58)/$E$5</f>
        <v>149.24624498585544</v>
      </c>
      <c r="CN101" s="41">
        <f t="shared" ref="CN101:CN132" si="67">(BL101*$E$59+BQ101*$F$59+BV101*$G$59)/$E$5</f>
        <v>0</v>
      </c>
      <c r="CO101" s="41">
        <f t="shared" ref="CO101:CO132" si="68">(BM101*$E$59+BR101*$F$59+BW101*$G$59)/$E$5</f>
        <v>0</v>
      </c>
      <c r="CP101" s="41">
        <f t="shared" ref="CP101:CP132" si="69">(BN101*$E$59+BS101*$F$59+BX101*$G$59)/$E$5</f>
        <v>0</v>
      </c>
      <c r="CQ101" s="41">
        <f t="shared" ref="CQ101:CQ132" si="70">(BO101*$E$59+BT101*$F$59+BY101*$G$59)/$E$5</f>
        <v>0</v>
      </c>
      <c r="CR101" s="41">
        <f t="shared" ref="CR101:CR132" si="71">(BP101*$E$59+BU101*$F$59+BZ101*$G$59)/$E$5</f>
        <v>0</v>
      </c>
    </row>
    <row r="102" spans="23:96" x14ac:dyDescent="0.15">
      <c r="W102" s="117">
        <v>1.05</v>
      </c>
      <c r="X102" s="31">
        <v>98</v>
      </c>
      <c r="Y102" s="113">
        <f t="shared" si="54"/>
        <v>47.710206928364229</v>
      </c>
      <c r="Z102" s="42">
        <f t="shared" si="55"/>
        <v>0.12</v>
      </c>
      <c r="AA102" s="113">
        <f>$Y102*$Z102*其他调用!V101</f>
        <v>15721.907402260827</v>
      </c>
      <c r="AB102" s="113">
        <f>$Y102*$Z102*其他调用!W101</f>
        <v>20045.258491175751</v>
      </c>
      <c r="AC102" s="113">
        <f>$Y102*$Z102*其他调用!X101</f>
        <v>22727.485626821315</v>
      </c>
      <c r="AD102" s="113">
        <f>$Y102*$Z102*其他调用!Y101</f>
        <v>18912.954332434201</v>
      </c>
      <c r="AE102" s="113">
        <f>$Y102*$Z102*其他调用!Z101</f>
        <v>10484.697673069561</v>
      </c>
      <c r="AH102" s="31">
        <v>98</v>
      </c>
      <c r="AI102" s="31">
        <f>SUM(AA$5:AA102)</f>
        <v>141132.51020911586</v>
      </c>
      <c r="AJ102" s="31">
        <f>SUM(AB$5:AB102)</f>
        <v>174630.74691619596</v>
      </c>
      <c r="AK102" s="31">
        <f>SUM(AC$5:AC102)</f>
        <v>190749.4398474397</v>
      </c>
      <c r="AL102" s="31">
        <f>SUM(AD$5:AD102)</f>
        <v>155251.09546990434</v>
      </c>
      <c r="AM102" s="31">
        <f>SUM(AE$5:AE102)</f>
        <v>84538.094495693658</v>
      </c>
      <c r="AR102" s="31">
        <v>98</v>
      </c>
      <c r="AS102" s="42">
        <f t="shared" si="56"/>
        <v>8.0000000000000016E-2</v>
      </c>
      <c r="AT102" s="52">
        <f>求节点(E$21:E$27,$M$21:$M$27,$AR102)*$AS102*其他调用!V101</f>
        <v>0</v>
      </c>
      <c r="AU102" s="52">
        <f>求节点(F$21:F$27,$M$21:$M$27,$AR102)*$AS102*其他调用!W101</f>
        <v>0</v>
      </c>
      <c r="AV102" s="52">
        <f>求节点(G$21:G$27,$M$21:$M$27,$AR102)*$AS102*其他调用!X101</f>
        <v>0</v>
      </c>
      <c r="AW102" s="52">
        <f>求节点(H$21:H$27,$M$21:$M$27,$AR102)*$AS102*其他调用!Y101</f>
        <v>0</v>
      </c>
      <c r="AX102" s="52">
        <f>求节点(I$21:I$27,$M$21:$M$27,$AR102)*$AS102*其他调用!Z101</f>
        <v>0</v>
      </c>
      <c r="AY102" s="52">
        <f>求节点(E$21:E$27,$N$21:$N$27,$AR102)*$AS102*其他调用!V101</f>
        <v>1318.1168906575408</v>
      </c>
      <c r="AZ102" s="52">
        <f>求节点(F$21:F$27,$N$21:$N$27,$AR102)*$AS102*其他调用!W101</f>
        <v>1680.5844939028032</v>
      </c>
      <c r="BA102" s="52">
        <f>求节点(G$21:G$27,$N$21:$N$27,$AR102)*$AS102*其他调用!X101</f>
        <v>1905.4610818138863</v>
      </c>
      <c r="BB102" s="52">
        <f>求节点(H$21:H$27,$N$21:$N$27,$AR102)*$AS102*其他调用!Y101</f>
        <v>1585.6526768648534</v>
      </c>
      <c r="BC102" s="52">
        <f>求节点(I$21:I$27,$N$21:$N$27,$AR102)*$AS102*其他调用!Z101</f>
        <v>879.03183390607319</v>
      </c>
      <c r="BD102" s="52">
        <f>求节点(E$21:E$27,$O$21:$O$27,$AR102)*$AS102*其他调用!V101</f>
        <v>0</v>
      </c>
      <c r="BE102" s="52">
        <f>求节点(F$21:F$27,$O$21:$O$27,$AR102)*$AS102*其他调用!W101</f>
        <v>0</v>
      </c>
      <c r="BF102" s="52">
        <f>求节点(G$21:G$27,$O$21:$O$27,$AR102)*$AS102*其他调用!X101</f>
        <v>0</v>
      </c>
      <c r="BG102" s="52">
        <f>求节点(H$21:H$27,$O$21:$O$27,$AR102)*$AS102*其他调用!Y101</f>
        <v>0</v>
      </c>
      <c r="BH102" s="52">
        <f>求节点(I$21:I$27,$O$21:$O$27,$AR102)*$AS102*其他调用!Z101</f>
        <v>0</v>
      </c>
      <c r="BK102" s="31">
        <v>98</v>
      </c>
      <c r="BL102" s="31">
        <f>SUM(AT$5:AT102)</f>
        <v>946.27439936474923</v>
      </c>
      <c r="BM102" s="31">
        <f>SUM(AU$5:AU102)</f>
        <v>1112.8936350179583</v>
      </c>
      <c r="BN102" s="31">
        <f>SUM(AV$5:AV102)</f>
        <v>1078.1579698345183</v>
      </c>
      <c r="BO102" s="31">
        <f>SUM(AW$5:AW102)</f>
        <v>704.96766450982125</v>
      </c>
      <c r="BP102" s="31">
        <f>SUM(AX$5:AX102)</f>
        <v>333.4630769439176</v>
      </c>
      <c r="BQ102" s="31">
        <f>SUM(AY$5:AY102)</f>
        <v>16644.673800815526</v>
      </c>
      <c r="BR102" s="31">
        <f>SUM(AZ$5:AZ102)</f>
        <v>21050.635847733898</v>
      </c>
      <c r="BS102" s="31">
        <f>SUM(BA$5:BA102)</f>
        <v>23476.173879408008</v>
      </c>
      <c r="BT102" s="31">
        <f>SUM(BB$5:BB102)</f>
        <v>19624.045902314076</v>
      </c>
      <c r="BU102" s="31">
        <f>SUM(BC$5:BC102)</f>
        <v>10717.627140648463</v>
      </c>
      <c r="BV102" s="31">
        <f>SUM(BD$5:BD102)</f>
        <v>0</v>
      </c>
      <c r="BW102" s="31">
        <f>SUM(BE$5:BE102)</f>
        <v>0</v>
      </c>
      <c r="BX102" s="31">
        <f>SUM(BF$5:BF102)</f>
        <v>0</v>
      </c>
      <c r="BY102" s="31">
        <f>SUM(BG$5:BG102)</f>
        <v>0</v>
      </c>
      <c r="BZ102" s="31">
        <f>SUM(BH$5:BH102)</f>
        <v>0</v>
      </c>
      <c r="CC102" s="41">
        <v>98</v>
      </c>
      <c r="CD102" s="41">
        <f t="shared" si="57"/>
        <v>625.14593099995705</v>
      </c>
      <c r="CE102" s="41">
        <f t="shared" si="58"/>
        <v>786.85246824649448</v>
      </c>
      <c r="CF102" s="41">
        <f t="shared" si="59"/>
        <v>870.18319442183349</v>
      </c>
      <c r="CG102" s="41">
        <f t="shared" si="60"/>
        <v>718.56515148393453</v>
      </c>
      <c r="CH102" s="41">
        <f t="shared" si="61"/>
        <v>390.12278838517244</v>
      </c>
      <c r="CI102" s="41">
        <f t="shared" si="62"/>
        <v>254.40147900905663</v>
      </c>
      <c r="CJ102" s="41">
        <f t="shared" si="63"/>
        <v>321.3240058910983</v>
      </c>
      <c r="CK102" s="41">
        <f t="shared" si="64"/>
        <v>357.5333980402927</v>
      </c>
      <c r="CL102" s="41">
        <f t="shared" si="65"/>
        <v>297.88552685726023</v>
      </c>
      <c r="CM102" s="41">
        <f t="shared" si="66"/>
        <v>162.43172249444655</v>
      </c>
      <c r="CN102" s="41">
        <f t="shared" si="67"/>
        <v>0</v>
      </c>
      <c r="CO102" s="41">
        <f t="shared" si="68"/>
        <v>0</v>
      </c>
      <c r="CP102" s="41">
        <f t="shared" si="69"/>
        <v>0</v>
      </c>
      <c r="CQ102" s="41">
        <f t="shared" si="70"/>
        <v>0</v>
      </c>
      <c r="CR102" s="41">
        <f t="shared" si="71"/>
        <v>0</v>
      </c>
    </row>
    <row r="103" spans="23:96" x14ac:dyDescent="0.15">
      <c r="W103" s="117">
        <v>1.05</v>
      </c>
      <c r="X103" s="31">
        <v>99</v>
      </c>
      <c r="Y103" s="113">
        <f t="shared" si="54"/>
        <v>50.095717274782444</v>
      </c>
      <c r="Z103" s="42">
        <f t="shared" si="55"/>
        <v>0.12</v>
      </c>
      <c r="AA103" s="113">
        <f>$Y103*$Z103*其他调用!V102</f>
        <v>17692.839290905686</v>
      </c>
      <c r="AB103" s="113">
        <f>$Y103*$Z103*其他调用!W102</f>
        <v>22599.453166701285</v>
      </c>
      <c r="AC103" s="113">
        <f>$Y103*$Z103*其他调用!X102</f>
        <v>25163.162664980726</v>
      </c>
      <c r="AD103" s="113">
        <f>$Y103*$Z103*其他调用!Y102</f>
        <v>21166.520013853446</v>
      </c>
      <c r="AE103" s="113">
        <f>$Y103*$Z103*其他调用!Z102</f>
        <v>10400.993091009639</v>
      </c>
      <c r="AH103" s="31">
        <v>99</v>
      </c>
      <c r="AI103" s="31">
        <f>SUM(AA$5:AA103)</f>
        <v>158825.34950002155</v>
      </c>
      <c r="AJ103" s="31">
        <f>SUM(AB$5:AB103)</f>
        <v>197230.20008289724</v>
      </c>
      <c r="AK103" s="31">
        <f>SUM(AC$5:AC103)</f>
        <v>215912.60251242042</v>
      </c>
      <c r="AL103" s="31">
        <f>SUM(AD$5:AD103)</f>
        <v>176417.61548375778</v>
      </c>
      <c r="AM103" s="31">
        <f>SUM(AE$5:AE103)</f>
        <v>94939.087586703303</v>
      </c>
      <c r="AR103" s="31">
        <v>99</v>
      </c>
      <c r="AS103" s="42">
        <f t="shared" si="56"/>
        <v>8.0000000000000016E-2</v>
      </c>
      <c r="AT103" s="52">
        <f>求节点(E$21:E$27,$M$21:$M$27,$AR103)*$AS103*其他调用!V102</f>
        <v>0</v>
      </c>
      <c r="AU103" s="52">
        <f>求节点(F$21:F$27,$M$21:$M$27,$AR103)*$AS103*其他调用!W102</f>
        <v>0</v>
      </c>
      <c r="AV103" s="52">
        <f>求节点(G$21:G$27,$M$21:$M$27,$AR103)*$AS103*其他调用!X102</f>
        <v>0</v>
      </c>
      <c r="AW103" s="52">
        <f>求节点(H$21:H$27,$M$21:$M$27,$AR103)*$AS103*其他调用!Y102</f>
        <v>0</v>
      </c>
      <c r="AX103" s="52">
        <f>求节点(I$21:I$27,$M$21:$M$27,$AR103)*$AS103*其他调用!Z102</f>
        <v>0</v>
      </c>
      <c r="AY103" s="52">
        <f>求节点(E$21:E$27,$N$21:$N$27,$AR103)*$AS103*其他调用!V102</f>
        <v>1412.7227039275904</v>
      </c>
      <c r="AZ103" s="52">
        <f>求节点(F$21:F$27,$N$21:$N$27,$AR103)*$AS103*其他调用!W102</f>
        <v>1804.5018134176967</v>
      </c>
      <c r="BA103" s="52">
        <f>求节点(G$21:G$27,$N$21:$N$27,$AR103)*$AS103*其他调用!X102</f>
        <v>2009.2066974074492</v>
      </c>
      <c r="BB103" s="52">
        <f>求节点(H$21:H$27,$N$21:$N$27,$AR103)*$AS103*其他调用!Y102</f>
        <v>1690.0861922189433</v>
      </c>
      <c r="BC103" s="52">
        <f>求节点(I$21:I$27,$N$21:$N$27,$AR103)*$AS103*其他调用!Z102</f>
        <v>830.48960324960717</v>
      </c>
      <c r="BD103" s="52">
        <f>求节点(E$21:E$27,$O$21:$O$27,$AR103)*$AS103*其他调用!V102</f>
        <v>0</v>
      </c>
      <c r="BE103" s="52">
        <f>求节点(F$21:F$27,$O$21:$O$27,$AR103)*$AS103*其他调用!W102</f>
        <v>0</v>
      </c>
      <c r="BF103" s="52">
        <f>求节点(G$21:G$27,$O$21:$O$27,$AR103)*$AS103*其他调用!X102</f>
        <v>0</v>
      </c>
      <c r="BG103" s="52">
        <f>求节点(H$21:H$27,$O$21:$O$27,$AR103)*$AS103*其他调用!Y102</f>
        <v>0</v>
      </c>
      <c r="BH103" s="52">
        <f>求节点(I$21:I$27,$O$21:$O$27,$AR103)*$AS103*其他调用!Z102</f>
        <v>0</v>
      </c>
      <c r="BK103" s="31">
        <v>99</v>
      </c>
      <c r="BL103" s="31">
        <f>SUM(AT$5:AT103)</f>
        <v>946.27439936474923</v>
      </c>
      <c r="BM103" s="31">
        <f>SUM(AU$5:AU103)</f>
        <v>1112.8936350179583</v>
      </c>
      <c r="BN103" s="31">
        <f>SUM(AV$5:AV103)</f>
        <v>1078.1579698345183</v>
      </c>
      <c r="BO103" s="31">
        <f>SUM(AW$5:AW103)</f>
        <v>704.96766450982125</v>
      </c>
      <c r="BP103" s="31">
        <f>SUM(AX$5:AX103)</f>
        <v>333.4630769439176</v>
      </c>
      <c r="BQ103" s="31">
        <f>SUM(AY$5:AY103)</f>
        <v>18057.396504743116</v>
      </c>
      <c r="BR103" s="31">
        <f>SUM(AZ$5:AZ103)</f>
        <v>22855.137661151595</v>
      </c>
      <c r="BS103" s="31">
        <f>SUM(BA$5:BA103)</f>
        <v>25485.380576815456</v>
      </c>
      <c r="BT103" s="31">
        <f>SUM(BB$5:BB103)</f>
        <v>21314.132094533019</v>
      </c>
      <c r="BU103" s="31">
        <f>SUM(BC$5:BC103)</f>
        <v>11548.11674389807</v>
      </c>
      <c r="BV103" s="31">
        <f>SUM(BD$5:BD103)</f>
        <v>0</v>
      </c>
      <c r="BW103" s="31">
        <f>SUM(BE$5:BE103)</f>
        <v>0</v>
      </c>
      <c r="BX103" s="31">
        <f>SUM(BF$5:BF103)</f>
        <v>0</v>
      </c>
      <c r="BY103" s="31">
        <f>SUM(BG$5:BG103)</f>
        <v>0</v>
      </c>
      <c r="BZ103" s="31">
        <f>SUM(BH$5:BH103)</f>
        <v>0</v>
      </c>
      <c r="CC103" s="41">
        <v>99</v>
      </c>
      <c r="CD103" s="41">
        <f t="shared" si="57"/>
        <v>674.59122563742267</v>
      </c>
      <c r="CE103" s="41">
        <f t="shared" si="58"/>
        <v>850.01003171611387</v>
      </c>
      <c r="CF103" s="41">
        <f t="shared" si="59"/>
        <v>940.50542883109415</v>
      </c>
      <c r="CG103" s="41">
        <f t="shared" si="60"/>
        <v>777.71816821159757</v>
      </c>
      <c r="CH103" s="41">
        <f t="shared" si="61"/>
        <v>419.18992449890874</v>
      </c>
      <c r="CI103" s="41">
        <f t="shared" si="62"/>
        <v>275.59231956797049</v>
      </c>
      <c r="CJ103" s="41">
        <f t="shared" si="63"/>
        <v>348.39153309236372</v>
      </c>
      <c r="CK103" s="41">
        <f t="shared" si="64"/>
        <v>387.67149850140441</v>
      </c>
      <c r="CL103" s="41">
        <f t="shared" si="65"/>
        <v>323.23681974054438</v>
      </c>
      <c r="CM103" s="41">
        <f t="shared" si="66"/>
        <v>174.88906654319064</v>
      </c>
      <c r="CN103" s="41">
        <f t="shared" si="67"/>
        <v>0</v>
      </c>
      <c r="CO103" s="41">
        <f t="shared" si="68"/>
        <v>0</v>
      </c>
      <c r="CP103" s="41">
        <f t="shared" si="69"/>
        <v>0</v>
      </c>
      <c r="CQ103" s="41">
        <f t="shared" si="70"/>
        <v>0</v>
      </c>
      <c r="CR103" s="41">
        <f t="shared" si="71"/>
        <v>0</v>
      </c>
    </row>
    <row r="104" spans="23:96" x14ac:dyDescent="0.15">
      <c r="W104" s="117">
        <v>1.05</v>
      </c>
      <c r="X104" s="31">
        <v>100</v>
      </c>
      <c r="Y104" s="113">
        <f t="shared" si="54"/>
        <v>52.600503138521567</v>
      </c>
      <c r="Z104" s="42">
        <f t="shared" si="55"/>
        <v>0.12</v>
      </c>
      <c r="AA104" s="113">
        <f>$Y104*$Z104*其他调用!V103</f>
        <v>19910.851410357762</v>
      </c>
      <c r="AB104" s="113">
        <f>$Y104*$Z104*其他调用!W103</f>
        <v>25046.383456620857</v>
      </c>
      <c r="AC104" s="113">
        <f>$Y104*$Z104*其他调用!X103</f>
        <v>27812.865017975953</v>
      </c>
      <c r="AD104" s="113">
        <f>$Y104*$Z104*其他调用!Y103</f>
        <v>21342.164863498288</v>
      </c>
      <c r="AE104" s="113">
        <f>$Y104*$Z104*其他调用!Z103</f>
        <v>11017.473479924694</v>
      </c>
      <c r="AH104" s="31">
        <v>100</v>
      </c>
      <c r="AI104" s="31">
        <f>SUM(AA$5:AA104)</f>
        <v>178736.2009103793</v>
      </c>
      <c r="AJ104" s="31">
        <f>SUM(AB$5:AB104)</f>
        <v>222276.58353951809</v>
      </c>
      <c r="AK104" s="31">
        <f>SUM(AC$5:AC104)</f>
        <v>243725.46753039636</v>
      </c>
      <c r="AL104" s="31">
        <f>SUM(AD$5:AD104)</f>
        <v>197759.78034725608</v>
      </c>
      <c r="AM104" s="31">
        <f>SUM(AE$5:AE104)</f>
        <v>105956.561066628</v>
      </c>
      <c r="AR104" s="31">
        <v>100</v>
      </c>
      <c r="AS104" s="42">
        <f t="shared" si="56"/>
        <v>8.0000000000000016E-2</v>
      </c>
      <c r="AT104" s="52">
        <f>求节点(E$21:E$27,$M$21:$M$27,$AR104)*$AS104*其他调用!V103</f>
        <v>0</v>
      </c>
      <c r="AU104" s="52">
        <f>求节点(F$21:F$27,$M$21:$M$27,$AR104)*$AS104*其他调用!W103</f>
        <v>0</v>
      </c>
      <c r="AV104" s="52">
        <f>求节点(G$21:G$27,$M$21:$M$27,$AR104)*$AS104*其他调用!X103</f>
        <v>0</v>
      </c>
      <c r="AW104" s="52">
        <f>求节点(H$21:H$27,$M$21:$M$27,$AR104)*$AS104*其他调用!Y103</f>
        <v>0</v>
      </c>
      <c r="AX104" s="52">
        <f>求节点(I$21:I$27,$M$21:$M$27,$AR104)*$AS104*其他调用!Z103</f>
        <v>0</v>
      </c>
      <c r="AY104" s="52">
        <f>求节点(E$21:E$27,$N$21:$N$27,$AR104)*$AS104*其他调用!V103</f>
        <v>1514.1187039921074</v>
      </c>
      <c r="AZ104" s="52">
        <f>求节点(F$21:F$27,$N$21:$N$27,$AR104)*$AS104*其他调用!W103</f>
        <v>1904.6497247877721</v>
      </c>
      <c r="BA104" s="52">
        <f>求节点(G$21:G$27,$N$21:$N$27,$AR104)*$AS104*其他调用!X103</f>
        <v>2115.0265384140348</v>
      </c>
      <c r="BB104" s="52">
        <f>求节点(H$21:H$27,$N$21:$N$27,$AR104)*$AS104*其他调用!Y103</f>
        <v>1622.9627923743965</v>
      </c>
      <c r="BC104" s="52">
        <f>求节点(I$21:I$27,$N$21:$N$27,$AR104)*$AS104*其他调用!Z103</f>
        <v>837.82266879923714</v>
      </c>
      <c r="BD104" s="52">
        <f>求节点(E$21:E$27,$O$21:$O$27,$AR104)*$AS104*其他调用!V103</f>
        <v>0</v>
      </c>
      <c r="BE104" s="52">
        <f>求节点(F$21:F$27,$O$21:$O$27,$AR104)*$AS104*其他调用!W103</f>
        <v>0</v>
      </c>
      <c r="BF104" s="52">
        <f>求节点(G$21:G$27,$O$21:$O$27,$AR104)*$AS104*其他调用!X103</f>
        <v>0</v>
      </c>
      <c r="BG104" s="52">
        <f>求节点(H$21:H$27,$O$21:$O$27,$AR104)*$AS104*其他调用!Y103</f>
        <v>0</v>
      </c>
      <c r="BH104" s="52">
        <f>求节点(I$21:I$27,$O$21:$O$27,$AR104)*$AS104*其他调用!Z103</f>
        <v>0</v>
      </c>
      <c r="BK104" s="31">
        <v>100</v>
      </c>
      <c r="BL104" s="31">
        <f>SUM(AT$5:AT104)</f>
        <v>946.27439936474923</v>
      </c>
      <c r="BM104" s="31">
        <f>SUM(AU$5:AU104)</f>
        <v>1112.8936350179583</v>
      </c>
      <c r="BN104" s="31">
        <f>SUM(AV$5:AV104)</f>
        <v>1078.1579698345183</v>
      </c>
      <c r="BO104" s="31">
        <f>SUM(AW$5:AW104)</f>
        <v>704.96766450982125</v>
      </c>
      <c r="BP104" s="31">
        <f>SUM(AX$5:AX104)</f>
        <v>333.4630769439176</v>
      </c>
      <c r="BQ104" s="31">
        <f>SUM(AY$5:AY104)</f>
        <v>19571.515208735222</v>
      </c>
      <c r="BR104" s="31">
        <f>SUM(AZ$5:AZ104)</f>
        <v>24759.787385939366</v>
      </c>
      <c r="BS104" s="31">
        <f>SUM(BA$5:BA104)</f>
        <v>27600.407115229493</v>
      </c>
      <c r="BT104" s="31">
        <f>SUM(BB$5:BB104)</f>
        <v>22937.094886907416</v>
      </c>
      <c r="BU104" s="31">
        <f>SUM(BC$5:BC104)</f>
        <v>12385.939412697307</v>
      </c>
      <c r="BV104" s="31">
        <f>SUM(BD$5:BD104)</f>
        <v>0</v>
      </c>
      <c r="BW104" s="31">
        <f>SUM(BE$5:BE104)</f>
        <v>0</v>
      </c>
      <c r="BX104" s="31">
        <f>SUM(BF$5:BF104)</f>
        <v>0</v>
      </c>
      <c r="BY104" s="31">
        <f>SUM(BG$5:BG104)</f>
        <v>0</v>
      </c>
      <c r="BZ104" s="31">
        <f>SUM(BH$5:BH104)</f>
        <v>0</v>
      </c>
      <c r="CC104" s="41">
        <v>100</v>
      </c>
      <c r="CD104" s="41">
        <f t="shared" si="57"/>
        <v>727.58538027714644</v>
      </c>
      <c r="CE104" s="41">
        <f t="shared" si="58"/>
        <v>916.67277208368591</v>
      </c>
      <c r="CF104" s="41">
        <f t="shared" si="59"/>
        <v>1014.5313576755855</v>
      </c>
      <c r="CG104" s="41">
        <f t="shared" si="60"/>
        <v>834.52186594470152</v>
      </c>
      <c r="CH104" s="41">
        <f t="shared" si="61"/>
        <v>448.51371790688199</v>
      </c>
      <c r="CI104" s="41">
        <f t="shared" si="62"/>
        <v>298.30410012785205</v>
      </c>
      <c r="CJ104" s="41">
        <f t="shared" si="63"/>
        <v>376.96127896418028</v>
      </c>
      <c r="CK104" s="41">
        <f t="shared" si="64"/>
        <v>419.396896577615</v>
      </c>
      <c r="CL104" s="41">
        <f t="shared" si="65"/>
        <v>347.58126162616037</v>
      </c>
      <c r="CM104" s="41">
        <f t="shared" si="66"/>
        <v>187.45640657517919</v>
      </c>
      <c r="CN104" s="41">
        <f t="shared" si="67"/>
        <v>0</v>
      </c>
      <c r="CO104" s="41">
        <f t="shared" si="68"/>
        <v>0</v>
      </c>
      <c r="CP104" s="41">
        <f t="shared" si="69"/>
        <v>0</v>
      </c>
      <c r="CQ104" s="41">
        <f t="shared" si="70"/>
        <v>0</v>
      </c>
      <c r="CR104" s="41">
        <f t="shared" si="71"/>
        <v>0</v>
      </c>
    </row>
    <row r="105" spans="23:96" x14ac:dyDescent="0.15">
      <c r="W105" s="117">
        <v>1.05</v>
      </c>
      <c r="X105" s="31">
        <v>101</v>
      </c>
      <c r="Y105" s="113">
        <f t="shared" si="54"/>
        <v>55.230528295447648</v>
      </c>
      <c r="Z105" s="42">
        <f t="shared" si="55"/>
        <v>0.12</v>
      </c>
      <c r="AA105" s="113">
        <f>$Y105*$Z105*其他调用!V104</f>
        <v>22406.918266030727</v>
      </c>
      <c r="AB105" s="113">
        <f>$Y105*$Z105*其他调用!W104</f>
        <v>28692.755238617839</v>
      </c>
      <c r="AC105" s="113">
        <f>$Y105*$Z105*其他调用!X104</f>
        <v>30025.72059854494</v>
      </c>
      <c r="AD105" s="113">
        <f>$Y105*$Z105*其他调用!Y104</f>
        <v>22605.036820572968</v>
      </c>
      <c r="AE105" s="113">
        <f>$Y105*$Z105*其他调用!Z104</f>
        <v>12697.577110338989</v>
      </c>
      <c r="AH105" s="31">
        <v>101</v>
      </c>
      <c r="AI105" s="31">
        <f>SUM(AA$5:AA105)</f>
        <v>201143.11917641002</v>
      </c>
      <c r="AJ105" s="31">
        <f>SUM(AB$5:AB105)</f>
        <v>250969.33877813592</v>
      </c>
      <c r="AK105" s="31">
        <f>SUM(AC$5:AC105)</f>
        <v>273751.18812894128</v>
      </c>
      <c r="AL105" s="31">
        <f>SUM(AD$5:AD105)</f>
        <v>220364.81716782905</v>
      </c>
      <c r="AM105" s="31">
        <f>SUM(AE$5:AE105)</f>
        <v>118654.13817696698</v>
      </c>
      <c r="AR105" s="31">
        <v>101</v>
      </c>
      <c r="AS105" s="42">
        <f t="shared" si="56"/>
        <v>8.0000000000000016E-2</v>
      </c>
      <c r="AT105" s="52">
        <f>求节点(E$21:E$27,$M$21:$M$27,$AR105)*$AS105*其他调用!V104</f>
        <v>0</v>
      </c>
      <c r="AU105" s="52">
        <f>求节点(F$21:F$27,$M$21:$M$27,$AR105)*$AS105*其他调用!W104</f>
        <v>0</v>
      </c>
      <c r="AV105" s="52">
        <f>求节点(G$21:G$27,$M$21:$M$27,$AR105)*$AS105*其他调用!X104</f>
        <v>0</v>
      </c>
      <c r="AW105" s="52">
        <f>求节点(H$21:H$27,$M$21:$M$27,$AR105)*$AS105*其他调用!Y104</f>
        <v>0</v>
      </c>
      <c r="AX105" s="52">
        <f>求节点(I$21:I$27,$M$21:$M$27,$AR105)*$AS105*其他调用!Z104</f>
        <v>0</v>
      </c>
      <c r="AY105" s="52">
        <f>求节点(E$21:E$27,$N$21:$N$27,$AR105)*$AS105*其他调用!V104</f>
        <v>1622.792246068565</v>
      </c>
      <c r="AZ105" s="52">
        <f>求节点(F$21:F$27,$N$21:$N$27,$AR105)*$AS105*其他调用!W104</f>
        <v>2078.0359068904891</v>
      </c>
      <c r="BA105" s="52">
        <f>求节点(G$21:G$27,$N$21:$N$27,$AR105)*$AS105*其他调用!X104</f>
        <v>2174.574209243608</v>
      </c>
      <c r="BB105" s="52">
        <f>求节点(H$21:H$27,$N$21:$N$27,$AR105)*$AS105*其他调用!Y104</f>
        <v>1637.1407276534187</v>
      </c>
      <c r="BC105" s="52">
        <f>求节点(I$21:I$27,$N$21:$N$27,$AR105)*$AS105*其他调用!Z104</f>
        <v>919.60569650285834</v>
      </c>
      <c r="BD105" s="52">
        <f>求节点(E$21:E$27,$O$21:$O$27,$AR105)*$AS105*其他调用!V104</f>
        <v>0</v>
      </c>
      <c r="BE105" s="52">
        <f>求节点(F$21:F$27,$O$21:$O$27,$AR105)*$AS105*其他调用!W104</f>
        <v>0</v>
      </c>
      <c r="BF105" s="52">
        <f>求节点(G$21:G$27,$O$21:$O$27,$AR105)*$AS105*其他调用!X104</f>
        <v>0</v>
      </c>
      <c r="BG105" s="52">
        <f>求节点(H$21:H$27,$O$21:$O$27,$AR105)*$AS105*其他调用!Y104</f>
        <v>0</v>
      </c>
      <c r="BH105" s="52">
        <f>求节点(I$21:I$27,$O$21:$O$27,$AR105)*$AS105*其他调用!Z104</f>
        <v>0</v>
      </c>
      <c r="BK105" s="31">
        <v>101</v>
      </c>
      <c r="BL105" s="31">
        <f>SUM(AT$5:AT105)</f>
        <v>946.27439936474923</v>
      </c>
      <c r="BM105" s="31">
        <f>SUM(AU$5:AU105)</f>
        <v>1112.8936350179583</v>
      </c>
      <c r="BN105" s="31">
        <f>SUM(AV$5:AV105)</f>
        <v>1078.1579698345183</v>
      </c>
      <c r="BO105" s="31">
        <f>SUM(AW$5:AW105)</f>
        <v>704.96766450982125</v>
      </c>
      <c r="BP105" s="31">
        <f>SUM(AX$5:AX105)</f>
        <v>333.4630769439176</v>
      </c>
      <c r="BQ105" s="31">
        <f>SUM(AY$5:AY105)</f>
        <v>21194.307454803788</v>
      </c>
      <c r="BR105" s="31">
        <f>SUM(AZ$5:AZ105)</f>
        <v>26837.823292829853</v>
      </c>
      <c r="BS105" s="31">
        <f>SUM(BA$5:BA105)</f>
        <v>29774.981324473101</v>
      </c>
      <c r="BT105" s="31">
        <f>SUM(BB$5:BB105)</f>
        <v>24574.235614560836</v>
      </c>
      <c r="BU105" s="31">
        <f>SUM(BC$5:BC105)</f>
        <v>13305.545109200166</v>
      </c>
      <c r="BV105" s="31">
        <f>SUM(BD$5:BD105)</f>
        <v>0</v>
      </c>
      <c r="BW105" s="31">
        <f>SUM(BE$5:BE105)</f>
        <v>0</v>
      </c>
      <c r="BX105" s="31">
        <f>SUM(BF$5:BF105)</f>
        <v>0</v>
      </c>
      <c r="BY105" s="31">
        <f>SUM(BG$5:BG105)</f>
        <v>0</v>
      </c>
      <c r="BZ105" s="31">
        <f>SUM(BH$5:BH105)</f>
        <v>0</v>
      </c>
      <c r="CC105" s="41">
        <v>101</v>
      </c>
      <c r="CD105" s="41">
        <f t="shared" si="57"/>
        <v>784.38310888954618</v>
      </c>
      <c r="CE105" s="41">
        <f t="shared" si="58"/>
        <v>989.40402882485307</v>
      </c>
      <c r="CF105" s="41">
        <f t="shared" si="59"/>
        <v>1090.6414549991118</v>
      </c>
      <c r="CG105" s="41">
        <f t="shared" si="60"/>
        <v>891.82179141257109</v>
      </c>
      <c r="CH105" s="41">
        <f t="shared" si="61"/>
        <v>480.69991728448201</v>
      </c>
      <c r="CI105" s="41">
        <f t="shared" si="62"/>
        <v>322.64598381888055</v>
      </c>
      <c r="CJ105" s="41">
        <f t="shared" si="63"/>
        <v>408.13181756753755</v>
      </c>
      <c r="CK105" s="41">
        <f t="shared" si="64"/>
        <v>452.01550971626909</v>
      </c>
      <c r="CL105" s="41">
        <f t="shared" si="65"/>
        <v>372.1383725409616</v>
      </c>
      <c r="CM105" s="41">
        <f t="shared" si="66"/>
        <v>201.25049202272209</v>
      </c>
      <c r="CN105" s="41">
        <f t="shared" si="67"/>
        <v>0</v>
      </c>
      <c r="CO105" s="41">
        <f t="shared" si="68"/>
        <v>0</v>
      </c>
      <c r="CP105" s="41">
        <f t="shared" si="69"/>
        <v>0</v>
      </c>
      <c r="CQ105" s="41">
        <f t="shared" si="70"/>
        <v>0</v>
      </c>
      <c r="CR105" s="41">
        <f t="shared" si="71"/>
        <v>0</v>
      </c>
    </row>
    <row r="106" spans="23:96" x14ac:dyDescent="0.15">
      <c r="W106" s="117">
        <v>1.05</v>
      </c>
      <c r="X106" s="31">
        <v>102</v>
      </c>
      <c r="Y106" s="113">
        <f t="shared" si="54"/>
        <v>57.992054710220032</v>
      </c>
      <c r="Z106" s="42">
        <f t="shared" si="55"/>
        <v>0.12</v>
      </c>
      <c r="AA106" s="113">
        <f>$Y106*$Z106*其他调用!V105</f>
        <v>25215.897393489329</v>
      </c>
      <c r="AB106" s="113">
        <f>$Y106*$Z106*其他调用!W105</f>
        <v>30156.655921088597</v>
      </c>
      <c r="AC106" s="113">
        <f>$Y106*$Z106*其他调用!X105</f>
        <v>31512.077256531971</v>
      </c>
      <c r="AD106" s="113">
        <f>$Y106*$Z106*其他调用!Y105</f>
        <v>25600.625842244997</v>
      </c>
      <c r="AE106" s="113">
        <f>$Y106*$Z106*其他调用!Z105</f>
        <v>14232.859365432787</v>
      </c>
      <c r="AH106" s="31">
        <v>102</v>
      </c>
      <c r="AI106" s="31">
        <f>SUM(AA$5:AA106)</f>
        <v>226359.01656989934</v>
      </c>
      <c r="AJ106" s="31">
        <f>SUM(AB$5:AB106)</f>
        <v>281125.99469922454</v>
      </c>
      <c r="AK106" s="31">
        <f>SUM(AC$5:AC106)</f>
        <v>305263.26538547326</v>
      </c>
      <c r="AL106" s="31">
        <f>SUM(AD$5:AD106)</f>
        <v>245965.44301007406</v>
      </c>
      <c r="AM106" s="31">
        <f>SUM(AE$5:AE106)</f>
        <v>132886.99754239977</v>
      </c>
      <c r="AR106" s="31">
        <v>102</v>
      </c>
      <c r="AS106" s="42">
        <f t="shared" si="56"/>
        <v>8.0000000000000016E-2</v>
      </c>
      <c r="AT106" s="52">
        <f>求节点(E$21:E$27,$M$21:$M$27,$AR106)*$AS106*其他调用!V105</f>
        <v>0</v>
      </c>
      <c r="AU106" s="52">
        <f>求节点(F$21:F$27,$M$21:$M$27,$AR106)*$AS106*其他调用!W105</f>
        <v>0</v>
      </c>
      <c r="AV106" s="52">
        <f>求节点(G$21:G$27,$M$21:$M$27,$AR106)*$AS106*其他调用!X105</f>
        <v>0</v>
      </c>
      <c r="AW106" s="52">
        <f>求节点(H$21:H$27,$M$21:$M$27,$AR106)*$AS106*其他调用!Y105</f>
        <v>0</v>
      </c>
      <c r="AX106" s="52">
        <f>求节点(I$21:I$27,$M$21:$M$27,$AR106)*$AS106*其他调用!Z105</f>
        <v>0</v>
      </c>
      <c r="AY106" s="52">
        <f>求节点(E$21:E$27,$N$21:$N$27,$AR106)*$AS106*其他调用!V105</f>
        <v>1739.2656645459742</v>
      </c>
      <c r="AZ106" s="52">
        <f>求节点(F$21:F$27,$N$21:$N$27,$AR106)*$AS106*其他调用!W105</f>
        <v>2080.0543158388246</v>
      </c>
      <c r="BA106" s="52">
        <f>求节点(G$21:G$27,$N$21:$N$27,$AR106)*$AS106*其他调用!X105</f>
        <v>2173.5444563221213</v>
      </c>
      <c r="BB106" s="52">
        <f>求节点(H$21:H$27,$N$21:$N$27,$AR106)*$AS106*其他调用!Y105</f>
        <v>1765.8022962054742</v>
      </c>
      <c r="BC106" s="52">
        <f>求节点(I$21:I$27,$N$21:$N$27,$AR106)*$AS106*其他调用!Z105</f>
        <v>981.71099034533859</v>
      </c>
      <c r="BD106" s="52">
        <f>求节点(E$21:E$27,$O$21:$O$27,$AR106)*$AS106*其他调用!V105</f>
        <v>0</v>
      </c>
      <c r="BE106" s="52">
        <f>求节点(F$21:F$27,$O$21:$O$27,$AR106)*$AS106*其他调用!W105</f>
        <v>0</v>
      </c>
      <c r="BF106" s="52">
        <f>求节点(G$21:G$27,$O$21:$O$27,$AR106)*$AS106*其他调用!X105</f>
        <v>0</v>
      </c>
      <c r="BG106" s="52">
        <f>求节点(H$21:H$27,$O$21:$O$27,$AR106)*$AS106*其他调用!Y105</f>
        <v>0</v>
      </c>
      <c r="BH106" s="52">
        <f>求节点(I$21:I$27,$O$21:$O$27,$AR106)*$AS106*其他调用!Z105</f>
        <v>0</v>
      </c>
      <c r="BK106" s="31">
        <v>102</v>
      </c>
      <c r="BL106" s="31">
        <f>SUM(AT$5:AT106)</f>
        <v>946.27439936474923</v>
      </c>
      <c r="BM106" s="31">
        <f>SUM(AU$5:AU106)</f>
        <v>1112.8936350179583</v>
      </c>
      <c r="BN106" s="31">
        <f>SUM(AV$5:AV106)</f>
        <v>1078.1579698345183</v>
      </c>
      <c r="BO106" s="31">
        <f>SUM(AW$5:AW106)</f>
        <v>704.96766450982125</v>
      </c>
      <c r="BP106" s="31">
        <f>SUM(AX$5:AX106)</f>
        <v>333.4630769439176</v>
      </c>
      <c r="BQ106" s="31">
        <f>SUM(AY$5:AY106)</f>
        <v>22933.573119349763</v>
      </c>
      <c r="BR106" s="31">
        <f>SUM(AZ$5:AZ106)</f>
        <v>28917.877608668678</v>
      </c>
      <c r="BS106" s="31">
        <f>SUM(BA$5:BA106)</f>
        <v>31948.525780795222</v>
      </c>
      <c r="BT106" s="31">
        <f>SUM(BB$5:BB106)</f>
        <v>26340.03791076631</v>
      </c>
      <c r="BU106" s="31">
        <f>SUM(BC$5:BC106)</f>
        <v>14287.256099545504</v>
      </c>
      <c r="BV106" s="31">
        <f>SUM(BD$5:BD106)</f>
        <v>0</v>
      </c>
      <c r="BW106" s="31">
        <f>SUM(BE$5:BE106)</f>
        <v>0</v>
      </c>
      <c r="BX106" s="31">
        <f>SUM(BF$5:BF106)</f>
        <v>0</v>
      </c>
      <c r="BY106" s="31">
        <f>SUM(BG$5:BG106)</f>
        <v>0</v>
      </c>
      <c r="BZ106" s="31">
        <f>SUM(BH$5:BH106)</f>
        <v>0</v>
      </c>
      <c r="CC106" s="41">
        <v>102</v>
      </c>
      <c r="CD106" s="41">
        <f t="shared" si="57"/>
        <v>845.25740714865537</v>
      </c>
      <c r="CE106" s="41">
        <f t="shared" si="58"/>
        <v>1062.2059298792119</v>
      </c>
      <c r="CF106" s="41">
        <f t="shared" si="59"/>
        <v>1166.7155109703858</v>
      </c>
      <c r="CG106" s="41">
        <f t="shared" si="60"/>
        <v>953.62487177976277</v>
      </c>
      <c r="CH106" s="41">
        <f t="shared" si="61"/>
        <v>515.05980194656888</v>
      </c>
      <c r="CI106" s="41">
        <f t="shared" si="62"/>
        <v>348.73496878707022</v>
      </c>
      <c r="CJ106" s="41">
        <f t="shared" si="63"/>
        <v>439.33263230511994</v>
      </c>
      <c r="CK106" s="41">
        <f t="shared" si="64"/>
        <v>484.61867656110087</v>
      </c>
      <c r="CL106" s="41">
        <f t="shared" si="65"/>
        <v>398.62540698404371</v>
      </c>
      <c r="CM106" s="41">
        <f t="shared" si="66"/>
        <v>215.97615687790213</v>
      </c>
      <c r="CN106" s="41">
        <f t="shared" si="67"/>
        <v>0</v>
      </c>
      <c r="CO106" s="41">
        <f t="shared" si="68"/>
        <v>0</v>
      </c>
      <c r="CP106" s="41">
        <f t="shared" si="69"/>
        <v>0</v>
      </c>
      <c r="CQ106" s="41">
        <f t="shared" si="70"/>
        <v>0</v>
      </c>
      <c r="CR106" s="41">
        <f t="shared" si="71"/>
        <v>0</v>
      </c>
    </row>
    <row r="107" spans="23:96" x14ac:dyDescent="0.15">
      <c r="W107" s="117">
        <v>1.05</v>
      </c>
      <c r="X107" s="31">
        <v>103</v>
      </c>
      <c r="Y107" s="113">
        <f t="shared" si="54"/>
        <v>60.891657445731035</v>
      </c>
      <c r="Z107" s="42">
        <f t="shared" si="55"/>
        <v>0.12</v>
      </c>
      <c r="AA107" s="113">
        <f>$Y107*$Z107*其他调用!V106</f>
        <v>28377.016143399345</v>
      </c>
      <c r="AB107" s="113">
        <f>$Y107*$Z107*其他调用!W106</f>
        <v>33837.878202306769</v>
      </c>
      <c r="AC107" s="113">
        <f>$Y107*$Z107*其他调用!X106</f>
        <v>36080.993197598349</v>
      </c>
      <c r="AD107" s="113">
        <f>$Y107*$Z107*其他调用!Y106</f>
        <v>30818.833515727853</v>
      </c>
      <c r="AE107" s="113">
        <f>$Y107*$Z107*其他调用!Z106</f>
        <v>16901.597571670773</v>
      </c>
      <c r="AH107" s="31">
        <v>103</v>
      </c>
      <c r="AI107" s="31">
        <f>SUM(AA$5:AA107)</f>
        <v>254736.03271329869</v>
      </c>
      <c r="AJ107" s="31">
        <f>SUM(AB$5:AB107)</f>
        <v>314963.87290153129</v>
      </c>
      <c r="AK107" s="31">
        <f>SUM(AC$5:AC107)</f>
        <v>341344.25858307164</v>
      </c>
      <c r="AL107" s="31">
        <f>SUM(AD$5:AD107)</f>
        <v>276784.27652580192</v>
      </c>
      <c r="AM107" s="31">
        <f>SUM(AE$5:AE107)</f>
        <v>149788.59511407054</v>
      </c>
      <c r="AR107" s="31">
        <v>103</v>
      </c>
      <c r="AS107" s="42">
        <f t="shared" si="56"/>
        <v>8.0000000000000016E-2</v>
      </c>
      <c r="AT107" s="52">
        <f>求节点(E$21:E$27,$M$21:$M$27,$AR107)*$AS107*其他调用!V106</f>
        <v>0</v>
      </c>
      <c r="AU107" s="52">
        <f>求节点(F$21:F$27,$M$21:$M$27,$AR107)*$AS107*其他调用!W106</f>
        <v>0</v>
      </c>
      <c r="AV107" s="52">
        <f>求节点(G$21:G$27,$M$21:$M$27,$AR107)*$AS107*其他调用!X106</f>
        <v>0</v>
      </c>
      <c r="AW107" s="52">
        <f>求节点(H$21:H$27,$M$21:$M$27,$AR107)*$AS107*其他调用!Y106</f>
        <v>0</v>
      </c>
      <c r="AX107" s="52">
        <f>求节点(I$21:I$27,$M$21:$M$27,$AR107)*$AS107*其他调用!Z106</f>
        <v>0</v>
      </c>
      <c r="AY107" s="52">
        <f>求节点(E$21:E$27,$N$21:$N$27,$AR107)*$AS107*其他调用!V106</f>
        <v>1864.0987835609521</v>
      </c>
      <c r="AZ107" s="52">
        <f>求节点(F$21:F$27,$N$21:$N$27,$AR107)*$AS107*其他调用!W106</f>
        <v>2222.8252356220974</v>
      </c>
      <c r="BA107" s="52">
        <f>求节点(G$21:G$27,$N$21:$N$27,$AR107)*$AS107*其他调用!X106</f>
        <v>2370.1764551083284</v>
      </c>
      <c r="BB107" s="52">
        <f>求节点(H$21:H$27,$N$21:$N$27,$AR107)*$AS107*其他调用!Y106</f>
        <v>2024.5028503745216</v>
      </c>
      <c r="BC107" s="52">
        <f>求节点(I$21:I$27,$N$21:$N$27,$AR107)*$AS107*其他调用!Z106</f>
        <v>1110.273445043543</v>
      </c>
      <c r="BD107" s="52">
        <f>求节点(E$21:E$27,$O$21:$O$27,$AR107)*$AS107*其他调用!V106</f>
        <v>0</v>
      </c>
      <c r="BE107" s="52">
        <f>求节点(F$21:F$27,$O$21:$O$27,$AR107)*$AS107*其他调用!W106</f>
        <v>0</v>
      </c>
      <c r="BF107" s="52">
        <f>求节点(G$21:G$27,$O$21:$O$27,$AR107)*$AS107*其他调用!X106</f>
        <v>0</v>
      </c>
      <c r="BG107" s="52">
        <f>求节点(H$21:H$27,$O$21:$O$27,$AR107)*$AS107*其他调用!Y106</f>
        <v>0</v>
      </c>
      <c r="BH107" s="52">
        <f>求节点(I$21:I$27,$O$21:$O$27,$AR107)*$AS107*其他调用!Z106</f>
        <v>0</v>
      </c>
      <c r="BK107" s="31">
        <v>103</v>
      </c>
      <c r="BL107" s="31">
        <f>SUM(AT$5:AT107)</f>
        <v>946.27439936474923</v>
      </c>
      <c r="BM107" s="31">
        <f>SUM(AU$5:AU107)</f>
        <v>1112.8936350179583</v>
      </c>
      <c r="BN107" s="31">
        <f>SUM(AV$5:AV107)</f>
        <v>1078.1579698345183</v>
      </c>
      <c r="BO107" s="31">
        <f>SUM(AW$5:AW107)</f>
        <v>704.96766450982125</v>
      </c>
      <c r="BP107" s="31">
        <f>SUM(AX$5:AX107)</f>
        <v>333.4630769439176</v>
      </c>
      <c r="BQ107" s="31">
        <f>SUM(AY$5:AY107)</f>
        <v>24797.671902910715</v>
      </c>
      <c r="BR107" s="31">
        <f>SUM(AZ$5:AZ107)</f>
        <v>31140.702844290776</v>
      </c>
      <c r="BS107" s="31">
        <f>SUM(BA$5:BA107)</f>
        <v>34318.702235903547</v>
      </c>
      <c r="BT107" s="31">
        <f>SUM(BB$5:BB107)</f>
        <v>28364.54076114083</v>
      </c>
      <c r="BU107" s="31">
        <f>SUM(BC$5:BC107)</f>
        <v>15397.529544589048</v>
      </c>
      <c r="BV107" s="31">
        <f>SUM(BD$5:BD107)</f>
        <v>0</v>
      </c>
      <c r="BW107" s="31">
        <f>SUM(BE$5:BE107)</f>
        <v>0</v>
      </c>
      <c r="BX107" s="31">
        <f>SUM(BF$5:BF107)</f>
        <v>0</v>
      </c>
      <c r="BY107" s="31">
        <f>SUM(BG$5:BG107)</f>
        <v>0</v>
      </c>
      <c r="BZ107" s="31">
        <f>SUM(BH$5:BH107)</f>
        <v>0</v>
      </c>
      <c r="CC107" s="41">
        <v>103</v>
      </c>
      <c r="CD107" s="41">
        <f t="shared" si="57"/>
        <v>910.50086457328871</v>
      </c>
      <c r="CE107" s="41">
        <f t="shared" si="58"/>
        <v>1140.0048131259853</v>
      </c>
      <c r="CF107" s="41">
        <f t="shared" si="59"/>
        <v>1249.6716868991775</v>
      </c>
      <c r="CG107" s="41">
        <f t="shared" si="60"/>
        <v>1024.4824715428708</v>
      </c>
      <c r="CH107" s="41">
        <f t="shared" si="61"/>
        <v>553.91937252309287</v>
      </c>
      <c r="CI107" s="41">
        <f t="shared" si="62"/>
        <v>376.69645054048448</v>
      </c>
      <c r="CJ107" s="41">
        <f t="shared" si="63"/>
        <v>472.67501083945137</v>
      </c>
      <c r="CK107" s="41">
        <f t="shared" si="64"/>
        <v>520.17132338772581</v>
      </c>
      <c r="CL107" s="41">
        <f t="shared" si="65"/>
        <v>428.99294973966153</v>
      </c>
      <c r="CM107" s="41">
        <f t="shared" si="66"/>
        <v>232.63025855355531</v>
      </c>
      <c r="CN107" s="41">
        <f t="shared" si="67"/>
        <v>0</v>
      </c>
      <c r="CO107" s="41">
        <f t="shared" si="68"/>
        <v>0</v>
      </c>
      <c r="CP107" s="41">
        <f t="shared" si="69"/>
        <v>0</v>
      </c>
      <c r="CQ107" s="41">
        <f t="shared" si="70"/>
        <v>0</v>
      </c>
      <c r="CR107" s="41">
        <f t="shared" si="71"/>
        <v>0</v>
      </c>
    </row>
    <row r="108" spans="23:96" x14ac:dyDescent="0.15">
      <c r="W108" s="117">
        <v>1.05</v>
      </c>
      <c r="X108" s="31">
        <v>104</v>
      </c>
      <c r="Y108" s="113">
        <f t="shared" si="54"/>
        <v>63.936240318017589</v>
      </c>
      <c r="Z108" s="42">
        <f t="shared" si="55"/>
        <v>0.12</v>
      </c>
      <c r="AA108" s="113">
        <f>$Y108*$Z108*其他调用!V107</f>
        <v>31934.419490881923</v>
      </c>
      <c r="AB108" s="113">
        <f>$Y108*$Z108*其他调用!W107</f>
        <v>39356.255662193136</v>
      </c>
      <c r="AC108" s="113">
        <f>$Y108*$Z108*其他调用!X107</f>
        <v>45134.186890272795</v>
      </c>
      <c r="AD108" s="113">
        <f>$Y108*$Z108*其他调用!Y107</f>
        <v>36787.682023639063</v>
      </c>
      <c r="AE108" s="113">
        <f>$Y108*$Z108*其他调用!Z107</f>
        <v>20087.39720918395</v>
      </c>
      <c r="AH108" s="31">
        <v>104</v>
      </c>
      <c r="AI108" s="31">
        <f>SUM(AA$5:AA108)</f>
        <v>286670.45220418059</v>
      </c>
      <c r="AJ108" s="31">
        <f>SUM(AB$5:AB108)</f>
        <v>354320.1285637244</v>
      </c>
      <c r="AK108" s="31">
        <f>SUM(AC$5:AC108)</f>
        <v>386478.44547334441</v>
      </c>
      <c r="AL108" s="31">
        <f>SUM(AD$5:AD108)</f>
        <v>313571.95854944095</v>
      </c>
      <c r="AM108" s="31">
        <f>SUM(AE$5:AE108)</f>
        <v>169875.9923232545</v>
      </c>
      <c r="AR108" s="31">
        <v>104</v>
      </c>
      <c r="AS108" s="42">
        <f t="shared" si="56"/>
        <v>8.0000000000000016E-2</v>
      </c>
      <c r="AT108" s="52">
        <f>求节点(E$21:E$27,$M$21:$M$27,$AR108)*$AS108*其他调用!V107</f>
        <v>0</v>
      </c>
      <c r="AU108" s="52">
        <f>求节点(F$21:F$27,$M$21:$M$27,$AR108)*$AS108*其他调用!W107</f>
        <v>0</v>
      </c>
      <c r="AV108" s="52">
        <f>求节点(G$21:G$27,$M$21:$M$27,$AR108)*$AS108*其他调用!X107</f>
        <v>0</v>
      </c>
      <c r="AW108" s="52">
        <f>求节点(H$21:H$27,$M$21:$M$27,$AR108)*$AS108*其他调用!Y107</f>
        <v>0</v>
      </c>
      <c r="AX108" s="52">
        <f>求节点(I$21:I$27,$M$21:$M$27,$AR108)*$AS108*其他调用!Z107</f>
        <v>0</v>
      </c>
      <c r="AY108" s="52">
        <f>求节点(E$21:E$27,$N$21:$N$27,$AR108)*$AS108*其他调用!V107</f>
        <v>1997.8916077667852</v>
      </c>
      <c r="AZ108" s="52">
        <f>求节点(F$21:F$27,$N$21:$N$27,$AR108)*$AS108*其他调用!W107</f>
        <v>2462.2189522834569</v>
      </c>
      <c r="BA108" s="52">
        <f>求节点(G$21:G$27,$N$21:$N$27,$AR108)*$AS108*其他调用!X107</f>
        <v>2823.6997775143645</v>
      </c>
      <c r="BB108" s="52">
        <f>求节点(H$21:H$27,$N$21:$N$27,$AR108)*$AS108*其他调用!Y107</f>
        <v>2301.5230073371768</v>
      </c>
      <c r="BC108" s="52">
        <f>求节点(I$21:I$27,$N$21:$N$27,$AR108)*$AS108*其他调用!Z107</f>
        <v>1256.7143209716203</v>
      </c>
      <c r="BD108" s="52">
        <f>求节点(E$21:E$27,$O$21:$O$27,$AR108)*$AS108*其他调用!V107</f>
        <v>0</v>
      </c>
      <c r="BE108" s="52">
        <f>求节点(F$21:F$27,$O$21:$O$27,$AR108)*$AS108*其他调用!W107</f>
        <v>0</v>
      </c>
      <c r="BF108" s="52">
        <f>求节点(G$21:G$27,$O$21:$O$27,$AR108)*$AS108*其他调用!X107</f>
        <v>0</v>
      </c>
      <c r="BG108" s="52">
        <f>求节点(H$21:H$27,$O$21:$O$27,$AR108)*$AS108*其他调用!Y107</f>
        <v>0</v>
      </c>
      <c r="BH108" s="52">
        <f>求节点(I$21:I$27,$O$21:$O$27,$AR108)*$AS108*其他调用!Z107</f>
        <v>0</v>
      </c>
      <c r="BK108" s="31">
        <v>104</v>
      </c>
      <c r="BL108" s="31">
        <f>SUM(AT$5:AT108)</f>
        <v>946.27439936474923</v>
      </c>
      <c r="BM108" s="31">
        <f>SUM(AU$5:AU108)</f>
        <v>1112.8936350179583</v>
      </c>
      <c r="BN108" s="31">
        <f>SUM(AV$5:AV108)</f>
        <v>1078.1579698345183</v>
      </c>
      <c r="BO108" s="31">
        <f>SUM(AW$5:AW108)</f>
        <v>704.96766450982125</v>
      </c>
      <c r="BP108" s="31">
        <f>SUM(AX$5:AX108)</f>
        <v>333.4630769439176</v>
      </c>
      <c r="BQ108" s="31">
        <f>SUM(AY$5:AY108)</f>
        <v>26795.563510677501</v>
      </c>
      <c r="BR108" s="31">
        <f>SUM(AZ$5:AZ108)</f>
        <v>33602.921796574235</v>
      </c>
      <c r="BS108" s="31">
        <f>SUM(BA$5:BA108)</f>
        <v>37142.402013417915</v>
      </c>
      <c r="BT108" s="31">
        <f>SUM(BB$5:BB108)</f>
        <v>30666.063768478009</v>
      </c>
      <c r="BU108" s="31">
        <f>SUM(BC$5:BC108)</f>
        <v>16654.243865560667</v>
      </c>
      <c r="BV108" s="31">
        <f>SUM(BD$5:BD108)</f>
        <v>0</v>
      </c>
      <c r="BW108" s="31">
        <f>SUM(BE$5:BE108)</f>
        <v>0</v>
      </c>
      <c r="BX108" s="31">
        <f>SUM(BF$5:BF108)</f>
        <v>0</v>
      </c>
      <c r="BY108" s="31">
        <f>SUM(BG$5:BG108)</f>
        <v>0</v>
      </c>
      <c r="BZ108" s="31">
        <f>SUM(BH$5:BH108)</f>
        <v>0</v>
      </c>
      <c r="CC108" s="41">
        <v>104</v>
      </c>
      <c r="CD108" s="41">
        <f t="shared" si="57"/>
        <v>980.4270708451262</v>
      </c>
      <c r="CE108" s="41">
        <f t="shared" si="58"/>
        <v>1226.1824764559065</v>
      </c>
      <c r="CF108" s="41">
        <f t="shared" si="59"/>
        <v>1348.5011791121801</v>
      </c>
      <c r="CG108" s="41">
        <f t="shared" si="60"/>
        <v>1105.0357767996722</v>
      </c>
      <c r="CH108" s="41">
        <f t="shared" si="61"/>
        <v>597.90437375709962</v>
      </c>
      <c r="CI108" s="41">
        <f t="shared" si="62"/>
        <v>406.66482465698624</v>
      </c>
      <c r="CJ108" s="41">
        <f t="shared" si="63"/>
        <v>509.60829512370327</v>
      </c>
      <c r="CK108" s="41">
        <f t="shared" si="64"/>
        <v>562.5268200504413</v>
      </c>
      <c r="CL108" s="41">
        <f t="shared" si="65"/>
        <v>463.51579484971927</v>
      </c>
      <c r="CM108" s="41">
        <f t="shared" si="66"/>
        <v>251.48097336812958</v>
      </c>
      <c r="CN108" s="41">
        <f t="shared" si="67"/>
        <v>0</v>
      </c>
      <c r="CO108" s="41">
        <f t="shared" si="68"/>
        <v>0</v>
      </c>
      <c r="CP108" s="41">
        <f t="shared" si="69"/>
        <v>0</v>
      </c>
      <c r="CQ108" s="41">
        <f t="shared" si="70"/>
        <v>0</v>
      </c>
      <c r="CR108" s="41">
        <f t="shared" si="71"/>
        <v>0</v>
      </c>
    </row>
    <row r="109" spans="23:96" x14ac:dyDescent="0.15">
      <c r="W109" s="117">
        <v>1.05</v>
      </c>
      <c r="X109" s="31">
        <v>105</v>
      </c>
      <c r="Y109" s="113">
        <f t="shared" si="54"/>
        <v>67.133052333918471</v>
      </c>
      <c r="Z109" s="42">
        <f t="shared" si="55"/>
        <v>0.12</v>
      </c>
      <c r="AA109" s="113">
        <f>$Y109*$Z109*其他调用!V108</f>
        <v>35937.786519420544</v>
      </c>
      <c r="AB109" s="113">
        <f>$Y109*$Z109*其他调用!W108</f>
        <v>45831.289496145939</v>
      </c>
      <c r="AC109" s="113">
        <f>$Y109*$Z109*其他调用!X108</f>
        <v>49880.814638009724</v>
      </c>
      <c r="AD109" s="113">
        <f>$Y109*$Z109*其他调用!Y108</f>
        <v>41648.390485307209</v>
      </c>
      <c r="AE109" s="113">
        <f>$Y109*$Z109*其他调用!Z108</f>
        <v>21485.32754501274</v>
      </c>
      <c r="AH109" s="31">
        <v>105</v>
      </c>
      <c r="AI109" s="31">
        <f>SUM(AA$5:AA109)</f>
        <v>322608.23872360116</v>
      </c>
      <c r="AJ109" s="31">
        <f>SUM(AB$5:AB109)</f>
        <v>400151.41805987037</v>
      </c>
      <c r="AK109" s="31">
        <f>SUM(AC$5:AC109)</f>
        <v>436359.26011135412</v>
      </c>
      <c r="AL109" s="31">
        <f>SUM(AD$5:AD109)</f>
        <v>355220.34903474816</v>
      </c>
      <c r="AM109" s="31">
        <f>SUM(AE$5:AE109)</f>
        <v>191361.31986826722</v>
      </c>
      <c r="AR109" s="31">
        <v>105</v>
      </c>
      <c r="AS109" s="42">
        <f t="shared" si="56"/>
        <v>8.0000000000000016E-2</v>
      </c>
      <c r="AT109" s="52">
        <f>求节点(E$21:E$27,$M$21:$M$27,$AR109)*$AS109*其他调用!V108</f>
        <v>0</v>
      </c>
      <c r="AU109" s="52">
        <f>求节点(F$21:F$27,$M$21:$M$27,$AR109)*$AS109*其他调用!W108</f>
        <v>0</v>
      </c>
      <c r="AV109" s="52">
        <f>求节点(G$21:G$27,$M$21:$M$27,$AR109)*$AS109*其他调用!X108</f>
        <v>0</v>
      </c>
      <c r="AW109" s="52">
        <f>求节点(H$21:H$27,$M$21:$M$27,$AR109)*$AS109*其他调用!Y108</f>
        <v>0</v>
      </c>
      <c r="AX109" s="52">
        <f>求节点(I$21:I$27,$M$21:$M$27,$AR109)*$AS109*其他调用!Z108</f>
        <v>0</v>
      </c>
      <c r="AY109" s="52">
        <f>求节点(E$21:E$27,$N$21:$N$27,$AR109)*$AS109*其他调用!V108</f>
        <v>2141.2872062284141</v>
      </c>
      <c r="AZ109" s="52">
        <f>求节点(F$21:F$27,$N$21:$N$27,$AR109)*$AS109*其他调用!W108</f>
        <v>2730.7734656950815</v>
      </c>
      <c r="BA109" s="52">
        <f>求节点(G$21:G$27,$N$21:$N$27,$AR109)*$AS109*其他调用!X108</f>
        <v>2972.0570064297722</v>
      </c>
      <c r="BB109" s="52">
        <f>求节点(H$21:H$27,$N$21:$N$27,$AR109)*$AS109*其他调用!Y108</f>
        <v>2481.5430871904318</v>
      </c>
      <c r="BC109" s="52">
        <f>求节点(I$21:I$27,$N$21:$N$27,$AR109)*$AS109*其他调用!Z108</f>
        <v>1280.1639012714722</v>
      </c>
      <c r="BD109" s="52">
        <f>求节点(E$21:E$27,$O$21:$O$27,$AR109)*$AS109*其他调用!V108</f>
        <v>0</v>
      </c>
      <c r="BE109" s="52">
        <f>求节点(F$21:F$27,$O$21:$O$27,$AR109)*$AS109*其他调用!W108</f>
        <v>0</v>
      </c>
      <c r="BF109" s="52">
        <f>求节点(G$21:G$27,$O$21:$O$27,$AR109)*$AS109*其他调用!X108</f>
        <v>0</v>
      </c>
      <c r="BG109" s="52">
        <f>求节点(H$21:H$27,$O$21:$O$27,$AR109)*$AS109*其他调用!Y108</f>
        <v>0</v>
      </c>
      <c r="BH109" s="52">
        <f>求节点(I$21:I$27,$O$21:$O$27,$AR109)*$AS109*其他调用!Z108</f>
        <v>0</v>
      </c>
      <c r="BK109" s="31">
        <v>105</v>
      </c>
      <c r="BL109" s="31">
        <f>SUM(AT$5:AT109)</f>
        <v>946.27439936474923</v>
      </c>
      <c r="BM109" s="31">
        <f>SUM(AU$5:AU109)</f>
        <v>1112.8936350179583</v>
      </c>
      <c r="BN109" s="31">
        <f>SUM(AV$5:AV109)</f>
        <v>1078.1579698345183</v>
      </c>
      <c r="BO109" s="31">
        <f>SUM(AW$5:AW109)</f>
        <v>704.96766450982125</v>
      </c>
      <c r="BP109" s="31">
        <f>SUM(AX$5:AX109)</f>
        <v>333.4630769439176</v>
      </c>
      <c r="BQ109" s="31">
        <f>SUM(AY$5:AY109)</f>
        <v>28936.850716905916</v>
      </c>
      <c r="BR109" s="31">
        <f>SUM(AZ$5:AZ109)</f>
        <v>36333.695262269321</v>
      </c>
      <c r="BS109" s="31">
        <f>SUM(BA$5:BA109)</f>
        <v>40114.459019847687</v>
      </c>
      <c r="BT109" s="31">
        <f>SUM(BB$5:BB109)</f>
        <v>33147.60685566844</v>
      </c>
      <c r="BU109" s="31">
        <f>SUM(BC$5:BC109)</f>
        <v>17934.407766832141</v>
      </c>
      <c r="BV109" s="31">
        <f>SUM(BD$5:BD109)</f>
        <v>0</v>
      </c>
      <c r="BW109" s="31">
        <f>SUM(BE$5:BE109)</f>
        <v>0</v>
      </c>
      <c r="BX109" s="31">
        <f>SUM(BF$5:BF109)</f>
        <v>0</v>
      </c>
      <c r="BY109" s="31">
        <f>SUM(BG$5:BG109)</f>
        <v>0</v>
      </c>
      <c r="BZ109" s="31">
        <f>SUM(BH$5:BH109)</f>
        <v>0</v>
      </c>
      <c r="CC109" s="41">
        <v>105</v>
      </c>
      <c r="CD109" s="41">
        <f t="shared" si="57"/>
        <v>1055.3721230631206</v>
      </c>
      <c r="CE109" s="41">
        <f t="shared" si="58"/>
        <v>1321.7595477552345</v>
      </c>
      <c r="CF109" s="41">
        <f t="shared" si="59"/>
        <v>1452.5231743372221</v>
      </c>
      <c r="CG109" s="41">
        <f t="shared" si="60"/>
        <v>1191.8897848513375</v>
      </c>
      <c r="CH109" s="41">
        <f t="shared" si="61"/>
        <v>642.71011030160116</v>
      </c>
      <c r="CI109" s="41">
        <f t="shared" si="62"/>
        <v>438.78413275041248</v>
      </c>
      <c r="CJ109" s="41">
        <f t="shared" si="63"/>
        <v>550.56989710912956</v>
      </c>
      <c r="CK109" s="41">
        <f t="shared" si="64"/>
        <v>607.10767514688791</v>
      </c>
      <c r="CL109" s="41">
        <f t="shared" si="65"/>
        <v>500.73894115757565</v>
      </c>
      <c r="CM109" s="41">
        <f t="shared" si="66"/>
        <v>270.68343188720166</v>
      </c>
      <c r="CN109" s="41">
        <f t="shared" si="67"/>
        <v>0</v>
      </c>
      <c r="CO109" s="41">
        <f t="shared" si="68"/>
        <v>0</v>
      </c>
      <c r="CP109" s="41">
        <f t="shared" si="69"/>
        <v>0</v>
      </c>
      <c r="CQ109" s="41">
        <f t="shared" si="70"/>
        <v>0</v>
      </c>
      <c r="CR109" s="41">
        <f t="shared" si="71"/>
        <v>0</v>
      </c>
    </row>
    <row r="110" spans="23:96" x14ac:dyDescent="0.15">
      <c r="W110" s="117">
        <v>1.05</v>
      </c>
      <c r="X110" s="31">
        <v>106</v>
      </c>
      <c r="Y110" s="113">
        <f t="shared" si="54"/>
        <v>70.489704950614396</v>
      </c>
      <c r="Z110" s="42">
        <f t="shared" si="55"/>
        <v>0.12</v>
      </c>
      <c r="AA110" s="113">
        <f>$Y110*$Z110*其他调用!V109</f>
        <v>40443.024188499498</v>
      </c>
      <c r="AB110" s="113">
        <f>$Y110*$Z110*其他调用!W109</f>
        <v>50792.050160635852</v>
      </c>
      <c r="AC110" s="113">
        <f>$Y110*$Z110*其他调用!X109</f>
        <v>55028.097730992034</v>
      </c>
      <c r="AD110" s="113">
        <f>$Y110*$Z110*其他调用!Y109</f>
        <v>43780.227910211717</v>
      </c>
      <c r="AE110" s="113">
        <f>$Y110*$Z110*其他调用!Z109</f>
        <v>22827.379379043385</v>
      </c>
      <c r="AH110" s="31">
        <v>106</v>
      </c>
      <c r="AI110" s="31">
        <f>SUM(AA$5:AA110)</f>
        <v>363051.26291210065</v>
      </c>
      <c r="AJ110" s="31">
        <f>SUM(AB$5:AB110)</f>
        <v>450943.46822050621</v>
      </c>
      <c r="AK110" s="31">
        <f>SUM(AC$5:AC110)</f>
        <v>491387.35784234613</v>
      </c>
      <c r="AL110" s="31">
        <f>SUM(AD$5:AD110)</f>
        <v>399000.57694495987</v>
      </c>
      <c r="AM110" s="31">
        <f>SUM(AE$5:AE110)</f>
        <v>214188.69924731061</v>
      </c>
      <c r="AR110" s="31">
        <v>106</v>
      </c>
      <c r="AS110" s="42">
        <f t="shared" si="56"/>
        <v>8.0000000000000016E-2</v>
      </c>
      <c r="AT110" s="52">
        <f>求节点(E$21:E$27,$M$21:$M$27,$AR110)*$AS110*其他调用!V109</f>
        <v>0</v>
      </c>
      <c r="AU110" s="52">
        <f>求节点(F$21:F$27,$M$21:$M$27,$AR110)*$AS110*其他调用!W109</f>
        <v>0</v>
      </c>
      <c r="AV110" s="52">
        <f>求节点(G$21:G$27,$M$21:$M$27,$AR110)*$AS110*其他调用!X109</f>
        <v>0</v>
      </c>
      <c r="AW110" s="52">
        <f>求节点(H$21:H$27,$M$21:$M$27,$AR110)*$AS110*其他调用!Y109</f>
        <v>0</v>
      </c>
      <c r="AX110" s="52">
        <f>求节点(I$21:I$27,$M$21:$M$27,$AR110)*$AS110*其他调用!Z109</f>
        <v>0</v>
      </c>
      <c r="AY110" s="52">
        <f>求节点(E$21:E$27,$N$21:$N$27,$AR110)*$AS110*其他调用!V109</f>
        <v>2294.9748033040673</v>
      </c>
      <c r="AZ110" s="52">
        <f>求节点(F$21:F$27,$N$21:$N$27,$AR110)*$AS110*其他调用!W109</f>
        <v>2882.2393395586573</v>
      </c>
      <c r="BA110" s="52">
        <f>求节点(G$21:G$27,$N$21:$N$27,$AR110)*$AS110*其他调用!X109</f>
        <v>3122.6175663266081</v>
      </c>
      <c r="BB110" s="52">
        <f>求节点(H$21:H$27,$N$21:$N$27,$AR110)*$AS110*其他调用!Y109</f>
        <v>2484.3473492127382</v>
      </c>
      <c r="BC110" s="52">
        <f>求节点(I$21:I$27,$N$21:$N$27,$AR110)*$AS110*其他调用!Z109</f>
        <v>1295.3596213822384</v>
      </c>
      <c r="BD110" s="52">
        <f>求节点(E$21:E$27,$O$21:$O$27,$AR110)*$AS110*其他调用!V109</f>
        <v>0</v>
      </c>
      <c r="BE110" s="52">
        <f>求节点(F$21:F$27,$O$21:$O$27,$AR110)*$AS110*其他调用!W109</f>
        <v>0</v>
      </c>
      <c r="BF110" s="52">
        <f>求节点(G$21:G$27,$O$21:$O$27,$AR110)*$AS110*其他调用!X109</f>
        <v>0</v>
      </c>
      <c r="BG110" s="52">
        <f>求节点(H$21:H$27,$O$21:$O$27,$AR110)*$AS110*其他调用!Y109</f>
        <v>0</v>
      </c>
      <c r="BH110" s="52">
        <f>求节点(I$21:I$27,$O$21:$O$27,$AR110)*$AS110*其他调用!Z109</f>
        <v>0</v>
      </c>
      <c r="BK110" s="31">
        <v>106</v>
      </c>
      <c r="BL110" s="31">
        <f>SUM(AT$5:AT110)</f>
        <v>946.27439936474923</v>
      </c>
      <c r="BM110" s="31">
        <f>SUM(AU$5:AU110)</f>
        <v>1112.8936350179583</v>
      </c>
      <c r="BN110" s="31">
        <f>SUM(AV$5:AV110)</f>
        <v>1078.1579698345183</v>
      </c>
      <c r="BO110" s="31">
        <f>SUM(AW$5:AW110)</f>
        <v>704.96766450982125</v>
      </c>
      <c r="BP110" s="31">
        <f>SUM(AX$5:AX110)</f>
        <v>333.4630769439176</v>
      </c>
      <c r="BQ110" s="31">
        <f>SUM(AY$5:AY110)</f>
        <v>31231.825520209983</v>
      </c>
      <c r="BR110" s="31">
        <f>SUM(AZ$5:AZ110)</f>
        <v>39215.934601827976</v>
      </c>
      <c r="BS110" s="31">
        <f>SUM(BA$5:BA110)</f>
        <v>43237.076586174298</v>
      </c>
      <c r="BT110" s="31">
        <f>SUM(BB$5:BB110)</f>
        <v>35631.954204881178</v>
      </c>
      <c r="BU110" s="31">
        <f>SUM(BC$5:BC110)</f>
        <v>19229.767388214379</v>
      </c>
      <c r="BV110" s="31">
        <f>SUM(BD$5:BD110)</f>
        <v>0</v>
      </c>
      <c r="BW110" s="31">
        <f>SUM(BE$5:BE110)</f>
        <v>0</v>
      </c>
      <c r="BX110" s="31">
        <f>SUM(BF$5:BF110)</f>
        <v>0</v>
      </c>
      <c r="BY110" s="31">
        <f>SUM(BG$5:BG110)</f>
        <v>0</v>
      </c>
      <c r="BZ110" s="31">
        <f>SUM(BH$5:BH110)</f>
        <v>0</v>
      </c>
      <c r="CC110" s="41">
        <v>106</v>
      </c>
      <c r="CD110" s="41">
        <f t="shared" si="57"/>
        <v>1135.6962411787631</v>
      </c>
      <c r="CE110" s="41">
        <f t="shared" si="58"/>
        <v>1422.6379246397873</v>
      </c>
      <c r="CF110" s="41">
        <f t="shared" si="59"/>
        <v>1561.8147891586536</v>
      </c>
      <c r="CG110" s="41">
        <f t="shared" si="60"/>
        <v>1278.8419420737832</v>
      </c>
      <c r="CH110" s="41">
        <f t="shared" si="61"/>
        <v>688.04769704997955</v>
      </c>
      <c r="CI110" s="41">
        <f t="shared" si="62"/>
        <v>473.20875479997346</v>
      </c>
      <c r="CJ110" s="41">
        <f t="shared" si="63"/>
        <v>593.80348720250936</v>
      </c>
      <c r="CK110" s="41">
        <f t="shared" si="64"/>
        <v>653.94693864178703</v>
      </c>
      <c r="CL110" s="41">
        <f t="shared" si="65"/>
        <v>538.00415139576683</v>
      </c>
      <c r="CM110" s="41">
        <f t="shared" si="66"/>
        <v>290.11382620793523</v>
      </c>
      <c r="CN110" s="41">
        <f t="shared" si="67"/>
        <v>0</v>
      </c>
      <c r="CO110" s="41">
        <f t="shared" si="68"/>
        <v>0</v>
      </c>
      <c r="CP110" s="41">
        <f t="shared" si="69"/>
        <v>0</v>
      </c>
      <c r="CQ110" s="41">
        <f t="shared" si="70"/>
        <v>0</v>
      </c>
      <c r="CR110" s="41">
        <f t="shared" si="71"/>
        <v>0</v>
      </c>
    </row>
    <row r="111" spans="23:96" x14ac:dyDescent="0.15">
      <c r="W111" s="117">
        <v>1.05</v>
      </c>
      <c r="X111" s="31">
        <v>107</v>
      </c>
      <c r="Y111" s="113">
        <f t="shared" si="54"/>
        <v>74.014190198145116</v>
      </c>
      <c r="Z111" s="42">
        <f t="shared" si="55"/>
        <v>0.12</v>
      </c>
      <c r="AA111" s="113">
        <f>$Y111*$Z111*其他调用!V110</f>
        <v>45513.048073444894</v>
      </c>
      <c r="AB111" s="113">
        <f>$Y111*$Z111*其他调用!W110</f>
        <v>56209.94366329613</v>
      </c>
      <c r="AC111" s="113">
        <f>$Y111*$Z111*其他调用!X110</f>
        <v>63279.231936953867</v>
      </c>
      <c r="AD111" s="113">
        <f>$Y111*$Z111*其他调用!Y110</f>
        <v>47676.353964265858</v>
      </c>
      <c r="AE111" s="113">
        <f>$Y111*$Z111*其他调用!Z110</f>
        <v>24978.743459333116</v>
      </c>
      <c r="AH111" s="31">
        <v>107</v>
      </c>
      <c r="AI111" s="31">
        <f>SUM(AA$5:AA111)</f>
        <v>408564.31098554551</v>
      </c>
      <c r="AJ111" s="31">
        <f>SUM(AB$5:AB111)</f>
        <v>507153.41188380233</v>
      </c>
      <c r="AK111" s="31">
        <f>SUM(AC$5:AC111)</f>
        <v>554666.58977930003</v>
      </c>
      <c r="AL111" s="31">
        <f>SUM(AD$5:AD111)</f>
        <v>446676.93090922572</v>
      </c>
      <c r="AM111" s="31">
        <f>SUM(AE$5:AE111)</f>
        <v>239167.44270664372</v>
      </c>
      <c r="AR111" s="31">
        <v>107</v>
      </c>
      <c r="AS111" s="42">
        <f t="shared" si="56"/>
        <v>8.0000000000000016E-2</v>
      </c>
      <c r="AT111" s="52">
        <f>求节点(E$21:E$27,$M$21:$M$27,$AR111)*$AS111*其他调用!V110</f>
        <v>0</v>
      </c>
      <c r="AU111" s="52">
        <f>求节点(F$21:F$27,$M$21:$M$27,$AR111)*$AS111*其他调用!W110</f>
        <v>0</v>
      </c>
      <c r="AV111" s="52">
        <f>求节点(G$21:G$27,$M$21:$M$27,$AR111)*$AS111*其他调用!X110</f>
        <v>0</v>
      </c>
      <c r="AW111" s="52">
        <f>求节点(H$21:H$27,$M$21:$M$27,$AR111)*$AS111*其他调用!Y110</f>
        <v>0</v>
      </c>
      <c r="AX111" s="52">
        <f>求节点(I$21:I$27,$M$21:$M$27,$AR111)*$AS111*其他调用!Z110</f>
        <v>0</v>
      </c>
      <c r="AY111" s="52">
        <f>求节点(E$21:E$27,$N$21:$N$27,$AR111)*$AS111*其他调用!V110</f>
        <v>2459.6930913707688</v>
      </c>
      <c r="AZ111" s="52">
        <f>求节点(F$21:F$27,$N$21:$N$27,$AR111)*$AS111*其他调用!W110</f>
        <v>3037.7928077205302</v>
      </c>
      <c r="BA111" s="52">
        <f>求节点(G$21:G$27,$N$21:$N$27,$AR111)*$AS111*其他调用!X110</f>
        <v>3419.8432364143996</v>
      </c>
      <c r="BB111" s="52">
        <f>求节点(H$21:H$27,$N$21:$N$27,$AR111)*$AS111*其他调用!Y110</f>
        <v>2576.6061257513129</v>
      </c>
      <c r="BC111" s="52">
        <f>求节点(I$21:I$27,$N$21:$N$27,$AR111)*$AS111*其他调用!Z110</f>
        <v>1349.9434847540422</v>
      </c>
      <c r="BD111" s="52">
        <f>求节点(E$21:E$27,$O$21:$O$27,$AR111)*$AS111*其他调用!V110</f>
        <v>0</v>
      </c>
      <c r="BE111" s="52">
        <f>求节点(F$21:F$27,$O$21:$O$27,$AR111)*$AS111*其他调用!W110</f>
        <v>0</v>
      </c>
      <c r="BF111" s="52">
        <f>求节点(G$21:G$27,$O$21:$O$27,$AR111)*$AS111*其他调用!X110</f>
        <v>0</v>
      </c>
      <c r="BG111" s="52">
        <f>求节点(H$21:H$27,$O$21:$O$27,$AR111)*$AS111*其他调用!Y110</f>
        <v>0</v>
      </c>
      <c r="BH111" s="52">
        <f>求节点(I$21:I$27,$O$21:$O$27,$AR111)*$AS111*其他调用!Z110</f>
        <v>0</v>
      </c>
      <c r="BK111" s="31">
        <v>107</v>
      </c>
      <c r="BL111" s="31">
        <f>SUM(AT$5:AT111)</f>
        <v>946.27439936474923</v>
      </c>
      <c r="BM111" s="31">
        <f>SUM(AU$5:AU111)</f>
        <v>1112.8936350179583</v>
      </c>
      <c r="BN111" s="31">
        <f>SUM(AV$5:AV111)</f>
        <v>1078.1579698345183</v>
      </c>
      <c r="BO111" s="31">
        <f>SUM(AW$5:AW111)</f>
        <v>704.96766450982125</v>
      </c>
      <c r="BP111" s="31">
        <f>SUM(AX$5:AX111)</f>
        <v>333.4630769439176</v>
      </c>
      <c r="BQ111" s="31">
        <f>SUM(AY$5:AY111)</f>
        <v>33691.518611580752</v>
      </c>
      <c r="BR111" s="31">
        <f>SUM(AZ$5:AZ111)</f>
        <v>42253.727409548505</v>
      </c>
      <c r="BS111" s="31">
        <f>SUM(BA$5:BA111)</f>
        <v>46656.919822588701</v>
      </c>
      <c r="BT111" s="31">
        <f>SUM(BB$5:BB111)</f>
        <v>38208.560330632492</v>
      </c>
      <c r="BU111" s="31">
        <f>SUM(BC$5:BC111)</f>
        <v>20579.710872968422</v>
      </c>
      <c r="BV111" s="31">
        <f>SUM(BD$5:BD111)</f>
        <v>0</v>
      </c>
      <c r="BW111" s="31">
        <f>SUM(BE$5:BE111)</f>
        <v>0</v>
      </c>
      <c r="BX111" s="31">
        <f>SUM(BF$5:BF111)</f>
        <v>0</v>
      </c>
      <c r="BY111" s="31">
        <f>SUM(BG$5:BG111)</f>
        <v>0</v>
      </c>
      <c r="BZ111" s="31">
        <f>SUM(BH$5:BH111)</f>
        <v>0</v>
      </c>
      <c r="CC111" s="41">
        <v>107</v>
      </c>
      <c r="CD111" s="41">
        <f t="shared" si="57"/>
        <v>1221.7854993767401</v>
      </c>
      <c r="CE111" s="41">
        <f t="shared" si="58"/>
        <v>1528.9606729100058</v>
      </c>
      <c r="CF111" s="41">
        <f t="shared" si="59"/>
        <v>1681.5093024331577</v>
      </c>
      <c r="CG111" s="41">
        <f t="shared" si="60"/>
        <v>1369.0231564750791</v>
      </c>
      <c r="CH111" s="41">
        <f t="shared" si="61"/>
        <v>735.29571901637098</v>
      </c>
      <c r="CI111" s="41">
        <f t="shared" si="62"/>
        <v>510.10415117053509</v>
      </c>
      <c r="CJ111" s="41">
        <f t="shared" si="63"/>
        <v>639.3703793183173</v>
      </c>
      <c r="CK111" s="41">
        <f t="shared" si="64"/>
        <v>705.24458718800304</v>
      </c>
      <c r="CL111" s="41">
        <f t="shared" si="65"/>
        <v>576.65324328203656</v>
      </c>
      <c r="CM111" s="41">
        <f t="shared" si="66"/>
        <v>310.36297847924595</v>
      </c>
      <c r="CN111" s="41">
        <f t="shared" si="67"/>
        <v>0</v>
      </c>
      <c r="CO111" s="41">
        <f t="shared" si="68"/>
        <v>0</v>
      </c>
      <c r="CP111" s="41">
        <f t="shared" si="69"/>
        <v>0</v>
      </c>
      <c r="CQ111" s="41">
        <f t="shared" si="70"/>
        <v>0</v>
      </c>
      <c r="CR111" s="41">
        <f t="shared" si="71"/>
        <v>0</v>
      </c>
    </row>
    <row r="112" spans="23:96" x14ac:dyDescent="0.15">
      <c r="W112" s="117">
        <v>1.05</v>
      </c>
      <c r="X112" s="31">
        <v>108</v>
      </c>
      <c r="Y112" s="113">
        <f t="shared" si="54"/>
        <v>77.714899708052371</v>
      </c>
      <c r="Z112" s="42">
        <f t="shared" si="55"/>
        <v>0.12</v>
      </c>
      <c r="AA112" s="113">
        <f>$Y112*$Z112*其他调用!V111</f>
        <v>51218.660980470442</v>
      </c>
      <c r="AB112" s="113">
        <f>$Y112*$Z112*其他调用!W111</f>
        <v>64340.056739414351</v>
      </c>
      <c r="AC112" s="113">
        <f>$Y112*$Z112*其他调用!X111</f>
        <v>63762.609853457099</v>
      </c>
      <c r="AD112" s="113">
        <f>$Y112*$Z112*其他调用!Y111</f>
        <v>51746.478302470503</v>
      </c>
      <c r="AE112" s="113">
        <f>$Y112*$Z112*其他调用!Z111</f>
        <v>29318.758651887874</v>
      </c>
      <c r="AH112" s="31">
        <v>108</v>
      </c>
      <c r="AI112" s="31">
        <f>SUM(AA$5:AA112)</f>
        <v>459782.97196601593</v>
      </c>
      <c r="AJ112" s="31">
        <f>SUM(AB$5:AB112)</f>
        <v>571493.46862321673</v>
      </c>
      <c r="AK112" s="31">
        <f>SUM(AC$5:AC112)</f>
        <v>618429.19963275711</v>
      </c>
      <c r="AL112" s="31">
        <f>SUM(AD$5:AD112)</f>
        <v>498423.40921169624</v>
      </c>
      <c r="AM112" s="31">
        <f>SUM(AE$5:AE112)</f>
        <v>268486.2013585316</v>
      </c>
      <c r="AR112" s="31">
        <v>108</v>
      </c>
      <c r="AS112" s="42">
        <f t="shared" si="56"/>
        <v>8.0000000000000016E-2</v>
      </c>
      <c r="AT112" s="52">
        <f>求节点(E$21:E$27,$M$21:$M$27,$AR112)*$AS112*其他调用!V111</f>
        <v>0</v>
      </c>
      <c r="AU112" s="52">
        <f>求节点(F$21:F$27,$M$21:$M$27,$AR112)*$AS112*其他调用!W111</f>
        <v>0</v>
      </c>
      <c r="AV112" s="52">
        <f>求节点(G$21:G$27,$M$21:$M$27,$AR112)*$AS112*其他调用!X111</f>
        <v>0</v>
      </c>
      <c r="AW112" s="52">
        <f>求节点(H$21:H$27,$M$21:$M$27,$AR112)*$AS112*其他调用!Y111</f>
        <v>0</v>
      </c>
      <c r="AX112" s="52">
        <f>求节点(I$21:I$27,$M$21:$M$27,$AR112)*$AS112*其他调用!Z111</f>
        <v>0</v>
      </c>
      <c r="AY112" s="52">
        <f>求节点(E$21:E$27,$N$21:$N$27,$AR112)*$AS112*其他调用!V111</f>
        <v>2636.2337813150889</v>
      </c>
      <c r="AZ112" s="52">
        <f>求节点(F$21:F$27,$N$21:$N$27,$AR112)*$AS112*其他调用!W111</f>
        <v>3311.5944037046897</v>
      </c>
      <c r="BA112" s="52">
        <f>求节点(G$21:G$27,$N$21:$N$27,$AR112)*$AS112*其他调用!X111</f>
        <v>3281.8731076275399</v>
      </c>
      <c r="BB112" s="52">
        <f>求节点(H$21:H$27,$N$21:$N$27,$AR112)*$AS112*其他调用!Y111</f>
        <v>2663.4006347232712</v>
      </c>
      <c r="BC112" s="52">
        <f>求节点(I$21:I$27,$N$21:$N$27,$AR112)*$AS112*其他调用!Z111</f>
        <v>1509.0418317222657</v>
      </c>
      <c r="BD112" s="52">
        <f>求节点(E$21:E$27,$O$21:$O$27,$AR112)*$AS112*其他调用!V111</f>
        <v>0</v>
      </c>
      <c r="BE112" s="52">
        <f>求节点(F$21:F$27,$O$21:$O$27,$AR112)*$AS112*其他调用!W111</f>
        <v>0</v>
      </c>
      <c r="BF112" s="52">
        <f>求节点(G$21:G$27,$O$21:$O$27,$AR112)*$AS112*其他调用!X111</f>
        <v>0</v>
      </c>
      <c r="BG112" s="52">
        <f>求节点(H$21:H$27,$O$21:$O$27,$AR112)*$AS112*其他调用!Y111</f>
        <v>0</v>
      </c>
      <c r="BH112" s="52">
        <f>求节点(I$21:I$27,$O$21:$O$27,$AR112)*$AS112*其他调用!Z111</f>
        <v>0</v>
      </c>
      <c r="BK112" s="31">
        <v>108</v>
      </c>
      <c r="BL112" s="31">
        <f>SUM(AT$5:AT112)</f>
        <v>946.27439936474923</v>
      </c>
      <c r="BM112" s="31">
        <f>SUM(AU$5:AU112)</f>
        <v>1112.8936350179583</v>
      </c>
      <c r="BN112" s="31">
        <f>SUM(AV$5:AV112)</f>
        <v>1078.1579698345183</v>
      </c>
      <c r="BO112" s="31">
        <f>SUM(AW$5:AW112)</f>
        <v>704.96766450982125</v>
      </c>
      <c r="BP112" s="31">
        <f>SUM(AX$5:AX112)</f>
        <v>333.4630769439176</v>
      </c>
      <c r="BQ112" s="31">
        <f>SUM(AY$5:AY112)</f>
        <v>36327.75239289584</v>
      </c>
      <c r="BR112" s="31">
        <f>SUM(AZ$5:AZ112)</f>
        <v>45565.321813253191</v>
      </c>
      <c r="BS112" s="31">
        <f>SUM(BA$5:BA112)</f>
        <v>49938.792930216237</v>
      </c>
      <c r="BT112" s="31">
        <f>SUM(BB$5:BB112)</f>
        <v>40871.960965355764</v>
      </c>
      <c r="BU112" s="31">
        <f>SUM(BC$5:BC112)</f>
        <v>22088.752704690687</v>
      </c>
      <c r="BV112" s="31">
        <f>SUM(BD$5:BD112)</f>
        <v>0</v>
      </c>
      <c r="BW112" s="31">
        <f>SUM(BE$5:BE112)</f>
        <v>0</v>
      </c>
      <c r="BX112" s="31">
        <f>SUM(BF$5:BF112)</f>
        <v>0</v>
      </c>
      <c r="BY112" s="31">
        <f>SUM(BG$5:BG112)</f>
        <v>0</v>
      </c>
      <c r="BZ112" s="31">
        <f>SUM(BH$5:BH112)</f>
        <v>0</v>
      </c>
      <c r="CC112" s="41">
        <v>108</v>
      </c>
      <c r="CD112" s="41">
        <f t="shared" si="57"/>
        <v>1314.053681722768</v>
      </c>
      <c r="CE112" s="41">
        <f t="shared" si="58"/>
        <v>1644.8664770396695</v>
      </c>
      <c r="CF112" s="41">
        <f t="shared" si="59"/>
        <v>1796.3748612001214</v>
      </c>
      <c r="CG112" s="41">
        <f t="shared" si="60"/>
        <v>1462.2421786903938</v>
      </c>
      <c r="CH112" s="41">
        <f t="shared" si="61"/>
        <v>788.11218312665028</v>
      </c>
      <c r="CI112" s="41">
        <f t="shared" si="62"/>
        <v>549.64765789026137</v>
      </c>
      <c r="CJ112" s="41">
        <f t="shared" si="63"/>
        <v>689.04429537388762</v>
      </c>
      <c r="CK112" s="41">
        <f t="shared" si="64"/>
        <v>754.4726838024161</v>
      </c>
      <c r="CL112" s="41">
        <f t="shared" si="65"/>
        <v>616.60425280288553</v>
      </c>
      <c r="CM112" s="41">
        <f t="shared" si="66"/>
        <v>332.99860595507988</v>
      </c>
      <c r="CN112" s="41">
        <f t="shared" si="67"/>
        <v>0</v>
      </c>
      <c r="CO112" s="41">
        <f t="shared" si="68"/>
        <v>0</v>
      </c>
      <c r="CP112" s="41">
        <f t="shared" si="69"/>
        <v>0</v>
      </c>
      <c r="CQ112" s="41">
        <f t="shared" si="70"/>
        <v>0</v>
      </c>
      <c r="CR112" s="41">
        <f t="shared" si="71"/>
        <v>0</v>
      </c>
    </row>
    <row r="113" spans="23:96" x14ac:dyDescent="0.15">
      <c r="W113" s="117">
        <v>1.05</v>
      </c>
      <c r="X113" s="31">
        <v>109</v>
      </c>
      <c r="Y113" s="113">
        <f t="shared" si="54"/>
        <v>81.600644693454996</v>
      </c>
      <c r="Z113" s="42">
        <f t="shared" si="55"/>
        <v>0.12</v>
      </c>
      <c r="AA113" s="113">
        <f>$Y113*$Z113*其他调用!V112</f>
        <v>57639.541706786142</v>
      </c>
      <c r="AB113" s="113">
        <f>$Y113*$Z113*其他调用!W112</f>
        <v>67444.28483074285</v>
      </c>
      <c r="AC113" s="113">
        <f>$Y113*$Z113*其他调用!X112</f>
        <v>73012.904478475015</v>
      </c>
      <c r="AD113" s="113">
        <f>$Y113*$Z113*其他调用!Y112</f>
        <v>59811.108935252771</v>
      </c>
      <c r="AE113" s="113">
        <f>$Y113*$Z113*其他调用!Z112</f>
        <v>32916.739946491485</v>
      </c>
      <c r="AH113" s="31">
        <v>109</v>
      </c>
      <c r="AI113" s="31">
        <f>SUM(AA$5:AA113)</f>
        <v>517422.51367280207</v>
      </c>
      <c r="AJ113" s="31">
        <f>SUM(AB$5:AB113)</f>
        <v>638937.75345395959</v>
      </c>
      <c r="AK113" s="31">
        <f>SUM(AC$5:AC113)</f>
        <v>691442.1041112321</v>
      </c>
      <c r="AL113" s="31">
        <f>SUM(AD$5:AD113)</f>
        <v>558234.51814694901</v>
      </c>
      <c r="AM113" s="31">
        <f>SUM(AE$5:AE113)</f>
        <v>301402.94130502309</v>
      </c>
      <c r="AR113" s="31">
        <v>109</v>
      </c>
      <c r="AS113" s="42">
        <f t="shared" si="56"/>
        <v>8.0000000000000016E-2</v>
      </c>
      <c r="AT113" s="52">
        <f>求节点(E$21:E$27,$M$21:$M$27,$AR113)*$AS113*其他调用!V112</f>
        <v>0</v>
      </c>
      <c r="AU113" s="52">
        <f>求节点(F$21:F$27,$M$21:$M$27,$AR113)*$AS113*其他调用!W112</f>
        <v>0</v>
      </c>
      <c r="AV113" s="52">
        <f>求节点(G$21:G$27,$M$21:$M$27,$AR113)*$AS113*其他调用!X112</f>
        <v>0</v>
      </c>
      <c r="AW113" s="52">
        <f>求节点(H$21:H$27,$M$21:$M$27,$AR113)*$AS113*其他调用!Y112</f>
        <v>0</v>
      </c>
      <c r="AX113" s="52">
        <f>求节点(I$21:I$27,$M$21:$M$27,$AR113)*$AS113*其他调用!Z112</f>
        <v>0</v>
      </c>
      <c r="AY113" s="52">
        <f>求节点(E$21:E$27,$N$21:$N$27,$AR113)*$AS113*其他调用!V112</f>
        <v>2825.4454078551807</v>
      </c>
      <c r="AZ113" s="52">
        <f>求节点(F$21:F$27,$N$21:$N$27,$AR113)*$AS113*其他调用!W112</f>
        <v>3306.0662735745482</v>
      </c>
      <c r="BA113" s="52">
        <f>求节点(G$21:G$27,$N$21:$N$27,$AR113)*$AS113*其他调用!X112</f>
        <v>3579.0356682969309</v>
      </c>
      <c r="BB113" s="52">
        <f>求节点(H$21:H$27,$N$21:$N$27,$AR113)*$AS113*其他调用!Y112</f>
        <v>2931.89394078648</v>
      </c>
      <c r="BC113" s="52">
        <f>求节点(I$21:I$27,$N$21:$N$27,$AR113)*$AS113*其他调用!Z112</f>
        <v>1613.5529355263375</v>
      </c>
      <c r="BD113" s="52">
        <f>求节点(E$21:E$27,$O$21:$O$27,$AR113)*$AS113*其他调用!V112</f>
        <v>0</v>
      </c>
      <c r="BE113" s="52">
        <f>求节点(F$21:F$27,$O$21:$O$27,$AR113)*$AS113*其他调用!W112</f>
        <v>0</v>
      </c>
      <c r="BF113" s="52">
        <f>求节点(G$21:G$27,$O$21:$O$27,$AR113)*$AS113*其他调用!X112</f>
        <v>0</v>
      </c>
      <c r="BG113" s="52">
        <f>求节点(H$21:H$27,$O$21:$O$27,$AR113)*$AS113*其他调用!Y112</f>
        <v>0</v>
      </c>
      <c r="BH113" s="52">
        <f>求节点(I$21:I$27,$O$21:$O$27,$AR113)*$AS113*其他调用!Z112</f>
        <v>0</v>
      </c>
      <c r="BK113" s="31">
        <v>109</v>
      </c>
      <c r="BL113" s="31">
        <f>SUM(AT$5:AT113)</f>
        <v>946.27439936474923</v>
      </c>
      <c r="BM113" s="31">
        <f>SUM(AU$5:AU113)</f>
        <v>1112.8936350179583</v>
      </c>
      <c r="BN113" s="31">
        <f>SUM(AV$5:AV113)</f>
        <v>1078.1579698345183</v>
      </c>
      <c r="BO113" s="31">
        <f>SUM(AW$5:AW113)</f>
        <v>704.96766450982125</v>
      </c>
      <c r="BP113" s="31">
        <f>SUM(AX$5:AX113)</f>
        <v>333.4630769439176</v>
      </c>
      <c r="BQ113" s="31">
        <f>SUM(AY$5:AY113)</f>
        <v>39153.197800751019</v>
      </c>
      <c r="BR113" s="31">
        <f>SUM(AZ$5:AZ113)</f>
        <v>48871.388086827741</v>
      </c>
      <c r="BS113" s="31">
        <f>SUM(BA$5:BA113)</f>
        <v>53517.828598513166</v>
      </c>
      <c r="BT113" s="31">
        <f>SUM(BB$5:BB113)</f>
        <v>43803.854906142245</v>
      </c>
      <c r="BU113" s="31">
        <f>SUM(BC$5:BC113)</f>
        <v>23702.305640217026</v>
      </c>
      <c r="BV113" s="31">
        <f>SUM(BD$5:BD113)</f>
        <v>0</v>
      </c>
      <c r="BW113" s="31">
        <f>SUM(BE$5:BE113)</f>
        <v>0</v>
      </c>
      <c r="BX113" s="31">
        <f>SUM(BF$5:BF113)</f>
        <v>0</v>
      </c>
      <c r="BY113" s="31">
        <f>SUM(BG$5:BG113)</f>
        <v>0</v>
      </c>
      <c r="BZ113" s="31">
        <f>SUM(BH$5:BH113)</f>
        <v>0</v>
      </c>
      <c r="CC113" s="41">
        <v>109</v>
      </c>
      <c r="CD113" s="41">
        <f t="shared" si="57"/>
        <v>1412.9442709976993</v>
      </c>
      <c r="CE113" s="41">
        <f t="shared" si="58"/>
        <v>1760.5787966147789</v>
      </c>
      <c r="CF113" s="41">
        <f t="shared" si="59"/>
        <v>1921.6411095905139</v>
      </c>
      <c r="CG113" s="41">
        <f t="shared" si="60"/>
        <v>1564.8584666179206</v>
      </c>
      <c r="CH113" s="41">
        <f t="shared" si="61"/>
        <v>844.58653587007211</v>
      </c>
      <c r="CI113" s="41">
        <f t="shared" si="62"/>
        <v>592.02933900808898</v>
      </c>
      <c r="CJ113" s="41">
        <f t="shared" si="63"/>
        <v>738.63528947750581</v>
      </c>
      <c r="CK113" s="41">
        <f t="shared" si="64"/>
        <v>808.1582188268701</v>
      </c>
      <c r="CL113" s="41">
        <f t="shared" si="65"/>
        <v>660.58266191468272</v>
      </c>
      <c r="CM113" s="41">
        <f t="shared" si="66"/>
        <v>357.20189998797497</v>
      </c>
      <c r="CN113" s="41">
        <f t="shared" si="67"/>
        <v>0</v>
      </c>
      <c r="CO113" s="41">
        <f t="shared" si="68"/>
        <v>0</v>
      </c>
      <c r="CP113" s="41">
        <f t="shared" si="69"/>
        <v>0</v>
      </c>
      <c r="CQ113" s="41">
        <f t="shared" si="70"/>
        <v>0</v>
      </c>
      <c r="CR113" s="41">
        <f t="shared" si="71"/>
        <v>0</v>
      </c>
    </row>
    <row r="114" spans="23:96" x14ac:dyDescent="0.15">
      <c r="W114" s="117">
        <v>1.05</v>
      </c>
      <c r="X114" s="31">
        <v>110</v>
      </c>
      <c r="Y114" s="113">
        <f t="shared" si="54"/>
        <v>85.680676928127752</v>
      </c>
      <c r="Z114" s="42">
        <f t="shared" si="55"/>
        <v>0.12</v>
      </c>
      <c r="AA114" s="113">
        <f>$Y114*$Z114*其他调用!V113</f>
        <v>64865.357753791468</v>
      </c>
      <c r="AB114" s="113">
        <f>$Y114*$Z114*其他调用!W113</f>
        <v>79808.21867503821</v>
      </c>
      <c r="AC114" s="113">
        <f>$Y114*$Z114*其他调用!X113</f>
        <v>89454.596571113259</v>
      </c>
      <c r="AD114" s="113">
        <f>$Y114*$Z114*其他调用!Y113</f>
        <v>73565.516535490649</v>
      </c>
      <c r="AE114" s="113">
        <f>$Y114*$Z114*其他调用!Z113</f>
        <v>40424.541885806888</v>
      </c>
      <c r="AH114" s="31">
        <v>110</v>
      </c>
      <c r="AI114" s="31">
        <f>SUM(AA$5:AA114)</f>
        <v>582287.87142659351</v>
      </c>
      <c r="AJ114" s="31">
        <f>SUM(AB$5:AB114)</f>
        <v>718745.97212899779</v>
      </c>
      <c r="AK114" s="31">
        <f>SUM(AC$5:AC114)</f>
        <v>780896.70068234531</v>
      </c>
      <c r="AL114" s="31">
        <f>SUM(AD$5:AD114)</f>
        <v>631800.03468243964</v>
      </c>
      <c r="AM114" s="31">
        <f>SUM(AE$5:AE114)</f>
        <v>341827.48319082998</v>
      </c>
      <c r="AR114" s="31">
        <v>110</v>
      </c>
      <c r="AS114" s="42">
        <f t="shared" si="56"/>
        <v>8.0000000000000016E-2</v>
      </c>
      <c r="AT114" s="52">
        <f>求节点(E$21:E$27,$M$21:$M$27,$AR114)*$AS114*其他调用!V113</f>
        <v>0</v>
      </c>
      <c r="AU114" s="52">
        <f>求节点(F$21:F$27,$M$21:$M$27,$AR114)*$AS114*其他调用!W113</f>
        <v>0</v>
      </c>
      <c r="AV114" s="52">
        <f>求节点(G$21:G$27,$M$21:$M$27,$AR114)*$AS114*其他调用!X113</f>
        <v>0</v>
      </c>
      <c r="AW114" s="52">
        <f>求节点(H$21:H$27,$M$21:$M$27,$AR114)*$AS114*其他调用!Y113</f>
        <v>0</v>
      </c>
      <c r="AX114" s="52">
        <f>求节点(I$21:I$27,$M$21:$M$27,$AR114)*$AS114*其他调用!Z113</f>
        <v>0</v>
      </c>
      <c r="AY114" s="52">
        <f>求节点(E$21:E$27,$N$21:$N$27,$AR114)*$AS114*其他调用!V113</f>
        <v>3028.2374079842079</v>
      </c>
      <c r="AZ114" s="52">
        <f>求节点(F$21:F$27,$N$21:$N$27,$AR114)*$AS114*其他调用!W113</f>
        <v>3725.8444511116281</v>
      </c>
      <c r="BA114" s="52">
        <f>求节点(G$21:G$27,$N$21:$N$27,$AR114)*$AS114*其他调用!X113</f>
        <v>4176.1853327163244</v>
      </c>
      <c r="BB114" s="52">
        <f>求节点(H$21:H$27,$N$21:$N$27,$AR114)*$AS114*其他调用!Y113</f>
        <v>3434.404076765185</v>
      </c>
      <c r="BC114" s="52">
        <f>求节点(I$21:I$27,$N$21:$N$27,$AR114)*$AS114*其他调用!Z113</f>
        <v>1887.218604480287</v>
      </c>
      <c r="BD114" s="52">
        <f>求节点(E$21:E$27,$O$21:$O$27,$AR114)*$AS114*其他调用!V113</f>
        <v>0</v>
      </c>
      <c r="BE114" s="52">
        <f>求节点(F$21:F$27,$O$21:$O$27,$AR114)*$AS114*其他调用!W113</f>
        <v>0</v>
      </c>
      <c r="BF114" s="52">
        <f>求节点(G$21:G$27,$O$21:$O$27,$AR114)*$AS114*其他调用!X113</f>
        <v>0</v>
      </c>
      <c r="BG114" s="52">
        <f>求节点(H$21:H$27,$O$21:$O$27,$AR114)*$AS114*其他调用!Y113</f>
        <v>0</v>
      </c>
      <c r="BH114" s="52">
        <f>求节点(I$21:I$27,$O$21:$O$27,$AR114)*$AS114*其他调用!Z113</f>
        <v>0</v>
      </c>
      <c r="BK114" s="31">
        <v>110</v>
      </c>
      <c r="BL114" s="31">
        <f>SUM(AT$5:AT114)</f>
        <v>946.27439936474923</v>
      </c>
      <c r="BM114" s="31">
        <f>SUM(AU$5:AU114)</f>
        <v>1112.8936350179583</v>
      </c>
      <c r="BN114" s="31">
        <f>SUM(AV$5:AV114)</f>
        <v>1078.1579698345183</v>
      </c>
      <c r="BO114" s="31">
        <f>SUM(AW$5:AW114)</f>
        <v>704.96766450982125</v>
      </c>
      <c r="BP114" s="31">
        <f>SUM(AX$5:AX114)</f>
        <v>333.4630769439176</v>
      </c>
      <c r="BQ114" s="31">
        <f>SUM(AY$5:AY114)</f>
        <v>42181.435208735224</v>
      </c>
      <c r="BR114" s="31">
        <f>SUM(AZ$5:AZ114)</f>
        <v>52597.232537939366</v>
      </c>
      <c r="BS114" s="31">
        <f>SUM(BA$5:BA114)</f>
        <v>57694.013931229492</v>
      </c>
      <c r="BT114" s="31">
        <f>SUM(BB$5:BB114)</f>
        <v>47238.258982907428</v>
      </c>
      <c r="BU114" s="31">
        <f>SUM(BC$5:BC114)</f>
        <v>25589.524244697313</v>
      </c>
      <c r="BV114" s="31">
        <f>SUM(BD$5:BD114)</f>
        <v>0</v>
      </c>
      <c r="BW114" s="31">
        <f>SUM(BE$5:BE114)</f>
        <v>0</v>
      </c>
      <c r="BX114" s="31">
        <f>SUM(BF$5:BF114)</f>
        <v>0</v>
      </c>
      <c r="BY114" s="31">
        <f>SUM(BG$5:BG114)</f>
        <v>0</v>
      </c>
      <c r="BZ114" s="31">
        <f>SUM(BH$5:BH114)</f>
        <v>0</v>
      </c>
      <c r="CC114" s="41">
        <v>110</v>
      </c>
      <c r="CD114" s="41">
        <f t="shared" si="57"/>
        <v>1518.9325802771466</v>
      </c>
      <c r="CE114" s="41">
        <f t="shared" si="58"/>
        <v>1890.9833524036858</v>
      </c>
      <c r="CF114" s="41">
        <f t="shared" si="59"/>
        <v>2067.8075962355856</v>
      </c>
      <c r="CG114" s="41">
        <f t="shared" si="60"/>
        <v>1685.0626093047019</v>
      </c>
      <c r="CH114" s="41">
        <f t="shared" si="61"/>
        <v>910.63918702688227</v>
      </c>
      <c r="CI114" s="41">
        <f t="shared" si="62"/>
        <v>637.4529001278521</v>
      </c>
      <c r="CJ114" s="41">
        <f t="shared" si="63"/>
        <v>794.52295624418025</v>
      </c>
      <c r="CK114" s="41">
        <f t="shared" si="64"/>
        <v>870.80099881761487</v>
      </c>
      <c r="CL114" s="41">
        <f t="shared" si="65"/>
        <v>712.09872306616057</v>
      </c>
      <c r="CM114" s="41">
        <f t="shared" si="66"/>
        <v>385.51017905517926</v>
      </c>
      <c r="CN114" s="41">
        <f t="shared" si="67"/>
        <v>0</v>
      </c>
      <c r="CO114" s="41">
        <f t="shared" si="68"/>
        <v>0</v>
      </c>
      <c r="CP114" s="41">
        <f t="shared" si="69"/>
        <v>0</v>
      </c>
      <c r="CQ114" s="41">
        <f t="shared" si="70"/>
        <v>0</v>
      </c>
      <c r="CR114" s="41">
        <f t="shared" si="71"/>
        <v>0</v>
      </c>
    </row>
    <row r="115" spans="23:96" x14ac:dyDescent="0.15">
      <c r="W115" s="117">
        <v>1.05</v>
      </c>
      <c r="X115" s="31">
        <v>111</v>
      </c>
      <c r="Y115" s="113">
        <f t="shared" si="54"/>
        <v>89.96471077453414</v>
      </c>
      <c r="Z115" s="42">
        <f t="shared" si="55"/>
        <v>0.12</v>
      </c>
      <c r="AA115" s="113">
        <f>$Y115*$Z115*其他调用!V114</f>
        <v>72997.017532357524</v>
      </c>
      <c r="AB115" s="113">
        <f>$Y115*$Z115*其他调用!W114</f>
        <v>92944.498262651221</v>
      </c>
      <c r="AC115" s="113">
        <f>$Y115*$Z115*其他调用!X114</f>
        <v>102983.15117714975</v>
      </c>
      <c r="AD115" s="113">
        <f>$Y115*$Z115*其他调用!Y114</f>
        <v>85440.075142301866</v>
      </c>
      <c r="AE115" s="113">
        <f>$Y115*$Z115*其他调用!Z114</f>
        <v>47119.562319153694</v>
      </c>
      <c r="AH115" s="31">
        <v>111</v>
      </c>
      <c r="AI115" s="31">
        <f>SUM(AA$5:AA115)</f>
        <v>655284.88895895099</v>
      </c>
      <c r="AJ115" s="31">
        <f>SUM(AB$5:AB115)</f>
        <v>811690.47039164905</v>
      </c>
      <c r="AK115" s="31">
        <f>SUM(AC$5:AC115)</f>
        <v>883879.85185949504</v>
      </c>
      <c r="AL115" s="31">
        <f>SUM(AD$5:AD115)</f>
        <v>717240.10982474149</v>
      </c>
      <c r="AM115" s="31">
        <f>SUM(AE$5:AE115)</f>
        <v>388947.04550998367</v>
      </c>
      <c r="AR115" s="31">
        <v>111</v>
      </c>
      <c r="AS115" s="42">
        <f t="shared" si="56"/>
        <v>8.0000000000000016E-2</v>
      </c>
      <c r="AT115" s="52">
        <f>求节点(E$21:E$27,$M$21:$M$27,$AR115)*$AS115*其他调用!V114</f>
        <v>0</v>
      </c>
      <c r="AU115" s="52">
        <f>求节点(F$21:F$27,$M$21:$M$27,$AR115)*$AS115*其他调用!W114</f>
        <v>0</v>
      </c>
      <c r="AV115" s="52">
        <f>求节点(G$21:G$27,$M$21:$M$27,$AR115)*$AS115*其他调用!X114</f>
        <v>0</v>
      </c>
      <c r="AW115" s="52">
        <f>求节点(H$21:H$27,$M$21:$M$27,$AR115)*$AS115*其他调用!Y114</f>
        <v>0</v>
      </c>
      <c r="AX115" s="52">
        <f>求节点(I$21:I$27,$M$21:$M$27,$AR115)*$AS115*其他调用!Z114</f>
        <v>0</v>
      </c>
      <c r="AY115" s="52">
        <f>求节点(E$21:E$27,$N$21:$N$27,$AR115)*$AS115*其他调用!V114</f>
        <v>3245.5844921371299</v>
      </c>
      <c r="AZ115" s="52">
        <f>求节点(F$21:F$27,$N$21:$N$27,$AR115)*$AS115*其他调用!W114</f>
        <v>4132.4869479360605</v>
      </c>
      <c r="BA115" s="52">
        <f>求节点(G$21:G$27,$N$21:$N$27,$AR115)*$AS115*其他调用!X114</f>
        <v>4578.8243096892475</v>
      </c>
      <c r="BB115" s="52">
        <f>求节点(H$21:H$27,$N$21:$N$27,$AR115)*$AS115*其他调用!Y114</f>
        <v>3798.8262022618305</v>
      </c>
      <c r="BC115" s="52">
        <f>求节点(I$21:I$27,$N$21:$N$27,$AR115)*$AS115*其他调用!Z114</f>
        <v>2095.0242339907172</v>
      </c>
      <c r="BD115" s="52">
        <f>求节点(E$21:E$27,$O$21:$O$27,$AR115)*$AS115*其他调用!V114</f>
        <v>0</v>
      </c>
      <c r="BE115" s="52">
        <f>求节点(F$21:F$27,$O$21:$O$27,$AR115)*$AS115*其他调用!W114</f>
        <v>0</v>
      </c>
      <c r="BF115" s="52">
        <f>求节点(G$21:G$27,$O$21:$O$27,$AR115)*$AS115*其他调用!X114</f>
        <v>0</v>
      </c>
      <c r="BG115" s="52">
        <f>求节点(H$21:H$27,$O$21:$O$27,$AR115)*$AS115*其他调用!Y114</f>
        <v>0</v>
      </c>
      <c r="BH115" s="52">
        <f>求节点(I$21:I$27,$O$21:$O$27,$AR115)*$AS115*其他调用!Z114</f>
        <v>0</v>
      </c>
      <c r="BK115" s="31">
        <v>111</v>
      </c>
      <c r="BL115" s="31">
        <f>SUM(AT$5:AT115)</f>
        <v>946.27439936474923</v>
      </c>
      <c r="BM115" s="31">
        <f>SUM(AU$5:AU115)</f>
        <v>1112.8936350179583</v>
      </c>
      <c r="BN115" s="31">
        <f>SUM(AV$5:AV115)</f>
        <v>1078.1579698345183</v>
      </c>
      <c r="BO115" s="31">
        <f>SUM(AW$5:AW115)</f>
        <v>704.96766450982125</v>
      </c>
      <c r="BP115" s="31">
        <f>SUM(AX$5:AX115)</f>
        <v>333.4630769439176</v>
      </c>
      <c r="BQ115" s="31">
        <f>SUM(AY$5:AY115)</f>
        <v>45427.019700872355</v>
      </c>
      <c r="BR115" s="31">
        <f>SUM(AZ$5:AZ115)</f>
        <v>56729.719485875423</v>
      </c>
      <c r="BS115" s="31">
        <f>SUM(BA$5:BA115)</f>
        <v>62272.83824091874</v>
      </c>
      <c r="BT115" s="31">
        <f>SUM(BB$5:BB115)</f>
        <v>51037.085185169257</v>
      </c>
      <c r="BU115" s="31">
        <f>SUM(BC$5:BC115)</f>
        <v>27684.54847868803</v>
      </c>
      <c r="BV115" s="31">
        <f>SUM(BD$5:BD115)</f>
        <v>0</v>
      </c>
      <c r="BW115" s="31">
        <f>SUM(BE$5:BE115)</f>
        <v>0</v>
      </c>
      <c r="BX115" s="31">
        <f>SUM(BF$5:BF115)</f>
        <v>0</v>
      </c>
      <c r="BY115" s="31">
        <f>SUM(BG$5:BG115)</f>
        <v>0</v>
      </c>
      <c r="BZ115" s="31">
        <f>SUM(BH$5:BH115)</f>
        <v>0</v>
      </c>
      <c r="CC115" s="41">
        <v>111</v>
      </c>
      <c r="CD115" s="41">
        <f t="shared" si="57"/>
        <v>1632.5280375019461</v>
      </c>
      <c r="CE115" s="41">
        <f t="shared" si="58"/>
        <v>2035.6203955814476</v>
      </c>
      <c r="CF115" s="41">
        <f t="shared" si="59"/>
        <v>2228.0664470747092</v>
      </c>
      <c r="CG115" s="41">
        <f t="shared" si="60"/>
        <v>1818.0215263838659</v>
      </c>
      <c r="CH115" s="41">
        <f t="shared" si="61"/>
        <v>983.96503521655723</v>
      </c>
      <c r="CI115" s="41">
        <f t="shared" si="62"/>
        <v>686.1366675099091</v>
      </c>
      <c r="CJ115" s="41">
        <f t="shared" si="63"/>
        <v>856.51026046322113</v>
      </c>
      <c r="CK115" s="41">
        <f t="shared" si="64"/>
        <v>939.48336346295366</v>
      </c>
      <c r="CL115" s="41">
        <f t="shared" si="65"/>
        <v>769.08111610008791</v>
      </c>
      <c r="CM115" s="41">
        <f t="shared" si="66"/>
        <v>416.93554256504001</v>
      </c>
      <c r="CN115" s="41">
        <f t="shared" si="67"/>
        <v>0</v>
      </c>
      <c r="CO115" s="41">
        <f t="shared" si="68"/>
        <v>0</v>
      </c>
      <c r="CP115" s="41">
        <f t="shared" si="69"/>
        <v>0</v>
      </c>
      <c r="CQ115" s="41">
        <f t="shared" si="70"/>
        <v>0</v>
      </c>
      <c r="CR115" s="41">
        <f t="shared" si="71"/>
        <v>0</v>
      </c>
    </row>
    <row r="116" spans="23:96" x14ac:dyDescent="0.15">
      <c r="W116" s="117">
        <v>1.05</v>
      </c>
      <c r="X116" s="31">
        <v>112</v>
      </c>
      <c r="Y116" s="113">
        <f t="shared" si="54"/>
        <v>94.462946313260858</v>
      </c>
      <c r="Z116" s="42">
        <f t="shared" si="55"/>
        <v>0.12</v>
      </c>
      <c r="AA116" s="113">
        <f>$Y116*$Z116*其他调用!V115</f>
        <v>82148.079547252142</v>
      </c>
      <c r="AB116" s="113">
        <f>$Y116*$Z116*其他调用!W115</f>
        <v>103001.79889331812</v>
      </c>
      <c r="AC116" s="113">
        <f>$Y116*$Z116*其他调用!X115</f>
        <v>112353.66093213871</v>
      </c>
      <c r="AD116" s="113">
        <f>$Y116*$Z116*其他调用!Y115</f>
        <v>91906.825300513447</v>
      </c>
      <c r="AE116" s="113">
        <f>$Y116*$Z116*其他调用!Z115</f>
        <v>46182.548460975282</v>
      </c>
      <c r="AH116" s="31">
        <v>112</v>
      </c>
      <c r="AI116" s="31">
        <f>SUM(AA$5:AA116)</f>
        <v>737432.96850620315</v>
      </c>
      <c r="AJ116" s="31">
        <f>SUM(AB$5:AB116)</f>
        <v>914692.26928496722</v>
      </c>
      <c r="AK116" s="31">
        <f>SUM(AC$5:AC116)</f>
        <v>996233.51279163372</v>
      </c>
      <c r="AL116" s="31">
        <f>SUM(AD$5:AD116)</f>
        <v>809146.93512525491</v>
      </c>
      <c r="AM116" s="31">
        <f>SUM(AE$5:AE116)</f>
        <v>435129.59397095896</v>
      </c>
      <c r="AR116" s="31">
        <v>112</v>
      </c>
      <c r="AS116" s="42">
        <f t="shared" si="56"/>
        <v>8.0000000000000016E-2</v>
      </c>
      <c r="AT116" s="52">
        <f>求节点(E$21:E$27,$M$21:$M$27,$AR116)*$AS116*其他调用!V115</f>
        <v>0</v>
      </c>
      <c r="AU116" s="52">
        <f>求节点(F$21:F$27,$M$21:$M$27,$AR116)*$AS116*其他调用!W115</f>
        <v>0</v>
      </c>
      <c r="AV116" s="52">
        <f>求节点(G$21:G$27,$M$21:$M$27,$AR116)*$AS116*其他调用!X115</f>
        <v>0</v>
      </c>
      <c r="AW116" s="52">
        <f>求节点(H$21:H$27,$M$21:$M$27,$AR116)*$AS116*其他调用!Y115</f>
        <v>0</v>
      </c>
      <c r="AX116" s="52">
        <f>求节点(I$21:I$27,$M$21:$M$27,$AR116)*$AS116*其他调用!Z115</f>
        <v>0</v>
      </c>
      <c r="AY116" s="52">
        <f>求节点(E$21:E$27,$N$21:$N$27,$AR116)*$AS116*其他调用!V115</f>
        <v>3478.5313290919485</v>
      </c>
      <c r="AZ116" s="52">
        <f>求节点(F$21:F$27,$N$21:$N$27,$AR116)*$AS116*其他调用!W115</f>
        <v>4361.5746877824668</v>
      </c>
      <c r="BA116" s="52">
        <f>求节点(G$21:G$27,$N$21:$N$27,$AR116)*$AS116*其他调用!X115</f>
        <v>4757.5759731037042</v>
      </c>
      <c r="BB116" s="52">
        <f>求节点(H$21:H$27,$N$21:$N$27,$AR116)*$AS116*其他调用!Y115</f>
        <v>3891.76196117065</v>
      </c>
      <c r="BC116" s="52">
        <f>求节点(I$21:I$27,$N$21:$N$27,$AR116)*$AS116*其他调用!Z115</f>
        <v>1955.5836553233621</v>
      </c>
      <c r="BD116" s="52">
        <f>求节点(E$21:E$27,$O$21:$O$27,$AR116)*$AS116*其他调用!V115</f>
        <v>0</v>
      </c>
      <c r="BE116" s="52">
        <f>求节点(F$21:F$27,$O$21:$O$27,$AR116)*$AS116*其他调用!W115</f>
        <v>0</v>
      </c>
      <c r="BF116" s="52">
        <f>求节点(G$21:G$27,$O$21:$O$27,$AR116)*$AS116*其他调用!X115</f>
        <v>0</v>
      </c>
      <c r="BG116" s="52">
        <f>求节点(H$21:H$27,$O$21:$O$27,$AR116)*$AS116*其他调用!Y115</f>
        <v>0</v>
      </c>
      <c r="BH116" s="52">
        <f>求节点(I$21:I$27,$O$21:$O$27,$AR116)*$AS116*其他调用!Z115</f>
        <v>0</v>
      </c>
      <c r="BK116" s="31">
        <v>112</v>
      </c>
      <c r="BL116" s="31">
        <f>SUM(AT$5:AT116)</f>
        <v>946.27439936474923</v>
      </c>
      <c r="BM116" s="31">
        <f>SUM(AU$5:AU116)</f>
        <v>1112.8936350179583</v>
      </c>
      <c r="BN116" s="31">
        <f>SUM(AV$5:AV116)</f>
        <v>1078.1579698345183</v>
      </c>
      <c r="BO116" s="31">
        <f>SUM(AW$5:AW116)</f>
        <v>704.96766450982125</v>
      </c>
      <c r="BP116" s="31">
        <f>SUM(AX$5:AX116)</f>
        <v>333.4630769439176</v>
      </c>
      <c r="BQ116" s="31">
        <f>SUM(AY$5:AY116)</f>
        <v>48905.551029964307</v>
      </c>
      <c r="BR116" s="31">
        <f>SUM(AZ$5:AZ116)</f>
        <v>61091.294173657887</v>
      </c>
      <c r="BS116" s="31">
        <f>SUM(BA$5:BA116)</f>
        <v>67030.414214022443</v>
      </c>
      <c r="BT116" s="31">
        <f>SUM(BB$5:BB116)</f>
        <v>54928.847146339904</v>
      </c>
      <c r="BU116" s="31">
        <f>SUM(BC$5:BC116)</f>
        <v>29640.132134011394</v>
      </c>
      <c r="BV116" s="31">
        <f>SUM(BD$5:BD116)</f>
        <v>0</v>
      </c>
      <c r="BW116" s="31">
        <f>SUM(BE$5:BE116)</f>
        <v>0</v>
      </c>
      <c r="BX116" s="31">
        <f>SUM(BF$5:BF116)</f>
        <v>0</v>
      </c>
      <c r="BY116" s="31">
        <f>SUM(BG$5:BG116)</f>
        <v>0</v>
      </c>
      <c r="BZ116" s="31">
        <f>SUM(BH$5:BH116)</f>
        <v>0</v>
      </c>
      <c r="CC116" s="41">
        <v>112</v>
      </c>
      <c r="CD116" s="41">
        <f t="shared" si="57"/>
        <v>1754.2766340201645</v>
      </c>
      <c r="CE116" s="41">
        <f t="shared" si="58"/>
        <v>2188.275509653834</v>
      </c>
      <c r="CF116" s="41">
        <f t="shared" si="59"/>
        <v>2394.5816061333385</v>
      </c>
      <c r="CG116" s="41">
        <f t="shared" si="60"/>
        <v>1954.2331950248386</v>
      </c>
      <c r="CH116" s="41">
        <f t="shared" si="61"/>
        <v>1052.4104631528749</v>
      </c>
      <c r="CI116" s="41">
        <f t="shared" si="62"/>
        <v>738.31463744628832</v>
      </c>
      <c r="CJ116" s="41">
        <f t="shared" si="63"/>
        <v>921.93388077995803</v>
      </c>
      <c r="CK116" s="41">
        <f t="shared" si="64"/>
        <v>1010.8470030595092</v>
      </c>
      <c r="CL116" s="41">
        <f t="shared" si="65"/>
        <v>827.45754551764765</v>
      </c>
      <c r="CM116" s="41">
        <f t="shared" si="66"/>
        <v>446.26929739489049</v>
      </c>
      <c r="CN116" s="41">
        <f t="shared" si="67"/>
        <v>0</v>
      </c>
      <c r="CO116" s="41">
        <f t="shared" si="68"/>
        <v>0</v>
      </c>
      <c r="CP116" s="41">
        <f t="shared" si="69"/>
        <v>0</v>
      </c>
      <c r="CQ116" s="41">
        <f t="shared" si="70"/>
        <v>0</v>
      </c>
      <c r="CR116" s="41">
        <f t="shared" si="71"/>
        <v>0</v>
      </c>
    </row>
    <row r="117" spans="23:96" x14ac:dyDescent="0.15">
      <c r="W117" s="117">
        <v>1.05</v>
      </c>
      <c r="X117" s="31">
        <v>113</v>
      </c>
      <c r="Y117" s="113">
        <f t="shared" si="54"/>
        <v>99.186093628923899</v>
      </c>
      <c r="Z117" s="42">
        <f t="shared" si="55"/>
        <v>0.12</v>
      </c>
      <c r="AA117" s="113">
        <f>$Y117*$Z117*其他调用!V116</f>
        <v>92446.338239919845</v>
      </c>
      <c r="AB117" s="113">
        <f>$Y117*$Z117*其他调用!W116</f>
        <v>115995.1487822529</v>
      </c>
      <c r="AC117" s="113">
        <f>$Y117*$Z117*其他调用!X116</f>
        <v>128167.95112371928</v>
      </c>
      <c r="AD117" s="113">
        <f>$Y117*$Z117*其他调用!Y116</f>
        <v>98608.970345175563</v>
      </c>
      <c r="AE117" s="113">
        <f>$Y117*$Z117*其他调用!Z116</f>
        <v>50220.084186676322</v>
      </c>
      <c r="AH117" s="31">
        <v>113</v>
      </c>
      <c r="AI117" s="31">
        <f>SUM(AA$5:AA117)</f>
        <v>829879.30674612301</v>
      </c>
      <c r="AJ117" s="31">
        <f>SUM(AB$5:AB117)</f>
        <v>1030687.4180672201</v>
      </c>
      <c r="AK117" s="31">
        <f>SUM(AC$5:AC117)</f>
        <v>1124401.4639153529</v>
      </c>
      <c r="AL117" s="31">
        <f>SUM(AD$5:AD117)</f>
        <v>907755.9054704305</v>
      </c>
      <c r="AM117" s="31">
        <f>SUM(AE$5:AE117)</f>
        <v>485349.67815763527</v>
      </c>
      <c r="AR117" s="31">
        <v>113</v>
      </c>
      <c r="AS117" s="42">
        <f t="shared" si="56"/>
        <v>8.0000000000000016E-2</v>
      </c>
      <c r="AT117" s="52">
        <f>求节点(E$21:E$27,$M$21:$M$27,$AR117)*$AS117*其他调用!V116</f>
        <v>0</v>
      </c>
      <c r="AU117" s="52">
        <f>求节点(F$21:F$27,$M$21:$M$27,$AR117)*$AS117*其他调用!W116</f>
        <v>0</v>
      </c>
      <c r="AV117" s="52">
        <f>求节点(G$21:G$27,$M$21:$M$27,$AR117)*$AS117*其他调用!X116</f>
        <v>0</v>
      </c>
      <c r="AW117" s="52">
        <f>求节点(H$21:H$27,$M$21:$M$27,$AR117)*$AS117*其他调用!Y116</f>
        <v>0</v>
      </c>
      <c r="AX117" s="52">
        <f>求节点(I$21:I$27,$M$21:$M$27,$AR117)*$AS117*其他调用!Z116</f>
        <v>0</v>
      </c>
      <c r="AY117" s="52">
        <f>求节点(E$21:E$27,$N$21:$N$27,$AR117)*$AS117*其他调用!V116</f>
        <v>3728.1975671219043</v>
      </c>
      <c r="AZ117" s="52">
        <f>求节点(F$21:F$27,$N$21:$N$27,$AR117)*$AS117*其他调用!W116</f>
        <v>4677.8795106586313</v>
      </c>
      <c r="BA117" s="52">
        <f>求节点(G$21:G$27,$N$21:$N$27,$AR117)*$AS117*其他调用!X116</f>
        <v>5168.7871327294188</v>
      </c>
      <c r="BB117" s="52">
        <f>求节点(H$21:H$27,$N$21:$N$27,$AR117)*$AS117*其他调用!Y116</f>
        <v>3976.7256371278231</v>
      </c>
      <c r="BC117" s="52">
        <f>求节点(I$21:I$27,$N$21:$N$27,$AR117)*$AS117*其他调用!Z116</f>
        <v>2025.2873099150477</v>
      </c>
      <c r="BD117" s="52">
        <f>求节点(E$21:E$27,$O$21:$O$27,$AR117)*$AS117*其他调用!V116</f>
        <v>0</v>
      </c>
      <c r="BE117" s="52">
        <f>求节点(F$21:F$27,$O$21:$O$27,$AR117)*$AS117*其他调用!W116</f>
        <v>0</v>
      </c>
      <c r="BF117" s="52">
        <f>求节点(G$21:G$27,$O$21:$O$27,$AR117)*$AS117*其他调用!X116</f>
        <v>0</v>
      </c>
      <c r="BG117" s="52">
        <f>求节点(H$21:H$27,$O$21:$O$27,$AR117)*$AS117*其他调用!Y116</f>
        <v>0</v>
      </c>
      <c r="BH117" s="52">
        <f>求节点(I$21:I$27,$O$21:$O$27,$AR117)*$AS117*其他调用!Z116</f>
        <v>0</v>
      </c>
      <c r="BK117" s="31">
        <v>113</v>
      </c>
      <c r="BL117" s="31">
        <f>SUM(AT$5:AT117)</f>
        <v>946.27439936474923</v>
      </c>
      <c r="BM117" s="31">
        <f>SUM(AU$5:AU117)</f>
        <v>1112.8936350179583</v>
      </c>
      <c r="BN117" s="31">
        <f>SUM(AV$5:AV117)</f>
        <v>1078.1579698345183</v>
      </c>
      <c r="BO117" s="31">
        <f>SUM(AW$5:AW117)</f>
        <v>704.96766450982125</v>
      </c>
      <c r="BP117" s="31">
        <f>SUM(AX$5:AX117)</f>
        <v>333.4630769439176</v>
      </c>
      <c r="BQ117" s="31">
        <f>SUM(AY$5:AY117)</f>
        <v>52633.748597086211</v>
      </c>
      <c r="BR117" s="31">
        <f>SUM(AZ$5:AZ117)</f>
        <v>65769.173684316513</v>
      </c>
      <c r="BS117" s="31">
        <f>SUM(BA$5:BA117)</f>
        <v>72199.201346751855</v>
      </c>
      <c r="BT117" s="31">
        <f>SUM(BB$5:BB117)</f>
        <v>58905.572783467724</v>
      </c>
      <c r="BU117" s="31">
        <f>SUM(BC$5:BC117)</f>
        <v>31665.419443926443</v>
      </c>
      <c r="BV117" s="31">
        <f>SUM(BD$5:BD117)</f>
        <v>0</v>
      </c>
      <c r="BW117" s="31">
        <f>SUM(BE$5:BE117)</f>
        <v>0</v>
      </c>
      <c r="BX117" s="31">
        <f>SUM(BF$5:BF117)</f>
        <v>0</v>
      </c>
      <c r="BY117" s="31">
        <f>SUM(BG$5:BG117)</f>
        <v>0</v>
      </c>
      <c r="BZ117" s="31">
        <f>SUM(BH$5:BH117)</f>
        <v>0</v>
      </c>
      <c r="CC117" s="41">
        <v>113</v>
      </c>
      <c r="CD117" s="41">
        <f t="shared" si="57"/>
        <v>1884.7635488694311</v>
      </c>
      <c r="CE117" s="41">
        <f t="shared" si="58"/>
        <v>2352.0012925268857</v>
      </c>
      <c r="CF117" s="41">
        <f t="shared" si="59"/>
        <v>2575.4891557788678</v>
      </c>
      <c r="CG117" s="41">
        <f t="shared" si="60"/>
        <v>2093.4185923243122</v>
      </c>
      <c r="CH117" s="41">
        <f t="shared" si="61"/>
        <v>1123.2955189999016</v>
      </c>
      <c r="CI117" s="41">
        <f t="shared" si="62"/>
        <v>794.23760095311695</v>
      </c>
      <c r="CJ117" s="41">
        <f t="shared" si="63"/>
        <v>992.10207343983745</v>
      </c>
      <c r="CK117" s="41">
        <f t="shared" si="64"/>
        <v>1088.3788100504503</v>
      </c>
      <c r="CL117" s="41">
        <f t="shared" si="65"/>
        <v>887.10843007456492</v>
      </c>
      <c r="CM117" s="41">
        <f t="shared" si="66"/>
        <v>476.64860704361615</v>
      </c>
      <c r="CN117" s="41">
        <f t="shared" si="67"/>
        <v>0</v>
      </c>
      <c r="CO117" s="41">
        <f t="shared" si="68"/>
        <v>0</v>
      </c>
      <c r="CP117" s="41">
        <f t="shared" si="69"/>
        <v>0</v>
      </c>
      <c r="CQ117" s="41">
        <f t="shared" si="70"/>
        <v>0</v>
      </c>
      <c r="CR117" s="41">
        <f t="shared" si="71"/>
        <v>0</v>
      </c>
    </row>
    <row r="118" spans="23:96" x14ac:dyDescent="0.15">
      <c r="W118" s="117">
        <v>1.05</v>
      </c>
      <c r="X118" s="31">
        <v>114</v>
      </c>
      <c r="Y118" s="113">
        <f t="shared" si="54"/>
        <v>104.1453983103701</v>
      </c>
      <c r="Z118" s="42">
        <f t="shared" si="55"/>
        <v>0.12</v>
      </c>
      <c r="AA118" s="113">
        <f>$Y118*$Z118*其他调用!V117</f>
        <v>104035.60863590911</v>
      </c>
      <c r="AB118" s="113">
        <f>$Y118*$Z118*其他调用!W117</f>
        <v>130627.50249432892</v>
      </c>
      <c r="AC118" s="113">
        <f>$Y118*$Z118*其他调用!X117</f>
        <v>134938.14122944916</v>
      </c>
      <c r="AD118" s="113">
        <f>$Y118*$Z118*其他调用!Y117</f>
        <v>104826.38235479122</v>
      </c>
      <c r="AE118" s="113">
        <f>$Y118*$Z118*其他调用!Z117</f>
        <v>57557.130997334454</v>
      </c>
      <c r="AH118" s="31">
        <v>114</v>
      </c>
      <c r="AI118" s="31">
        <f>SUM(AA$5:AA118)</f>
        <v>933914.91538203217</v>
      </c>
      <c r="AJ118" s="31">
        <f>SUM(AB$5:AB118)</f>
        <v>1161314.920561549</v>
      </c>
      <c r="AK118" s="31">
        <f>SUM(AC$5:AC118)</f>
        <v>1259339.605144802</v>
      </c>
      <c r="AL118" s="31">
        <f>SUM(AD$5:AD118)</f>
        <v>1012582.2878252217</v>
      </c>
      <c r="AM118" s="31">
        <f>SUM(AE$5:AE118)</f>
        <v>542906.80915496976</v>
      </c>
      <c r="AR118" s="31">
        <v>114</v>
      </c>
      <c r="AS118" s="42">
        <f t="shared" si="56"/>
        <v>8.0000000000000016E-2</v>
      </c>
      <c r="AT118" s="52">
        <f>求节点(E$21:E$27,$M$21:$M$27,$AR118)*$AS118*其他调用!V117</f>
        <v>0</v>
      </c>
      <c r="AU118" s="52">
        <f>求节点(F$21:F$27,$M$21:$M$27,$AR118)*$AS118*其他调用!W117</f>
        <v>0</v>
      </c>
      <c r="AV118" s="52">
        <f>求节点(G$21:G$27,$M$21:$M$27,$AR118)*$AS118*其他调用!X117</f>
        <v>0</v>
      </c>
      <c r="AW118" s="52">
        <f>求节点(H$21:H$27,$M$21:$M$27,$AR118)*$AS118*其他调用!Y117</f>
        <v>0</v>
      </c>
      <c r="AX118" s="52">
        <f>求节点(I$21:I$27,$M$21:$M$27,$AR118)*$AS118*其他调用!Z117</f>
        <v>0</v>
      </c>
      <c r="AY118" s="52">
        <f>求节点(E$21:E$27,$N$21:$N$27,$AR118)*$AS118*其他调用!V117</f>
        <v>3995.7832155335841</v>
      </c>
      <c r="AZ118" s="52">
        <f>求节点(F$21:F$27,$N$21:$N$27,$AR118)*$AS118*其他调用!W117</f>
        <v>5017.120472477829</v>
      </c>
      <c r="BA118" s="52">
        <f>求节点(G$21:G$27,$N$21:$N$27,$AR118)*$AS118*其他调用!X117</f>
        <v>5182.6828037975038</v>
      </c>
      <c r="BB118" s="52">
        <f>求节点(H$21:H$27,$N$21:$N$27,$AR118)*$AS118*其他调用!Y117</f>
        <v>4026.1551275608626</v>
      </c>
      <c r="BC118" s="52">
        <f>求节点(I$21:I$27,$N$21:$N$27,$AR118)*$AS118*其他调用!Z117</f>
        <v>2210.6451914775889</v>
      </c>
      <c r="BD118" s="52">
        <f>求节点(E$21:E$27,$O$21:$O$27,$AR118)*$AS118*其他调用!V117</f>
        <v>0</v>
      </c>
      <c r="BE118" s="52">
        <f>求节点(F$21:F$27,$O$21:$O$27,$AR118)*$AS118*其他调用!W117</f>
        <v>0</v>
      </c>
      <c r="BF118" s="52">
        <f>求节点(G$21:G$27,$O$21:$O$27,$AR118)*$AS118*其他调用!X117</f>
        <v>0</v>
      </c>
      <c r="BG118" s="52">
        <f>求节点(H$21:H$27,$O$21:$O$27,$AR118)*$AS118*其他调用!Y117</f>
        <v>0</v>
      </c>
      <c r="BH118" s="52">
        <f>求节点(I$21:I$27,$O$21:$O$27,$AR118)*$AS118*其他调用!Z117</f>
        <v>0</v>
      </c>
      <c r="BK118" s="31">
        <v>114</v>
      </c>
      <c r="BL118" s="31">
        <f>SUM(AT$5:AT118)</f>
        <v>946.27439936474923</v>
      </c>
      <c r="BM118" s="31">
        <f>SUM(AU$5:AU118)</f>
        <v>1112.8936350179583</v>
      </c>
      <c r="BN118" s="31">
        <f>SUM(AV$5:AV118)</f>
        <v>1078.1579698345183</v>
      </c>
      <c r="BO118" s="31">
        <f>SUM(AW$5:AW118)</f>
        <v>704.96766450982125</v>
      </c>
      <c r="BP118" s="31">
        <f>SUM(AX$5:AX118)</f>
        <v>333.4630769439176</v>
      </c>
      <c r="BQ118" s="31">
        <f>SUM(AY$5:AY118)</f>
        <v>56629.531812619796</v>
      </c>
      <c r="BR118" s="31">
        <f>SUM(AZ$5:AZ118)</f>
        <v>70786.294156794349</v>
      </c>
      <c r="BS118" s="31">
        <f>SUM(BA$5:BA118)</f>
        <v>77381.884150549362</v>
      </c>
      <c r="BT118" s="31">
        <f>SUM(BB$5:BB118)</f>
        <v>62931.727911028589</v>
      </c>
      <c r="BU118" s="31">
        <f>SUM(BC$5:BC118)</f>
        <v>33876.064635404029</v>
      </c>
      <c r="BV118" s="31">
        <f>SUM(BD$5:BD118)</f>
        <v>0</v>
      </c>
      <c r="BW118" s="31">
        <f>SUM(BE$5:BE118)</f>
        <v>0</v>
      </c>
      <c r="BX118" s="31">
        <f>SUM(BF$5:BF118)</f>
        <v>0</v>
      </c>
      <c r="BY118" s="31">
        <f>SUM(BG$5:BG118)</f>
        <v>0</v>
      </c>
      <c r="BZ118" s="31">
        <f>SUM(BH$5:BH118)</f>
        <v>0</v>
      </c>
      <c r="CC118" s="41">
        <v>114</v>
      </c>
      <c r="CD118" s="41">
        <f t="shared" si="57"/>
        <v>2024.6159614131066</v>
      </c>
      <c r="CE118" s="41">
        <f t="shared" si="58"/>
        <v>2527.6005090636099</v>
      </c>
      <c r="CF118" s="41">
        <f t="shared" si="59"/>
        <v>2756.8830539117807</v>
      </c>
      <c r="CG118" s="41">
        <f t="shared" si="60"/>
        <v>2234.3340217889427</v>
      </c>
      <c r="CH118" s="41">
        <f t="shared" si="61"/>
        <v>1200.6681007016173</v>
      </c>
      <c r="CI118" s="41">
        <f t="shared" si="62"/>
        <v>854.17434918612048</v>
      </c>
      <c r="CJ118" s="41">
        <f t="shared" si="63"/>
        <v>1067.3588805270051</v>
      </c>
      <c r="CK118" s="41">
        <f t="shared" si="64"/>
        <v>1166.1190521074129</v>
      </c>
      <c r="CL118" s="41">
        <f t="shared" si="65"/>
        <v>947.50075698797787</v>
      </c>
      <c r="CM118" s="41">
        <f t="shared" si="66"/>
        <v>509.80828491578006</v>
      </c>
      <c r="CN118" s="41">
        <f t="shared" si="67"/>
        <v>0</v>
      </c>
      <c r="CO118" s="41">
        <f t="shared" si="68"/>
        <v>0</v>
      </c>
      <c r="CP118" s="41">
        <f t="shared" si="69"/>
        <v>0</v>
      </c>
      <c r="CQ118" s="41">
        <f t="shared" si="70"/>
        <v>0</v>
      </c>
      <c r="CR118" s="41">
        <f t="shared" si="71"/>
        <v>0</v>
      </c>
    </row>
    <row r="119" spans="23:96" x14ac:dyDescent="0.15">
      <c r="W119" s="117">
        <v>1.05</v>
      </c>
      <c r="X119" s="31">
        <v>115</v>
      </c>
      <c r="Y119" s="113">
        <f t="shared" si="54"/>
        <v>109.35266822588861</v>
      </c>
      <c r="Z119" s="42">
        <f t="shared" si="55"/>
        <v>0.12</v>
      </c>
      <c r="AA119" s="113">
        <f>$Y119*$Z119*其他调用!V118</f>
        <v>117077.73471951744</v>
      </c>
      <c r="AB119" s="113">
        <f>$Y119*$Z119*其他调用!W118</f>
        <v>136923.42745722516</v>
      </c>
      <c r="AC119" s="113">
        <f>$Y119*$Z119*其他调用!X118</f>
        <v>144821.86253384061</v>
      </c>
      <c r="AD119" s="113">
        <f>$Y119*$Z119*其他调用!Y118</f>
        <v>118433.5574941447</v>
      </c>
      <c r="AE119" s="113">
        <f>$Y119*$Z119*其他调用!Z118</f>
        <v>64484.141601018047</v>
      </c>
      <c r="AH119" s="31">
        <v>115</v>
      </c>
      <c r="AI119" s="31">
        <f>SUM(AA$5:AA119)</f>
        <v>1050992.6501015497</v>
      </c>
      <c r="AJ119" s="31">
        <f>SUM(AB$5:AB119)</f>
        <v>1298238.3480187743</v>
      </c>
      <c r="AK119" s="31">
        <f>SUM(AC$5:AC119)</f>
        <v>1404161.4676786426</v>
      </c>
      <c r="AL119" s="31">
        <f>SUM(AD$5:AD119)</f>
        <v>1131015.8453193663</v>
      </c>
      <c r="AM119" s="31">
        <f>SUM(AE$5:AE119)</f>
        <v>607390.95075598778</v>
      </c>
      <c r="AR119" s="31">
        <v>115</v>
      </c>
      <c r="AS119" s="42">
        <f t="shared" si="56"/>
        <v>8.0000000000000016E-2</v>
      </c>
      <c r="AT119" s="52">
        <f>求节点(E$21:E$27,$M$21:$M$27,$AR119)*$AS119*其他调用!V118</f>
        <v>0</v>
      </c>
      <c r="AU119" s="52">
        <f>求节点(F$21:F$27,$M$21:$M$27,$AR119)*$AS119*其他调用!W118</f>
        <v>0</v>
      </c>
      <c r="AV119" s="52">
        <f>求节点(G$21:G$27,$M$21:$M$27,$AR119)*$AS119*其他调用!X118</f>
        <v>0</v>
      </c>
      <c r="AW119" s="52">
        <f>求节点(H$21:H$27,$M$21:$M$27,$AR119)*$AS119*其他调用!Y118</f>
        <v>0</v>
      </c>
      <c r="AX119" s="52">
        <f>求节点(I$21:I$27,$M$21:$M$27,$AR119)*$AS119*其他调用!Z118</f>
        <v>0</v>
      </c>
      <c r="AY119" s="52">
        <f>求节点(E$21:E$27,$N$21:$N$27,$AR119)*$AS119*其他调用!V118</f>
        <v>4282.5744124568146</v>
      </c>
      <c r="AZ119" s="52">
        <f>求节点(F$21:F$27,$N$21:$N$27,$AR119)*$AS119*其他调用!W118</f>
        <v>5008.5079652335135</v>
      </c>
      <c r="BA119" s="52">
        <f>求节点(G$21:G$27,$N$21:$N$27,$AR119)*$AS119*其他调用!X118</f>
        <v>5297.4240092499149</v>
      </c>
      <c r="BB119" s="52">
        <f>求节点(H$21:H$27,$N$21:$N$27,$AR119)*$AS119*其他调用!Y118</f>
        <v>4332.1689142325386</v>
      </c>
      <c r="BC119" s="52">
        <f>求节点(I$21:I$27,$N$21:$N$27,$AR119)*$AS119*其他调用!Z118</f>
        <v>2358.7587810043692</v>
      </c>
      <c r="BD119" s="52">
        <f>求节点(E$21:E$27,$O$21:$O$27,$AR119)*$AS119*其他调用!V118</f>
        <v>0</v>
      </c>
      <c r="BE119" s="52">
        <f>求节点(F$21:F$27,$O$21:$O$27,$AR119)*$AS119*其他调用!W118</f>
        <v>0</v>
      </c>
      <c r="BF119" s="52">
        <f>求节点(G$21:G$27,$O$21:$O$27,$AR119)*$AS119*其他调用!X118</f>
        <v>0</v>
      </c>
      <c r="BG119" s="52">
        <f>求节点(H$21:H$27,$O$21:$O$27,$AR119)*$AS119*其他调用!Y118</f>
        <v>0</v>
      </c>
      <c r="BH119" s="52">
        <f>求节点(I$21:I$27,$O$21:$O$27,$AR119)*$AS119*其他调用!Z118</f>
        <v>0</v>
      </c>
      <c r="BK119" s="31">
        <v>115</v>
      </c>
      <c r="BL119" s="31">
        <f>SUM(AT$5:AT119)</f>
        <v>946.27439936474923</v>
      </c>
      <c r="BM119" s="31">
        <f>SUM(AU$5:AU119)</f>
        <v>1112.8936350179583</v>
      </c>
      <c r="BN119" s="31">
        <f>SUM(AV$5:AV119)</f>
        <v>1078.1579698345183</v>
      </c>
      <c r="BO119" s="31">
        <f>SUM(AW$5:AW119)</f>
        <v>704.96766450982125</v>
      </c>
      <c r="BP119" s="31">
        <f>SUM(AX$5:AX119)</f>
        <v>333.4630769439176</v>
      </c>
      <c r="BQ119" s="31">
        <f>SUM(AY$5:AY119)</f>
        <v>60912.106225076612</v>
      </c>
      <c r="BR119" s="31">
        <f>SUM(AZ$5:AZ119)</f>
        <v>75794.802122027861</v>
      </c>
      <c r="BS119" s="31">
        <f>SUM(BA$5:BA119)</f>
        <v>82679.308159799271</v>
      </c>
      <c r="BT119" s="31">
        <f>SUM(BB$5:BB119)</f>
        <v>67263.896825261123</v>
      </c>
      <c r="BU119" s="31">
        <f>SUM(BC$5:BC119)</f>
        <v>36234.823416408399</v>
      </c>
      <c r="BV119" s="31">
        <f>SUM(BD$5:BD119)</f>
        <v>0</v>
      </c>
      <c r="BW119" s="31">
        <f>SUM(BE$5:BE119)</f>
        <v>0</v>
      </c>
      <c r="BX119" s="31">
        <f>SUM(BF$5:BF119)</f>
        <v>0</v>
      </c>
      <c r="BY119" s="31">
        <f>SUM(BG$5:BG119)</f>
        <v>0</v>
      </c>
      <c r="BZ119" s="31">
        <f>SUM(BH$5:BH119)</f>
        <v>0</v>
      </c>
      <c r="CC119" s="41">
        <v>115</v>
      </c>
      <c r="CD119" s="41">
        <f t="shared" si="57"/>
        <v>2174.5060658490952</v>
      </c>
      <c r="CE119" s="41">
        <f t="shared" si="58"/>
        <v>2702.8982878467828</v>
      </c>
      <c r="CF119" s="41">
        <f t="shared" si="59"/>
        <v>2942.2928942355275</v>
      </c>
      <c r="CG119" s="41">
        <f t="shared" si="60"/>
        <v>2385.9599337870814</v>
      </c>
      <c r="CH119" s="41">
        <f t="shared" si="61"/>
        <v>1283.2246580367703</v>
      </c>
      <c r="CI119" s="41">
        <f t="shared" si="62"/>
        <v>918.41296537297274</v>
      </c>
      <c r="CJ119" s="41">
        <f t="shared" si="63"/>
        <v>1142.4865000055077</v>
      </c>
      <c r="CK119" s="41">
        <f t="shared" si="64"/>
        <v>1245.5804122461616</v>
      </c>
      <c r="CL119" s="41">
        <f t="shared" si="65"/>
        <v>1012.4832907014659</v>
      </c>
      <c r="CM119" s="41">
        <f t="shared" si="66"/>
        <v>545.18966663084552</v>
      </c>
      <c r="CN119" s="41">
        <f t="shared" si="67"/>
        <v>0</v>
      </c>
      <c r="CO119" s="41">
        <f t="shared" si="68"/>
        <v>0</v>
      </c>
      <c r="CP119" s="41">
        <f t="shared" si="69"/>
        <v>0</v>
      </c>
      <c r="CQ119" s="41">
        <f t="shared" si="70"/>
        <v>0</v>
      </c>
      <c r="CR119" s="41">
        <f t="shared" si="71"/>
        <v>0</v>
      </c>
    </row>
    <row r="120" spans="23:96" x14ac:dyDescent="0.15">
      <c r="W120" s="117">
        <v>1.05</v>
      </c>
      <c r="X120" s="31">
        <v>116</v>
      </c>
      <c r="Y120" s="113">
        <f t="shared" si="54"/>
        <v>114.82030163718304</v>
      </c>
      <c r="Z120" s="42">
        <f t="shared" si="55"/>
        <v>0.12</v>
      </c>
      <c r="AA120" s="113">
        <f>$Y120*$Z120*其他调用!V119</f>
        <v>131754.84958255387</v>
      </c>
      <c r="AB120" s="113">
        <f>$Y120*$Z120*其他调用!W119</f>
        <v>159165.19010185497</v>
      </c>
      <c r="AC120" s="113">
        <f>$Y120*$Z120*其他调用!X119</f>
        <v>174021.94206658099</v>
      </c>
      <c r="AD120" s="113">
        <f>$Y120*$Z120*其他调用!Y119</f>
        <v>144463.09917463962</v>
      </c>
      <c r="AE120" s="113">
        <f>$Y120*$Z120*其他调用!Z119</f>
        <v>77968.553195730798</v>
      </c>
      <c r="AH120" s="31">
        <v>116</v>
      </c>
      <c r="AI120" s="31">
        <f>SUM(AA$5:AA120)</f>
        <v>1182747.4996841035</v>
      </c>
      <c r="AJ120" s="31">
        <f>SUM(AB$5:AB120)</f>
        <v>1457403.5381206293</v>
      </c>
      <c r="AK120" s="31">
        <f>SUM(AC$5:AC120)</f>
        <v>1578183.4097452236</v>
      </c>
      <c r="AL120" s="31">
        <f>SUM(AD$5:AD120)</f>
        <v>1275478.944494006</v>
      </c>
      <c r="AM120" s="31">
        <f>SUM(AE$5:AE120)</f>
        <v>685359.50395171857</v>
      </c>
      <c r="AR120" s="31">
        <v>116</v>
      </c>
      <c r="AS120" s="42">
        <f t="shared" si="56"/>
        <v>8.0000000000000016E-2</v>
      </c>
      <c r="AT120" s="52">
        <f>求节点(E$21:E$27,$M$21:$M$27,$AR120)*$AS120*其他调用!V119</f>
        <v>0</v>
      </c>
      <c r="AU120" s="52">
        <f>求节点(F$21:F$27,$M$21:$M$27,$AR120)*$AS120*其他调用!W119</f>
        <v>0</v>
      </c>
      <c r="AV120" s="52">
        <f>求节点(G$21:G$27,$M$21:$M$27,$AR120)*$AS120*其他调用!X119</f>
        <v>0</v>
      </c>
      <c r="AW120" s="52">
        <f>求节点(H$21:H$27,$M$21:$M$27,$AR120)*$AS120*其他调用!Y119</f>
        <v>0</v>
      </c>
      <c r="AX120" s="52">
        <f>求节点(I$21:I$27,$M$21:$M$27,$AR120)*$AS120*其他调用!Z119</f>
        <v>0</v>
      </c>
      <c r="AY120" s="52">
        <f>求节点(E$21:E$27,$N$21:$N$27,$AR120)*$AS120*其他调用!V119</f>
        <v>4589.9496066081347</v>
      </c>
      <c r="AZ120" s="52">
        <f>求节点(F$21:F$27,$N$21:$N$27,$AR120)*$AS120*其他调用!W119</f>
        <v>5544.8448691520061</v>
      </c>
      <c r="BA120" s="52">
        <f>求节点(G$21:G$27,$N$21:$N$27,$AR120)*$AS120*其他调用!X119</f>
        <v>6062.4102039539084</v>
      </c>
      <c r="BB120" s="52">
        <f>求节点(H$21:H$27,$N$21:$N$27,$AR120)*$AS120*其他调用!Y119</f>
        <v>5032.6674678533391</v>
      </c>
      <c r="BC120" s="52">
        <f>求节点(I$21:I$27,$N$21:$N$27,$AR120)*$AS120*其他调用!Z119</f>
        <v>2716.1939860461657</v>
      </c>
      <c r="BD120" s="52">
        <f>求节点(E$21:E$27,$O$21:$O$27,$AR120)*$AS120*其他调用!V119</f>
        <v>0</v>
      </c>
      <c r="BE120" s="52">
        <f>求节点(F$21:F$27,$O$21:$O$27,$AR120)*$AS120*其他调用!W119</f>
        <v>0</v>
      </c>
      <c r="BF120" s="52">
        <f>求节点(G$21:G$27,$O$21:$O$27,$AR120)*$AS120*其他调用!X119</f>
        <v>0</v>
      </c>
      <c r="BG120" s="52">
        <f>求节点(H$21:H$27,$O$21:$O$27,$AR120)*$AS120*其他调用!Y119</f>
        <v>0</v>
      </c>
      <c r="BH120" s="52">
        <f>求节点(I$21:I$27,$O$21:$O$27,$AR120)*$AS120*其他调用!Z119</f>
        <v>0</v>
      </c>
      <c r="BK120" s="31">
        <v>116</v>
      </c>
      <c r="BL120" s="31">
        <f>SUM(AT$5:AT120)</f>
        <v>946.27439936474923</v>
      </c>
      <c r="BM120" s="31">
        <f>SUM(AU$5:AU120)</f>
        <v>1112.8936350179583</v>
      </c>
      <c r="BN120" s="31">
        <f>SUM(AV$5:AV120)</f>
        <v>1078.1579698345183</v>
      </c>
      <c r="BO120" s="31">
        <f>SUM(AW$5:AW120)</f>
        <v>704.96766450982125</v>
      </c>
      <c r="BP120" s="31">
        <f>SUM(AX$5:AX120)</f>
        <v>333.4630769439176</v>
      </c>
      <c r="BQ120" s="31">
        <f>SUM(AY$5:AY120)</f>
        <v>65502.055831684745</v>
      </c>
      <c r="BR120" s="31">
        <f>SUM(AZ$5:AZ120)</f>
        <v>81339.646991179863</v>
      </c>
      <c r="BS120" s="31">
        <f>SUM(BA$5:BA120)</f>
        <v>88741.718363753185</v>
      </c>
      <c r="BT120" s="31">
        <f>SUM(BB$5:BB120)</f>
        <v>72296.564293114468</v>
      </c>
      <c r="BU120" s="31">
        <f>SUM(BC$5:BC120)</f>
        <v>38951.017402454563</v>
      </c>
      <c r="BV120" s="31">
        <f>SUM(BD$5:BD120)</f>
        <v>0</v>
      </c>
      <c r="BW120" s="31">
        <f>SUM(BE$5:BE120)</f>
        <v>0</v>
      </c>
      <c r="BX120" s="31">
        <f>SUM(BF$5:BF120)</f>
        <v>0</v>
      </c>
      <c r="BY120" s="31">
        <f>SUM(BG$5:BG120)</f>
        <v>0</v>
      </c>
      <c r="BZ120" s="31">
        <f>SUM(BH$5:BH120)</f>
        <v>0</v>
      </c>
      <c r="CC120" s="41">
        <v>116</v>
      </c>
      <c r="CD120" s="41">
        <f t="shared" si="57"/>
        <v>2335.1543020803797</v>
      </c>
      <c r="CE120" s="41">
        <f t="shared" si="58"/>
        <v>2896.9678582671031</v>
      </c>
      <c r="CF120" s="41">
        <f t="shared" si="59"/>
        <v>3154.4772513739144</v>
      </c>
      <c r="CG120" s="41">
        <f t="shared" si="60"/>
        <v>2562.1032951619482</v>
      </c>
      <c r="CH120" s="41">
        <f t="shared" si="61"/>
        <v>1378.291447548386</v>
      </c>
      <c r="CI120" s="41">
        <f t="shared" si="62"/>
        <v>987.26220947209481</v>
      </c>
      <c r="CJ120" s="41">
        <f t="shared" si="63"/>
        <v>1225.6591730427876</v>
      </c>
      <c r="CK120" s="41">
        <f t="shared" si="64"/>
        <v>1336.5165653054703</v>
      </c>
      <c r="CL120" s="41">
        <f t="shared" si="65"/>
        <v>1087.973302719266</v>
      </c>
      <c r="CM120" s="41">
        <f t="shared" si="66"/>
        <v>585.93257642153799</v>
      </c>
      <c r="CN120" s="41">
        <f t="shared" si="67"/>
        <v>0</v>
      </c>
      <c r="CO120" s="41">
        <f t="shared" si="68"/>
        <v>0</v>
      </c>
      <c r="CP120" s="41">
        <f t="shared" si="69"/>
        <v>0</v>
      </c>
      <c r="CQ120" s="41">
        <f t="shared" si="70"/>
        <v>0</v>
      </c>
      <c r="CR120" s="41">
        <f t="shared" si="71"/>
        <v>0</v>
      </c>
    </row>
    <row r="121" spans="23:96" x14ac:dyDescent="0.15">
      <c r="W121" s="117">
        <v>1.05</v>
      </c>
      <c r="X121" s="31">
        <v>117</v>
      </c>
      <c r="Y121" s="113">
        <f t="shared" si="54"/>
        <v>120.5613167190422</v>
      </c>
      <c r="Z121" s="42">
        <f t="shared" si="55"/>
        <v>0.12</v>
      </c>
      <c r="AA121" s="113">
        <f>$Y121*$Z121*其他调用!V120</f>
        <v>148271.91891019349</v>
      </c>
      <c r="AB121" s="113">
        <f>$Y121*$Z121*其他调用!W120</f>
        <v>185263.877561631</v>
      </c>
      <c r="AC121" s="113">
        <f>$Y121*$Z121*其他调用!X120</f>
        <v>202171.11041056638</v>
      </c>
      <c r="AD121" s="113">
        <f>$Y121*$Z121*其他调用!Y120</f>
        <v>166142.25815119274</v>
      </c>
      <c r="AE121" s="113">
        <f>$Y121*$Z121*其他调用!Z120</f>
        <v>90782.985423139413</v>
      </c>
      <c r="AH121" s="31">
        <v>117</v>
      </c>
      <c r="AI121" s="31">
        <f>SUM(AA$5:AA121)</f>
        <v>1331019.418594297</v>
      </c>
      <c r="AJ121" s="31">
        <f>SUM(AB$5:AB121)</f>
        <v>1642667.4156822602</v>
      </c>
      <c r="AK121" s="31">
        <f>SUM(AC$5:AC121)</f>
        <v>1780354.52015579</v>
      </c>
      <c r="AL121" s="31">
        <f>SUM(AD$5:AD121)</f>
        <v>1441621.2026451987</v>
      </c>
      <c r="AM121" s="31">
        <f>SUM(AE$5:AE121)</f>
        <v>776142.48937485798</v>
      </c>
      <c r="AR121" s="31">
        <v>117</v>
      </c>
      <c r="AS121" s="42">
        <f t="shared" si="56"/>
        <v>8.0000000000000016E-2</v>
      </c>
      <c r="AT121" s="52">
        <f>求节点(E$21:E$27,$M$21:$M$27,$AR121)*$AS121*其他调用!V120</f>
        <v>0</v>
      </c>
      <c r="AU121" s="52">
        <f>求节点(F$21:F$27,$M$21:$M$27,$AR121)*$AS121*其他调用!W120</f>
        <v>0</v>
      </c>
      <c r="AV121" s="52">
        <f>求节点(G$21:G$27,$M$21:$M$27,$AR121)*$AS121*其他调用!X120</f>
        <v>0</v>
      </c>
      <c r="AW121" s="52">
        <f>求节点(H$21:H$27,$M$21:$M$27,$AR121)*$AS121*其他调用!Y120</f>
        <v>0</v>
      </c>
      <c r="AX121" s="52">
        <f>求节点(I$21:I$27,$M$21:$M$27,$AR121)*$AS121*其他调用!Z120</f>
        <v>0</v>
      </c>
      <c r="AY121" s="52">
        <f>求节点(E$21:E$27,$N$21:$N$27,$AR121)*$AS121*其他调用!V120</f>
        <v>4919.3861827414676</v>
      </c>
      <c r="AZ121" s="52">
        <f>求节点(F$21:F$27,$N$21:$N$27,$AR121)*$AS121*其他调用!W120</f>
        <v>6146.7104906749692</v>
      </c>
      <c r="BA121" s="52">
        <f>求节点(G$21:G$27,$N$21:$N$27,$AR121)*$AS121*其他调用!X120</f>
        <v>6707.6609948349806</v>
      </c>
      <c r="BB121" s="52">
        <f>求节点(H$21:H$27,$N$21:$N$27,$AR121)*$AS121*其他调用!Y120</f>
        <v>5512.2907636575692</v>
      </c>
      <c r="BC121" s="52">
        <f>求节点(I$21:I$27,$N$21:$N$27,$AR121)*$AS121*其他调用!Z120</f>
        <v>3012.0104157356341</v>
      </c>
      <c r="BD121" s="52">
        <f>求节点(E$21:E$27,$O$21:$O$27,$AR121)*$AS121*其他调用!V120</f>
        <v>0</v>
      </c>
      <c r="BE121" s="52">
        <f>求节点(F$21:F$27,$O$21:$O$27,$AR121)*$AS121*其他调用!W120</f>
        <v>0</v>
      </c>
      <c r="BF121" s="52">
        <f>求节点(G$21:G$27,$O$21:$O$27,$AR121)*$AS121*其他调用!X120</f>
        <v>0</v>
      </c>
      <c r="BG121" s="52">
        <f>求节点(H$21:H$27,$O$21:$O$27,$AR121)*$AS121*其他调用!Y120</f>
        <v>0</v>
      </c>
      <c r="BH121" s="52">
        <f>求节点(I$21:I$27,$O$21:$O$27,$AR121)*$AS121*其他调用!Z120</f>
        <v>0</v>
      </c>
      <c r="BK121" s="31">
        <v>117</v>
      </c>
      <c r="BL121" s="31">
        <f>SUM(AT$5:AT121)</f>
        <v>946.27439936474923</v>
      </c>
      <c r="BM121" s="31">
        <f>SUM(AU$5:AU121)</f>
        <v>1112.8936350179583</v>
      </c>
      <c r="BN121" s="31">
        <f>SUM(AV$5:AV121)</f>
        <v>1078.1579698345183</v>
      </c>
      <c r="BO121" s="31">
        <f>SUM(AW$5:AW121)</f>
        <v>704.96766450982125</v>
      </c>
      <c r="BP121" s="31">
        <f>SUM(AX$5:AX121)</f>
        <v>333.4630769439176</v>
      </c>
      <c r="BQ121" s="31">
        <f>SUM(AY$5:AY121)</f>
        <v>70421.442014426211</v>
      </c>
      <c r="BR121" s="31">
        <f>SUM(AZ$5:AZ121)</f>
        <v>87486.357481854837</v>
      </c>
      <c r="BS121" s="31">
        <f>SUM(BA$5:BA121)</f>
        <v>95449.379358588165</v>
      </c>
      <c r="BT121" s="31">
        <f>SUM(BB$5:BB121)</f>
        <v>77808.855056772038</v>
      </c>
      <c r="BU121" s="31">
        <f>SUM(BC$5:BC121)</f>
        <v>41963.027818190196</v>
      </c>
      <c r="BV121" s="31">
        <f>SUM(BD$5:BD121)</f>
        <v>0</v>
      </c>
      <c r="BW121" s="31">
        <f>SUM(BE$5:BE121)</f>
        <v>0</v>
      </c>
      <c r="BX121" s="31">
        <f>SUM(BF$5:BF121)</f>
        <v>0</v>
      </c>
      <c r="BY121" s="31">
        <f>SUM(BG$5:BG121)</f>
        <v>0</v>
      </c>
      <c r="BZ121" s="31">
        <f>SUM(BH$5:BH121)</f>
        <v>0</v>
      </c>
      <c r="CC121" s="41">
        <v>117</v>
      </c>
      <c r="CD121" s="41">
        <f t="shared" si="57"/>
        <v>2507.3328184763313</v>
      </c>
      <c r="CE121" s="41">
        <f t="shared" si="58"/>
        <v>3112.1027254407272</v>
      </c>
      <c r="CF121" s="41">
        <f t="shared" si="59"/>
        <v>3389.245386193139</v>
      </c>
      <c r="CG121" s="41">
        <f t="shared" si="60"/>
        <v>2755.033471889963</v>
      </c>
      <c r="CH121" s="41">
        <f t="shared" si="61"/>
        <v>1483.7118120991331</v>
      </c>
      <c r="CI121" s="41">
        <f t="shared" si="62"/>
        <v>1061.0530022132168</v>
      </c>
      <c r="CJ121" s="41">
        <f t="shared" si="63"/>
        <v>1317.8598304029124</v>
      </c>
      <c r="CK121" s="41">
        <f t="shared" si="64"/>
        <v>1437.1314802279949</v>
      </c>
      <c r="CL121" s="41">
        <f t="shared" si="65"/>
        <v>1170.6576641741296</v>
      </c>
      <c r="CM121" s="41">
        <f t="shared" si="66"/>
        <v>631.11273265757256</v>
      </c>
      <c r="CN121" s="41">
        <f t="shared" si="67"/>
        <v>0</v>
      </c>
      <c r="CO121" s="41">
        <f t="shared" si="68"/>
        <v>0</v>
      </c>
      <c r="CP121" s="41">
        <f t="shared" si="69"/>
        <v>0</v>
      </c>
      <c r="CQ121" s="41">
        <f t="shared" si="70"/>
        <v>0</v>
      </c>
      <c r="CR121" s="41">
        <f t="shared" si="71"/>
        <v>0</v>
      </c>
    </row>
    <row r="122" spans="23:96" x14ac:dyDescent="0.15">
      <c r="W122" s="117">
        <v>1.05</v>
      </c>
      <c r="X122" s="31">
        <v>118</v>
      </c>
      <c r="Y122" s="113">
        <f t="shared" si="54"/>
        <v>126.58938255499432</v>
      </c>
      <c r="Z122" s="42">
        <f t="shared" si="55"/>
        <v>0.12</v>
      </c>
      <c r="AA122" s="113">
        <f>$Y122*$Z122*其他调用!V121</f>
        <v>166859.60332365189</v>
      </c>
      <c r="AB122" s="113">
        <f>$Y122*$Z122*其他调用!W121</f>
        <v>208634.81752746785</v>
      </c>
      <c r="AC122" s="113">
        <f>$Y122*$Z122*其他调用!X121</f>
        <v>229717.96169460274</v>
      </c>
      <c r="AD122" s="113">
        <f>$Y122*$Z122*其他调用!Y121</f>
        <v>189017.2211896457</v>
      </c>
      <c r="AE122" s="113">
        <f>$Y122*$Z122*其他调用!Z121</f>
        <v>99673.91716953757</v>
      </c>
      <c r="AH122" s="31">
        <v>118</v>
      </c>
      <c r="AI122" s="31">
        <f>SUM(AA$5:AA122)</f>
        <v>1497879.021917949</v>
      </c>
      <c r="AJ122" s="31">
        <f>SUM(AB$5:AB122)</f>
        <v>1851302.233209728</v>
      </c>
      <c r="AK122" s="31">
        <f>SUM(AC$5:AC122)</f>
        <v>2010072.4818503927</v>
      </c>
      <c r="AL122" s="31">
        <f>SUM(AD$5:AD122)</f>
        <v>1630638.4238348445</v>
      </c>
      <c r="AM122" s="31">
        <f>SUM(AE$5:AE122)</f>
        <v>875816.40654439549</v>
      </c>
      <c r="AR122" s="31">
        <v>118</v>
      </c>
      <c r="AS122" s="42">
        <f t="shared" si="56"/>
        <v>8.0000000000000016E-2</v>
      </c>
      <c r="AT122" s="52">
        <f>求节点(E$21:E$27,$M$21:$M$27,$AR122)*$AS122*其他调用!V121</f>
        <v>0</v>
      </c>
      <c r="AU122" s="52">
        <f>求节点(F$21:F$27,$M$21:$M$27,$AR122)*$AS122*其他调用!W121</f>
        <v>0</v>
      </c>
      <c r="AV122" s="52">
        <f>求节点(G$21:G$27,$M$21:$M$27,$AR122)*$AS122*其他调用!X121</f>
        <v>0</v>
      </c>
      <c r="AW122" s="52">
        <f>求节点(H$21:H$27,$M$21:$M$27,$AR122)*$AS122*其他调用!Y121</f>
        <v>0</v>
      </c>
      <c r="AX122" s="52">
        <f>求节点(I$21:I$27,$M$21:$M$27,$AR122)*$AS122*其他调用!Z121</f>
        <v>0</v>
      </c>
      <c r="AY122" s="52">
        <f>求节点(E$21:E$27,$N$21:$N$27,$AR122)*$AS122*其他调用!V121</f>
        <v>5272.4675626303169</v>
      </c>
      <c r="AZ122" s="52">
        <f>求节点(F$21:F$27,$N$21:$N$27,$AR122)*$AS122*其他调用!W121</f>
        <v>6592.4902489142178</v>
      </c>
      <c r="BA122" s="52">
        <f>求节点(G$21:G$27,$N$21:$N$27,$AR122)*$AS122*其他调用!X121</f>
        <v>7258.6802165594336</v>
      </c>
      <c r="BB122" s="52">
        <f>求节点(H$21:H$27,$N$21:$N$27,$AR122)*$AS122*其他调用!Y121</f>
        <v>5972.6089937291817</v>
      </c>
      <c r="BC122" s="52">
        <f>求节点(I$21:I$27,$N$21:$N$27,$AR122)*$AS122*其他调用!Z121</f>
        <v>3149.5190246697407</v>
      </c>
      <c r="BD122" s="52">
        <f>求节点(E$21:E$27,$O$21:$O$27,$AR122)*$AS122*其他调用!V121</f>
        <v>0</v>
      </c>
      <c r="BE122" s="52">
        <f>求节点(F$21:F$27,$O$21:$O$27,$AR122)*$AS122*其他调用!W121</f>
        <v>0</v>
      </c>
      <c r="BF122" s="52">
        <f>求节点(G$21:G$27,$O$21:$O$27,$AR122)*$AS122*其他调用!X121</f>
        <v>0</v>
      </c>
      <c r="BG122" s="52">
        <f>求节点(H$21:H$27,$O$21:$O$27,$AR122)*$AS122*其他调用!Y121</f>
        <v>0</v>
      </c>
      <c r="BH122" s="52">
        <f>求节点(I$21:I$27,$O$21:$O$27,$AR122)*$AS122*其他调用!Z121</f>
        <v>0</v>
      </c>
      <c r="BK122" s="31">
        <v>118</v>
      </c>
      <c r="BL122" s="31">
        <f>SUM(AT$5:AT122)</f>
        <v>946.27439936474923</v>
      </c>
      <c r="BM122" s="31">
        <f>SUM(AU$5:AU122)</f>
        <v>1112.8936350179583</v>
      </c>
      <c r="BN122" s="31">
        <f>SUM(AV$5:AV122)</f>
        <v>1078.1579698345183</v>
      </c>
      <c r="BO122" s="31">
        <f>SUM(AW$5:AW122)</f>
        <v>704.96766450982125</v>
      </c>
      <c r="BP122" s="31">
        <f>SUM(AX$5:AX122)</f>
        <v>333.4630769439176</v>
      </c>
      <c r="BQ122" s="31">
        <f>SUM(AY$5:AY122)</f>
        <v>75693.909577056533</v>
      </c>
      <c r="BR122" s="31">
        <f>SUM(AZ$5:AZ122)</f>
        <v>94078.847730769048</v>
      </c>
      <c r="BS122" s="31">
        <f>SUM(BA$5:BA122)</f>
        <v>102708.05957514759</v>
      </c>
      <c r="BT122" s="31">
        <f>SUM(BB$5:BB122)</f>
        <v>83781.464050501221</v>
      </c>
      <c r="BU122" s="31">
        <f>SUM(BC$5:BC122)</f>
        <v>45112.546842859934</v>
      </c>
      <c r="BV122" s="31">
        <f>SUM(BD$5:BD122)</f>
        <v>0</v>
      </c>
      <c r="BW122" s="31">
        <f>SUM(BE$5:BE122)</f>
        <v>0</v>
      </c>
      <c r="BX122" s="31">
        <f>SUM(BF$5:BF122)</f>
        <v>0</v>
      </c>
      <c r="BY122" s="31">
        <f>SUM(BG$5:BG122)</f>
        <v>0</v>
      </c>
      <c r="BZ122" s="31">
        <f>SUM(BH$5:BH122)</f>
        <v>0</v>
      </c>
      <c r="CC122" s="41">
        <v>118</v>
      </c>
      <c r="CD122" s="41">
        <f t="shared" si="57"/>
        <v>2691.8691831683923</v>
      </c>
      <c r="CE122" s="41">
        <f t="shared" si="58"/>
        <v>3342.8398841527246</v>
      </c>
      <c r="CF122" s="41">
        <f t="shared" si="59"/>
        <v>3643.2991937727193</v>
      </c>
      <c r="CG122" s="41">
        <f t="shared" si="60"/>
        <v>2964.0747866704846</v>
      </c>
      <c r="CH122" s="41">
        <f t="shared" si="61"/>
        <v>1593.9449779625738</v>
      </c>
      <c r="CI122" s="41">
        <f t="shared" si="62"/>
        <v>1140.1400156526718</v>
      </c>
      <c r="CJ122" s="41">
        <f t="shared" si="63"/>
        <v>1416.7471841366255</v>
      </c>
      <c r="CK122" s="41">
        <f t="shared" si="64"/>
        <v>1546.0116834763862</v>
      </c>
      <c r="CL122" s="41">
        <f t="shared" si="65"/>
        <v>1260.2467990800674</v>
      </c>
      <c r="CM122" s="41">
        <f t="shared" si="66"/>
        <v>678.35551802761859</v>
      </c>
      <c r="CN122" s="41">
        <f t="shared" si="67"/>
        <v>0</v>
      </c>
      <c r="CO122" s="41">
        <f t="shared" si="68"/>
        <v>0</v>
      </c>
      <c r="CP122" s="41">
        <f t="shared" si="69"/>
        <v>0</v>
      </c>
      <c r="CQ122" s="41">
        <f t="shared" si="70"/>
        <v>0</v>
      </c>
      <c r="CR122" s="41">
        <f t="shared" si="71"/>
        <v>0</v>
      </c>
    </row>
    <row r="123" spans="23:96" x14ac:dyDescent="0.15">
      <c r="W123" s="117">
        <v>1.05</v>
      </c>
      <c r="X123" s="31">
        <v>119</v>
      </c>
      <c r="Y123" s="113">
        <f t="shared" si="54"/>
        <v>132.91885168274405</v>
      </c>
      <c r="Z123" s="42">
        <f t="shared" si="55"/>
        <v>0.12</v>
      </c>
      <c r="AA123" s="113">
        <f>$Y123*$Z123*其他调用!V122</f>
        <v>187777.47955219413</v>
      </c>
      <c r="AB123" s="113">
        <f>$Y123*$Z123*其他调用!W122</f>
        <v>234953.87103621784</v>
      </c>
      <c r="AC123" s="113">
        <f>$Y123*$Z123*其他调用!X122</f>
        <v>258924.63069181709</v>
      </c>
      <c r="AD123" s="113">
        <f>$Y123*$Z123*其他调用!Y122</f>
        <v>206982.62742723932</v>
      </c>
      <c r="AE123" s="113">
        <f>$Y123*$Z123*其他调用!Z122</f>
        <v>102880.00715979456</v>
      </c>
      <c r="AH123" s="31">
        <v>119</v>
      </c>
      <c r="AI123" s="31">
        <f>SUM(AA$5:AA123)</f>
        <v>1685656.501470143</v>
      </c>
      <c r="AJ123" s="31">
        <f>SUM(AB$5:AB123)</f>
        <v>2086256.1042459458</v>
      </c>
      <c r="AK123" s="31">
        <f>SUM(AC$5:AC123)</f>
        <v>2268997.1125422097</v>
      </c>
      <c r="AL123" s="31">
        <f>SUM(AD$5:AD123)</f>
        <v>1837621.0512620839</v>
      </c>
      <c r="AM123" s="31">
        <f>SUM(AE$5:AE123)</f>
        <v>978696.41370419005</v>
      </c>
      <c r="AR123" s="31">
        <v>119</v>
      </c>
      <c r="AS123" s="42">
        <f t="shared" si="56"/>
        <v>8.0000000000000016E-2</v>
      </c>
      <c r="AT123" s="52">
        <f>求节点(E$21:E$27,$M$21:$M$27,$AR123)*$AS123*其他调用!V122</f>
        <v>0</v>
      </c>
      <c r="AU123" s="52">
        <f>求节点(F$21:F$27,$M$21:$M$27,$AR123)*$AS123*其他调用!W122</f>
        <v>0</v>
      </c>
      <c r="AV123" s="52">
        <f>求节点(G$21:G$27,$M$21:$M$27,$AR123)*$AS123*其他调用!X122</f>
        <v>0</v>
      </c>
      <c r="AW123" s="52">
        <f>求节点(H$21:H$27,$M$21:$M$27,$AR123)*$AS123*其他调用!Y122</f>
        <v>0</v>
      </c>
      <c r="AX123" s="52">
        <f>求节点(I$21:I$27,$M$21:$M$27,$AR123)*$AS123*其他调用!Z122</f>
        <v>0</v>
      </c>
      <c r="AY123" s="52">
        <f>求节点(E$21:E$27,$N$21:$N$27,$AR123)*$AS123*其他调用!V122</f>
        <v>5650.8908157102915</v>
      </c>
      <c r="AZ123" s="52">
        <f>求节点(F$21:F$27,$N$21:$N$27,$AR123)*$AS123*其他调用!W122</f>
        <v>7070.5958729470531</v>
      </c>
      <c r="BA123" s="52">
        <f>求节点(G$21:G$27,$N$21:$N$27,$AR123)*$AS123*其他调用!X122</f>
        <v>7791.9611075132871</v>
      </c>
      <c r="BB123" s="52">
        <f>求节点(H$21:H$27,$N$21:$N$27,$AR123)*$AS123*其他调用!Y122</f>
        <v>6228.8418777879197</v>
      </c>
      <c r="BC123" s="52">
        <f>求节点(I$21:I$27,$N$21:$N$27,$AR123)*$AS123*其他调用!Z122</f>
        <v>3096.0245550526615</v>
      </c>
      <c r="BD123" s="52">
        <f>求节点(E$21:E$27,$O$21:$O$27,$AR123)*$AS123*其他调用!V122</f>
        <v>0</v>
      </c>
      <c r="BE123" s="52">
        <f>求节点(F$21:F$27,$O$21:$O$27,$AR123)*$AS123*其他调用!W122</f>
        <v>0</v>
      </c>
      <c r="BF123" s="52">
        <f>求节点(G$21:G$27,$O$21:$O$27,$AR123)*$AS123*其他调用!X122</f>
        <v>0</v>
      </c>
      <c r="BG123" s="52">
        <f>求节点(H$21:H$27,$O$21:$O$27,$AR123)*$AS123*其他调用!Y122</f>
        <v>0</v>
      </c>
      <c r="BH123" s="52">
        <f>求节点(I$21:I$27,$O$21:$O$27,$AR123)*$AS123*其他调用!Z122</f>
        <v>0</v>
      </c>
      <c r="BK123" s="31">
        <v>119</v>
      </c>
      <c r="BL123" s="31">
        <f>SUM(AT$5:AT123)</f>
        <v>946.27439936474923</v>
      </c>
      <c r="BM123" s="31">
        <f>SUM(AU$5:AU123)</f>
        <v>1112.8936350179583</v>
      </c>
      <c r="BN123" s="31">
        <f>SUM(AV$5:AV123)</f>
        <v>1078.1579698345183</v>
      </c>
      <c r="BO123" s="31">
        <f>SUM(AW$5:AW123)</f>
        <v>704.96766450982125</v>
      </c>
      <c r="BP123" s="31">
        <f>SUM(AX$5:AX123)</f>
        <v>333.4630769439176</v>
      </c>
      <c r="BQ123" s="31">
        <f>SUM(AY$5:AY123)</f>
        <v>81344.800392766818</v>
      </c>
      <c r="BR123" s="31">
        <f>SUM(AZ$5:AZ123)</f>
        <v>101149.44360371611</v>
      </c>
      <c r="BS123" s="31">
        <f>SUM(BA$5:BA123)</f>
        <v>110500.02068266088</v>
      </c>
      <c r="BT123" s="31">
        <f>SUM(BB$5:BB123)</f>
        <v>90010.305928289134</v>
      </c>
      <c r="BU123" s="31">
        <f>SUM(BC$5:BC123)</f>
        <v>48208.571397912594</v>
      </c>
      <c r="BV123" s="31">
        <f>SUM(BD$5:BD123)</f>
        <v>0</v>
      </c>
      <c r="BW123" s="31">
        <f>SUM(BE$5:BE123)</f>
        <v>0</v>
      </c>
      <c r="BX123" s="31">
        <f>SUM(BF$5:BF123)</f>
        <v>0</v>
      </c>
      <c r="BY123" s="31">
        <f>SUM(BG$5:BG123)</f>
        <v>0</v>
      </c>
      <c r="BZ123" s="31">
        <f>SUM(BH$5:BH123)</f>
        <v>0</v>
      </c>
      <c r="CC123" s="41">
        <v>119</v>
      </c>
      <c r="CD123" s="41">
        <f t="shared" si="57"/>
        <v>2889.6503617182525</v>
      </c>
      <c r="CE123" s="41">
        <f t="shared" si="58"/>
        <v>3590.3107397058716</v>
      </c>
      <c r="CF123" s="41">
        <f t="shared" si="59"/>
        <v>3916.0178325356842</v>
      </c>
      <c r="CG123" s="41">
        <f t="shared" si="60"/>
        <v>3182.0842523930614</v>
      </c>
      <c r="CH123" s="41">
        <f t="shared" si="61"/>
        <v>1702.3058373894171</v>
      </c>
      <c r="CI123" s="41">
        <f t="shared" si="62"/>
        <v>1224.9033778883258</v>
      </c>
      <c r="CJ123" s="41">
        <f t="shared" si="63"/>
        <v>1522.8061222308313</v>
      </c>
      <c r="CK123" s="41">
        <f t="shared" si="64"/>
        <v>1662.8911000890857</v>
      </c>
      <c r="CL123" s="41">
        <f t="shared" si="65"/>
        <v>1353.679427246886</v>
      </c>
      <c r="CM123" s="41">
        <f t="shared" si="66"/>
        <v>724.79588635340849</v>
      </c>
      <c r="CN123" s="41">
        <f t="shared" si="67"/>
        <v>0</v>
      </c>
      <c r="CO123" s="41">
        <f t="shared" si="68"/>
        <v>0</v>
      </c>
      <c r="CP123" s="41">
        <f t="shared" si="69"/>
        <v>0</v>
      </c>
      <c r="CQ123" s="41">
        <f t="shared" si="70"/>
        <v>0</v>
      </c>
      <c r="CR123" s="41">
        <f t="shared" si="71"/>
        <v>0</v>
      </c>
    </row>
    <row r="124" spans="23:96" x14ac:dyDescent="0.15">
      <c r="W124" s="117">
        <v>1.05</v>
      </c>
      <c r="X124" s="31">
        <v>120</v>
      </c>
      <c r="Y124" s="113">
        <f t="shared" si="54"/>
        <v>139.56479426688125</v>
      </c>
      <c r="Z124" s="42">
        <f t="shared" si="55"/>
        <v>0.12</v>
      </c>
      <c r="AA124" s="113">
        <f>$Y124*$Z124*其他调用!V123</f>
        <v>211317.66541829481</v>
      </c>
      <c r="AB124" s="113">
        <f>$Y124*$Z124*其他调用!W123</f>
        <v>264592.91167800367</v>
      </c>
      <c r="AC124" s="113">
        <f>$Y124*$Z124*其他调用!X123</f>
        <v>285602.96658016549</v>
      </c>
      <c r="AD124" s="113">
        <f>$Y124*$Z124*其他调用!Y123</f>
        <v>211880.51790476343</v>
      </c>
      <c r="AE124" s="113">
        <f>$Y124*$Z124*其他调用!Z123</f>
        <v>116622.10670426214</v>
      </c>
      <c r="AH124" s="31">
        <v>120</v>
      </c>
      <c r="AI124" s="31">
        <f>SUM(AA$5:AA124)</f>
        <v>1896974.1668884377</v>
      </c>
      <c r="AJ124" s="31">
        <f>SUM(AB$5:AB124)</f>
        <v>2350849.0159239494</v>
      </c>
      <c r="AK124" s="31">
        <f>SUM(AC$5:AC124)</f>
        <v>2554600.0791223752</v>
      </c>
      <c r="AL124" s="31">
        <f>SUM(AD$5:AD124)</f>
        <v>2049501.5691668473</v>
      </c>
      <c r="AM124" s="31">
        <f>SUM(AE$5:AE124)</f>
        <v>1095318.5204084523</v>
      </c>
      <c r="AR124" s="31">
        <v>120</v>
      </c>
      <c r="AS124" s="42">
        <f t="shared" si="56"/>
        <v>8.0000000000000016E-2</v>
      </c>
      <c r="AT124" s="52">
        <f>求节点(E$21:E$27,$M$21:$M$27,$AR124)*$AS124*其他调用!V123</f>
        <v>0</v>
      </c>
      <c r="AU124" s="52">
        <f>求节点(F$21:F$27,$M$21:$M$27,$AR124)*$AS124*其他调用!W123</f>
        <v>0</v>
      </c>
      <c r="AV124" s="52">
        <f>求节点(G$21:G$27,$M$21:$M$27,$AR124)*$AS124*其他调用!X123</f>
        <v>0</v>
      </c>
      <c r="AW124" s="52">
        <f>求节点(H$21:H$27,$M$21:$M$27,$AR124)*$AS124*其他调用!Y123</f>
        <v>0</v>
      </c>
      <c r="AX124" s="52">
        <f>求节点(I$21:I$27,$M$21:$M$27,$AR124)*$AS124*其他调用!Z123</f>
        <v>0</v>
      </c>
      <c r="AY124" s="52">
        <f>求节点(E$21:E$27,$N$21:$N$27,$AR124)*$AS124*其他调用!V123</f>
        <v>6056.4748159684159</v>
      </c>
      <c r="AZ124" s="52">
        <f>求节点(F$21:F$27,$N$21:$N$27,$AR124)*$AS124*其他调用!W123</f>
        <v>7583.3712382232688</v>
      </c>
      <c r="BA124" s="52">
        <f>求节点(G$21:G$27,$N$21:$N$27,$AR124)*$AS124*其他调用!X123</f>
        <v>8185.5304005686257</v>
      </c>
      <c r="BB124" s="52">
        <f>求节点(H$21:H$27,$N$21:$N$27,$AR124)*$AS124*其他调用!Y123</f>
        <v>6072.6064626182815</v>
      </c>
      <c r="BC124" s="52">
        <f>求节点(I$21:I$27,$N$21:$N$27,$AR124)*$AS124*其他调用!Z123</f>
        <v>3342.450574784722</v>
      </c>
      <c r="BD124" s="52">
        <f>求节点(E$21:E$27,$O$21:$O$27,$AR124)*$AS124*其他调用!V123</f>
        <v>0</v>
      </c>
      <c r="BE124" s="52">
        <f>求节点(F$21:F$27,$O$21:$O$27,$AR124)*$AS124*其他调用!W123</f>
        <v>0</v>
      </c>
      <c r="BF124" s="52">
        <f>求节点(G$21:G$27,$O$21:$O$27,$AR124)*$AS124*其他调用!X123</f>
        <v>0</v>
      </c>
      <c r="BG124" s="52">
        <f>求节点(H$21:H$27,$O$21:$O$27,$AR124)*$AS124*其他调用!Y123</f>
        <v>0</v>
      </c>
      <c r="BH124" s="52">
        <f>求节点(I$21:I$27,$O$21:$O$27,$AR124)*$AS124*其他调用!Z123</f>
        <v>0</v>
      </c>
      <c r="BK124" s="31">
        <v>120</v>
      </c>
      <c r="BL124" s="31">
        <f>SUM(AT$5:AT124)</f>
        <v>946.27439936474923</v>
      </c>
      <c r="BM124" s="31">
        <f>SUM(AU$5:AU124)</f>
        <v>1112.8936350179583</v>
      </c>
      <c r="BN124" s="31">
        <f>SUM(AV$5:AV124)</f>
        <v>1078.1579698345183</v>
      </c>
      <c r="BO124" s="31">
        <f>SUM(AW$5:AW124)</f>
        <v>704.96766450982125</v>
      </c>
      <c r="BP124" s="31">
        <f>SUM(AX$5:AX124)</f>
        <v>333.4630769439176</v>
      </c>
      <c r="BQ124" s="31">
        <f>SUM(AY$5:AY124)</f>
        <v>87401.275208735227</v>
      </c>
      <c r="BR124" s="31">
        <f>SUM(AZ$5:AZ124)</f>
        <v>108732.81484193937</v>
      </c>
      <c r="BS124" s="31">
        <f>SUM(BA$5:BA124)</f>
        <v>118685.5510832295</v>
      </c>
      <c r="BT124" s="31">
        <f>SUM(BB$5:BB124)</f>
        <v>96082.912390907411</v>
      </c>
      <c r="BU124" s="31">
        <f>SUM(BC$5:BC124)</f>
        <v>51551.021972697316</v>
      </c>
      <c r="BV124" s="31">
        <f>SUM(BD$5:BD124)</f>
        <v>0</v>
      </c>
      <c r="BW124" s="31">
        <f>SUM(BE$5:BE124)</f>
        <v>0</v>
      </c>
      <c r="BX124" s="31">
        <f>SUM(BF$5:BF124)</f>
        <v>0</v>
      </c>
      <c r="BY124" s="31">
        <f>SUM(BG$5:BG124)</f>
        <v>0</v>
      </c>
      <c r="BZ124" s="31">
        <f>SUM(BH$5:BH124)</f>
        <v>0</v>
      </c>
      <c r="CC124" s="41">
        <v>120</v>
      </c>
      <c r="CD124" s="41">
        <f t="shared" si="57"/>
        <v>3101.6269802771467</v>
      </c>
      <c r="CE124" s="41">
        <f t="shared" si="58"/>
        <v>3855.7287330436857</v>
      </c>
      <c r="CF124" s="41">
        <f t="shared" si="59"/>
        <v>4202.5113965555856</v>
      </c>
      <c r="CG124" s="41">
        <f t="shared" si="60"/>
        <v>3394.6254785847004</v>
      </c>
      <c r="CH124" s="41">
        <f t="shared" si="61"/>
        <v>1819.2916075068824</v>
      </c>
      <c r="CI124" s="41">
        <f t="shared" si="62"/>
        <v>1315.7505001278521</v>
      </c>
      <c r="CJ124" s="41">
        <f t="shared" si="63"/>
        <v>1636.5566908041803</v>
      </c>
      <c r="CK124" s="41">
        <f t="shared" si="64"/>
        <v>1785.6740560976148</v>
      </c>
      <c r="CL124" s="41">
        <f t="shared" si="65"/>
        <v>1444.7685241861602</v>
      </c>
      <c r="CM124" s="41">
        <f t="shared" si="66"/>
        <v>774.9326449751793</v>
      </c>
      <c r="CN124" s="41">
        <f t="shared" si="67"/>
        <v>0</v>
      </c>
      <c r="CO124" s="41">
        <f t="shared" si="68"/>
        <v>0</v>
      </c>
      <c r="CP124" s="41">
        <f t="shared" si="69"/>
        <v>0</v>
      </c>
      <c r="CQ124" s="41">
        <f t="shared" si="70"/>
        <v>0</v>
      </c>
      <c r="CR124" s="41">
        <f t="shared" si="71"/>
        <v>0</v>
      </c>
    </row>
    <row r="125" spans="23:96" x14ac:dyDescent="0.15">
      <c r="W125" s="117">
        <v>1.05</v>
      </c>
      <c r="X125" s="31">
        <v>121</v>
      </c>
      <c r="Y125" s="113">
        <f t="shared" si="54"/>
        <v>146.54303398022532</v>
      </c>
      <c r="Z125" s="42">
        <f t="shared" si="55"/>
        <v>0.12</v>
      </c>
      <c r="AA125" s="113">
        <f>$Y125*$Z125*其他调用!V124</f>
        <v>237808.89925847543</v>
      </c>
      <c r="AB125" s="113">
        <f>$Y125*$Z125*其他调用!W124</f>
        <v>289179.80266928353</v>
      </c>
      <c r="AC125" s="113">
        <f>$Y125*$Z125*其他调用!X124</f>
        <v>293359.93468172738</v>
      </c>
      <c r="AD125" s="113">
        <f>$Y125*$Z125*其他调用!Y124</f>
        <v>237004.25124254322</v>
      </c>
      <c r="AE125" s="113">
        <f>$Y125*$Z125*其他调用!Z124</f>
        <v>133094.38099333388</v>
      </c>
      <c r="AH125" s="31">
        <v>121</v>
      </c>
      <c r="AI125" s="31">
        <f>SUM(AA$5:AA125)</f>
        <v>2134783.066146913</v>
      </c>
      <c r="AJ125" s="31">
        <f>SUM(AB$5:AB125)</f>
        <v>2640028.8185932329</v>
      </c>
      <c r="AK125" s="31">
        <f>SUM(AC$5:AC125)</f>
        <v>2847960.0138041028</v>
      </c>
      <c r="AL125" s="31">
        <f>SUM(AD$5:AD125)</f>
        <v>2286505.8204093906</v>
      </c>
      <c r="AM125" s="31">
        <f>SUM(AE$5:AE125)</f>
        <v>1228412.9014017861</v>
      </c>
      <c r="AR125" s="31">
        <v>121</v>
      </c>
      <c r="AS125" s="42">
        <f t="shared" si="56"/>
        <v>8.0000000000000016E-2</v>
      </c>
      <c r="AT125" s="52">
        <f>求节点(E$21:E$27,$M$21:$M$27,$AR125)*$AS125*其他调用!V124</f>
        <v>0</v>
      </c>
      <c r="AU125" s="52">
        <f>求节点(F$21:F$27,$M$21:$M$27,$AR125)*$AS125*其他调用!W124</f>
        <v>0</v>
      </c>
      <c r="AV125" s="52">
        <f>求节点(G$21:G$27,$M$21:$M$27,$AR125)*$AS125*其他调用!X124</f>
        <v>0</v>
      </c>
      <c r="AW125" s="52">
        <f>求节点(H$21:H$27,$M$21:$M$27,$AR125)*$AS125*其他调用!Y124</f>
        <v>0</v>
      </c>
      <c r="AX125" s="52">
        <f>求节点(I$21:I$27,$M$21:$M$27,$AR125)*$AS125*其他调用!Z124</f>
        <v>0</v>
      </c>
      <c r="AY125" s="52">
        <f>求节点(E$21:E$27,$N$21:$N$27,$AR125)*$AS125*其他调用!V124</f>
        <v>6491.1689842743581</v>
      </c>
      <c r="AZ125" s="52">
        <f>求节点(F$21:F$27,$N$21:$N$27,$AR125)*$AS125*其他调用!W124</f>
        <v>7893.375613017698</v>
      </c>
      <c r="BA125" s="52">
        <f>求节点(G$21:G$27,$N$21:$N$27,$AR125)*$AS125*其他调用!X124</f>
        <v>8007.4753937826554</v>
      </c>
      <c r="BB125" s="52">
        <f>求节点(H$21:H$27,$N$21:$N$27,$AR125)*$AS125*其他调用!Y124</f>
        <v>6469.2055242837368</v>
      </c>
      <c r="BC125" s="52">
        <f>求节点(I$21:I$27,$N$21:$N$27,$AR125)*$AS125*其他调用!Z124</f>
        <v>3632.9091155924561</v>
      </c>
      <c r="BD125" s="52">
        <f>求节点(E$21:E$27,$O$21:$O$27,$AR125)*$AS125*其他调用!V124</f>
        <v>0</v>
      </c>
      <c r="BE125" s="52">
        <f>求节点(F$21:F$27,$O$21:$O$27,$AR125)*$AS125*其他调用!W124</f>
        <v>0</v>
      </c>
      <c r="BF125" s="52">
        <f>求节点(G$21:G$27,$O$21:$O$27,$AR125)*$AS125*其他调用!X124</f>
        <v>0</v>
      </c>
      <c r="BG125" s="52">
        <f>求节点(H$21:H$27,$O$21:$O$27,$AR125)*$AS125*其他调用!Y124</f>
        <v>0</v>
      </c>
      <c r="BH125" s="52">
        <f>求节点(I$21:I$27,$O$21:$O$27,$AR125)*$AS125*其他调用!Z124</f>
        <v>0</v>
      </c>
      <c r="BK125" s="31">
        <v>121</v>
      </c>
      <c r="BL125" s="31">
        <f>SUM(AT$5:AT125)</f>
        <v>946.27439936474923</v>
      </c>
      <c r="BM125" s="31">
        <f>SUM(AU$5:AU125)</f>
        <v>1112.8936350179583</v>
      </c>
      <c r="BN125" s="31">
        <f>SUM(AV$5:AV125)</f>
        <v>1078.1579698345183</v>
      </c>
      <c r="BO125" s="31">
        <f>SUM(AW$5:AW125)</f>
        <v>704.96766450982125</v>
      </c>
      <c r="BP125" s="31">
        <f>SUM(AX$5:AX125)</f>
        <v>333.4630769439176</v>
      </c>
      <c r="BQ125" s="31">
        <f>SUM(AY$5:AY125)</f>
        <v>93892.444193009578</v>
      </c>
      <c r="BR125" s="31">
        <f>SUM(AZ$5:AZ125)</f>
        <v>116626.19045495706</v>
      </c>
      <c r="BS125" s="31">
        <f>SUM(BA$5:BA125)</f>
        <v>126693.02647701216</v>
      </c>
      <c r="BT125" s="31">
        <f>SUM(BB$5:BB125)</f>
        <v>102552.11791519115</v>
      </c>
      <c r="BU125" s="31">
        <f>SUM(BC$5:BC125)</f>
        <v>55183.93108828977</v>
      </c>
      <c r="BV125" s="31">
        <f>SUM(BD$5:BD125)</f>
        <v>0</v>
      </c>
      <c r="BW125" s="31">
        <f>SUM(BE$5:BE125)</f>
        <v>0</v>
      </c>
      <c r="BX125" s="31">
        <f>SUM(BF$5:BF125)</f>
        <v>0</v>
      </c>
      <c r="BY125" s="31">
        <f>SUM(BG$5:BG125)</f>
        <v>0</v>
      </c>
      <c r="BZ125" s="31">
        <f>SUM(BH$5:BH125)</f>
        <v>0</v>
      </c>
      <c r="CC125" s="41">
        <v>121</v>
      </c>
      <c r="CD125" s="41">
        <f t="shared" si="57"/>
        <v>3328.8178947267488</v>
      </c>
      <c r="CE125" s="41">
        <f t="shared" si="58"/>
        <v>4131.9968794993056</v>
      </c>
      <c r="CF125" s="41">
        <f t="shared" si="59"/>
        <v>4482.7730353379793</v>
      </c>
      <c r="CG125" s="41">
        <f t="shared" si="60"/>
        <v>3621.047671934632</v>
      </c>
      <c r="CH125" s="41">
        <f t="shared" si="61"/>
        <v>1946.4434265526183</v>
      </c>
      <c r="CI125" s="41">
        <f t="shared" si="62"/>
        <v>1413.1180348919675</v>
      </c>
      <c r="CJ125" s="41">
        <f t="shared" si="63"/>
        <v>1754.9573249994457</v>
      </c>
      <c r="CK125" s="41">
        <f t="shared" si="64"/>
        <v>1905.7861870043548</v>
      </c>
      <c r="CL125" s="41">
        <f t="shared" si="65"/>
        <v>1541.8066070504162</v>
      </c>
      <c r="CM125" s="41">
        <f t="shared" si="66"/>
        <v>829.42628170906607</v>
      </c>
      <c r="CN125" s="41">
        <f t="shared" si="67"/>
        <v>0</v>
      </c>
      <c r="CO125" s="41">
        <f t="shared" si="68"/>
        <v>0</v>
      </c>
      <c r="CP125" s="41">
        <f t="shared" si="69"/>
        <v>0</v>
      </c>
      <c r="CQ125" s="41">
        <f t="shared" si="70"/>
        <v>0</v>
      </c>
      <c r="CR125" s="41">
        <f t="shared" si="71"/>
        <v>0</v>
      </c>
    </row>
    <row r="126" spans="23:96" x14ac:dyDescent="0.15">
      <c r="W126" s="117">
        <v>1.05</v>
      </c>
      <c r="X126" s="31">
        <v>122</v>
      </c>
      <c r="Y126" s="113">
        <f t="shared" si="54"/>
        <v>153.87018567923658</v>
      </c>
      <c r="Z126" s="42">
        <f t="shared" si="55"/>
        <v>0.12</v>
      </c>
      <c r="AA126" s="113">
        <f>$Y126*$Z126*其他调用!V125</f>
        <v>267621.13074920664</v>
      </c>
      <c r="AB126" s="113">
        <f>$Y126*$Z126*其他调用!W125</f>
        <v>315691.95947748609</v>
      </c>
      <c r="AC126" s="113">
        <f>$Y126*$Z126*其他调用!X125</f>
        <v>343879.0760634974</v>
      </c>
      <c r="AD126" s="113">
        <f>$Y126*$Z126*其他调用!Y125</f>
        <v>282990.0262591769</v>
      </c>
      <c r="AE126" s="113">
        <f>$Y126*$Z126*其他调用!Z125</f>
        <v>154727.63287852562</v>
      </c>
      <c r="AH126" s="31">
        <v>122</v>
      </c>
      <c r="AI126" s="31">
        <f>SUM(AA$5:AA126)</f>
        <v>2402404.1968961195</v>
      </c>
      <c r="AJ126" s="31">
        <f>SUM(AB$5:AB126)</f>
        <v>2955720.778070719</v>
      </c>
      <c r="AK126" s="31">
        <f>SUM(AC$5:AC126)</f>
        <v>3191839.0898676002</v>
      </c>
      <c r="AL126" s="31">
        <f>SUM(AD$5:AD126)</f>
        <v>2569495.8466685675</v>
      </c>
      <c r="AM126" s="31">
        <f>SUM(AE$5:AE126)</f>
        <v>1383140.5342803118</v>
      </c>
      <c r="AR126" s="31">
        <v>122</v>
      </c>
      <c r="AS126" s="42">
        <f t="shared" si="56"/>
        <v>8.0000000000000016E-2</v>
      </c>
      <c r="AT126" s="52">
        <f>求节点(E$21:E$27,$M$21:$M$27,$AR126)*$AS126*其他调用!V125</f>
        <v>0</v>
      </c>
      <c r="AU126" s="52">
        <f>求节点(F$21:F$27,$M$21:$M$27,$AR126)*$AS126*其他调用!W125</f>
        <v>0</v>
      </c>
      <c r="AV126" s="52">
        <f>求节点(G$21:G$27,$M$21:$M$27,$AR126)*$AS126*其他调用!X125</f>
        <v>0</v>
      </c>
      <c r="AW126" s="52">
        <f>求节点(H$21:H$27,$M$21:$M$27,$AR126)*$AS126*其他调用!Y125</f>
        <v>0</v>
      </c>
      <c r="AX126" s="52">
        <f>求节点(I$21:I$27,$M$21:$M$27,$AR126)*$AS126*其他调用!Z125</f>
        <v>0</v>
      </c>
      <c r="AY126" s="52">
        <f>求节点(E$21:E$27,$N$21:$N$27,$AR126)*$AS126*其他调用!V125</f>
        <v>6957.0626581838133</v>
      </c>
      <c r="AZ126" s="52">
        <f>求节点(F$21:F$27,$N$21:$N$27,$AR126)*$AS126*其他调用!W125</f>
        <v>8206.7090017188675</v>
      </c>
      <c r="BA126" s="52">
        <f>求节点(G$21:G$27,$N$21:$N$27,$AR126)*$AS126*其他调用!X125</f>
        <v>8939.4595722490467</v>
      </c>
      <c r="BB126" s="52">
        <f>求节点(H$21:H$27,$N$21:$N$27,$AR126)*$AS126*其他调用!Y125</f>
        <v>7356.5915322701503</v>
      </c>
      <c r="BC126" s="52">
        <f>求节点(I$21:I$27,$N$21:$N$27,$AR126)*$AS126*其他调用!Z125</f>
        <v>4022.2901453066811</v>
      </c>
      <c r="BD126" s="52">
        <f>求节点(E$21:E$27,$O$21:$O$27,$AR126)*$AS126*其他调用!V125</f>
        <v>0</v>
      </c>
      <c r="BE126" s="52">
        <f>求节点(F$21:F$27,$O$21:$O$27,$AR126)*$AS126*其他调用!W125</f>
        <v>0</v>
      </c>
      <c r="BF126" s="52">
        <f>求节点(G$21:G$27,$O$21:$O$27,$AR126)*$AS126*其他调用!X125</f>
        <v>0</v>
      </c>
      <c r="BG126" s="52">
        <f>求节点(H$21:H$27,$O$21:$O$27,$AR126)*$AS126*其他调用!Y125</f>
        <v>0</v>
      </c>
      <c r="BH126" s="52">
        <f>求节点(I$21:I$27,$O$21:$O$27,$AR126)*$AS126*其他调用!Z125</f>
        <v>0</v>
      </c>
      <c r="BK126" s="31">
        <v>122</v>
      </c>
      <c r="BL126" s="31">
        <f>SUM(AT$5:AT126)</f>
        <v>946.27439936474923</v>
      </c>
      <c r="BM126" s="31">
        <f>SUM(AU$5:AU126)</f>
        <v>1112.8936350179583</v>
      </c>
      <c r="BN126" s="31">
        <f>SUM(AV$5:AV126)</f>
        <v>1078.1579698345183</v>
      </c>
      <c r="BO126" s="31">
        <f>SUM(AW$5:AW126)</f>
        <v>704.96766450982125</v>
      </c>
      <c r="BP126" s="31">
        <f>SUM(AX$5:AX126)</f>
        <v>333.4630769439176</v>
      </c>
      <c r="BQ126" s="31">
        <f>SUM(AY$5:AY126)</f>
        <v>100849.50685119339</v>
      </c>
      <c r="BR126" s="31">
        <f>SUM(AZ$5:AZ126)</f>
        <v>124832.89945667592</v>
      </c>
      <c r="BS126" s="31">
        <f>SUM(BA$5:BA126)</f>
        <v>135632.48604926121</v>
      </c>
      <c r="BT126" s="31">
        <f>SUM(BB$5:BB126)</f>
        <v>109908.7094474613</v>
      </c>
      <c r="BU126" s="31">
        <f>SUM(BC$5:BC126)</f>
        <v>59206.22123359645</v>
      </c>
      <c r="BV126" s="31">
        <f>SUM(BD$5:BD126)</f>
        <v>0</v>
      </c>
      <c r="BW126" s="31">
        <f>SUM(BE$5:BE126)</f>
        <v>0</v>
      </c>
      <c r="BX126" s="31">
        <f>SUM(BF$5:BF126)</f>
        <v>0</v>
      </c>
      <c r="BY126" s="31">
        <f>SUM(BG$5:BG126)</f>
        <v>0</v>
      </c>
      <c r="BZ126" s="31">
        <f>SUM(BH$5:BH126)</f>
        <v>0</v>
      </c>
      <c r="CC126" s="41">
        <v>122</v>
      </c>
      <c r="CD126" s="41">
        <f t="shared" si="57"/>
        <v>3572.3150877631824</v>
      </c>
      <c r="CE126" s="41">
        <f t="shared" si="58"/>
        <v>4419.2316945594648</v>
      </c>
      <c r="CF126" s="41">
        <f t="shared" si="59"/>
        <v>4795.6541203666957</v>
      </c>
      <c r="CG126" s="41">
        <f t="shared" si="60"/>
        <v>3878.5283755640871</v>
      </c>
      <c r="CH126" s="41">
        <f t="shared" si="61"/>
        <v>2087.2235816383518</v>
      </c>
      <c r="CI126" s="41">
        <f t="shared" si="62"/>
        <v>1517.4739747647245</v>
      </c>
      <c r="CJ126" s="41">
        <f t="shared" si="63"/>
        <v>1878.0579600252288</v>
      </c>
      <c r="CK126" s="41">
        <f t="shared" si="64"/>
        <v>2039.8780805880906</v>
      </c>
      <c r="CL126" s="41">
        <f t="shared" si="65"/>
        <v>1652.1554800344686</v>
      </c>
      <c r="CM126" s="41">
        <f t="shared" si="66"/>
        <v>889.76063388866623</v>
      </c>
      <c r="CN126" s="41">
        <f t="shared" si="67"/>
        <v>0</v>
      </c>
      <c r="CO126" s="41">
        <f t="shared" si="68"/>
        <v>0</v>
      </c>
      <c r="CP126" s="41">
        <f t="shared" si="69"/>
        <v>0</v>
      </c>
      <c r="CQ126" s="41">
        <f t="shared" si="70"/>
        <v>0</v>
      </c>
      <c r="CR126" s="41">
        <f t="shared" si="71"/>
        <v>0</v>
      </c>
    </row>
    <row r="127" spans="23:96" x14ac:dyDescent="0.15">
      <c r="W127" s="117">
        <v>1.05</v>
      </c>
      <c r="X127" s="31">
        <v>123</v>
      </c>
      <c r="Y127" s="113">
        <f t="shared" si="54"/>
        <v>161.56369496319843</v>
      </c>
      <c r="Z127" s="42">
        <f t="shared" si="55"/>
        <v>0.12</v>
      </c>
      <c r="AA127" s="113">
        <f>$Y127*$Z127*其他调用!V126</f>
        <v>301170.68724851083</v>
      </c>
      <c r="AB127" s="113">
        <f>$Y127*$Z127*其他调用!W126</f>
        <v>369146.10490757274</v>
      </c>
      <c r="AC127" s="113">
        <f>$Y127*$Z127*其他调用!X126</f>
        <v>414320.45679551153</v>
      </c>
      <c r="AD127" s="113">
        <f>$Y127*$Z127*其他调用!Y126</f>
        <v>348198.23680521024</v>
      </c>
      <c r="AE127" s="113">
        <f>$Y127*$Z127*其他调用!Z126</f>
        <v>184125.21204698671</v>
      </c>
      <c r="AH127" s="31">
        <v>123</v>
      </c>
      <c r="AI127" s="31">
        <f>SUM(AA$5:AA127)</f>
        <v>2703574.8841446303</v>
      </c>
      <c r="AJ127" s="31">
        <f>SUM(AB$5:AB127)</f>
        <v>3324866.8829782917</v>
      </c>
      <c r="AK127" s="31">
        <f>SUM(AC$5:AC127)</f>
        <v>3606159.546663112</v>
      </c>
      <c r="AL127" s="31">
        <f>SUM(AD$5:AD127)</f>
        <v>2917694.0834737779</v>
      </c>
      <c r="AM127" s="31">
        <f>SUM(AE$5:AE127)</f>
        <v>1567265.7463272985</v>
      </c>
      <c r="AR127" s="31">
        <v>123</v>
      </c>
      <c r="AS127" s="42">
        <f t="shared" si="56"/>
        <v>8.0000000000000016E-2</v>
      </c>
      <c r="AT127" s="52">
        <f>求节点(E$21:E$27,$M$21:$M$27,$AR127)*$AS127*其他调用!V126</f>
        <v>0</v>
      </c>
      <c r="AU127" s="52">
        <f>求节点(F$21:F$27,$M$21:$M$27,$AR127)*$AS127*其他调用!W126</f>
        <v>0</v>
      </c>
      <c r="AV127" s="52">
        <f>求节点(G$21:G$27,$M$21:$M$27,$AR127)*$AS127*其他调用!X126</f>
        <v>0</v>
      </c>
      <c r="AW127" s="52">
        <f>求节点(H$21:H$27,$M$21:$M$27,$AR127)*$AS127*其他调用!Y126</f>
        <v>0</v>
      </c>
      <c r="AX127" s="52">
        <f>求节点(I$21:I$27,$M$21:$M$27,$AR127)*$AS127*其他调用!Z126</f>
        <v>0</v>
      </c>
      <c r="AY127" s="52">
        <f>求节点(E$21:E$27,$N$21:$N$27,$AR127)*$AS127*其他调用!V126</f>
        <v>7456.3951342438086</v>
      </c>
      <c r="AZ127" s="52">
        <f>求节点(F$21:F$27,$N$21:$N$27,$AR127)*$AS127*其他调用!W126</f>
        <v>9139.3330659256899</v>
      </c>
      <c r="BA127" s="52">
        <f>求节点(G$21:G$27,$N$21:$N$27,$AR127)*$AS127*其他调用!X126</f>
        <v>10257.761358822279</v>
      </c>
      <c r="BB127" s="52">
        <f>求节点(H$21:H$27,$N$21:$N$27,$AR127)*$AS127*其他调用!Y126</f>
        <v>8620.7049643058526</v>
      </c>
      <c r="BC127" s="52">
        <f>求节点(I$21:I$27,$N$21:$N$27,$AR127)*$AS127*其他调用!Z126</f>
        <v>4558.5788834286677</v>
      </c>
      <c r="BD127" s="52">
        <f>求节点(E$21:E$27,$O$21:$O$27,$AR127)*$AS127*其他调用!V126</f>
        <v>0</v>
      </c>
      <c r="BE127" s="52">
        <f>求节点(F$21:F$27,$O$21:$O$27,$AR127)*$AS127*其他调用!W126</f>
        <v>0</v>
      </c>
      <c r="BF127" s="52">
        <f>求节点(G$21:G$27,$O$21:$O$27,$AR127)*$AS127*其他调用!X126</f>
        <v>0</v>
      </c>
      <c r="BG127" s="52">
        <f>求节点(H$21:H$27,$O$21:$O$27,$AR127)*$AS127*其他调用!Y126</f>
        <v>0</v>
      </c>
      <c r="BH127" s="52">
        <f>求节点(I$21:I$27,$O$21:$O$27,$AR127)*$AS127*其他调用!Z126</f>
        <v>0</v>
      </c>
      <c r="BK127" s="31">
        <v>123</v>
      </c>
      <c r="BL127" s="31">
        <f>SUM(AT$5:AT127)</f>
        <v>946.27439936474923</v>
      </c>
      <c r="BM127" s="31">
        <f>SUM(AU$5:AU127)</f>
        <v>1112.8936350179583</v>
      </c>
      <c r="BN127" s="31">
        <f>SUM(AV$5:AV127)</f>
        <v>1078.1579698345183</v>
      </c>
      <c r="BO127" s="31">
        <f>SUM(AW$5:AW127)</f>
        <v>704.96766450982125</v>
      </c>
      <c r="BP127" s="31">
        <f>SUM(AX$5:AX127)</f>
        <v>333.4630769439176</v>
      </c>
      <c r="BQ127" s="31">
        <f>SUM(AY$5:AY127)</f>
        <v>108305.9019854372</v>
      </c>
      <c r="BR127" s="31">
        <f>SUM(AZ$5:AZ127)</f>
        <v>133972.23252260161</v>
      </c>
      <c r="BS127" s="31">
        <f>SUM(BA$5:BA127)</f>
        <v>145890.24740808349</v>
      </c>
      <c r="BT127" s="31">
        <f>SUM(BB$5:BB127)</f>
        <v>118529.41441176715</v>
      </c>
      <c r="BU127" s="31">
        <f>SUM(BC$5:BC127)</f>
        <v>63764.800117025115</v>
      </c>
      <c r="BV127" s="31">
        <f>SUM(BD$5:BD127)</f>
        <v>0</v>
      </c>
      <c r="BW127" s="31">
        <f>SUM(BE$5:BE127)</f>
        <v>0</v>
      </c>
      <c r="BX127" s="31">
        <f>SUM(BF$5:BF127)</f>
        <v>0</v>
      </c>
      <c r="BY127" s="31">
        <f>SUM(BG$5:BG127)</f>
        <v>0</v>
      </c>
      <c r="BZ127" s="31">
        <f>SUM(BH$5:BH127)</f>
        <v>0</v>
      </c>
      <c r="CC127" s="41">
        <v>123</v>
      </c>
      <c r="CD127" s="41">
        <f t="shared" si="57"/>
        <v>3833.2889174617148</v>
      </c>
      <c r="CE127" s="41">
        <f t="shared" si="58"/>
        <v>4739.1083518668638</v>
      </c>
      <c r="CF127" s="41">
        <f t="shared" si="59"/>
        <v>5154.6757679254752</v>
      </c>
      <c r="CG127" s="41">
        <f t="shared" si="60"/>
        <v>4180.2530493147915</v>
      </c>
      <c r="CH127" s="41">
        <f t="shared" si="61"/>
        <v>2246.7738425583552</v>
      </c>
      <c r="CI127" s="41">
        <f t="shared" si="62"/>
        <v>1629.3199017783816</v>
      </c>
      <c r="CJ127" s="41">
        <f t="shared" si="63"/>
        <v>2015.1479560141138</v>
      </c>
      <c r="CK127" s="41">
        <f t="shared" si="64"/>
        <v>2193.7445009704252</v>
      </c>
      <c r="CL127" s="41">
        <f t="shared" si="65"/>
        <v>1781.4660544990561</v>
      </c>
      <c r="CM127" s="41">
        <f t="shared" si="66"/>
        <v>958.1393171400963</v>
      </c>
      <c r="CN127" s="41">
        <f t="shared" si="67"/>
        <v>0</v>
      </c>
      <c r="CO127" s="41">
        <f t="shared" si="68"/>
        <v>0</v>
      </c>
      <c r="CP127" s="41">
        <f t="shared" si="69"/>
        <v>0</v>
      </c>
      <c r="CQ127" s="41">
        <f t="shared" si="70"/>
        <v>0</v>
      </c>
      <c r="CR127" s="41">
        <f t="shared" si="71"/>
        <v>0</v>
      </c>
    </row>
    <row r="128" spans="23:96" x14ac:dyDescent="0.15">
      <c r="W128" s="117">
        <v>1.05</v>
      </c>
      <c r="X128" s="31">
        <v>124</v>
      </c>
      <c r="Y128" s="113">
        <f t="shared" si="54"/>
        <v>169.64187971135837</v>
      </c>
      <c r="Z128" s="42">
        <f t="shared" si="55"/>
        <v>0.12</v>
      </c>
      <c r="AA128" s="113">
        <f>$Y128*$Z128*其他调用!V127</f>
        <v>338926.08780110168</v>
      </c>
      <c r="AB128" s="113">
        <f>$Y128*$Z128*其他调用!W127</f>
        <v>437336.22162988014</v>
      </c>
      <c r="AC128" s="113">
        <f>$Y128*$Z128*其他调用!X127</f>
        <v>473138.53927544452</v>
      </c>
      <c r="AD128" s="113">
        <f>$Y128*$Z128*其他调用!Y127</f>
        <v>382264.58197762608</v>
      </c>
      <c r="AE128" s="113">
        <f>$Y128*$Z128*其他调用!Z127</f>
        <v>214688.89399635012</v>
      </c>
      <c r="AH128" s="31">
        <v>124</v>
      </c>
      <c r="AI128" s="31">
        <f>SUM(AA$5:AA128)</f>
        <v>3042500.9719457319</v>
      </c>
      <c r="AJ128" s="31">
        <f>SUM(AB$5:AB128)</f>
        <v>3762203.1046081716</v>
      </c>
      <c r="AK128" s="31">
        <f>SUM(AC$5:AC128)</f>
        <v>4079298.0859385566</v>
      </c>
      <c r="AL128" s="31">
        <f>SUM(AD$5:AD128)</f>
        <v>3299958.6654514037</v>
      </c>
      <c r="AM128" s="31">
        <f>SUM(AE$5:AE128)</f>
        <v>1781954.6403236487</v>
      </c>
      <c r="AR128" s="31">
        <v>124</v>
      </c>
      <c r="AS128" s="42">
        <f t="shared" si="56"/>
        <v>8.0000000000000016E-2</v>
      </c>
      <c r="AT128" s="52">
        <f>求节点(E$21:E$27,$M$21:$M$27,$AR128)*$AS128*其他调用!V127</f>
        <v>0</v>
      </c>
      <c r="AU128" s="52">
        <f>求节点(F$21:F$27,$M$21:$M$27,$AR128)*$AS128*其他调用!W127</f>
        <v>0</v>
      </c>
      <c r="AV128" s="52">
        <f>求节点(G$21:G$27,$M$21:$M$27,$AR128)*$AS128*其他调用!X127</f>
        <v>0</v>
      </c>
      <c r="AW128" s="52">
        <f>求节点(H$21:H$27,$M$21:$M$27,$AR128)*$AS128*其他调用!Y127</f>
        <v>0</v>
      </c>
      <c r="AX128" s="52">
        <f>求节点(I$21:I$27,$M$21:$M$27,$AR128)*$AS128*其他调用!Z127</f>
        <v>0</v>
      </c>
      <c r="AY128" s="52">
        <f>求节点(E$21:E$27,$N$21:$N$27,$AR128)*$AS128*其他调用!V127</f>
        <v>7991.5664310670563</v>
      </c>
      <c r="AZ128" s="52">
        <f>求节点(F$21:F$27,$N$21:$N$27,$AR128)*$AS128*其他调用!W127</f>
        <v>10311.987166706651</v>
      </c>
      <c r="BA128" s="52">
        <f>求节点(G$21:G$27,$N$21:$N$27,$AR128)*$AS128*其他调用!X127</f>
        <v>11156.172994085628</v>
      </c>
      <c r="BB128" s="52">
        <f>求节点(H$21:H$27,$N$21:$N$27,$AR128)*$AS128*其他调用!Y127</f>
        <v>9013.4483920607399</v>
      </c>
      <c r="BC128" s="52">
        <f>求节点(I$21:I$27,$N$21:$N$27,$AR128)*$AS128*其他调用!Z127</f>
        <v>5062.1672988212167</v>
      </c>
      <c r="BD128" s="52">
        <f>求节点(E$21:E$27,$O$21:$O$27,$AR128)*$AS128*其他调用!V127</f>
        <v>0</v>
      </c>
      <c r="BE128" s="52">
        <f>求节点(F$21:F$27,$O$21:$O$27,$AR128)*$AS128*其他调用!W127</f>
        <v>0</v>
      </c>
      <c r="BF128" s="52">
        <f>求节点(G$21:G$27,$O$21:$O$27,$AR128)*$AS128*其他调用!X127</f>
        <v>0</v>
      </c>
      <c r="BG128" s="52">
        <f>求节点(H$21:H$27,$O$21:$O$27,$AR128)*$AS128*其他调用!Y127</f>
        <v>0</v>
      </c>
      <c r="BH128" s="52">
        <f>求节点(I$21:I$27,$O$21:$O$27,$AR128)*$AS128*其他调用!Z127</f>
        <v>0</v>
      </c>
      <c r="BK128" s="31">
        <v>124</v>
      </c>
      <c r="BL128" s="31">
        <f>SUM(AT$5:AT128)</f>
        <v>946.27439936474923</v>
      </c>
      <c r="BM128" s="31">
        <f>SUM(AU$5:AU128)</f>
        <v>1112.8936350179583</v>
      </c>
      <c r="BN128" s="31">
        <f>SUM(AV$5:AV128)</f>
        <v>1078.1579698345183</v>
      </c>
      <c r="BO128" s="31">
        <f>SUM(AW$5:AW128)</f>
        <v>704.96766450982125</v>
      </c>
      <c r="BP128" s="31">
        <f>SUM(AX$5:AX128)</f>
        <v>333.4630769439176</v>
      </c>
      <c r="BQ128" s="31">
        <f>SUM(AY$5:AY128)</f>
        <v>116297.46841650426</v>
      </c>
      <c r="BR128" s="31">
        <f>SUM(AZ$5:AZ128)</f>
        <v>144284.21968930826</v>
      </c>
      <c r="BS128" s="31">
        <f>SUM(BA$5:BA128)</f>
        <v>157046.42040216911</v>
      </c>
      <c r="BT128" s="31">
        <f>SUM(BB$5:BB128)</f>
        <v>127542.8628038279</v>
      </c>
      <c r="BU128" s="31">
        <f>SUM(BC$5:BC128)</f>
        <v>68826.967415846331</v>
      </c>
      <c r="BV128" s="31">
        <f>SUM(BD$5:BD128)</f>
        <v>0</v>
      </c>
      <c r="BW128" s="31">
        <f>SUM(BE$5:BE128)</f>
        <v>0</v>
      </c>
      <c r="BX128" s="31">
        <f>SUM(BF$5:BF128)</f>
        <v>0</v>
      </c>
      <c r="BY128" s="31">
        <f>SUM(BG$5:BG128)</f>
        <v>0</v>
      </c>
      <c r="BZ128" s="31">
        <f>SUM(BH$5:BH128)</f>
        <v>0</v>
      </c>
      <c r="CC128" s="41">
        <v>124</v>
      </c>
      <c r="CD128" s="41">
        <f t="shared" si="57"/>
        <v>4112.9937425490625</v>
      </c>
      <c r="CE128" s="41">
        <f t="shared" si="58"/>
        <v>5100.0279027015968</v>
      </c>
      <c r="CF128" s="41">
        <f t="shared" si="59"/>
        <v>5545.1418227184722</v>
      </c>
      <c r="CG128" s="41">
        <f t="shared" si="60"/>
        <v>4495.7237430369178</v>
      </c>
      <c r="CH128" s="41">
        <f t="shared" si="61"/>
        <v>2423.9496980170979</v>
      </c>
      <c r="CI128" s="41">
        <f t="shared" si="62"/>
        <v>1749.1933982443875</v>
      </c>
      <c r="CJ128" s="41">
        <f t="shared" si="63"/>
        <v>2169.8277635147138</v>
      </c>
      <c r="CK128" s="41">
        <f t="shared" si="64"/>
        <v>2361.087095881709</v>
      </c>
      <c r="CL128" s="41">
        <f t="shared" si="65"/>
        <v>1916.6677803799673</v>
      </c>
      <c r="CM128" s="41">
        <f t="shared" si="66"/>
        <v>1034.0718266224144</v>
      </c>
      <c r="CN128" s="41">
        <f t="shared" si="67"/>
        <v>0</v>
      </c>
      <c r="CO128" s="41">
        <f t="shared" si="68"/>
        <v>0</v>
      </c>
      <c r="CP128" s="41">
        <f t="shared" si="69"/>
        <v>0</v>
      </c>
      <c r="CQ128" s="41">
        <f t="shared" si="70"/>
        <v>0</v>
      </c>
      <c r="CR128" s="41">
        <f t="shared" si="71"/>
        <v>0</v>
      </c>
    </row>
    <row r="129" spans="23:96" x14ac:dyDescent="0.15">
      <c r="W129" s="117">
        <v>1.05</v>
      </c>
      <c r="X129" s="31">
        <v>125</v>
      </c>
      <c r="Y129" s="113">
        <f t="shared" si="54"/>
        <v>178.1239736969263</v>
      </c>
      <c r="Z129" s="42">
        <f t="shared" si="55"/>
        <v>0.12</v>
      </c>
      <c r="AA129" s="113">
        <f>$Y129*$Z129*其他调用!V128</f>
        <v>381414.58599979914</v>
      </c>
      <c r="AB129" s="113">
        <f>$Y129*$Z129*其他调用!W128</f>
        <v>468723.46943376045</v>
      </c>
      <c r="AC129" s="113">
        <f>$Y129*$Z129*其他调用!X128</f>
        <v>524873.79761119559</v>
      </c>
      <c r="AD129" s="113">
        <f>$Y129*$Z129*其他调用!Y128</f>
        <v>431296.53989537526</v>
      </c>
      <c r="AE129" s="113">
        <f>$Y129*$Z129*其他调用!Z128</f>
        <v>204631.34728928065</v>
      </c>
      <c r="AH129" s="31">
        <v>125</v>
      </c>
      <c r="AI129" s="31">
        <f>SUM(AA$5:AA129)</f>
        <v>3423915.5579455309</v>
      </c>
      <c r="AJ129" s="31">
        <f>SUM(AB$5:AB129)</f>
        <v>4230926.5740419319</v>
      </c>
      <c r="AK129" s="31">
        <f>SUM(AC$5:AC129)</f>
        <v>4604171.8835497517</v>
      </c>
      <c r="AL129" s="31">
        <f>SUM(AD$5:AD129)</f>
        <v>3731255.205346779</v>
      </c>
      <c r="AM129" s="31">
        <f>SUM(AE$5:AE129)</f>
        <v>1986585.9876129294</v>
      </c>
      <c r="AR129" s="31">
        <v>125</v>
      </c>
      <c r="AS129" s="42">
        <f t="shared" si="56"/>
        <v>8.0000000000000016E-2</v>
      </c>
      <c r="AT129" s="52">
        <f>求节点(E$21:E$27,$M$21:$M$27,$AR129)*$AS129*其他调用!V128</f>
        <v>0</v>
      </c>
      <c r="AU129" s="52">
        <f>求节点(F$21:F$27,$M$21:$M$27,$AR129)*$AS129*其他调用!W128</f>
        <v>0</v>
      </c>
      <c r="AV129" s="52">
        <f>求节点(G$21:G$27,$M$21:$M$27,$AR129)*$AS129*其他调用!X128</f>
        <v>0</v>
      </c>
      <c r="AW129" s="52">
        <f>求节点(H$21:H$27,$M$21:$M$27,$AR129)*$AS129*其他调用!Y128</f>
        <v>0</v>
      </c>
      <c r="AX129" s="52">
        <f>求节点(I$21:I$27,$M$21:$M$27,$AR129)*$AS129*其他调用!Z128</f>
        <v>0</v>
      </c>
      <c r="AY129" s="52">
        <f>求节点(E$21:E$27,$N$21:$N$27,$AR129)*$AS129*其他调用!V128</f>
        <v>8565.1488249137547</v>
      </c>
      <c r="AZ129" s="52">
        <f>求节点(F$21:F$27,$N$21:$N$27,$AR129)*$AS129*其他调用!W128</f>
        <v>10525.780661760497</v>
      </c>
      <c r="BA129" s="52">
        <f>求节点(G$21:G$27,$N$21:$N$27,$AR129)*$AS129*其他调用!X128</f>
        <v>11786.707577145251</v>
      </c>
      <c r="BB129" s="52">
        <f>求节点(H$21:H$27,$N$21:$N$27,$AR129)*$AS129*其他调用!Y128</f>
        <v>9685.3114366113605</v>
      </c>
      <c r="BC129" s="52">
        <f>求节点(I$21:I$27,$N$21:$N$27,$AR129)*$AS129*其他调用!Z128</f>
        <v>4595.2567314146281</v>
      </c>
      <c r="BD129" s="52">
        <f>求节点(E$21:E$27,$O$21:$O$27,$AR129)*$AS129*其他调用!V128</f>
        <v>0</v>
      </c>
      <c r="BE129" s="52">
        <f>求节点(F$21:F$27,$O$21:$O$27,$AR129)*$AS129*其他调用!W128</f>
        <v>0</v>
      </c>
      <c r="BF129" s="52">
        <f>求节点(G$21:G$27,$O$21:$O$27,$AR129)*$AS129*其他调用!X128</f>
        <v>0</v>
      </c>
      <c r="BG129" s="52">
        <f>求节点(H$21:H$27,$O$21:$O$27,$AR129)*$AS129*其他调用!Y128</f>
        <v>0</v>
      </c>
      <c r="BH129" s="52">
        <f>求节点(I$21:I$27,$O$21:$O$27,$AR129)*$AS129*其他调用!Z128</f>
        <v>0</v>
      </c>
      <c r="BK129" s="31">
        <v>125</v>
      </c>
      <c r="BL129" s="31">
        <f>SUM(AT$5:AT129)</f>
        <v>946.27439936474923</v>
      </c>
      <c r="BM129" s="31">
        <f>SUM(AU$5:AU129)</f>
        <v>1112.8936350179583</v>
      </c>
      <c r="BN129" s="31">
        <f>SUM(AV$5:AV129)</f>
        <v>1078.1579698345183</v>
      </c>
      <c r="BO129" s="31">
        <f>SUM(AW$5:AW129)</f>
        <v>704.96766450982125</v>
      </c>
      <c r="BP129" s="31">
        <f>SUM(AX$5:AX129)</f>
        <v>333.4630769439176</v>
      </c>
      <c r="BQ129" s="31">
        <f>SUM(AY$5:AY129)</f>
        <v>124862.61724141802</v>
      </c>
      <c r="BR129" s="31">
        <f>SUM(AZ$5:AZ129)</f>
        <v>154810.00035106877</v>
      </c>
      <c r="BS129" s="31">
        <f>SUM(BA$5:BA129)</f>
        <v>168833.12797931436</v>
      </c>
      <c r="BT129" s="31">
        <f>SUM(BB$5:BB129)</f>
        <v>137228.17424043926</v>
      </c>
      <c r="BU129" s="31">
        <f>SUM(BC$5:BC129)</f>
        <v>73422.22414726096</v>
      </c>
      <c r="BV129" s="31">
        <f>SUM(BD$5:BD129)</f>
        <v>0</v>
      </c>
      <c r="BW129" s="31">
        <f>SUM(BE$5:BE129)</f>
        <v>0</v>
      </c>
      <c r="BX129" s="31">
        <f>SUM(BF$5:BF129)</f>
        <v>0</v>
      </c>
      <c r="BY129" s="31">
        <f>SUM(BG$5:BG129)</f>
        <v>0</v>
      </c>
      <c r="BZ129" s="31">
        <f>SUM(BH$5:BH129)</f>
        <v>0</v>
      </c>
      <c r="CC129" s="41">
        <v>125</v>
      </c>
      <c r="CD129" s="41">
        <f t="shared" si="57"/>
        <v>4412.7739514210434</v>
      </c>
      <c r="CE129" s="41">
        <f t="shared" si="58"/>
        <v>5468.4302258632142</v>
      </c>
      <c r="CF129" s="41">
        <f t="shared" si="59"/>
        <v>5957.6765879185559</v>
      </c>
      <c r="CG129" s="41">
        <f t="shared" si="60"/>
        <v>4834.709643318316</v>
      </c>
      <c r="CH129" s="41">
        <f t="shared" si="61"/>
        <v>2584.7836836166098</v>
      </c>
      <c r="CI129" s="41">
        <f t="shared" si="62"/>
        <v>1877.6706306180943</v>
      </c>
      <c r="CJ129" s="41">
        <f t="shared" si="63"/>
        <v>2327.7144734411213</v>
      </c>
      <c r="CK129" s="41">
        <f t="shared" si="64"/>
        <v>2537.887709538888</v>
      </c>
      <c r="CL129" s="41">
        <f t="shared" si="65"/>
        <v>2061.947451929138</v>
      </c>
      <c r="CM129" s="41">
        <f t="shared" si="66"/>
        <v>1103.000677593634</v>
      </c>
      <c r="CN129" s="41">
        <f t="shared" si="67"/>
        <v>0</v>
      </c>
      <c r="CO129" s="41">
        <f t="shared" si="68"/>
        <v>0</v>
      </c>
      <c r="CP129" s="41">
        <f t="shared" si="69"/>
        <v>0</v>
      </c>
      <c r="CQ129" s="41">
        <f t="shared" si="70"/>
        <v>0</v>
      </c>
      <c r="CR129" s="41">
        <f t="shared" si="71"/>
        <v>0</v>
      </c>
    </row>
    <row r="130" spans="23:96" x14ac:dyDescent="0.15">
      <c r="W130" s="117">
        <v>1.05</v>
      </c>
      <c r="X130" s="31">
        <v>126</v>
      </c>
      <c r="Y130" s="113">
        <f t="shared" si="54"/>
        <v>187.03017238177262</v>
      </c>
      <c r="Z130" s="42">
        <f t="shared" si="55"/>
        <v>0.12</v>
      </c>
      <c r="AA130" s="113">
        <f>$Y130*$Z130*其他调用!V129</f>
        <v>429229.53307378304</v>
      </c>
      <c r="AB130" s="113">
        <f>$Y130*$Z130*其他调用!W129</f>
        <v>545901.86871164851</v>
      </c>
      <c r="AC130" s="113">
        <f>$Y130*$Z130*其他调用!X129</f>
        <v>591607.29986832326</v>
      </c>
      <c r="AD130" s="113">
        <f>$Y130*$Z130*其他调用!Y129</f>
        <v>429216.26197568473</v>
      </c>
      <c r="AE130" s="113">
        <f>$Y130*$Z130*其他调用!Z129</f>
        <v>228842.46976525005</v>
      </c>
      <c r="AH130" s="31">
        <v>126</v>
      </c>
      <c r="AI130" s="31">
        <f>SUM(AA$5:AA130)</f>
        <v>3853145.0910193138</v>
      </c>
      <c r="AJ130" s="31">
        <f>SUM(AB$5:AB130)</f>
        <v>4776828.4427535804</v>
      </c>
      <c r="AK130" s="31">
        <f>SUM(AC$5:AC130)</f>
        <v>5195779.1834180746</v>
      </c>
      <c r="AL130" s="31">
        <f>SUM(AD$5:AD130)</f>
        <v>4160471.4673224636</v>
      </c>
      <c r="AM130" s="31">
        <f>SUM(AE$5:AE130)</f>
        <v>2215428.4573781793</v>
      </c>
      <c r="AR130" s="31">
        <v>126</v>
      </c>
      <c r="AS130" s="42">
        <f t="shared" si="56"/>
        <v>8.0000000000000016E-2</v>
      </c>
      <c r="AT130" s="52">
        <f>求节点(E$21:E$27,$M$21:$M$27,$AR130)*$AS130*其他调用!V129</f>
        <v>0</v>
      </c>
      <c r="AU130" s="52">
        <f>求节点(F$21:F$27,$M$21:$M$27,$AR130)*$AS130*其他调用!W129</f>
        <v>0</v>
      </c>
      <c r="AV130" s="52">
        <f>求节点(G$21:G$27,$M$21:$M$27,$AR130)*$AS130*其他调用!X129</f>
        <v>0</v>
      </c>
      <c r="AW130" s="52">
        <f>求节点(H$21:H$27,$M$21:$M$27,$AR130)*$AS130*其他调用!Y129</f>
        <v>0</v>
      </c>
      <c r="AX130" s="52">
        <f>求节点(I$21:I$27,$M$21:$M$27,$AR130)*$AS130*其他调用!Z129</f>
        <v>0</v>
      </c>
      <c r="AY130" s="52">
        <f>求节点(E$21:E$27,$N$21:$N$27,$AR130)*$AS130*其他调用!V129</f>
        <v>9179.8992132162421</v>
      </c>
      <c r="AZ130" s="52">
        <f>求节点(F$21:F$27,$N$21:$N$27,$AR130)*$AS130*其他调用!W129</f>
        <v>11675.161536980981</v>
      </c>
      <c r="BA130" s="52">
        <f>求节点(G$21:G$27,$N$21:$N$27,$AR130)*$AS130*其他调用!X129</f>
        <v>12652.66009937078</v>
      </c>
      <c r="BB130" s="52">
        <f>求节点(H$21:H$27,$N$21:$N$27,$AR130)*$AS130*其他调用!Y129</f>
        <v>9179.6153852556672</v>
      </c>
      <c r="BC130" s="52">
        <f>求节点(I$21:I$27,$N$21:$N$27,$AR130)*$AS130*其他调用!Z129</f>
        <v>4894.236407976543</v>
      </c>
      <c r="BD130" s="52">
        <f>求节点(E$21:E$27,$O$21:$O$27,$AR130)*$AS130*其他调用!V129</f>
        <v>0</v>
      </c>
      <c r="BE130" s="52">
        <f>求节点(F$21:F$27,$O$21:$O$27,$AR130)*$AS130*其他调用!W129</f>
        <v>0</v>
      </c>
      <c r="BF130" s="52">
        <f>求节点(G$21:G$27,$O$21:$O$27,$AR130)*$AS130*其他调用!X129</f>
        <v>0</v>
      </c>
      <c r="BG130" s="52">
        <f>求节点(H$21:H$27,$O$21:$O$27,$AR130)*$AS130*其他调用!Y129</f>
        <v>0</v>
      </c>
      <c r="BH130" s="52">
        <f>求节点(I$21:I$27,$O$21:$O$27,$AR130)*$AS130*其他调用!Z129</f>
        <v>0</v>
      </c>
      <c r="BK130" s="31">
        <v>126</v>
      </c>
      <c r="BL130" s="31">
        <f>SUM(AT$5:AT130)</f>
        <v>946.27439936474923</v>
      </c>
      <c r="BM130" s="31">
        <f>SUM(AU$5:AU130)</f>
        <v>1112.8936350179583</v>
      </c>
      <c r="BN130" s="31">
        <f>SUM(AV$5:AV130)</f>
        <v>1078.1579698345183</v>
      </c>
      <c r="BO130" s="31">
        <f>SUM(AW$5:AW130)</f>
        <v>704.96766450982125</v>
      </c>
      <c r="BP130" s="31">
        <f>SUM(AX$5:AX130)</f>
        <v>333.4630769439176</v>
      </c>
      <c r="BQ130" s="31">
        <f>SUM(AY$5:AY130)</f>
        <v>134042.51645463426</v>
      </c>
      <c r="BR130" s="31">
        <f>SUM(AZ$5:AZ130)</f>
        <v>166485.16188804974</v>
      </c>
      <c r="BS130" s="31">
        <f>SUM(BA$5:BA130)</f>
        <v>181485.78807868515</v>
      </c>
      <c r="BT130" s="31">
        <f>SUM(BB$5:BB130)</f>
        <v>146407.78962569492</v>
      </c>
      <c r="BU130" s="31">
        <f>SUM(BC$5:BC130)</f>
        <v>78316.4605552375</v>
      </c>
      <c r="BV130" s="31">
        <f>SUM(BD$5:BD130)</f>
        <v>0</v>
      </c>
      <c r="BW130" s="31">
        <f>SUM(BE$5:BE130)</f>
        <v>0</v>
      </c>
      <c r="BX130" s="31">
        <f>SUM(BF$5:BF130)</f>
        <v>0</v>
      </c>
      <c r="BY130" s="31">
        <f>SUM(BG$5:BG130)</f>
        <v>0</v>
      </c>
      <c r="BZ130" s="31">
        <f>SUM(BH$5:BH130)</f>
        <v>0</v>
      </c>
      <c r="CC130" s="41">
        <v>126</v>
      </c>
      <c r="CD130" s="41">
        <f t="shared" si="57"/>
        <v>4734.0704238836124</v>
      </c>
      <c r="CE130" s="41">
        <f t="shared" si="58"/>
        <v>5877.0608796575489</v>
      </c>
      <c r="CF130" s="41">
        <f t="shared" si="59"/>
        <v>6400.5196913965328</v>
      </c>
      <c r="CG130" s="41">
        <f t="shared" si="60"/>
        <v>5155.996181802263</v>
      </c>
      <c r="CH130" s="41">
        <f t="shared" si="61"/>
        <v>2756.0819578957889</v>
      </c>
      <c r="CI130" s="41">
        <f t="shared" si="62"/>
        <v>2015.3691188163375</v>
      </c>
      <c r="CJ130" s="41">
        <f t="shared" si="63"/>
        <v>2502.841896495836</v>
      </c>
      <c r="CK130" s="41">
        <f t="shared" si="64"/>
        <v>2727.6776110294495</v>
      </c>
      <c r="CL130" s="41">
        <f t="shared" si="65"/>
        <v>2199.6416827079729</v>
      </c>
      <c r="CM130" s="41">
        <f t="shared" si="66"/>
        <v>1176.4142237132821</v>
      </c>
      <c r="CN130" s="41">
        <f t="shared" si="67"/>
        <v>0</v>
      </c>
      <c r="CO130" s="41">
        <f t="shared" si="68"/>
        <v>0</v>
      </c>
      <c r="CP130" s="41">
        <f t="shared" si="69"/>
        <v>0</v>
      </c>
      <c r="CQ130" s="41">
        <f t="shared" si="70"/>
        <v>0</v>
      </c>
      <c r="CR130" s="41">
        <f t="shared" si="71"/>
        <v>0</v>
      </c>
    </row>
    <row r="131" spans="23:96" x14ac:dyDescent="0.15">
      <c r="W131" s="117">
        <v>1.05</v>
      </c>
      <c r="X131" s="31">
        <v>127</v>
      </c>
      <c r="Y131" s="113">
        <f t="shared" si="54"/>
        <v>196.38168100086125</v>
      </c>
      <c r="Z131" s="42">
        <f t="shared" si="55"/>
        <v>0.12</v>
      </c>
      <c r="AA131" s="113">
        <f>$Y131*$Z131*其他调用!V130</f>
        <v>483038.66402959096</v>
      </c>
      <c r="AB131" s="113">
        <f>$Y131*$Z131*其他调用!W130</f>
        <v>594454.29447701911</v>
      </c>
      <c r="AC131" s="113">
        <f>$Y131*$Z131*其他调用!X130</f>
        <v>595487.67021052598</v>
      </c>
      <c r="AD131" s="113">
        <f>$Y131*$Z131*其他调用!Y130</f>
        <v>463954.36624954245</v>
      </c>
      <c r="AE131" s="113">
        <f>$Y131*$Z131*其他调用!Z130</f>
        <v>255908.00932355793</v>
      </c>
      <c r="AH131" s="31">
        <v>127</v>
      </c>
      <c r="AI131" s="31">
        <f>SUM(AA$5:AA131)</f>
        <v>4336183.7550489046</v>
      </c>
      <c r="AJ131" s="31">
        <f>SUM(AB$5:AB131)</f>
        <v>5371282.7372305999</v>
      </c>
      <c r="AK131" s="31">
        <f>SUM(AC$5:AC131)</f>
        <v>5791266.8536286009</v>
      </c>
      <c r="AL131" s="31">
        <f>SUM(AD$5:AD131)</f>
        <v>4624425.8335720059</v>
      </c>
      <c r="AM131" s="31">
        <f>SUM(AE$5:AE131)</f>
        <v>2471336.4667017371</v>
      </c>
      <c r="AR131" s="31">
        <v>127</v>
      </c>
      <c r="AS131" s="42">
        <f t="shared" si="56"/>
        <v>8.0000000000000016E-2</v>
      </c>
      <c r="AT131" s="52">
        <f>求节点(E$21:E$27,$M$21:$M$27,$AR131)*$AS131*其他调用!V130</f>
        <v>0</v>
      </c>
      <c r="AU131" s="52">
        <f>求节点(F$21:F$27,$M$21:$M$27,$AR131)*$AS131*其他调用!W130</f>
        <v>0</v>
      </c>
      <c r="AV131" s="52">
        <f>求节点(G$21:G$27,$M$21:$M$27,$AR131)*$AS131*其他调用!X130</f>
        <v>0</v>
      </c>
      <c r="AW131" s="52">
        <f>求节点(H$21:H$27,$M$21:$M$27,$AR131)*$AS131*其他调用!Y130</f>
        <v>0</v>
      </c>
      <c r="AX131" s="52">
        <f>求节点(I$21:I$27,$M$21:$M$27,$AR131)*$AS131*其他调用!Z130</f>
        <v>0</v>
      </c>
      <c r="AY131" s="52">
        <f>求节点(E$21:E$27,$N$21:$N$27,$AR131)*$AS131*其他调用!V130</f>
        <v>9838.7723654829642</v>
      </c>
      <c r="AZ131" s="52">
        <f>求节点(F$21:F$27,$N$21:$N$27,$AR131)*$AS131*其他调用!W130</f>
        <v>12108.141481371924</v>
      </c>
      <c r="BA131" s="52">
        <f>求节点(G$21:G$27,$N$21:$N$27,$AR131)*$AS131*其他调用!X130</f>
        <v>12129.189793581909</v>
      </c>
      <c r="BB131" s="52">
        <f>求节点(H$21:H$27,$N$21:$N$27,$AR131)*$AS131*其他调用!Y130</f>
        <v>9450.0538723366535</v>
      </c>
      <c r="BC131" s="52">
        <f>求节点(I$21:I$27,$N$21:$N$27,$AR131)*$AS131*其他调用!Z130</f>
        <v>5212.4619367615187</v>
      </c>
      <c r="BD131" s="52">
        <f>求节点(E$21:E$27,$O$21:$O$27,$AR131)*$AS131*其他调用!V130</f>
        <v>0</v>
      </c>
      <c r="BE131" s="52">
        <f>求节点(F$21:F$27,$O$21:$O$27,$AR131)*$AS131*其他调用!W130</f>
        <v>0</v>
      </c>
      <c r="BF131" s="52">
        <f>求节点(G$21:G$27,$O$21:$O$27,$AR131)*$AS131*其他调用!X130</f>
        <v>0</v>
      </c>
      <c r="BG131" s="52">
        <f>求节点(H$21:H$27,$O$21:$O$27,$AR131)*$AS131*其他调用!Y130</f>
        <v>0</v>
      </c>
      <c r="BH131" s="52">
        <f>求节点(I$21:I$27,$O$21:$O$27,$AR131)*$AS131*其他调用!Z130</f>
        <v>0</v>
      </c>
      <c r="BK131" s="31">
        <v>127</v>
      </c>
      <c r="BL131" s="31">
        <f>SUM(AT$5:AT131)</f>
        <v>946.27439936474923</v>
      </c>
      <c r="BM131" s="31">
        <f>SUM(AU$5:AU131)</f>
        <v>1112.8936350179583</v>
      </c>
      <c r="BN131" s="31">
        <f>SUM(AV$5:AV131)</f>
        <v>1078.1579698345183</v>
      </c>
      <c r="BO131" s="31">
        <f>SUM(AW$5:AW131)</f>
        <v>704.96766450982125</v>
      </c>
      <c r="BP131" s="31">
        <f>SUM(AX$5:AX131)</f>
        <v>333.4630769439176</v>
      </c>
      <c r="BQ131" s="31">
        <f>SUM(AY$5:AY131)</f>
        <v>143881.28882011722</v>
      </c>
      <c r="BR131" s="31">
        <f>SUM(AZ$5:AZ131)</f>
        <v>178593.30336942166</v>
      </c>
      <c r="BS131" s="31">
        <f>SUM(BA$5:BA131)</f>
        <v>193614.97787226705</v>
      </c>
      <c r="BT131" s="31">
        <f>SUM(BB$5:BB131)</f>
        <v>155857.84349803158</v>
      </c>
      <c r="BU131" s="31">
        <f>SUM(BC$5:BC131)</f>
        <v>83528.922491999023</v>
      </c>
      <c r="BV131" s="31">
        <f>SUM(BD$5:BD131)</f>
        <v>0</v>
      </c>
      <c r="BW131" s="31">
        <f>SUM(BE$5:BE131)</f>
        <v>0</v>
      </c>
      <c r="BX131" s="31">
        <f>SUM(BF$5:BF131)</f>
        <v>0</v>
      </c>
      <c r="BY131" s="31">
        <f>SUM(BG$5:BG131)</f>
        <v>0</v>
      </c>
      <c r="BZ131" s="31">
        <f>SUM(BH$5:BH131)</f>
        <v>0</v>
      </c>
      <c r="CC131" s="41">
        <v>127</v>
      </c>
      <c r="CD131" s="41">
        <f t="shared" si="57"/>
        <v>5078.4274566755157</v>
      </c>
      <c r="CE131" s="41">
        <f t="shared" si="58"/>
        <v>6300.8458315055659</v>
      </c>
      <c r="CF131" s="41">
        <f t="shared" si="59"/>
        <v>6825.0413341718986</v>
      </c>
      <c r="CG131" s="41">
        <f t="shared" si="60"/>
        <v>5486.7480673340469</v>
      </c>
      <c r="CH131" s="41">
        <f t="shared" si="61"/>
        <v>2938.5181256824421</v>
      </c>
      <c r="CI131" s="41">
        <f t="shared" si="62"/>
        <v>2162.950704298582</v>
      </c>
      <c r="CJ131" s="41">
        <f t="shared" si="63"/>
        <v>2684.4640187164146</v>
      </c>
      <c r="CK131" s="41">
        <f t="shared" si="64"/>
        <v>2909.6154579331783</v>
      </c>
      <c r="CL131" s="41">
        <f t="shared" si="65"/>
        <v>2341.3924907930227</v>
      </c>
      <c r="CM131" s="41">
        <f t="shared" si="66"/>
        <v>1254.6011527647049</v>
      </c>
      <c r="CN131" s="41">
        <f t="shared" si="67"/>
        <v>0</v>
      </c>
      <c r="CO131" s="41">
        <f t="shared" si="68"/>
        <v>0</v>
      </c>
      <c r="CP131" s="41">
        <f t="shared" si="69"/>
        <v>0</v>
      </c>
      <c r="CQ131" s="41">
        <f t="shared" si="70"/>
        <v>0</v>
      </c>
      <c r="CR131" s="41">
        <f t="shared" si="71"/>
        <v>0</v>
      </c>
    </row>
    <row r="132" spans="23:96" x14ac:dyDescent="0.15">
      <c r="W132" s="117">
        <v>1.05</v>
      </c>
      <c r="X132" s="31">
        <v>128</v>
      </c>
      <c r="Y132" s="113">
        <f t="shared" si="54"/>
        <v>206.20076505090432</v>
      </c>
      <c r="Z132" s="42">
        <f t="shared" si="55"/>
        <v>0.12</v>
      </c>
      <c r="AA132" s="113">
        <f>$Y132*$Z132*其他调用!V131</f>
        <v>543593.42256020813</v>
      </c>
      <c r="AB132" s="113">
        <f>$Y132*$Z132*其他调用!W131</f>
        <v>621373.95544742432</v>
      </c>
      <c r="AC132" s="113">
        <f>$Y132*$Z132*其他调用!X131</f>
        <v>649888.75657880772</v>
      </c>
      <c r="AD132" s="113">
        <f>$Y132*$Z132*其他调用!Y131</f>
        <v>541237.62694289407</v>
      </c>
      <c r="AE132" s="113">
        <f>$Y132*$Z132*其他调用!Z131</f>
        <v>295249.75259403978</v>
      </c>
      <c r="AH132" s="31">
        <v>128</v>
      </c>
      <c r="AI132" s="31">
        <f>SUM(AA$5:AA132)</f>
        <v>4879777.177609113</v>
      </c>
      <c r="AJ132" s="31">
        <f>SUM(AB$5:AB132)</f>
        <v>5992656.6926780241</v>
      </c>
      <c r="AK132" s="31">
        <f>SUM(AC$5:AC132)</f>
        <v>6441155.6102074087</v>
      </c>
      <c r="AL132" s="31">
        <f>SUM(AD$5:AD132)</f>
        <v>5165663.4605149003</v>
      </c>
      <c r="AM132" s="31">
        <f>SUM(AE$5:AE132)</f>
        <v>2766586.2192957769</v>
      </c>
      <c r="AR132" s="31">
        <v>128</v>
      </c>
      <c r="AS132" s="42">
        <f t="shared" si="56"/>
        <v>8.0000000000000016E-2</v>
      </c>
      <c r="AT132" s="52">
        <f>求节点(E$21:E$27,$M$21:$M$27,$AR132)*$AS132*其他调用!V131</f>
        <v>0</v>
      </c>
      <c r="AU132" s="52">
        <f>求节点(F$21:F$27,$M$21:$M$27,$AR132)*$AS132*其他调用!W131</f>
        <v>0</v>
      </c>
      <c r="AV132" s="52">
        <f>求节点(G$21:G$27,$M$21:$M$27,$AR132)*$AS132*其他调用!X131</f>
        <v>0</v>
      </c>
      <c r="AW132" s="52">
        <f>求节点(H$21:H$27,$M$21:$M$27,$AR132)*$AS132*其他调用!Y131</f>
        <v>0</v>
      </c>
      <c r="AX132" s="52">
        <f>求节点(I$21:I$27,$M$21:$M$27,$AR132)*$AS132*其他调用!Z131</f>
        <v>0</v>
      </c>
      <c r="AY132" s="52">
        <f>求节点(E$21:E$27,$N$21:$N$27,$AR132)*$AS132*其他调用!V131</f>
        <v>10544.935125260326</v>
      </c>
      <c r="AZ132" s="52">
        <f>求节点(F$21:F$27,$N$21:$N$27,$AR132)*$AS132*其他调用!W131</f>
        <v>12053.766246580652</v>
      </c>
      <c r="BA132" s="52">
        <f>求节点(G$21:G$27,$N$21:$N$27,$AR132)*$AS132*其他调用!X131</f>
        <v>12606.912615835763</v>
      </c>
      <c r="BB132" s="52">
        <f>求节点(H$21:H$27,$N$21:$N$27,$AR132)*$AS132*其他调用!Y131</f>
        <v>10499.236058785331</v>
      </c>
      <c r="BC132" s="52">
        <f>求节点(I$21:I$27,$N$21:$N$27,$AR132)*$AS132*其他调用!Z131</f>
        <v>5727.4230291270196</v>
      </c>
      <c r="BD132" s="52">
        <f>求节点(E$21:E$27,$O$21:$O$27,$AR132)*$AS132*其他调用!V131</f>
        <v>0</v>
      </c>
      <c r="BE132" s="52">
        <f>求节点(F$21:F$27,$O$21:$O$27,$AR132)*$AS132*其他调用!W131</f>
        <v>0</v>
      </c>
      <c r="BF132" s="52">
        <f>求节点(G$21:G$27,$O$21:$O$27,$AR132)*$AS132*其他调用!X131</f>
        <v>0</v>
      </c>
      <c r="BG132" s="52">
        <f>求节点(H$21:H$27,$O$21:$O$27,$AR132)*$AS132*其他调用!Y131</f>
        <v>0</v>
      </c>
      <c r="BH132" s="52">
        <f>求节点(I$21:I$27,$O$21:$O$27,$AR132)*$AS132*其他调用!Z131</f>
        <v>0</v>
      </c>
      <c r="BK132" s="31">
        <v>128</v>
      </c>
      <c r="BL132" s="31">
        <f>SUM(AT$5:AT132)</f>
        <v>946.27439936474923</v>
      </c>
      <c r="BM132" s="31">
        <f>SUM(AU$5:AU132)</f>
        <v>1112.8936350179583</v>
      </c>
      <c r="BN132" s="31">
        <f>SUM(AV$5:AV132)</f>
        <v>1078.1579698345183</v>
      </c>
      <c r="BO132" s="31">
        <f>SUM(AW$5:AW132)</f>
        <v>704.96766450982125</v>
      </c>
      <c r="BP132" s="31">
        <f>SUM(AX$5:AX132)</f>
        <v>333.4630769439176</v>
      </c>
      <c r="BQ132" s="31">
        <f>SUM(AY$5:AY132)</f>
        <v>154426.22394537754</v>
      </c>
      <c r="BR132" s="31">
        <f>SUM(AZ$5:AZ132)</f>
        <v>190647.06961600232</v>
      </c>
      <c r="BS132" s="31">
        <f>SUM(BA$5:BA132)</f>
        <v>206221.8904881028</v>
      </c>
      <c r="BT132" s="31">
        <f>SUM(BB$5:BB132)</f>
        <v>166357.0795568169</v>
      </c>
      <c r="BU132" s="31">
        <f>SUM(BC$5:BC132)</f>
        <v>89256.345521126044</v>
      </c>
      <c r="BV132" s="31">
        <f>SUM(BD$5:BD132)</f>
        <v>0</v>
      </c>
      <c r="BW132" s="31">
        <f>SUM(BE$5:BE132)</f>
        <v>0</v>
      </c>
      <c r="BX132" s="31">
        <f>SUM(BF$5:BF132)</f>
        <v>0</v>
      </c>
      <c r="BY132" s="31">
        <f>SUM(BG$5:BG132)</f>
        <v>0</v>
      </c>
      <c r="BZ132" s="31">
        <f>SUM(BH$5:BH132)</f>
        <v>0</v>
      </c>
      <c r="CC132" s="41">
        <v>128</v>
      </c>
      <c r="CD132" s="41">
        <f t="shared" si="57"/>
        <v>5447.5001860596267</v>
      </c>
      <c r="CE132" s="41">
        <f t="shared" si="58"/>
        <v>6722.7276501358892</v>
      </c>
      <c r="CF132" s="41">
        <f t="shared" si="59"/>
        <v>7266.2832757261513</v>
      </c>
      <c r="CG132" s="41">
        <f t="shared" si="60"/>
        <v>5854.221329391532</v>
      </c>
      <c r="CH132" s="41">
        <f t="shared" si="61"/>
        <v>3138.9779317018879</v>
      </c>
      <c r="CI132" s="41">
        <f t="shared" si="62"/>
        <v>2321.1247311774869</v>
      </c>
      <c r="CJ132" s="41">
        <f t="shared" si="63"/>
        <v>2865.2705124151244</v>
      </c>
      <c r="CK132" s="41">
        <f t="shared" si="64"/>
        <v>3098.7191471707147</v>
      </c>
      <c r="CL132" s="41">
        <f t="shared" si="65"/>
        <v>2498.8810316748027</v>
      </c>
      <c r="CM132" s="41">
        <f t="shared" si="66"/>
        <v>1340.5124982016102</v>
      </c>
      <c r="CN132" s="41">
        <f t="shared" si="67"/>
        <v>0</v>
      </c>
      <c r="CO132" s="41">
        <f t="shared" si="68"/>
        <v>0</v>
      </c>
      <c r="CP132" s="41">
        <f t="shared" si="69"/>
        <v>0</v>
      </c>
      <c r="CQ132" s="41">
        <f t="shared" si="70"/>
        <v>0</v>
      </c>
      <c r="CR132" s="41">
        <f t="shared" si="71"/>
        <v>0</v>
      </c>
    </row>
    <row r="133" spans="23:96" x14ac:dyDescent="0.15">
      <c r="W133" s="117">
        <v>1.05</v>
      </c>
      <c r="X133" s="31">
        <v>129</v>
      </c>
      <c r="Y133" s="113">
        <f t="shared" si="54"/>
        <v>216.51080330344953</v>
      </c>
      <c r="Z133" s="42">
        <f t="shared" ref="Z133:Z164" si="72">$E$42</f>
        <v>0.12</v>
      </c>
      <c r="AA133" s="113">
        <f>$Y133*$Z133*其他调用!V132</f>
        <v>611739.45494477521</v>
      </c>
      <c r="AB133" s="113">
        <f>$Y133*$Z133*其他调用!W132</f>
        <v>748563.69863125973</v>
      </c>
      <c r="AC133" s="113">
        <f>$Y133*$Z133*其他调用!X132</f>
        <v>833843.03826756799</v>
      </c>
      <c r="AD133" s="113">
        <f>$Y133*$Z133*其他调用!Y132</f>
        <v>687607.0005782122</v>
      </c>
      <c r="AE133" s="113">
        <f>$Y133*$Z133*其他调用!Z132</f>
        <v>371796.2178440537</v>
      </c>
      <c r="AH133" s="31">
        <v>129</v>
      </c>
      <c r="AI133" s="31">
        <f>SUM(AA$5:AA133)</f>
        <v>5491516.6325538885</v>
      </c>
      <c r="AJ133" s="31">
        <f>SUM(AB$5:AB133)</f>
        <v>6741220.3913092837</v>
      </c>
      <c r="AK133" s="31">
        <f>SUM(AC$5:AC133)</f>
        <v>7274998.6484749764</v>
      </c>
      <c r="AL133" s="31">
        <f>SUM(AD$5:AD133)</f>
        <v>5853270.4610931128</v>
      </c>
      <c r="AM133" s="31">
        <f>SUM(AE$5:AE133)</f>
        <v>3138382.4371398306</v>
      </c>
      <c r="AR133" s="31">
        <v>129</v>
      </c>
      <c r="AS133" s="42">
        <f t="shared" ref="AS133:AS164" si="73">$E$43</f>
        <v>8.0000000000000016E-2</v>
      </c>
      <c r="AT133" s="52">
        <f>求节点(E$21:E$27,$M$21:$M$27,$AR133)*$AS133*其他调用!V132</f>
        <v>0</v>
      </c>
      <c r="AU133" s="52">
        <f>求节点(F$21:F$27,$M$21:$M$27,$AR133)*$AS133*其他调用!W132</f>
        <v>0</v>
      </c>
      <c r="AV133" s="52">
        <f>求节点(G$21:G$27,$M$21:$M$27,$AR133)*$AS133*其他调用!X132</f>
        <v>0</v>
      </c>
      <c r="AW133" s="52">
        <f>求节点(H$21:H$27,$M$21:$M$27,$AR133)*$AS133*其他调用!Y132</f>
        <v>0</v>
      </c>
      <c r="AX133" s="52">
        <f>求节点(I$21:I$27,$M$21:$M$27,$AR133)*$AS133*其他调用!Z132</f>
        <v>0</v>
      </c>
      <c r="AY133" s="52">
        <f>求节点(E$21:E$27,$N$21:$N$27,$AR133)*$AS133*其他调用!V132</f>
        <v>11301.781631420863</v>
      </c>
      <c r="AZ133" s="52">
        <f>求节点(F$21:F$27,$N$21:$N$27,$AR133)*$AS133*其他调用!W132</f>
        <v>13829.586093810101</v>
      </c>
      <c r="BA133" s="52">
        <f>求节点(G$21:G$27,$N$21:$N$27,$AR133)*$AS133*其他调用!X132</f>
        <v>15405.107284164478</v>
      </c>
      <c r="BB133" s="52">
        <f>求节点(H$21:H$27,$N$21:$N$27,$AR133)*$AS133*其他调用!Y132</f>
        <v>12703.421539931207</v>
      </c>
      <c r="BC133" s="52">
        <f>求节点(I$21:I$27,$N$21:$N$27,$AR133)*$AS133*其他调用!Z132</f>
        <v>6868.8714312877009</v>
      </c>
      <c r="BD133" s="52">
        <f>求节点(E$21:E$27,$O$21:$O$27,$AR133)*$AS133*其他调用!V132</f>
        <v>0</v>
      </c>
      <c r="BE133" s="52">
        <f>求节点(F$21:F$27,$O$21:$O$27,$AR133)*$AS133*其他调用!W132</f>
        <v>0</v>
      </c>
      <c r="BF133" s="52">
        <f>求节点(G$21:G$27,$O$21:$O$27,$AR133)*$AS133*其他调用!X132</f>
        <v>0</v>
      </c>
      <c r="BG133" s="52">
        <f>求节点(H$21:H$27,$O$21:$O$27,$AR133)*$AS133*其他调用!Y132</f>
        <v>0</v>
      </c>
      <c r="BH133" s="52">
        <f>求节点(I$21:I$27,$O$21:$O$27,$AR133)*$AS133*其他调用!Z132</f>
        <v>0</v>
      </c>
      <c r="BK133" s="31">
        <v>129</v>
      </c>
      <c r="BL133" s="31">
        <f>SUM(AT$5:AT133)</f>
        <v>946.27439936474923</v>
      </c>
      <c r="BM133" s="31">
        <f>SUM(AU$5:AU133)</f>
        <v>1112.8936350179583</v>
      </c>
      <c r="BN133" s="31">
        <f>SUM(AV$5:AV133)</f>
        <v>1078.1579698345183</v>
      </c>
      <c r="BO133" s="31">
        <f>SUM(AW$5:AW133)</f>
        <v>704.96766450982125</v>
      </c>
      <c r="BP133" s="31">
        <f>SUM(AX$5:AX133)</f>
        <v>333.4630769439176</v>
      </c>
      <c r="BQ133" s="31">
        <f>SUM(AY$5:AY133)</f>
        <v>165728.0055767984</v>
      </c>
      <c r="BR133" s="31">
        <f>SUM(AZ$5:AZ133)</f>
        <v>204476.65570981242</v>
      </c>
      <c r="BS133" s="31">
        <f>SUM(BA$5:BA133)</f>
        <v>221626.99777226726</v>
      </c>
      <c r="BT133" s="31">
        <f>SUM(BB$5:BB133)</f>
        <v>179060.50109674811</v>
      </c>
      <c r="BU133" s="31">
        <f>SUM(BC$5:BC133)</f>
        <v>96125.216952413743</v>
      </c>
      <c r="BV133" s="31">
        <f>SUM(BD$5:BD133)</f>
        <v>0</v>
      </c>
      <c r="BW133" s="31">
        <f>SUM(BE$5:BE133)</f>
        <v>0</v>
      </c>
      <c r="BX133" s="31">
        <f>SUM(BF$5:BF133)</f>
        <v>0</v>
      </c>
      <c r="BY133" s="31">
        <f>SUM(BG$5:BG133)</f>
        <v>0</v>
      </c>
      <c r="BZ133" s="31">
        <f>SUM(BH$5:BH133)</f>
        <v>0</v>
      </c>
      <c r="CC133" s="41">
        <v>129</v>
      </c>
      <c r="CD133" s="41">
        <f t="shared" ref="CD133:CD164" si="74">(BL133*$E$57+BQ133*$F$57+BV133*$G$57)/$E$5</f>
        <v>5843.0625431593571</v>
      </c>
      <c r="CE133" s="41">
        <f t="shared" ref="CE133:CE164" si="75">(BM133*$E$57+BR133*$F$57+BW133*$G$57)/$E$5</f>
        <v>7206.7631634192421</v>
      </c>
      <c r="CF133" s="41">
        <f t="shared" ref="CF133:CF164" si="76">(BN133*$E$57+BS133*$F$57+BX133*$G$57)/$E$5</f>
        <v>7805.4620306719062</v>
      </c>
      <c r="CG133" s="41">
        <f t="shared" ref="CG133:CG164" si="77">(BO133*$E$57+BT133*$F$57+BY133*$G$57)/$E$5</f>
        <v>6298.841083289125</v>
      </c>
      <c r="CH133" s="41">
        <f t="shared" ref="CH133:CH164" si="78">(BP133*$E$57+BU133*$F$57+BZ133*$G$57)/$E$5</f>
        <v>3379.3884317969569</v>
      </c>
      <c r="CI133" s="41">
        <f t="shared" ref="CI133:CI164" si="79">(BL133*$E$58+BQ133*$F$58+BV133*$G$58)/$E$5</f>
        <v>2490.6514556487996</v>
      </c>
      <c r="CJ133" s="41">
        <f t="shared" ref="CJ133:CJ164" si="80">(BM133*$E$58+BR133*$F$58+BW133*$G$58)/$E$5</f>
        <v>3072.7143038222757</v>
      </c>
      <c r="CK133" s="41">
        <f t="shared" ref="CK133:CK164" si="81">(BN133*$E$58+BS133*$F$58+BX133*$G$58)/$E$5</f>
        <v>3329.7957564331819</v>
      </c>
      <c r="CL133" s="41">
        <f t="shared" ref="CL133:CL164" si="82">(BO133*$E$58+BT133*$F$58+BY133*$G$58)/$E$5</f>
        <v>2689.4323547737704</v>
      </c>
      <c r="CM133" s="41">
        <f t="shared" ref="CM133:CM164" si="83">(BP133*$E$58+BU133*$F$58+BZ133*$G$58)/$E$5</f>
        <v>1443.5455696709257</v>
      </c>
      <c r="CN133" s="41">
        <f t="shared" ref="CN133:CN164" si="84">(BL133*$E$59+BQ133*$F$59+BV133*$G$59)/$E$5</f>
        <v>0</v>
      </c>
      <c r="CO133" s="41">
        <f t="shared" ref="CO133:CO164" si="85">(BM133*$E$59+BR133*$F$59+BW133*$G$59)/$E$5</f>
        <v>0</v>
      </c>
      <c r="CP133" s="41">
        <f t="shared" ref="CP133:CP164" si="86">(BN133*$E$59+BS133*$F$59+BX133*$G$59)/$E$5</f>
        <v>0</v>
      </c>
      <c r="CQ133" s="41">
        <f t="shared" ref="CQ133:CQ164" si="87">(BO133*$E$59+BT133*$F$59+BY133*$G$59)/$E$5</f>
        <v>0</v>
      </c>
      <c r="CR133" s="41">
        <f t="shared" ref="CR133:CR164" si="88">(BP133*$E$59+BU133*$F$59+BZ133*$G$59)/$E$5</f>
        <v>0</v>
      </c>
    </row>
    <row r="134" spans="23:96" x14ac:dyDescent="0.15">
      <c r="W134" s="117">
        <v>1.05</v>
      </c>
      <c r="X134" s="31">
        <v>130</v>
      </c>
      <c r="Y134" s="113">
        <f t="shared" si="54"/>
        <v>227.33634346862203</v>
      </c>
      <c r="Z134" s="42">
        <f t="shared" si="72"/>
        <v>0.12</v>
      </c>
      <c r="AA134" s="113">
        <f>$Y134*$Z134*其他调用!V133</f>
        <v>688428.41948602744</v>
      </c>
      <c r="AB134" s="113">
        <f>$Y134*$Z134*其他调用!W133</f>
        <v>871946.8665022183</v>
      </c>
      <c r="AC134" s="113">
        <f>$Y134*$Z134*其他调用!X133</f>
        <v>960207.92137685278</v>
      </c>
      <c r="AD134" s="113">
        <f>$Y134*$Z134*其他调用!Y133</f>
        <v>801590.8495961813</v>
      </c>
      <c r="AE134" s="113">
        <f>$Y134*$Z134*其他调用!Z133</f>
        <v>436058.06137716945</v>
      </c>
      <c r="AH134" s="31">
        <v>130</v>
      </c>
      <c r="AI134" s="31">
        <f>SUM(AA$5:AA134)</f>
        <v>6179945.0520399157</v>
      </c>
      <c r="AJ134" s="31">
        <f>SUM(AB$5:AB134)</f>
        <v>7613167.2578115016</v>
      </c>
      <c r="AK134" s="31">
        <f>SUM(AC$5:AC134)</f>
        <v>8235206.5698518287</v>
      </c>
      <c r="AL134" s="31">
        <f>SUM(AD$5:AD134)</f>
        <v>6654861.3106892938</v>
      </c>
      <c r="AM134" s="31">
        <f>SUM(AE$5:AE134)</f>
        <v>3574440.4985170001</v>
      </c>
      <c r="AR134" s="31">
        <v>130</v>
      </c>
      <c r="AS134" s="42">
        <f t="shared" si="73"/>
        <v>8.0000000000000016E-2</v>
      </c>
      <c r="AT134" s="52">
        <f>求节点(E$21:E$27,$M$21:$M$27,$AR134)*$AS134*其他调用!V133</f>
        <v>0</v>
      </c>
      <c r="AU134" s="52">
        <f>求节点(F$21:F$27,$M$21:$M$27,$AR134)*$AS134*其他调用!W133</f>
        <v>0</v>
      </c>
      <c r="AV134" s="52">
        <f>求节点(G$21:G$27,$M$21:$M$27,$AR134)*$AS134*其他调用!X133</f>
        <v>0</v>
      </c>
      <c r="AW134" s="52">
        <f>求节点(H$21:H$27,$M$21:$M$27,$AR134)*$AS134*其他调用!Y133</f>
        <v>0</v>
      </c>
      <c r="AX134" s="52">
        <f>求节点(I$21:I$27,$M$21:$M$27,$AR134)*$AS134*其他调用!Z133</f>
        <v>0</v>
      </c>
      <c r="AY134" s="52">
        <f>求节点(E$21:E$27,$N$21:$N$27,$AR134)*$AS134*其他调用!V133</f>
        <v>12112.949631936832</v>
      </c>
      <c r="AZ134" s="52">
        <f>求节点(F$21:F$27,$N$21:$N$27,$AR134)*$AS134*其他调用!W133</f>
        <v>15341.970460126953</v>
      </c>
      <c r="BA134" s="52">
        <f>求节点(G$21:G$27,$N$21:$N$27,$AR134)*$AS134*其他调用!X133</f>
        <v>16894.930334962217</v>
      </c>
      <c r="BB134" s="52">
        <f>求节点(H$21:H$27,$N$21:$N$27,$AR134)*$AS134*其他调用!Y133</f>
        <v>14104.051070159323</v>
      </c>
      <c r="BC134" s="52">
        <f>求节点(I$21:I$27,$N$21:$N$27,$AR134)*$AS134*其他调用!Z133</f>
        <v>7672.4742682835704</v>
      </c>
      <c r="BD134" s="52">
        <f>求节点(E$21:E$27,$O$21:$O$27,$AR134)*$AS134*其他调用!V133</f>
        <v>0</v>
      </c>
      <c r="BE134" s="52">
        <f>求节点(F$21:F$27,$O$21:$O$27,$AR134)*$AS134*其他调用!W133</f>
        <v>0</v>
      </c>
      <c r="BF134" s="52">
        <f>求节点(G$21:G$27,$O$21:$O$27,$AR134)*$AS134*其他调用!X133</f>
        <v>0</v>
      </c>
      <c r="BG134" s="52">
        <f>求节点(H$21:H$27,$O$21:$O$27,$AR134)*$AS134*其他调用!Y133</f>
        <v>0</v>
      </c>
      <c r="BH134" s="52">
        <f>求节点(I$21:I$27,$O$21:$O$27,$AR134)*$AS134*其他调用!Z133</f>
        <v>0</v>
      </c>
      <c r="BK134" s="31">
        <v>130</v>
      </c>
      <c r="BL134" s="31">
        <f>SUM(AT$5:AT134)</f>
        <v>946.27439936474923</v>
      </c>
      <c r="BM134" s="31">
        <f>SUM(AU$5:AU134)</f>
        <v>1112.8936350179583</v>
      </c>
      <c r="BN134" s="31">
        <f>SUM(AV$5:AV134)</f>
        <v>1078.1579698345183</v>
      </c>
      <c r="BO134" s="31">
        <f>SUM(AW$5:AW134)</f>
        <v>704.96766450982125</v>
      </c>
      <c r="BP134" s="31">
        <f>SUM(AX$5:AX134)</f>
        <v>333.4630769439176</v>
      </c>
      <c r="BQ134" s="31">
        <f>SUM(AY$5:AY134)</f>
        <v>177840.95520873522</v>
      </c>
      <c r="BR134" s="31">
        <f>SUM(AZ$5:AZ134)</f>
        <v>219818.62616993938</v>
      </c>
      <c r="BS134" s="31">
        <f>SUM(BA$5:BA134)</f>
        <v>238521.92810722947</v>
      </c>
      <c r="BT134" s="31">
        <f>SUM(BB$5:BB134)</f>
        <v>193164.55216690744</v>
      </c>
      <c r="BU134" s="31">
        <f>SUM(BC$5:BC134)</f>
        <v>103797.69122069731</v>
      </c>
      <c r="BV134" s="31">
        <f>SUM(BD$5:BD134)</f>
        <v>0</v>
      </c>
      <c r="BW134" s="31">
        <f>SUM(BE$5:BE134)</f>
        <v>0</v>
      </c>
      <c r="BX134" s="31">
        <f>SUM(BF$5:BF134)</f>
        <v>0</v>
      </c>
      <c r="BY134" s="31">
        <f>SUM(BG$5:BG134)</f>
        <v>0</v>
      </c>
      <c r="BZ134" s="31">
        <f>SUM(BH$5:BH134)</f>
        <v>0</v>
      </c>
      <c r="CC134" s="41">
        <v>130</v>
      </c>
      <c r="CD134" s="41">
        <f t="shared" si="74"/>
        <v>6267.0157802771455</v>
      </c>
      <c r="CE134" s="41">
        <f t="shared" si="75"/>
        <v>7743.7321295236861</v>
      </c>
      <c r="CF134" s="41">
        <f t="shared" si="76"/>
        <v>8396.7845923955847</v>
      </c>
      <c r="CG134" s="41">
        <f t="shared" si="77"/>
        <v>6792.4828707447032</v>
      </c>
      <c r="CH134" s="41">
        <f t="shared" si="78"/>
        <v>3647.9250311868818</v>
      </c>
      <c r="CI134" s="41">
        <f t="shared" si="79"/>
        <v>2672.3457001278521</v>
      </c>
      <c r="CJ134" s="41">
        <f t="shared" si="80"/>
        <v>3302.8438607241806</v>
      </c>
      <c r="CK134" s="41">
        <f t="shared" si="81"/>
        <v>3583.2197114576147</v>
      </c>
      <c r="CL134" s="41">
        <f t="shared" si="82"/>
        <v>2900.9931208261605</v>
      </c>
      <c r="CM134" s="41">
        <f t="shared" si="83"/>
        <v>1558.6326836951791</v>
      </c>
      <c r="CN134" s="41">
        <f t="shared" si="84"/>
        <v>0</v>
      </c>
      <c r="CO134" s="41">
        <f t="shared" si="85"/>
        <v>0</v>
      </c>
      <c r="CP134" s="41">
        <f t="shared" si="86"/>
        <v>0</v>
      </c>
      <c r="CQ134" s="41">
        <f t="shared" si="87"/>
        <v>0</v>
      </c>
      <c r="CR134" s="41">
        <f t="shared" si="88"/>
        <v>0</v>
      </c>
    </row>
    <row r="135" spans="23:96" x14ac:dyDescent="0.15">
      <c r="W135" s="117">
        <v>1.05</v>
      </c>
      <c r="X135" s="31">
        <v>131</v>
      </c>
      <c r="Y135" s="113">
        <f t="shared" ref="Y135:Y164" si="89">Y134*W135</f>
        <v>238.70316064205315</v>
      </c>
      <c r="Z135" s="42">
        <f t="shared" si="72"/>
        <v>0.12</v>
      </c>
      <c r="AA135" s="113">
        <f>$Y135*$Z135*其他调用!V134</f>
        <v>774731.2764039773</v>
      </c>
      <c r="AB135" s="113">
        <f>$Y135*$Z135*其他调用!W134</f>
        <v>966213.30661838851</v>
      </c>
      <c r="AC135" s="113">
        <f>$Y135*$Z135*其他调用!X134</f>
        <v>1058628.5768566267</v>
      </c>
      <c r="AD135" s="113">
        <f>$Y135*$Z135*其他调用!Y134</f>
        <v>870502.61871388822</v>
      </c>
      <c r="AE135" s="113">
        <f>$Y135*$Z135*其他调用!Z134</f>
        <v>449640.55923745246</v>
      </c>
      <c r="AH135" s="31">
        <v>131</v>
      </c>
      <c r="AI135" s="31">
        <f>SUM(AA$5:AA135)</f>
        <v>6954676.3284438932</v>
      </c>
      <c r="AJ135" s="31">
        <f>SUM(AB$5:AB135)</f>
        <v>8579380.5644298904</v>
      </c>
      <c r="AK135" s="31">
        <f>SUM(AC$5:AC135)</f>
        <v>9293835.1467084549</v>
      </c>
      <c r="AL135" s="31">
        <f>SUM(AD$5:AD135)</f>
        <v>7525363.9294031821</v>
      </c>
      <c r="AM135" s="31">
        <f>SUM(AE$5:AE135)</f>
        <v>4024081.0577544523</v>
      </c>
      <c r="AR135" s="31">
        <v>131</v>
      </c>
      <c r="AS135" s="42">
        <f t="shared" si="73"/>
        <v>8.0000000000000016E-2</v>
      </c>
      <c r="AT135" s="52">
        <f>求节点(E$21:E$27,$M$21:$M$27,$AR135)*$AS135*其他调用!V134</f>
        <v>0</v>
      </c>
      <c r="AU135" s="52">
        <f>求节点(F$21:F$27,$M$21:$M$27,$AR135)*$AS135*其他调用!W134</f>
        <v>0</v>
      </c>
      <c r="AV135" s="52">
        <f>求节点(G$21:G$27,$M$21:$M$27,$AR135)*$AS135*其他调用!X134</f>
        <v>0</v>
      </c>
      <c r="AW135" s="52">
        <f>求节点(H$21:H$27,$M$21:$M$27,$AR135)*$AS135*其他调用!Y134</f>
        <v>0</v>
      </c>
      <c r="AX135" s="52">
        <f>求节点(I$21:I$27,$M$21:$M$27,$AR135)*$AS135*其他调用!Z134</f>
        <v>0</v>
      </c>
      <c r="AY135" s="52">
        <f>求节点(E$21:E$27,$N$21:$N$27,$AR135)*$AS135*其他调用!V134</f>
        <v>12982.337968548716</v>
      </c>
      <c r="AZ135" s="52">
        <f>求节点(F$21:F$27,$N$21:$N$27,$AR135)*$AS135*其他调用!W134</f>
        <v>16191.043369840787</v>
      </c>
      <c r="BA135" s="52">
        <f>求节点(G$21:G$27,$N$21:$N$27,$AR135)*$AS135*其他调用!X134</f>
        <v>17739.665851246791</v>
      </c>
      <c r="BB135" s="52">
        <f>求节点(H$21:H$27,$N$21:$N$27,$AR135)*$AS135*其他调用!Y134</f>
        <v>14587.198868627449</v>
      </c>
      <c r="BC135" s="52">
        <f>求节点(I$21:I$27,$N$21:$N$27,$AR135)*$AS135*其他调用!Z134</f>
        <v>7534.7231771549132</v>
      </c>
      <c r="BD135" s="52">
        <f>求节点(E$21:E$27,$O$21:$O$27,$AR135)*$AS135*其他调用!V134</f>
        <v>0</v>
      </c>
      <c r="BE135" s="52">
        <f>求节点(F$21:F$27,$O$21:$O$27,$AR135)*$AS135*其他调用!W134</f>
        <v>0</v>
      </c>
      <c r="BF135" s="52">
        <f>求节点(G$21:G$27,$O$21:$O$27,$AR135)*$AS135*其他调用!X134</f>
        <v>0</v>
      </c>
      <c r="BG135" s="52">
        <f>求节点(H$21:H$27,$O$21:$O$27,$AR135)*$AS135*其他调用!Y134</f>
        <v>0</v>
      </c>
      <c r="BH135" s="52">
        <f>求节点(I$21:I$27,$O$21:$O$27,$AR135)*$AS135*其他调用!Z134</f>
        <v>0</v>
      </c>
      <c r="BK135" s="31">
        <v>131</v>
      </c>
      <c r="BL135" s="31">
        <f>SUM(AT$5:AT135)</f>
        <v>946.27439936474923</v>
      </c>
      <c r="BM135" s="31">
        <f>SUM(AU$5:AU135)</f>
        <v>1112.8936350179583</v>
      </c>
      <c r="BN135" s="31">
        <f>SUM(AV$5:AV135)</f>
        <v>1078.1579698345183</v>
      </c>
      <c r="BO135" s="31">
        <f>SUM(AW$5:AW135)</f>
        <v>704.96766450982125</v>
      </c>
      <c r="BP135" s="31">
        <f>SUM(AX$5:AX135)</f>
        <v>333.4630769439176</v>
      </c>
      <c r="BQ135" s="31">
        <f>SUM(AY$5:AY135)</f>
        <v>190823.29317728395</v>
      </c>
      <c r="BR135" s="31">
        <f>SUM(AZ$5:AZ135)</f>
        <v>236009.66953978018</v>
      </c>
      <c r="BS135" s="31">
        <f>SUM(BA$5:BA135)</f>
        <v>256261.59395847627</v>
      </c>
      <c r="BT135" s="31">
        <f>SUM(BB$5:BB135)</f>
        <v>207751.75103553489</v>
      </c>
      <c r="BU135" s="31">
        <f>SUM(BC$5:BC135)</f>
        <v>111332.41439785222</v>
      </c>
      <c r="BV135" s="31">
        <f>SUM(BD$5:BD135)</f>
        <v>0</v>
      </c>
      <c r="BW135" s="31">
        <f>SUM(BE$5:BE135)</f>
        <v>0</v>
      </c>
      <c r="BX135" s="31">
        <f>SUM(BF$5:BF135)</f>
        <v>0</v>
      </c>
      <c r="BY135" s="31">
        <f>SUM(BG$5:BG135)</f>
        <v>0</v>
      </c>
      <c r="BZ135" s="31">
        <f>SUM(BH$5:BH135)</f>
        <v>0</v>
      </c>
      <c r="CC135" s="41">
        <v>131</v>
      </c>
      <c r="CD135" s="41">
        <f t="shared" si="74"/>
        <v>6721.3976091763516</v>
      </c>
      <c r="CE135" s="41">
        <f t="shared" si="75"/>
        <v>8310.4186474681155</v>
      </c>
      <c r="CF135" s="41">
        <f t="shared" si="76"/>
        <v>9017.6728971892207</v>
      </c>
      <c r="CG135" s="41">
        <f t="shared" si="77"/>
        <v>7303.0348311466632</v>
      </c>
      <c r="CH135" s="41">
        <f t="shared" si="78"/>
        <v>3911.6403423873039</v>
      </c>
      <c r="CI135" s="41">
        <f t="shared" si="79"/>
        <v>2867.0807696560832</v>
      </c>
      <c r="CJ135" s="41">
        <f t="shared" si="80"/>
        <v>3545.7095112717921</v>
      </c>
      <c r="CK135" s="41">
        <f t="shared" si="81"/>
        <v>3849.3146992263164</v>
      </c>
      <c r="CL135" s="41">
        <f t="shared" si="82"/>
        <v>3119.8011038555724</v>
      </c>
      <c r="CM135" s="41">
        <f t="shared" si="83"/>
        <v>1671.653531352503</v>
      </c>
      <c r="CN135" s="41">
        <f t="shared" si="84"/>
        <v>0</v>
      </c>
      <c r="CO135" s="41">
        <f t="shared" si="85"/>
        <v>0</v>
      </c>
      <c r="CP135" s="41">
        <f t="shared" si="86"/>
        <v>0</v>
      </c>
      <c r="CQ135" s="41">
        <f t="shared" si="87"/>
        <v>0</v>
      </c>
      <c r="CR135" s="41">
        <f t="shared" si="88"/>
        <v>0</v>
      </c>
    </row>
    <row r="136" spans="23:96" x14ac:dyDescent="0.15">
      <c r="W136" s="117">
        <v>1.05</v>
      </c>
      <c r="X136" s="31">
        <v>132</v>
      </c>
      <c r="Y136" s="113">
        <f t="shared" si="89"/>
        <v>250.63831867415581</v>
      </c>
      <c r="Z136" s="42">
        <f t="shared" si="72"/>
        <v>0.12</v>
      </c>
      <c r="AA136" s="113">
        <f>$Y136*$Z136*其他调用!V135</f>
        <v>871853.24377897196</v>
      </c>
      <c r="AB136" s="113">
        <f>$Y136*$Z136*其他调用!W135</f>
        <v>1088101.8809437074</v>
      </c>
      <c r="AC136" s="113">
        <f>$Y136*$Z136*其他调用!X135</f>
        <v>1221393.2483125606</v>
      </c>
      <c r="AD136" s="113">
        <f>$Y136*$Z136*其他调用!Y135</f>
        <v>923871.89102043991</v>
      </c>
      <c r="AE136" s="113">
        <f>$Y136*$Z136*其他调用!Z135</f>
        <v>471030.29890508816</v>
      </c>
      <c r="AH136" s="31">
        <v>132</v>
      </c>
      <c r="AI136" s="31">
        <f>SUM(AA$5:AA136)</f>
        <v>7826529.5722228652</v>
      </c>
      <c r="AJ136" s="31">
        <f>SUM(AB$5:AB136)</f>
        <v>9667482.4453735985</v>
      </c>
      <c r="AK136" s="31">
        <f>SUM(AC$5:AC136)</f>
        <v>10515228.395021016</v>
      </c>
      <c r="AL136" s="31">
        <f>SUM(AD$5:AD136)</f>
        <v>8449235.8204236217</v>
      </c>
      <c r="AM136" s="31">
        <f>SUM(AE$5:AE136)</f>
        <v>4495111.3566595409</v>
      </c>
      <c r="AR136" s="31">
        <v>132</v>
      </c>
      <c r="AS136" s="42">
        <f t="shared" si="73"/>
        <v>8.0000000000000016E-2</v>
      </c>
      <c r="AT136" s="52">
        <f>求节点(E$21:E$27,$M$21:$M$27,$AR136)*$AS136*其他调用!V135</f>
        <v>0</v>
      </c>
      <c r="AU136" s="52">
        <f>求节点(F$21:F$27,$M$21:$M$27,$AR136)*$AS136*其他调用!W135</f>
        <v>0</v>
      </c>
      <c r="AV136" s="52">
        <f>求节点(G$21:G$27,$M$21:$M$27,$AR136)*$AS136*其他调用!X135</f>
        <v>0</v>
      </c>
      <c r="AW136" s="52">
        <f>求节点(H$21:H$27,$M$21:$M$27,$AR136)*$AS136*其他调用!Y135</f>
        <v>0</v>
      </c>
      <c r="AX136" s="52">
        <f>求节点(I$21:I$27,$M$21:$M$27,$AR136)*$AS136*其他调用!Z135</f>
        <v>0</v>
      </c>
      <c r="AY136" s="52">
        <f>求节点(E$21:E$27,$N$21:$N$27,$AR136)*$AS136*其他调用!V135</f>
        <v>13914.125316367627</v>
      </c>
      <c r="AZ136" s="52">
        <f>求节点(F$21:F$27,$N$21:$N$27,$AR136)*$AS136*其他调用!W135</f>
        <v>17365.291735112576</v>
      </c>
      <c r="BA136" s="52">
        <f>求节点(G$21:G$27,$N$21:$N$27,$AR136)*$AS136*其他调用!X135</f>
        <v>19492.522209270675</v>
      </c>
      <c r="BB136" s="52">
        <f>求节点(H$21:H$27,$N$21:$N$27,$AR136)*$AS136*其他调用!Y135</f>
        <v>14744.303998009602</v>
      </c>
      <c r="BC136" s="52">
        <f>求节点(I$21:I$27,$N$21:$N$27,$AR136)*$AS136*其他调用!Z135</f>
        <v>7517.2910733965564</v>
      </c>
      <c r="BD136" s="52">
        <f>求节点(E$21:E$27,$O$21:$O$27,$AR136)*$AS136*其他调用!V135</f>
        <v>0</v>
      </c>
      <c r="BE136" s="52">
        <f>求节点(F$21:F$27,$O$21:$O$27,$AR136)*$AS136*其他调用!W135</f>
        <v>0</v>
      </c>
      <c r="BF136" s="52">
        <f>求节点(G$21:G$27,$O$21:$O$27,$AR136)*$AS136*其他调用!X135</f>
        <v>0</v>
      </c>
      <c r="BG136" s="52">
        <f>求节点(H$21:H$27,$O$21:$O$27,$AR136)*$AS136*其他调用!Y135</f>
        <v>0</v>
      </c>
      <c r="BH136" s="52">
        <f>求节点(I$21:I$27,$O$21:$O$27,$AR136)*$AS136*其他调用!Z135</f>
        <v>0</v>
      </c>
      <c r="BK136" s="31">
        <v>132</v>
      </c>
      <c r="BL136" s="31">
        <f>SUM(AT$5:AT136)</f>
        <v>946.27439936474923</v>
      </c>
      <c r="BM136" s="31">
        <f>SUM(AU$5:AU136)</f>
        <v>1112.8936350179583</v>
      </c>
      <c r="BN136" s="31">
        <f>SUM(AV$5:AV136)</f>
        <v>1078.1579698345183</v>
      </c>
      <c r="BO136" s="31">
        <f>SUM(AW$5:AW136)</f>
        <v>704.96766450982125</v>
      </c>
      <c r="BP136" s="31">
        <f>SUM(AX$5:AX136)</f>
        <v>333.4630769439176</v>
      </c>
      <c r="BQ136" s="31">
        <f>SUM(AY$5:AY136)</f>
        <v>204737.41849365158</v>
      </c>
      <c r="BR136" s="31">
        <f>SUM(AZ$5:AZ136)</f>
        <v>253374.96127489276</v>
      </c>
      <c r="BS136" s="31">
        <f>SUM(BA$5:BA136)</f>
        <v>275754.11616774695</v>
      </c>
      <c r="BT136" s="31">
        <f>SUM(BB$5:BB136)</f>
        <v>222496.05503354449</v>
      </c>
      <c r="BU136" s="31">
        <f>SUM(BC$5:BC136)</f>
        <v>118849.70547124877</v>
      </c>
      <c r="BV136" s="31">
        <f>SUM(BD$5:BD136)</f>
        <v>0</v>
      </c>
      <c r="BW136" s="31">
        <f>SUM(BE$5:BE136)</f>
        <v>0</v>
      </c>
      <c r="BX136" s="31">
        <f>SUM(BF$5:BF136)</f>
        <v>0</v>
      </c>
      <c r="BY136" s="31">
        <f>SUM(BG$5:BG136)</f>
        <v>0</v>
      </c>
      <c r="BZ136" s="31">
        <f>SUM(BH$5:BH136)</f>
        <v>0</v>
      </c>
      <c r="CC136" s="41">
        <v>132</v>
      </c>
      <c r="CD136" s="41">
        <f t="shared" si="74"/>
        <v>7208.3919952492188</v>
      </c>
      <c r="CE136" s="41">
        <f t="shared" si="75"/>
        <v>8918.2038581970555</v>
      </c>
      <c r="CF136" s="41">
        <f t="shared" si="76"/>
        <v>9699.9111745136943</v>
      </c>
      <c r="CG136" s="41">
        <f t="shared" si="77"/>
        <v>7819.0854710769981</v>
      </c>
      <c r="CH136" s="41">
        <f t="shared" si="78"/>
        <v>4174.7455299561825</v>
      </c>
      <c r="CI136" s="41">
        <f t="shared" si="79"/>
        <v>3075.7926494015974</v>
      </c>
      <c r="CJ136" s="41">
        <f t="shared" si="80"/>
        <v>3806.1888872984809</v>
      </c>
      <c r="CK136" s="41">
        <f t="shared" si="81"/>
        <v>4141.702532365377</v>
      </c>
      <c r="CL136" s="41">
        <f t="shared" si="82"/>
        <v>3340.9656638257161</v>
      </c>
      <c r="CM136" s="41">
        <f t="shared" si="83"/>
        <v>1784.4128974534513</v>
      </c>
      <c r="CN136" s="41">
        <f t="shared" si="84"/>
        <v>0</v>
      </c>
      <c r="CO136" s="41">
        <f t="shared" si="85"/>
        <v>0</v>
      </c>
      <c r="CP136" s="41">
        <f t="shared" si="86"/>
        <v>0</v>
      </c>
      <c r="CQ136" s="41">
        <f t="shared" si="87"/>
        <v>0</v>
      </c>
      <c r="CR136" s="41">
        <f t="shared" si="88"/>
        <v>0</v>
      </c>
    </row>
    <row r="137" spans="23:96" x14ac:dyDescent="0.15">
      <c r="W137" s="117">
        <v>1.05</v>
      </c>
      <c r="X137" s="31">
        <v>133</v>
      </c>
      <c r="Y137" s="113">
        <f t="shared" si="89"/>
        <v>263.17023460786362</v>
      </c>
      <c r="Z137" s="42">
        <f t="shared" si="72"/>
        <v>0.12</v>
      </c>
      <c r="AA137" s="113">
        <f>$Y137*$Z137*其他调用!V136</f>
        <v>981150.62840393768</v>
      </c>
      <c r="AB137" s="113">
        <f>$Y137*$Z137*其他调用!W136</f>
        <v>1225366.1880084542</v>
      </c>
      <c r="AC137" s="113">
        <f>$Y137*$Z137*其他调用!X136</f>
        <v>1262661.6765272666</v>
      </c>
      <c r="AD137" s="113">
        <f>$Y137*$Z137*其他调用!Y136</f>
        <v>972546.80354539293</v>
      </c>
      <c r="AE137" s="113">
        <f>$Y137*$Z137*其他调用!Z136</f>
        <v>507761.38477434654</v>
      </c>
      <c r="AH137" s="31">
        <v>133</v>
      </c>
      <c r="AI137" s="31">
        <f>SUM(AA$5:AA137)</f>
        <v>8807680.2006268036</v>
      </c>
      <c r="AJ137" s="31">
        <f>SUM(AB$5:AB137)</f>
        <v>10892848.633382052</v>
      </c>
      <c r="AK137" s="31">
        <f>SUM(AC$5:AC137)</f>
        <v>11777890.071548283</v>
      </c>
      <c r="AL137" s="31">
        <f>SUM(AD$5:AD137)</f>
        <v>9421782.6239690147</v>
      </c>
      <c r="AM137" s="31">
        <f>SUM(AE$5:AE137)</f>
        <v>5002872.7414338877</v>
      </c>
      <c r="AR137" s="31">
        <v>133</v>
      </c>
      <c r="AS137" s="42">
        <f t="shared" si="73"/>
        <v>8.0000000000000016E-2</v>
      </c>
      <c r="AT137" s="52">
        <f>求节点(E$21:E$27,$M$21:$M$27,$AR137)*$AS137*其他调用!V136</f>
        <v>0</v>
      </c>
      <c r="AU137" s="52">
        <f>求节点(F$21:F$27,$M$21:$M$27,$AR137)*$AS137*其他调用!W136</f>
        <v>0</v>
      </c>
      <c r="AV137" s="52">
        <f>求节点(G$21:G$27,$M$21:$M$27,$AR137)*$AS137*其他调用!X136</f>
        <v>0</v>
      </c>
      <c r="AW137" s="52">
        <f>求节点(H$21:H$27,$M$21:$M$27,$AR137)*$AS137*其他调用!Y136</f>
        <v>0</v>
      </c>
      <c r="AX137" s="52">
        <f>求节点(I$21:I$27,$M$21:$M$27,$AR137)*$AS137*其他调用!Z136</f>
        <v>0</v>
      </c>
      <c r="AY137" s="52">
        <f>求节点(E$21:E$27,$N$21:$N$27,$AR137)*$AS137*其他调用!V136</f>
        <v>14912.790268487617</v>
      </c>
      <c r="AZ137" s="52">
        <f>求节点(F$21:F$27,$N$21:$N$27,$AR137)*$AS137*其他调用!W136</f>
        <v>18624.692717765891</v>
      </c>
      <c r="BA137" s="52">
        <f>求节点(G$21:G$27,$N$21:$N$27,$AR137)*$AS137*其他调用!X136</f>
        <v>19191.557562103386</v>
      </c>
      <c r="BB137" s="52">
        <f>求节点(H$21:H$27,$N$21:$N$27,$AR137)*$AS137*其他调用!Y136</f>
        <v>14782.018262734537</v>
      </c>
      <c r="BC137" s="52">
        <f>求节点(I$21:I$27,$N$21:$N$27,$AR137)*$AS137*其他调用!Z136</f>
        <v>7717.6111581301848</v>
      </c>
      <c r="BD137" s="52">
        <f>求节点(E$21:E$27,$O$21:$O$27,$AR137)*$AS137*其他调用!V136</f>
        <v>0</v>
      </c>
      <c r="BE137" s="52">
        <f>求节点(F$21:F$27,$O$21:$O$27,$AR137)*$AS137*其他调用!W136</f>
        <v>0</v>
      </c>
      <c r="BF137" s="52">
        <f>求节点(G$21:G$27,$O$21:$O$27,$AR137)*$AS137*其他调用!X136</f>
        <v>0</v>
      </c>
      <c r="BG137" s="52">
        <f>求节点(H$21:H$27,$O$21:$O$27,$AR137)*$AS137*其他调用!Y136</f>
        <v>0</v>
      </c>
      <c r="BH137" s="52">
        <f>求节点(I$21:I$27,$O$21:$O$27,$AR137)*$AS137*其他调用!Z136</f>
        <v>0</v>
      </c>
      <c r="BK137" s="31">
        <v>133</v>
      </c>
      <c r="BL137" s="31">
        <f>SUM(AT$5:AT137)</f>
        <v>946.27439936474923</v>
      </c>
      <c r="BM137" s="31">
        <f>SUM(AU$5:AU137)</f>
        <v>1112.8936350179583</v>
      </c>
      <c r="BN137" s="31">
        <f>SUM(AV$5:AV137)</f>
        <v>1078.1579698345183</v>
      </c>
      <c r="BO137" s="31">
        <f>SUM(AW$5:AW137)</f>
        <v>704.96766450982125</v>
      </c>
      <c r="BP137" s="31">
        <f>SUM(AX$5:AX137)</f>
        <v>333.4630769439176</v>
      </c>
      <c r="BQ137" s="31">
        <f>SUM(AY$5:AY137)</f>
        <v>219650.2087621392</v>
      </c>
      <c r="BR137" s="31">
        <f>SUM(AZ$5:AZ137)</f>
        <v>271999.65399265866</v>
      </c>
      <c r="BS137" s="31">
        <f>SUM(BA$5:BA137)</f>
        <v>294945.67372985033</v>
      </c>
      <c r="BT137" s="31">
        <f>SUM(BB$5:BB137)</f>
        <v>237278.07329627904</v>
      </c>
      <c r="BU137" s="31">
        <f>SUM(BC$5:BC137)</f>
        <v>126567.31662937895</v>
      </c>
      <c r="BV137" s="31">
        <f>SUM(BD$5:BD137)</f>
        <v>0</v>
      </c>
      <c r="BW137" s="31">
        <f>SUM(BE$5:BE137)</f>
        <v>0</v>
      </c>
      <c r="BX137" s="31">
        <f>SUM(BF$5:BF137)</f>
        <v>0</v>
      </c>
      <c r="BY137" s="31">
        <f>SUM(BG$5:BG137)</f>
        <v>0</v>
      </c>
      <c r="BZ137" s="31">
        <f>SUM(BH$5:BH137)</f>
        <v>0</v>
      </c>
      <c r="CC137" s="41">
        <v>133</v>
      </c>
      <c r="CD137" s="41">
        <f t="shared" si="74"/>
        <v>7730.3396546462845</v>
      </c>
      <c r="CE137" s="41">
        <f t="shared" si="75"/>
        <v>9570.0681033188612</v>
      </c>
      <c r="CF137" s="41">
        <f t="shared" si="76"/>
        <v>10371.615689187314</v>
      </c>
      <c r="CG137" s="41">
        <f t="shared" si="77"/>
        <v>8336.4561102727075</v>
      </c>
      <c r="CH137" s="41">
        <f t="shared" si="78"/>
        <v>4444.8619204907391</v>
      </c>
      <c r="CI137" s="41">
        <f t="shared" si="79"/>
        <v>3299.4845034289115</v>
      </c>
      <c r="CJ137" s="41">
        <f t="shared" si="80"/>
        <v>4085.5592780649699</v>
      </c>
      <c r="CK137" s="41">
        <f t="shared" si="81"/>
        <v>4429.5758957969283</v>
      </c>
      <c r="CL137" s="41">
        <f t="shared" si="82"/>
        <v>3562.6959377667345</v>
      </c>
      <c r="CM137" s="41">
        <f t="shared" si="83"/>
        <v>1900.1770648254042</v>
      </c>
      <c r="CN137" s="41">
        <f t="shared" si="84"/>
        <v>0</v>
      </c>
      <c r="CO137" s="41">
        <f t="shared" si="85"/>
        <v>0</v>
      </c>
      <c r="CP137" s="41">
        <f t="shared" si="86"/>
        <v>0</v>
      </c>
      <c r="CQ137" s="41">
        <f t="shared" si="87"/>
        <v>0</v>
      </c>
      <c r="CR137" s="41">
        <f t="shared" si="88"/>
        <v>0</v>
      </c>
    </row>
    <row r="138" spans="23:96" x14ac:dyDescent="0.15">
      <c r="W138" s="117">
        <v>1.05</v>
      </c>
      <c r="X138" s="31">
        <v>134</v>
      </c>
      <c r="Y138" s="113">
        <f t="shared" si="89"/>
        <v>276.32874633825679</v>
      </c>
      <c r="Z138" s="42">
        <f t="shared" si="72"/>
        <v>0.12</v>
      </c>
      <c r="AA138" s="113">
        <f>$Y138*$Z138*其他调用!V137</f>
        <v>1104149.7665878301</v>
      </c>
      <c r="AB138" s="113">
        <f>$Y138*$Z138*其他调用!W137</f>
        <v>1307907.1586573671</v>
      </c>
      <c r="AC138" s="113">
        <f>$Y138*$Z138*其他调用!X137</f>
        <v>1332003.4167231871</v>
      </c>
      <c r="AD138" s="113">
        <f>$Y138*$Z138*其他调用!Y137</f>
        <v>1087791.3805642049</v>
      </c>
      <c r="AE138" s="113">
        <f>$Y138*$Z138*其他调用!Z137</f>
        <v>611263.14109019958</v>
      </c>
      <c r="AH138" s="31">
        <v>134</v>
      </c>
      <c r="AI138" s="31">
        <f>SUM(AA$5:AA138)</f>
        <v>9911829.9672146328</v>
      </c>
      <c r="AJ138" s="31">
        <f>SUM(AB$5:AB138)</f>
        <v>12200755.792039419</v>
      </c>
      <c r="AK138" s="31">
        <f>SUM(AC$5:AC138)</f>
        <v>13109893.488271471</v>
      </c>
      <c r="AL138" s="31">
        <f>SUM(AD$5:AD138)</f>
        <v>10509574.00453322</v>
      </c>
      <c r="AM138" s="31">
        <f>SUM(AE$5:AE138)</f>
        <v>5614135.8825240871</v>
      </c>
      <c r="AR138" s="31">
        <v>134</v>
      </c>
      <c r="AS138" s="42">
        <f t="shared" si="73"/>
        <v>8.0000000000000016E-2</v>
      </c>
      <c r="AT138" s="52">
        <f>求节点(E$21:E$27,$M$21:$M$27,$AR138)*$AS138*其他调用!V137</f>
        <v>0</v>
      </c>
      <c r="AU138" s="52">
        <f>求节点(F$21:F$27,$M$21:$M$27,$AR138)*$AS138*其他调用!W137</f>
        <v>0</v>
      </c>
      <c r="AV138" s="52">
        <f>求节点(G$21:G$27,$M$21:$M$27,$AR138)*$AS138*其他调用!X137</f>
        <v>0</v>
      </c>
      <c r="AW138" s="52">
        <f>求节点(H$21:H$27,$M$21:$M$27,$AR138)*$AS138*其他调用!Y137</f>
        <v>0</v>
      </c>
      <c r="AX138" s="52">
        <f>求节点(I$21:I$27,$M$21:$M$27,$AR138)*$AS138*其他调用!Z137</f>
        <v>0</v>
      </c>
      <c r="AY138" s="52">
        <f>求节点(E$21:E$27,$N$21:$N$27,$AR138)*$AS138*其他调用!V137</f>
        <v>15983.132862134142</v>
      </c>
      <c r="AZ138" s="52">
        <f>求节点(F$21:F$27,$N$21:$N$27,$AR138)*$AS138*其他调用!W137</f>
        <v>18932.625374507294</v>
      </c>
      <c r="BA138" s="52">
        <f>求节点(G$21:G$27,$N$21:$N$27,$AR138)*$AS138*其他调用!X137</f>
        <v>19281.431040007235</v>
      </c>
      <c r="BB138" s="52">
        <f>求节点(H$21:H$27,$N$21:$N$27,$AR138)*$AS138*其他调用!Y137</f>
        <v>15746.336853895451</v>
      </c>
      <c r="BC138" s="52">
        <f>求节点(I$21:I$27,$N$21:$N$27,$AR138)*$AS138*其他调用!Z137</f>
        <v>8848.3467491571992</v>
      </c>
      <c r="BD138" s="52">
        <f>求节点(E$21:E$27,$O$21:$O$27,$AR138)*$AS138*其他调用!V137</f>
        <v>0</v>
      </c>
      <c r="BE138" s="52">
        <f>求节点(F$21:F$27,$O$21:$O$27,$AR138)*$AS138*其他调用!W137</f>
        <v>0</v>
      </c>
      <c r="BF138" s="52">
        <f>求节点(G$21:G$27,$O$21:$O$27,$AR138)*$AS138*其他调用!X137</f>
        <v>0</v>
      </c>
      <c r="BG138" s="52">
        <f>求节点(H$21:H$27,$O$21:$O$27,$AR138)*$AS138*其他调用!Y137</f>
        <v>0</v>
      </c>
      <c r="BH138" s="52">
        <f>求节点(I$21:I$27,$O$21:$O$27,$AR138)*$AS138*其他调用!Z137</f>
        <v>0</v>
      </c>
      <c r="BK138" s="31">
        <v>134</v>
      </c>
      <c r="BL138" s="31">
        <f>SUM(AT$5:AT138)</f>
        <v>946.27439936474923</v>
      </c>
      <c r="BM138" s="31">
        <f>SUM(AU$5:AU138)</f>
        <v>1112.8936350179583</v>
      </c>
      <c r="BN138" s="31">
        <f>SUM(AV$5:AV138)</f>
        <v>1078.1579698345183</v>
      </c>
      <c r="BO138" s="31">
        <f>SUM(AW$5:AW138)</f>
        <v>704.96766450982125</v>
      </c>
      <c r="BP138" s="31">
        <f>SUM(AX$5:AX138)</f>
        <v>333.4630769439176</v>
      </c>
      <c r="BQ138" s="31">
        <f>SUM(AY$5:AY138)</f>
        <v>235633.34162427334</v>
      </c>
      <c r="BR138" s="31">
        <f>SUM(AZ$5:AZ138)</f>
        <v>290932.27936716593</v>
      </c>
      <c r="BS138" s="31">
        <f>SUM(BA$5:BA138)</f>
        <v>314227.10476985754</v>
      </c>
      <c r="BT138" s="31">
        <f>SUM(BB$5:BB138)</f>
        <v>253024.41015017449</v>
      </c>
      <c r="BU138" s="31">
        <f>SUM(BC$5:BC138)</f>
        <v>135415.66337853615</v>
      </c>
      <c r="BV138" s="31">
        <f>SUM(BD$5:BD138)</f>
        <v>0</v>
      </c>
      <c r="BW138" s="31">
        <f>SUM(BE$5:BE138)</f>
        <v>0</v>
      </c>
      <c r="BX138" s="31">
        <f>SUM(BF$5:BF138)</f>
        <v>0</v>
      </c>
      <c r="BY138" s="31">
        <f>SUM(BG$5:BG138)</f>
        <v>0</v>
      </c>
      <c r="BZ138" s="31">
        <f>SUM(BH$5:BH138)</f>
        <v>0</v>
      </c>
      <c r="CC138" s="41">
        <v>134</v>
      </c>
      <c r="CD138" s="41">
        <f t="shared" si="74"/>
        <v>8289.7493048209799</v>
      </c>
      <c r="CE138" s="41">
        <f t="shared" si="75"/>
        <v>10232.709991426616</v>
      </c>
      <c r="CF138" s="41">
        <f t="shared" si="76"/>
        <v>11046.465775587567</v>
      </c>
      <c r="CG138" s="41">
        <f t="shared" si="77"/>
        <v>8887.577900159049</v>
      </c>
      <c r="CH138" s="41">
        <f t="shared" si="78"/>
        <v>4754.5540567112412</v>
      </c>
      <c r="CI138" s="41">
        <f t="shared" si="79"/>
        <v>3539.2314963609233</v>
      </c>
      <c r="CJ138" s="41">
        <f t="shared" si="80"/>
        <v>4369.5486586825782</v>
      </c>
      <c r="CK138" s="41">
        <f t="shared" si="81"/>
        <v>4718.7973613970362</v>
      </c>
      <c r="CL138" s="41">
        <f t="shared" si="82"/>
        <v>3798.8909905751657</v>
      </c>
      <c r="CM138" s="41">
        <f t="shared" si="83"/>
        <v>2032.902266062762</v>
      </c>
      <c r="CN138" s="41">
        <f t="shared" si="84"/>
        <v>0</v>
      </c>
      <c r="CO138" s="41">
        <f t="shared" si="85"/>
        <v>0</v>
      </c>
      <c r="CP138" s="41">
        <f t="shared" si="86"/>
        <v>0</v>
      </c>
      <c r="CQ138" s="41">
        <f t="shared" si="87"/>
        <v>0</v>
      </c>
      <c r="CR138" s="41">
        <f t="shared" si="88"/>
        <v>0</v>
      </c>
    </row>
    <row r="139" spans="23:96" x14ac:dyDescent="0.15">
      <c r="W139" s="117">
        <v>1.05</v>
      </c>
      <c r="X139" s="31">
        <v>135</v>
      </c>
      <c r="Y139" s="113">
        <f t="shared" si="89"/>
        <v>290.14518365516966</v>
      </c>
      <c r="Z139" s="42">
        <f t="shared" si="72"/>
        <v>0.12</v>
      </c>
      <c r="AA139" s="113">
        <f>$Y139*$Z139*其他调用!V138</f>
        <v>1242568.3394192287</v>
      </c>
      <c r="AB139" s="113">
        <f>$Y139*$Z139*其他调用!W138</f>
        <v>1467525.204764944</v>
      </c>
      <c r="AC139" s="113">
        <f>$Y139*$Z139*其他调用!X138</f>
        <v>1620055.6115091059</v>
      </c>
      <c r="AD139" s="113">
        <f>$Y139*$Z139*其他调用!Y138</f>
        <v>1328813.3871170068</v>
      </c>
      <c r="AE139" s="113">
        <f>$Y139*$Z139*其他调用!Z138</f>
        <v>727766.20439364214</v>
      </c>
      <c r="AH139" s="31">
        <v>135</v>
      </c>
      <c r="AI139" s="31">
        <f>SUM(AA$5:AA139)</f>
        <v>11154398.306633862</v>
      </c>
      <c r="AJ139" s="31">
        <f>SUM(AB$5:AB139)</f>
        <v>13668280.996804362</v>
      </c>
      <c r="AK139" s="31">
        <f>SUM(AC$5:AC139)</f>
        <v>14729949.099780576</v>
      </c>
      <c r="AL139" s="31">
        <f>SUM(AD$5:AD139)</f>
        <v>11838387.391650226</v>
      </c>
      <c r="AM139" s="31">
        <f>SUM(AE$5:AE139)</f>
        <v>6341902.0869177291</v>
      </c>
      <c r="AR139" s="31">
        <v>135</v>
      </c>
      <c r="AS139" s="42">
        <f t="shared" si="73"/>
        <v>8.0000000000000016E-2</v>
      </c>
      <c r="AT139" s="52">
        <f>求节点(E$21:E$27,$M$21:$M$27,$AR139)*$AS139*其他调用!V138</f>
        <v>0</v>
      </c>
      <c r="AU139" s="52">
        <f>求节点(F$21:F$27,$M$21:$M$27,$AR139)*$AS139*其他调用!W138</f>
        <v>0</v>
      </c>
      <c r="AV139" s="52">
        <f>求节点(G$21:G$27,$M$21:$M$27,$AR139)*$AS139*其他调用!X138</f>
        <v>0</v>
      </c>
      <c r="AW139" s="52">
        <f>求节点(H$21:H$27,$M$21:$M$27,$AR139)*$AS139*其他调用!Y138</f>
        <v>0</v>
      </c>
      <c r="AX139" s="52">
        <f>求节点(I$21:I$27,$M$21:$M$27,$AR139)*$AS139*其他调用!Z138</f>
        <v>0</v>
      </c>
      <c r="AY139" s="52">
        <f>求节点(E$21:E$27,$N$21:$N$27,$AR139)*$AS139*其他调用!V138</f>
        <v>17130.29764982748</v>
      </c>
      <c r="AZ139" s="52">
        <f>求节点(F$21:F$27,$N$21:$N$27,$AR139)*$AS139*其他调用!W138</f>
        <v>20231.598350556273</v>
      </c>
      <c r="BA139" s="52">
        <f>求节点(G$21:G$27,$N$21:$N$27,$AR139)*$AS139*其他调用!X138</f>
        <v>22334.413290616631</v>
      </c>
      <c r="BB139" s="52">
        <f>求节点(H$21:H$27,$N$21:$N$27,$AR139)*$AS139*其他调用!Y138</f>
        <v>18319.28926583553</v>
      </c>
      <c r="BC139" s="52">
        <f>求节点(I$21:I$27,$N$21:$N$27,$AR139)*$AS139*其他调用!Z138</f>
        <v>10033.131623629837</v>
      </c>
      <c r="BD139" s="52">
        <f>求节点(E$21:E$27,$O$21:$O$27,$AR139)*$AS139*其他调用!V138</f>
        <v>0</v>
      </c>
      <c r="BE139" s="52">
        <f>求节点(F$21:F$27,$O$21:$O$27,$AR139)*$AS139*其他调用!W138</f>
        <v>0</v>
      </c>
      <c r="BF139" s="52">
        <f>求节点(G$21:G$27,$O$21:$O$27,$AR139)*$AS139*其他调用!X138</f>
        <v>0</v>
      </c>
      <c r="BG139" s="52">
        <f>求节点(H$21:H$27,$O$21:$O$27,$AR139)*$AS139*其他调用!Y138</f>
        <v>0</v>
      </c>
      <c r="BH139" s="52">
        <f>求节点(I$21:I$27,$O$21:$O$27,$AR139)*$AS139*其他调用!Z138</f>
        <v>0</v>
      </c>
      <c r="BK139" s="31">
        <v>135</v>
      </c>
      <c r="BL139" s="31">
        <f>SUM(AT$5:AT139)</f>
        <v>946.27439936474923</v>
      </c>
      <c r="BM139" s="31">
        <f>SUM(AU$5:AU139)</f>
        <v>1112.8936350179583</v>
      </c>
      <c r="BN139" s="31">
        <f>SUM(AV$5:AV139)</f>
        <v>1078.1579698345183</v>
      </c>
      <c r="BO139" s="31">
        <f>SUM(AW$5:AW139)</f>
        <v>704.96766450982125</v>
      </c>
      <c r="BP139" s="31">
        <f>SUM(AX$5:AX139)</f>
        <v>333.4630769439176</v>
      </c>
      <c r="BQ139" s="31">
        <f>SUM(AY$5:AY139)</f>
        <v>252763.63927410083</v>
      </c>
      <c r="BR139" s="31">
        <f>SUM(AZ$5:AZ139)</f>
        <v>311163.87771772221</v>
      </c>
      <c r="BS139" s="31">
        <f>SUM(BA$5:BA139)</f>
        <v>336561.51806047419</v>
      </c>
      <c r="BT139" s="31">
        <f>SUM(BB$5:BB139)</f>
        <v>271343.69941601</v>
      </c>
      <c r="BU139" s="31">
        <f>SUM(BC$5:BC139)</f>
        <v>145448.79500216598</v>
      </c>
      <c r="BV139" s="31">
        <f>SUM(BD$5:BD139)</f>
        <v>0</v>
      </c>
      <c r="BW139" s="31">
        <f>SUM(BE$5:BE139)</f>
        <v>0</v>
      </c>
      <c r="BX139" s="31">
        <f>SUM(BF$5:BF139)</f>
        <v>0</v>
      </c>
      <c r="BY139" s="31">
        <f>SUM(BG$5:BG139)</f>
        <v>0</v>
      </c>
      <c r="BZ139" s="31">
        <f>SUM(BH$5:BH139)</f>
        <v>0</v>
      </c>
      <c r="CC139" s="41">
        <v>135</v>
      </c>
      <c r="CD139" s="41">
        <f t="shared" si="74"/>
        <v>8889.3097225649417</v>
      </c>
      <c r="CE139" s="41">
        <f t="shared" si="75"/>
        <v>10940.815933696085</v>
      </c>
      <c r="CF139" s="41">
        <f t="shared" si="76"/>
        <v>11828.170240759147</v>
      </c>
      <c r="CG139" s="41">
        <f t="shared" si="77"/>
        <v>9528.7530244632908</v>
      </c>
      <c r="CH139" s="41">
        <f t="shared" si="78"/>
        <v>5105.7136635382849</v>
      </c>
      <c r="CI139" s="41">
        <f t="shared" si="79"/>
        <v>3796.185961108336</v>
      </c>
      <c r="CJ139" s="41">
        <f t="shared" si="80"/>
        <v>4673.0226339409228</v>
      </c>
      <c r="CK139" s="41">
        <f t="shared" si="81"/>
        <v>5053.8135607562854</v>
      </c>
      <c r="CL139" s="41">
        <f t="shared" si="82"/>
        <v>4073.6803295626987</v>
      </c>
      <c r="CM139" s="41">
        <f t="shared" si="83"/>
        <v>2183.3992404172095</v>
      </c>
      <c r="CN139" s="41">
        <f t="shared" si="84"/>
        <v>0</v>
      </c>
      <c r="CO139" s="41">
        <f t="shared" si="85"/>
        <v>0</v>
      </c>
      <c r="CP139" s="41">
        <f t="shared" si="86"/>
        <v>0</v>
      </c>
      <c r="CQ139" s="41">
        <f t="shared" si="87"/>
        <v>0</v>
      </c>
      <c r="CR139" s="41">
        <f t="shared" si="88"/>
        <v>0</v>
      </c>
    </row>
    <row r="140" spans="23:96" x14ac:dyDescent="0.15">
      <c r="W140" s="117">
        <v>1.05</v>
      </c>
      <c r="X140" s="31">
        <v>136</v>
      </c>
      <c r="Y140" s="113">
        <f t="shared" si="89"/>
        <v>304.65244283792816</v>
      </c>
      <c r="Z140" s="42">
        <f t="shared" si="72"/>
        <v>0.12</v>
      </c>
      <c r="AA140" s="113">
        <f>$Y140*$Z140*其他调用!V139</f>
        <v>1398339.360156151</v>
      </c>
      <c r="AB140" s="113">
        <f>$Y140*$Z140*其他调用!W139</f>
        <v>1768253.6020496141</v>
      </c>
      <c r="AC140" s="113">
        <f>$Y140*$Z140*其他调用!X139</f>
        <v>1969356.5678314462</v>
      </c>
      <c r="AD140" s="113">
        <f>$Y140*$Z140*其他调用!Y139</f>
        <v>1570198.7658078587</v>
      </c>
      <c r="AE140" s="113">
        <f>$Y140*$Z140*其他调用!Z139</f>
        <v>862329.46703654155</v>
      </c>
      <c r="AH140" s="31">
        <v>136</v>
      </c>
      <c r="AI140" s="31">
        <f>SUM(AA$5:AA140)</f>
        <v>12552737.666790012</v>
      </c>
      <c r="AJ140" s="31">
        <f>SUM(AB$5:AB140)</f>
        <v>15436534.598853976</v>
      </c>
      <c r="AK140" s="31">
        <f>SUM(AC$5:AC140)</f>
        <v>16699305.667612022</v>
      </c>
      <c r="AL140" s="31">
        <f>SUM(AD$5:AD140)</f>
        <v>13408586.157458086</v>
      </c>
      <c r="AM140" s="31">
        <f>SUM(AE$5:AE140)</f>
        <v>7204231.5539542707</v>
      </c>
      <c r="AR140" s="31">
        <v>136</v>
      </c>
      <c r="AS140" s="42">
        <f t="shared" si="73"/>
        <v>8.0000000000000016E-2</v>
      </c>
      <c r="AT140" s="52">
        <f>求节点(E$21:E$27,$M$21:$M$27,$AR140)*$AS140*其他调用!V139</f>
        <v>0</v>
      </c>
      <c r="AU140" s="52">
        <f>求节点(F$21:F$27,$M$21:$M$27,$AR140)*$AS140*其他调用!W139</f>
        <v>0</v>
      </c>
      <c r="AV140" s="52">
        <f>求节点(G$21:G$27,$M$21:$M$27,$AR140)*$AS140*其他调用!X139</f>
        <v>0</v>
      </c>
      <c r="AW140" s="52">
        <f>求节点(H$21:H$27,$M$21:$M$27,$AR140)*$AS140*其他调用!Y139</f>
        <v>0</v>
      </c>
      <c r="AX140" s="52">
        <f>求节点(I$21:I$27,$M$21:$M$27,$AR140)*$AS140*其他调用!Z139</f>
        <v>0</v>
      </c>
      <c r="AY140" s="52">
        <f>求节点(E$21:E$27,$N$21:$N$27,$AR140)*$AS140*其他调用!V139</f>
        <v>18359.798426432484</v>
      </c>
      <c r="AZ140" s="52">
        <f>求节点(F$21:F$27,$N$21:$N$27,$AR140)*$AS140*其他调用!W139</f>
        <v>23216.667302291175</v>
      </c>
      <c r="BA140" s="52">
        <f>求节点(G$21:G$27,$N$21:$N$27,$AR140)*$AS140*其他调用!X139</f>
        <v>25857.092094667671</v>
      </c>
      <c r="BB140" s="52">
        <f>求节点(H$21:H$27,$N$21:$N$27,$AR140)*$AS140*其他调用!Y139</f>
        <v>20616.263584575136</v>
      </c>
      <c r="BC140" s="52">
        <f>求节点(I$21:I$27,$N$21:$N$27,$AR140)*$AS140*其他调用!Z139</f>
        <v>11322.140850126605</v>
      </c>
      <c r="BD140" s="52">
        <f>求节点(E$21:E$27,$O$21:$O$27,$AR140)*$AS140*其他调用!V139</f>
        <v>0</v>
      </c>
      <c r="BE140" s="52">
        <f>求节点(F$21:F$27,$O$21:$O$27,$AR140)*$AS140*其他调用!W139</f>
        <v>0</v>
      </c>
      <c r="BF140" s="52">
        <f>求节点(G$21:G$27,$O$21:$O$27,$AR140)*$AS140*其他调用!X139</f>
        <v>0</v>
      </c>
      <c r="BG140" s="52">
        <f>求节点(H$21:H$27,$O$21:$O$27,$AR140)*$AS140*其他调用!Y139</f>
        <v>0</v>
      </c>
      <c r="BH140" s="52">
        <f>求节点(I$21:I$27,$O$21:$O$27,$AR140)*$AS140*其他调用!Z139</f>
        <v>0</v>
      </c>
      <c r="BK140" s="31">
        <v>136</v>
      </c>
      <c r="BL140" s="31">
        <f>SUM(AT$5:AT140)</f>
        <v>946.27439936474923</v>
      </c>
      <c r="BM140" s="31">
        <f>SUM(AU$5:AU140)</f>
        <v>1112.8936350179583</v>
      </c>
      <c r="BN140" s="31">
        <f>SUM(AV$5:AV140)</f>
        <v>1078.1579698345183</v>
      </c>
      <c r="BO140" s="31">
        <f>SUM(AW$5:AW140)</f>
        <v>704.96766450982125</v>
      </c>
      <c r="BP140" s="31">
        <f>SUM(AX$5:AX140)</f>
        <v>333.4630769439176</v>
      </c>
      <c r="BQ140" s="31">
        <f>SUM(AY$5:AY140)</f>
        <v>271123.43770053331</v>
      </c>
      <c r="BR140" s="31">
        <f>SUM(AZ$5:AZ140)</f>
        <v>334380.54502001341</v>
      </c>
      <c r="BS140" s="31">
        <f>SUM(BA$5:BA140)</f>
        <v>362418.61015514185</v>
      </c>
      <c r="BT140" s="31">
        <f>SUM(BB$5:BB140)</f>
        <v>291959.96300058515</v>
      </c>
      <c r="BU140" s="31">
        <f>SUM(BC$5:BC140)</f>
        <v>156770.93585229258</v>
      </c>
      <c r="BV140" s="31">
        <f>SUM(BD$5:BD140)</f>
        <v>0</v>
      </c>
      <c r="BW140" s="31">
        <f>SUM(BE$5:BE140)</f>
        <v>0</v>
      </c>
      <c r="BX140" s="31">
        <f>SUM(BF$5:BF140)</f>
        <v>0</v>
      </c>
      <c r="BY140" s="31">
        <f>SUM(BG$5:BG140)</f>
        <v>0</v>
      </c>
      <c r="BZ140" s="31">
        <f>SUM(BH$5:BH140)</f>
        <v>0</v>
      </c>
      <c r="CC140" s="41">
        <v>136</v>
      </c>
      <c r="CD140" s="41">
        <f t="shared" si="74"/>
        <v>9531.9026674900779</v>
      </c>
      <c r="CE140" s="41">
        <f t="shared" si="75"/>
        <v>11753.399289276278</v>
      </c>
      <c r="CF140" s="41">
        <f t="shared" si="76"/>
        <v>12733.168464072518</v>
      </c>
      <c r="CG140" s="41">
        <f t="shared" si="77"/>
        <v>10250.322249923422</v>
      </c>
      <c r="CH140" s="41">
        <f t="shared" si="78"/>
        <v>5501.9885932927154</v>
      </c>
      <c r="CI140" s="41">
        <f t="shared" si="79"/>
        <v>4071.5829375048233</v>
      </c>
      <c r="CJ140" s="41">
        <f t="shared" si="80"/>
        <v>5021.2726434752904</v>
      </c>
      <c r="CK140" s="41">
        <f t="shared" si="81"/>
        <v>5441.6699421763005</v>
      </c>
      <c r="CL140" s="41">
        <f t="shared" si="82"/>
        <v>4382.9242833313256</v>
      </c>
      <c r="CM140" s="41">
        <f t="shared" si="83"/>
        <v>2353.2313531691084</v>
      </c>
      <c r="CN140" s="41">
        <f t="shared" si="84"/>
        <v>0</v>
      </c>
      <c r="CO140" s="41">
        <f t="shared" si="85"/>
        <v>0</v>
      </c>
      <c r="CP140" s="41">
        <f t="shared" si="86"/>
        <v>0</v>
      </c>
      <c r="CQ140" s="41">
        <f t="shared" si="87"/>
        <v>0</v>
      </c>
      <c r="CR140" s="41">
        <f t="shared" si="88"/>
        <v>0</v>
      </c>
    </row>
    <row r="141" spans="23:96" x14ac:dyDescent="0.15">
      <c r="W141" s="117">
        <v>1.05</v>
      </c>
      <c r="X141" s="31">
        <v>137</v>
      </c>
      <c r="Y141" s="113">
        <f t="shared" si="89"/>
        <v>319.88506497982456</v>
      </c>
      <c r="Z141" s="42">
        <f t="shared" si="72"/>
        <v>0.12</v>
      </c>
      <c r="AA141" s="113">
        <f>$Y141*$Z141*其他调用!V140</f>
        <v>1573638.1687271141</v>
      </c>
      <c r="AB141" s="113">
        <f>$Y141*$Z141*其他调用!W140</f>
        <v>1959369.3994915644</v>
      </c>
      <c r="AC141" s="113">
        <f>$Y141*$Z141*其他调用!X140</f>
        <v>2150272.3405924761</v>
      </c>
      <c r="AD141" s="113">
        <f>$Y141*$Z141*其他调用!Y140</f>
        <v>1809509.3230659571</v>
      </c>
      <c r="AE141" s="113">
        <f>$Y141*$Z141*其他调用!Z140</f>
        <v>943446.32411817566</v>
      </c>
      <c r="AH141" s="31">
        <v>137</v>
      </c>
      <c r="AI141" s="31">
        <f>SUM(AA$5:AA141)</f>
        <v>14126375.835517127</v>
      </c>
      <c r="AJ141" s="31">
        <f>SUM(AB$5:AB141)</f>
        <v>17395903.998345539</v>
      </c>
      <c r="AK141" s="31">
        <f>SUM(AC$5:AC141)</f>
        <v>18849578.008204497</v>
      </c>
      <c r="AL141" s="31">
        <f>SUM(AD$5:AD141)</f>
        <v>15218095.480524043</v>
      </c>
      <c r="AM141" s="31">
        <f>SUM(AE$5:AE141)</f>
        <v>8147677.8780724462</v>
      </c>
      <c r="AR141" s="31">
        <v>137</v>
      </c>
      <c r="AS141" s="42">
        <f t="shared" si="73"/>
        <v>8.0000000000000016E-2</v>
      </c>
      <c r="AT141" s="52">
        <f>求节点(E$21:E$27,$M$21:$M$27,$AR141)*$AS141*其他调用!V140</f>
        <v>0</v>
      </c>
      <c r="AU141" s="52">
        <f>求节点(F$21:F$27,$M$21:$M$27,$AR141)*$AS141*其他调用!W140</f>
        <v>0</v>
      </c>
      <c r="AV141" s="52">
        <f>求节点(G$21:G$27,$M$21:$M$27,$AR141)*$AS141*其他调用!X140</f>
        <v>0</v>
      </c>
      <c r="AW141" s="52">
        <f>求节点(H$21:H$27,$M$21:$M$27,$AR141)*$AS141*其他调用!Y140</f>
        <v>0</v>
      </c>
      <c r="AX141" s="52">
        <f>求节点(I$21:I$27,$M$21:$M$27,$AR141)*$AS141*其他调用!Z140</f>
        <v>0</v>
      </c>
      <c r="AY141" s="52">
        <f>求节点(E$21:E$27,$N$21:$N$27,$AR141)*$AS141*其他调用!V140</f>
        <v>19677.544730965983</v>
      </c>
      <c r="AZ141" s="52">
        <f>求节点(F$21:F$27,$N$21:$N$27,$AR141)*$AS141*其他调用!W140</f>
        <v>24500.917535679811</v>
      </c>
      <c r="BA141" s="52">
        <f>求节点(G$21:G$27,$N$21:$N$27,$AR141)*$AS141*其他调用!X140</f>
        <v>26888.061694635177</v>
      </c>
      <c r="BB141" s="52">
        <f>求节点(H$21:H$27,$N$21:$N$27,$AR141)*$AS141*其他调用!Y140</f>
        <v>22626.993519439049</v>
      </c>
      <c r="BC141" s="52">
        <f>求节点(I$21:I$27,$N$21:$N$27,$AR141)*$AS141*其他调用!Z140</f>
        <v>11797.316316442342</v>
      </c>
      <c r="BD141" s="52">
        <f>求节点(E$21:E$27,$O$21:$O$27,$AR141)*$AS141*其他调用!V140</f>
        <v>0</v>
      </c>
      <c r="BE141" s="52">
        <f>求节点(F$21:F$27,$O$21:$O$27,$AR141)*$AS141*其他调用!W140</f>
        <v>0</v>
      </c>
      <c r="BF141" s="52">
        <f>求节点(G$21:G$27,$O$21:$O$27,$AR141)*$AS141*其他调用!X140</f>
        <v>0</v>
      </c>
      <c r="BG141" s="52">
        <f>求节点(H$21:H$27,$O$21:$O$27,$AR141)*$AS141*其他调用!Y140</f>
        <v>0</v>
      </c>
      <c r="BH141" s="52">
        <f>求节点(I$21:I$27,$O$21:$O$27,$AR141)*$AS141*其他调用!Z140</f>
        <v>0</v>
      </c>
      <c r="BK141" s="31">
        <v>137</v>
      </c>
      <c r="BL141" s="31">
        <f>SUM(AT$5:AT141)</f>
        <v>946.27439936474923</v>
      </c>
      <c r="BM141" s="31">
        <f>SUM(AU$5:AU141)</f>
        <v>1112.8936350179583</v>
      </c>
      <c r="BN141" s="31">
        <f>SUM(AV$5:AV141)</f>
        <v>1078.1579698345183</v>
      </c>
      <c r="BO141" s="31">
        <f>SUM(AW$5:AW141)</f>
        <v>704.96766450982125</v>
      </c>
      <c r="BP141" s="31">
        <f>SUM(AX$5:AX141)</f>
        <v>333.4630769439176</v>
      </c>
      <c r="BQ141" s="31">
        <f>SUM(AY$5:AY141)</f>
        <v>290800.98243149929</v>
      </c>
      <c r="BR141" s="31">
        <f>SUM(AZ$5:AZ141)</f>
        <v>358881.46255569323</v>
      </c>
      <c r="BS141" s="31">
        <f>SUM(BA$5:BA141)</f>
        <v>389306.67184977705</v>
      </c>
      <c r="BT141" s="31">
        <f>SUM(BB$5:BB141)</f>
        <v>314586.95652002422</v>
      </c>
      <c r="BU141" s="31">
        <f>SUM(BC$5:BC141)</f>
        <v>168568.25216873491</v>
      </c>
      <c r="BV141" s="31">
        <f>SUM(BD$5:BD141)</f>
        <v>0</v>
      </c>
      <c r="BW141" s="31">
        <f>SUM(BE$5:BE141)</f>
        <v>0</v>
      </c>
      <c r="BX141" s="31">
        <f>SUM(BF$5:BF141)</f>
        <v>0</v>
      </c>
      <c r="BY141" s="31">
        <f>SUM(BG$5:BG141)</f>
        <v>0</v>
      </c>
      <c r="BZ141" s="31">
        <f>SUM(BH$5:BH141)</f>
        <v>0</v>
      </c>
      <c r="CC141" s="41">
        <v>137</v>
      </c>
      <c r="CD141" s="41">
        <f t="shared" si="74"/>
        <v>10220.616733073888</v>
      </c>
      <c r="CE141" s="41">
        <f t="shared" si="75"/>
        <v>12610.931403025072</v>
      </c>
      <c r="CF141" s="41">
        <f t="shared" si="76"/>
        <v>13674.250623384749</v>
      </c>
      <c r="CG141" s="41">
        <f t="shared" si="77"/>
        <v>11042.267023103788</v>
      </c>
      <c r="CH141" s="41">
        <f t="shared" si="78"/>
        <v>5914.8946643681975</v>
      </c>
      <c r="CI141" s="41">
        <f t="shared" si="79"/>
        <v>4366.7461084693132</v>
      </c>
      <c r="CJ141" s="41">
        <f t="shared" si="80"/>
        <v>5388.7864065104886</v>
      </c>
      <c r="CK141" s="41">
        <f t="shared" si="81"/>
        <v>5844.9908675958286</v>
      </c>
      <c r="CL141" s="41">
        <f t="shared" si="82"/>
        <v>4722.3291861229118</v>
      </c>
      <c r="CM141" s="41">
        <f t="shared" si="83"/>
        <v>2530.1910979157433</v>
      </c>
      <c r="CN141" s="41">
        <f t="shared" si="84"/>
        <v>0</v>
      </c>
      <c r="CO141" s="41">
        <f t="shared" si="85"/>
        <v>0</v>
      </c>
      <c r="CP141" s="41">
        <f t="shared" si="86"/>
        <v>0</v>
      </c>
      <c r="CQ141" s="41">
        <f t="shared" si="87"/>
        <v>0</v>
      </c>
      <c r="CR141" s="41">
        <f t="shared" si="88"/>
        <v>0</v>
      </c>
    </row>
    <row r="142" spans="23:96" x14ac:dyDescent="0.15">
      <c r="W142" s="117">
        <v>1.05</v>
      </c>
      <c r="X142" s="31">
        <v>138</v>
      </c>
      <c r="Y142" s="113">
        <f t="shared" si="89"/>
        <v>335.87931822881581</v>
      </c>
      <c r="Z142" s="42">
        <f t="shared" si="72"/>
        <v>0.12</v>
      </c>
      <c r="AA142" s="113">
        <f>$Y142*$Z142*其他调用!V141</f>
        <v>1770912.810319765</v>
      </c>
      <c r="AB142" s="113">
        <f>$Y142*$Z142*其他调用!W141</f>
        <v>2206547.8720618542</v>
      </c>
      <c r="AC142" s="113">
        <f>$Y142*$Z142*其他调用!X141</f>
        <v>2423689.0233101416</v>
      </c>
      <c r="AD142" s="113">
        <f>$Y142*$Z142*其他调用!Y141</f>
        <v>1927056.8448648632</v>
      </c>
      <c r="AE142" s="113">
        <f>$Y142*$Z142*其他调用!Z141</f>
        <v>963839.97203269543</v>
      </c>
      <c r="AH142" s="31">
        <v>138</v>
      </c>
      <c r="AI142" s="31">
        <f>SUM(AA$5:AA142)</f>
        <v>15897288.645836892</v>
      </c>
      <c r="AJ142" s="31">
        <f>SUM(AB$5:AB142)</f>
        <v>19602451.870407395</v>
      </c>
      <c r="AK142" s="31">
        <f>SUM(AC$5:AC142)</f>
        <v>21273267.031514637</v>
      </c>
      <c r="AL142" s="31">
        <f>SUM(AD$5:AD142)</f>
        <v>17145152.325388905</v>
      </c>
      <c r="AM142" s="31">
        <f>SUM(AE$5:AE142)</f>
        <v>9111517.8501051422</v>
      </c>
      <c r="AR142" s="31">
        <v>138</v>
      </c>
      <c r="AS142" s="42">
        <f t="shared" si="73"/>
        <v>8.0000000000000016E-2</v>
      </c>
      <c r="AT142" s="52">
        <f>求节点(E$21:E$27,$M$21:$M$27,$AR142)*$AS142*其他调用!V141</f>
        <v>0</v>
      </c>
      <c r="AU142" s="52">
        <f>求节点(F$21:F$27,$M$21:$M$27,$AR142)*$AS142*其他调用!W141</f>
        <v>0</v>
      </c>
      <c r="AV142" s="52">
        <f>求节点(G$21:G$27,$M$21:$M$27,$AR142)*$AS142*其他调用!X141</f>
        <v>0</v>
      </c>
      <c r="AW142" s="52">
        <f>求节点(H$21:H$27,$M$21:$M$27,$AR142)*$AS142*其他调用!Y141</f>
        <v>0</v>
      </c>
      <c r="AX142" s="52">
        <f>求节点(I$21:I$27,$M$21:$M$27,$AR142)*$AS142*其他调用!Z141</f>
        <v>0</v>
      </c>
      <c r="AY142" s="52">
        <f>求节点(E$21:E$27,$N$21:$N$27,$AR142)*$AS142*其他调用!V141</f>
        <v>21089.870250520653</v>
      </c>
      <c r="AZ142" s="52">
        <f>求节点(F$21:F$27,$N$21:$N$27,$AR142)*$AS142*其他调用!W141</f>
        <v>26277.865320170229</v>
      </c>
      <c r="BA142" s="52">
        <f>求节点(G$21:G$27,$N$21:$N$27,$AR142)*$AS142*其他调用!X141</f>
        <v>28863.807823487583</v>
      </c>
      <c r="BB142" s="52">
        <f>求节点(H$21:H$27,$N$21:$N$27,$AR142)*$AS142*其他调用!Y141</f>
        <v>22949.395693986346</v>
      </c>
      <c r="BC142" s="52">
        <f>求节点(I$21:I$27,$N$21:$N$27,$AR142)*$AS142*其他调用!Z141</f>
        <v>11478.408103425831</v>
      </c>
      <c r="BD142" s="52">
        <f>求节点(E$21:E$27,$O$21:$O$27,$AR142)*$AS142*其他调用!V141</f>
        <v>0</v>
      </c>
      <c r="BE142" s="52">
        <f>求节点(F$21:F$27,$O$21:$O$27,$AR142)*$AS142*其他调用!W141</f>
        <v>0</v>
      </c>
      <c r="BF142" s="52">
        <f>求节点(G$21:G$27,$O$21:$O$27,$AR142)*$AS142*其他调用!X141</f>
        <v>0</v>
      </c>
      <c r="BG142" s="52">
        <f>求节点(H$21:H$27,$O$21:$O$27,$AR142)*$AS142*其他调用!Y141</f>
        <v>0</v>
      </c>
      <c r="BH142" s="52">
        <f>求节点(I$21:I$27,$O$21:$O$27,$AR142)*$AS142*其他调用!Z141</f>
        <v>0</v>
      </c>
      <c r="BK142" s="31">
        <v>138</v>
      </c>
      <c r="BL142" s="31">
        <f>SUM(AT$5:AT142)</f>
        <v>946.27439936474923</v>
      </c>
      <c r="BM142" s="31">
        <f>SUM(AU$5:AU142)</f>
        <v>1112.8936350179583</v>
      </c>
      <c r="BN142" s="31">
        <f>SUM(AV$5:AV142)</f>
        <v>1078.1579698345183</v>
      </c>
      <c r="BO142" s="31">
        <f>SUM(AW$5:AW142)</f>
        <v>704.96766450982125</v>
      </c>
      <c r="BP142" s="31">
        <f>SUM(AX$5:AX142)</f>
        <v>333.4630769439176</v>
      </c>
      <c r="BQ142" s="31">
        <f>SUM(AY$5:AY142)</f>
        <v>311890.85268201993</v>
      </c>
      <c r="BR142" s="31">
        <f>SUM(AZ$5:AZ142)</f>
        <v>385159.32787586347</v>
      </c>
      <c r="BS142" s="31">
        <f>SUM(BA$5:BA142)</f>
        <v>418170.47967326461</v>
      </c>
      <c r="BT142" s="31">
        <f>SUM(BB$5:BB142)</f>
        <v>337536.35221401055</v>
      </c>
      <c r="BU142" s="31">
        <f>SUM(BC$5:BC142)</f>
        <v>180046.66027216075</v>
      </c>
      <c r="BV142" s="31">
        <f>SUM(BD$5:BD142)</f>
        <v>0</v>
      </c>
      <c r="BW142" s="31">
        <f>SUM(BE$5:BE142)</f>
        <v>0</v>
      </c>
      <c r="BX142" s="31">
        <f>SUM(BF$5:BF142)</f>
        <v>0</v>
      </c>
      <c r="BY142" s="31">
        <f>SUM(BG$5:BG142)</f>
        <v>0</v>
      </c>
      <c r="BZ142" s="31">
        <f>SUM(BH$5:BH142)</f>
        <v>0</v>
      </c>
      <c r="CC142" s="41">
        <v>138</v>
      </c>
      <c r="CD142" s="41">
        <f t="shared" si="74"/>
        <v>10958.76219184211</v>
      </c>
      <c r="CE142" s="41">
        <f t="shared" si="75"/>
        <v>13530.656689231027</v>
      </c>
      <c r="CF142" s="41">
        <f t="shared" si="76"/>
        <v>14684.483897206816</v>
      </c>
      <c r="CG142" s="41">
        <f t="shared" si="77"/>
        <v>11845.49587239331</v>
      </c>
      <c r="CH142" s="41">
        <f t="shared" si="78"/>
        <v>6316.6389479881018</v>
      </c>
      <c r="CI142" s="41">
        <f t="shared" si="79"/>
        <v>4683.0941622271221</v>
      </c>
      <c r="CJ142" s="41">
        <f t="shared" si="80"/>
        <v>5782.9543863130421</v>
      </c>
      <c r="CK142" s="41">
        <f t="shared" si="81"/>
        <v>6277.9479849481413</v>
      </c>
      <c r="CL142" s="41">
        <f t="shared" si="82"/>
        <v>5066.5701215327072</v>
      </c>
      <c r="CM142" s="41">
        <f t="shared" si="83"/>
        <v>2702.3672194671308</v>
      </c>
      <c r="CN142" s="41">
        <f t="shared" si="84"/>
        <v>0</v>
      </c>
      <c r="CO142" s="41">
        <f t="shared" si="85"/>
        <v>0</v>
      </c>
      <c r="CP142" s="41">
        <f t="shared" si="86"/>
        <v>0</v>
      </c>
      <c r="CQ142" s="41">
        <f t="shared" si="87"/>
        <v>0</v>
      </c>
      <c r="CR142" s="41">
        <f t="shared" si="88"/>
        <v>0</v>
      </c>
    </row>
    <row r="143" spans="23:96" x14ac:dyDescent="0.15">
      <c r="W143" s="117">
        <v>1.05</v>
      </c>
      <c r="X143" s="31">
        <v>139</v>
      </c>
      <c r="Y143" s="113">
        <f t="shared" si="89"/>
        <v>352.67328414025661</v>
      </c>
      <c r="Z143" s="42">
        <f t="shared" si="72"/>
        <v>0.12</v>
      </c>
      <c r="AA143" s="113">
        <f>$Y143*$Z143*其他调用!V142</f>
        <v>1992918.2222946109</v>
      </c>
      <c r="AB143" s="113">
        <f>$Y143*$Z143*其他调用!W142</f>
        <v>2484907.1850833665</v>
      </c>
      <c r="AC143" s="113">
        <f>$Y143*$Z143*其他调用!X142</f>
        <v>2672996.3199000461</v>
      </c>
      <c r="AD143" s="113">
        <f>$Y143*$Z143*其他调用!Y142</f>
        <v>1970081.1345227698</v>
      </c>
      <c r="AE143" s="113">
        <f>$Y143*$Z143*其他调用!Z142</f>
        <v>1033564.2456951211</v>
      </c>
      <c r="AH143" s="31">
        <v>139</v>
      </c>
      <c r="AI143" s="31">
        <f>SUM(AA$5:AA143)</f>
        <v>17890206.868131503</v>
      </c>
      <c r="AJ143" s="31">
        <f>SUM(AB$5:AB143)</f>
        <v>22087359.055490762</v>
      </c>
      <c r="AK143" s="31">
        <f>SUM(AC$5:AC143)</f>
        <v>23946263.351414684</v>
      </c>
      <c r="AL143" s="31">
        <f>SUM(AD$5:AD143)</f>
        <v>19115233.459911674</v>
      </c>
      <c r="AM143" s="31">
        <f>SUM(AE$5:AE143)</f>
        <v>10145082.095800264</v>
      </c>
      <c r="AR143" s="31">
        <v>139</v>
      </c>
      <c r="AS143" s="42">
        <f t="shared" si="73"/>
        <v>8.0000000000000016E-2</v>
      </c>
      <c r="AT143" s="52">
        <f>求节点(E$21:E$27,$M$21:$M$27,$AR143)*$AS143*其他调用!V142</f>
        <v>0</v>
      </c>
      <c r="AU143" s="52">
        <f>求节点(F$21:F$27,$M$21:$M$27,$AR143)*$AS143*其他调用!W142</f>
        <v>0</v>
      </c>
      <c r="AV143" s="52">
        <f>求节点(G$21:G$27,$M$21:$M$27,$AR143)*$AS143*其他调用!X142</f>
        <v>0</v>
      </c>
      <c r="AW143" s="52">
        <f>求节点(H$21:H$27,$M$21:$M$27,$AR143)*$AS143*其他调用!Y142</f>
        <v>0</v>
      </c>
      <c r="AX143" s="52">
        <f>求节点(I$21:I$27,$M$21:$M$27,$AR143)*$AS143*其他调用!Z142</f>
        <v>0</v>
      </c>
      <c r="AY143" s="52">
        <f>求节点(E$21:E$27,$N$21:$N$27,$AR143)*$AS143*其他调用!V142</f>
        <v>22603.563262841726</v>
      </c>
      <c r="AZ143" s="52">
        <f>求节点(F$21:F$27,$N$21:$N$27,$AR143)*$AS143*其他调用!W142</f>
        <v>28183.673635966486</v>
      </c>
      <c r="BA143" s="52">
        <f>求节点(G$21:G$27,$N$21:$N$27,$AR143)*$AS143*其他调用!X142</f>
        <v>30316.969729263732</v>
      </c>
      <c r="BB143" s="52">
        <f>求节点(H$21:H$27,$N$21:$N$27,$AR143)*$AS143*其他调用!Y142</f>
        <v>22344.546333589336</v>
      </c>
      <c r="BC143" s="52">
        <f>求节点(I$21:I$27,$N$21:$N$27,$AR143)*$AS143*其他调用!Z142</f>
        <v>11722.625922343212</v>
      </c>
      <c r="BD143" s="52">
        <f>求节点(E$21:E$27,$O$21:$O$27,$AR143)*$AS143*其他调用!V142</f>
        <v>0</v>
      </c>
      <c r="BE143" s="52">
        <f>求节点(F$21:F$27,$O$21:$O$27,$AR143)*$AS143*其他调用!W142</f>
        <v>0</v>
      </c>
      <c r="BF143" s="52">
        <f>求节点(G$21:G$27,$O$21:$O$27,$AR143)*$AS143*其他调用!X142</f>
        <v>0</v>
      </c>
      <c r="BG143" s="52">
        <f>求节点(H$21:H$27,$O$21:$O$27,$AR143)*$AS143*其他调用!Y142</f>
        <v>0</v>
      </c>
      <c r="BH143" s="52">
        <f>求节点(I$21:I$27,$O$21:$O$27,$AR143)*$AS143*其他调用!Z142</f>
        <v>0</v>
      </c>
      <c r="BK143" s="31">
        <v>139</v>
      </c>
      <c r="BL143" s="31">
        <f>SUM(AT$5:AT143)</f>
        <v>946.27439936474923</v>
      </c>
      <c r="BM143" s="31">
        <f>SUM(AU$5:AU143)</f>
        <v>1112.8936350179583</v>
      </c>
      <c r="BN143" s="31">
        <f>SUM(AV$5:AV143)</f>
        <v>1078.1579698345183</v>
      </c>
      <c r="BO143" s="31">
        <f>SUM(AW$5:AW143)</f>
        <v>704.96766450982125</v>
      </c>
      <c r="BP143" s="31">
        <f>SUM(AX$5:AX143)</f>
        <v>333.4630769439176</v>
      </c>
      <c r="BQ143" s="31">
        <f>SUM(AY$5:AY143)</f>
        <v>334494.41594486166</v>
      </c>
      <c r="BR143" s="31">
        <f>SUM(AZ$5:AZ143)</f>
        <v>413343.00151182996</v>
      </c>
      <c r="BS143" s="31">
        <f>SUM(BA$5:BA143)</f>
        <v>448487.44940252835</v>
      </c>
      <c r="BT143" s="31">
        <f>SUM(BB$5:BB143)</f>
        <v>359880.89854759991</v>
      </c>
      <c r="BU143" s="31">
        <f>SUM(BC$5:BC143)</f>
        <v>191769.28619450395</v>
      </c>
      <c r="BV143" s="31">
        <f>SUM(BD$5:BD143)</f>
        <v>0</v>
      </c>
      <c r="BW143" s="31">
        <f>SUM(BE$5:BE143)</f>
        <v>0</v>
      </c>
      <c r="BX143" s="31">
        <f>SUM(BF$5:BF143)</f>
        <v>0</v>
      </c>
      <c r="BY143" s="31">
        <f>SUM(BG$5:BG143)</f>
        <v>0</v>
      </c>
      <c r="BZ143" s="31">
        <f>SUM(BH$5:BH143)</f>
        <v>0</v>
      </c>
      <c r="CC143" s="41">
        <v>139</v>
      </c>
      <c r="CD143" s="41">
        <f t="shared" si="74"/>
        <v>11749.886906041571</v>
      </c>
      <c r="CE143" s="41">
        <f t="shared" si="75"/>
        <v>14517.085266489856</v>
      </c>
      <c r="CF143" s="41">
        <f t="shared" si="76"/>
        <v>15745.577837731045</v>
      </c>
      <c r="CG143" s="41">
        <f t="shared" si="77"/>
        <v>12627.554994068938</v>
      </c>
      <c r="CH143" s="41">
        <f t="shared" si="78"/>
        <v>6726.9308552701141</v>
      </c>
      <c r="CI143" s="41">
        <f t="shared" si="79"/>
        <v>5022.1476111697484</v>
      </c>
      <c r="CJ143" s="41">
        <f t="shared" si="80"/>
        <v>6205.7094908525387</v>
      </c>
      <c r="CK143" s="41">
        <f t="shared" si="81"/>
        <v>6732.7025308870971</v>
      </c>
      <c r="CL143" s="41">
        <f t="shared" si="82"/>
        <v>5401.7383165365472</v>
      </c>
      <c r="CM143" s="41">
        <f t="shared" si="83"/>
        <v>2878.2066083022792</v>
      </c>
      <c r="CN143" s="41">
        <f t="shared" si="84"/>
        <v>0</v>
      </c>
      <c r="CO143" s="41">
        <f t="shared" si="85"/>
        <v>0</v>
      </c>
      <c r="CP143" s="41">
        <f t="shared" si="86"/>
        <v>0</v>
      </c>
      <c r="CQ143" s="41">
        <f t="shared" si="87"/>
        <v>0</v>
      </c>
      <c r="CR143" s="41">
        <f t="shared" si="88"/>
        <v>0</v>
      </c>
    </row>
    <row r="144" spans="23:96" x14ac:dyDescent="0.15">
      <c r="W144" s="117">
        <v>1.05</v>
      </c>
      <c r="X144" s="31">
        <v>140</v>
      </c>
      <c r="Y144" s="113">
        <f t="shared" si="89"/>
        <v>370.30694834726944</v>
      </c>
      <c r="Z144" s="42">
        <f t="shared" si="72"/>
        <v>0.12</v>
      </c>
      <c r="AA144" s="113">
        <f>$Y144*$Z144*其他调用!V143</f>
        <v>2242754.7068433487</v>
      </c>
      <c r="AB144" s="113">
        <f>$Y144*$Z144*其他调用!W143</f>
        <v>2749603.9781073239</v>
      </c>
      <c r="AC144" s="113">
        <f>$Y144*$Z144*其他调用!X143</f>
        <v>2743537.403658451</v>
      </c>
      <c r="AD144" s="113">
        <f>$Y144*$Z144*其他调用!Y143</f>
        <v>2203494.9111390314</v>
      </c>
      <c r="AE144" s="113">
        <f>$Y144*$Z144*其他调用!Z143</f>
        <v>1222082.8155575602</v>
      </c>
      <c r="AH144" s="31">
        <v>140</v>
      </c>
      <c r="AI144" s="31">
        <f>SUM(AA$5:AA144)</f>
        <v>20132961.574974854</v>
      </c>
      <c r="AJ144" s="31">
        <f>SUM(AB$5:AB144)</f>
        <v>24836963.033598088</v>
      </c>
      <c r="AK144" s="31">
        <f>SUM(AC$5:AC144)</f>
        <v>26689800.755073134</v>
      </c>
      <c r="AL144" s="31">
        <f>SUM(AD$5:AD144)</f>
        <v>21318728.371050704</v>
      </c>
      <c r="AM144" s="31">
        <f>SUM(AE$5:AE144)</f>
        <v>11367164.911357824</v>
      </c>
      <c r="AR144" s="31">
        <v>140</v>
      </c>
      <c r="AS144" s="42">
        <f t="shared" si="73"/>
        <v>8.0000000000000016E-2</v>
      </c>
      <c r="AT144" s="52">
        <f>求节点(E$21:E$27,$M$21:$M$27,$AR144)*$AS144*其他调用!V143</f>
        <v>0</v>
      </c>
      <c r="AU144" s="52">
        <f>求节点(F$21:F$27,$M$21:$M$27,$AR144)*$AS144*其他调用!W143</f>
        <v>0</v>
      </c>
      <c r="AV144" s="52">
        <f>求节点(G$21:G$27,$M$21:$M$27,$AR144)*$AS144*其他调用!X143</f>
        <v>0</v>
      </c>
      <c r="AW144" s="52">
        <f>求节点(H$21:H$27,$M$21:$M$27,$AR144)*$AS144*其他调用!Y143</f>
        <v>0</v>
      </c>
      <c r="AX144" s="52">
        <f>求节点(I$21:I$27,$M$21:$M$27,$AR144)*$AS144*其他调用!Z143</f>
        <v>0</v>
      </c>
      <c r="AY144" s="52">
        <f>求节点(E$21:E$27,$N$21:$N$27,$AR144)*$AS144*其他调用!V143</f>
        <v>24225.899263873609</v>
      </c>
      <c r="AZ144" s="52">
        <f>求节点(F$21:F$27,$N$21:$N$27,$AR144)*$AS144*其他调用!W143</f>
        <v>29700.808914109584</v>
      </c>
      <c r="BA144" s="52">
        <f>求节点(G$21:G$27,$N$21:$N$27,$AR144)*$AS144*其他调用!X143</f>
        <v>29635.278688701193</v>
      </c>
      <c r="BB144" s="52">
        <f>求节点(H$21:H$27,$N$21:$N$27,$AR144)*$AS144*其他调用!Y143</f>
        <v>23801.82085130761</v>
      </c>
      <c r="BC144" s="52">
        <f>求节点(I$21:I$27,$N$21:$N$27,$AR144)*$AS144*其他调用!Z143</f>
        <v>13200.754898193332</v>
      </c>
      <c r="BD144" s="52">
        <f>求节点(E$21:E$27,$O$21:$O$27,$AR144)*$AS144*其他调用!V143</f>
        <v>0</v>
      </c>
      <c r="BE144" s="52">
        <f>求节点(F$21:F$27,$O$21:$O$27,$AR144)*$AS144*其他调用!W143</f>
        <v>0</v>
      </c>
      <c r="BF144" s="52">
        <f>求节点(G$21:G$27,$O$21:$O$27,$AR144)*$AS144*其他调用!X143</f>
        <v>0</v>
      </c>
      <c r="BG144" s="52">
        <f>求节点(H$21:H$27,$O$21:$O$27,$AR144)*$AS144*其他调用!Y143</f>
        <v>0</v>
      </c>
      <c r="BH144" s="52">
        <f>求节点(I$21:I$27,$O$21:$O$27,$AR144)*$AS144*其他调用!Z143</f>
        <v>0</v>
      </c>
      <c r="BK144" s="31">
        <v>140</v>
      </c>
      <c r="BL144" s="31">
        <f>SUM(AT$5:AT144)</f>
        <v>946.27439936474923</v>
      </c>
      <c r="BM144" s="31">
        <f>SUM(AU$5:AU144)</f>
        <v>1112.8936350179583</v>
      </c>
      <c r="BN144" s="31">
        <f>SUM(AV$5:AV144)</f>
        <v>1078.1579698345183</v>
      </c>
      <c r="BO144" s="31">
        <f>SUM(AW$5:AW144)</f>
        <v>704.96766450982125</v>
      </c>
      <c r="BP144" s="31">
        <f>SUM(AX$5:AX144)</f>
        <v>333.4630769439176</v>
      </c>
      <c r="BQ144" s="31">
        <f>SUM(AY$5:AY144)</f>
        <v>358720.31520873529</v>
      </c>
      <c r="BR144" s="31">
        <f>SUM(AZ$5:AZ144)</f>
        <v>443043.81042593956</v>
      </c>
      <c r="BS144" s="31">
        <f>SUM(BA$5:BA144)</f>
        <v>478122.72809122957</v>
      </c>
      <c r="BT144" s="31">
        <f>SUM(BB$5:BB144)</f>
        <v>383682.7193989075</v>
      </c>
      <c r="BU144" s="31">
        <f>SUM(BC$5:BC144)</f>
        <v>204970.04109269727</v>
      </c>
      <c r="BV144" s="31">
        <f>SUM(BD$5:BD144)</f>
        <v>0</v>
      </c>
      <c r="BW144" s="31">
        <f>SUM(BE$5:BE144)</f>
        <v>0</v>
      </c>
      <c r="BX144" s="31">
        <f>SUM(BF$5:BF144)</f>
        <v>0</v>
      </c>
      <c r="BY144" s="31">
        <f>SUM(BG$5:BG144)</f>
        <v>0</v>
      </c>
      <c r="BZ144" s="31">
        <f>SUM(BH$5:BH144)</f>
        <v>0</v>
      </c>
      <c r="CC144" s="41">
        <v>140</v>
      </c>
      <c r="CD144" s="41">
        <f t="shared" si="74"/>
        <v>12597.793380277148</v>
      </c>
      <c r="CE144" s="41">
        <f t="shared" si="75"/>
        <v>15556.613578483692</v>
      </c>
      <c r="CF144" s="41">
        <f t="shared" si="76"/>
        <v>16782.812591835587</v>
      </c>
      <c r="CG144" s="41">
        <f t="shared" si="77"/>
        <v>13460.618723864705</v>
      </c>
      <c r="CH144" s="41">
        <f t="shared" si="78"/>
        <v>7188.9572767068803</v>
      </c>
      <c r="CI144" s="41">
        <f t="shared" si="79"/>
        <v>5385.5361001278525</v>
      </c>
      <c r="CJ144" s="41">
        <f t="shared" si="80"/>
        <v>6651.221624564183</v>
      </c>
      <c r="CK144" s="41">
        <f t="shared" si="81"/>
        <v>7177.2317112176152</v>
      </c>
      <c r="CL144" s="41">
        <f t="shared" si="82"/>
        <v>5758.7656293061609</v>
      </c>
      <c r="CM144" s="41">
        <f t="shared" si="83"/>
        <v>3076.2179317751788</v>
      </c>
      <c r="CN144" s="41">
        <f t="shared" si="84"/>
        <v>0</v>
      </c>
      <c r="CO144" s="41">
        <f t="shared" si="85"/>
        <v>0</v>
      </c>
      <c r="CP144" s="41">
        <f t="shared" si="86"/>
        <v>0</v>
      </c>
      <c r="CQ144" s="41">
        <f t="shared" si="87"/>
        <v>0</v>
      </c>
      <c r="CR144" s="41">
        <f t="shared" si="88"/>
        <v>0</v>
      </c>
    </row>
    <row r="145" spans="23:96" x14ac:dyDescent="0.15">
      <c r="W145" s="117">
        <v>1.05</v>
      </c>
      <c r="X145" s="31">
        <v>141</v>
      </c>
      <c r="Y145" s="113">
        <f t="shared" si="89"/>
        <v>388.82229576463294</v>
      </c>
      <c r="Z145" s="42">
        <f t="shared" si="72"/>
        <v>0.12</v>
      </c>
      <c r="AA145" s="113">
        <f>$Y145*$Z145*其他调用!V144</f>
        <v>2523911.2266616761</v>
      </c>
      <c r="AB145" s="113">
        <f>$Y145*$Z145*其他调用!W144</f>
        <v>2928155.0427488862</v>
      </c>
      <c r="AC145" s="113">
        <f>$Y145*$Z145*其他调用!X144</f>
        <v>3142553.5807049279</v>
      </c>
      <c r="AD145" s="113">
        <f>$Y145*$Z145*其他调用!Y144</f>
        <v>2633241.1218958367</v>
      </c>
      <c r="AE145" s="113">
        <f>$Y145*$Z145*其他调用!Z144</f>
        <v>1421395.6592188622</v>
      </c>
      <c r="AH145" s="31">
        <v>141</v>
      </c>
      <c r="AI145" s="31">
        <f>SUM(AA$5:AA145)</f>
        <v>22656872.801636528</v>
      </c>
      <c r="AJ145" s="31">
        <f>SUM(AB$5:AB145)</f>
        <v>27765118.076346975</v>
      </c>
      <c r="AK145" s="31">
        <f>SUM(AC$5:AC145)</f>
        <v>29832354.335778061</v>
      </c>
      <c r="AL145" s="31">
        <f>SUM(AD$5:AD145)</f>
        <v>23951969.492946543</v>
      </c>
      <c r="AM145" s="31">
        <f>SUM(AE$5:AE145)</f>
        <v>12788560.570576686</v>
      </c>
      <c r="AR145" s="31">
        <v>141</v>
      </c>
      <c r="AS145" s="42">
        <f t="shared" si="73"/>
        <v>8.0000000000000016E-2</v>
      </c>
      <c r="AT145" s="52">
        <f>求节点(E$21:E$27,$M$21:$M$27,$AR145)*$AS145*其他调用!V144</f>
        <v>0</v>
      </c>
      <c r="AU145" s="52">
        <f>求节点(F$21:F$27,$M$21:$M$27,$AR145)*$AS145*其他调用!W144</f>
        <v>0</v>
      </c>
      <c r="AV145" s="52">
        <f>求节点(G$21:G$27,$M$21:$M$27,$AR145)*$AS145*其他调用!X144</f>
        <v>0</v>
      </c>
      <c r="AW145" s="52">
        <f>求节点(H$21:H$27,$M$21:$M$27,$AR145)*$AS145*其他调用!Y144</f>
        <v>0</v>
      </c>
      <c r="AX145" s="52">
        <f>求节点(I$21:I$27,$M$21:$M$27,$AR145)*$AS145*其他调用!Z144</f>
        <v>0</v>
      </c>
      <c r="AY145" s="52">
        <f>求节点(E$21:E$27,$N$21:$N$27,$AR145)*$AS145*其他调用!V144</f>
        <v>25964.675937096818</v>
      </c>
      <c r="AZ145" s="52">
        <f>求节点(F$21:F$27,$N$21:$N$27,$AR145)*$AS145*其他调用!W144</f>
        <v>30123.324455873244</v>
      </c>
      <c r="BA145" s="52">
        <f>求节点(G$21:G$27,$N$21:$N$27,$AR145)*$AS145*其他调用!X144</f>
        <v>32328.944249711658</v>
      </c>
      <c r="BB145" s="52">
        <f>求节点(H$21:H$27,$N$21:$N$27,$AR145)*$AS145*其他调用!Y144</f>
        <v>27089.40460029407</v>
      </c>
      <c r="BC145" s="52">
        <f>求节点(I$21:I$27,$N$21:$N$27,$AR145)*$AS145*其他调用!Z144</f>
        <v>14622.57359932138</v>
      </c>
      <c r="BD145" s="52">
        <f>求节点(E$21:E$27,$O$21:$O$27,$AR145)*$AS145*其他调用!V144</f>
        <v>0</v>
      </c>
      <c r="BE145" s="52">
        <f>求节点(F$21:F$27,$O$21:$O$27,$AR145)*$AS145*其他调用!W144</f>
        <v>0</v>
      </c>
      <c r="BF145" s="52">
        <f>求节点(G$21:G$27,$O$21:$O$27,$AR145)*$AS145*其他调用!X144</f>
        <v>0</v>
      </c>
      <c r="BG145" s="52">
        <f>求节点(H$21:H$27,$O$21:$O$27,$AR145)*$AS145*其他调用!Y144</f>
        <v>0</v>
      </c>
      <c r="BH145" s="52">
        <f>求节点(I$21:I$27,$O$21:$O$27,$AR145)*$AS145*其他调用!Z144</f>
        <v>0</v>
      </c>
      <c r="BK145" s="31">
        <v>141</v>
      </c>
      <c r="BL145" s="31">
        <f>SUM(AT$5:AT145)</f>
        <v>946.27439936474923</v>
      </c>
      <c r="BM145" s="31">
        <f>SUM(AU$5:AU145)</f>
        <v>1112.8936350179583</v>
      </c>
      <c r="BN145" s="31">
        <f>SUM(AV$5:AV145)</f>
        <v>1078.1579698345183</v>
      </c>
      <c r="BO145" s="31">
        <f>SUM(AW$5:AW145)</f>
        <v>704.96766450982125</v>
      </c>
      <c r="BP145" s="31">
        <f>SUM(AX$5:AX145)</f>
        <v>333.4630769439176</v>
      </c>
      <c r="BQ145" s="31">
        <f>SUM(AY$5:AY145)</f>
        <v>384684.99114583211</v>
      </c>
      <c r="BR145" s="31">
        <f>SUM(AZ$5:AZ145)</f>
        <v>473167.13488181279</v>
      </c>
      <c r="BS145" s="31">
        <f>SUM(BA$5:BA145)</f>
        <v>510451.67234094121</v>
      </c>
      <c r="BT145" s="31">
        <f>SUM(BB$5:BB145)</f>
        <v>410772.12399920158</v>
      </c>
      <c r="BU145" s="31">
        <f>SUM(BC$5:BC145)</f>
        <v>219592.61469201866</v>
      </c>
      <c r="BV145" s="31">
        <f>SUM(BD$5:BD145)</f>
        <v>0</v>
      </c>
      <c r="BW145" s="31">
        <f>SUM(BE$5:BE145)</f>
        <v>0</v>
      </c>
      <c r="BX145" s="31">
        <f>SUM(BF$5:BF145)</f>
        <v>0</v>
      </c>
      <c r="BY145" s="31">
        <f>SUM(BG$5:BG145)</f>
        <v>0</v>
      </c>
      <c r="BZ145" s="31">
        <f>SUM(BH$5:BH145)</f>
        <v>0</v>
      </c>
      <c r="CC145" s="41">
        <v>141</v>
      </c>
      <c r="CD145" s="41">
        <f t="shared" si="74"/>
        <v>13506.557038075538</v>
      </c>
      <c r="CE145" s="41">
        <f t="shared" si="75"/>
        <v>16610.929934439257</v>
      </c>
      <c r="CF145" s="41">
        <f t="shared" si="76"/>
        <v>17914.325640575495</v>
      </c>
      <c r="CG145" s="41">
        <f t="shared" si="77"/>
        <v>14408.747884874998</v>
      </c>
      <c r="CH145" s="41">
        <f t="shared" si="78"/>
        <v>7700.7473526831282</v>
      </c>
      <c r="CI145" s="41">
        <f t="shared" si="79"/>
        <v>5775.0062391843057</v>
      </c>
      <c r="CJ145" s="41">
        <f t="shared" si="80"/>
        <v>7103.071491402281</v>
      </c>
      <c r="CK145" s="41">
        <f t="shared" si="81"/>
        <v>7662.1658749632898</v>
      </c>
      <c r="CL145" s="41">
        <f t="shared" si="82"/>
        <v>6165.106698310572</v>
      </c>
      <c r="CM145" s="41">
        <f t="shared" si="83"/>
        <v>3295.5565357649989</v>
      </c>
      <c r="CN145" s="41">
        <f t="shared" si="84"/>
        <v>0</v>
      </c>
      <c r="CO145" s="41">
        <f t="shared" si="85"/>
        <v>0</v>
      </c>
      <c r="CP145" s="41">
        <f t="shared" si="86"/>
        <v>0</v>
      </c>
      <c r="CQ145" s="41">
        <f t="shared" si="87"/>
        <v>0</v>
      </c>
      <c r="CR145" s="41">
        <f t="shared" si="88"/>
        <v>0</v>
      </c>
    </row>
    <row r="146" spans="23:96" x14ac:dyDescent="0.15">
      <c r="W146" s="117">
        <v>1.05</v>
      </c>
      <c r="X146" s="31">
        <v>142</v>
      </c>
      <c r="Y146" s="113">
        <f t="shared" si="89"/>
        <v>408.26341055286463</v>
      </c>
      <c r="Z146" s="42">
        <f t="shared" si="72"/>
        <v>0.12</v>
      </c>
      <c r="AA146" s="113">
        <f>$Y146*$Z146*其他调用!V145</f>
        <v>2840314.1282601752</v>
      </c>
      <c r="AB146" s="113">
        <f>$Y146*$Z146*其他调用!W145</f>
        <v>3528260.6668789699</v>
      </c>
      <c r="AC146" s="113">
        <f>$Y146*$Z146*其他调用!X145</f>
        <v>3939718.9849333186</v>
      </c>
      <c r="AD146" s="113">
        <f>$Y146*$Z146*其他调用!Y145</f>
        <v>3148826.9367378885</v>
      </c>
      <c r="AE146" s="113">
        <f>$Y146*$Z146*其他调用!Z145</f>
        <v>1712270.3482492375</v>
      </c>
      <c r="AH146" s="31">
        <v>142</v>
      </c>
      <c r="AI146" s="31">
        <f>SUM(AA$5:AA146)</f>
        <v>25497186.929896705</v>
      </c>
      <c r="AJ146" s="31">
        <f>SUM(AB$5:AB146)</f>
        <v>31293378.743225943</v>
      </c>
      <c r="AK146" s="31">
        <f>SUM(AC$5:AC146)</f>
        <v>33772073.320711382</v>
      </c>
      <c r="AL146" s="31">
        <f>SUM(AD$5:AD146)</f>
        <v>27100796.42968443</v>
      </c>
      <c r="AM146" s="31">
        <f>SUM(AE$5:AE146)</f>
        <v>14500830.918825924</v>
      </c>
      <c r="AR146" s="31">
        <v>142</v>
      </c>
      <c r="AS146" s="42">
        <f t="shared" si="73"/>
        <v>8.0000000000000016E-2</v>
      </c>
      <c r="AT146" s="52">
        <f>求节点(E$21:E$27,$M$21:$M$27,$AR146)*$AS146*其他调用!V145</f>
        <v>0</v>
      </c>
      <c r="AU146" s="52">
        <f>求节点(F$21:F$27,$M$21:$M$27,$AR146)*$AS146*其他调用!W145</f>
        <v>0</v>
      </c>
      <c r="AV146" s="52">
        <f>求节点(G$21:G$27,$M$21:$M$27,$AR146)*$AS146*其他调用!X145</f>
        <v>0</v>
      </c>
      <c r="AW146" s="52">
        <f>求节点(H$21:H$27,$M$21:$M$27,$AR146)*$AS146*其他调用!Y145</f>
        <v>0</v>
      </c>
      <c r="AX146" s="52">
        <f>求节点(I$21:I$27,$M$21:$M$27,$AR146)*$AS146*其他调用!Z145</f>
        <v>0</v>
      </c>
      <c r="AY146" s="52">
        <f>求节点(E$21:E$27,$N$21:$N$27,$AR146)*$AS146*其他调用!V145</f>
        <v>27828.250632735981</v>
      </c>
      <c r="AZ146" s="52">
        <f>求节点(F$21:F$27,$N$21:$N$27,$AR146)*$AS146*其他调用!W145</f>
        <v>34568.472958191865</v>
      </c>
      <c r="BA146" s="52">
        <f>求节点(G$21:G$27,$N$21:$N$27,$AR146)*$AS146*其他调用!X145</f>
        <v>38599.775371476047</v>
      </c>
      <c r="BB146" s="52">
        <f>求节点(H$21:H$27,$N$21:$N$27,$AR146)*$AS146*其他调用!Y145</f>
        <v>30850.934522628828</v>
      </c>
      <c r="BC146" s="52">
        <f>求节点(I$21:I$27,$N$21:$N$27,$AR146)*$AS146*其他调用!Z145</f>
        <v>16776.133290323571</v>
      </c>
      <c r="BD146" s="52">
        <f>求节点(E$21:E$27,$O$21:$O$27,$AR146)*$AS146*其他调用!V145</f>
        <v>0</v>
      </c>
      <c r="BE146" s="52">
        <f>求节点(F$21:F$27,$O$21:$O$27,$AR146)*$AS146*其他调用!W145</f>
        <v>0</v>
      </c>
      <c r="BF146" s="52">
        <f>求节点(G$21:G$27,$O$21:$O$27,$AR146)*$AS146*其他调用!X145</f>
        <v>0</v>
      </c>
      <c r="BG146" s="52">
        <f>求节点(H$21:H$27,$O$21:$O$27,$AR146)*$AS146*其他调用!Y145</f>
        <v>0</v>
      </c>
      <c r="BH146" s="52">
        <f>求节点(I$21:I$27,$O$21:$O$27,$AR146)*$AS146*其他调用!Z145</f>
        <v>0</v>
      </c>
      <c r="BK146" s="31">
        <v>142</v>
      </c>
      <c r="BL146" s="31">
        <f>SUM(AT$5:AT146)</f>
        <v>946.27439936474923</v>
      </c>
      <c r="BM146" s="31">
        <f>SUM(AU$5:AU146)</f>
        <v>1112.8936350179583</v>
      </c>
      <c r="BN146" s="31">
        <f>SUM(AV$5:AV146)</f>
        <v>1078.1579698345183</v>
      </c>
      <c r="BO146" s="31">
        <f>SUM(AW$5:AW146)</f>
        <v>704.96766450982125</v>
      </c>
      <c r="BP146" s="31">
        <f>SUM(AX$5:AX146)</f>
        <v>333.4630769439176</v>
      </c>
      <c r="BQ146" s="31">
        <f>SUM(AY$5:AY146)</f>
        <v>412513.24177856807</v>
      </c>
      <c r="BR146" s="31">
        <f>SUM(AZ$5:AZ146)</f>
        <v>507735.60784000467</v>
      </c>
      <c r="BS146" s="31">
        <f>SUM(BA$5:BA146)</f>
        <v>549051.44771241723</v>
      </c>
      <c r="BT146" s="31">
        <f>SUM(BB$5:BB146)</f>
        <v>441623.05852183042</v>
      </c>
      <c r="BU146" s="31">
        <f>SUM(BC$5:BC146)</f>
        <v>236368.74798234223</v>
      </c>
      <c r="BV146" s="31">
        <f>SUM(BD$5:BD146)</f>
        <v>0</v>
      </c>
      <c r="BW146" s="31">
        <f>SUM(BE$5:BE146)</f>
        <v>0</v>
      </c>
      <c r="BX146" s="31">
        <f>SUM(BF$5:BF146)</f>
        <v>0</v>
      </c>
      <c r="BY146" s="31">
        <f>SUM(BG$5:BG146)</f>
        <v>0</v>
      </c>
      <c r="BZ146" s="31">
        <f>SUM(BH$5:BH146)</f>
        <v>0</v>
      </c>
      <c r="CC146" s="41">
        <v>142</v>
      </c>
      <c r="CD146" s="41">
        <f t="shared" si="74"/>
        <v>14480.545810221296</v>
      </c>
      <c r="CE146" s="41">
        <f t="shared" si="75"/>
        <v>17820.82648797597</v>
      </c>
      <c r="CF146" s="41">
        <f t="shared" si="76"/>
        <v>19265.317778577155</v>
      </c>
      <c r="CG146" s="41">
        <f t="shared" si="77"/>
        <v>15488.530593167006</v>
      </c>
      <c r="CH146" s="41">
        <f t="shared" si="78"/>
        <v>8287.9120178444537</v>
      </c>
      <c r="CI146" s="41">
        <f t="shared" si="79"/>
        <v>6192.4299986753449</v>
      </c>
      <c r="CJ146" s="41">
        <f t="shared" si="80"/>
        <v>7621.5985857751602</v>
      </c>
      <c r="CK146" s="41">
        <f t="shared" si="81"/>
        <v>8241.1625055354307</v>
      </c>
      <c r="CL146" s="41">
        <f t="shared" si="82"/>
        <v>6627.870716150006</v>
      </c>
      <c r="CM146" s="41">
        <f t="shared" si="83"/>
        <v>3547.1985351198527</v>
      </c>
      <c r="CN146" s="41">
        <f t="shared" si="84"/>
        <v>0</v>
      </c>
      <c r="CO146" s="41">
        <f t="shared" si="85"/>
        <v>0</v>
      </c>
      <c r="CP146" s="41">
        <f t="shared" si="86"/>
        <v>0</v>
      </c>
      <c r="CQ146" s="41">
        <f t="shared" si="87"/>
        <v>0</v>
      </c>
      <c r="CR146" s="41">
        <f t="shared" si="88"/>
        <v>0</v>
      </c>
    </row>
    <row r="147" spans="23:96" x14ac:dyDescent="0.15">
      <c r="W147" s="117">
        <v>1.05</v>
      </c>
      <c r="X147" s="31">
        <v>143</v>
      </c>
      <c r="Y147" s="113">
        <f t="shared" si="89"/>
        <v>428.6765810805079</v>
      </c>
      <c r="Z147" s="42">
        <f t="shared" si="72"/>
        <v>0.12</v>
      </c>
      <c r="AA147" s="113">
        <f>$Y147*$Z147*其他调用!V146</f>
        <v>3196381.9733329699</v>
      </c>
      <c r="AB147" s="113">
        <f>$Y147*$Z147*其他调用!W146</f>
        <v>4042881.8184595332</v>
      </c>
      <c r="AC147" s="113">
        <f>$Y147*$Z147*其他调用!X146</f>
        <v>4352471.0703490051</v>
      </c>
      <c r="AD147" s="113">
        <f>$Y147*$Z147*其他调用!Y146</f>
        <v>3584936.3389380588</v>
      </c>
      <c r="AE147" s="113">
        <f>$Y147*$Z147*其他调用!Z146</f>
        <v>1955455.7038491811</v>
      </c>
      <c r="AH147" s="31">
        <v>143</v>
      </c>
      <c r="AI147" s="31">
        <f>SUM(AA$5:AA147)</f>
        <v>28693568.903229676</v>
      </c>
      <c r="AJ147" s="31">
        <f>SUM(AB$5:AB147)</f>
        <v>35336260.561685473</v>
      </c>
      <c r="AK147" s="31">
        <f>SUM(AC$5:AC147)</f>
        <v>38124544.39106039</v>
      </c>
      <c r="AL147" s="31">
        <f>SUM(AD$5:AD147)</f>
        <v>30685732.768622488</v>
      </c>
      <c r="AM147" s="31">
        <f>SUM(AE$5:AE147)</f>
        <v>16456286.622675106</v>
      </c>
      <c r="AR147" s="31">
        <v>143</v>
      </c>
      <c r="AS147" s="42">
        <f t="shared" si="73"/>
        <v>8.0000000000000016E-2</v>
      </c>
      <c r="AT147" s="52">
        <f>求节点(E$21:E$27,$M$21:$M$27,$AR147)*$AS147*其他调用!V146</f>
        <v>0</v>
      </c>
      <c r="AU147" s="52">
        <f>求节点(F$21:F$27,$M$21:$M$27,$AR147)*$AS147*其他调用!W146</f>
        <v>0</v>
      </c>
      <c r="AV147" s="52">
        <f>求节点(G$21:G$27,$M$21:$M$27,$AR147)*$AS147*其他调用!X146</f>
        <v>0</v>
      </c>
      <c r="AW147" s="52">
        <f>求节点(H$21:H$27,$M$21:$M$27,$AR147)*$AS147*其他调用!Y146</f>
        <v>0</v>
      </c>
      <c r="AX147" s="52">
        <f>求节点(I$21:I$27,$M$21:$M$27,$AR147)*$AS147*其他调用!Z146</f>
        <v>0</v>
      </c>
      <c r="AY147" s="52">
        <f>求节点(E$21:E$27,$N$21:$N$27,$AR147)*$AS147*其他调用!V146</f>
        <v>29825.580536975234</v>
      </c>
      <c r="AZ147" s="52">
        <f>求节点(F$21:F$27,$N$21:$N$27,$AR147)*$AS147*其他调用!W146</f>
        <v>37724.30775918928</v>
      </c>
      <c r="BA147" s="52">
        <f>求节点(G$21:G$27,$N$21:$N$27,$AR147)*$AS147*其他调用!X146</f>
        <v>40613.098661730597</v>
      </c>
      <c r="BB147" s="52">
        <f>求节点(H$21:H$27,$N$21:$N$27,$AR147)*$AS147*其他调用!Y146</f>
        <v>33451.198382724695</v>
      </c>
      <c r="BC147" s="52">
        <f>求节点(I$21:I$27,$N$21:$N$27,$AR147)*$AS147*其他调用!Z146</f>
        <v>18246.443030970575</v>
      </c>
      <c r="BD147" s="52">
        <f>求节点(E$21:E$27,$O$21:$O$27,$AR147)*$AS147*其他调用!V146</f>
        <v>0</v>
      </c>
      <c r="BE147" s="52">
        <f>求节点(F$21:F$27,$O$21:$O$27,$AR147)*$AS147*其他调用!W146</f>
        <v>0</v>
      </c>
      <c r="BF147" s="52">
        <f>求节点(G$21:G$27,$O$21:$O$27,$AR147)*$AS147*其他调用!X146</f>
        <v>0</v>
      </c>
      <c r="BG147" s="52">
        <f>求节点(H$21:H$27,$O$21:$O$27,$AR147)*$AS147*其他调用!Y146</f>
        <v>0</v>
      </c>
      <c r="BH147" s="52">
        <f>求节点(I$21:I$27,$O$21:$O$27,$AR147)*$AS147*其他调用!Z146</f>
        <v>0</v>
      </c>
      <c r="BK147" s="31">
        <v>143</v>
      </c>
      <c r="BL147" s="31">
        <f>SUM(AT$5:AT147)</f>
        <v>946.27439936474923</v>
      </c>
      <c r="BM147" s="31">
        <f>SUM(AU$5:AU147)</f>
        <v>1112.8936350179583</v>
      </c>
      <c r="BN147" s="31">
        <f>SUM(AV$5:AV147)</f>
        <v>1078.1579698345183</v>
      </c>
      <c r="BO147" s="31">
        <f>SUM(AW$5:AW147)</f>
        <v>704.96766450982125</v>
      </c>
      <c r="BP147" s="31">
        <f>SUM(AX$5:AX147)</f>
        <v>333.4630769439176</v>
      </c>
      <c r="BQ147" s="31">
        <f>SUM(AY$5:AY147)</f>
        <v>442338.82231554331</v>
      </c>
      <c r="BR147" s="31">
        <f>SUM(AZ$5:AZ147)</f>
        <v>545459.91559919389</v>
      </c>
      <c r="BS147" s="31">
        <f>SUM(BA$5:BA147)</f>
        <v>589664.54637414787</v>
      </c>
      <c r="BT147" s="31">
        <f>SUM(BB$5:BB147)</f>
        <v>475074.25690455514</v>
      </c>
      <c r="BU147" s="31">
        <f>SUM(BC$5:BC147)</f>
        <v>254615.19101331281</v>
      </c>
      <c r="BV147" s="31">
        <f>SUM(BD$5:BD147)</f>
        <v>0</v>
      </c>
      <c r="BW147" s="31">
        <f>SUM(BE$5:BE147)</f>
        <v>0</v>
      </c>
      <c r="BX147" s="31">
        <f>SUM(BF$5:BF147)</f>
        <v>0</v>
      </c>
      <c r="BY147" s="31">
        <f>SUM(BG$5:BG147)</f>
        <v>0</v>
      </c>
      <c r="BZ147" s="31">
        <f>SUM(BH$5:BH147)</f>
        <v>0</v>
      </c>
      <c r="CC147" s="41">
        <v>143</v>
      </c>
      <c r="CD147" s="41">
        <f t="shared" si="74"/>
        <v>15524.441129015428</v>
      </c>
      <c r="CE147" s="41">
        <f t="shared" si="75"/>
        <v>19141.177259547592</v>
      </c>
      <c r="CF147" s="41">
        <f t="shared" si="76"/>
        <v>20686.776231737727</v>
      </c>
      <c r="CG147" s="41">
        <f t="shared" si="77"/>
        <v>16659.322536562373</v>
      </c>
      <c r="CH147" s="41">
        <f t="shared" si="78"/>
        <v>8926.537523928424</v>
      </c>
      <c r="CI147" s="41">
        <f t="shared" si="79"/>
        <v>6639.8137067299731</v>
      </c>
      <c r="CJ147" s="41">
        <f t="shared" si="80"/>
        <v>8187.4632021629977</v>
      </c>
      <c r="CK147" s="41">
        <f t="shared" si="81"/>
        <v>8850.3589854613911</v>
      </c>
      <c r="CL147" s="41">
        <f t="shared" si="82"/>
        <v>7129.6386918908756</v>
      </c>
      <c r="CM147" s="41">
        <f t="shared" si="83"/>
        <v>3820.8951805844117</v>
      </c>
      <c r="CN147" s="41">
        <f t="shared" si="84"/>
        <v>0</v>
      </c>
      <c r="CO147" s="41">
        <f t="shared" si="85"/>
        <v>0</v>
      </c>
      <c r="CP147" s="41">
        <f t="shared" si="86"/>
        <v>0</v>
      </c>
      <c r="CQ147" s="41">
        <f t="shared" si="87"/>
        <v>0</v>
      </c>
      <c r="CR147" s="41">
        <f t="shared" si="88"/>
        <v>0</v>
      </c>
    </row>
    <row r="148" spans="23:96" x14ac:dyDescent="0.15">
      <c r="W148" s="117">
        <v>1.05</v>
      </c>
      <c r="X148" s="31">
        <v>144</v>
      </c>
      <c r="Y148" s="113">
        <f t="shared" si="89"/>
        <v>450.11041013453331</v>
      </c>
      <c r="Z148" s="42">
        <f t="shared" si="72"/>
        <v>0.12</v>
      </c>
      <c r="AA148" s="113">
        <f>$Y148*$Z148*其他调用!V147</f>
        <v>3597087.2439049543</v>
      </c>
      <c r="AB148" s="113">
        <f>$Y148*$Z148*其他调用!W147</f>
        <v>4401624.4018773027</v>
      </c>
      <c r="AC148" s="113">
        <f>$Y148*$Z148*其他调用!X147</f>
        <v>4905934.101832144</v>
      </c>
      <c r="AD148" s="113">
        <f>$Y148*$Z148*其他调用!Y147</f>
        <v>3975078.5278944746</v>
      </c>
      <c r="AE148" s="113">
        <f>$Y148*$Z148*其他调用!Z147</f>
        <v>2005806.2386482395</v>
      </c>
      <c r="AH148" s="31">
        <v>144</v>
      </c>
      <c r="AI148" s="31">
        <f>SUM(AA$5:AA148)</f>
        <v>32290656.147134632</v>
      </c>
      <c r="AJ148" s="31">
        <f>SUM(AB$5:AB148)</f>
        <v>39737884.963562772</v>
      </c>
      <c r="AK148" s="31">
        <f>SUM(AC$5:AC148)</f>
        <v>43030478.492892534</v>
      </c>
      <c r="AL148" s="31">
        <f>SUM(AD$5:AD148)</f>
        <v>34660811.296516962</v>
      </c>
      <c r="AM148" s="31">
        <f>SUM(AE$5:AE148)</f>
        <v>18462092.861323345</v>
      </c>
      <c r="AR148" s="31">
        <v>144</v>
      </c>
      <c r="AS148" s="42">
        <f t="shared" si="73"/>
        <v>8.0000000000000016E-2</v>
      </c>
      <c r="AT148" s="52">
        <f>求节点(E$21:E$27,$M$21:$M$27,$AR148)*$AS148*其他调用!V147</f>
        <v>0</v>
      </c>
      <c r="AU148" s="52">
        <f>求节点(F$21:F$27,$M$21:$M$27,$AR148)*$AS148*其他调用!W147</f>
        <v>0</v>
      </c>
      <c r="AV148" s="52">
        <f>求节点(G$21:G$27,$M$21:$M$27,$AR148)*$AS148*其他调用!X147</f>
        <v>0</v>
      </c>
      <c r="AW148" s="52">
        <f>求节点(H$21:H$27,$M$21:$M$27,$AR148)*$AS148*其他调用!Y147</f>
        <v>0</v>
      </c>
      <c r="AX148" s="52">
        <f>求节点(I$21:I$27,$M$21:$M$27,$AR148)*$AS148*其他调用!Z147</f>
        <v>0</v>
      </c>
      <c r="AY148" s="52">
        <f>求节点(E$21:E$27,$N$21:$N$27,$AR148)*$AS148*其他调用!V147</f>
        <v>31966.265724268171</v>
      </c>
      <c r="AZ148" s="52">
        <f>求节点(F$21:F$27,$N$21:$N$27,$AR148)*$AS148*其他调用!W147</f>
        <v>39115.952910857617</v>
      </c>
      <c r="BA148" s="52">
        <f>求节点(G$21:G$27,$N$21:$N$27,$AR148)*$AS148*其他调用!X147</f>
        <v>43597.606199472815</v>
      </c>
      <c r="BB148" s="52">
        <f>求节点(H$21:H$27,$N$21:$N$27,$AR148)*$AS148*其他调用!Y147</f>
        <v>35325.364074173413</v>
      </c>
      <c r="BC148" s="52">
        <f>求节点(I$21:I$27,$N$21:$N$27,$AR148)*$AS148*其他调用!Z147</f>
        <v>17825.015316119665</v>
      </c>
      <c r="BD148" s="52">
        <f>求节点(E$21:E$27,$O$21:$O$27,$AR148)*$AS148*其他调用!V147</f>
        <v>0</v>
      </c>
      <c r="BE148" s="52">
        <f>求节点(F$21:F$27,$O$21:$O$27,$AR148)*$AS148*其他调用!W147</f>
        <v>0</v>
      </c>
      <c r="BF148" s="52">
        <f>求节点(G$21:G$27,$O$21:$O$27,$AR148)*$AS148*其他调用!X147</f>
        <v>0</v>
      </c>
      <c r="BG148" s="52">
        <f>求节点(H$21:H$27,$O$21:$O$27,$AR148)*$AS148*其他调用!Y147</f>
        <v>0</v>
      </c>
      <c r="BH148" s="52">
        <f>求节点(I$21:I$27,$O$21:$O$27,$AR148)*$AS148*其他调用!Z147</f>
        <v>0</v>
      </c>
      <c r="BK148" s="31">
        <v>144</v>
      </c>
      <c r="BL148" s="31">
        <f>SUM(AT$5:AT148)</f>
        <v>946.27439936474923</v>
      </c>
      <c r="BM148" s="31">
        <f>SUM(AU$5:AU148)</f>
        <v>1112.8936350179583</v>
      </c>
      <c r="BN148" s="31">
        <f>SUM(AV$5:AV148)</f>
        <v>1078.1579698345183</v>
      </c>
      <c r="BO148" s="31">
        <f>SUM(AW$5:AW148)</f>
        <v>704.96766450982125</v>
      </c>
      <c r="BP148" s="31">
        <f>SUM(AX$5:AX148)</f>
        <v>333.4630769439176</v>
      </c>
      <c r="BQ148" s="31">
        <f>SUM(AY$5:AY148)</f>
        <v>474305.08803981147</v>
      </c>
      <c r="BR148" s="31">
        <f>SUM(AZ$5:AZ148)</f>
        <v>584575.86851005151</v>
      </c>
      <c r="BS148" s="31">
        <f>SUM(BA$5:BA148)</f>
        <v>633262.15257362067</v>
      </c>
      <c r="BT148" s="31">
        <f>SUM(BB$5:BB148)</f>
        <v>510399.62097872852</v>
      </c>
      <c r="BU148" s="31">
        <f>SUM(BC$5:BC148)</f>
        <v>272440.20632943249</v>
      </c>
      <c r="BV148" s="31">
        <f>SUM(BD$5:BD148)</f>
        <v>0</v>
      </c>
      <c r="BW148" s="31">
        <f>SUM(BE$5:BE148)</f>
        <v>0</v>
      </c>
      <c r="BX148" s="31">
        <f>SUM(BF$5:BF148)</f>
        <v>0</v>
      </c>
      <c r="BY148" s="31">
        <f>SUM(BG$5:BG148)</f>
        <v>0</v>
      </c>
      <c r="BZ148" s="31">
        <f>SUM(BH$5:BH148)</f>
        <v>0</v>
      </c>
      <c r="CC148" s="41">
        <v>144</v>
      </c>
      <c r="CD148" s="41">
        <f t="shared" si="74"/>
        <v>16643.260429364811</v>
      </c>
      <c r="CE148" s="41">
        <f t="shared" si="75"/>
        <v>20510.235611427612</v>
      </c>
      <c r="CF148" s="41">
        <f t="shared" si="76"/>
        <v>22212.692448719277</v>
      </c>
      <c r="CG148" s="41">
        <f t="shared" si="77"/>
        <v>17895.71027915844</v>
      </c>
      <c r="CH148" s="41">
        <f t="shared" si="78"/>
        <v>9550.413059992612</v>
      </c>
      <c r="CI148" s="41">
        <f t="shared" si="79"/>
        <v>7119.3076925939949</v>
      </c>
      <c r="CJ148" s="41">
        <f t="shared" si="80"/>
        <v>8774.2024958258626</v>
      </c>
      <c r="CK148" s="41">
        <f t="shared" si="81"/>
        <v>9504.3230784534826</v>
      </c>
      <c r="CL148" s="41">
        <f t="shared" si="82"/>
        <v>7659.5191530034772</v>
      </c>
      <c r="CM148" s="41">
        <f t="shared" si="83"/>
        <v>4088.2704103262067</v>
      </c>
      <c r="CN148" s="41">
        <f t="shared" si="84"/>
        <v>0</v>
      </c>
      <c r="CO148" s="41">
        <f t="shared" si="85"/>
        <v>0</v>
      </c>
      <c r="CP148" s="41">
        <f t="shared" si="86"/>
        <v>0</v>
      </c>
      <c r="CQ148" s="41">
        <f t="shared" si="87"/>
        <v>0</v>
      </c>
      <c r="CR148" s="41">
        <f t="shared" si="88"/>
        <v>0</v>
      </c>
    </row>
    <row r="149" spans="23:96" x14ac:dyDescent="0.15">
      <c r="W149" s="117">
        <v>1.05</v>
      </c>
      <c r="X149" s="31">
        <v>145</v>
      </c>
      <c r="Y149" s="113">
        <f t="shared" si="89"/>
        <v>472.61593064125998</v>
      </c>
      <c r="Z149" s="42">
        <f t="shared" si="72"/>
        <v>0.12</v>
      </c>
      <c r="AA149" s="113">
        <f>$Y149*$Z149*其他调用!V148</f>
        <v>4048025.7829675144</v>
      </c>
      <c r="AB149" s="113">
        <f>$Y149*$Z149*其他调用!W148</f>
        <v>5127143.142089081</v>
      </c>
      <c r="AC149" s="113">
        <f>$Y149*$Z149*其他调用!X148</f>
        <v>5565634.8033919297</v>
      </c>
      <c r="AD149" s="113">
        <f>$Y149*$Z149*其他调用!Y148</f>
        <v>4252380.4125823276</v>
      </c>
      <c r="AE149" s="113">
        <f>$Y149*$Z149*其他调用!Z148</f>
        <v>2185053.5286594052</v>
      </c>
      <c r="AH149" s="31">
        <v>145</v>
      </c>
      <c r="AI149" s="31">
        <f>SUM(AA$5:AA149)</f>
        <v>36338681.930102147</v>
      </c>
      <c r="AJ149" s="31">
        <f>SUM(AB$5:AB149)</f>
        <v>44865028.105651855</v>
      </c>
      <c r="AK149" s="31">
        <f>SUM(AC$5:AC149)</f>
        <v>48596113.296284467</v>
      </c>
      <c r="AL149" s="31">
        <f>SUM(AD$5:AD149)</f>
        <v>38913191.709099293</v>
      </c>
      <c r="AM149" s="31">
        <f>SUM(AE$5:AE149)</f>
        <v>20647146.389982753</v>
      </c>
      <c r="AR149" s="31">
        <v>145</v>
      </c>
      <c r="AS149" s="42">
        <f t="shared" si="73"/>
        <v>8.0000000000000016E-2</v>
      </c>
      <c r="AT149" s="52">
        <f>求节点(E$21:E$27,$M$21:$M$27,$AR149)*$AS149*其他调用!V148</f>
        <v>0</v>
      </c>
      <c r="AU149" s="52">
        <f>求节点(F$21:F$27,$M$21:$M$27,$AR149)*$AS149*其他调用!W148</f>
        <v>0</v>
      </c>
      <c r="AV149" s="52">
        <f>求节点(G$21:G$27,$M$21:$M$27,$AR149)*$AS149*其他调用!X148</f>
        <v>0</v>
      </c>
      <c r="AW149" s="52">
        <f>求节点(H$21:H$27,$M$21:$M$27,$AR149)*$AS149*其他调用!Y148</f>
        <v>0</v>
      </c>
      <c r="AX149" s="52">
        <f>求节点(I$21:I$27,$M$21:$M$27,$AR149)*$AS149*其他调用!Z148</f>
        <v>0</v>
      </c>
      <c r="AY149" s="52">
        <f>求节点(E$21:E$27,$N$21:$N$27,$AR149)*$AS149*其他调用!V148</f>
        <v>34260.595299655077</v>
      </c>
      <c r="AZ149" s="52">
        <f>求节点(F$21:F$27,$N$21:$N$27,$AR149)*$AS149*其他调用!W148</f>
        <v>43393.739480024844</v>
      </c>
      <c r="BA149" s="52">
        <f>求节点(G$21:G$27,$N$21:$N$27,$AR149)*$AS149*其他调用!X148</f>
        <v>47104.927638307112</v>
      </c>
      <c r="BB149" s="52">
        <f>求节点(H$21:H$27,$N$21:$N$27,$AR149)*$AS149*其他调用!Y148</f>
        <v>35990.157223964641</v>
      </c>
      <c r="BC149" s="52">
        <f>求节点(I$21:I$27,$N$21:$N$27,$AR149)*$AS149*其他调用!Z148</f>
        <v>18493.270217909554</v>
      </c>
      <c r="BD149" s="52">
        <f>求节点(E$21:E$27,$O$21:$O$27,$AR149)*$AS149*其他调用!V148</f>
        <v>0</v>
      </c>
      <c r="BE149" s="52">
        <f>求节点(F$21:F$27,$O$21:$O$27,$AR149)*$AS149*其他调用!W148</f>
        <v>0</v>
      </c>
      <c r="BF149" s="52">
        <f>求节点(G$21:G$27,$O$21:$O$27,$AR149)*$AS149*其他调用!X148</f>
        <v>0</v>
      </c>
      <c r="BG149" s="52">
        <f>求节点(H$21:H$27,$O$21:$O$27,$AR149)*$AS149*其他调用!Y148</f>
        <v>0</v>
      </c>
      <c r="BH149" s="52">
        <f>求节点(I$21:I$27,$O$21:$O$27,$AR149)*$AS149*其他调用!Z148</f>
        <v>0</v>
      </c>
      <c r="BK149" s="31">
        <v>145</v>
      </c>
      <c r="BL149" s="31">
        <f>SUM(AT$5:AT149)</f>
        <v>946.27439936474923</v>
      </c>
      <c r="BM149" s="31">
        <f>SUM(AU$5:AU149)</f>
        <v>1112.8936350179583</v>
      </c>
      <c r="BN149" s="31">
        <f>SUM(AV$5:AV149)</f>
        <v>1078.1579698345183</v>
      </c>
      <c r="BO149" s="31">
        <f>SUM(AW$5:AW149)</f>
        <v>704.96766450982125</v>
      </c>
      <c r="BP149" s="31">
        <f>SUM(AX$5:AX149)</f>
        <v>333.4630769439176</v>
      </c>
      <c r="BQ149" s="31">
        <f>SUM(AY$5:AY149)</f>
        <v>508565.68333946657</v>
      </c>
      <c r="BR149" s="31">
        <f>SUM(AZ$5:AZ149)</f>
        <v>627969.6079900763</v>
      </c>
      <c r="BS149" s="31">
        <f>SUM(BA$5:BA149)</f>
        <v>680367.08021192777</v>
      </c>
      <c r="BT149" s="31">
        <f>SUM(BB$5:BB149)</f>
        <v>546389.77820269321</v>
      </c>
      <c r="BU149" s="31">
        <f>SUM(BC$5:BC149)</f>
        <v>290933.47654734203</v>
      </c>
      <c r="BV149" s="31">
        <f>SUM(BD$5:BD149)</f>
        <v>0</v>
      </c>
      <c r="BW149" s="31">
        <f>SUM(BE$5:BE149)</f>
        <v>0</v>
      </c>
      <c r="BX149" s="31">
        <f>SUM(BF$5:BF149)</f>
        <v>0</v>
      </c>
      <c r="BY149" s="31">
        <f>SUM(BG$5:BG149)</f>
        <v>0</v>
      </c>
      <c r="BZ149" s="31">
        <f>SUM(BH$5:BH149)</f>
        <v>0</v>
      </c>
      <c r="CC149" s="41">
        <v>145</v>
      </c>
      <c r="CD149" s="41">
        <f t="shared" si="74"/>
        <v>17842.381264852742</v>
      </c>
      <c r="CE149" s="41">
        <f t="shared" si="75"/>
        <v>22029.016493228475</v>
      </c>
      <c r="CF149" s="41">
        <f t="shared" si="76"/>
        <v>23861.364916060025</v>
      </c>
      <c r="CG149" s="41">
        <f t="shared" si="77"/>
        <v>19155.365781997203</v>
      </c>
      <c r="CH149" s="41">
        <f t="shared" si="78"/>
        <v>10197.677517619446</v>
      </c>
      <c r="CI149" s="41">
        <f t="shared" si="79"/>
        <v>7633.2166220888221</v>
      </c>
      <c r="CJ149" s="41">
        <f t="shared" si="80"/>
        <v>9425.1085880262344</v>
      </c>
      <c r="CK149" s="41">
        <f t="shared" si="81"/>
        <v>10210.896993028089</v>
      </c>
      <c r="CL149" s="41">
        <f t="shared" si="82"/>
        <v>8199.3715113629478</v>
      </c>
      <c r="CM149" s="41">
        <f t="shared" si="83"/>
        <v>4365.6694635948497</v>
      </c>
      <c r="CN149" s="41">
        <f t="shared" si="84"/>
        <v>0</v>
      </c>
      <c r="CO149" s="41">
        <f t="shared" si="85"/>
        <v>0</v>
      </c>
      <c r="CP149" s="41">
        <f t="shared" si="86"/>
        <v>0</v>
      </c>
      <c r="CQ149" s="41">
        <f t="shared" si="87"/>
        <v>0</v>
      </c>
      <c r="CR149" s="41">
        <f t="shared" si="88"/>
        <v>0</v>
      </c>
    </row>
    <row r="150" spans="23:96" x14ac:dyDescent="0.15">
      <c r="W150" s="117">
        <v>1.05</v>
      </c>
      <c r="X150" s="31">
        <v>146</v>
      </c>
      <c r="Y150" s="113">
        <f t="shared" si="89"/>
        <v>496.24672717332299</v>
      </c>
      <c r="Z150" s="42">
        <f t="shared" si="72"/>
        <v>0.12</v>
      </c>
      <c r="AA150" s="113">
        <f>$Y150*$Z150*其他调用!V149</f>
        <v>4555494.9403395215</v>
      </c>
      <c r="AB150" s="113">
        <f>$Y150*$Z150*其他调用!W149</f>
        <v>5582354.9030843927</v>
      </c>
      <c r="AC150" s="113">
        <f>$Y150*$Z150*其他调用!X149</f>
        <v>5656960.6583959935</v>
      </c>
      <c r="AD150" s="113">
        <f>$Y150*$Z150*其他调用!Y149</f>
        <v>4367082.6281371806</v>
      </c>
      <c r="AE150" s="113">
        <f>$Y150*$Z150*其他调用!Z149</f>
        <v>2342156.7156162993</v>
      </c>
      <c r="AH150" s="31">
        <v>146</v>
      </c>
      <c r="AI150" s="31">
        <f>SUM(AA$5:AA150)</f>
        <v>40894176.870441668</v>
      </c>
      <c r="AJ150" s="31">
        <f>SUM(AB$5:AB150)</f>
        <v>50447383.008736245</v>
      </c>
      <c r="AK150" s="31">
        <f>SUM(AC$5:AC150)</f>
        <v>54253073.954680458</v>
      </c>
      <c r="AL150" s="31">
        <f>SUM(AD$5:AD150)</f>
        <v>43280274.337236471</v>
      </c>
      <c r="AM150" s="31">
        <f>SUM(AE$5:AE150)</f>
        <v>22989303.105599053</v>
      </c>
      <c r="AR150" s="31">
        <v>146</v>
      </c>
      <c r="AS150" s="42">
        <f t="shared" si="73"/>
        <v>8.0000000000000016E-2</v>
      </c>
      <c r="AT150" s="52">
        <f>求节点(E$21:E$27,$M$21:$M$27,$AR150)*$AS150*其他调用!V149</f>
        <v>0</v>
      </c>
      <c r="AU150" s="52">
        <f>求节点(F$21:F$27,$M$21:$M$27,$AR150)*$AS150*其他调用!W149</f>
        <v>0</v>
      </c>
      <c r="AV150" s="52">
        <f>求节点(G$21:G$27,$M$21:$M$27,$AR150)*$AS150*其他调用!X149</f>
        <v>0</v>
      </c>
      <c r="AW150" s="52">
        <f>求节点(H$21:H$27,$M$21:$M$27,$AR150)*$AS150*其他调用!Y149</f>
        <v>0</v>
      </c>
      <c r="AX150" s="52">
        <f>求节点(I$21:I$27,$M$21:$M$27,$AR150)*$AS150*其他调用!Z149</f>
        <v>0</v>
      </c>
      <c r="AY150" s="52">
        <f>求节点(E$21:E$27,$N$21:$N$27,$AR150)*$AS150*其他调用!V149</f>
        <v>36719.596852864968</v>
      </c>
      <c r="AZ150" s="52">
        <f>求节点(F$21:F$27,$N$21:$N$27,$AR150)*$AS150*其他调用!W149</f>
        <v>44996.608319269835</v>
      </c>
      <c r="BA150" s="52">
        <f>求节点(G$21:G$27,$N$21:$N$27,$AR150)*$AS150*其他调用!X149</f>
        <v>45597.968499408969</v>
      </c>
      <c r="BB150" s="52">
        <f>求节点(H$21:H$27,$N$21:$N$27,$AR150)*$AS150*其他调用!Y149</f>
        <v>35200.898174281763</v>
      </c>
      <c r="BC150" s="52">
        <f>求节点(I$21:I$27,$N$21:$N$27,$AR150)*$AS150*其他调用!Z149</f>
        <v>18878.969571910224</v>
      </c>
      <c r="BD150" s="52">
        <f>求节点(E$21:E$27,$O$21:$O$27,$AR150)*$AS150*其他调用!V149</f>
        <v>0</v>
      </c>
      <c r="BE150" s="52">
        <f>求节点(F$21:F$27,$O$21:$O$27,$AR150)*$AS150*其他调用!W149</f>
        <v>0</v>
      </c>
      <c r="BF150" s="52">
        <f>求节点(G$21:G$27,$O$21:$O$27,$AR150)*$AS150*其他调用!X149</f>
        <v>0</v>
      </c>
      <c r="BG150" s="52">
        <f>求节点(H$21:H$27,$O$21:$O$27,$AR150)*$AS150*其他调用!Y149</f>
        <v>0</v>
      </c>
      <c r="BH150" s="52">
        <f>求节点(I$21:I$27,$O$21:$O$27,$AR150)*$AS150*其他调用!Z149</f>
        <v>0</v>
      </c>
      <c r="BK150" s="31">
        <v>146</v>
      </c>
      <c r="BL150" s="31">
        <f>SUM(AT$5:AT150)</f>
        <v>946.27439936474923</v>
      </c>
      <c r="BM150" s="31">
        <f>SUM(AU$5:AU150)</f>
        <v>1112.8936350179583</v>
      </c>
      <c r="BN150" s="31">
        <f>SUM(AV$5:AV150)</f>
        <v>1078.1579698345183</v>
      </c>
      <c r="BO150" s="31">
        <f>SUM(AW$5:AW150)</f>
        <v>704.96766450982125</v>
      </c>
      <c r="BP150" s="31">
        <f>SUM(AX$5:AX150)</f>
        <v>333.4630769439176</v>
      </c>
      <c r="BQ150" s="31">
        <f>SUM(AY$5:AY150)</f>
        <v>545285.28019233153</v>
      </c>
      <c r="BR150" s="31">
        <f>SUM(AZ$5:AZ150)</f>
        <v>672966.21630934614</v>
      </c>
      <c r="BS150" s="31">
        <f>SUM(BA$5:BA150)</f>
        <v>725965.04871133668</v>
      </c>
      <c r="BT150" s="31">
        <f>SUM(BB$5:BB150)</f>
        <v>581590.67637697503</v>
      </c>
      <c r="BU150" s="31">
        <f>SUM(BC$5:BC150)</f>
        <v>309812.44611925224</v>
      </c>
      <c r="BV150" s="31">
        <f>SUM(BD$5:BD150)</f>
        <v>0</v>
      </c>
      <c r="BW150" s="31">
        <f>SUM(BE$5:BE150)</f>
        <v>0</v>
      </c>
      <c r="BX150" s="31">
        <f>SUM(BF$5:BF150)</f>
        <v>0</v>
      </c>
      <c r="BY150" s="31">
        <f>SUM(BG$5:BG150)</f>
        <v>0</v>
      </c>
      <c r="BZ150" s="31">
        <f>SUM(BH$5:BH150)</f>
        <v>0</v>
      </c>
      <c r="CC150" s="41">
        <v>146</v>
      </c>
      <c r="CD150" s="41">
        <f t="shared" si="74"/>
        <v>19127.567154703014</v>
      </c>
      <c r="CE150" s="41">
        <f t="shared" si="75"/>
        <v>23603.897784402921</v>
      </c>
      <c r="CF150" s="41">
        <f t="shared" si="76"/>
        <v>25457.293813539338</v>
      </c>
      <c r="CG150" s="41">
        <f t="shared" si="77"/>
        <v>20387.397218097067</v>
      </c>
      <c r="CH150" s="41">
        <f t="shared" si="78"/>
        <v>10858.441452636303</v>
      </c>
      <c r="CI150" s="41">
        <f t="shared" si="79"/>
        <v>8184.0105748817969</v>
      </c>
      <c r="CJ150" s="41">
        <f t="shared" si="80"/>
        <v>10100.057712815282</v>
      </c>
      <c r="CK150" s="41">
        <f t="shared" si="81"/>
        <v>10894.866520519223</v>
      </c>
      <c r="CL150" s="41">
        <f t="shared" si="82"/>
        <v>8727.3849839771756</v>
      </c>
      <c r="CM150" s="41">
        <f t="shared" si="83"/>
        <v>4648.8540071735024</v>
      </c>
      <c r="CN150" s="41">
        <f t="shared" si="84"/>
        <v>0</v>
      </c>
      <c r="CO150" s="41">
        <f t="shared" si="85"/>
        <v>0</v>
      </c>
      <c r="CP150" s="41">
        <f t="shared" si="86"/>
        <v>0</v>
      </c>
      <c r="CQ150" s="41">
        <f t="shared" si="87"/>
        <v>0</v>
      </c>
      <c r="CR150" s="41">
        <f t="shared" si="88"/>
        <v>0</v>
      </c>
    </row>
    <row r="151" spans="23:96" x14ac:dyDescent="0.15">
      <c r="W151" s="117">
        <v>1.05</v>
      </c>
      <c r="X151" s="31">
        <v>147</v>
      </c>
      <c r="Y151" s="113">
        <f t="shared" si="89"/>
        <v>521.05906353198918</v>
      </c>
      <c r="Z151" s="42">
        <f t="shared" si="72"/>
        <v>0.12</v>
      </c>
      <c r="AA151" s="113">
        <f>$Y151*$Z151*其他调用!V150</f>
        <v>5126581.5150629655</v>
      </c>
      <c r="AB151" s="113">
        <f>$Y151*$Z151*其他调用!W150</f>
        <v>5944689.5048259832</v>
      </c>
      <c r="AC151" s="113">
        <f>$Y151*$Z151*其他调用!X150</f>
        <v>6227668.0906418078</v>
      </c>
      <c r="AD151" s="113">
        <f>$Y151*$Z151*其他调用!Y150</f>
        <v>4995504.28516794</v>
      </c>
      <c r="AE151" s="113">
        <f>$Y151*$Z151*其他调用!Z150</f>
        <v>2684822.2890288909</v>
      </c>
      <c r="AH151" s="31">
        <v>147</v>
      </c>
      <c r="AI151" s="31">
        <f>SUM(AA$5:AA151)</f>
        <v>46020758.385504633</v>
      </c>
      <c r="AJ151" s="31">
        <f>SUM(AB$5:AB151)</f>
        <v>56392072.513562232</v>
      </c>
      <c r="AK151" s="31">
        <f>SUM(AC$5:AC151)</f>
        <v>60480742.045322269</v>
      </c>
      <c r="AL151" s="31">
        <f>SUM(AD$5:AD151)</f>
        <v>48275778.622404411</v>
      </c>
      <c r="AM151" s="31">
        <f>SUM(AE$5:AE151)</f>
        <v>25674125.394627944</v>
      </c>
      <c r="AR151" s="31">
        <v>147</v>
      </c>
      <c r="AS151" s="42">
        <f t="shared" si="73"/>
        <v>8.0000000000000016E-2</v>
      </c>
      <c r="AT151" s="52">
        <f>求节点(E$21:E$27,$M$21:$M$27,$AR151)*$AS151*其他调用!V150</f>
        <v>0</v>
      </c>
      <c r="AU151" s="52">
        <f>求节点(F$21:F$27,$M$21:$M$27,$AR151)*$AS151*其他调用!W150</f>
        <v>0</v>
      </c>
      <c r="AV151" s="52">
        <f>求节点(G$21:G$27,$M$21:$M$27,$AR151)*$AS151*其他调用!X150</f>
        <v>0</v>
      </c>
      <c r="AW151" s="52">
        <f>求节点(H$21:H$27,$M$21:$M$27,$AR151)*$AS151*其他调用!Y150</f>
        <v>0</v>
      </c>
      <c r="AX151" s="52">
        <f>求节点(I$21:I$27,$M$21:$M$27,$AR151)*$AS151*其他调用!Z150</f>
        <v>0</v>
      </c>
      <c r="AY151" s="52">
        <f>求节点(E$21:E$27,$N$21:$N$27,$AR151)*$AS151*其他调用!V150</f>
        <v>39355.089461931857</v>
      </c>
      <c r="AZ151" s="52">
        <f>求节点(F$21:F$27,$N$21:$N$27,$AR151)*$AS151*其他调用!W150</f>
        <v>45635.436908284581</v>
      </c>
      <c r="BA151" s="52">
        <f>求节点(G$21:G$27,$N$21:$N$27,$AR151)*$AS151*其他调用!X150</f>
        <v>47807.77095347063</v>
      </c>
      <c r="BB151" s="52">
        <f>求节点(H$21:H$27,$N$21:$N$27,$AR151)*$AS151*其他调用!Y150</f>
        <v>38348.852441456511</v>
      </c>
      <c r="BC151" s="52">
        <f>求节点(I$21:I$27,$N$21:$N$27,$AR151)*$AS151*其他调用!Z150</f>
        <v>20610.502547099928</v>
      </c>
      <c r="BD151" s="52">
        <f>求节点(E$21:E$27,$O$21:$O$27,$AR151)*$AS151*其他调用!V150</f>
        <v>0</v>
      </c>
      <c r="BE151" s="52">
        <f>求节点(F$21:F$27,$O$21:$O$27,$AR151)*$AS151*其他调用!W150</f>
        <v>0</v>
      </c>
      <c r="BF151" s="52">
        <f>求节点(G$21:G$27,$O$21:$O$27,$AR151)*$AS151*其他调用!X150</f>
        <v>0</v>
      </c>
      <c r="BG151" s="52">
        <f>求节点(H$21:H$27,$O$21:$O$27,$AR151)*$AS151*其他调用!Y150</f>
        <v>0</v>
      </c>
      <c r="BH151" s="52">
        <f>求节点(I$21:I$27,$O$21:$O$27,$AR151)*$AS151*其他调用!Z150</f>
        <v>0</v>
      </c>
      <c r="BK151" s="31">
        <v>147</v>
      </c>
      <c r="BL151" s="31">
        <f>SUM(AT$5:AT151)</f>
        <v>946.27439936474923</v>
      </c>
      <c r="BM151" s="31">
        <f>SUM(AU$5:AU151)</f>
        <v>1112.8936350179583</v>
      </c>
      <c r="BN151" s="31">
        <f>SUM(AV$5:AV151)</f>
        <v>1078.1579698345183</v>
      </c>
      <c r="BO151" s="31">
        <f>SUM(AW$5:AW151)</f>
        <v>704.96766450982125</v>
      </c>
      <c r="BP151" s="31">
        <f>SUM(AX$5:AX151)</f>
        <v>333.4630769439176</v>
      </c>
      <c r="BQ151" s="31">
        <f>SUM(AY$5:AY151)</f>
        <v>584640.36965426337</v>
      </c>
      <c r="BR151" s="31">
        <f>SUM(AZ$5:AZ151)</f>
        <v>718601.65321763069</v>
      </c>
      <c r="BS151" s="31">
        <f>SUM(BA$5:BA151)</f>
        <v>773772.81966480729</v>
      </c>
      <c r="BT151" s="31">
        <f>SUM(BB$5:BB151)</f>
        <v>619939.52881843154</v>
      </c>
      <c r="BU151" s="31">
        <f>SUM(BC$5:BC151)</f>
        <v>330422.9486663522</v>
      </c>
      <c r="BV151" s="31">
        <f>SUM(BD$5:BD151)</f>
        <v>0</v>
      </c>
      <c r="BW151" s="31">
        <f>SUM(BE$5:BE151)</f>
        <v>0</v>
      </c>
      <c r="BX151" s="31">
        <f>SUM(BF$5:BF151)</f>
        <v>0</v>
      </c>
      <c r="BY151" s="31">
        <f>SUM(BG$5:BG151)</f>
        <v>0</v>
      </c>
      <c r="BZ151" s="31">
        <f>SUM(BH$5:BH151)</f>
        <v>0</v>
      </c>
      <c r="CC151" s="41">
        <v>147</v>
      </c>
      <c r="CD151" s="41">
        <f t="shared" si="74"/>
        <v>20504.995285870631</v>
      </c>
      <c r="CE151" s="41">
        <f t="shared" si="75"/>
        <v>25201.138076192881</v>
      </c>
      <c r="CF151" s="41">
        <f t="shared" si="76"/>
        <v>27130.565796910807</v>
      </c>
      <c r="CG151" s="41">
        <f t="shared" si="77"/>
        <v>21729.607053548047</v>
      </c>
      <c r="CH151" s="41">
        <f t="shared" si="78"/>
        <v>11579.809041784803</v>
      </c>
      <c r="CI151" s="41">
        <f t="shared" si="79"/>
        <v>8774.3369168107747</v>
      </c>
      <c r="CJ151" s="41">
        <f t="shared" si="80"/>
        <v>10784.589266439551</v>
      </c>
      <c r="CK151" s="41">
        <f t="shared" si="81"/>
        <v>11611.983084821282</v>
      </c>
      <c r="CL151" s="41">
        <f t="shared" si="82"/>
        <v>9302.6177705990231</v>
      </c>
      <c r="CM151" s="41">
        <f t="shared" si="83"/>
        <v>4958.0115453800017</v>
      </c>
      <c r="CN151" s="41">
        <f t="shared" si="84"/>
        <v>0</v>
      </c>
      <c r="CO151" s="41">
        <f t="shared" si="85"/>
        <v>0</v>
      </c>
      <c r="CP151" s="41">
        <f t="shared" si="86"/>
        <v>0</v>
      </c>
      <c r="CQ151" s="41">
        <f t="shared" si="87"/>
        <v>0</v>
      </c>
      <c r="CR151" s="41">
        <f t="shared" si="88"/>
        <v>0</v>
      </c>
    </row>
    <row r="152" spans="23:96" x14ac:dyDescent="0.15">
      <c r="W152" s="117">
        <v>1.05</v>
      </c>
      <c r="X152" s="31">
        <v>148</v>
      </c>
      <c r="Y152" s="113">
        <f t="shared" si="89"/>
        <v>547.11201670858861</v>
      </c>
      <c r="Z152" s="42">
        <f t="shared" si="72"/>
        <v>0.12</v>
      </c>
      <c r="AA152" s="113">
        <f>$Y152*$Z152*其他调用!V151</f>
        <v>5769260.722442409</v>
      </c>
      <c r="AB152" s="113">
        <f>$Y152*$Z152*其他调用!W151</f>
        <v>7037785.3227883819</v>
      </c>
      <c r="AC152" s="113">
        <f>$Y152*$Z152*其他调用!X151</f>
        <v>7696686.9724656381</v>
      </c>
      <c r="AD152" s="113">
        <f>$Y152*$Z152*其他调用!Y151</f>
        <v>6300586.6680518463</v>
      </c>
      <c r="AE152" s="113">
        <f>$Y152*$Z152*其他调用!Z151</f>
        <v>3351816.1194350617</v>
      </c>
      <c r="AH152" s="31">
        <v>148</v>
      </c>
      <c r="AI152" s="31">
        <f>SUM(AA$5:AA152)</f>
        <v>51790019.107947044</v>
      </c>
      <c r="AJ152" s="31">
        <f>SUM(AB$5:AB152)</f>
        <v>63429857.836350612</v>
      </c>
      <c r="AK152" s="31">
        <f>SUM(AC$5:AC152)</f>
        <v>68177429.017787904</v>
      </c>
      <c r="AL152" s="31">
        <f>SUM(AD$5:AD152)</f>
        <v>54576365.290456258</v>
      </c>
      <c r="AM152" s="31">
        <f>SUM(AE$5:AE152)</f>
        <v>29025941.514063004</v>
      </c>
      <c r="AR152" s="31">
        <v>148</v>
      </c>
      <c r="AS152" s="42">
        <f t="shared" si="73"/>
        <v>8.0000000000000016E-2</v>
      </c>
      <c r="AT152" s="52">
        <f>求节点(E$21:E$27,$M$21:$M$27,$AR152)*$AS152*其他调用!V151</f>
        <v>0</v>
      </c>
      <c r="AU152" s="52">
        <f>求节点(F$21:F$27,$M$21:$M$27,$AR152)*$AS152*其他调用!W151</f>
        <v>0</v>
      </c>
      <c r="AV152" s="52">
        <f>求节点(G$21:G$27,$M$21:$M$27,$AR152)*$AS152*其他调用!X151</f>
        <v>0</v>
      </c>
      <c r="AW152" s="52">
        <f>求节点(H$21:H$27,$M$21:$M$27,$AR152)*$AS152*其他调用!Y151</f>
        <v>0</v>
      </c>
      <c r="AX152" s="52">
        <f>求节点(I$21:I$27,$M$21:$M$27,$AR152)*$AS152*其他调用!Z151</f>
        <v>0</v>
      </c>
      <c r="AY152" s="52">
        <f>求节点(E$21:E$27,$N$21:$N$27,$AR152)*$AS152*其他调用!V151</f>
        <v>42179.740501041306</v>
      </c>
      <c r="AZ152" s="52">
        <f>求节点(F$21:F$27,$N$21:$N$27,$AR152)*$AS152*其他调用!W151</f>
        <v>51454.072349772279</v>
      </c>
      <c r="BA152" s="52">
        <f>求节点(G$21:G$27,$N$21:$N$27,$AR152)*$AS152*其他调用!X151</f>
        <v>56271.379442686746</v>
      </c>
      <c r="BB152" s="52">
        <f>求节点(H$21:H$27,$N$21:$N$27,$AR152)*$AS152*其他调用!Y151</f>
        <v>46064.326687291643</v>
      </c>
      <c r="BC152" s="52">
        <f>求节点(I$21:I$27,$N$21:$N$27,$AR152)*$AS152*其他调用!Z151</f>
        <v>24505.52001836479</v>
      </c>
      <c r="BD152" s="52">
        <f>求节点(E$21:E$27,$O$21:$O$27,$AR152)*$AS152*其他调用!V151</f>
        <v>0</v>
      </c>
      <c r="BE152" s="52">
        <f>求节点(F$21:F$27,$O$21:$O$27,$AR152)*$AS152*其他调用!W151</f>
        <v>0</v>
      </c>
      <c r="BF152" s="52">
        <f>求节点(G$21:G$27,$O$21:$O$27,$AR152)*$AS152*其他调用!X151</f>
        <v>0</v>
      </c>
      <c r="BG152" s="52">
        <f>求节点(H$21:H$27,$O$21:$O$27,$AR152)*$AS152*其他调用!Y151</f>
        <v>0</v>
      </c>
      <c r="BH152" s="52">
        <f>求节点(I$21:I$27,$O$21:$O$27,$AR152)*$AS152*其他调用!Z151</f>
        <v>0</v>
      </c>
      <c r="BK152" s="31">
        <v>148</v>
      </c>
      <c r="BL152" s="31">
        <f>SUM(AT$5:AT152)</f>
        <v>946.27439936474923</v>
      </c>
      <c r="BM152" s="31">
        <f>SUM(AU$5:AU152)</f>
        <v>1112.8936350179583</v>
      </c>
      <c r="BN152" s="31">
        <f>SUM(AV$5:AV152)</f>
        <v>1078.1579698345183</v>
      </c>
      <c r="BO152" s="31">
        <f>SUM(AW$5:AW152)</f>
        <v>704.96766450982125</v>
      </c>
      <c r="BP152" s="31">
        <f>SUM(AX$5:AX152)</f>
        <v>333.4630769439176</v>
      </c>
      <c r="BQ152" s="31">
        <f>SUM(AY$5:AY152)</f>
        <v>626820.11015530466</v>
      </c>
      <c r="BR152" s="31">
        <f>SUM(AZ$5:AZ152)</f>
        <v>770055.72556740302</v>
      </c>
      <c r="BS152" s="31">
        <f>SUM(BA$5:BA152)</f>
        <v>830044.19910749409</v>
      </c>
      <c r="BT152" s="31">
        <f>SUM(BB$5:BB152)</f>
        <v>666003.85550572316</v>
      </c>
      <c r="BU152" s="31">
        <f>SUM(BC$5:BC152)</f>
        <v>354928.46868471697</v>
      </c>
      <c r="BV152" s="31">
        <f>SUM(BD$5:BD152)</f>
        <v>0</v>
      </c>
      <c r="BW152" s="31">
        <f>SUM(BE$5:BE152)</f>
        <v>0</v>
      </c>
      <c r="BX152" s="31">
        <f>SUM(BF$5:BF152)</f>
        <v>0</v>
      </c>
      <c r="BY152" s="31">
        <f>SUM(BG$5:BG152)</f>
        <v>0</v>
      </c>
      <c r="BZ152" s="31">
        <f>SUM(BH$5:BH152)</f>
        <v>0</v>
      </c>
      <c r="CC152" s="41">
        <v>148</v>
      </c>
      <c r="CD152" s="41">
        <f t="shared" si="74"/>
        <v>21981.286203407075</v>
      </c>
      <c r="CE152" s="41">
        <f t="shared" si="75"/>
        <v>27002.030608434918</v>
      </c>
      <c r="CF152" s="41">
        <f t="shared" si="76"/>
        <v>29100.064077404844</v>
      </c>
      <c r="CG152" s="41">
        <f t="shared" si="77"/>
        <v>23341.858487603251</v>
      </c>
      <c r="CH152" s="41">
        <f t="shared" si="78"/>
        <v>12437.50224242757</v>
      </c>
      <c r="CI152" s="41">
        <f t="shared" si="79"/>
        <v>9407.0330243263925</v>
      </c>
      <c r="CJ152" s="41">
        <f t="shared" si="80"/>
        <v>11556.400351686136</v>
      </c>
      <c r="CK152" s="41">
        <f t="shared" si="81"/>
        <v>12456.053776461584</v>
      </c>
      <c r="CL152" s="41">
        <f t="shared" si="82"/>
        <v>9993.5826709083958</v>
      </c>
      <c r="CM152" s="41">
        <f t="shared" si="83"/>
        <v>5325.5943456554733</v>
      </c>
      <c r="CN152" s="41">
        <f t="shared" si="84"/>
        <v>0</v>
      </c>
      <c r="CO152" s="41">
        <f t="shared" si="85"/>
        <v>0</v>
      </c>
      <c r="CP152" s="41">
        <f t="shared" si="86"/>
        <v>0</v>
      </c>
      <c r="CQ152" s="41">
        <f t="shared" si="87"/>
        <v>0</v>
      </c>
      <c r="CR152" s="41">
        <f t="shared" si="88"/>
        <v>0</v>
      </c>
    </row>
    <row r="153" spans="23:96" x14ac:dyDescent="0.15">
      <c r="W153" s="117">
        <v>1.05</v>
      </c>
      <c r="X153" s="31">
        <v>149</v>
      </c>
      <c r="Y153" s="113">
        <f t="shared" si="89"/>
        <v>574.46761754401803</v>
      </c>
      <c r="Z153" s="42">
        <f t="shared" si="72"/>
        <v>0.12</v>
      </c>
      <c r="AA153" s="113">
        <f>$Y153*$Z153*其他调用!V152</f>
        <v>6492507.5678051021</v>
      </c>
      <c r="AB153" s="113">
        <f>$Y153*$Z153*其他调用!W152</f>
        <v>8057480.7812218107</v>
      </c>
      <c r="AC153" s="113">
        <f>$Y153*$Z153*其他调用!X152</f>
        <v>8743412.9285418428</v>
      </c>
      <c r="AD153" s="113">
        <f>$Y153*$Z153*其他调用!Y152</f>
        <v>7170103.2908800803</v>
      </c>
      <c r="AE153" s="113">
        <f>$Y153*$Z153*其他调用!Z152</f>
        <v>3844399.528250813</v>
      </c>
      <c r="AH153" s="31">
        <v>149</v>
      </c>
      <c r="AI153" s="31">
        <f>SUM(AA$5:AA153)</f>
        <v>58282526.675752148</v>
      </c>
      <c r="AJ153" s="31">
        <f>SUM(AB$5:AB153)</f>
        <v>71487338.617572427</v>
      </c>
      <c r="AK153" s="31">
        <f>SUM(AC$5:AC153)</f>
        <v>76920841.946329743</v>
      </c>
      <c r="AL153" s="31">
        <f>SUM(AD$5:AD153)</f>
        <v>61746468.581336334</v>
      </c>
      <c r="AM153" s="31">
        <f>SUM(AE$5:AE153)</f>
        <v>32870341.042313818</v>
      </c>
      <c r="AR153" s="31">
        <v>149</v>
      </c>
      <c r="AS153" s="42">
        <f t="shared" si="73"/>
        <v>8.0000000000000016E-2</v>
      </c>
      <c r="AT153" s="52">
        <f>求节点(E$21:E$27,$M$21:$M$27,$AR153)*$AS153*其他调用!V152</f>
        <v>0</v>
      </c>
      <c r="AU153" s="52">
        <f>求节点(F$21:F$27,$M$21:$M$27,$AR153)*$AS153*其他调用!W152</f>
        <v>0</v>
      </c>
      <c r="AV153" s="52">
        <f>求节点(G$21:G$27,$M$21:$M$27,$AR153)*$AS153*其他调用!X152</f>
        <v>0</v>
      </c>
      <c r="AW153" s="52">
        <f>求节点(H$21:H$27,$M$21:$M$27,$AR153)*$AS153*其他调用!Y152</f>
        <v>0</v>
      </c>
      <c r="AX153" s="52">
        <f>求节点(I$21:I$27,$M$21:$M$27,$AR153)*$AS153*其他调用!Z152</f>
        <v>0</v>
      </c>
      <c r="AY153" s="52">
        <f>求节点(E$21:E$27,$N$21:$N$27,$AR153)*$AS153*其他调用!V152</f>
        <v>45207.126525683561</v>
      </c>
      <c r="AZ153" s="52">
        <f>求节点(F$21:F$27,$N$21:$N$27,$AR153)*$AS153*其他调用!W152</f>
        <v>56103.985917740029</v>
      </c>
      <c r="BA153" s="52">
        <f>求节点(G$21:G$27,$N$21:$N$27,$AR153)*$AS153*其他调用!X152</f>
        <v>60880.109941945608</v>
      </c>
      <c r="BB153" s="52">
        <f>求节点(H$21:H$27,$N$21:$N$27,$AR153)*$AS153*其他调用!Y152</f>
        <v>49925.204289383153</v>
      </c>
      <c r="BC153" s="52">
        <f>求节点(I$21:I$27,$N$21:$N$27,$AR153)*$AS153*其他调用!Z152</f>
        <v>26768.43331700061</v>
      </c>
      <c r="BD153" s="52">
        <f>求节点(E$21:E$27,$O$21:$O$27,$AR153)*$AS153*其他调用!V152</f>
        <v>0</v>
      </c>
      <c r="BE153" s="52">
        <f>求节点(F$21:F$27,$O$21:$O$27,$AR153)*$AS153*其他调用!W152</f>
        <v>0</v>
      </c>
      <c r="BF153" s="52">
        <f>求节点(G$21:G$27,$O$21:$O$27,$AR153)*$AS153*其他调用!X152</f>
        <v>0</v>
      </c>
      <c r="BG153" s="52">
        <f>求节点(H$21:H$27,$O$21:$O$27,$AR153)*$AS153*其他调用!Y152</f>
        <v>0</v>
      </c>
      <c r="BH153" s="52">
        <f>求节点(I$21:I$27,$O$21:$O$27,$AR153)*$AS153*其他调用!Z152</f>
        <v>0</v>
      </c>
      <c r="BK153" s="31">
        <v>149</v>
      </c>
      <c r="BL153" s="31">
        <f>SUM(AT$5:AT153)</f>
        <v>946.27439936474923</v>
      </c>
      <c r="BM153" s="31">
        <f>SUM(AU$5:AU153)</f>
        <v>1112.8936350179583</v>
      </c>
      <c r="BN153" s="31">
        <f>SUM(AV$5:AV153)</f>
        <v>1078.1579698345183</v>
      </c>
      <c r="BO153" s="31">
        <f>SUM(AW$5:AW153)</f>
        <v>704.96766450982125</v>
      </c>
      <c r="BP153" s="31">
        <f>SUM(AX$5:AX153)</f>
        <v>333.4630769439176</v>
      </c>
      <c r="BQ153" s="31">
        <f>SUM(AY$5:AY153)</f>
        <v>672027.23668098822</v>
      </c>
      <c r="BR153" s="31">
        <f>SUM(AZ$5:AZ153)</f>
        <v>826159.71148514305</v>
      </c>
      <c r="BS153" s="31">
        <f>SUM(BA$5:BA153)</f>
        <v>890924.30904943973</v>
      </c>
      <c r="BT153" s="31">
        <f>SUM(BB$5:BB153)</f>
        <v>715929.0597951063</v>
      </c>
      <c r="BU153" s="31">
        <f>SUM(BC$5:BC153)</f>
        <v>381696.90200171759</v>
      </c>
      <c r="BV153" s="31">
        <f>SUM(BD$5:BD153)</f>
        <v>0</v>
      </c>
      <c r="BW153" s="31">
        <f>SUM(BE$5:BE153)</f>
        <v>0</v>
      </c>
      <c r="BX153" s="31">
        <f>SUM(BF$5:BF153)</f>
        <v>0</v>
      </c>
      <c r="BY153" s="31">
        <f>SUM(BG$5:BG153)</f>
        <v>0</v>
      </c>
      <c r="BZ153" s="31">
        <f>SUM(BH$5:BH153)</f>
        <v>0</v>
      </c>
      <c r="CC153" s="41">
        <v>149</v>
      </c>
      <c r="CD153" s="41">
        <f t="shared" si="74"/>
        <v>23563.535631806</v>
      </c>
      <c r="CE153" s="41">
        <f t="shared" si="75"/>
        <v>28965.670115555818</v>
      </c>
      <c r="CF153" s="41">
        <f t="shared" si="76"/>
        <v>31230.867925372942</v>
      </c>
      <c r="CG153" s="41">
        <f t="shared" si="77"/>
        <v>25089.240637731658</v>
      </c>
      <c r="CH153" s="41">
        <f t="shared" si="78"/>
        <v>13374.397408522593</v>
      </c>
      <c r="CI153" s="41">
        <f t="shared" si="79"/>
        <v>10085.139922211647</v>
      </c>
      <c r="CJ153" s="41">
        <f t="shared" si="80"/>
        <v>12397.960140452236</v>
      </c>
      <c r="CK153" s="41">
        <f t="shared" si="81"/>
        <v>13369.255425590765</v>
      </c>
      <c r="CL153" s="41">
        <f t="shared" si="82"/>
        <v>10742.460735249144</v>
      </c>
      <c r="CM153" s="41">
        <f t="shared" si="83"/>
        <v>5727.1208454104835</v>
      </c>
      <c r="CN153" s="41">
        <f t="shared" si="84"/>
        <v>0</v>
      </c>
      <c r="CO153" s="41">
        <f t="shared" si="85"/>
        <v>0</v>
      </c>
      <c r="CP153" s="41">
        <f t="shared" si="86"/>
        <v>0</v>
      </c>
      <c r="CQ153" s="41">
        <f t="shared" si="87"/>
        <v>0</v>
      </c>
      <c r="CR153" s="41">
        <f t="shared" si="88"/>
        <v>0</v>
      </c>
    </row>
    <row r="154" spans="23:96" x14ac:dyDescent="0.15">
      <c r="W154" s="117">
        <v>1.05</v>
      </c>
      <c r="X154" s="31">
        <v>150</v>
      </c>
      <c r="Y154" s="113">
        <f t="shared" si="89"/>
        <v>603.19099842121898</v>
      </c>
      <c r="Z154" s="42">
        <f t="shared" si="72"/>
        <v>0.12</v>
      </c>
      <c r="AA154" s="113">
        <f>$Y154*$Z154*其他调用!V153</f>
        <v>7306422.182313879</v>
      </c>
      <c r="AB154" s="113">
        <f>$Y154*$Z154*其他调用!W153</f>
        <v>9073969.1665122546</v>
      </c>
      <c r="AC154" s="113">
        <f>$Y154*$Z154*其他调用!X153</f>
        <v>9915818.7836792096</v>
      </c>
      <c r="AD154" s="113">
        <f>$Y154*$Z154*其他调用!Y153</f>
        <v>7845939.0632009814</v>
      </c>
      <c r="AE154" s="113">
        <f>$Y154*$Z154*其他调用!Z153</f>
        <v>4559293.301428128</v>
      </c>
      <c r="AH154" s="31">
        <v>150</v>
      </c>
      <c r="AI154" s="31">
        <f>SUM(AA$5:AA154)</f>
        <v>65588948.85806603</v>
      </c>
      <c r="AJ154" s="31">
        <f>SUM(AB$5:AB154)</f>
        <v>80561307.784084678</v>
      </c>
      <c r="AK154" s="31">
        <f>SUM(AC$5:AC154)</f>
        <v>86836660.73000896</v>
      </c>
      <c r="AL154" s="31">
        <f>SUM(AD$5:AD154)</f>
        <v>69592407.644537315</v>
      </c>
      <c r="AM154" s="31">
        <f>SUM(AE$5:AE154)</f>
        <v>37429634.343741946</v>
      </c>
      <c r="AR154" s="31">
        <v>150</v>
      </c>
      <c r="AS154" s="42">
        <f t="shared" si="73"/>
        <v>8.0000000000000016E-2</v>
      </c>
      <c r="AT154" s="52">
        <f>求节点(E$21:E$27,$M$21:$M$27,$AR154)*$AS154*其他调用!V153</f>
        <v>0</v>
      </c>
      <c r="AU154" s="52">
        <f>求节点(F$21:F$27,$M$21:$M$27,$AR154)*$AS154*其他调用!W153</f>
        <v>0</v>
      </c>
      <c r="AV154" s="52">
        <f>求节点(G$21:G$27,$M$21:$M$27,$AR154)*$AS154*其他调用!X153</f>
        <v>0</v>
      </c>
      <c r="AW154" s="52">
        <f>求节点(H$21:H$27,$M$21:$M$27,$AR154)*$AS154*其他调用!Y153</f>
        <v>0</v>
      </c>
      <c r="AX154" s="52">
        <f>求节点(I$21:I$27,$M$21:$M$27,$AR154)*$AS154*其他调用!Z153</f>
        <v>0</v>
      </c>
      <c r="AY154" s="52">
        <f>求节点(E$21:E$27,$N$21:$N$27,$AR154)*$AS154*其他调用!V153</f>
        <v>48451.798527747102</v>
      </c>
      <c r="AZ154" s="52">
        <f>求节点(F$21:F$27,$N$21:$N$27,$AR154)*$AS154*其他调用!W153</f>
        <v>60173.107292796456</v>
      </c>
      <c r="BA154" s="52">
        <f>求节点(G$21:G$27,$N$21:$N$27,$AR154)*$AS154*其他调用!X153</f>
        <v>65755.747745789937</v>
      </c>
      <c r="BB154" s="52">
        <f>求节点(H$21:H$27,$N$21:$N$27,$AR154)*$AS154*其他调用!Y153</f>
        <v>52029.550067801414</v>
      </c>
      <c r="BC154" s="52">
        <f>求节点(I$21:I$27,$N$21:$N$27,$AR154)*$AS154*其他调用!Z153</f>
        <v>30234.491650979806</v>
      </c>
      <c r="BD154" s="52">
        <f>求节点(E$21:E$27,$O$21:$O$27,$AR154)*$AS154*其他调用!V153</f>
        <v>0</v>
      </c>
      <c r="BE154" s="52">
        <f>求节点(F$21:F$27,$O$21:$O$27,$AR154)*$AS154*其他调用!W153</f>
        <v>0</v>
      </c>
      <c r="BF154" s="52">
        <f>求节点(G$21:G$27,$O$21:$O$27,$AR154)*$AS154*其他调用!X153</f>
        <v>0</v>
      </c>
      <c r="BG154" s="52">
        <f>求节点(H$21:H$27,$O$21:$O$27,$AR154)*$AS154*其他调用!Y153</f>
        <v>0</v>
      </c>
      <c r="BH154" s="52">
        <f>求节点(I$21:I$27,$O$21:$O$27,$AR154)*$AS154*其他调用!Z153</f>
        <v>0</v>
      </c>
      <c r="BK154" s="31">
        <v>150</v>
      </c>
      <c r="BL154" s="31">
        <f>SUM(AT$5:AT154)</f>
        <v>946.27439936474923</v>
      </c>
      <c r="BM154" s="31">
        <f>SUM(AU$5:AU154)</f>
        <v>1112.8936350179583</v>
      </c>
      <c r="BN154" s="31">
        <f>SUM(AV$5:AV154)</f>
        <v>1078.1579698345183</v>
      </c>
      <c r="BO154" s="31">
        <f>SUM(AW$5:AW154)</f>
        <v>704.96766450982125</v>
      </c>
      <c r="BP154" s="31">
        <f>SUM(AX$5:AX154)</f>
        <v>333.4630769439176</v>
      </c>
      <c r="BQ154" s="31">
        <f>SUM(AY$5:AY154)</f>
        <v>720479.03520873538</v>
      </c>
      <c r="BR154" s="31">
        <f>SUM(AZ$5:AZ154)</f>
        <v>886332.81877793954</v>
      </c>
      <c r="BS154" s="31">
        <f>SUM(BA$5:BA154)</f>
        <v>956680.05679522967</v>
      </c>
      <c r="BT154" s="31">
        <f>SUM(BB$5:BB154)</f>
        <v>767958.60986290767</v>
      </c>
      <c r="BU154" s="31">
        <f>SUM(BC$5:BC154)</f>
        <v>411931.39365269738</v>
      </c>
      <c r="BV154" s="31">
        <f>SUM(BD$5:BD154)</f>
        <v>0</v>
      </c>
      <c r="BW154" s="31">
        <f>SUM(BE$5:BE154)</f>
        <v>0</v>
      </c>
      <c r="BX154" s="31">
        <f>SUM(BF$5:BF154)</f>
        <v>0</v>
      </c>
      <c r="BY154" s="31">
        <f>SUM(BG$5:BG154)</f>
        <v>0</v>
      </c>
      <c r="BZ154" s="31">
        <f>SUM(BH$5:BH154)</f>
        <v>0</v>
      </c>
      <c r="CC154" s="41">
        <v>150</v>
      </c>
      <c r="CD154" s="41">
        <f t="shared" si="74"/>
        <v>25259.34858027715</v>
      </c>
      <c r="CE154" s="41">
        <f t="shared" si="75"/>
        <v>31071.728870803694</v>
      </c>
      <c r="CF154" s="41">
        <f t="shared" si="76"/>
        <v>33532.319096475592</v>
      </c>
      <c r="CG154" s="41">
        <f t="shared" si="77"/>
        <v>26910.274890104709</v>
      </c>
      <c r="CH154" s="41">
        <f t="shared" si="78"/>
        <v>14432.604616306886</v>
      </c>
      <c r="CI154" s="41">
        <f t="shared" si="79"/>
        <v>10811.916900127853</v>
      </c>
      <c r="CJ154" s="41">
        <f t="shared" si="80"/>
        <v>13300.556749844181</v>
      </c>
      <c r="CK154" s="41">
        <f t="shared" si="81"/>
        <v>14355.591641777617</v>
      </c>
      <c r="CL154" s="41">
        <f t="shared" si="82"/>
        <v>11522.903986266163</v>
      </c>
      <c r="CM154" s="41">
        <f t="shared" si="83"/>
        <v>6180.6382201751794</v>
      </c>
      <c r="CN154" s="41">
        <f t="shared" si="84"/>
        <v>0</v>
      </c>
      <c r="CO154" s="41">
        <f t="shared" si="85"/>
        <v>0</v>
      </c>
      <c r="CP154" s="41">
        <f t="shared" si="86"/>
        <v>0</v>
      </c>
      <c r="CQ154" s="41">
        <f t="shared" si="87"/>
        <v>0</v>
      </c>
      <c r="CR154" s="41">
        <f t="shared" si="88"/>
        <v>0</v>
      </c>
    </row>
    <row r="155" spans="23:96" x14ac:dyDescent="0.15">
      <c r="W155" s="117">
        <v>1.05</v>
      </c>
      <c r="X155" s="31">
        <v>151</v>
      </c>
      <c r="Y155" s="113">
        <f t="shared" si="89"/>
        <v>633.35054834227992</v>
      </c>
      <c r="Z155" s="42">
        <f t="shared" si="72"/>
        <v>0.12</v>
      </c>
      <c r="AA155" s="113">
        <f>$Y155*$Z155*其他调用!V154</f>
        <v>8222370.8711449504</v>
      </c>
      <c r="AB155" s="113">
        <f>$Y155*$Z155*其他调用!W154</f>
        <v>10218687.176608147</v>
      </c>
      <c r="AC155" s="113">
        <f>$Y155*$Z155*其他调用!X154</f>
        <v>11176780.14329242</v>
      </c>
      <c r="AD155" s="113">
        <f>$Y155*$Z155*其他调用!Y154</f>
        <v>9769767.4276735857</v>
      </c>
      <c r="AE155" s="113">
        <f>$Y155*$Z155*其他调用!Z154</f>
        <v>6701696.4855245799</v>
      </c>
      <c r="AH155" s="31">
        <v>151</v>
      </c>
      <c r="AI155" s="31">
        <f>SUM(AA$5:AA155)</f>
        <v>73811319.729210973</v>
      </c>
      <c r="AJ155" s="31">
        <f>SUM(AB$5:AB155)</f>
        <v>90779994.960692823</v>
      </c>
      <c r="AK155" s="31">
        <f>SUM(AC$5:AC155)</f>
        <v>98013440.873301387</v>
      </c>
      <c r="AL155" s="31">
        <f>SUM(AD$5:AD155)</f>
        <v>79362175.072210908</v>
      </c>
      <c r="AM155" s="31">
        <f>SUM(AE$5:AE155)</f>
        <v>44131330.829266526</v>
      </c>
      <c r="AR155" s="31">
        <v>151</v>
      </c>
      <c r="AS155" s="42">
        <f t="shared" si="73"/>
        <v>8.0000000000000016E-2</v>
      </c>
      <c r="AT155" s="52">
        <f>求节点(E$21:E$27,$M$21:$M$27,$AR155)*$AS155*其他调用!V154</f>
        <v>0</v>
      </c>
      <c r="AU155" s="52">
        <f>求节点(F$21:F$27,$M$21:$M$27,$AR155)*$AS155*其他调用!W154</f>
        <v>0</v>
      </c>
      <c r="AV155" s="52">
        <f>求节点(G$21:G$27,$M$21:$M$27,$AR155)*$AS155*其他调用!X154</f>
        <v>0</v>
      </c>
      <c r="AW155" s="52">
        <f>求节点(H$21:H$27,$M$21:$M$27,$AR155)*$AS155*其他调用!Y154</f>
        <v>0</v>
      </c>
      <c r="AX155" s="52">
        <f>求节点(I$21:I$27,$M$21:$M$27,$AR155)*$AS155*其他调用!Z154</f>
        <v>0</v>
      </c>
      <c r="AY155" s="52">
        <f>求节点(E$21:E$27,$N$21:$N$27,$AR155)*$AS155*其他调用!V154</f>
        <v>51929.351874193744</v>
      </c>
      <c r="AZ155" s="52">
        <f>求节点(F$21:F$27,$N$21:$N$27,$AR155)*$AS155*其他调用!W154</f>
        <v>64537.322677650503</v>
      </c>
      <c r="BA155" s="52">
        <f>求节点(G$21:G$27,$N$21:$N$27,$AR155)*$AS155*其他调用!X154</f>
        <v>70588.271677012497</v>
      </c>
      <c r="BB155" s="52">
        <f>求节点(H$21:H$27,$N$21:$N$27,$AR155)*$AS155*其他调用!Y154</f>
        <v>61702.117118204435</v>
      </c>
      <c r="BC155" s="52">
        <f>求节点(I$21:I$27,$N$21:$N$27,$AR155)*$AS155*其他调用!Z154</f>
        <v>42325.353648563054</v>
      </c>
      <c r="BD155" s="52">
        <f>求节点(E$21:E$27,$O$21:$O$27,$AR155)*$AS155*其他调用!V154</f>
        <v>0</v>
      </c>
      <c r="BE155" s="52">
        <f>求节点(F$21:F$27,$O$21:$O$27,$AR155)*$AS155*其他调用!W154</f>
        <v>0</v>
      </c>
      <c r="BF155" s="52">
        <f>求节点(G$21:G$27,$O$21:$O$27,$AR155)*$AS155*其他调用!X154</f>
        <v>0</v>
      </c>
      <c r="BG155" s="52">
        <f>求节点(H$21:H$27,$O$21:$O$27,$AR155)*$AS155*其他调用!Y154</f>
        <v>0</v>
      </c>
      <c r="BH155" s="52">
        <f>求节点(I$21:I$27,$O$21:$O$27,$AR155)*$AS155*其他调用!Z154</f>
        <v>0</v>
      </c>
      <c r="BK155" s="31">
        <v>151</v>
      </c>
      <c r="BL155" s="31">
        <f>SUM(AT$5:AT155)</f>
        <v>946.27439936474923</v>
      </c>
      <c r="BM155" s="31">
        <f>SUM(AU$5:AU155)</f>
        <v>1112.8936350179583</v>
      </c>
      <c r="BN155" s="31">
        <f>SUM(AV$5:AV155)</f>
        <v>1078.1579698345183</v>
      </c>
      <c r="BO155" s="31">
        <f>SUM(AW$5:AW155)</f>
        <v>704.96766450982125</v>
      </c>
      <c r="BP155" s="31">
        <f>SUM(AX$5:AX155)</f>
        <v>333.4630769439176</v>
      </c>
      <c r="BQ155" s="31">
        <f>SUM(AY$5:AY155)</f>
        <v>772408.38708292914</v>
      </c>
      <c r="BR155" s="31">
        <f>SUM(AZ$5:AZ155)</f>
        <v>950870.14145559003</v>
      </c>
      <c r="BS155" s="31">
        <f>SUM(BA$5:BA155)</f>
        <v>1027268.3284722422</v>
      </c>
      <c r="BT155" s="31">
        <f>SUM(BB$5:BB155)</f>
        <v>829660.72698111215</v>
      </c>
      <c r="BU155" s="31">
        <f>SUM(BC$5:BC155)</f>
        <v>454256.74730126042</v>
      </c>
      <c r="BV155" s="31">
        <f>SUM(BD$5:BD155)</f>
        <v>0</v>
      </c>
      <c r="BW155" s="31">
        <f>SUM(BE$5:BE155)</f>
        <v>0</v>
      </c>
      <c r="BX155" s="31">
        <f>SUM(BF$5:BF155)</f>
        <v>0</v>
      </c>
      <c r="BY155" s="31">
        <f>SUM(BG$5:BG155)</f>
        <v>0</v>
      </c>
      <c r="BZ155" s="31">
        <f>SUM(BH$5:BH155)</f>
        <v>0</v>
      </c>
      <c r="CC155" s="41">
        <v>151</v>
      </c>
      <c r="CD155" s="41">
        <f t="shared" si="74"/>
        <v>27076.875895873934</v>
      </c>
      <c r="CE155" s="41">
        <f t="shared" si="75"/>
        <v>33330.535164521461</v>
      </c>
      <c r="CF155" s="41">
        <f t="shared" si="76"/>
        <v>36002.908605171033</v>
      </c>
      <c r="CG155" s="41">
        <f t="shared" si="77"/>
        <v>29069.848989241866</v>
      </c>
      <c r="CH155" s="41">
        <f t="shared" si="78"/>
        <v>15913.991994006592</v>
      </c>
      <c r="CI155" s="41">
        <f t="shared" si="79"/>
        <v>11590.857178240762</v>
      </c>
      <c r="CJ155" s="41">
        <f t="shared" si="80"/>
        <v>14268.616590008936</v>
      </c>
      <c r="CK155" s="41">
        <f t="shared" si="81"/>
        <v>15414.415716932805</v>
      </c>
      <c r="CL155" s="41">
        <f t="shared" si="82"/>
        <v>12448.43574303923</v>
      </c>
      <c r="CM155" s="41">
        <f t="shared" si="83"/>
        <v>6815.5185249036249</v>
      </c>
      <c r="CN155" s="41">
        <f t="shared" si="84"/>
        <v>0</v>
      </c>
      <c r="CO155" s="41">
        <f t="shared" si="85"/>
        <v>0</v>
      </c>
      <c r="CP155" s="41">
        <f t="shared" si="86"/>
        <v>0</v>
      </c>
      <c r="CQ155" s="41">
        <f t="shared" si="87"/>
        <v>0</v>
      </c>
      <c r="CR155" s="41">
        <f t="shared" si="88"/>
        <v>0</v>
      </c>
    </row>
    <row r="156" spans="23:96" x14ac:dyDescent="0.15">
      <c r="W156" s="117">
        <v>1.05</v>
      </c>
      <c r="X156" s="31">
        <v>152</v>
      </c>
      <c r="Y156" s="113">
        <f t="shared" si="89"/>
        <v>665.01807575939392</v>
      </c>
      <c r="Z156" s="42">
        <f t="shared" si="72"/>
        <v>0.12</v>
      </c>
      <c r="AA156" s="113">
        <f>$Y156*$Z156*其他调用!V155</f>
        <v>9253144.8437660877</v>
      </c>
      <c r="AB156" s="113">
        <f>$Y156*$Z156*其他调用!W155</f>
        <v>11306561.223129984</v>
      </c>
      <c r="AC156" s="113">
        <f>$Y156*$Z156*其他调用!X155</f>
        <v>13691414.581159575</v>
      </c>
      <c r="AD156" s="113">
        <f>$Y156*$Z156*其他调用!Y155</f>
        <v>13608128.656189548</v>
      </c>
      <c r="AE156" s="113">
        <f>$Y156*$Z156*其他调用!Z155</f>
        <v>57318106.846929297</v>
      </c>
      <c r="AH156" s="31">
        <v>152</v>
      </c>
      <c r="AI156" s="31">
        <f>SUM(AA$5:AA156)</f>
        <v>83064464.572977066</v>
      </c>
      <c r="AJ156" s="31">
        <f>SUM(AB$5:AB156)</f>
        <v>102086556.18382281</v>
      </c>
      <c r="AK156" s="31">
        <f>SUM(AC$5:AC156)</f>
        <v>111704855.45446096</v>
      </c>
      <c r="AL156" s="31">
        <f>SUM(AD$5:AD156)</f>
        <v>92970303.728400454</v>
      </c>
      <c r="AM156" s="31">
        <f>SUM(AE$5:AE156)</f>
        <v>101449437.67619583</v>
      </c>
      <c r="AR156" s="31">
        <v>152</v>
      </c>
      <c r="AS156" s="42">
        <f t="shared" si="73"/>
        <v>8.0000000000000016E-2</v>
      </c>
      <c r="AT156" s="52">
        <f>求节点(E$21:E$27,$M$21:$M$27,$AR156)*$AS156*其他调用!V155</f>
        <v>0</v>
      </c>
      <c r="AU156" s="52">
        <f>求节点(F$21:F$27,$M$21:$M$27,$AR156)*$AS156*其他调用!W155</f>
        <v>0</v>
      </c>
      <c r="AV156" s="52">
        <f>求节点(G$21:G$27,$M$21:$M$27,$AR156)*$AS156*其他调用!X155</f>
        <v>0</v>
      </c>
      <c r="AW156" s="52">
        <f>求节点(H$21:H$27,$M$21:$M$27,$AR156)*$AS156*其他调用!Y155</f>
        <v>0</v>
      </c>
      <c r="AX156" s="52">
        <f>求节点(I$21:I$27,$M$21:$M$27,$AR156)*$AS156*其他调用!Z155</f>
        <v>0</v>
      </c>
      <c r="AY156" s="52">
        <f>求节点(E$21:E$27,$N$21:$N$27,$AR156)*$AS156*其他调用!V155</f>
        <v>55656.501265471852</v>
      </c>
      <c r="AZ156" s="52">
        <f>求节点(F$21:F$27,$N$21:$N$27,$AR156)*$AS156*其他调用!W155</f>
        <v>68007.54226247975</v>
      </c>
      <c r="BA156" s="52">
        <f>求节点(G$21:G$27,$N$21:$N$27,$AR156)*$AS156*其他调用!X155</f>
        <v>82352.13495828757</v>
      </c>
      <c r="BB156" s="52">
        <f>求节点(H$21:H$27,$N$21:$N$27,$AR156)*$AS156*其他调用!Y155</f>
        <v>81851.180605280417</v>
      </c>
      <c r="BC156" s="52">
        <f>求节点(I$21:I$27,$N$21:$N$27,$AR156)*$AS156*其他调用!Z155</f>
        <v>344761.19634178019</v>
      </c>
      <c r="BD156" s="52">
        <f>求节点(E$21:E$27,$O$21:$O$27,$AR156)*$AS156*其他调用!V155</f>
        <v>0</v>
      </c>
      <c r="BE156" s="52">
        <f>求节点(F$21:F$27,$O$21:$O$27,$AR156)*$AS156*其他调用!W155</f>
        <v>0</v>
      </c>
      <c r="BF156" s="52">
        <f>求节点(G$21:G$27,$O$21:$O$27,$AR156)*$AS156*其他调用!X155</f>
        <v>0</v>
      </c>
      <c r="BG156" s="52">
        <f>求节点(H$21:H$27,$O$21:$O$27,$AR156)*$AS156*其他调用!Y155</f>
        <v>0</v>
      </c>
      <c r="BH156" s="52">
        <f>求节点(I$21:I$27,$O$21:$O$27,$AR156)*$AS156*其他调用!Z155</f>
        <v>0</v>
      </c>
      <c r="BK156" s="31">
        <v>152</v>
      </c>
      <c r="BL156" s="31">
        <f>SUM(AT$5:AT156)</f>
        <v>946.27439936474923</v>
      </c>
      <c r="BM156" s="31">
        <f>SUM(AU$5:AU156)</f>
        <v>1112.8936350179583</v>
      </c>
      <c r="BN156" s="31">
        <f>SUM(AV$5:AV156)</f>
        <v>1078.1579698345183</v>
      </c>
      <c r="BO156" s="31">
        <f>SUM(AW$5:AW156)</f>
        <v>704.96766450982125</v>
      </c>
      <c r="BP156" s="31">
        <f>SUM(AX$5:AX156)</f>
        <v>333.4630769439176</v>
      </c>
      <c r="BQ156" s="31">
        <f>SUM(AY$5:AY156)</f>
        <v>828064.88834840094</v>
      </c>
      <c r="BR156" s="31">
        <f>SUM(AZ$5:AZ156)</f>
        <v>1018877.6837180698</v>
      </c>
      <c r="BS156" s="31">
        <f>SUM(BA$5:BA156)</f>
        <v>1109620.4634305297</v>
      </c>
      <c r="BT156" s="31">
        <f>SUM(BB$5:BB156)</f>
        <v>911511.9075863926</v>
      </c>
      <c r="BU156" s="31">
        <f>SUM(BC$5:BC156)</f>
        <v>799017.94364304061</v>
      </c>
      <c r="BV156" s="31">
        <f>SUM(BD$5:BD156)</f>
        <v>0</v>
      </c>
      <c r="BW156" s="31">
        <f>SUM(BE$5:BE156)</f>
        <v>0</v>
      </c>
      <c r="BX156" s="31">
        <f>SUM(BF$5:BF156)</f>
        <v>0</v>
      </c>
      <c r="BY156" s="31">
        <f>SUM(BG$5:BG156)</f>
        <v>0</v>
      </c>
      <c r="BZ156" s="31">
        <f>SUM(BH$5:BH156)</f>
        <v>0</v>
      </c>
      <c r="CC156" s="41">
        <v>152</v>
      </c>
      <c r="CD156" s="41">
        <f t="shared" si="74"/>
        <v>29024.853440165451</v>
      </c>
      <c r="CE156" s="41">
        <f t="shared" si="75"/>
        <v>35710.799143708253</v>
      </c>
      <c r="CF156" s="41">
        <f t="shared" si="76"/>
        <v>38885.233328711089</v>
      </c>
      <c r="CG156" s="41">
        <f t="shared" si="77"/>
        <v>31934.640310426679</v>
      </c>
      <c r="CH156" s="41">
        <f t="shared" si="78"/>
        <v>27980.633865968895</v>
      </c>
      <c r="CI156" s="41">
        <f t="shared" si="79"/>
        <v>12425.704697222838</v>
      </c>
      <c r="CJ156" s="41">
        <f t="shared" si="80"/>
        <v>15288.729723946137</v>
      </c>
      <c r="CK156" s="41">
        <f t="shared" si="81"/>
        <v>16649.697741307118</v>
      </c>
      <c r="CL156" s="41">
        <f t="shared" si="82"/>
        <v>13676.203452118436</v>
      </c>
      <c r="CM156" s="41">
        <f t="shared" si="83"/>
        <v>11986.936470030329</v>
      </c>
      <c r="CN156" s="41">
        <f t="shared" si="84"/>
        <v>0</v>
      </c>
      <c r="CO156" s="41">
        <f t="shared" si="85"/>
        <v>0</v>
      </c>
      <c r="CP156" s="41">
        <f t="shared" si="86"/>
        <v>0</v>
      </c>
      <c r="CQ156" s="41">
        <f t="shared" si="87"/>
        <v>0</v>
      </c>
      <c r="CR156" s="41">
        <f t="shared" si="88"/>
        <v>0</v>
      </c>
    </row>
    <row r="157" spans="23:96" x14ac:dyDescent="0.15">
      <c r="W157" s="117">
        <v>1.05</v>
      </c>
      <c r="X157" s="31">
        <v>153</v>
      </c>
      <c r="Y157" s="113">
        <f t="shared" si="89"/>
        <v>698.26897954736364</v>
      </c>
      <c r="Z157" s="42">
        <f t="shared" si="72"/>
        <v>0.12</v>
      </c>
      <c r="AA157" s="113">
        <f>$Y157*$Z157*其他调用!V156</f>
        <v>10413138.8429807</v>
      </c>
      <c r="AB157" s="113">
        <f>$Y157*$Z157*其他调用!W156</f>
        <v>15073285.262994843</v>
      </c>
      <c r="AC157" s="113">
        <f>$Y157*$Z157*其他调用!X156</f>
        <v>18588913.030302659</v>
      </c>
      <c r="AD157" s="113">
        <f>$Y157*$Z157*其他调用!Y156</f>
        <v>66807120.896816783</v>
      </c>
      <c r="AE157" s="113">
        <f>$Y157*$Z157*其他调用!Z156</f>
        <v>88363938.276009336</v>
      </c>
      <c r="AH157" s="31">
        <v>153</v>
      </c>
      <c r="AI157" s="31">
        <f>SUM(AA$5:AA157)</f>
        <v>93477603.415957764</v>
      </c>
      <c r="AJ157" s="31">
        <f>SUM(AB$5:AB157)</f>
        <v>117159841.44681765</v>
      </c>
      <c r="AK157" s="31">
        <f>SUM(AC$5:AC157)</f>
        <v>130293768.48476362</v>
      </c>
      <c r="AL157" s="31">
        <f>SUM(AD$5:AD157)</f>
        <v>159777424.62521723</v>
      </c>
      <c r="AM157" s="31">
        <f>SUM(AE$5:AE157)</f>
        <v>189813375.95220518</v>
      </c>
      <c r="AR157" s="31">
        <v>153</v>
      </c>
      <c r="AS157" s="42">
        <f t="shared" si="73"/>
        <v>8.0000000000000016E-2</v>
      </c>
      <c r="AT157" s="52">
        <f>求节点(E$21:E$27,$M$21:$M$27,$AR157)*$AS157*其他调用!V156</f>
        <v>0</v>
      </c>
      <c r="AU157" s="52">
        <f>求节点(F$21:F$27,$M$21:$M$27,$AR157)*$AS157*其他调用!W156</f>
        <v>0</v>
      </c>
      <c r="AV157" s="52">
        <f>求节点(G$21:G$27,$M$21:$M$27,$AR157)*$AS157*其他调用!X156</f>
        <v>0</v>
      </c>
      <c r="AW157" s="52">
        <f>求节点(H$21:H$27,$M$21:$M$27,$AR157)*$AS157*其他调用!Y156</f>
        <v>0</v>
      </c>
      <c r="AX157" s="52">
        <f>求节点(I$21:I$27,$M$21:$M$27,$AR157)*$AS157*其他调用!Z156</f>
        <v>0</v>
      </c>
      <c r="AY157" s="52">
        <f>求节点(E$21:E$27,$N$21:$N$27,$AR157)*$AS157*其他调用!V156</f>
        <v>59651.161073950469</v>
      </c>
      <c r="AZ157" s="52">
        <f>求节点(F$21:F$27,$N$21:$N$27,$AR157)*$AS157*其他调用!W156</f>
        <v>86346.583935409799</v>
      </c>
      <c r="BA157" s="52">
        <f>求节点(G$21:G$27,$N$21:$N$27,$AR157)*$AS157*其他调用!X156</f>
        <v>106485.68717660914</v>
      </c>
      <c r="BB157" s="52">
        <f>求节点(H$21:H$27,$N$21:$N$27,$AR157)*$AS157*其他调用!Y156</f>
        <v>382701.35351063678</v>
      </c>
      <c r="BC157" s="52">
        <f>求节点(I$21:I$27,$N$21:$N$27,$AR157)*$AS157*其他调用!Z156</f>
        <v>506188.53687751782</v>
      </c>
      <c r="BD157" s="52">
        <f>求节点(E$21:E$27,$O$21:$O$27,$AR157)*$AS157*其他调用!V156</f>
        <v>0</v>
      </c>
      <c r="BE157" s="52">
        <f>求节点(F$21:F$27,$O$21:$O$27,$AR157)*$AS157*其他调用!W156</f>
        <v>0</v>
      </c>
      <c r="BF157" s="52">
        <f>求节点(G$21:G$27,$O$21:$O$27,$AR157)*$AS157*其他调用!X156</f>
        <v>0</v>
      </c>
      <c r="BG157" s="52">
        <f>求节点(H$21:H$27,$O$21:$O$27,$AR157)*$AS157*其他调用!Y156</f>
        <v>0</v>
      </c>
      <c r="BH157" s="52">
        <f>求节点(I$21:I$27,$O$21:$O$27,$AR157)*$AS157*其他调用!Z156</f>
        <v>0</v>
      </c>
      <c r="BK157" s="31">
        <v>153</v>
      </c>
      <c r="BL157" s="31">
        <f>SUM(AT$5:AT157)</f>
        <v>946.27439936474923</v>
      </c>
      <c r="BM157" s="31">
        <f>SUM(AU$5:AU157)</f>
        <v>1112.8936350179583</v>
      </c>
      <c r="BN157" s="31">
        <f>SUM(AV$5:AV157)</f>
        <v>1078.1579698345183</v>
      </c>
      <c r="BO157" s="31">
        <f>SUM(AW$5:AW157)</f>
        <v>704.96766450982125</v>
      </c>
      <c r="BP157" s="31">
        <f>SUM(AX$5:AX157)</f>
        <v>333.4630769439176</v>
      </c>
      <c r="BQ157" s="31">
        <f>SUM(AY$5:AY157)</f>
        <v>887716.04942235141</v>
      </c>
      <c r="BR157" s="31">
        <f>SUM(AZ$5:AZ157)</f>
        <v>1105224.2676534797</v>
      </c>
      <c r="BS157" s="31">
        <f>SUM(BA$5:BA157)</f>
        <v>1216106.1506071389</v>
      </c>
      <c r="BT157" s="31">
        <f>SUM(BB$5:BB157)</f>
        <v>1294213.2610970293</v>
      </c>
      <c r="BU157" s="31">
        <f>SUM(BC$5:BC157)</f>
        <v>1305206.4805205585</v>
      </c>
      <c r="BV157" s="31">
        <f>SUM(BD$5:BD157)</f>
        <v>0</v>
      </c>
      <c r="BW157" s="31">
        <f>SUM(BE$5:BE157)</f>
        <v>0</v>
      </c>
      <c r="BX157" s="31">
        <f>SUM(BF$5:BF157)</f>
        <v>0</v>
      </c>
      <c r="BY157" s="31">
        <f>SUM(BG$5:BG157)</f>
        <v>0</v>
      </c>
      <c r="BZ157" s="31">
        <f>SUM(BH$5:BH157)</f>
        <v>0</v>
      </c>
      <c r="CC157" s="41">
        <v>153</v>
      </c>
      <c r="CD157" s="41">
        <f t="shared" si="74"/>
        <v>31112.644077753714</v>
      </c>
      <c r="CE157" s="41">
        <f t="shared" si="75"/>
        <v>38732.929581447599</v>
      </c>
      <c r="CF157" s="41">
        <f t="shared" si="76"/>
        <v>42612.232379892412</v>
      </c>
      <c r="CG157" s="41">
        <f t="shared" si="77"/>
        <v>45329.187683298966</v>
      </c>
      <c r="CH157" s="41">
        <f t="shared" si="78"/>
        <v>45697.232656682027</v>
      </c>
      <c r="CI157" s="41">
        <f t="shared" si="79"/>
        <v>13320.472113332095</v>
      </c>
      <c r="CJ157" s="41">
        <f t="shared" si="80"/>
        <v>16583.928482977284</v>
      </c>
      <c r="CK157" s="41">
        <f t="shared" si="81"/>
        <v>18246.983048956252</v>
      </c>
      <c r="CL157" s="41">
        <f t="shared" si="82"/>
        <v>19416.723754777988</v>
      </c>
      <c r="CM157" s="41">
        <f t="shared" si="83"/>
        <v>19579.764523193098</v>
      </c>
      <c r="CN157" s="41">
        <f t="shared" si="84"/>
        <v>0</v>
      </c>
      <c r="CO157" s="41">
        <f t="shared" si="85"/>
        <v>0</v>
      </c>
      <c r="CP157" s="41">
        <f t="shared" si="86"/>
        <v>0</v>
      </c>
      <c r="CQ157" s="41">
        <f t="shared" si="87"/>
        <v>0</v>
      </c>
      <c r="CR157" s="41">
        <f t="shared" si="88"/>
        <v>0</v>
      </c>
    </row>
    <row r="158" spans="23:96" x14ac:dyDescent="0.15">
      <c r="W158" s="117">
        <v>1.05</v>
      </c>
      <c r="X158" s="31">
        <v>154</v>
      </c>
      <c r="Y158" s="113">
        <f t="shared" si="89"/>
        <v>733.1824285247319</v>
      </c>
      <c r="Z158" s="42">
        <f t="shared" si="72"/>
        <v>0.12</v>
      </c>
      <c r="AA158" s="113">
        <f>$Y158*$Z158*其他调用!V157</f>
        <v>11718552.167292934</v>
      </c>
      <c r="AB158" s="113">
        <f>$Y158*$Z158*其他调用!W157</f>
        <v>15731802.897349142</v>
      </c>
      <c r="AC158" s="113">
        <f>$Y158*$Z158*其他调用!X157</f>
        <v>58620818.717050664</v>
      </c>
      <c r="AD158" s="113">
        <f>$Y158*$Z158*其他调用!Y157</f>
        <v>82880712.945962951</v>
      </c>
      <c r="AE158" s="113">
        <f>$Y158*$Z158*其他调用!Z157</f>
        <v>81836461.127869308</v>
      </c>
      <c r="AH158" s="31">
        <v>154</v>
      </c>
      <c r="AI158" s="31">
        <f>SUM(AA$5:AA158)</f>
        <v>105196155.5832507</v>
      </c>
      <c r="AJ158" s="31">
        <f>SUM(AB$5:AB158)</f>
        <v>132891644.34416679</v>
      </c>
      <c r="AK158" s="31">
        <f>SUM(AC$5:AC158)</f>
        <v>188914587.20181429</v>
      </c>
      <c r="AL158" s="31">
        <f>SUM(AD$5:AD158)</f>
        <v>242658137.57118016</v>
      </c>
      <c r="AM158" s="31">
        <f>SUM(AE$5:AE158)</f>
        <v>271649837.08007449</v>
      </c>
      <c r="AR158" s="31">
        <v>154</v>
      </c>
      <c r="AS158" s="42">
        <f t="shared" si="73"/>
        <v>8.0000000000000016E-2</v>
      </c>
      <c r="AT158" s="52">
        <f>求节点(E$21:E$27,$M$21:$M$27,$AR158)*$AS158*其他调用!V157</f>
        <v>0</v>
      </c>
      <c r="AU158" s="52">
        <f>求节点(F$21:F$27,$M$21:$M$27,$AR158)*$AS158*其他调用!W157</f>
        <v>0</v>
      </c>
      <c r="AV158" s="52">
        <f>求节点(G$21:G$27,$M$21:$M$27,$AR158)*$AS158*其他调用!X157</f>
        <v>0</v>
      </c>
      <c r="AW158" s="52">
        <f>求节点(H$21:H$27,$M$21:$M$27,$AR158)*$AS158*其他调用!Y157</f>
        <v>0</v>
      </c>
      <c r="AX158" s="52">
        <f>求节点(I$21:I$27,$M$21:$M$27,$AR158)*$AS158*其他调用!Z157</f>
        <v>0</v>
      </c>
      <c r="AY158" s="52">
        <f>求节点(E$21:E$27,$N$21:$N$27,$AR158)*$AS158*其他调用!V157</f>
        <v>63932.531448536451</v>
      </c>
      <c r="AZ158" s="52">
        <f>求节点(F$21:F$27,$N$21:$N$27,$AR158)*$AS158*其他调用!W157</f>
        <v>85827.495506152758</v>
      </c>
      <c r="BA158" s="52">
        <f>求节点(G$21:G$27,$N$21:$N$27,$AR158)*$AS158*其他调用!X157</f>
        <v>319815.73172725469</v>
      </c>
      <c r="BB158" s="52">
        <f>求节点(H$21:H$27,$N$21:$N$27,$AR158)*$AS158*其他调用!Y157</f>
        <v>452169.66321863903</v>
      </c>
      <c r="BC158" s="52">
        <f>求节点(I$21:I$27,$N$21:$N$27,$AR158)*$AS158*其他调用!Z157</f>
        <v>446472.57186747383</v>
      </c>
      <c r="BD158" s="52">
        <f>求节点(E$21:E$27,$O$21:$O$27,$AR158)*$AS158*其他调用!V157</f>
        <v>0</v>
      </c>
      <c r="BE158" s="52">
        <f>求节点(F$21:F$27,$O$21:$O$27,$AR158)*$AS158*其他调用!W157</f>
        <v>0</v>
      </c>
      <c r="BF158" s="52">
        <f>求节点(G$21:G$27,$O$21:$O$27,$AR158)*$AS158*其他调用!X157</f>
        <v>0</v>
      </c>
      <c r="BG158" s="52">
        <f>求节点(H$21:H$27,$O$21:$O$27,$AR158)*$AS158*其他调用!Y157</f>
        <v>0</v>
      </c>
      <c r="BH158" s="52">
        <f>求节点(I$21:I$27,$O$21:$O$27,$AR158)*$AS158*其他调用!Z157</f>
        <v>0</v>
      </c>
      <c r="BK158" s="31">
        <v>154</v>
      </c>
      <c r="BL158" s="31">
        <f>SUM(AT$5:AT158)</f>
        <v>946.27439936474923</v>
      </c>
      <c r="BM158" s="31">
        <f>SUM(AU$5:AU158)</f>
        <v>1112.8936350179583</v>
      </c>
      <c r="BN158" s="31">
        <f>SUM(AV$5:AV158)</f>
        <v>1078.1579698345183</v>
      </c>
      <c r="BO158" s="31">
        <f>SUM(AW$5:AW158)</f>
        <v>704.96766450982125</v>
      </c>
      <c r="BP158" s="31">
        <f>SUM(AX$5:AX158)</f>
        <v>333.4630769439176</v>
      </c>
      <c r="BQ158" s="31">
        <f>SUM(AY$5:AY158)</f>
        <v>951648.58087088785</v>
      </c>
      <c r="BR158" s="31">
        <f>SUM(AZ$5:AZ158)</f>
        <v>1191051.7631596324</v>
      </c>
      <c r="BS158" s="31">
        <f>SUM(BA$5:BA158)</f>
        <v>1535921.8823343934</v>
      </c>
      <c r="BT158" s="31">
        <f>SUM(BB$5:BB158)</f>
        <v>1746382.9243156684</v>
      </c>
      <c r="BU158" s="31">
        <f>SUM(BC$5:BC158)</f>
        <v>1751679.0523880324</v>
      </c>
      <c r="BV158" s="31">
        <f>SUM(BD$5:BD158)</f>
        <v>0</v>
      </c>
      <c r="BW158" s="31">
        <f>SUM(BE$5:BE158)</f>
        <v>0</v>
      </c>
      <c r="BX158" s="31">
        <f>SUM(BF$5:BF158)</f>
        <v>0</v>
      </c>
      <c r="BY158" s="31">
        <f>SUM(BG$5:BG158)</f>
        <v>0</v>
      </c>
      <c r="BZ158" s="31">
        <f>SUM(BH$5:BH158)</f>
        <v>0</v>
      </c>
      <c r="CC158" s="41">
        <v>154</v>
      </c>
      <c r="CD158" s="41">
        <f t="shared" si="74"/>
        <v>33350.282678452488</v>
      </c>
      <c r="CE158" s="41">
        <f t="shared" si="75"/>
        <v>41736.891924162941</v>
      </c>
      <c r="CF158" s="41">
        <f t="shared" si="76"/>
        <v>53805.782990346328</v>
      </c>
      <c r="CG158" s="41">
        <f t="shared" si="77"/>
        <v>61155.125895951329</v>
      </c>
      <c r="CH158" s="41">
        <f t="shared" si="78"/>
        <v>61323.772672043611</v>
      </c>
      <c r="CI158" s="41">
        <f t="shared" si="79"/>
        <v>14279.460085060138</v>
      </c>
      <c r="CJ158" s="41">
        <f t="shared" si="80"/>
        <v>17871.340915569577</v>
      </c>
      <c r="CK158" s="41">
        <f t="shared" si="81"/>
        <v>23044.219024865073</v>
      </c>
      <c r="CL158" s="41">
        <f t="shared" si="82"/>
        <v>26199.268703057573</v>
      </c>
      <c r="CM158" s="41">
        <f t="shared" si="83"/>
        <v>26276.853101205208</v>
      </c>
      <c r="CN158" s="41">
        <f t="shared" si="84"/>
        <v>0</v>
      </c>
      <c r="CO158" s="41">
        <f t="shared" si="85"/>
        <v>0</v>
      </c>
      <c r="CP158" s="41">
        <f t="shared" si="86"/>
        <v>0</v>
      </c>
      <c r="CQ158" s="41">
        <f t="shared" si="87"/>
        <v>0</v>
      </c>
      <c r="CR158" s="41">
        <f t="shared" si="88"/>
        <v>0</v>
      </c>
    </row>
    <row r="159" spans="23:96" x14ac:dyDescent="0.15">
      <c r="W159" s="117">
        <v>1.05</v>
      </c>
      <c r="X159" s="31">
        <v>155</v>
      </c>
      <c r="Y159" s="113">
        <f t="shared" si="89"/>
        <v>769.84154995096856</v>
      </c>
      <c r="Z159" s="42">
        <f t="shared" si="72"/>
        <v>0.12</v>
      </c>
      <c r="AA159" s="113">
        <f>$Y159*$Z159*其他调用!V158</f>
        <v>13187614.893864686</v>
      </c>
      <c r="AB159" s="113">
        <f>$Y159*$Z159*其他调用!W158</f>
        <v>43461011.902616248</v>
      </c>
      <c r="AC159" s="113">
        <f>$Y159*$Z159*其他调用!X158</f>
        <v>77749037.095946923</v>
      </c>
      <c r="AD159" s="113">
        <f>$Y159*$Z159*其他调用!Y158</f>
        <v>86767436.287587985</v>
      </c>
      <c r="AE159" s="113">
        <f>$Y159*$Z159*其他调用!Z158</f>
        <v>87267429.685450271</v>
      </c>
      <c r="AH159" s="31">
        <v>155</v>
      </c>
      <c r="AI159" s="31">
        <f>SUM(AA$5:AA159)</f>
        <v>118383770.47711539</v>
      </c>
      <c r="AJ159" s="31">
        <f>SUM(AB$5:AB159)</f>
        <v>176352656.24678302</v>
      </c>
      <c r="AK159" s="31">
        <f>SUM(AC$5:AC159)</f>
        <v>266663624.2977612</v>
      </c>
      <c r="AL159" s="31">
        <f>SUM(AD$5:AD159)</f>
        <v>329425573.85876817</v>
      </c>
      <c r="AM159" s="31">
        <f>SUM(AE$5:AE159)</f>
        <v>358917266.76552474</v>
      </c>
      <c r="AR159" s="31">
        <v>155</v>
      </c>
      <c r="AS159" s="42">
        <f t="shared" si="73"/>
        <v>8.0000000000000016E-2</v>
      </c>
      <c r="AT159" s="52">
        <f>求节点(E$21:E$27,$M$21:$M$27,$AR159)*$AS159*其他调用!V158</f>
        <v>0</v>
      </c>
      <c r="AU159" s="52">
        <f>求节点(F$21:F$27,$M$21:$M$27,$AR159)*$AS159*其他调用!W158</f>
        <v>0</v>
      </c>
      <c r="AV159" s="52">
        <f>求节点(G$21:G$27,$M$21:$M$27,$AR159)*$AS159*其他调用!X158</f>
        <v>0</v>
      </c>
      <c r="AW159" s="52">
        <f>求节点(H$21:H$27,$M$21:$M$27,$AR159)*$AS159*其他调用!Y158</f>
        <v>0</v>
      </c>
      <c r="AX159" s="52">
        <f>求节点(I$21:I$27,$M$21:$M$27,$AR159)*$AS159*其他调用!Z158</f>
        <v>0</v>
      </c>
      <c r="AY159" s="52">
        <f>求节点(E$21:E$27,$N$21:$N$27,$AR159)*$AS159*其他调用!V158</f>
        <v>68521.190599310255</v>
      </c>
      <c r="AZ159" s="52">
        <f>求节点(F$21:F$27,$N$21:$N$27,$AR159)*$AS159*其他调用!W158</f>
        <v>225817.95906123435</v>
      </c>
      <c r="BA159" s="52">
        <f>求节点(G$21:G$27,$N$21:$N$27,$AR159)*$AS159*其他调用!X158</f>
        <v>403974.2313253879</v>
      </c>
      <c r="BB159" s="52">
        <f>求节点(H$21:H$27,$N$21:$N$27,$AR159)*$AS159*其他调用!Y158</f>
        <v>450832.70079727058</v>
      </c>
      <c r="BC159" s="52">
        <f>求节点(I$21:I$27,$N$21:$N$27,$AR159)*$AS159*其他调用!Z158</f>
        <v>453430.60369245271</v>
      </c>
      <c r="BD159" s="52">
        <f>求节点(E$21:E$27,$O$21:$O$27,$AR159)*$AS159*其他调用!V158</f>
        <v>0</v>
      </c>
      <c r="BE159" s="52">
        <f>求节点(F$21:F$27,$O$21:$O$27,$AR159)*$AS159*其他调用!W158</f>
        <v>0</v>
      </c>
      <c r="BF159" s="52">
        <f>求节点(G$21:G$27,$O$21:$O$27,$AR159)*$AS159*其他调用!X158</f>
        <v>0</v>
      </c>
      <c r="BG159" s="52">
        <f>求节点(H$21:H$27,$O$21:$O$27,$AR159)*$AS159*其他调用!Y158</f>
        <v>0</v>
      </c>
      <c r="BH159" s="52">
        <f>求节点(I$21:I$27,$O$21:$O$27,$AR159)*$AS159*其他调用!Z158</f>
        <v>0</v>
      </c>
      <c r="BK159" s="31">
        <v>155</v>
      </c>
      <c r="BL159" s="31">
        <f>SUM(AT$5:AT159)</f>
        <v>946.27439936474923</v>
      </c>
      <c r="BM159" s="31">
        <f>SUM(AU$5:AU159)</f>
        <v>1112.8936350179583</v>
      </c>
      <c r="BN159" s="31">
        <f>SUM(AV$5:AV159)</f>
        <v>1078.1579698345183</v>
      </c>
      <c r="BO159" s="31">
        <f>SUM(AW$5:AW159)</f>
        <v>704.96766450982125</v>
      </c>
      <c r="BP159" s="31">
        <f>SUM(AX$5:AX159)</f>
        <v>333.4630769439176</v>
      </c>
      <c r="BQ159" s="31">
        <f>SUM(AY$5:AY159)</f>
        <v>1020169.7714701981</v>
      </c>
      <c r="BR159" s="31">
        <f>SUM(AZ$5:AZ159)</f>
        <v>1416869.7222208667</v>
      </c>
      <c r="BS159" s="31">
        <f>SUM(BA$5:BA159)</f>
        <v>1939896.1136597814</v>
      </c>
      <c r="BT159" s="31">
        <f>SUM(BB$5:BB159)</f>
        <v>2197215.6251129392</v>
      </c>
      <c r="BU159" s="31">
        <f>SUM(BC$5:BC159)</f>
        <v>2205109.6560804853</v>
      </c>
      <c r="BV159" s="31">
        <f>SUM(BD$5:BD159)</f>
        <v>0</v>
      </c>
      <c r="BW159" s="31">
        <f>SUM(BE$5:BE159)</f>
        <v>0</v>
      </c>
      <c r="BX159" s="31">
        <f>SUM(BF$5:BF159)</f>
        <v>0</v>
      </c>
      <c r="BY159" s="31">
        <f>SUM(BG$5:BG159)</f>
        <v>0</v>
      </c>
      <c r="BZ159" s="31">
        <f>SUM(BH$5:BH159)</f>
        <v>0</v>
      </c>
      <c r="CC159" s="41">
        <v>155</v>
      </c>
      <c r="CD159" s="41">
        <f t="shared" si="74"/>
        <v>35748.52434942835</v>
      </c>
      <c r="CE159" s="41">
        <f t="shared" si="75"/>
        <v>49640.520491306139</v>
      </c>
      <c r="CF159" s="41">
        <f t="shared" si="76"/>
        <v>67944.881086734909</v>
      </c>
      <c r="CG159" s="41">
        <f t="shared" si="77"/>
        <v>76934.270423855807</v>
      </c>
      <c r="CH159" s="41">
        <f t="shared" si="78"/>
        <v>77193.843801279465</v>
      </c>
      <c r="CI159" s="41">
        <f t="shared" si="79"/>
        <v>15307.277944049792</v>
      </c>
      <c r="CJ159" s="41">
        <f t="shared" si="80"/>
        <v>21258.610301488086</v>
      </c>
      <c r="CK159" s="41">
        <f t="shared" si="81"/>
        <v>29103.832494745893</v>
      </c>
      <c r="CL159" s="41">
        <f t="shared" si="82"/>
        <v>32961.759215016631</v>
      </c>
      <c r="CM159" s="41">
        <f t="shared" si="83"/>
        <v>33078.312156592001</v>
      </c>
      <c r="CN159" s="41">
        <f t="shared" si="84"/>
        <v>0</v>
      </c>
      <c r="CO159" s="41">
        <f t="shared" si="85"/>
        <v>0</v>
      </c>
      <c r="CP159" s="41">
        <f t="shared" si="86"/>
        <v>0</v>
      </c>
      <c r="CQ159" s="41">
        <f t="shared" si="87"/>
        <v>0</v>
      </c>
      <c r="CR159" s="41">
        <f t="shared" si="88"/>
        <v>0</v>
      </c>
    </row>
    <row r="160" spans="23:96" x14ac:dyDescent="0.15">
      <c r="W160" s="117">
        <v>1.05</v>
      </c>
      <c r="X160" s="31">
        <v>156</v>
      </c>
      <c r="Y160" s="113">
        <f t="shared" si="89"/>
        <v>808.33362744851706</v>
      </c>
      <c r="Z160" s="42">
        <f t="shared" si="72"/>
        <v>0.12</v>
      </c>
      <c r="AA160" s="113">
        <f>$Y160*$Z160*其他调用!V159</f>
        <v>14840842.46126174</v>
      </c>
      <c r="AB160" s="113">
        <f>$Y160*$Z160*其他调用!W159</f>
        <v>35770691.573038258</v>
      </c>
      <c r="AC160" s="113">
        <f>$Y160*$Z160*其他调用!X159</f>
        <v>50104792.870935783</v>
      </c>
      <c r="AD160" s="113">
        <f>$Y160*$Z160*其他调用!Y159</f>
        <v>56712018.304465704</v>
      </c>
      <c r="AE160" s="113">
        <f>$Y160*$Z160*其他调用!Z159</f>
        <v>56811710.050564215</v>
      </c>
      <c r="AH160" s="31">
        <v>156</v>
      </c>
      <c r="AI160" s="31">
        <f>SUM(AA$5:AA160)</f>
        <v>133224612.93837713</v>
      </c>
      <c r="AJ160" s="31">
        <f>SUM(AB$5:AB160)</f>
        <v>212123347.81982127</v>
      </c>
      <c r="AK160" s="31">
        <f>SUM(AC$5:AC160)</f>
        <v>316768417.168697</v>
      </c>
      <c r="AL160" s="31">
        <f>SUM(AD$5:AD160)</f>
        <v>386137592.16323388</v>
      </c>
      <c r="AM160" s="31">
        <f>SUM(AE$5:AE160)</f>
        <v>415728976.81608897</v>
      </c>
      <c r="AR160" s="31">
        <v>156</v>
      </c>
      <c r="AS160" s="42">
        <f t="shared" si="73"/>
        <v>8.0000000000000016E-2</v>
      </c>
      <c r="AT160" s="52">
        <f>求节点(E$21:E$27,$M$21:$M$27,$AR160)*$AS160*其他调用!V159</f>
        <v>0</v>
      </c>
      <c r="AU160" s="52">
        <f>求节点(F$21:F$27,$M$21:$M$27,$AR160)*$AS160*其他调用!W159</f>
        <v>0</v>
      </c>
      <c r="AV160" s="52">
        <f>求节点(G$21:G$27,$M$21:$M$27,$AR160)*$AS160*其他调用!X159</f>
        <v>0</v>
      </c>
      <c r="AW160" s="52">
        <f>求节点(H$21:H$27,$M$21:$M$27,$AR160)*$AS160*其他调用!Y159</f>
        <v>0</v>
      </c>
      <c r="AX160" s="52">
        <f>求节点(I$21:I$27,$M$21:$M$27,$AR160)*$AS160*其他调用!Z159</f>
        <v>0</v>
      </c>
      <c r="AY160" s="52">
        <f>求节点(E$21:E$27,$N$21:$N$27,$AR160)*$AS160*其他调用!V159</f>
        <v>73439.193705729936</v>
      </c>
      <c r="AZ160" s="52">
        <f>求节点(F$21:F$27,$N$21:$N$27,$AR160)*$AS160*其他调用!W159</f>
        <v>177009.54337850559</v>
      </c>
      <c r="BA160" s="52">
        <f>求节点(G$21:G$27,$N$21:$N$27,$AR160)*$AS160*其他调用!X159</f>
        <v>247941.15285833253</v>
      </c>
      <c r="BB160" s="52">
        <f>求节点(H$21:H$27,$N$21:$N$27,$AR160)*$AS160*其他调用!Y159</f>
        <v>280636.68949899141</v>
      </c>
      <c r="BC160" s="52">
        <f>求节点(I$21:I$27,$N$21:$N$27,$AR160)*$AS160*其他调用!Z159</f>
        <v>281130.0093001888</v>
      </c>
      <c r="BD160" s="52">
        <f>求节点(E$21:E$27,$O$21:$O$27,$AR160)*$AS160*其他调用!V159</f>
        <v>0</v>
      </c>
      <c r="BE160" s="52">
        <f>求节点(F$21:F$27,$O$21:$O$27,$AR160)*$AS160*其他调用!W159</f>
        <v>0</v>
      </c>
      <c r="BF160" s="52">
        <f>求节点(G$21:G$27,$O$21:$O$27,$AR160)*$AS160*其他调用!X159</f>
        <v>0</v>
      </c>
      <c r="BG160" s="52">
        <f>求节点(H$21:H$27,$O$21:$O$27,$AR160)*$AS160*其他调用!Y159</f>
        <v>0</v>
      </c>
      <c r="BH160" s="52">
        <f>求节点(I$21:I$27,$O$21:$O$27,$AR160)*$AS160*其他调用!Z159</f>
        <v>0</v>
      </c>
      <c r="BK160" s="31">
        <v>156</v>
      </c>
      <c r="BL160" s="31">
        <f>SUM(AT$5:AT160)</f>
        <v>946.27439936474923</v>
      </c>
      <c r="BM160" s="31">
        <f>SUM(AU$5:AU160)</f>
        <v>1112.8936350179583</v>
      </c>
      <c r="BN160" s="31">
        <f>SUM(AV$5:AV160)</f>
        <v>1078.1579698345183</v>
      </c>
      <c r="BO160" s="31">
        <f>SUM(AW$5:AW160)</f>
        <v>704.96766450982125</v>
      </c>
      <c r="BP160" s="31">
        <f>SUM(AX$5:AX160)</f>
        <v>333.4630769439176</v>
      </c>
      <c r="BQ160" s="31">
        <f>SUM(AY$5:AY160)</f>
        <v>1093608.9651759281</v>
      </c>
      <c r="BR160" s="31">
        <f>SUM(AZ$5:AZ160)</f>
        <v>1593879.2655993723</v>
      </c>
      <c r="BS160" s="31">
        <f>SUM(BA$5:BA160)</f>
        <v>2187837.2665181141</v>
      </c>
      <c r="BT160" s="31">
        <f>SUM(BB$5:BB160)</f>
        <v>2477852.3146119304</v>
      </c>
      <c r="BU160" s="31">
        <f>SUM(BC$5:BC160)</f>
        <v>2486239.6653806739</v>
      </c>
      <c r="BV160" s="31">
        <f>SUM(BD$5:BD160)</f>
        <v>0</v>
      </c>
      <c r="BW160" s="31">
        <f>SUM(BE$5:BE160)</f>
        <v>0</v>
      </c>
      <c r="BX160" s="31">
        <f>SUM(BF$5:BF160)</f>
        <v>0</v>
      </c>
      <c r="BY160" s="31">
        <f>SUM(BG$5:BG160)</f>
        <v>0</v>
      </c>
      <c r="BZ160" s="31">
        <f>SUM(BH$5:BH160)</f>
        <v>0</v>
      </c>
      <c r="CC160" s="41">
        <v>156</v>
      </c>
      <c r="CD160" s="41">
        <f t="shared" si="74"/>
        <v>38318.896129128894</v>
      </c>
      <c r="CE160" s="41">
        <f t="shared" si="75"/>
        <v>55835.854509553836</v>
      </c>
      <c r="CF160" s="41">
        <f t="shared" si="76"/>
        <v>76622.821436776547</v>
      </c>
      <c r="CG160" s="41">
        <f t="shared" si="77"/>
        <v>86756.554556320494</v>
      </c>
      <c r="CH160" s="41">
        <f t="shared" si="78"/>
        <v>87033.394126786065</v>
      </c>
      <c r="CI160" s="41">
        <f t="shared" si="79"/>
        <v>16408.865849635746</v>
      </c>
      <c r="CJ160" s="41">
        <f t="shared" si="80"/>
        <v>23913.753452165671</v>
      </c>
      <c r="CK160" s="41">
        <f t="shared" si="81"/>
        <v>32822.949787620877</v>
      </c>
      <c r="CL160" s="41">
        <f t="shared" si="82"/>
        <v>37171.309557501503</v>
      </c>
      <c r="CM160" s="41">
        <f t="shared" si="83"/>
        <v>37295.262296094836</v>
      </c>
      <c r="CN160" s="41">
        <f t="shared" si="84"/>
        <v>0</v>
      </c>
      <c r="CO160" s="41">
        <f t="shared" si="85"/>
        <v>0</v>
      </c>
      <c r="CP160" s="41">
        <f t="shared" si="86"/>
        <v>0</v>
      </c>
      <c r="CQ160" s="41">
        <f t="shared" si="87"/>
        <v>0</v>
      </c>
      <c r="CR160" s="41">
        <f t="shared" si="88"/>
        <v>0</v>
      </c>
    </row>
    <row r="161" spans="23:96" x14ac:dyDescent="0.15">
      <c r="W161" s="117">
        <v>1.05</v>
      </c>
      <c r="X161" s="31">
        <v>157</v>
      </c>
      <c r="Y161" s="113">
        <f t="shared" si="89"/>
        <v>848.75030882094291</v>
      </c>
      <c r="Z161" s="42">
        <f t="shared" si="72"/>
        <v>0.12</v>
      </c>
      <c r="AA161" s="113">
        <f>$Y161*$Z161*其他调用!V160</f>
        <v>16701322.167245196</v>
      </c>
      <c r="AB161" s="113">
        <f>$Y161*$Z161*其他调用!W160</f>
        <v>24325838.808813691</v>
      </c>
      <c r="AC161" s="113">
        <f>$Y161*$Z161*其他调用!X160</f>
        <v>33369967.83459805</v>
      </c>
      <c r="AD161" s="113">
        <f>$Y161*$Z161*其他调用!Y160</f>
        <v>37770403.15344616</v>
      </c>
      <c r="AE161" s="113">
        <f>$Y161*$Z161*其他调用!Z160</f>
        <v>36207331.601610065</v>
      </c>
      <c r="AH161" s="31">
        <v>157</v>
      </c>
      <c r="AI161" s="31">
        <f>SUM(AA$5:AA161)</f>
        <v>149925935.10562232</v>
      </c>
      <c r="AJ161" s="31">
        <f>SUM(AB$5:AB161)</f>
        <v>236449186.62863496</v>
      </c>
      <c r="AK161" s="31">
        <f>SUM(AC$5:AC161)</f>
        <v>350138385.00329506</v>
      </c>
      <c r="AL161" s="31">
        <f>SUM(AD$5:AD161)</f>
        <v>423907995.31668001</v>
      </c>
      <c r="AM161" s="31">
        <f>SUM(AE$5:AE161)</f>
        <v>451936308.41769904</v>
      </c>
      <c r="AR161" s="31">
        <v>157</v>
      </c>
      <c r="AS161" s="42">
        <f t="shared" si="73"/>
        <v>8.0000000000000016E-2</v>
      </c>
      <c r="AT161" s="52">
        <f>求节点(E$21:E$27,$M$21:$M$27,$AR161)*$AS161*其他调用!V160</f>
        <v>0</v>
      </c>
      <c r="AU161" s="52">
        <f>求节点(F$21:F$27,$M$21:$M$27,$AR161)*$AS161*其他调用!W160</f>
        <v>0</v>
      </c>
      <c r="AV161" s="52">
        <f>求节点(G$21:G$27,$M$21:$M$27,$AR161)*$AS161*其他调用!X160</f>
        <v>0</v>
      </c>
      <c r="AW161" s="52">
        <f>求节点(H$21:H$27,$M$21:$M$27,$AR161)*$AS161*其他调用!Y160</f>
        <v>0</v>
      </c>
      <c r="AX161" s="52">
        <f>求节点(I$21:I$27,$M$21:$M$27,$AR161)*$AS161*其他调用!Z160</f>
        <v>0</v>
      </c>
      <c r="AY161" s="52">
        <f>求节点(E$21:E$27,$N$21:$N$27,$AR161)*$AS161*其他调用!V160</f>
        <v>78710.178923863481</v>
      </c>
      <c r="AZ161" s="52">
        <f>求节点(F$21:F$27,$N$21:$N$27,$AR161)*$AS161*其他调用!W160</f>
        <v>114643.08669345352</v>
      </c>
      <c r="BA161" s="52">
        <f>求节点(G$21:G$27,$N$21:$N$27,$AR161)*$AS161*其他调用!X160</f>
        <v>157266.35967157202</v>
      </c>
      <c r="BB161" s="52">
        <f>求节点(H$21:H$27,$N$21:$N$27,$AR161)*$AS161*其他调用!Y160</f>
        <v>178004.78072716403</v>
      </c>
      <c r="BC161" s="52">
        <f>求节点(I$21:I$27,$N$21:$N$27,$AR161)*$AS161*其他调用!Z160</f>
        <v>170638.31954021039</v>
      </c>
      <c r="BD161" s="52">
        <f>求节点(E$21:E$27,$O$21:$O$27,$AR161)*$AS161*其他调用!V160</f>
        <v>0</v>
      </c>
      <c r="BE161" s="52">
        <f>求节点(F$21:F$27,$O$21:$O$27,$AR161)*$AS161*其他调用!W160</f>
        <v>0</v>
      </c>
      <c r="BF161" s="52">
        <f>求节点(G$21:G$27,$O$21:$O$27,$AR161)*$AS161*其他调用!X160</f>
        <v>0</v>
      </c>
      <c r="BG161" s="52">
        <f>求节点(H$21:H$27,$O$21:$O$27,$AR161)*$AS161*其他调用!Y160</f>
        <v>0</v>
      </c>
      <c r="BH161" s="52">
        <f>求节点(I$21:I$27,$O$21:$O$27,$AR161)*$AS161*其他调用!Z160</f>
        <v>0</v>
      </c>
      <c r="BK161" s="31">
        <v>157</v>
      </c>
      <c r="BL161" s="31">
        <f>SUM(AT$5:AT161)</f>
        <v>946.27439936474923</v>
      </c>
      <c r="BM161" s="31">
        <f>SUM(AU$5:AU161)</f>
        <v>1112.8936350179583</v>
      </c>
      <c r="BN161" s="31">
        <f>SUM(AV$5:AV161)</f>
        <v>1078.1579698345183</v>
      </c>
      <c r="BO161" s="31">
        <f>SUM(AW$5:AW161)</f>
        <v>704.96766450982125</v>
      </c>
      <c r="BP161" s="31">
        <f>SUM(AX$5:AX161)</f>
        <v>333.4630769439176</v>
      </c>
      <c r="BQ161" s="31">
        <f>SUM(AY$5:AY161)</f>
        <v>1172319.1440997915</v>
      </c>
      <c r="BR161" s="31">
        <f>SUM(AZ$5:AZ161)</f>
        <v>1708522.3522928259</v>
      </c>
      <c r="BS161" s="31">
        <f>SUM(BA$5:BA161)</f>
        <v>2345103.6261896864</v>
      </c>
      <c r="BT161" s="31">
        <f>SUM(BB$5:BB161)</f>
        <v>2655857.0953390943</v>
      </c>
      <c r="BU161" s="31">
        <f>SUM(BC$5:BC161)</f>
        <v>2656877.9849208845</v>
      </c>
      <c r="BV161" s="31">
        <f>SUM(BD$5:BD161)</f>
        <v>0</v>
      </c>
      <c r="BW161" s="31">
        <f>SUM(BE$5:BE161)</f>
        <v>0</v>
      </c>
      <c r="BX161" s="31">
        <f>SUM(BF$5:BF161)</f>
        <v>0</v>
      </c>
      <c r="BY161" s="31">
        <f>SUM(BG$5:BG161)</f>
        <v>0</v>
      </c>
      <c r="BZ161" s="31">
        <f>SUM(BH$5:BH161)</f>
        <v>0</v>
      </c>
      <c r="CC161" s="41">
        <v>157</v>
      </c>
      <c r="CD161" s="41">
        <f t="shared" si="74"/>
        <v>41073.752391464121</v>
      </c>
      <c r="CE161" s="41">
        <f t="shared" si="75"/>
        <v>59848.362543824711</v>
      </c>
      <c r="CF161" s="41">
        <f t="shared" si="76"/>
        <v>82127.144025281566</v>
      </c>
      <c r="CG161" s="41">
        <f t="shared" si="77"/>
        <v>92986.721881771227</v>
      </c>
      <c r="CH161" s="41">
        <f t="shared" si="78"/>
        <v>93005.735310693417</v>
      </c>
      <c r="CI161" s="41">
        <f t="shared" si="79"/>
        <v>17589.518533493694</v>
      </c>
      <c r="CJ161" s="41">
        <f t="shared" si="80"/>
        <v>25633.399752567475</v>
      </c>
      <c r="CK161" s="41">
        <f t="shared" si="81"/>
        <v>35181.945182694464</v>
      </c>
      <c r="CL161" s="41">
        <f t="shared" si="82"/>
        <v>39841.381268408957</v>
      </c>
      <c r="CM161" s="41">
        <f t="shared" si="83"/>
        <v>39854.837089197987</v>
      </c>
      <c r="CN161" s="41">
        <f t="shared" si="84"/>
        <v>0</v>
      </c>
      <c r="CO161" s="41">
        <f t="shared" si="85"/>
        <v>0</v>
      </c>
      <c r="CP161" s="41">
        <f t="shared" si="86"/>
        <v>0</v>
      </c>
      <c r="CQ161" s="41">
        <f t="shared" si="87"/>
        <v>0</v>
      </c>
      <c r="CR161" s="41">
        <f t="shared" si="88"/>
        <v>0</v>
      </c>
    </row>
    <row r="162" spans="23:96" x14ac:dyDescent="0.15">
      <c r="W162" s="117">
        <v>1.05</v>
      </c>
      <c r="X162" s="31">
        <v>158</v>
      </c>
      <c r="Y162" s="113">
        <f t="shared" si="89"/>
        <v>891.18782426199004</v>
      </c>
      <c r="Z162" s="42">
        <f t="shared" si="72"/>
        <v>0.12</v>
      </c>
      <c r="AA162" s="113">
        <f>$Y162*$Z162*其他调用!V161</f>
        <v>18795035.582529217</v>
      </c>
      <c r="AB162" s="113">
        <f>$Y162*$Z162*其他调用!W161</f>
        <v>27375377.913683828</v>
      </c>
      <c r="AC162" s="113">
        <f>$Y162*$Z162*其他调用!X161</f>
        <v>37553298.269353367</v>
      </c>
      <c r="AD162" s="113">
        <f>$Y162*$Z162*其他调用!Y161</f>
        <v>42505381.557619832</v>
      </c>
      <c r="AE162" s="113">
        <f>$Y162*$Z162*其他调用!Z161</f>
        <v>42505381.557619832</v>
      </c>
      <c r="AH162" s="31">
        <v>158</v>
      </c>
      <c r="AI162" s="31">
        <f>SUM(AA$5:AA162)</f>
        <v>168720970.68815154</v>
      </c>
      <c r="AJ162" s="31">
        <f>SUM(AB$5:AB162)</f>
        <v>263824564.54231879</v>
      </c>
      <c r="AK162" s="31">
        <f>SUM(AC$5:AC162)</f>
        <v>387691683.27264845</v>
      </c>
      <c r="AL162" s="31">
        <f>SUM(AD$5:AD162)</f>
        <v>466413376.87429982</v>
      </c>
      <c r="AM162" s="31">
        <f>SUM(AE$5:AE162)</f>
        <v>494441689.97531885</v>
      </c>
      <c r="AR162" s="31">
        <v>158</v>
      </c>
      <c r="AS162" s="42">
        <f t="shared" si="73"/>
        <v>8.0000000000000016E-2</v>
      </c>
      <c r="AT162" s="52">
        <f>求节点(E$21:E$27,$M$21:$M$27,$AR162)*$AS162*其他调用!V161</f>
        <v>0</v>
      </c>
      <c r="AU162" s="52">
        <f>求节点(F$21:F$27,$M$21:$M$27,$AR162)*$AS162*其他调用!W161</f>
        <v>0</v>
      </c>
      <c r="AV162" s="52">
        <f>求节点(G$21:G$27,$M$21:$M$27,$AR162)*$AS162*其他调用!X161</f>
        <v>0</v>
      </c>
      <c r="AW162" s="52">
        <f>求节点(H$21:H$27,$M$21:$M$27,$AR162)*$AS162*其他调用!Y161</f>
        <v>0</v>
      </c>
      <c r="AX162" s="52">
        <f>求节点(I$21:I$27,$M$21:$M$27,$AR162)*$AS162*其他调用!Z161</f>
        <v>0</v>
      </c>
      <c r="AY162" s="52">
        <f>求节点(E$21:E$27,$N$21:$N$27,$AR162)*$AS162*其他调用!V161</f>
        <v>84359.481002082844</v>
      </c>
      <c r="AZ162" s="52">
        <f>求节点(F$21:F$27,$N$21:$N$27,$AR162)*$AS162*其他调用!W161</f>
        <v>122871.41798129442</v>
      </c>
      <c r="BA162" s="52">
        <f>求节点(G$21:G$27,$N$21:$N$27,$AR162)*$AS162*其他调用!X161</f>
        <v>168553.91084568281</v>
      </c>
      <c r="BB162" s="52">
        <f>求节点(H$21:H$27,$N$21:$N$27,$AR162)*$AS162*其他调用!Y161</f>
        <v>190780.80018797104</v>
      </c>
      <c r="BC162" s="52">
        <f>求节点(I$21:I$27,$N$21:$N$27,$AR162)*$AS162*其他调用!Z161</f>
        <v>190780.80018797104</v>
      </c>
      <c r="BD162" s="52">
        <f>求节点(E$21:E$27,$O$21:$O$27,$AR162)*$AS162*其他调用!V161</f>
        <v>0</v>
      </c>
      <c r="BE162" s="52">
        <f>求节点(F$21:F$27,$O$21:$O$27,$AR162)*$AS162*其他调用!W161</f>
        <v>0</v>
      </c>
      <c r="BF162" s="52">
        <f>求节点(G$21:G$27,$O$21:$O$27,$AR162)*$AS162*其他调用!X161</f>
        <v>0</v>
      </c>
      <c r="BG162" s="52">
        <f>求节点(H$21:H$27,$O$21:$O$27,$AR162)*$AS162*其他调用!Y161</f>
        <v>0</v>
      </c>
      <c r="BH162" s="52">
        <f>求节点(I$21:I$27,$O$21:$O$27,$AR162)*$AS162*其他调用!Z161</f>
        <v>0</v>
      </c>
      <c r="BK162" s="31">
        <v>158</v>
      </c>
      <c r="BL162" s="31">
        <f>SUM(AT$5:AT162)</f>
        <v>946.27439936474923</v>
      </c>
      <c r="BM162" s="31">
        <f>SUM(AU$5:AU162)</f>
        <v>1112.8936350179583</v>
      </c>
      <c r="BN162" s="31">
        <f>SUM(AV$5:AV162)</f>
        <v>1078.1579698345183</v>
      </c>
      <c r="BO162" s="31">
        <f>SUM(AW$5:AW162)</f>
        <v>704.96766450982125</v>
      </c>
      <c r="BP162" s="31">
        <f>SUM(AX$5:AX162)</f>
        <v>333.4630769439176</v>
      </c>
      <c r="BQ162" s="31">
        <f>SUM(AY$5:AY162)</f>
        <v>1256678.6251018743</v>
      </c>
      <c r="BR162" s="31">
        <f>SUM(AZ$5:AZ162)</f>
        <v>1831393.7702741204</v>
      </c>
      <c r="BS162" s="31">
        <f>SUM(BA$5:BA162)</f>
        <v>2513657.5370353693</v>
      </c>
      <c r="BT162" s="31">
        <f>SUM(BB$5:BB162)</f>
        <v>2846637.8955270653</v>
      </c>
      <c r="BU162" s="31">
        <f>SUM(BC$5:BC162)</f>
        <v>2847658.7851088555</v>
      </c>
      <c r="BV162" s="31">
        <f>SUM(BD$5:BD162)</f>
        <v>0</v>
      </c>
      <c r="BW162" s="31">
        <f>SUM(BE$5:BE162)</f>
        <v>0</v>
      </c>
      <c r="BX162" s="31">
        <f>SUM(BF$5:BF162)</f>
        <v>0</v>
      </c>
      <c r="BY162" s="31">
        <f>SUM(BG$5:BG162)</f>
        <v>0</v>
      </c>
      <c r="BZ162" s="31">
        <f>SUM(BH$5:BH162)</f>
        <v>0</v>
      </c>
      <c r="CC162" s="41">
        <v>158</v>
      </c>
      <c r="CD162" s="41">
        <f t="shared" si="74"/>
        <v>44026.334226537016</v>
      </c>
      <c r="CE162" s="41">
        <f t="shared" si="75"/>
        <v>64148.862173170011</v>
      </c>
      <c r="CF162" s="41">
        <f t="shared" si="76"/>
        <v>88026.530904880477</v>
      </c>
      <c r="CG162" s="41">
        <f t="shared" si="77"/>
        <v>99664.049888350215</v>
      </c>
      <c r="CH162" s="41">
        <f t="shared" si="78"/>
        <v>99683.063317272419</v>
      </c>
      <c r="CI162" s="41">
        <f t="shared" si="79"/>
        <v>18854.910748524937</v>
      </c>
      <c r="CJ162" s="41">
        <f t="shared" si="80"/>
        <v>27476.471022286896</v>
      </c>
      <c r="CK162" s="41">
        <f t="shared" si="81"/>
        <v>37710.25384537971</v>
      </c>
      <c r="CL162" s="41">
        <f t="shared" si="82"/>
        <v>42703.093271228528</v>
      </c>
      <c r="CM162" s="41">
        <f t="shared" si="83"/>
        <v>42716.549092017551</v>
      </c>
      <c r="CN162" s="41">
        <f t="shared" si="84"/>
        <v>0</v>
      </c>
      <c r="CO162" s="41">
        <f t="shared" si="85"/>
        <v>0</v>
      </c>
      <c r="CP162" s="41">
        <f t="shared" si="86"/>
        <v>0</v>
      </c>
      <c r="CQ162" s="41">
        <f t="shared" si="87"/>
        <v>0</v>
      </c>
      <c r="CR162" s="41">
        <f t="shared" si="88"/>
        <v>0</v>
      </c>
    </row>
    <row r="163" spans="23:96" x14ac:dyDescent="0.15">
      <c r="W163" s="117">
        <v>1.05</v>
      </c>
      <c r="X163" s="31">
        <v>159</v>
      </c>
      <c r="Y163" s="113">
        <f t="shared" si="89"/>
        <v>935.74721547508955</v>
      </c>
      <c r="Z163" s="42">
        <f t="shared" si="72"/>
        <v>0.12</v>
      </c>
      <c r="AA163" s="113">
        <f>$Y163*$Z163*其他调用!V162</f>
        <v>21151221.383019168</v>
      </c>
      <c r="AB163" s="113">
        <f>$Y163*$Z163*其他调用!W162</f>
        <v>30807213.753527936</v>
      </c>
      <c r="AC163" s="113">
        <f>$Y163*$Z163*其他调用!X162</f>
        <v>42261059.941593312</v>
      </c>
      <c r="AD163" s="113">
        <f>$Y163*$Z163*其他调用!Y162</f>
        <v>47833946.966858312</v>
      </c>
      <c r="AE163" s="113">
        <f>$Y163*$Z163*其他调用!Z162</f>
        <v>47833946.966858312</v>
      </c>
      <c r="AH163" s="31">
        <v>159</v>
      </c>
      <c r="AI163" s="31">
        <f>SUM(AA$5:AA163)</f>
        <v>189872192.07117072</v>
      </c>
      <c r="AJ163" s="31">
        <f>SUM(AB$5:AB163)</f>
        <v>294631778.2958467</v>
      </c>
      <c r="AK163" s="31">
        <f>SUM(AC$5:AC163)</f>
        <v>429952743.21424174</v>
      </c>
      <c r="AL163" s="31">
        <f>SUM(AD$5:AD163)</f>
        <v>514247323.84115815</v>
      </c>
      <c r="AM163" s="31">
        <f>SUM(AE$5:AE163)</f>
        <v>542275636.94217718</v>
      </c>
      <c r="AR163" s="31">
        <v>159</v>
      </c>
      <c r="AS163" s="42">
        <f t="shared" si="73"/>
        <v>8.0000000000000016E-2</v>
      </c>
      <c r="AT163" s="52">
        <f>求节点(E$21:E$27,$M$21:$M$27,$AR163)*$AS163*其他调用!V162</f>
        <v>0</v>
      </c>
      <c r="AU163" s="52">
        <f>求节点(F$21:F$27,$M$21:$M$27,$AR163)*$AS163*其他调用!W162</f>
        <v>0</v>
      </c>
      <c r="AV163" s="52">
        <f>求节点(G$21:G$27,$M$21:$M$27,$AR163)*$AS163*其他调用!X162</f>
        <v>0</v>
      </c>
      <c r="AW163" s="52">
        <f>求节点(H$21:H$27,$M$21:$M$27,$AR163)*$AS163*其他调用!Y162</f>
        <v>0</v>
      </c>
      <c r="AX163" s="52">
        <f>求节点(I$21:I$27,$M$21:$M$27,$AR163)*$AS163*其他调用!Z162</f>
        <v>0</v>
      </c>
      <c r="AY163" s="52">
        <f>求节点(E$21:E$27,$N$21:$N$27,$AR163)*$AS163*其他调用!V162</f>
        <v>90414.253051366904</v>
      </c>
      <c r="AZ163" s="52">
        <f>求节点(F$21:F$27,$N$21:$N$27,$AR163)*$AS163*其他调用!W162</f>
        <v>131690.32509655619</v>
      </c>
      <c r="BA163" s="52">
        <f>求节点(G$21:G$27,$N$21:$N$27,$AR163)*$AS163*其他调用!X162</f>
        <v>180651.6086511116</v>
      </c>
      <c r="BB163" s="52">
        <f>求节点(H$21:H$27,$N$21:$N$27,$AR163)*$AS163*其他调用!Y162</f>
        <v>204473.79880290633</v>
      </c>
      <c r="BC163" s="52">
        <f>求节点(I$21:I$27,$N$21:$N$27,$AR163)*$AS163*其他调用!Z162</f>
        <v>204473.79880290633</v>
      </c>
      <c r="BD163" s="52">
        <f>求节点(E$21:E$27,$O$21:$O$27,$AR163)*$AS163*其他调用!V162</f>
        <v>0</v>
      </c>
      <c r="BE163" s="52">
        <f>求节点(F$21:F$27,$O$21:$O$27,$AR163)*$AS163*其他调用!W162</f>
        <v>0</v>
      </c>
      <c r="BF163" s="52">
        <f>求节点(G$21:G$27,$O$21:$O$27,$AR163)*$AS163*其他调用!X162</f>
        <v>0</v>
      </c>
      <c r="BG163" s="52">
        <f>求节点(H$21:H$27,$O$21:$O$27,$AR163)*$AS163*其他调用!Y162</f>
        <v>0</v>
      </c>
      <c r="BH163" s="52">
        <f>求节点(I$21:I$27,$O$21:$O$27,$AR163)*$AS163*其他调用!Z162</f>
        <v>0</v>
      </c>
      <c r="BK163" s="31">
        <v>159</v>
      </c>
      <c r="BL163" s="31">
        <f>SUM(AT$5:AT163)</f>
        <v>946.27439936474923</v>
      </c>
      <c r="BM163" s="31">
        <f>SUM(AU$5:AU163)</f>
        <v>1112.8936350179583</v>
      </c>
      <c r="BN163" s="31">
        <f>SUM(AV$5:AV163)</f>
        <v>1078.1579698345183</v>
      </c>
      <c r="BO163" s="31">
        <f>SUM(AW$5:AW163)</f>
        <v>704.96766450982125</v>
      </c>
      <c r="BP163" s="31">
        <f>SUM(AX$5:AX163)</f>
        <v>333.4630769439176</v>
      </c>
      <c r="BQ163" s="31">
        <f>SUM(AY$5:AY163)</f>
        <v>1347092.8781532412</v>
      </c>
      <c r="BR163" s="31">
        <f>SUM(AZ$5:AZ163)</f>
        <v>1963084.0953706766</v>
      </c>
      <c r="BS163" s="31">
        <f>SUM(BA$5:BA163)</f>
        <v>2694309.1456864811</v>
      </c>
      <c r="BT163" s="31">
        <f>SUM(BB$5:BB163)</f>
        <v>3051111.6943299714</v>
      </c>
      <c r="BU163" s="31">
        <f>SUM(BC$5:BC163)</f>
        <v>3052132.5839117616</v>
      </c>
      <c r="BV163" s="31">
        <f>SUM(BD$5:BD163)</f>
        <v>0</v>
      </c>
      <c r="BW163" s="31">
        <f>SUM(BE$5:BE163)</f>
        <v>0</v>
      </c>
      <c r="BX163" s="31">
        <f>SUM(BF$5:BF163)</f>
        <v>0</v>
      </c>
      <c r="BY163" s="31">
        <f>SUM(BG$5:BG163)</f>
        <v>0</v>
      </c>
      <c r="BZ163" s="31">
        <f>SUM(BH$5:BH163)</f>
        <v>0</v>
      </c>
      <c r="CC163" s="41">
        <v>159</v>
      </c>
      <c r="CD163" s="41">
        <f t="shared" si="74"/>
        <v>47190.833083334859</v>
      </c>
      <c r="CE163" s="41">
        <f t="shared" si="75"/>
        <v>68758.023551549486</v>
      </c>
      <c r="CF163" s="41">
        <f t="shared" si="76"/>
        <v>94349.337207669392</v>
      </c>
      <c r="CG163" s="41">
        <f t="shared" si="77"/>
        <v>106820.63284645192</v>
      </c>
      <c r="CH163" s="41">
        <f t="shared" si="78"/>
        <v>106839.64627537414</v>
      </c>
      <c r="CI163" s="41">
        <f t="shared" si="79"/>
        <v>20211.124544295442</v>
      </c>
      <c r="CJ163" s="41">
        <f t="shared" si="80"/>
        <v>29451.825898735238</v>
      </c>
      <c r="CK163" s="41">
        <f t="shared" si="81"/>
        <v>40420.027975146382</v>
      </c>
      <c r="CL163" s="41">
        <f t="shared" si="82"/>
        <v>45770.200253272116</v>
      </c>
      <c r="CM163" s="41">
        <f t="shared" si="83"/>
        <v>45783.656074061146</v>
      </c>
      <c r="CN163" s="41">
        <f t="shared" si="84"/>
        <v>0</v>
      </c>
      <c r="CO163" s="41">
        <f t="shared" si="85"/>
        <v>0</v>
      </c>
      <c r="CP163" s="41">
        <f t="shared" si="86"/>
        <v>0</v>
      </c>
      <c r="CQ163" s="41">
        <f t="shared" si="87"/>
        <v>0</v>
      </c>
      <c r="CR163" s="41">
        <f t="shared" si="88"/>
        <v>0</v>
      </c>
    </row>
    <row r="164" spans="23:96" x14ac:dyDescent="0.15">
      <c r="W164" s="117">
        <v>1.05</v>
      </c>
      <c r="X164" s="31">
        <v>160</v>
      </c>
      <c r="Y164" s="113">
        <f t="shared" si="89"/>
        <v>982.53457624884402</v>
      </c>
      <c r="Z164" s="42">
        <f t="shared" si="72"/>
        <v>0.12</v>
      </c>
      <c r="AA164" s="113">
        <f>$Y164*$Z164*其他调用!V163</f>
        <v>23802783.667477179</v>
      </c>
      <c r="AB164" s="113">
        <f>$Y164*$Z164*其他调用!W163</f>
        <v>34669271.863499388</v>
      </c>
      <c r="AC164" s="113">
        <f>$Y164*$Z164*其他调用!X163</f>
        <v>47558996.671257235</v>
      </c>
      <c r="AD164" s="113">
        <f>$Y164*$Z164*其他调用!Y163</f>
        <v>53830512.715818651</v>
      </c>
      <c r="AE164" s="113">
        <f>$Y164*$Z164*其他调用!Z163</f>
        <v>53830512.715818651</v>
      </c>
      <c r="AH164" s="31">
        <v>160</v>
      </c>
      <c r="AI164" s="31">
        <f>SUM(AA$5:AA164)</f>
        <v>213674975.73864791</v>
      </c>
      <c r="AJ164" s="31">
        <f>SUM(AB$5:AB164)</f>
        <v>329301050.1593461</v>
      </c>
      <c r="AK164" s="31">
        <f>SUM(AC$5:AC164)</f>
        <v>477511739.885499</v>
      </c>
      <c r="AL164" s="31">
        <f>SUM(AD$5:AD164)</f>
        <v>568077836.5569768</v>
      </c>
      <c r="AM164" s="31">
        <f>SUM(AE$5:AE164)</f>
        <v>596106149.65799582</v>
      </c>
      <c r="AR164" s="31">
        <v>160</v>
      </c>
      <c r="AS164" s="42">
        <f t="shared" si="73"/>
        <v>8.0000000000000016E-2</v>
      </c>
      <c r="AT164" s="52">
        <f>求节点(E$21:E$27,$M$21:$M$27,$AR164)*$AS164*其他调用!V163</f>
        <v>0</v>
      </c>
      <c r="AU164" s="52">
        <f>求节点(F$21:F$27,$M$21:$M$27,$AR164)*$AS164*其他调用!W163</f>
        <v>0</v>
      </c>
      <c r="AV164" s="52">
        <f>求节点(G$21:G$27,$M$21:$M$27,$AR164)*$AS164*其他调用!X163</f>
        <v>0</v>
      </c>
      <c r="AW164" s="52">
        <f>求节点(H$21:H$27,$M$21:$M$27,$AR164)*$AS164*其他调用!Y163</f>
        <v>0</v>
      </c>
      <c r="AX164" s="52">
        <f>求节点(I$21:I$27,$M$21:$M$27,$AR164)*$AS164*其他调用!Z163</f>
        <v>0</v>
      </c>
      <c r="AY164" s="52">
        <f>求节点(E$21:E$27,$N$21:$N$27,$AR164)*$AS164*其他调用!V163</f>
        <v>96903.597055494203</v>
      </c>
      <c r="AZ164" s="52">
        <f>求节点(F$21:F$27,$N$21:$N$27,$AR164)*$AS164*其他调用!W163</f>
        <v>141142.19571126337</v>
      </c>
      <c r="BA164" s="52">
        <f>求节点(G$21:G$27,$N$21:$N$27,$AR164)*$AS164*其他调用!X163</f>
        <v>193617.60011674988</v>
      </c>
      <c r="BB164" s="52">
        <f>求节点(H$21:H$27,$N$21:$N$27,$AR164)*$AS164*其他调用!Y163</f>
        <v>219149.59134093675</v>
      </c>
      <c r="BC164" s="52">
        <f>求节点(I$21:I$27,$N$21:$N$27,$AR164)*$AS164*其他调用!Z163</f>
        <v>219149.59134093675</v>
      </c>
      <c r="BD164" s="52">
        <f>求节点(E$21:E$27,$O$21:$O$27,$AR164)*$AS164*其他调用!V163</f>
        <v>0</v>
      </c>
      <c r="BE164" s="52">
        <f>求节点(F$21:F$27,$O$21:$O$27,$AR164)*$AS164*其他调用!W163</f>
        <v>0</v>
      </c>
      <c r="BF164" s="52">
        <f>求节点(G$21:G$27,$O$21:$O$27,$AR164)*$AS164*其他调用!X163</f>
        <v>0</v>
      </c>
      <c r="BG164" s="52">
        <f>求节点(H$21:H$27,$O$21:$O$27,$AR164)*$AS164*其他调用!Y163</f>
        <v>0</v>
      </c>
      <c r="BH164" s="52">
        <f>求节点(I$21:I$27,$O$21:$O$27,$AR164)*$AS164*其他调用!Z163</f>
        <v>0</v>
      </c>
      <c r="BK164" s="31">
        <v>160</v>
      </c>
      <c r="BL164" s="31">
        <f>SUM(AT$5:AT164)</f>
        <v>946.27439936474923</v>
      </c>
      <c r="BM164" s="31">
        <f>SUM(AU$5:AU164)</f>
        <v>1112.8936350179583</v>
      </c>
      <c r="BN164" s="31">
        <f>SUM(AV$5:AV164)</f>
        <v>1078.1579698345183</v>
      </c>
      <c r="BO164" s="31">
        <f>SUM(AW$5:AW164)</f>
        <v>704.96766450982125</v>
      </c>
      <c r="BP164" s="31">
        <f>SUM(AX$5:AX164)</f>
        <v>333.4630769439176</v>
      </c>
      <c r="BQ164" s="31">
        <f>SUM(AY$5:AY164)</f>
        <v>1443996.4752087356</v>
      </c>
      <c r="BR164" s="31">
        <f>SUM(AZ$5:AZ164)</f>
        <v>2104226.2910819398</v>
      </c>
      <c r="BS164" s="31">
        <f>SUM(BA$5:BA164)</f>
        <v>2887926.7458032309</v>
      </c>
      <c r="BT164" s="31">
        <f>SUM(BB$5:BB164)</f>
        <v>3270261.2856709082</v>
      </c>
      <c r="BU164" s="31">
        <f>SUM(BC$5:BC164)</f>
        <v>3271282.1752526984</v>
      </c>
      <c r="BV164" s="31">
        <f>SUM(BD$5:BD164)</f>
        <v>0</v>
      </c>
      <c r="BW164" s="31">
        <f>SUM(BE$5:BE164)</f>
        <v>0</v>
      </c>
      <c r="BX164" s="31">
        <f>SUM(BF$5:BF164)</f>
        <v>0</v>
      </c>
      <c r="BY164" s="31">
        <f>SUM(BG$5:BG164)</f>
        <v>0</v>
      </c>
      <c r="BZ164" s="31">
        <f>SUM(BH$5:BH164)</f>
        <v>0</v>
      </c>
      <c r="CC164" s="41">
        <v>160</v>
      </c>
      <c r="CD164" s="41">
        <f t="shared" si="74"/>
        <v>50582.458980277159</v>
      </c>
      <c r="CE164" s="41">
        <f t="shared" si="75"/>
        <v>73698.0004014437</v>
      </c>
      <c r="CF164" s="41">
        <f t="shared" si="76"/>
        <v>101125.95321175564</v>
      </c>
      <c r="CG164" s="41">
        <f t="shared" si="77"/>
        <v>114490.86854338471</v>
      </c>
      <c r="CH164" s="41">
        <f t="shared" si="78"/>
        <v>114509.88197230692</v>
      </c>
      <c r="CI164" s="41">
        <f t="shared" si="79"/>
        <v>21664.678500127855</v>
      </c>
      <c r="CJ164" s="41">
        <f t="shared" si="80"/>
        <v>31568.958834404191</v>
      </c>
      <c r="CK164" s="41">
        <f t="shared" si="81"/>
        <v>43324.291976897635</v>
      </c>
      <c r="CL164" s="41">
        <f t="shared" si="82"/>
        <v>49057.444123386165</v>
      </c>
      <c r="CM164" s="41">
        <f t="shared" si="83"/>
        <v>49070.899944175195</v>
      </c>
      <c r="CN164" s="41">
        <f t="shared" si="84"/>
        <v>0</v>
      </c>
      <c r="CO164" s="41">
        <f t="shared" si="85"/>
        <v>0</v>
      </c>
      <c r="CP164" s="41">
        <f t="shared" si="86"/>
        <v>0</v>
      </c>
      <c r="CQ164" s="41">
        <f t="shared" si="87"/>
        <v>0</v>
      </c>
      <c r="CR164" s="41">
        <f t="shared" si="88"/>
        <v>0</v>
      </c>
    </row>
  </sheetData>
  <mergeCells count="25">
    <mergeCell ref="C9:C10"/>
    <mergeCell ref="D11:E11"/>
    <mergeCell ref="Y3:Y4"/>
    <mergeCell ref="CC3:CC4"/>
    <mergeCell ref="CD3:CH3"/>
    <mergeCell ref="AA3:AE3"/>
    <mergeCell ref="AR3:AR4"/>
    <mergeCell ref="AH3:AH4"/>
    <mergeCell ref="AI3:AM3"/>
    <mergeCell ref="CI3:CM3"/>
    <mergeCell ref="CN3:CR3"/>
    <mergeCell ref="D38:E38"/>
    <mergeCell ref="J19:L19"/>
    <mergeCell ref="M19:O19"/>
    <mergeCell ref="E19:I19"/>
    <mergeCell ref="AS3:AS4"/>
    <mergeCell ref="AT3:AX3"/>
    <mergeCell ref="AY3:BC3"/>
    <mergeCell ref="BD3:BH3"/>
    <mergeCell ref="BK3:BK4"/>
    <mergeCell ref="BL3:BP3"/>
    <mergeCell ref="BQ3:BU3"/>
    <mergeCell ref="BV3:BZ3"/>
    <mergeCell ref="X3:X4"/>
    <mergeCell ref="Z3:Z4"/>
  </mergeCells>
  <phoneticPr fontId="1" type="noConversion"/>
  <pageMargins left="0.7" right="0.7" top="0.75" bottom="0.75" header="0.3" footer="0.3"/>
  <pageSetup paperSize="9" orientation="portrait" horizontalDpi="360" verticalDpi="36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71FB3-C17E-45D4-96F6-B84C7E278B6D}">
  <dimension ref="E5:S166"/>
  <sheetViews>
    <sheetView workbookViewId="0">
      <selection activeCell="O7" sqref="O7"/>
    </sheetView>
  </sheetViews>
  <sheetFormatPr defaultRowHeight="11.25" x14ac:dyDescent="0.15"/>
  <cols>
    <col min="1" max="16384" width="9" style="17"/>
  </cols>
  <sheetData>
    <row r="5" spans="5:19" x14ac:dyDescent="0.15">
      <c r="F5" s="149" t="s">
        <v>393</v>
      </c>
      <c r="G5" s="149"/>
      <c r="H5" s="149"/>
      <c r="I5" s="149"/>
      <c r="J5" s="149"/>
      <c r="K5" s="149"/>
      <c r="N5" s="120"/>
      <c r="O5" s="154" t="s">
        <v>396</v>
      </c>
      <c r="P5" s="154"/>
      <c r="Q5" s="154"/>
      <c r="R5" s="154"/>
      <c r="S5" s="154"/>
    </row>
    <row r="6" spans="5:19" x14ac:dyDescent="0.15">
      <c r="E6" s="17" t="s">
        <v>230</v>
      </c>
      <c r="F6" s="108">
        <v>0</v>
      </c>
      <c r="G6" s="108">
        <v>1</v>
      </c>
      <c r="H6" s="108">
        <v>2</v>
      </c>
      <c r="I6" s="108">
        <v>3</v>
      </c>
      <c r="J6" s="108">
        <v>4</v>
      </c>
      <c r="K6" s="108">
        <v>5</v>
      </c>
      <c r="N6" s="120" t="s">
        <v>161</v>
      </c>
      <c r="O6" s="120" t="s">
        <v>74</v>
      </c>
      <c r="P6" s="120" t="s">
        <v>75</v>
      </c>
      <c r="Q6" s="120" t="s">
        <v>76</v>
      </c>
      <c r="R6" s="120" t="s">
        <v>77</v>
      </c>
      <c r="S6" s="120" t="s">
        <v>78</v>
      </c>
    </row>
    <row r="7" spans="5:19" x14ac:dyDescent="0.15">
      <c r="E7" s="17" t="s">
        <v>25</v>
      </c>
      <c r="F7" s="108">
        <v>100</v>
      </c>
      <c r="G7" s="108">
        <v>200</v>
      </c>
      <c r="H7" s="108">
        <v>300</v>
      </c>
      <c r="I7" s="108">
        <v>400</v>
      </c>
      <c r="J7" s="108">
        <v>500</v>
      </c>
      <c r="K7" s="108">
        <v>600</v>
      </c>
      <c r="N7" s="17">
        <v>1</v>
      </c>
    </row>
    <row r="8" spans="5:19" x14ac:dyDescent="0.15">
      <c r="E8" s="17" t="s">
        <v>1</v>
      </c>
      <c r="F8" s="108">
        <v>500</v>
      </c>
      <c r="G8" s="108">
        <v>1400</v>
      </c>
      <c r="H8" s="108">
        <v>2300</v>
      </c>
      <c r="I8" s="108">
        <v>3200</v>
      </c>
      <c r="J8" s="108">
        <v>4100</v>
      </c>
      <c r="K8" s="108">
        <v>5000</v>
      </c>
      <c r="N8" s="17">
        <v>2</v>
      </c>
    </row>
    <row r="9" spans="5:19" x14ac:dyDescent="0.15">
      <c r="E9" s="17" t="s">
        <v>2</v>
      </c>
      <c r="F9" s="108">
        <v>2500</v>
      </c>
      <c r="G9" s="108">
        <v>5000</v>
      </c>
      <c r="H9" s="108">
        <v>7500</v>
      </c>
      <c r="I9" s="108">
        <v>10000</v>
      </c>
      <c r="J9" s="108">
        <v>12500</v>
      </c>
      <c r="K9" s="108">
        <v>15000</v>
      </c>
      <c r="N9" s="17">
        <v>3</v>
      </c>
    </row>
    <row r="10" spans="5:19" x14ac:dyDescent="0.15">
      <c r="E10" s="17" t="s">
        <v>0</v>
      </c>
      <c r="F10" s="108">
        <v>5000</v>
      </c>
      <c r="G10" s="108">
        <v>14000</v>
      </c>
      <c r="H10" s="108">
        <v>23000</v>
      </c>
      <c r="I10" s="108">
        <v>32000</v>
      </c>
      <c r="J10" s="108">
        <v>41000</v>
      </c>
      <c r="K10" s="108">
        <v>50000</v>
      </c>
      <c r="N10" s="17">
        <v>4</v>
      </c>
    </row>
    <row r="11" spans="5:19" x14ac:dyDescent="0.15">
      <c r="E11" s="17" t="s">
        <v>394</v>
      </c>
      <c r="F11" s="108">
        <v>10000</v>
      </c>
      <c r="G11" s="108">
        <v>24000</v>
      </c>
      <c r="H11" s="108">
        <v>38000</v>
      </c>
      <c r="I11" s="108">
        <v>52000</v>
      </c>
      <c r="J11" s="108">
        <v>66000</v>
      </c>
      <c r="K11" s="108">
        <v>80000</v>
      </c>
      <c r="N11" s="17">
        <v>5</v>
      </c>
    </row>
    <row r="12" spans="5:19" x14ac:dyDescent="0.15">
      <c r="E12" s="17" t="s">
        <v>167</v>
      </c>
      <c r="F12" s="108">
        <v>10000</v>
      </c>
      <c r="G12" s="108">
        <v>20000</v>
      </c>
      <c r="H12" s="108">
        <v>30000</v>
      </c>
      <c r="I12" s="108">
        <v>40000</v>
      </c>
      <c r="J12" s="108">
        <v>50000</v>
      </c>
      <c r="K12" s="108">
        <v>60000</v>
      </c>
      <c r="N12" s="17">
        <v>6</v>
      </c>
    </row>
    <row r="13" spans="5:19" x14ac:dyDescent="0.15">
      <c r="E13" s="17" t="s">
        <v>395</v>
      </c>
      <c r="F13" s="108">
        <v>25000</v>
      </c>
      <c r="G13" s="108">
        <v>40000</v>
      </c>
      <c r="H13" s="108">
        <v>55000</v>
      </c>
      <c r="I13" s="108">
        <v>70000</v>
      </c>
      <c r="J13" s="108">
        <v>85000</v>
      </c>
      <c r="K13" s="108">
        <v>100000</v>
      </c>
      <c r="N13" s="17">
        <v>7</v>
      </c>
    </row>
    <row r="14" spans="5:19" x14ac:dyDescent="0.15">
      <c r="N14" s="17">
        <v>8</v>
      </c>
    </row>
    <row r="15" spans="5:19" x14ac:dyDescent="0.15">
      <c r="N15" s="17">
        <v>9</v>
      </c>
    </row>
    <row r="16" spans="5:19" x14ac:dyDescent="0.15">
      <c r="N16" s="17">
        <v>10</v>
      </c>
    </row>
    <row r="17" spans="14:14" x14ac:dyDescent="0.15">
      <c r="N17" s="17">
        <v>11</v>
      </c>
    </row>
    <row r="18" spans="14:14" x14ac:dyDescent="0.15">
      <c r="N18" s="17">
        <v>12</v>
      </c>
    </row>
    <row r="19" spans="14:14" x14ac:dyDescent="0.15">
      <c r="N19" s="17">
        <v>13</v>
      </c>
    </row>
    <row r="20" spans="14:14" x14ac:dyDescent="0.15">
      <c r="N20" s="17">
        <v>14</v>
      </c>
    </row>
    <row r="21" spans="14:14" x14ac:dyDescent="0.15">
      <c r="N21" s="17">
        <v>15</v>
      </c>
    </row>
    <row r="22" spans="14:14" x14ac:dyDescent="0.15">
      <c r="N22" s="17">
        <v>16</v>
      </c>
    </row>
    <row r="23" spans="14:14" x14ac:dyDescent="0.15">
      <c r="N23" s="17">
        <v>17</v>
      </c>
    </row>
    <row r="24" spans="14:14" x14ac:dyDescent="0.15">
      <c r="N24" s="17">
        <v>18</v>
      </c>
    </row>
    <row r="25" spans="14:14" x14ac:dyDescent="0.15">
      <c r="N25" s="17">
        <v>19</v>
      </c>
    </row>
    <row r="26" spans="14:14" x14ac:dyDescent="0.15">
      <c r="N26" s="17">
        <v>20</v>
      </c>
    </row>
    <row r="27" spans="14:14" x14ac:dyDescent="0.15">
      <c r="N27" s="17">
        <v>21</v>
      </c>
    </row>
    <row r="28" spans="14:14" x14ac:dyDescent="0.15">
      <c r="N28" s="17">
        <v>22</v>
      </c>
    </row>
    <row r="29" spans="14:14" x14ac:dyDescent="0.15">
      <c r="N29" s="17">
        <v>23</v>
      </c>
    </row>
    <row r="30" spans="14:14" x14ac:dyDescent="0.15">
      <c r="N30" s="17">
        <v>24</v>
      </c>
    </row>
    <row r="31" spans="14:14" x14ac:dyDescent="0.15">
      <c r="N31" s="17">
        <v>25</v>
      </c>
    </row>
    <row r="32" spans="14:14" x14ac:dyDescent="0.15">
      <c r="N32" s="17">
        <v>26</v>
      </c>
    </row>
    <row r="33" spans="14:14" x14ac:dyDescent="0.15">
      <c r="N33" s="17">
        <v>27</v>
      </c>
    </row>
    <row r="34" spans="14:14" x14ac:dyDescent="0.15">
      <c r="N34" s="17">
        <v>28</v>
      </c>
    </row>
    <row r="35" spans="14:14" x14ac:dyDescent="0.15">
      <c r="N35" s="17">
        <v>29</v>
      </c>
    </row>
    <row r="36" spans="14:14" x14ac:dyDescent="0.15">
      <c r="N36" s="17">
        <v>30</v>
      </c>
    </row>
    <row r="37" spans="14:14" x14ac:dyDescent="0.15">
      <c r="N37" s="17">
        <v>31</v>
      </c>
    </row>
    <row r="38" spans="14:14" x14ac:dyDescent="0.15">
      <c r="N38" s="17">
        <v>32</v>
      </c>
    </row>
    <row r="39" spans="14:14" x14ac:dyDescent="0.15">
      <c r="N39" s="17">
        <v>33</v>
      </c>
    </row>
    <row r="40" spans="14:14" x14ac:dyDescent="0.15">
      <c r="N40" s="17">
        <v>34</v>
      </c>
    </row>
    <row r="41" spans="14:14" x14ac:dyDescent="0.15">
      <c r="N41" s="17">
        <v>35</v>
      </c>
    </row>
    <row r="42" spans="14:14" x14ac:dyDescent="0.15">
      <c r="N42" s="17">
        <v>36</v>
      </c>
    </row>
    <row r="43" spans="14:14" x14ac:dyDescent="0.15">
      <c r="N43" s="17">
        <v>37</v>
      </c>
    </row>
    <row r="44" spans="14:14" x14ac:dyDescent="0.15">
      <c r="N44" s="17">
        <v>38</v>
      </c>
    </row>
    <row r="45" spans="14:14" x14ac:dyDescent="0.15">
      <c r="N45" s="17">
        <v>39</v>
      </c>
    </row>
    <row r="46" spans="14:14" x14ac:dyDescent="0.15">
      <c r="N46" s="17">
        <v>40</v>
      </c>
    </row>
    <row r="47" spans="14:14" x14ac:dyDescent="0.15">
      <c r="N47" s="17">
        <v>41</v>
      </c>
    </row>
    <row r="48" spans="14:14" x14ac:dyDescent="0.15">
      <c r="N48" s="17">
        <v>42</v>
      </c>
    </row>
    <row r="49" spans="14:14" x14ac:dyDescent="0.15">
      <c r="N49" s="17">
        <v>43</v>
      </c>
    </row>
    <row r="50" spans="14:14" x14ac:dyDescent="0.15">
      <c r="N50" s="17">
        <v>44</v>
      </c>
    </row>
    <row r="51" spans="14:14" x14ac:dyDescent="0.15">
      <c r="N51" s="17">
        <v>45</v>
      </c>
    </row>
    <row r="52" spans="14:14" x14ac:dyDescent="0.15">
      <c r="N52" s="17">
        <v>46</v>
      </c>
    </row>
    <row r="53" spans="14:14" x14ac:dyDescent="0.15">
      <c r="N53" s="17">
        <v>47</v>
      </c>
    </row>
    <row r="54" spans="14:14" x14ac:dyDescent="0.15">
      <c r="N54" s="17">
        <v>48</v>
      </c>
    </row>
    <row r="55" spans="14:14" x14ac:dyDescent="0.15">
      <c r="N55" s="17">
        <v>49</v>
      </c>
    </row>
    <row r="56" spans="14:14" x14ac:dyDescent="0.15">
      <c r="N56" s="17">
        <v>50</v>
      </c>
    </row>
    <row r="57" spans="14:14" x14ac:dyDescent="0.15">
      <c r="N57" s="17">
        <v>51</v>
      </c>
    </row>
    <row r="58" spans="14:14" x14ac:dyDescent="0.15">
      <c r="N58" s="17">
        <v>52</v>
      </c>
    </row>
    <row r="59" spans="14:14" x14ac:dyDescent="0.15">
      <c r="N59" s="17">
        <v>53</v>
      </c>
    </row>
    <row r="60" spans="14:14" x14ac:dyDescent="0.15">
      <c r="N60" s="17">
        <v>54</v>
      </c>
    </row>
    <row r="61" spans="14:14" x14ac:dyDescent="0.15">
      <c r="N61" s="17">
        <v>55</v>
      </c>
    </row>
    <row r="62" spans="14:14" x14ac:dyDescent="0.15">
      <c r="N62" s="17">
        <v>56</v>
      </c>
    </row>
    <row r="63" spans="14:14" x14ac:dyDescent="0.15">
      <c r="N63" s="17">
        <v>57</v>
      </c>
    </row>
    <row r="64" spans="14:14" x14ac:dyDescent="0.15">
      <c r="N64" s="17">
        <v>58</v>
      </c>
    </row>
    <row r="65" spans="14:14" x14ac:dyDescent="0.15">
      <c r="N65" s="17">
        <v>59</v>
      </c>
    </row>
    <row r="66" spans="14:14" x14ac:dyDescent="0.15">
      <c r="N66" s="17">
        <v>60</v>
      </c>
    </row>
    <row r="67" spans="14:14" x14ac:dyDescent="0.15">
      <c r="N67" s="17">
        <v>61</v>
      </c>
    </row>
    <row r="68" spans="14:14" x14ac:dyDescent="0.15">
      <c r="N68" s="17">
        <v>62</v>
      </c>
    </row>
    <row r="69" spans="14:14" x14ac:dyDescent="0.15">
      <c r="N69" s="17">
        <v>63</v>
      </c>
    </row>
    <row r="70" spans="14:14" x14ac:dyDescent="0.15">
      <c r="N70" s="17">
        <v>64</v>
      </c>
    </row>
    <row r="71" spans="14:14" x14ac:dyDescent="0.15">
      <c r="N71" s="17">
        <v>65</v>
      </c>
    </row>
    <row r="72" spans="14:14" x14ac:dyDescent="0.15">
      <c r="N72" s="17">
        <v>66</v>
      </c>
    </row>
    <row r="73" spans="14:14" x14ac:dyDescent="0.15">
      <c r="N73" s="17">
        <v>67</v>
      </c>
    </row>
    <row r="74" spans="14:14" x14ac:dyDescent="0.15">
      <c r="N74" s="17">
        <v>68</v>
      </c>
    </row>
    <row r="75" spans="14:14" x14ac:dyDescent="0.15">
      <c r="N75" s="17">
        <v>69</v>
      </c>
    </row>
    <row r="76" spans="14:14" x14ac:dyDescent="0.15">
      <c r="N76" s="17">
        <v>70</v>
      </c>
    </row>
    <row r="77" spans="14:14" x14ac:dyDescent="0.15">
      <c r="N77" s="17">
        <v>71</v>
      </c>
    </row>
    <row r="78" spans="14:14" x14ac:dyDescent="0.15">
      <c r="N78" s="17">
        <v>72</v>
      </c>
    </row>
    <row r="79" spans="14:14" x14ac:dyDescent="0.15">
      <c r="N79" s="17">
        <v>73</v>
      </c>
    </row>
    <row r="80" spans="14:14" x14ac:dyDescent="0.15">
      <c r="N80" s="17">
        <v>74</v>
      </c>
    </row>
    <row r="81" spans="14:14" x14ac:dyDescent="0.15">
      <c r="N81" s="17">
        <v>75</v>
      </c>
    </row>
    <row r="82" spans="14:14" x14ac:dyDescent="0.15">
      <c r="N82" s="17">
        <v>76</v>
      </c>
    </row>
    <row r="83" spans="14:14" x14ac:dyDescent="0.15">
      <c r="N83" s="17">
        <v>77</v>
      </c>
    </row>
    <row r="84" spans="14:14" x14ac:dyDescent="0.15">
      <c r="N84" s="17">
        <v>78</v>
      </c>
    </row>
    <row r="85" spans="14:14" x14ac:dyDescent="0.15">
      <c r="N85" s="17">
        <v>79</v>
      </c>
    </row>
    <row r="86" spans="14:14" x14ac:dyDescent="0.15">
      <c r="N86" s="17">
        <v>80</v>
      </c>
    </row>
    <row r="87" spans="14:14" x14ac:dyDescent="0.15">
      <c r="N87" s="17">
        <v>81</v>
      </c>
    </row>
    <row r="88" spans="14:14" x14ac:dyDescent="0.15">
      <c r="N88" s="17">
        <v>82</v>
      </c>
    </row>
    <row r="89" spans="14:14" x14ac:dyDescent="0.15">
      <c r="N89" s="17">
        <v>83</v>
      </c>
    </row>
    <row r="90" spans="14:14" x14ac:dyDescent="0.15">
      <c r="N90" s="17">
        <v>84</v>
      </c>
    </row>
    <row r="91" spans="14:14" x14ac:dyDescent="0.15">
      <c r="N91" s="17">
        <v>85</v>
      </c>
    </row>
    <row r="92" spans="14:14" x14ac:dyDescent="0.15">
      <c r="N92" s="17">
        <v>86</v>
      </c>
    </row>
    <row r="93" spans="14:14" x14ac:dyDescent="0.15">
      <c r="N93" s="17">
        <v>87</v>
      </c>
    </row>
    <row r="94" spans="14:14" x14ac:dyDescent="0.15">
      <c r="N94" s="17">
        <v>88</v>
      </c>
    </row>
    <row r="95" spans="14:14" x14ac:dyDescent="0.15">
      <c r="N95" s="17">
        <v>89</v>
      </c>
    </row>
    <row r="96" spans="14:14" x14ac:dyDescent="0.15">
      <c r="N96" s="17">
        <v>90</v>
      </c>
    </row>
    <row r="97" spans="14:14" x14ac:dyDescent="0.15">
      <c r="N97" s="17">
        <v>91</v>
      </c>
    </row>
    <row r="98" spans="14:14" x14ac:dyDescent="0.15">
      <c r="N98" s="17">
        <v>92</v>
      </c>
    </row>
    <row r="99" spans="14:14" x14ac:dyDescent="0.15">
      <c r="N99" s="17">
        <v>93</v>
      </c>
    </row>
    <row r="100" spans="14:14" x14ac:dyDescent="0.15">
      <c r="N100" s="17">
        <v>94</v>
      </c>
    </row>
    <row r="101" spans="14:14" x14ac:dyDescent="0.15">
      <c r="N101" s="17">
        <v>95</v>
      </c>
    </row>
    <row r="102" spans="14:14" x14ac:dyDescent="0.15">
      <c r="N102" s="17">
        <v>96</v>
      </c>
    </row>
    <row r="103" spans="14:14" x14ac:dyDescent="0.15">
      <c r="N103" s="17">
        <v>97</v>
      </c>
    </row>
    <row r="104" spans="14:14" x14ac:dyDescent="0.15">
      <c r="N104" s="17">
        <v>98</v>
      </c>
    </row>
    <row r="105" spans="14:14" x14ac:dyDescent="0.15">
      <c r="N105" s="17">
        <v>99</v>
      </c>
    </row>
    <row r="106" spans="14:14" x14ac:dyDescent="0.15">
      <c r="N106" s="17">
        <v>100</v>
      </c>
    </row>
    <row r="107" spans="14:14" x14ac:dyDescent="0.15">
      <c r="N107" s="17">
        <v>101</v>
      </c>
    </row>
    <row r="108" spans="14:14" x14ac:dyDescent="0.15">
      <c r="N108" s="17">
        <v>102</v>
      </c>
    </row>
    <row r="109" spans="14:14" x14ac:dyDescent="0.15">
      <c r="N109" s="17">
        <v>103</v>
      </c>
    </row>
    <row r="110" spans="14:14" x14ac:dyDescent="0.15">
      <c r="N110" s="17">
        <v>104</v>
      </c>
    </row>
    <row r="111" spans="14:14" x14ac:dyDescent="0.15">
      <c r="N111" s="17">
        <v>105</v>
      </c>
    </row>
    <row r="112" spans="14:14" x14ac:dyDescent="0.15">
      <c r="N112" s="17">
        <v>106</v>
      </c>
    </row>
    <row r="113" spans="14:14" x14ac:dyDescent="0.15">
      <c r="N113" s="17">
        <v>107</v>
      </c>
    </row>
    <row r="114" spans="14:14" x14ac:dyDescent="0.15">
      <c r="N114" s="17">
        <v>108</v>
      </c>
    </row>
    <row r="115" spans="14:14" x14ac:dyDescent="0.15">
      <c r="N115" s="17">
        <v>109</v>
      </c>
    </row>
    <row r="116" spans="14:14" x14ac:dyDescent="0.15">
      <c r="N116" s="17">
        <v>110</v>
      </c>
    </row>
    <row r="117" spans="14:14" x14ac:dyDescent="0.15">
      <c r="N117" s="17">
        <v>111</v>
      </c>
    </row>
    <row r="118" spans="14:14" x14ac:dyDescent="0.15">
      <c r="N118" s="17">
        <v>112</v>
      </c>
    </row>
    <row r="119" spans="14:14" x14ac:dyDescent="0.15">
      <c r="N119" s="17">
        <v>113</v>
      </c>
    </row>
    <row r="120" spans="14:14" x14ac:dyDescent="0.15">
      <c r="N120" s="17">
        <v>114</v>
      </c>
    </row>
    <row r="121" spans="14:14" x14ac:dyDescent="0.15">
      <c r="N121" s="17">
        <v>115</v>
      </c>
    </row>
    <row r="122" spans="14:14" x14ac:dyDescent="0.15">
      <c r="N122" s="17">
        <v>116</v>
      </c>
    </row>
    <row r="123" spans="14:14" x14ac:dyDescent="0.15">
      <c r="N123" s="17">
        <v>117</v>
      </c>
    </row>
    <row r="124" spans="14:14" x14ac:dyDescent="0.15">
      <c r="N124" s="17">
        <v>118</v>
      </c>
    </row>
    <row r="125" spans="14:14" x14ac:dyDescent="0.15">
      <c r="N125" s="17">
        <v>119</v>
      </c>
    </row>
    <row r="126" spans="14:14" x14ac:dyDescent="0.15">
      <c r="N126" s="17">
        <v>120</v>
      </c>
    </row>
    <row r="127" spans="14:14" x14ac:dyDescent="0.15">
      <c r="N127" s="17">
        <v>121</v>
      </c>
    </row>
    <row r="128" spans="14:14" x14ac:dyDescent="0.15">
      <c r="N128" s="17">
        <v>122</v>
      </c>
    </row>
    <row r="129" spans="14:14" x14ac:dyDescent="0.15">
      <c r="N129" s="17">
        <v>123</v>
      </c>
    </row>
    <row r="130" spans="14:14" x14ac:dyDescent="0.15">
      <c r="N130" s="17">
        <v>124</v>
      </c>
    </row>
    <row r="131" spans="14:14" x14ac:dyDescent="0.15">
      <c r="N131" s="17">
        <v>125</v>
      </c>
    </row>
    <row r="132" spans="14:14" x14ac:dyDescent="0.15">
      <c r="N132" s="17">
        <v>126</v>
      </c>
    </row>
    <row r="133" spans="14:14" x14ac:dyDescent="0.15">
      <c r="N133" s="17">
        <v>127</v>
      </c>
    </row>
    <row r="134" spans="14:14" x14ac:dyDescent="0.15">
      <c r="N134" s="17">
        <v>128</v>
      </c>
    </row>
    <row r="135" spans="14:14" x14ac:dyDescent="0.15">
      <c r="N135" s="17">
        <v>129</v>
      </c>
    </row>
    <row r="136" spans="14:14" x14ac:dyDescent="0.15">
      <c r="N136" s="17">
        <v>130</v>
      </c>
    </row>
    <row r="137" spans="14:14" x14ac:dyDescent="0.15">
      <c r="N137" s="17">
        <v>131</v>
      </c>
    </row>
    <row r="138" spans="14:14" x14ac:dyDescent="0.15">
      <c r="N138" s="17">
        <v>132</v>
      </c>
    </row>
    <row r="139" spans="14:14" x14ac:dyDescent="0.15">
      <c r="N139" s="17">
        <v>133</v>
      </c>
    </row>
    <row r="140" spans="14:14" x14ac:dyDescent="0.15">
      <c r="N140" s="17">
        <v>134</v>
      </c>
    </row>
    <row r="141" spans="14:14" x14ac:dyDescent="0.15">
      <c r="N141" s="17">
        <v>135</v>
      </c>
    </row>
    <row r="142" spans="14:14" x14ac:dyDescent="0.15">
      <c r="N142" s="17">
        <v>136</v>
      </c>
    </row>
    <row r="143" spans="14:14" x14ac:dyDescent="0.15">
      <c r="N143" s="17">
        <v>137</v>
      </c>
    </row>
    <row r="144" spans="14:14" x14ac:dyDescent="0.15">
      <c r="N144" s="17">
        <v>138</v>
      </c>
    </row>
    <row r="145" spans="14:14" x14ac:dyDescent="0.15">
      <c r="N145" s="17">
        <v>139</v>
      </c>
    </row>
    <row r="146" spans="14:14" x14ac:dyDescent="0.15">
      <c r="N146" s="17">
        <v>140</v>
      </c>
    </row>
    <row r="147" spans="14:14" x14ac:dyDescent="0.15">
      <c r="N147" s="17">
        <v>141</v>
      </c>
    </row>
    <row r="148" spans="14:14" x14ac:dyDescent="0.15">
      <c r="N148" s="17">
        <v>142</v>
      </c>
    </row>
    <row r="149" spans="14:14" x14ac:dyDescent="0.15">
      <c r="N149" s="17">
        <v>143</v>
      </c>
    </row>
    <row r="150" spans="14:14" x14ac:dyDescent="0.15">
      <c r="N150" s="17">
        <v>144</v>
      </c>
    </row>
    <row r="151" spans="14:14" x14ac:dyDescent="0.15">
      <c r="N151" s="17">
        <v>145</v>
      </c>
    </row>
    <row r="152" spans="14:14" x14ac:dyDescent="0.15">
      <c r="N152" s="17">
        <v>146</v>
      </c>
    </row>
    <row r="153" spans="14:14" x14ac:dyDescent="0.15">
      <c r="N153" s="17">
        <v>147</v>
      </c>
    </row>
    <row r="154" spans="14:14" x14ac:dyDescent="0.15">
      <c r="N154" s="17">
        <v>148</v>
      </c>
    </row>
    <row r="155" spans="14:14" x14ac:dyDescent="0.15">
      <c r="N155" s="17">
        <v>149</v>
      </c>
    </row>
    <row r="156" spans="14:14" x14ac:dyDescent="0.15">
      <c r="N156" s="17">
        <v>150</v>
      </c>
    </row>
    <row r="157" spans="14:14" x14ac:dyDescent="0.15">
      <c r="N157" s="17">
        <v>151</v>
      </c>
    </row>
    <row r="158" spans="14:14" x14ac:dyDescent="0.15">
      <c r="N158" s="17">
        <v>152</v>
      </c>
    </row>
    <row r="159" spans="14:14" x14ac:dyDescent="0.15">
      <c r="N159" s="17">
        <v>153</v>
      </c>
    </row>
    <row r="160" spans="14:14" x14ac:dyDescent="0.15">
      <c r="N160" s="17">
        <v>154</v>
      </c>
    </row>
    <row r="161" spans="14:14" x14ac:dyDescent="0.15">
      <c r="N161" s="17">
        <v>155</v>
      </c>
    </row>
    <row r="162" spans="14:14" x14ac:dyDescent="0.15">
      <c r="N162" s="17">
        <v>156</v>
      </c>
    </row>
    <row r="163" spans="14:14" x14ac:dyDescent="0.15">
      <c r="N163" s="17">
        <v>157</v>
      </c>
    </row>
    <row r="164" spans="14:14" x14ac:dyDescent="0.15">
      <c r="N164" s="17">
        <v>158</v>
      </c>
    </row>
    <row r="165" spans="14:14" x14ac:dyDescent="0.15">
      <c r="N165" s="17">
        <v>159</v>
      </c>
    </row>
    <row r="166" spans="14:14" x14ac:dyDescent="0.15">
      <c r="N166" s="17">
        <v>160</v>
      </c>
    </row>
  </sheetData>
  <mergeCells count="2">
    <mergeCell ref="F5:K5"/>
    <mergeCell ref="O5:S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F313D-3DA7-4498-BD33-7076D65388C1}">
  <sheetPr codeName="Sheet10"/>
  <dimension ref="A1:BG309"/>
  <sheetViews>
    <sheetView workbookViewId="0">
      <selection activeCell="B44" sqref="B44"/>
    </sheetView>
  </sheetViews>
  <sheetFormatPr defaultColWidth="6.625" defaultRowHeight="11.25" x14ac:dyDescent="0.15"/>
  <cols>
    <col min="1" max="3" width="6.625" style="31"/>
    <col min="4" max="4" width="6.625" style="31" customWidth="1"/>
    <col min="5" max="13" width="6.625" style="31"/>
    <col min="14" max="15" width="6.625" style="41"/>
    <col min="16" max="16" width="10.5" style="113" bestFit="1" customWidth="1"/>
    <col min="17" max="17" width="9" style="113" bestFit="1" customWidth="1"/>
    <col min="18" max="22" width="6.625" style="113" customWidth="1"/>
    <col min="23" max="23" width="6.625" style="41" customWidth="1"/>
    <col min="24" max="24" width="6.625" style="95"/>
    <col min="25" max="27" width="6.625" style="95" customWidth="1"/>
    <col min="28" max="29" width="6.625" style="95"/>
    <col min="30" max="32" width="6.625" style="95" customWidth="1"/>
    <col min="33" max="33" width="6.625" style="95"/>
    <col min="34" max="34" width="6.625" style="41"/>
    <col min="35" max="37" width="6.625" style="55" customWidth="1"/>
    <col min="38" max="39" width="6.625" style="41"/>
    <col min="40" max="40" width="6.625" style="31"/>
    <col min="41" max="42" width="6.625" style="78"/>
    <col min="43" max="44" width="6.625" style="70"/>
    <col min="45" max="45" width="6.625" style="21"/>
    <col min="46" max="46" width="6.625" style="31"/>
    <col min="47" max="47" width="6.625" style="31" customWidth="1"/>
    <col min="48" max="58" width="6.625" style="31"/>
    <col min="59" max="59" width="6.625" style="21"/>
    <col min="60" max="16384" width="6.625" style="31"/>
  </cols>
  <sheetData>
    <row r="1" spans="1:59" x14ac:dyDescent="0.15">
      <c r="A1" s="22" t="s">
        <v>168</v>
      </c>
      <c r="AT1" s="22" t="s">
        <v>378</v>
      </c>
    </row>
    <row r="2" spans="1:59" x14ac:dyDescent="0.15">
      <c r="A2" s="22" t="s">
        <v>169</v>
      </c>
      <c r="AU2" s="22" t="s">
        <v>215</v>
      </c>
    </row>
    <row r="3" spans="1:59" x14ac:dyDescent="0.15">
      <c r="A3" s="22" t="s">
        <v>170</v>
      </c>
      <c r="AU3" s="22" t="s">
        <v>216</v>
      </c>
    </row>
    <row r="4" spans="1:59" x14ac:dyDescent="0.15">
      <c r="A4" s="22" t="s">
        <v>173</v>
      </c>
      <c r="AO4" s="156"/>
      <c r="AP4" s="156"/>
    </row>
    <row r="5" spans="1:59" x14ac:dyDescent="0.15">
      <c r="A5" s="22" t="s">
        <v>174</v>
      </c>
    </row>
    <row r="6" spans="1:59" x14ac:dyDescent="0.15">
      <c r="A6" s="22"/>
    </row>
    <row r="7" spans="1:59" x14ac:dyDescent="0.15">
      <c r="A7" s="22"/>
      <c r="D7" s="30" t="s">
        <v>230</v>
      </c>
      <c r="E7" s="30" t="s">
        <v>1</v>
      </c>
      <c r="F7" s="30" t="s">
        <v>2</v>
      </c>
      <c r="G7" s="30" t="s">
        <v>0</v>
      </c>
      <c r="H7" s="30" t="s">
        <v>167</v>
      </c>
      <c r="AV7" s="139" t="s">
        <v>219</v>
      </c>
      <c r="AW7" s="139"/>
      <c r="AX7" s="139"/>
      <c r="AY7" s="139"/>
      <c r="AZ7" s="139"/>
      <c r="BA7" s="139" t="s">
        <v>220</v>
      </c>
      <c r="BB7" s="139"/>
      <c r="BC7" s="139"/>
      <c r="BD7" s="139"/>
      <c r="BE7" s="139"/>
    </row>
    <row r="8" spans="1:59" x14ac:dyDescent="0.15">
      <c r="A8" s="22"/>
      <c r="D8" s="30" t="s">
        <v>172</v>
      </c>
      <c r="E8" s="30">
        <v>4</v>
      </c>
      <c r="F8" s="30">
        <v>5</v>
      </c>
      <c r="G8" s="30"/>
      <c r="H8" s="30"/>
      <c r="AU8" s="31" t="s">
        <v>214</v>
      </c>
      <c r="AV8" s="31" t="s">
        <v>82</v>
      </c>
      <c r="AW8" s="31" t="s">
        <v>79</v>
      </c>
      <c r="AX8" s="31" t="s">
        <v>80</v>
      </c>
      <c r="AY8" s="31" t="s">
        <v>81</v>
      </c>
      <c r="AZ8" s="31" t="s">
        <v>218</v>
      </c>
      <c r="BA8" s="31" t="s">
        <v>82</v>
      </c>
      <c r="BB8" s="31" t="s">
        <v>79</v>
      </c>
      <c r="BC8" s="31" t="s">
        <v>80</v>
      </c>
      <c r="BD8" s="31" t="s">
        <v>81</v>
      </c>
      <c r="BE8" s="31" t="s">
        <v>218</v>
      </c>
    </row>
    <row r="9" spans="1:59" x14ac:dyDescent="0.15">
      <c r="A9" s="22"/>
      <c r="D9" s="30" t="s">
        <v>171</v>
      </c>
      <c r="E9" s="30"/>
      <c r="F9" s="30"/>
      <c r="G9" s="94">
        <v>25</v>
      </c>
      <c r="H9" s="94">
        <v>1</v>
      </c>
      <c r="AU9" s="31">
        <v>0</v>
      </c>
      <c r="BA9" s="49">
        <v>0</v>
      </c>
      <c r="BB9" s="49">
        <v>0</v>
      </c>
      <c r="BC9" s="49">
        <v>0</v>
      </c>
      <c r="BD9" s="49">
        <v>0</v>
      </c>
      <c r="BE9" s="49">
        <v>0</v>
      </c>
    </row>
    <row r="10" spans="1:59" x14ac:dyDescent="0.15">
      <c r="A10" s="22"/>
      <c r="D10" s="30" t="s">
        <v>231</v>
      </c>
      <c r="E10" s="30">
        <v>40</v>
      </c>
      <c r="F10" s="30">
        <v>400</v>
      </c>
      <c r="G10" s="30">
        <v>1000</v>
      </c>
      <c r="H10" s="30">
        <f>H11</f>
        <v>8500</v>
      </c>
      <c r="N10" s="131"/>
      <c r="AU10" s="31">
        <v>30</v>
      </c>
      <c r="BA10" s="31">
        <f>IF($AU11="",BA9,($AU11-$AU10)*AV10+BA9)</f>
        <v>0</v>
      </c>
      <c r="BB10" s="31">
        <f t="shared" ref="BB10:BE10" si="0">IF($AU11="",BB9,($AU11-$AU10)*AW10+BB9)</f>
        <v>0</v>
      </c>
      <c r="BC10" s="31">
        <f t="shared" si="0"/>
        <v>0</v>
      </c>
      <c r="BD10" s="31">
        <f t="shared" si="0"/>
        <v>0</v>
      </c>
      <c r="BE10" s="31">
        <f t="shared" si="0"/>
        <v>0</v>
      </c>
    </row>
    <row r="11" spans="1:59" x14ac:dyDescent="0.15">
      <c r="A11" s="22"/>
      <c r="D11" s="30" t="s">
        <v>232</v>
      </c>
      <c r="E11" s="30">
        <v>30</v>
      </c>
      <c r="F11" s="30">
        <f>F10*1.8</f>
        <v>720</v>
      </c>
      <c r="G11" s="30">
        <f t="shared" ref="G11" si="1">G10*1.8</f>
        <v>1800</v>
      </c>
      <c r="H11" s="94">
        <v>8500</v>
      </c>
      <c r="N11" s="131" t="s">
        <v>425</v>
      </c>
      <c r="O11" s="41">
        <v>0.15</v>
      </c>
      <c r="AU11" s="31">
        <v>60</v>
      </c>
      <c r="BA11" s="31">
        <f t="shared" ref="BA11:BA56" si="2">IF($AU12="",BA10,($AU12-$AU11)*AV11+BA10)</f>
        <v>0</v>
      </c>
      <c r="BB11" s="31">
        <f t="shared" ref="BB11:BB56" si="3">IF($AU12="",BB10,($AU12-$AU11)*AW11+BB10)</f>
        <v>0</v>
      </c>
      <c r="BC11" s="31">
        <f t="shared" ref="BC11:BC56" si="4">IF($AU12="",BC10,($AU12-$AU11)*AX11+BC10)</f>
        <v>0</v>
      </c>
      <c r="BD11" s="31">
        <f t="shared" ref="BD11:BD56" si="5">IF($AU12="",BD10,($AU12-$AU11)*AY11+BD10)</f>
        <v>0</v>
      </c>
      <c r="BE11" s="31">
        <f t="shared" ref="BE11:BE56" si="6">IF($AU12="",BE10,($AU12-$AU11)*AZ11+BE10)</f>
        <v>0</v>
      </c>
    </row>
    <row r="12" spans="1:59" s="36" customFormat="1" x14ac:dyDescent="0.15">
      <c r="D12" s="51" t="s">
        <v>233</v>
      </c>
      <c r="E12" s="51">
        <v>30</v>
      </c>
      <c r="F12" s="51">
        <f>F11*1.5</f>
        <v>1080</v>
      </c>
      <c r="G12" s="51">
        <f>G11*2</f>
        <v>3600</v>
      </c>
      <c r="H12" s="51">
        <f>H11</f>
        <v>8500</v>
      </c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41"/>
      <c r="AI12" s="55"/>
      <c r="AJ12" s="55"/>
      <c r="AK12" s="55"/>
      <c r="AL12" s="41"/>
      <c r="AO12" s="98"/>
      <c r="AP12" s="98"/>
      <c r="AS12" s="21"/>
      <c r="AT12" s="31"/>
      <c r="AU12" s="92">
        <v>90</v>
      </c>
      <c r="AV12" s="31"/>
      <c r="AW12" s="31"/>
      <c r="AX12" s="31"/>
      <c r="AY12" s="31"/>
      <c r="AZ12" s="31"/>
      <c r="BA12" s="31">
        <f t="shared" si="2"/>
        <v>0</v>
      </c>
      <c r="BB12" s="31">
        <f t="shared" si="3"/>
        <v>0</v>
      </c>
      <c r="BC12" s="31">
        <f t="shared" si="4"/>
        <v>0</v>
      </c>
      <c r="BD12" s="31">
        <f t="shared" si="5"/>
        <v>0</v>
      </c>
      <c r="BE12" s="31">
        <f t="shared" si="6"/>
        <v>0</v>
      </c>
      <c r="BF12" s="31"/>
      <c r="BG12" s="21"/>
    </row>
    <row r="13" spans="1:59" x14ac:dyDescent="0.15">
      <c r="D13" s="94" t="s">
        <v>386</v>
      </c>
      <c r="E13" s="94">
        <f>宝物升星!E66</f>
        <v>32</v>
      </c>
      <c r="F13" s="94">
        <f>宝物升星!F66</f>
        <v>32</v>
      </c>
      <c r="G13" s="94">
        <f>宝物升星!G66</f>
        <v>17</v>
      </c>
      <c r="H13" s="94">
        <f>宝物升星!H66</f>
        <v>10</v>
      </c>
      <c r="AU13" s="92">
        <v>120</v>
      </c>
      <c r="AY13" s="31">
        <f>1/7</f>
        <v>0.14285714285714285</v>
      </c>
      <c r="BA13" s="31">
        <f t="shared" si="2"/>
        <v>0</v>
      </c>
      <c r="BB13" s="31">
        <f t="shared" si="3"/>
        <v>0</v>
      </c>
      <c r="BC13" s="31">
        <f t="shared" si="4"/>
        <v>0</v>
      </c>
      <c r="BD13" s="31">
        <f t="shared" si="5"/>
        <v>4.2857142857142856</v>
      </c>
      <c r="BE13" s="31">
        <f t="shared" si="6"/>
        <v>0</v>
      </c>
    </row>
    <row r="14" spans="1:59" x14ac:dyDescent="0.15">
      <c r="D14" s="94" t="s">
        <v>387</v>
      </c>
      <c r="E14" s="94">
        <f>E13*E12</f>
        <v>960</v>
      </c>
      <c r="F14" s="94">
        <f t="shared" ref="F14:H14" si="7">F13*F12</f>
        <v>34560</v>
      </c>
      <c r="G14" s="94">
        <f t="shared" si="7"/>
        <v>61200</v>
      </c>
      <c r="H14" s="94">
        <f t="shared" si="7"/>
        <v>85000</v>
      </c>
      <c r="AU14" s="92">
        <v>150</v>
      </c>
      <c r="AY14" s="31">
        <f t="shared" ref="AY14:AY57" si="8">1/7</f>
        <v>0.14285714285714285</v>
      </c>
      <c r="BA14" s="31">
        <f t="shared" si="2"/>
        <v>0</v>
      </c>
      <c r="BB14" s="31">
        <f t="shared" si="3"/>
        <v>0</v>
      </c>
      <c r="BC14" s="31">
        <f t="shared" si="4"/>
        <v>0</v>
      </c>
      <c r="BD14" s="31">
        <f t="shared" si="5"/>
        <v>8.5714285714285712</v>
      </c>
      <c r="BE14" s="31">
        <f t="shared" si="6"/>
        <v>0</v>
      </c>
    </row>
    <row r="15" spans="1:59" x14ac:dyDescent="0.15">
      <c r="D15" s="94" t="s">
        <v>388</v>
      </c>
      <c r="E15" s="94"/>
      <c r="F15" s="94"/>
      <c r="G15" s="94"/>
      <c r="H15" s="94"/>
      <c r="N15" s="50" t="s">
        <v>240</v>
      </c>
      <c r="O15" s="50"/>
      <c r="P15" s="114"/>
      <c r="Q15" s="116"/>
      <c r="R15" s="144" t="s">
        <v>424</v>
      </c>
      <c r="S15" s="157"/>
      <c r="T15" s="157"/>
      <c r="U15" s="157"/>
      <c r="V15" s="145"/>
      <c r="W15" s="50"/>
      <c r="X15" s="155" t="s">
        <v>238</v>
      </c>
      <c r="Y15" s="155"/>
      <c r="Z15" s="155"/>
      <c r="AA15" s="155"/>
      <c r="AB15" s="155"/>
      <c r="AC15" s="155" t="s">
        <v>272</v>
      </c>
      <c r="AD15" s="155"/>
      <c r="AE15" s="155"/>
      <c r="AF15" s="155"/>
      <c r="AG15" s="155"/>
      <c r="AH15" s="143"/>
      <c r="AI15" s="143"/>
      <c r="AJ15" s="143"/>
      <c r="AK15" s="143"/>
      <c r="AL15" s="143"/>
      <c r="AU15" s="92">
        <v>180</v>
      </c>
      <c r="AY15" s="31">
        <f t="shared" si="8"/>
        <v>0.14285714285714285</v>
      </c>
      <c r="AZ15" s="31">
        <f>1/14</f>
        <v>7.1428571428571425E-2</v>
      </c>
      <c r="BA15" s="31">
        <f t="shared" si="2"/>
        <v>0</v>
      </c>
      <c r="BB15" s="31">
        <f t="shared" si="3"/>
        <v>0</v>
      </c>
      <c r="BC15" s="31">
        <f t="shared" si="4"/>
        <v>0</v>
      </c>
      <c r="BD15" s="31">
        <f t="shared" si="5"/>
        <v>12.857142857142858</v>
      </c>
      <c r="BE15" s="31">
        <f t="shared" si="6"/>
        <v>2.1428571428571428</v>
      </c>
    </row>
    <row r="16" spans="1:59" x14ac:dyDescent="0.15">
      <c r="D16" s="94"/>
      <c r="E16" s="94"/>
      <c r="F16" s="94"/>
      <c r="G16" s="94"/>
      <c r="H16" s="94"/>
      <c r="N16" s="50" t="s">
        <v>161</v>
      </c>
      <c r="O16" s="50" t="s">
        <v>158</v>
      </c>
      <c r="P16" s="114" t="s">
        <v>421</v>
      </c>
      <c r="Q16" s="114" t="s">
        <v>426</v>
      </c>
      <c r="R16" s="119" t="s">
        <v>25</v>
      </c>
      <c r="S16" s="119" t="s">
        <v>1</v>
      </c>
      <c r="T16" s="119" t="s">
        <v>2</v>
      </c>
      <c r="U16" s="119" t="s">
        <v>0</v>
      </c>
      <c r="V16" s="119" t="s">
        <v>217</v>
      </c>
      <c r="W16" s="50"/>
      <c r="X16" s="106" t="s">
        <v>25</v>
      </c>
      <c r="Y16" s="106" t="s">
        <v>1</v>
      </c>
      <c r="Z16" s="106" t="s">
        <v>2</v>
      </c>
      <c r="AA16" s="106" t="s">
        <v>0</v>
      </c>
      <c r="AB16" s="106" t="s">
        <v>217</v>
      </c>
      <c r="AC16" s="106" t="s">
        <v>25</v>
      </c>
      <c r="AD16" s="106" t="s">
        <v>1</v>
      </c>
      <c r="AE16" s="106" t="s">
        <v>2</v>
      </c>
      <c r="AF16" s="106" t="s">
        <v>0</v>
      </c>
      <c r="AG16" s="106" t="s">
        <v>217</v>
      </c>
      <c r="AH16" s="50"/>
      <c r="AI16" s="56"/>
      <c r="AJ16" s="56"/>
      <c r="AK16" s="56"/>
      <c r="AL16" s="50"/>
      <c r="AU16" s="92">
        <v>210</v>
      </c>
      <c r="AY16" s="31">
        <f t="shared" si="8"/>
        <v>0.14285714285714285</v>
      </c>
      <c r="AZ16" s="31">
        <f t="shared" ref="AZ16:AZ79" si="9">1/14</f>
        <v>7.1428571428571425E-2</v>
      </c>
      <c r="BA16" s="31">
        <f t="shared" si="2"/>
        <v>0</v>
      </c>
      <c r="BB16" s="31">
        <f t="shared" si="3"/>
        <v>0</v>
      </c>
      <c r="BC16" s="31">
        <f t="shared" si="4"/>
        <v>0</v>
      </c>
      <c r="BD16" s="31">
        <f t="shared" si="5"/>
        <v>17.142857142857142</v>
      </c>
      <c r="BE16" s="31">
        <f t="shared" si="6"/>
        <v>4.2857142857142856</v>
      </c>
    </row>
    <row r="17" spans="4:57" x14ac:dyDescent="0.15">
      <c r="D17" s="31" t="s">
        <v>423</v>
      </c>
      <c r="E17" s="31">
        <f>1-SUM(F17:H17)</f>
        <v>0.5033333333333333</v>
      </c>
      <c r="F17" s="31">
        <f>4/15</f>
        <v>0.26666666666666666</v>
      </c>
      <c r="G17" s="31">
        <v>0.08</v>
      </c>
      <c r="H17" s="31">
        <v>0.15</v>
      </c>
      <c r="N17" s="50">
        <v>5</v>
      </c>
      <c r="O17" s="50">
        <f>求节点(节奏总纲!$O$4:$O$163,节奏总纲!P$4:P$163,N17)</f>
        <v>0.41421356237309515</v>
      </c>
      <c r="P17" s="114">
        <f>INDEX('[1]资源-钻石'!$L$4:$L$163,$N17)*$O$11</f>
        <v>900.94510895331234</v>
      </c>
      <c r="Q17" s="114">
        <v>0</v>
      </c>
      <c r="R17" s="114"/>
      <c r="S17" s="121">
        <f t="shared" ref="S17:U17" si="10">$P17/$E$25*E$17*$Q17*(E$18+$H$19)</f>
        <v>0</v>
      </c>
      <c r="T17" s="121">
        <f t="shared" si="10"/>
        <v>0</v>
      </c>
      <c r="U17" s="121">
        <f t="shared" si="10"/>
        <v>0</v>
      </c>
      <c r="V17" s="114">
        <f>$P17/$E$25*H$17*$Q17*(H$18+$H$19)</f>
        <v>0</v>
      </c>
      <c r="W17" s="50"/>
      <c r="X17" s="106"/>
      <c r="Y17" s="115">
        <f>求节点(盗宝贼!$CC$5:$CC$164,盗宝贼!$CD$5:$CD$164,$N17)+S17</f>
        <v>0</v>
      </c>
      <c r="Z17" s="115">
        <f>求节点(盗宝贼!$CC$5:$CC$164,盗宝贼!$CI$5:$CI$164,$N17)+T17</f>
        <v>0</v>
      </c>
      <c r="AA17" s="115">
        <f>求节点(盗宝贼!$CC$5:$CC$164,盗宝贼!$CN$5:$CN$164,$N17)+U17</f>
        <v>0</v>
      </c>
      <c r="AB17" s="115">
        <f>V17</f>
        <v>0</v>
      </c>
      <c r="AC17" s="106"/>
      <c r="AD17" s="106">
        <f>求节点(宝物升星!E$61:E$66,宝物升星!$C$61:$C$66,Y17/SUM(E$8:E$9))</f>
        <v>0</v>
      </c>
      <c r="AE17" s="106">
        <f>求节点(宝物升星!F$61:F$66,宝物升星!$C$61:$C$66,Z17/SUM(F$8:F$9))</f>
        <v>0</v>
      </c>
      <c r="AF17" s="106">
        <f>求节点(宝物升星!G$61:G$66,宝物升星!$C$61:$C$66,AA17/SUM(G$8:G$9))</f>
        <v>0</v>
      </c>
      <c r="AG17" s="106">
        <f>求节点(宝物升星!H$61:H$66,宝物升星!$C$61:$C$66,AB17/SUM(H$8:H$9))</f>
        <v>0</v>
      </c>
      <c r="AH17" s="50"/>
      <c r="AI17" s="50"/>
      <c r="AJ17" s="50"/>
      <c r="AK17" s="50"/>
      <c r="AL17" s="50"/>
      <c r="AU17" s="92">
        <v>240</v>
      </c>
      <c r="AY17" s="31">
        <f t="shared" si="8"/>
        <v>0.14285714285714285</v>
      </c>
      <c r="AZ17" s="31">
        <f t="shared" si="9"/>
        <v>7.1428571428571425E-2</v>
      </c>
      <c r="BA17" s="31">
        <f t="shared" si="2"/>
        <v>0</v>
      </c>
      <c r="BB17" s="31">
        <f t="shared" si="3"/>
        <v>0</v>
      </c>
      <c r="BC17" s="31">
        <f t="shared" si="4"/>
        <v>0</v>
      </c>
      <c r="BD17" s="31">
        <f t="shared" si="5"/>
        <v>21.428571428571427</v>
      </c>
      <c r="BE17" s="31">
        <f t="shared" si="6"/>
        <v>6.4285714285714288</v>
      </c>
    </row>
    <row r="18" spans="4:57" x14ac:dyDescent="0.15">
      <c r="D18" s="113" t="s">
        <v>427</v>
      </c>
      <c r="E18" s="113">
        <v>1</v>
      </c>
      <c r="F18" s="113">
        <v>1</v>
      </c>
      <c r="G18" s="113">
        <v>1</v>
      </c>
      <c r="H18" s="113">
        <f>1.2/30</f>
        <v>0.04</v>
      </c>
      <c r="N18" s="50">
        <v>10</v>
      </c>
      <c r="O18" s="94">
        <f>求节点(节奏总纲!$O$4:$O$163,节奏总纲!P$4:P$163,N18)</f>
        <v>1</v>
      </c>
      <c r="P18" s="114">
        <f>INDEX('[1]资源-钻石'!$L$4:$L$163,$N18)*$O$11</f>
        <v>2175.0739009887916</v>
      </c>
      <c r="Q18" s="114">
        <v>0</v>
      </c>
      <c r="R18" s="114"/>
      <c r="S18" s="114">
        <f t="shared" ref="S18:S37" si="11">$P18/$E$25*E$17*$Q18*E$18</f>
        <v>0</v>
      </c>
      <c r="T18" s="114">
        <f t="shared" ref="T18:T37" si="12">$P18/$E$25*F$17*$Q18*F$18</f>
        <v>0</v>
      </c>
      <c r="U18" s="114">
        <f t="shared" ref="U18:U37" si="13">$P18/$E$25*G$17*$Q18*G$18</f>
        <v>0</v>
      </c>
      <c r="V18" s="114">
        <f t="shared" ref="V18:V37" si="14">$P18/$E$25*H$17*$Q18*(H$18+$H$19)</f>
        <v>0</v>
      </c>
      <c r="W18" s="50"/>
      <c r="X18" s="106"/>
      <c r="Y18" s="115">
        <f>求节点(盗宝贼!$CC$5:$CC$164,盗宝贼!$CD$5:$CD$164,$N18)+S18</f>
        <v>0</v>
      </c>
      <c r="Z18" s="115">
        <f>求节点(盗宝贼!$CC$5:$CC$164,盗宝贼!$CI$5:$CI$164,$N18)+T18</f>
        <v>0</v>
      </c>
      <c r="AA18" s="115">
        <f>求节点(盗宝贼!$CC$5:$CC$164,盗宝贼!$CN$5:$CN$164,$N18)+U18</f>
        <v>0</v>
      </c>
      <c r="AB18" s="115">
        <f t="shared" ref="AB18:AB37" si="15">V18</f>
        <v>0</v>
      </c>
      <c r="AC18" s="106"/>
      <c r="AD18" s="106">
        <f>求节点(宝物升星!E$61:E$66,宝物升星!$C$61:$C$66,Y18/SUM(E$8:E$9))</f>
        <v>0</v>
      </c>
      <c r="AE18" s="106">
        <f>求节点(宝物升星!F$61:F$66,宝物升星!$C$61:$C$66,Z18/SUM(F$8:F$9))</f>
        <v>0</v>
      </c>
      <c r="AF18" s="106">
        <f>求节点(宝物升星!G$61:G$66,宝物升星!$C$61:$C$66,AA18/SUM(G$8:G$9))</f>
        <v>0</v>
      </c>
      <c r="AG18" s="106">
        <f>求节点(宝物升星!H$61:H$66,宝物升星!$C$61:$C$66,AB18/SUM(H$8:H$9))</f>
        <v>0</v>
      </c>
      <c r="AH18" s="50"/>
      <c r="AI18" s="50"/>
      <c r="AJ18" s="50"/>
      <c r="AK18" s="50"/>
      <c r="AL18" s="50"/>
      <c r="AU18" s="92">
        <v>270</v>
      </c>
      <c r="AY18" s="31">
        <f t="shared" si="8"/>
        <v>0.14285714285714285</v>
      </c>
      <c r="AZ18" s="31">
        <f t="shared" si="9"/>
        <v>7.1428571428571425E-2</v>
      </c>
      <c r="BA18" s="31">
        <f t="shared" si="2"/>
        <v>0</v>
      </c>
      <c r="BB18" s="31">
        <f t="shared" si="3"/>
        <v>0</v>
      </c>
      <c r="BC18" s="31">
        <f t="shared" si="4"/>
        <v>0</v>
      </c>
      <c r="BD18" s="31">
        <f t="shared" si="5"/>
        <v>25.714285714285712</v>
      </c>
      <c r="BE18" s="31">
        <f t="shared" si="6"/>
        <v>8.5714285714285712</v>
      </c>
    </row>
    <row r="19" spans="4:57" x14ac:dyDescent="0.15">
      <c r="D19" s="31" t="s">
        <v>428</v>
      </c>
      <c r="H19" s="31">
        <v>0.02</v>
      </c>
      <c r="N19" s="50">
        <v>15</v>
      </c>
      <c r="O19" s="94">
        <f>求节点(节奏总纲!$O$4:$O$163,节奏总纲!P$4:P$163,N19)</f>
        <v>1.8284271247461898</v>
      </c>
      <c r="P19" s="114">
        <f>INDEX('[1]资源-钻石'!$L$4:$L$163,$N19)*$O$11</f>
        <v>3232.3510969710883</v>
      </c>
      <c r="Q19" s="114">
        <v>0</v>
      </c>
      <c r="R19" s="114"/>
      <c r="S19" s="114">
        <f t="shared" si="11"/>
        <v>0</v>
      </c>
      <c r="T19" s="114">
        <f t="shared" si="12"/>
        <v>0</v>
      </c>
      <c r="U19" s="114">
        <f t="shared" si="13"/>
        <v>0</v>
      </c>
      <c r="V19" s="114">
        <f t="shared" si="14"/>
        <v>0</v>
      </c>
      <c r="W19" s="50"/>
      <c r="X19" s="106"/>
      <c r="Y19" s="115">
        <f>求节点(盗宝贼!$CC$5:$CC$164,盗宝贼!$CD$5:$CD$164,$N19)+S19</f>
        <v>0</v>
      </c>
      <c r="Z19" s="115">
        <f>求节点(盗宝贼!$CC$5:$CC$164,盗宝贼!$CI$5:$CI$164,$N19)+T19</f>
        <v>0</v>
      </c>
      <c r="AA19" s="115">
        <f>求节点(盗宝贼!$CC$5:$CC$164,盗宝贼!$CN$5:$CN$164,$N19)+U19</f>
        <v>0</v>
      </c>
      <c r="AB19" s="115">
        <f t="shared" si="15"/>
        <v>0</v>
      </c>
      <c r="AC19" s="106"/>
      <c r="AD19" s="106">
        <f>求节点(宝物升星!E$61:E$66,宝物升星!$C$61:$C$66,Y19/SUM(E$8:E$9))</f>
        <v>0</v>
      </c>
      <c r="AE19" s="106">
        <f>求节点(宝物升星!F$61:F$66,宝物升星!$C$61:$C$66,Z19/SUM(F$8:F$9))</f>
        <v>0</v>
      </c>
      <c r="AF19" s="106">
        <f>求节点(宝物升星!G$61:G$66,宝物升星!$C$61:$C$66,AA19/SUM(G$8:G$9))</f>
        <v>0</v>
      </c>
      <c r="AG19" s="106">
        <f>求节点(宝物升星!H$61:H$66,宝物升星!$C$61:$C$66,AB19/SUM(H$8:H$9))</f>
        <v>0</v>
      </c>
      <c r="AH19" s="50"/>
      <c r="AI19" s="50"/>
      <c r="AJ19" s="50"/>
      <c r="AK19" s="50"/>
      <c r="AL19" s="50"/>
      <c r="AU19" s="92">
        <v>300</v>
      </c>
      <c r="AY19" s="31">
        <f t="shared" si="8"/>
        <v>0.14285714285714285</v>
      </c>
      <c r="AZ19" s="31">
        <f t="shared" si="9"/>
        <v>7.1428571428571425E-2</v>
      </c>
      <c r="BA19" s="31">
        <f t="shared" si="2"/>
        <v>0</v>
      </c>
      <c r="BB19" s="31">
        <f t="shared" si="3"/>
        <v>0</v>
      </c>
      <c r="BC19" s="31">
        <f t="shared" si="4"/>
        <v>0</v>
      </c>
      <c r="BD19" s="31">
        <f t="shared" si="5"/>
        <v>29.999999999999996</v>
      </c>
      <c r="BE19" s="31">
        <f t="shared" si="6"/>
        <v>10.714285714285714</v>
      </c>
    </row>
    <row r="20" spans="4:57" x14ac:dyDescent="0.15">
      <c r="D20" s="31" t="s">
        <v>429</v>
      </c>
      <c r="H20" s="31">
        <v>0.02</v>
      </c>
      <c r="N20" s="50">
        <v>20</v>
      </c>
      <c r="O20" s="94">
        <f>求节点(节奏总纲!$O$4:$O$163,节奏总纲!P$4:P$163,N20)</f>
        <v>3</v>
      </c>
      <c r="P20" s="114">
        <f>INDEX('[1]资源-钻石'!$L$4:$L$163,$N20)*$O$11</f>
        <v>4727.566846717049</v>
      </c>
      <c r="Q20" s="114">
        <v>0</v>
      </c>
      <c r="R20" s="114"/>
      <c r="S20" s="114">
        <f t="shared" si="11"/>
        <v>0</v>
      </c>
      <c r="T20" s="114">
        <f t="shared" si="12"/>
        <v>0</v>
      </c>
      <c r="U20" s="114">
        <f t="shared" si="13"/>
        <v>0</v>
      </c>
      <c r="V20" s="114">
        <f t="shared" si="14"/>
        <v>0</v>
      </c>
      <c r="W20" s="50"/>
      <c r="X20" s="106"/>
      <c r="Y20" s="115">
        <f>求节点(盗宝贼!$CC$5:$CC$164,盗宝贼!$CD$5:$CD$164,$N20)+S20</f>
        <v>0</v>
      </c>
      <c r="Z20" s="115">
        <f>求节点(盗宝贼!$CC$5:$CC$164,盗宝贼!$CI$5:$CI$164,$N20)+T20</f>
        <v>0</v>
      </c>
      <c r="AA20" s="115">
        <f>求节点(盗宝贼!$CC$5:$CC$164,盗宝贼!$CN$5:$CN$164,$N20)+U20</f>
        <v>0</v>
      </c>
      <c r="AB20" s="115">
        <f t="shared" si="15"/>
        <v>0</v>
      </c>
      <c r="AC20" s="106"/>
      <c r="AD20" s="106">
        <f>求节点(宝物升星!E$61:E$66,宝物升星!$C$61:$C$66,Y20/SUM(E$8:E$9))</f>
        <v>0</v>
      </c>
      <c r="AE20" s="106">
        <f>求节点(宝物升星!F$61:F$66,宝物升星!$C$61:$C$66,Z20/SUM(F$8:F$9))</f>
        <v>0</v>
      </c>
      <c r="AF20" s="106">
        <f>求节点(宝物升星!G$61:G$66,宝物升星!$C$61:$C$66,AA20/SUM(G$8:G$9))</f>
        <v>0</v>
      </c>
      <c r="AG20" s="106">
        <f>求节点(宝物升星!H$61:H$66,宝物升星!$C$61:$C$66,AB20/SUM(H$8:H$9))</f>
        <v>0</v>
      </c>
      <c r="AH20" s="50"/>
      <c r="AI20" s="50"/>
      <c r="AJ20" s="50"/>
      <c r="AK20" s="50"/>
      <c r="AL20" s="50"/>
      <c r="AU20" s="92">
        <v>330</v>
      </c>
      <c r="AY20" s="31">
        <f t="shared" si="8"/>
        <v>0.14285714285714285</v>
      </c>
      <c r="AZ20" s="31">
        <f t="shared" si="9"/>
        <v>7.1428571428571425E-2</v>
      </c>
      <c r="BA20" s="31">
        <f t="shared" si="2"/>
        <v>0</v>
      </c>
      <c r="BB20" s="31">
        <f t="shared" si="3"/>
        <v>0</v>
      </c>
      <c r="BC20" s="31">
        <f t="shared" si="4"/>
        <v>0</v>
      </c>
      <c r="BD20" s="31">
        <f t="shared" si="5"/>
        <v>34.285714285714285</v>
      </c>
      <c r="BE20" s="31">
        <f t="shared" si="6"/>
        <v>12.857142857142856</v>
      </c>
    </row>
    <row r="21" spans="4:57" x14ac:dyDescent="0.15">
      <c r="D21" s="31" t="s">
        <v>430</v>
      </c>
      <c r="H21" s="113">
        <v>1.6E-2</v>
      </c>
      <c r="N21" s="50">
        <v>25</v>
      </c>
      <c r="O21" s="94">
        <f>求节点(节奏总纲!$O$4:$O$163,节奏总纲!P$4:P$163,N21)</f>
        <v>4.6568542494923806</v>
      </c>
      <c r="P21" s="114">
        <f>INDEX('[1]资源-钻石'!$L$4:$L$163,$N21)*$O$11</f>
        <v>6842.1212386816424</v>
      </c>
      <c r="Q21" s="114">
        <v>0</v>
      </c>
      <c r="R21" s="114"/>
      <c r="S21" s="114">
        <f t="shared" si="11"/>
        <v>0</v>
      </c>
      <c r="T21" s="114">
        <f t="shared" si="12"/>
        <v>0</v>
      </c>
      <c r="U21" s="114">
        <f t="shared" si="13"/>
        <v>0</v>
      </c>
      <c r="V21" s="114">
        <f t="shared" si="14"/>
        <v>0</v>
      </c>
      <c r="W21" s="50"/>
      <c r="X21" s="106"/>
      <c r="Y21" s="115">
        <f>求节点(盗宝贼!$CC$5:$CC$164,盗宝贼!$CD$5:$CD$164,$N21)+S21</f>
        <v>0</v>
      </c>
      <c r="Z21" s="115">
        <f>求节点(盗宝贼!$CC$5:$CC$164,盗宝贼!$CI$5:$CI$164,$N21)+T21</f>
        <v>0</v>
      </c>
      <c r="AA21" s="115">
        <f>求节点(盗宝贼!$CC$5:$CC$164,盗宝贼!$CN$5:$CN$164,$N21)+U21</f>
        <v>0</v>
      </c>
      <c r="AB21" s="115">
        <f t="shared" si="15"/>
        <v>0</v>
      </c>
      <c r="AC21" s="106"/>
      <c r="AD21" s="106">
        <f>求节点(宝物升星!E$61:E$66,宝物升星!$C$61:$C$66,Y21/SUM(E$8:E$9))</f>
        <v>0</v>
      </c>
      <c r="AE21" s="106">
        <f>求节点(宝物升星!F$61:F$66,宝物升星!$C$61:$C$66,Z21/SUM(F$8:F$9))</f>
        <v>0</v>
      </c>
      <c r="AF21" s="106">
        <f>求节点(宝物升星!G$61:G$66,宝物升星!$C$61:$C$66,AA21/SUM(G$8:G$9))</f>
        <v>0</v>
      </c>
      <c r="AG21" s="106">
        <f>求节点(宝物升星!H$61:H$66,宝物升星!$C$61:$C$66,AB21/SUM(H$8:H$9))</f>
        <v>0</v>
      </c>
      <c r="AH21" s="50"/>
      <c r="AI21" s="50"/>
      <c r="AJ21" s="50"/>
      <c r="AK21" s="50"/>
      <c r="AL21" s="50"/>
      <c r="AU21" s="92">
        <v>360</v>
      </c>
      <c r="AY21" s="31">
        <f t="shared" si="8"/>
        <v>0.14285714285714285</v>
      </c>
      <c r="AZ21" s="31">
        <f t="shared" si="9"/>
        <v>7.1428571428571425E-2</v>
      </c>
      <c r="BA21" s="31">
        <f t="shared" si="2"/>
        <v>0</v>
      </c>
      <c r="BB21" s="31">
        <f t="shared" si="3"/>
        <v>0</v>
      </c>
      <c r="BC21" s="31">
        <f t="shared" si="4"/>
        <v>0</v>
      </c>
      <c r="BD21" s="31">
        <f t="shared" si="5"/>
        <v>38.571428571428569</v>
      </c>
      <c r="BE21" s="31">
        <f t="shared" si="6"/>
        <v>14.999999999999998</v>
      </c>
    </row>
    <row r="22" spans="4:57" x14ac:dyDescent="0.15">
      <c r="D22" s="31" t="s">
        <v>431</v>
      </c>
      <c r="H22" s="113">
        <v>1.2E-2</v>
      </c>
      <c r="N22" s="50">
        <v>30</v>
      </c>
      <c r="O22" s="94">
        <f>求节点(节奏总纲!$O$4:$O$163,节奏总纲!P$4:P$163,N22)</f>
        <v>7</v>
      </c>
      <c r="P22" s="114">
        <f>INDEX('[1]资源-钻石'!$L$4:$L$163,$N22)*$O$11</f>
        <v>9832.5527381735628</v>
      </c>
      <c r="Q22" s="114">
        <v>0</v>
      </c>
      <c r="R22" s="114"/>
      <c r="S22" s="114">
        <f t="shared" si="11"/>
        <v>0</v>
      </c>
      <c r="T22" s="114">
        <f t="shared" si="12"/>
        <v>0</v>
      </c>
      <c r="U22" s="114">
        <f t="shared" si="13"/>
        <v>0</v>
      </c>
      <c r="V22" s="114">
        <f t="shared" si="14"/>
        <v>0</v>
      </c>
      <c r="W22" s="50"/>
      <c r="X22" s="106"/>
      <c r="Y22" s="115">
        <f>求节点(盗宝贼!$CC$5:$CC$164,盗宝贼!$CD$5:$CD$164,$N22)+S22</f>
        <v>0</v>
      </c>
      <c r="Z22" s="115">
        <f>求节点(盗宝贼!$CC$5:$CC$164,盗宝贼!$CI$5:$CI$164,$N22)+T22</f>
        <v>0</v>
      </c>
      <c r="AA22" s="115">
        <f>求节点(盗宝贼!$CC$5:$CC$164,盗宝贼!$CN$5:$CN$164,$N22)+U22</f>
        <v>0</v>
      </c>
      <c r="AB22" s="115">
        <f t="shared" si="15"/>
        <v>0</v>
      </c>
      <c r="AC22" s="106"/>
      <c r="AD22" s="106">
        <f>求节点(宝物升星!E$61:E$66,宝物升星!$C$61:$C$66,Y22/SUM(E$8:E$9))</f>
        <v>0</v>
      </c>
      <c r="AE22" s="106">
        <f>求节点(宝物升星!F$61:F$66,宝物升星!$C$61:$C$66,Z22/SUM(F$8:F$9))</f>
        <v>0</v>
      </c>
      <c r="AF22" s="106">
        <f>求节点(宝物升星!G$61:G$66,宝物升星!$C$61:$C$66,AA22/SUM(G$8:G$9))</f>
        <v>0</v>
      </c>
      <c r="AG22" s="106">
        <f>求节点(宝物升星!H$61:H$66,宝物升星!$C$61:$C$66,AB22/SUM(H$8:H$9))</f>
        <v>0</v>
      </c>
      <c r="AH22" s="50"/>
      <c r="AI22" s="50"/>
      <c r="AJ22" s="50"/>
      <c r="AK22" s="50"/>
      <c r="AL22" s="50"/>
      <c r="AU22" s="92">
        <v>390</v>
      </c>
      <c r="AY22" s="31">
        <f t="shared" si="8"/>
        <v>0.14285714285714285</v>
      </c>
      <c r="AZ22" s="31">
        <f t="shared" si="9"/>
        <v>7.1428571428571425E-2</v>
      </c>
      <c r="BA22" s="31">
        <f t="shared" si="2"/>
        <v>0</v>
      </c>
      <c r="BB22" s="31">
        <f t="shared" si="3"/>
        <v>0</v>
      </c>
      <c r="BC22" s="31">
        <f t="shared" si="4"/>
        <v>0</v>
      </c>
      <c r="BD22" s="31">
        <f t="shared" si="5"/>
        <v>42.857142857142854</v>
      </c>
      <c r="BE22" s="31">
        <f t="shared" si="6"/>
        <v>17.142857142857142</v>
      </c>
    </row>
    <row r="23" spans="4:57" x14ac:dyDescent="0.15">
      <c r="D23" s="31" t="s">
        <v>432</v>
      </c>
      <c r="H23" s="113">
        <v>0.08</v>
      </c>
      <c r="N23" s="50">
        <v>35</v>
      </c>
      <c r="O23" s="94">
        <f>求节点(节奏总纲!$O$4:$O$163,节奏总纲!P$4:P$163,N23)</f>
        <v>10.313708498984759</v>
      </c>
      <c r="P23" s="114">
        <f>INDEX('[1]资源-钻石'!$L$4:$L$163,$N23)*$O$11</f>
        <v>12643.787860336704</v>
      </c>
      <c r="Q23" s="114">
        <v>0</v>
      </c>
      <c r="R23" s="114"/>
      <c r="S23" s="114">
        <f t="shared" si="11"/>
        <v>0</v>
      </c>
      <c r="T23" s="114">
        <f t="shared" si="12"/>
        <v>0</v>
      </c>
      <c r="U23" s="114">
        <f t="shared" si="13"/>
        <v>0</v>
      </c>
      <c r="V23" s="114">
        <f t="shared" si="14"/>
        <v>0</v>
      </c>
      <c r="W23" s="50"/>
      <c r="X23" s="106"/>
      <c r="Y23" s="115">
        <f>求节点(盗宝贼!$CC$5:$CC$164,盗宝贼!$CD$5:$CD$164,$N23)+S23</f>
        <v>0</v>
      </c>
      <c r="Z23" s="115">
        <f>求节点(盗宝贼!$CC$5:$CC$164,盗宝贼!$CI$5:$CI$164,$N23)+T23</f>
        <v>0</v>
      </c>
      <c r="AA23" s="115">
        <f>求节点(盗宝贼!$CC$5:$CC$164,盗宝贼!$CN$5:$CN$164,$N23)+U23</f>
        <v>0</v>
      </c>
      <c r="AB23" s="115">
        <f t="shared" si="15"/>
        <v>0</v>
      </c>
      <c r="AC23" s="106"/>
      <c r="AD23" s="106">
        <f>求节点(宝物升星!E$61:E$66,宝物升星!$C$61:$C$66,Y23/SUM(E$8:E$9))</f>
        <v>0</v>
      </c>
      <c r="AE23" s="106">
        <f>求节点(宝物升星!F$61:F$66,宝物升星!$C$61:$C$66,Z23/SUM(F$8:F$9))</f>
        <v>0</v>
      </c>
      <c r="AF23" s="106">
        <f>求节点(宝物升星!G$61:G$66,宝物升星!$C$61:$C$66,AA23/SUM(G$8:G$9))</f>
        <v>0</v>
      </c>
      <c r="AG23" s="106">
        <f>求节点(宝物升星!H$61:H$66,宝物升星!$C$61:$C$66,AB23/SUM(H$8:H$9))</f>
        <v>0</v>
      </c>
      <c r="AH23" s="50"/>
      <c r="AI23" s="50"/>
      <c r="AJ23" s="50"/>
      <c r="AK23" s="50"/>
      <c r="AL23" s="50"/>
      <c r="AU23" s="92">
        <v>420</v>
      </c>
      <c r="AY23" s="31">
        <f t="shared" si="8"/>
        <v>0.14285714285714285</v>
      </c>
      <c r="AZ23" s="31">
        <f t="shared" si="9"/>
        <v>7.1428571428571425E-2</v>
      </c>
      <c r="BA23" s="31">
        <f t="shared" si="2"/>
        <v>0</v>
      </c>
      <c r="BB23" s="31">
        <f t="shared" si="3"/>
        <v>0</v>
      </c>
      <c r="BC23" s="31">
        <f t="shared" si="4"/>
        <v>0</v>
      </c>
      <c r="BD23" s="31">
        <f t="shared" si="5"/>
        <v>47.142857142857139</v>
      </c>
      <c r="BE23" s="31">
        <f t="shared" si="6"/>
        <v>19.285714285714285</v>
      </c>
    </row>
    <row r="24" spans="4:57" x14ac:dyDescent="0.15">
      <c r="D24" s="31" t="s">
        <v>422</v>
      </c>
      <c r="E24" s="31">
        <f>SUMPRODUCT(E10:G10,E17:G17,E18:G18)+H11*(H17*H18+H21)</f>
        <v>393.8</v>
      </c>
      <c r="N24" s="50">
        <v>40</v>
      </c>
      <c r="O24" s="94">
        <f>求节点(节奏总纲!$O$4:$O$163,节奏总纲!P$4:P$163,N24)</f>
        <v>15</v>
      </c>
      <c r="P24" s="114">
        <f>INDEX('[1]资源-钻石'!$L$4:$L$163,$N24)*$O$11</f>
        <v>16617.495537030234</v>
      </c>
      <c r="Q24" s="114">
        <v>0</v>
      </c>
      <c r="R24" s="114"/>
      <c r="S24" s="114">
        <f t="shared" si="11"/>
        <v>0</v>
      </c>
      <c r="T24" s="114">
        <f t="shared" si="12"/>
        <v>0</v>
      </c>
      <c r="U24" s="114">
        <f t="shared" si="13"/>
        <v>0</v>
      </c>
      <c r="V24" s="114">
        <f t="shared" si="14"/>
        <v>0</v>
      </c>
      <c r="W24" s="50"/>
      <c r="X24" s="106"/>
      <c r="Y24" s="115">
        <f>求节点(盗宝贼!$CC$5:$CC$164,盗宝贼!$CD$5:$CD$164,$N24)+S24</f>
        <v>1.1105621041434071</v>
      </c>
      <c r="Z24" s="115">
        <f>求节点(盗宝贼!$CC$5:$CC$164,盗宝贼!$CI$5:$CI$164,$N24)+T24</f>
        <v>0.12339578934926747</v>
      </c>
      <c r="AA24" s="115">
        <f>求节点(盗宝贼!$CC$5:$CC$164,盗宝贼!$CN$5:$CN$164,$N24)+U24</f>
        <v>0</v>
      </c>
      <c r="AB24" s="115">
        <f t="shared" si="15"/>
        <v>0</v>
      </c>
      <c r="AC24" s="106"/>
      <c r="AD24" s="106">
        <f>求节点(宝物升星!E$61:E$66,宝物升星!$C$61:$C$66,Y24/SUM(E$8:E$9))</f>
        <v>0</v>
      </c>
      <c r="AE24" s="106">
        <f>求节点(宝物升星!F$61:F$66,宝物升星!$C$61:$C$66,Z24/SUM(F$8:F$9))</f>
        <v>0</v>
      </c>
      <c r="AF24" s="106">
        <f>求节点(宝物升星!G$61:G$66,宝物升星!$C$61:$C$66,AA24/SUM(G$8:G$9))</f>
        <v>0</v>
      </c>
      <c r="AG24" s="106">
        <f>求节点(宝物升星!H$61:H$66,宝物升星!$C$61:$C$66,AB24/SUM(H$8:H$9))</f>
        <v>0</v>
      </c>
      <c r="AH24" s="50"/>
      <c r="AI24" s="50"/>
      <c r="AJ24" s="50"/>
      <c r="AK24" s="50"/>
      <c r="AL24" s="50"/>
      <c r="AU24" s="92">
        <v>450</v>
      </c>
      <c r="AY24" s="31">
        <f t="shared" si="8"/>
        <v>0.14285714285714285</v>
      </c>
      <c r="AZ24" s="31">
        <f t="shared" si="9"/>
        <v>7.1428571428571425E-2</v>
      </c>
      <c r="BA24" s="31">
        <f t="shared" si="2"/>
        <v>0</v>
      </c>
      <c r="BB24" s="31">
        <f t="shared" si="3"/>
        <v>0</v>
      </c>
      <c r="BC24" s="31">
        <f t="shared" si="4"/>
        <v>0</v>
      </c>
      <c r="BD24" s="31">
        <f t="shared" si="5"/>
        <v>51.428571428571423</v>
      </c>
      <c r="BE24" s="31">
        <f t="shared" si="6"/>
        <v>21.428571428571427</v>
      </c>
    </row>
    <row r="25" spans="4:57" x14ac:dyDescent="0.15">
      <c r="D25" s="31" t="s">
        <v>433</v>
      </c>
      <c r="E25" s="31">
        <v>400</v>
      </c>
      <c r="N25" s="50">
        <v>45</v>
      </c>
      <c r="O25" s="94">
        <f>求节点(节奏总纲!$O$4:$O$163,节奏总纲!P$4:P$163,N25)</f>
        <v>21.627416997969519</v>
      </c>
      <c r="P25" s="114">
        <f>INDEX('[1]资源-钻石'!$L$4:$L$163,$N25)*$O$11</f>
        <v>22226.849062139841</v>
      </c>
      <c r="Q25" s="133">
        <v>0.1</v>
      </c>
      <c r="R25" s="114"/>
      <c r="S25" s="114">
        <f t="shared" si="11"/>
        <v>2.7968785069859301</v>
      </c>
      <c r="T25" s="114">
        <f t="shared" si="12"/>
        <v>1.4817899374759895</v>
      </c>
      <c r="U25" s="114">
        <f t="shared" si="13"/>
        <v>0.44453698124279689</v>
      </c>
      <c r="V25" s="114">
        <f t="shared" si="14"/>
        <v>5.0010410389814651E-2</v>
      </c>
      <c r="W25" s="50"/>
      <c r="X25" s="106"/>
      <c r="Y25" s="115">
        <f>求节点(盗宝贼!$CC$5:$CC$164,盗宝贼!$CD$5:$CD$164,$N25)+S25</f>
        <v>7.3556258449295999</v>
      </c>
      <c r="Z25" s="115">
        <f>求节点(盗宝贼!$CC$5:$CC$164,盗宝贼!$CI$5:$CI$164,$N25)+T25</f>
        <v>1.9883174194697306</v>
      </c>
      <c r="AA25" s="115">
        <f>求节点(盗宝贼!$CC$5:$CC$164,盗宝贼!$CN$5:$CN$164,$N25)+U25</f>
        <v>0.44453698124279689</v>
      </c>
      <c r="AB25" s="115">
        <f t="shared" si="15"/>
        <v>5.0010410389814651E-2</v>
      </c>
      <c r="AC25" s="106"/>
      <c r="AD25" s="106">
        <f>求节点(宝物升星!E$61:E$66,宝物升星!$C$61:$C$66,Y25/SUM(E$8:E$9))</f>
        <v>0.83890646123239998</v>
      </c>
      <c r="AE25" s="106">
        <f>求节点(宝物升星!F$61:F$66,宝物升星!$C$61:$C$66,Z25/SUM(F$8:F$9))</f>
        <v>0</v>
      </c>
      <c r="AF25" s="106">
        <f>求节点(宝物升星!G$61:G$66,宝物升星!$C$61:$C$66,AA25/SUM(G$8:G$9))</f>
        <v>0</v>
      </c>
      <c r="AG25" s="106">
        <f>求节点(宝物升星!H$61:H$66,宝物升星!$C$61:$C$66,AB25/SUM(H$8:H$9))</f>
        <v>0</v>
      </c>
      <c r="AH25" s="50"/>
      <c r="AI25" s="50"/>
      <c r="AJ25" s="50"/>
      <c r="AK25" s="50"/>
      <c r="AL25" s="50"/>
      <c r="AU25" s="92">
        <v>480</v>
      </c>
      <c r="AY25" s="31">
        <f t="shared" si="8"/>
        <v>0.14285714285714285</v>
      </c>
      <c r="AZ25" s="31">
        <f t="shared" si="9"/>
        <v>7.1428571428571425E-2</v>
      </c>
      <c r="BA25" s="31">
        <f t="shared" si="2"/>
        <v>0</v>
      </c>
      <c r="BB25" s="31">
        <f t="shared" si="3"/>
        <v>0</v>
      </c>
      <c r="BC25" s="31">
        <f t="shared" si="4"/>
        <v>0</v>
      </c>
      <c r="BD25" s="31">
        <f t="shared" si="5"/>
        <v>55.714285714285708</v>
      </c>
      <c r="BE25" s="31">
        <f t="shared" si="6"/>
        <v>23.571428571428569</v>
      </c>
    </row>
    <row r="26" spans="4:57" x14ac:dyDescent="0.15">
      <c r="D26" s="113"/>
      <c r="E26" s="113"/>
      <c r="N26" s="50">
        <v>50</v>
      </c>
      <c r="O26" s="94">
        <f>求节点(节奏总纲!$O$4:$O$163,节奏总纲!P$4:P$163,N26)</f>
        <v>31</v>
      </c>
      <c r="P26" s="114">
        <f>INDEX('[1]资源-钻石'!$L$4:$L$163,$N26)*$O$11</f>
        <v>30192.004546395787</v>
      </c>
      <c r="Q26" s="133">
        <v>0.2</v>
      </c>
      <c r="R26" s="114"/>
      <c r="S26" s="114">
        <f t="shared" si="11"/>
        <v>7.5983211441762739</v>
      </c>
      <c r="T26" s="114">
        <f t="shared" si="12"/>
        <v>4.0256006061861056</v>
      </c>
      <c r="U26" s="114">
        <f t="shared" si="13"/>
        <v>1.2076801818558316</v>
      </c>
      <c r="V26" s="114">
        <f t="shared" si="14"/>
        <v>0.13586402045878104</v>
      </c>
      <c r="W26" s="50"/>
      <c r="X26" s="106"/>
      <c r="Y26" s="115">
        <f>求节点(盗宝贼!$CC$5:$CC$164,盗宝贼!$CD$5:$CD$164,$N26)+S26</f>
        <v>18.758094077708531</v>
      </c>
      <c r="Z26" s="115">
        <f>求节点(盗宝贼!$CC$5:$CC$164,盗宝贼!$CI$5:$CI$164,$N26)+T26</f>
        <v>5.2655753765785782</v>
      </c>
      <c r="AA26" s="115">
        <f>求节点(盗宝贼!$CC$5:$CC$164,盗宝贼!$CN$5:$CN$164,$N26)+U26</f>
        <v>1.2076801818558316</v>
      </c>
      <c r="AB26" s="115">
        <f t="shared" si="15"/>
        <v>0.13586402045878104</v>
      </c>
      <c r="AC26" s="106"/>
      <c r="AD26" s="106">
        <f>求节点(宝物升星!E$61:E$66,宝物升星!$C$61:$C$66,Y26/SUM(E$8:E$9))</f>
        <v>2.1723808798567834</v>
      </c>
      <c r="AE26" s="106">
        <f>求节点(宝物升星!F$61:F$66,宝物升星!$C$61:$C$66,Z26/SUM(F$8:F$9))</f>
        <v>5.3115075315715687E-2</v>
      </c>
      <c r="AF26" s="106">
        <f>求节点(宝物升星!G$61:G$66,宝物升星!$C$61:$C$66,AA26/SUM(G$8:G$9))</f>
        <v>0</v>
      </c>
      <c r="AG26" s="106">
        <f>求节点(宝物升星!H$61:H$66,宝物升星!$C$61:$C$66,AB26/SUM(H$8:H$9))</f>
        <v>0</v>
      </c>
      <c r="AH26" s="50"/>
      <c r="AI26" s="50"/>
      <c r="AJ26" s="50"/>
      <c r="AK26" s="50"/>
      <c r="AL26" s="50"/>
      <c r="AU26" s="92">
        <v>510</v>
      </c>
      <c r="AY26" s="31">
        <f t="shared" si="8"/>
        <v>0.14285714285714285</v>
      </c>
      <c r="AZ26" s="31">
        <f t="shared" si="9"/>
        <v>7.1428571428571425E-2</v>
      </c>
      <c r="BA26" s="31">
        <f t="shared" si="2"/>
        <v>0</v>
      </c>
      <c r="BB26" s="31">
        <f t="shared" si="3"/>
        <v>0</v>
      </c>
      <c r="BC26" s="31">
        <f t="shared" si="4"/>
        <v>0</v>
      </c>
      <c r="BD26" s="31">
        <f t="shared" si="5"/>
        <v>59.999999999999993</v>
      </c>
      <c r="BE26" s="31">
        <f t="shared" si="6"/>
        <v>25.714285714285712</v>
      </c>
    </row>
    <row r="27" spans="4:57" x14ac:dyDescent="0.15">
      <c r="N27" s="50">
        <v>60</v>
      </c>
      <c r="O27" s="94">
        <f>求节点(节奏总纲!$O$4:$O$163,节奏总纲!P$4:P$163,N27)</f>
        <v>63</v>
      </c>
      <c r="P27" s="114">
        <f>INDEX('[1]资源-钻石'!$L$4:$L$163,$N27)*$O$11</f>
        <v>58310.972152145005</v>
      </c>
      <c r="Q27" s="133">
        <v>0.5</v>
      </c>
      <c r="R27" s="114"/>
      <c r="S27" s="114">
        <f t="shared" si="11"/>
        <v>36.687319979057897</v>
      </c>
      <c r="T27" s="114">
        <f t="shared" si="12"/>
        <v>19.436990717381669</v>
      </c>
      <c r="U27" s="114">
        <f t="shared" si="13"/>
        <v>5.8310972152145011</v>
      </c>
      <c r="V27" s="114">
        <f t="shared" si="14"/>
        <v>0.65599843671163127</v>
      </c>
      <c r="W27" s="50"/>
      <c r="X27" s="106"/>
      <c r="Y27" s="115">
        <f>求节点(盗宝贼!$CC$5:$CC$164,盗宝贼!$CD$5:$CD$164,$N27)+S27</f>
        <v>74.968494034472045</v>
      </c>
      <c r="Z27" s="115">
        <f>求节点(盗宝贼!$CC$5:$CC$164,盗宝贼!$CI$5:$CI$164,$N27)+T27</f>
        <v>24.054670634412037</v>
      </c>
      <c r="AA27" s="115">
        <f>求节点(盗宝贼!$CC$5:$CC$164,盗宝贼!$CN$5:$CN$164,$N27)+U27</f>
        <v>5.8310972152145011</v>
      </c>
      <c r="AB27" s="115">
        <f t="shared" si="15"/>
        <v>0.65599843671163127</v>
      </c>
      <c r="AC27" s="106"/>
      <c r="AD27" s="106">
        <f>求节点(宝物升星!E$61:E$66,宝物升星!$C$61:$C$66,Y27/SUM(E$8:E$9))</f>
        <v>4.1713827192886255</v>
      </c>
      <c r="AE27" s="106">
        <f>求节点(宝物升星!F$61:F$66,宝物升星!$C$61:$C$66,Z27/SUM(F$8:F$9))</f>
        <v>2.202733531720602</v>
      </c>
      <c r="AF27" s="106">
        <f>求节点(宝物升星!G$61:G$66,宝物升星!$C$61:$C$66,AA27/SUM(G$8:G$9))</f>
        <v>0</v>
      </c>
      <c r="AG27" s="106">
        <f>求节点(宝物升星!H$61:H$66,宝物升星!$C$61:$C$66,AB27/SUM(H$8:H$9))</f>
        <v>0</v>
      </c>
      <c r="AH27" s="50"/>
      <c r="AI27" s="50"/>
      <c r="AJ27" s="50"/>
      <c r="AK27" s="50"/>
      <c r="AL27" s="50"/>
      <c r="AU27" s="92">
        <v>540</v>
      </c>
      <c r="AY27" s="31">
        <f t="shared" si="8"/>
        <v>0.14285714285714285</v>
      </c>
      <c r="AZ27" s="31">
        <f t="shared" si="9"/>
        <v>7.1428571428571425E-2</v>
      </c>
      <c r="BA27" s="31">
        <f t="shared" si="2"/>
        <v>0</v>
      </c>
      <c r="BB27" s="31">
        <f t="shared" si="3"/>
        <v>0</v>
      </c>
      <c r="BC27" s="31">
        <f t="shared" si="4"/>
        <v>0</v>
      </c>
      <c r="BD27" s="31">
        <f t="shared" si="5"/>
        <v>64.285714285714278</v>
      </c>
      <c r="BE27" s="31">
        <f t="shared" si="6"/>
        <v>27.857142857142854</v>
      </c>
    </row>
    <row r="28" spans="4:57" x14ac:dyDescent="0.15">
      <c r="N28" s="50">
        <v>70</v>
      </c>
      <c r="O28" s="94">
        <f>求节点(节奏总纲!$O$4:$O$163,节奏总纲!P$4:P$163,N28)</f>
        <v>127</v>
      </c>
      <c r="P28" s="114">
        <f>INDEX('[1]资源-钻石'!$L$4:$L$163,$N28)*$O$11</f>
        <v>105855.17710963315</v>
      </c>
      <c r="Q28" s="133">
        <v>1</v>
      </c>
      <c r="R28" s="114"/>
      <c r="S28" s="114">
        <f t="shared" si="11"/>
        <v>133.20109786295504</v>
      </c>
      <c r="T28" s="114">
        <f t="shared" si="12"/>
        <v>70.570118073088764</v>
      </c>
      <c r="U28" s="114">
        <f t="shared" si="13"/>
        <v>21.171035421926632</v>
      </c>
      <c r="V28" s="114">
        <f t="shared" si="14"/>
        <v>2.3817414849667458</v>
      </c>
      <c r="W28" s="50"/>
      <c r="X28" s="106"/>
      <c r="Y28" s="115">
        <f>求节点(盗宝贼!$CC$5:$CC$164,盗宝贼!$CD$5:$CD$164,$N28)+S28</f>
        <v>195.37218256727368</v>
      </c>
      <c r="Z28" s="115">
        <f>求节点(盗宝贼!$CC$5:$CC$164,盗宝贼!$CI$5:$CI$164,$N28)+T28</f>
        <v>83.696662955443188</v>
      </c>
      <c r="AA28" s="115">
        <f>求节点(盗宝贼!$CC$5:$CC$164,盗宝贼!$CN$5:$CN$164,$N28)+U28</f>
        <v>21.171035421926632</v>
      </c>
      <c r="AB28" s="115">
        <f t="shared" si="15"/>
        <v>2.3817414849667458</v>
      </c>
      <c r="AC28" s="106"/>
      <c r="AD28" s="106">
        <f>求节点(宝物升星!E$61:E$66,宝物升星!$C$61:$C$66,Y28/SUM(E$8:E$9))</f>
        <v>5</v>
      </c>
      <c r="AE28" s="106">
        <f>求节点(宝物升星!F$61:F$66,宝物升星!$C$61:$C$66,Z28/SUM(F$8:F$9))</f>
        <v>4.04620828694304</v>
      </c>
      <c r="AF28" s="106">
        <f>求节点(宝物升星!G$61:G$66,宝物升星!$C$61:$C$66,AA28/SUM(G$8:G$9))</f>
        <v>0</v>
      </c>
      <c r="AG28" s="106">
        <f>求节点(宝物升星!H$61:H$66,宝物升星!$C$61:$C$66,AB28/SUM(H$8:H$9))</f>
        <v>1.3817414849667458</v>
      </c>
      <c r="AH28" s="50"/>
      <c r="AI28" s="50"/>
      <c r="AJ28" s="50"/>
      <c r="AK28" s="50"/>
      <c r="AL28" s="50"/>
      <c r="AU28" s="92">
        <v>570</v>
      </c>
      <c r="AY28" s="31">
        <f t="shared" si="8"/>
        <v>0.14285714285714285</v>
      </c>
      <c r="AZ28" s="31">
        <f t="shared" si="9"/>
        <v>7.1428571428571425E-2</v>
      </c>
      <c r="BA28" s="31">
        <f t="shared" si="2"/>
        <v>0</v>
      </c>
      <c r="BB28" s="31">
        <f t="shared" si="3"/>
        <v>0</v>
      </c>
      <c r="BC28" s="31">
        <f t="shared" si="4"/>
        <v>0</v>
      </c>
      <c r="BD28" s="31">
        <f t="shared" si="5"/>
        <v>68.571428571428569</v>
      </c>
      <c r="BE28" s="31">
        <f t="shared" si="6"/>
        <v>29.999999999999996</v>
      </c>
    </row>
    <row r="29" spans="4:57" x14ac:dyDescent="0.15">
      <c r="N29" s="50">
        <v>80</v>
      </c>
      <c r="O29" s="94">
        <f>求节点(节奏总纲!$O$4:$O$163,节奏总纲!P$4:P$163,N29)</f>
        <v>255</v>
      </c>
      <c r="P29" s="114">
        <f>INDEX('[1]资源-钻石'!$L$4:$L$163,$N29)*$O$11</f>
        <v>198259.70977072211</v>
      </c>
      <c r="Q29" s="133">
        <v>1</v>
      </c>
      <c r="R29" s="114"/>
      <c r="S29" s="114">
        <f t="shared" si="11"/>
        <v>249.47680146149196</v>
      </c>
      <c r="T29" s="114">
        <f t="shared" si="12"/>
        <v>132.17313984714806</v>
      </c>
      <c r="U29" s="114">
        <f t="shared" si="13"/>
        <v>39.651941954144426</v>
      </c>
      <c r="V29" s="114">
        <f t="shared" si="14"/>
        <v>4.4608434698412474</v>
      </c>
      <c r="W29" s="50"/>
      <c r="X29" s="106"/>
      <c r="Y29" s="115">
        <f>求节点(盗宝贼!$CC$5:$CC$164,盗宝贼!$CD$5:$CD$164,$N29)+S29</f>
        <v>385.1672424375634</v>
      </c>
      <c r="Z29" s="115">
        <f>求节点(盗宝贼!$CC$5:$CC$164,盗宝贼!$CI$5:$CI$164,$N29)+T29</f>
        <v>176.80798027453943</v>
      </c>
      <c r="AA29" s="115">
        <f>求节点(盗宝贼!$CC$5:$CC$164,盗宝贼!$CN$5:$CN$164,$N29)+U29</f>
        <v>39.651941954144426</v>
      </c>
      <c r="AB29" s="115">
        <f t="shared" si="15"/>
        <v>4.4608434698412474</v>
      </c>
      <c r="AC29" s="106"/>
      <c r="AD29" s="106">
        <f>求节点(宝物升星!E$61:E$66,宝物升星!$C$61:$C$66,Y29/SUM(E$8:E$9))</f>
        <v>5</v>
      </c>
      <c r="AE29" s="106">
        <f>求节点(宝物升星!F$61:F$66,宝物升星!$C$61:$C$66,Z29/SUM(F$8:F$9))</f>
        <v>5</v>
      </c>
      <c r="AF29" s="106">
        <f>求节点(宝物升星!G$61:G$66,宝物升星!$C$61:$C$66,AA29/SUM(G$8:G$9))</f>
        <v>0.58607767816577705</v>
      </c>
      <c r="AG29" s="106">
        <f>求节点(宝物升星!H$61:H$66,宝物升星!$C$61:$C$66,AB29/SUM(H$8:H$9))</f>
        <v>3.2304217349206237</v>
      </c>
      <c r="AH29" s="50"/>
      <c r="AI29" s="50"/>
      <c r="AJ29" s="50"/>
      <c r="AK29" s="50"/>
      <c r="AL29" s="50"/>
      <c r="AU29" s="92">
        <v>600</v>
      </c>
      <c r="AY29" s="31">
        <f t="shared" si="8"/>
        <v>0.14285714285714285</v>
      </c>
      <c r="AZ29" s="31">
        <f t="shared" si="9"/>
        <v>7.1428571428571425E-2</v>
      </c>
      <c r="BA29" s="31">
        <f t="shared" si="2"/>
        <v>0</v>
      </c>
      <c r="BB29" s="31">
        <f t="shared" si="3"/>
        <v>0</v>
      </c>
      <c r="BC29" s="31">
        <f t="shared" si="4"/>
        <v>0</v>
      </c>
      <c r="BD29" s="31">
        <f t="shared" si="5"/>
        <v>72.857142857142861</v>
      </c>
      <c r="BE29" s="31">
        <f t="shared" si="6"/>
        <v>32.142857142857139</v>
      </c>
    </row>
    <row r="30" spans="4:57" x14ac:dyDescent="0.15">
      <c r="N30" s="50">
        <v>90</v>
      </c>
      <c r="O30" s="94">
        <f>求节点(节奏总纲!$O$4:$O$163,节奏总纲!P$4:P$163,N30)</f>
        <v>511</v>
      </c>
      <c r="P30" s="114">
        <f>INDEX('[1]资源-钻石'!$L$4:$L$163,$N30)*$O$11</f>
        <v>367303.984060227</v>
      </c>
      <c r="Q30" s="133">
        <v>1</v>
      </c>
      <c r="R30" s="114"/>
      <c r="S30" s="114">
        <f t="shared" si="11"/>
        <v>462.19084660911892</v>
      </c>
      <c r="T30" s="114">
        <f t="shared" si="12"/>
        <v>244.869322706818</v>
      </c>
      <c r="U30" s="114">
        <f t="shared" si="13"/>
        <v>73.460796812045402</v>
      </c>
      <c r="V30" s="114">
        <f t="shared" si="14"/>
        <v>8.2643396413551073</v>
      </c>
      <c r="W30" s="50"/>
      <c r="X30" s="106"/>
      <c r="Y30" s="115">
        <f>求节点(盗宝贼!$CC$5:$CC$164,盗宝贼!$CD$5:$CD$164,$N30)+S30</f>
        <v>794.10262688626528</v>
      </c>
      <c r="Z30" s="115">
        <f>求节点(盗宝贼!$CC$5:$CC$164,盗宝贼!$CI$5:$CI$164,$N30)+T30</f>
        <v>373.59902283467</v>
      </c>
      <c r="AA30" s="115">
        <f>求节点(盗宝贼!$CC$5:$CC$164,盗宝贼!$CN$5:$CN$164,$N30)+U30</f>
        <v>73.460796812045402</v>
      </c>
      <c r="AB30" s="115">
        <f t="shared" si="15"/>
        <v>8.2643396413551073</v>
      </c>
      <c r="AC30" s="106"/>
      <c r="AD30" s="106">
        <f>求节点(宝物升星!E$61:E$66,宝物升星!$C$61:$C$66,Y30/SUM(E$8:E$9))</f>
        <v>5</v>
      </c>
      <c r="AE30" s="106">
        <f>求节点(宝物升星!F$61:F$66,宝物升星!$C$61:$C$66,Z30/SUM(F$8:F$9))</f>
        <v>5</v>
      </c>
      <c r="AF30" s="106">
        <f>求节点(宝物升星!G$61:G$66,宝物升星!$C$61:$C$66,AA30/SUM(G$8:G$9))</f>
        <v>1.9384318724818161</v>
      </c>
      <c r="AG30" s="106">
        <f>求节点(宝物升星!H$61:H$66,宝物升星!$C$61:$C$66,AB30/SUM(H$8:H$9))</f>
        <v>4.5660849103387768</v>
      </c>
      <c r="AH30" s="50"/>
      <c r="AI30" s="50"/>
      <c r="AJ30" s="50"/>
      <c r="AK30" s="50"/>
      <c r="AL30" s="50"/>
      <c r="AU30" s="92">
        <v>630</v>
      </c>
      <c r="AY30" s="31">
        <f t="shared" si="8"/>
        <v>0.14285714285714285</v>
      </c>
      <c r="AZ30" s="31">
        <f t="shared" si="9"/>
        <v>7.1428571428571425E-2</v>
      </c>
      <c r="BA30" s="31">
        <f t="shared" si="2"/>
        <v>0</v>
      </c>
      <c r="BB30" s="31">
        <f t="shared" si="3"/>
        <v>0</v>
      </c>
      <c r="BC30" s="31">
        <f t="shared" si="4"/>
        <v>0</v>
      </c>
      <c r="BD30" s="31">
        <f t="shared" si="5"/>
        <v>77.142857142857153</v>
      </c>
      <c r="BE30" s="31">
        <f t="shared" si="6"/>
        <v>34.285714285714285</v>
      </c>
    </row>
    <row r="31" spans="4:57" x14ac:dyDescent="0.15">
      <c r="N31" s="50">
        <v>100</v>
      </c>
      <c r="O31" s="94">
        <f>求节点(节奏总纲!$O$4:$O$163,节奏总纲!P$4:P$163,N31)</f>
        <v>1023</v>
      </c>
      <c r="P31" s="114">
        <f>INDEX('[1]资源-钻石'!$L$4:$L$163,$N31)*$O$11</f>
        <v>543101.77756210056</v>
      </c>
      <c r="Q31" s="133">
        <v>1</v>
      </c>
      <c r="R31" s="114"/>
      <c r="S31" s="114">
        <f t="shared" si="11"/>
        <v>683.40307009897651</v>
      </c>
      <c r="T31" s="114">
        <f t="shared" si="12"/>
        <v>362.06785170806705</v>
      </c>
      <c r="U31" s="114">
        <f t="shared" si="13"/>
        <v>108.62035551242012</v>
      </c>
      <c r="V31" s="114">
        <f t="shared" si="14"/>
        <v>12.219789995147263</v>
      </c>
      <c r="W31" s="50"/>
      <c r="X31" s="106"/>
      <c r="Y31" s="115">
        <f>求节点(盗宝贼!$CC$5:$CC$164,盗宝贼!$CD$5:$CD$164,$N31)+S31</f>
        <v>1410.988450376123</v>
      </c>
      <c r="Z31" s="115">
        <f>求节点(盗宝贼!$CC$5:$CC$164,盗宝贼!$CI$5:$CI$164,$N31)+T31</f>
        <v>660.37195183591916</v>
      </c>
      <c r="AA31" s="115">
        <f>求节点(盗宝贼!$CC$5:$CC$164,盗宝贼!$CN$5:$CN$164,$N31)+U31</f>
        <v>108.62035551242012</v>
      </c>
      <c r="AB31" s="115">
        <f t="shared" si="15"/>
        <v>12.219789995147263</v>
      </c>
      <c r="AC31" s="106"/>
      <c r="AD31" s="106">
        <f>求节点(宝物升星!E$61:E$66,宝物升星!$C$61:$C$66,Y31/SUM(E$8:E$9))</f>
        <v>5</v>
      </c>
      <c r="AE31" s="106">
        <f>求节点(宝物升星!F$61:F$66,宝物升星!$C$61:$C$66,Z31/SUM(F$8:F$9))</f>
        <v>5</v>
      </c>
      <c r="AF31" s="106">
        <f>求节点(宝物升星!G$61:G$66,宝物升星!$C$61:$C$66,AA31/SUM(G$8:G$9))</f>
        <v>2.6724071102484022</v>
      </c>
      <c r="AG31" s="106">
        <f>求节点(宝物升星!H$61:H$66,宝物升星!$C$61:$C$66,AB31/SUM(H$8:H$9))</f>
        <v>5</v>
      </c>
      <c r="AH31" s="50"/>
      <c r="AI31" s="50"/>
      <c r="AJ31" s="50"/>
      <c r="AK31" s="50"/>
      <c r="AL31" s="50"/>
      <c r="AU31" s="92">
        <v>660</v>
      </c>
      <c r="AY31" s="31">
        <f t="shared" si="8"/>
        <v>0.14285714285714285</v>
      </c>
      <c r="AZ31" s="31">
        <f t="shared" si="9"/>
        <v>7.1428571428571425E-2</v>
      </c>
      <c r="BA31" s="31">
        <f t="shared" si="2"/>
        <v>0</v>
      </c>
      <c r="BB31" s="31">
        <f t="shared" si="3"/>
        <v>0</v>
      </c>
      <c r="BC31" s="31">
        <f t="shared" si="4"/>
        <v>0</v>
      </c>
      <c r="BD31" s="31">
        <f t="shared" si="5"/>
        <v>81.428571428571445</v>
      </c>
      <c r="BE31" s="31">
        <f t="shared" si="6"/>
        <v>36.428571428571431</v>
      </c>
    </row>
    <row r="32" spans="4:57" x14ac:dyDescent="0.15">
      <c r="N32" s="50">
        <v>110</v>
      </c>
      <c r="O32" s="94">
        <f>求节点(节奏总纲!$O$4:$O$163,节奏总纲!P$4:P$163,N32)</f>
        <v>2047</v>
      </c>
      <c r="P32" s="114">
        <f>INDEX('[1]资源-钻石'!$L$4:$L$163,$N32)*$O$11</f>
        <v>718899.57106397406</v>
      </c>
      <c r="Q32" s="133">
        <v>1</v>
      </c>
      <c r="R32" s="114"/>
      <c r="S32" s="114">
        <f t="shared" si="11"/>
        <v>904.61529358883399</v>
      </c>
      <c r="T32" s="114">
        <f t="shared" si="12"/>
        <v>479.26638070931602</v>
      </c>
      <c r="U32" s="114">
        <f t="shared" si="13"/>
        <v>143.77991421279481</v>
      </c>
      <c r="V32" s="114">
        <f t="shared" si="14"/>
        <v>16.175240348939415</v>
      </c>
      <c r="W32" s="50"/>
      <c r="X32" s="106"/>
      <c r="Y32" s="115">
        <f>求节点(盗宝贼!$CC$5:$CC$164,盗宝贼!$CD$5:$CD$164,$N32)+S32</f>
        <v>2423.5478738659804</v>
      </c>
      <c r="Z32" s="115">
        <f>求节点(盗宝贼!$CC$5:$CC$164,盗宝贼!$CI$5:$CI$164,$N32)+T32</f>
        <v>1116.7192808371681</v>
      </c>
      <c r="AA32" s="115">
        <f>求节点(盗宝贼!$CC$5:$CC$164,盗宝贼!$CN$5:$CN$164,$N32)+U32</f>
        <v>143.77991421279481</v>
      </c>
      <c r="AB32" s="115">
        <f t="shared" si="15"/>
        <v>16.175240348939415</v>
      </c>
      <c r="AC32" s="106"/>
      <c r="AD32" s="106">
        <f>求节点(宝物升星!E$61:E$66,宝物升星!$C$61:$C$66,Y32/SUM(E$8:E$9))</f>
        <v>5</v>
      </c>
      <c r="AE32" s="106">
        <f>求节点(宝物升星!F$61:F$66,宝物升星!$C$61:$C$66,Z32/SUM(F$8:F$9))</f>
        <v>5</v>
      </c>
      <c r="AF32" s="106">
        <f>求节点(宝物升星!G$61:G$66,宝物升星!$C$61:$C$66,AA32/SUM(G$8:G$9))</f>
        <v>3.1877991421279481</v>
      </c>
      <c r="AG32" s="106">
        <f>求节点(宝物升星!H$61:H$66,宝物升星!$C$61:$C$66,AB32/SUM(H$8:H$9))</f>
        <v>5</v>
      </c>
      <c r="AH32" s="50"/>
      <c r="AI32" s="50"/>
      <c r="AJ32" s="50"/>
      <c r="AK32" s="50"/>
      <c r="AL32" s="50"/>
      <c r="AU32" s="92">
        <v>690</v>
      </c>
      <c r="AY32" s="31">
        <f t="shared" si="8"/>
        <v>0.14285714285714285</v>
      </c>
      <c r="AZ32" s="31">
        <f t="shared" si="9"/>
        <v>7.1428571428571425E-2</v>
      </c>
      <c r="BA32" s="31">
        <f t="shared" si="2"/>
        <v>0</v>
      </c>
      <c r="BB32" s="31">
        <f t="shared" si="3"/>
        <v>0</v>
      </c>
      <c r="BC32" s="31">
        <f t="shared" si="4"/>
        <v>0</v>
      </c>
      <c r="BD32" s="31">
        <f t="shared" si="5"/>
        <v>85.714285714285737</v>
      </c>
      <c r="BE32" s="31">
        <f t="shared" si="6"/>
        <v>38.571428571428577</v>
      </c>
    </row>
    <row r="33" spans="14:57" x14ac:dyDescent="0.15">
      <c r="N33" s="50">
        <v>120</v>
      </c>
      <c r="O33" s="94">
        <f>求节点(节奏总纲!$O$4:$O$163,节奏总纲!P$4:P$163,N33)</f>
        <v>4095</v>
      </c>
      <c r="P33" s="114">
        <f>INDEX('[1]资源-钻石'!$L$4:$L$163,$N33)*$O$11</f>
        <v>894697.36456584756</v>
      </c>
      <c r="Q33" s="133">
        <v>1</v>
      </c>
      <c r="R33" s="114"/>
      <c r="S33" s="114">
        <f t="shared" si="11"/>
        <v>1125.8275170786915</v>
      </c>
      <c r="T33" s="114">
        <f t="shared" si="12"/>
        <v>596.46490971056505</v>
      </c>
      <c r="U33" s="114">
        <f t="shared" si="13"/>
        <v>178.93947291316951</v>
      </c>
      <c r="V33" s="114">
        <f t="shared" si="14"/>
        <v>20.13069070273157</v>
      </c>
      <c r="W33" s="50"/>
      <c r="X33" s="106"/>
      <c r="Y33" s="115">
        <f>求节点(盗宝贼!$CC$5:$CC$164,盗宝贼!$CD$5:$CD$164,$N33)+S33</f>
        <v>4227.4544973558386</v>
      </c>
      <c r="Z33" s="115">
        <f>求节点(盗宝贼!$CC$5:$CC$164,盗宝贼!$CI$5:$CI$164,$N33)+T33</f>
        <v>1912.2154098384171</v>
      </c>
      <c r="AA33" s="115">
        <f>求节点(盗宝贼!$CC$5:$CC$164,盗宝贼!$CN$5:$CN$164,$N33)+U33</f>
        <v>178.93947291316951</v>
      </c>
      <c r="AB33" s="115">
        <f t="shared" si="15"/>
        <v>20.13069070273157</v>
      </c>
      <c r="AC33" s="106"/>
      <c r="AD33" s="106">
        <f>求节点(宝物升星!E$61:E$66,宝物升星!$C$61:$C$66,Y33/SUM(E$8:E$9))</f>
        <v>5</v>
      </c>
      <c r="AE33" s="106">
        <f>求节点(宝物升星!F$61:F$66,宝物升星!$C$61:$C$66,Z33/SUM(F$8:F$9))</f>
        <v>5</v>
      </c>
      <c r="AF33" s="106">
        <f>求节点(宝物升星!G$61:G$66,宝物升星!$C$61:$C$66,AA33/SUM(G$8:G$9))</f>
        <v>3.5393947291316952</v>
      </c>
      <c r="AG33" s="106">
        <f>求节点(宝物升星!H$61:H$66,宝物升星!$C$61:$C$66,AB33/SUM(H$8:H$9))</f>
        <v>5</v>
      </c>
      <c r="AH33" s="50"/>
      <c r="AI33" s="50"/>
      <c r="AJ33" s="50"/>
      <c r="AK33" s="50"/>
      <c r="AL33" s="50"/>
      <c r="AU33" s="92">
        <v>720</v>
      </c>
      <c r="AY33" s="31">
        <f t="shared" si="8"/>
        <v>0.14285714285714285</v>
      </c>
      <c r="AZ33" s="31">
        <f t="shared" si="9"/>
        <v>7.1428571428571425E-2</v>
      </c>
      <c r="BA33" s="31">
        <f t="shared" si="2"/>
        <v>0</v>
      </c>
      <c r="BB33" s="31">
        <f t="shared" si="3"/>
        <v>0</v>
      </c>
      <c r="BC33" s="31">
        <f t="shared" si="4"/>
        <v>0</v>
      </c>
      <c r="BD33" s="31">
        <f t="shared" si="5"/>
        <v>90.000000000000028</v>
      </c>
      <c r="BE33" s="31">
        <f t="shared" si="6"/>
        <v>40.714285714285722</v>
      </c>
    </row>
    <row r="34" spans="14:57" x14ac:dyDescent="0.15">
      <c r="N34" s="50">
        <v>130</v>
      </c>
      <c r="O34" s="94">
        <f>求节点(节奏总纲!$O$4:$O$163,节奏总纲!P$4:P$163,N34)</f>
        <v>8191</v>
      </c>
      <c r="P34" s="114">
        <f>INDEX('[1]资源-钻石'!$L$4:$L$163,$N34)*$O$11</f>
        <v>1070495.1580677209</v>
      </c>
      <c r="Q34" s="133">
        <v>1</v>
      </c>
      <c r="R34" s="114"/>
      <c r="S34" s="114">
        <f t="shared" si="11"/>
        <v>1347.0397405685487</v>
      </c>
      <c r="T34" s="114">
        <f t="shared" si="12"/>
        <v>713.66343871181391</v>
      </c>
      <c r="U34" s="114">
        <f t="shared" si="13"/>
        <v>214.09903161354418</v>
      </c>
      <c r="V34" s="114">
        <f t="shared" si="14"/>
        <v>24.086141056523719</v>
      </c>
      <c r="W34" s="50"/>
      <c r="X34" s="106"/>
      <c r="Y34" s="115">
        <f>求节点(盗宝贼!$CC$5:$CC$164,盗宝贼!$CD$5:$CD$164,$N34)+S34</f>
        <v>7614.0555208456944</v>
      </c>
      <c r="Z34" s="115">
        <f>求节点(盗宝贼!$CC$5:$CC$164,盗宝贼!$CI$5:$CI$164,$N34)+T34</f>
        <v>3386.0091388396659</v>
      </c>
      <c r="AA34" s="115">
        <f>求节点(盗宝贼!$CC$5:$CC$164,盗宝贼!$CN$5:$CN$164,$N34)+U34</f>
        <v>214.09903161354418</v>
      </c>
      <c r="AB34" s="115">
        <f t="shared" si="15"/>
        <v>24.086141056523719</v>
      </c>
      <c r="AC34" s="106"/>
      <c r="AD34" s="106">
        <f>求节点(宝物升星!E$61:E$66,宝物升星!$C$61:$C$66,Y34/SUM(E$8:E$9))</f>
        <v>5</v>
      </c>
      <c r="AE34" s="106">
        <f>求节点(宝物升星!F$61:F$66,宝物升星!$C$61:$C$66,Z34/SUM(F$8:F$9))</f>
        <v>5</v>
      </c>
      <c r="AF34" s="106">
        <f>求节点(宝物升星!G$61:G$66,宝物升星!$C$61:$C$66,AA34/SUM(G$8:G$9))</f>
        <v>3.8909903161354418</v>
      </c>
      <c r="AG34" s="106">
        <f>求节点(宝物升星!H$61:H$66,宝物升星!$C$61:$C$66,AB34/SUM(H$8:H$9))</f>
        <v>5</v>
      </c>
      <c r="AH34" s="50"/>
      <c r="AI34" s="50"/>
      <c r="AJ34" s="50"/>
      <c r="AK34" s="50"/>
      <c r="AL34" s="50"/>
      <c r="AU34" s="92">
        <v>750</v>
      </c>
      <c r="AY34" s="31">
        <f t="shared" si="8"/>
        <v>0.14285714285714285</v>
      </c>
      <c r="AZ34" s="31">
        <f t="shared" si="9"/>
        <v>7.1428571428571425E-2</v>
      </c>
      <c r="BA34" s="31">
        <f t="shared" si="2"/>
        <v>0</v>
      </c>
      <c r="BB34" s="31">
        <f t="shared" si="3"/>
        <v>0</v>
      </c>
      <c r="BC34" s="31">
        <f t="shared" si="4"/>
        <v>0</v>
      </c>
      <c r="BD34" s="31">
        <f t="shared" si="5"/>
        <v>94.28571428571432</v>
      </c>
      <c r="BE34" s="31">
        <f t="shared" si="6"/>
        <v>42.857142857142868</v>
      </c>
    </row>
    <row r="35" spans="14:57" x14ac:dyDescent="0.15">
      <c r="N35" s="50">
        <v>140</v>
      </c>
      <c r="O35" s="94">
        <f>求节点(节奏总纲!$O$4:$O$163,节奏总纲!P$4:P$163,N35)</f>
        <v>16383</v>
      </c>
      <c r="P35" s="114">
        <f>INDEX('[1]资源-钻石'!$L$4:$L$163,$N35)*$O$11</f>
        <v>1246292.9515695944</v>
      </c>
      <c r="Q35" s="133">
        <v>1</v>
      </c>
      <c r="R35" s="114"/>
      <c r="S35" s="114">
        <f t="shared" si="11"/>
        <v>1568.2519640584064</v>
      </c>
      <c r="T35" s="114">
        <f t="shared" si="12"/>
        <v>830.861967713063</v>
      </c>
      <c r="U35" s="114">
        <f t="shared" si="13"/>
        <v>249.25859031391892</v>
      </c>
      <c r="V35" s="114">
        <f t="shared" si="14"/>
        <v>28.041591410315874</v>
      </c>
      <c r="W35" s="50"/>
      <c r="X35" s="106"/>
      <c r="Y35" s="115">
        <f>求节点(盗宝贼!$CC$5:$CC$164,盗宝贼!$CD$5:$CD$164,$N35)+S35</f>
        <v>14166.045344335555</v>
      </c>
      <c r="Z35" s="115">
        <f>求节点(盗宝贼!$CC$5:$CC$164,盗宝贼!$CI$5:$CI$164,$N35)+T35</f>
        <v>6216.3980678409152</v>
      </c>
      <c r="AA35" s="115">
        <f>求节点(盗宝贼!$CC$5:$CC$164,盗宝贼!$CN$5:$CN$164,$N35)+U35</f>
        <v>249.25859031391892</v>
      </c>
      <c r="AB35" s="115">
        <f t="shared" si="15"/>
        <v>28.041591410315874</v>
      </c>
      <c r="AC35" s="106"/>
      <c r="AD35" s="106">
        <f>求节点(宝物升星!E$61:E$66,宝物升星!$C$61:$C$66,Y35/SUM(E$8:E$9))</f>
        <v>5</v>
      </c>
      <c r="AE35" s="106">
        <f>求节点(宝物升星!F$61:F$66,宝物升星!$C$61:$C$66,Z35/SUM(F$8:F$9))</f>
        <v>5</v>
      </c>
      <c r="AF35" s="106">
        <f>求节点(宝物升星!G$61:G$66,宝物升星!$C$61:$C$66,AA35/SUM(G$8:G$9))</f>
        <v>4.1212929515695951</v>
      </c>
      <c r="AG35" s="106">
        <f>求节点(宝物升星!H$61:H$66,宝物升星!$C$61:$C$66,AB35/SUM(H$8:H$9))</f>
        <v>5</v>
      </c>
      <c r="AH35" s="50"/>
      <c r="AI35" s="50"/>
      <c r="AJ35" s="50"/>
      <c r="AK35" s="50"/>
      <c r="AL35" s="50"/>
      <c r="AU35" s="92">
        <v>780</v>
      </c>
      <c r="AY35" s="31">
        <f t="shared" si="8"/>
        <v>0.14285714285714285</v>
      </c>
      <c r="AZ35" s="31">
        <f t="shared" si="9"/>
        <v>7.1428571428571425E-2</v>
      </c>
      <c r="BA35" s="31">
        <f t="shared" si="2"/>
        <v>0</v>
      </c>
      <c r="BB35" s="31">
        <f t="shared" si="3"/>
        <v>0</v>
      </c>
      <c r="BC35" s="31">
        <f t="shared" si="4"/>
        <v>0</v>
      </c>
      <c r="BD35" s="31">
        <f t="shared" si="5"/>
        <v>98.571428571428612</v>
      </c>
      <c r="BE35" s="31">
        <f t="shared" si="6"/>
        <v>45.000000000000014</v>
      </c>
    </row>
    <row r="36" spans="14:57" x14ac:dyDescent="0.15">
      <c r="N36" s="50">
        <v>150</v>
      </c>
      <c r="O36" s="94">
        <f>求节点(节奏总纲!$O$4:$O$163,节奏总纲!P$4:P$163,N36)</f>
        <v>32767</v>
      </c>
      <c r="P36" s="114">
        <f>INDEX('[1]资源-钻石'!$L$4:$L$163,$N36)*$O$11</f>
        <v>1422090.7450714679</v>
      </c>
      <c r="Q36" s="133">
        <v>1</v>
      </c>
      <c r="R36" s="114"/>
      <c r="S36" s="114">
        <f t="shared" si="11"/>
        <v>1789.4641875482637</v>
      </c>
      <c r="T36" s="114">
        <f t="shared" si="12"/>
        <v>948.06049671431197</v>
      </c>
      <c r="U36" s="114">
        <f t="shared" si="13"/>
        <v>284.41814901429359</v>
      </c>
      <c r="V36" s="114">
        <f t="shared" si="14"/>
        <v>31.997041764108026</v>
      </c>
      <c r="W36" s="50"/>
      <c r="X36" s="106"/>
      <c r="Y36" s="115">
        <f>求节点(盗宝贼!$CC$5:$CC$164,盗宝贼!$CD$5:$CD$164,$N36)+S36</f>
        <v>27048.812767825413</v>
      </c>
      <c r="Z36" s="115">
        <f>求节点(盗宝贼!$CC$5:$CC$164,盗宝贼!$CI$5:$CI$164,$N36)+T36</f>
        <v>11759.977396842165</v>
      </c>
      <c r="AA36" s="115">
        <f>求节点(盗宝贼!$CC$5:$CC$164,盗宝贼!$CN$5:$CN$164,$N36)+U36</f>
        <v>284.41814901429359</v>
      </c>
      <c r="AB36" s="115">
        <f t="shared" si="15"/>
        <v>31.997041764108026</v>
      </c>
      <c r="AC36" s="106"/>
      <c r="AD36" s="106">
        <f>求节点(宝物升星!E$61:E$66,宝物升星!$C$61:$C$66,Y36/SUM(E$8:E$9))</f>
        <v>5</v>
      </c>
      <c r="AE36" s="106">
        <f>求节点(宝物升星!F$61:F$66,宝物升星!$C$61:$C$66,Z36/SUM(F$8:F$9))</f>
        <v>5</v>
      </c>
      <c r="AF36" s="106">
        <f>求节点(宝物升星!G$61:G$66,宝物升星!$C$61:$C$66,AA36/SUM(G$8:G$9))</f>
        <v>4.2970907450714684</v>
      </c>
      <c r="AG36" s="106">
        <f>求节点(宝物升星!H$61:H$66,宝物升星!$C$61:$C$66,AB36/SUM(H$8:H$9))</f>
        <v>5</v>
      </c>
      <c r="AH36" s="50"/>
      <c r="AI36" s="50"/>
      <c r="AJ36" s="50"/>
      <c r="AK36" s="50"/>
      <c r="AL36" s="50"/>
      <c r="AU36" s="92">
        <v>810</v>
      </c>
      <c r="AY36" s="31">
        <f t="shared" si="8"/>
        <v>0.14285714285714285</v>
      </c>
      <c r="AZ36" s="31">
        <f t="shared" si="9"/>
        <v>7.1428571428571425E-2</v>
      </c>
      <c r="BA36" s="31">
        <f t="shared" si="2"/>
        <v>0</v>
      </c>
      <c r="BB36" s="31">
        <f t="shared" si="3"/>
        <v>0</v>
      </c>
      <c r="BC36" s="31">
        <f t="shared" si="4"/>
        <v>0</v>
      </c>
      <c r="BD36" s="31">
        <f t="shared" si="5"/>
        <v>102.8571428571429</v>
      </c>
      <c r="BE36" s="31">
        <f t="shared" si="6"/>
        <v>47.14285714285716</v>
      </c>
    </row>
    <row r="37" spans="14:57" x14ac:dyDescent="0.15">
      <c r="N37" s="50">
        <v>160</v>
      </c>
      <c r="O37" s="94">
        <f>求节点(节奏总纲!$O$4:$O$163,节奏总纲!P$4:P$163,N37)</f>
        <v>65535</v>
      </c>
      <c r="P37" s="114">
        <f>INDEX('[1]资源-钻石'!$L$4:$L$163,$N37)*$O$11</f>
        <v>1597888.5385733414</v>
      </c>
      <c r="Q37" s="133">
        <v>1</v>
      </c>
      <c r="R37" s="114"/>
      <c r="S37" s="114">
        <f t="shared" si="11"/>
        <v>2010.6764110381212</v>
      </c>
      <c r="T37" s="114">
        <f t="shared" si="12"/>
        <v>1065.2590257155609</v>
      </c>
      <c r="U37" s="114">
        <f t="shared" si="13"/>
        <v>319.57770771466829</v>
      </c>
      <c r="V37" s="114">
        <f t="shared" si="14"/>
        <v>35.952492117900178</v>
      </c>
      <c r="W37" s="50"/>
      <c r="X37" s="106"/>
      <c r="Y37" s="115">
        <f>求节点(盗宝贼!$CC$5:$CC$164,盗宝贼!$CD$5:$CD$164,$N37)+S37</f>
        <v>52593.135391315278</v>
      </c>
      <c r="Z37" s="115">
        <f>求节点(盗宝贼!$CC$5:$CC$164,盗宝贼!$CI$5:$CI$164,$N37)+T37</f>
        <v>22729.937525843416</v>
      </c>
      <c r="AA37" s="115">
        <f>求节点(盗宝贼!$CC$5:$CC$164,盗宝贼!$CN$5:$CN$164,$N37)+U37</f>
        <v>319.57770771466829</v>
      </c>
      <c r="AB37" s="115">
        <f t="shared" si="15"/>
        <v>35.952492117900178</v>
      </c>
      <c r="AC37" s="106"/>
      <c r="AD37" s="106">
        <f>求节点(宝物升星!E$61:E$66,宝物升星!$C$61:$C$66,Y37/SUM(E$8:E$9))</f>
        <v>5</v>
      </c>
      <c r="AE37" s="106">
        <f>求节点(宝物升星!F$61:F$66,宝物升星!$C$61:$C$66,Z37/SUM(F$8:F$9))</f>
        <v>5</v>
      </c>
      <c r="AF37" s="106">
        <f>求节点(宝物升星!G$61:G$66,宝物升星!$C$61:$C$66,AA37/SUM(G$8:G$9))</f>
        <v>4.4728885385733417</v>
      </c>
      <c r="AG37" s="106">
        <f>求节点(宝物升星!H$61:H$66,宝物升星!$C$61:$C$66,AB37/SUM(H$8:H$9))</f>
        <v>5</v>
      </c>
      <c r="AH37" s="50"/>
      <c r="AI37" s="50"/>
      <c r="AJ37" s="50"/>
      <c r="AK37" s="50"/>
      <c r="AL37" s="50"/>
      <c r="AU37" s="92">
        <v>840</v>
      </c>
      <c r="AY37" s="31">
        <f t="shared" si="8"/>
        <v>0.14285714285714285</v>
      </c>
      <c r="AZ37" s="31">
        <f t="shared" si="9"/>
        <v>7.1428571428571425E-2</v>
      </c>
      <c r="BA37" s="31">
        <f t="shared" si="2"/>
        <v>0</v>
      </c>
      <c r="BB37" s="31">
        <f t="shared" si="3"/>
        <v>0</v>
      </c>
      <c r="BC37" s="31">
        <f t="shared" si="4"/>
        <v>0</v>
      </c>
      <c r="BD37" s="31">
        <f t="shared" si="5"/>
        <v>107.1428571428572</v>
      </c>
      <c r="BE37" s="31">
        <f t="shared" si="6"/>
        <v>49.285714285714306</v>
      </c>
    </row>
    <row r="38" spans="14:57" x14ac:dyDescent="0.15">
      <c r="AU38" s="92">
        <v>870</v>
      </c>
      <c r="AY38" s="31">
        <f t="shared" si="8"/>
        <v>0.14285714285714285</v>
      </c>
      <c r="AZ38" s="31">
        <f t="shared" si="9"/>
        <v>7.1428571428571425E-2</v>
      </c>
      <c r="BA38" s="31">
        <f t="shared" si="2"/>
        <v>0</v>
      </c>
      <c r="BB38" s="31">
        <f t="shared" si="3"/>
        <v>0</v>
      </c>
      <c r="BC38" s="31">
        <f t="shared" si="4"/>
        <v>0</v>
      </c>
      <c r="BD38" s="31">
        <f t="shared" si="5"/>
        <v>111.42857142857149</v>
      </c>
      <c r="BE38" s="31">
        <f t="shared" si="6"/>
        <v>51.428571428571452</v>
      </c>
    </row>
    <row r="39" spans="14:57" x14ac:dyDescent="0.15">
      <c r="AU39" s="92">
        <v>900</v>
      </c>
      <c r="AY39" s="31">
        <f t="shared" si="8"/>
        <v>0.14285714285714285</v>
      </c>
      <c r="AZ39" s="31">
        <f t="shared" si="9"/>
        <v>7.1428571428571425E-2</v>
      </c>
      <c r="BA39" s="31">
        <f t="shared" si="2"/>
        <v>0</v>
      </c>
      <c r="BB39" s="31">
        <f t="shared" si="3"/>
        <v>0</v>
      </c>
      <c r="BC39" s="31">
        <f t="shared" si="4"/>
        <v>0</v>
      </c>
      <c r="BD39" s="31">
        <f t="shared" si="5"/>
        <v>115.71428571428578</v>
      </c>
      <c r="BE39" s="31">
        <f t="shared" si="6"/>
        <v>53.571428571428598</v>
      </c>
    </row>
    <row r="40" spans="14:57" x14ac:dyDescent="0.15">
      <c r="AU40" s="92">
        <v>930</v>
      </c>
      <c r="AY40" s="31">
        <f t="shared" si="8"/>
        <v>0.14285714285714285</v>
      </c>
      <c r="AZ40" s="31">
        <f t="shared" si="9"/>
        <v>7.1428571428571425E-2</v>
      </c>
      <c r="BA40" s="31">
        <f t="shared" si="2"/>
        <v>0</v>
      </c>
      <c r="BB40" s="31">
        <f t="shared" si="3"/>
        <v>0</v>
      </c>
      <c r="BC40" s="31">
        <f t="shared" si="4"/>
        <v>0</v>
      </c>
      <c r="BD40" s="31">
        <f t="shared" si="5"/>
        <v>120.00000000000007</v>
      </c>
      <c r="BE40" s="31">
        <f t="shared" si="6"/>
        <v>55.714285714285744</v>
      </c>
    </row>
    <row r="41" spans="14:57" x14ac:dyDescent="0.15">
      <c r="N41" s="50" t="s">
        <v>241</v>
      </c>
      <c r="O41" s="50"/>
      <c r="P41" s="114"/>
      <c r="Q41" s="116"/>
      <c r="R41" s="144" t="s">
        <v>424</v>
      </c>
      <c r="S41" s="157"/>
      <c r="T41" s="157"/>
      <c r="U41" s="157"/>
      <c r="V41" s="145"/>
      <c r="W41" s="50"/>
      <c r="X41" s="155" t="s">
        <v>238</v>
      </c>
      <c r="Y41" s="155"/>
      <c r="Z41" s="155"/>
      <c r="AA41" s="155"/>
      <c r="AB41" s="155"/>
      <c r="AC41" s="155" t="s">
        <v>245</v>
      </c>
      <c r="AD41" s="155"/>
      <c r="AE41" s="155"/>
      <c r="AF41" s="155"/>
      <c r="AG41" s="155"/>
      <c r="AH41" s="143"/>
      <c r="AI41" s="143"/>
      <c r="AJ41" s="143"/>
      <c r="AK41" s="143"/>
      <c r="AL41" s="143"/>
      <c r="AU41" s="92">
        <v>960</v>
      </c>
      <c r="AY41" s="31">
        <f t="shared" si="8"/>
        <v>0.14285714285714285</v>
      </c>
      <c r="AZ41" s="31">
        <f t="shared" si="9"/>
        <v>7.1428571428571425E-2</v>
      </c>
      <c r="BA41" s="31">
        <f t="shared" si="2"/>
        <v>0</v>
      </c>
      <c r="BB41" s="31">
        <f t="shared" si="3"/>
        <v>0</v>
      </c>
      <c r="BC41" s="31">
        <f t="shared" si="4"/>
        <v>0</v>
      </c>
      <c r="BD41" s="31">
        <f t="shared" si="5"/>
        <v>124.28571428571436</v>
      </c>
      <c r="BE41" s="31">
        <f t="shared" si="6"/>
        <v>57.85714285714289</v>
      </c>
    </row>
    <row r="42" spans="14:57" x14ac:dyDescent="0.15">
      <c r="N42" s="50" t="s">
        <v>161</v>
      </c>
      <c r="O42" s="50" t="s">
        <v>158</v>
      </c>
      <c r="P42" s="114" t="s">
        <v>421</v>
      </c>
      <c r="Q42" s="114" t="s">
        <v>426</v>
      </c>
      <c r="R42" s="119" t="s">
        <v>25</v>
      </c>
      <c r="S42" s="119" t="s">
        <v>1</v>
      </c>
      <c r="T42" s="119" t="s">
        <v>2</v>
      </c>
      <c r="U42" s="119" t="s">
        <v>0</v>
      </c>
      <c r="V42" s="119" t="s">
        <v>217</v>
      </c>
      <c r="W42" s="50"/>
      <c r="X42" s="106" t="s">
        <v>25</v>
      </c>
      <c r="Y42" s="106" t="s">
        <v>1</v>
      </c>
      <c r="Z42" s="106" t="s">
        <v>2</v>
      </c>
      <c r="AA42" s="106" t="s">
        <v>0</v>
      </c>
      <c r="AB42" s="106" t="s">
        <v>217</v>
      </c>
      <c r="AC42" s="106" t="s">
        <v>25</v>
      </c>
      <c r="AD42" s="106" t="s">
        <v>1</v>
      </c>
      <c r="AE42" s="106" t="s">
        <v>2</v>
      </c>
      <c r="AF42" s="106" t="s">
        <v>0</v>
      </c>
      <c r="AG42" s="106" t="s">
        <v>217</v>
      </c>
      <c r="AH42" s="50"/>
      <c r="AI42" s="56"/>
      <c r="AJ42" s="56"/>
      <c r="AK42" s="56"/>
      <c r="AL42" s="50"/>
      <c r="AU42" s="92">
        <v>990</v>
      </c>
      <c r="AY42" s="31">
        <f t="shared" si="8"/>
        <v>0.14285714285714285</v>
      </c>
      <c r="AZ42" s="31">
        <f t="shared" si="9"/>
        <v>7.1428571428571425E-2</v>
      </c>
      <c r="BA42" s="31">
        <f t="shared" si="2"/>
        <v>0</v>
      </c>
      <c r="BB42" s="31">
        <f t="shared" si="3"/>
        <v>0</v>
      </c>
      <c r="BC42" s="31">
        <f t="shared" si="4"/>
        <v>0</v>
      </c>
      <c r="BD42" s="31">
        <f t="shared" si="5"/>
        <v>128.57142857142864</v>
      </c>
      <c r="BE42" s="31">
        <f t="shared" si="6"/>
        <v>60.000000000000036</v>
      </c>
    </row>
    <row r="43" spans="14:57" x14ac:dyDescent="0.15">
      <c r="N43" s="50">
        <v>5</v>
      </c>
      <c r="O43" s="50">
        <f>求节点(节奏总纲!$O$4:$O$163,节奏总纲!Q$4:Q$163,N43)</f>
        <v>0.35241289886702937</v>
      </c>
      <c r="P43" s="114">
        <f>INDEX('[1]资源-钻石'!$M$4:$M$163,$N43)*$O$11</f>
        <v>1033.4794739554218</v>
      </c>
      <c r="Q43" s="114">
        <v>0</v>
      </c>
      <c r="R43" s="114"/>
      <c r="S43" s="114">
        <f t="shared" ref="S43:S63" si="16">$P43/$E$25*E$17*$Q43*E$18</f>
        <v>0</v>
      </c>
      <c r="T43" s="114">
        <f t="shared" ref="T43:T63" si="17">$P43/$E$25*F$17*$Q43*F$18</f>
        <v>0</v>
      </c>
      <c r="U43" s="114">
        <f t="shared" ref="U43:U63" si="18">$P43/$E$25*G$17*$Q43*G$18</f>
        <v>0</v>
      </c>
      <c r="V43" s="114">
        <f>$P43/$E$25*H$17*$Q43*(H$18+$H$20)</f>
        <v>0</v>
      </c>
      <c r="W43" s="50"/>
      <c r="X43" s="106"/>
      <c r="Y43" s="115">
        <f>求节点(盗宝贼!$CC$5:$CC$164,盗宝贼!$CE$5:$CE$164,$N43)+S43</f>
        <v>0</v>
      </c>
      <c r="Z43" s="115">
        <f>求节点(盗宝贼!$CC$5:$CC$164,盗宝贼!$CJ$5:$CJ$164,$N43)+T43</f>
        <v>0</v>
      </c>
      <c r="AA43" s="115">
        <f>求节点(盗宝贼!$CC$5:$CC$164,盗宝贼!$CO$5:$CO$164,$N43)+U43</f>
        <v>0</v>
      </c>
      <c r="AB43" s="115">
        <f>V43</f>
        <v>0</v>
      </c>
      <c r="AC43" s="106"/>
      <c r="AD43" s="106">
        <f>求节点(宝物升星!E$61:E$66,宝物升星!$C$61:$C$66,Y43/SUM(E$8:E$9))</f>
        <v>0</v>
      </c>
      <c r="AE43" s="106">
        <f>求节点(宝物升星!F$61:F$66,宝物升星!$C$61:$C$66,Z43/SUM(F$8:F$9))</f>
        <v>0</v>
      </c>
      <c r="AF43" s="106">
        <f>求节点(宝物升星!G$61:G$66,宝物升星!$C$61:$C$66,AA43/SUM(G$8:G$9))</f>
        <v>0</v>
      </c>
      <c r="AG43" s="106">
        <f>求节点(宝物升星!H$61:H$66,宝物升星!$C$61:$C$66,AB43/SUM(H$8:H$9))</f>
        <v>0</v>
      </c>
      <c r="AH43" s="50"/>
      <c r="AI43" s="50"/>
      <c r="AJ43" s="50"/>
      <c r="AK43" s="50"/>
      <c r="AL43" s="50"/>
      <c r="AU43" s="92">
        <v>1020</v>
      </c>
      <c r="AY43" s="31">
        <f t="shared" si="8"/>
        <v>0.14285714285714285</v>
      </c>
      <c r="AZ43" s="31">
        <f t="shared" si="9"/>
        <v>7.1428571428571425E-2</v>
      </c>
      <c r="BA43" s="31">
        <f t="shared" si="2"/>
        <v>0</v>
      </c>
      <c r="BB43" s="31">
        <f t="shared" si="3"/>
        <v>0</v>
      </c>
      <c r="BC43" s="31">
        <f t="shared" si="4"/>
        <v>0</v>
      </c>
      <c r="BD43" s="31">
        <f t="shared" si="5"/>
        <v>132.85714285714292</v>
      </c>
      <c r="BE43" s="31">
        <f t="shared" si="6"/>
        <v>62.142857142857181</v>
      </c>
    </row>
    <row r="44" spans="14:57" x14ac:dyDescent="0.15">
      <c r="N44" s="50">
        <v>10</v>
      </c>
      <c r="O44" s="50">
        <f>求节点(节奏总纲!$O$4:$O$163,节奏总纲!Q$4:Q$163,N44)</f>
        <v>0.8548</v>
      </c>
      <c r="P44" s="114">
        <f>INDEX('[1]资源-钻石'!$M$4:$M$163,$N44)*$O$11</f>
        <v>2506.7704876217413</v>
      </c>
      <c r="Q44" s="114">
        <v>0</v>
      </c>
      <c r="R44" s="114"/>
      <c r="S44" s="114">
        <f t="shared" si="16"/>
        <v>0</v>
      </c>
      <c r="T44" s="114">
        <f t="shared" si="17"/>
        <v>0</v>
      </c>
      <c r="U44" s="114">
        <f t="shared" si="18"/>
        <v>0</v>
      </c>
      <c r="V44" s="114">
        <f t="shared" ref="V44:V63" si="19">$P44/$E$25*H$17*$Q44*(H$18+$H$20)</f>
        <v>0</v>
      </c>
      <c r="W44" s="50"/>
      <c r="X44" s="106"/>
      <c r="Y44" s="115">
        <f>求节点(盗宝贼!$CC$5:$CC$164,盗宝贼!$CE$5:$CE$164,$N44)+S44</f>
        <v>0</v>
      </c>
      <c r="Z44" s="115">
        <f>求节点(盗宝贼!$CC$5:$CC$164,盗宝贼!$CJ$5:$CJ$164,$N44)+T44</f>
        <v>0</v>
      </c>
      <c r="AA44" s="115">
        <f>求节点(盗宝贼!$CC$5:$CC$164,盗宝贼!$CO$5:$CO$164,$N44)+U44</f>
        <v>0</v>
      </c>
      <c r="AB44" s="115">
        <f t="shared" ref="AB44:AB63" si="20">V44</f>
        <v>0</v>
      </c>
      <c r="AC44" s="106"/>
      <c r="AD44" s="106">
        <f>求节点(宝物升星!E$61:E$66,宝物升星!$C$61:$C$66,Y44/SUM(E$8:E$9))</f>
        <v>0</v>
      </c>
      <c r="AE44" s="106">
        <f>求节点(宝物升星!F$61:F$66,宝物升星!$C$61:$C$66,Z44/SUM(F$8:F$9))</f>
        <v>0</v>
      </c>
      <c r="AF44" s="106">
        <f>求节点(宝物升星!G$61:G$66,宝物升星!$C$61:$C$66,AA44/SUM(G$8:G$9))</f>
        <v>0</v>
      </c>
      <c r="AG44" s="106">
        <f>求节点(宝物升星!H$61:H$66,宝物升星!$C$61:$C$66,AB44/SUM(H$8:H$9))</f>
        <v>0</v>
      </c>
      <c r="AH44" s="50"/>
      <c r="AI44" s="50"/>
      <c r="AJ44" s="50"/>
      <c r="AK44" s="50"/>
      <c r="AL44" s="50"/>
      <c r="AU44" s="92">
        <v>1050</v>
      </c>
      <c r="AY44" s="31">
        <f t="shared" si="8"/>
        <v>0.14285714285714285</v>
      </c>
      <c r="AZ44" s="31">
        <f t="shared" si="9"/>
        <v>7.1428571428571425E-2</v>
      </c>
      <c r="BA44" s="31">
        <f t="shared" si="2"/>
        <v>0</v>
      </c>
      <c r="BB44" s="31">
        <f t="shared" si="3"/>
        <v>0</v>
      </c>
      <c r="BC44" s="31">
        <f t="shared" si="4"/>
        <v>0</v>
      </c>
      <c r="BD44" s="31">
        <f t="shared" si="5"/>
        <v>137.1428571428572</v>
      </c>
      <c r="BE44" s="31">
        <f t="shared" si="6"/>
        <v>64.28571428571432</v>
      </c>
    </row>
    <row r="45" spans="14:57" x14ac:dyDescent="0.15">
      <c r="N45" s="50">
        <v>15</v>
      </c>
      <c r="O45" s="50">
        <f>求节点(节奏总纲!$O$4:$O$163,节奏总纲!Q$4:Q$163,N45)</f>
        <v>1.5793953503557587</v>
      </c>
      <c r="P45" s="114">
        <f>INDEX('[1]资源-钻石'!$M$4:$M$163,$N45)*$O$11</f>
        <v>3912.8435515040837</v>
      </c>
      <c r="Q45" s="114">
        <v>0</v>
      </c>
      <c r="R45" s="114"/>
      <c r="S45" s="114">
        <f t="shared" si="16"/>
        <v>0</v>
      </c>
      <c r="T45" s="114">
        <f t="shared" si="17"/>
        <v>0</v>
      </c>
      <c r="U45" s="114">
        <f t="shared" si="18"/>
        <v>0</v>
      </c>
      <c r="V45" s="114">
        <f t="shared" si="19"/>
        <v>0</v>
      </c>
      <c r="W45" s="50"/>
      <c r="X45" s="106"/>
      <c r="Y45" s="115">
        <f>求节点(盗宝贼!$CC$5:$CC$164,盗宝贼!$CE$5:$CE$164,$N45)+S45</f>
        <v>0</v>
      </c>
      <c r="Z45" s="115">
        <f>求节点(盗宝贼!$CC$5:$CC$164,盗宝贼!$CJ$5:$CJ$164,$N45)+T45</f>
        <v>0</v>
      </c>
      <c r="AA45" s="115">
        <f>求节点(盗宝贼!$CC$5:$CC$164,盗宝贼!$CO$5:$CO$164,$N45)+U45</f>
        <v>0</v>
      </c>
      <c r="AB45" s="115">
        <f t="shared" si="20"/>
        <v>0</v>
      </c>
      <c r="AC45" s="106"/>
      <c r="AD45" s="106">
        <f>求节点(宝物升星!E$61:E$66,宝物升星!$C$61:$C$66,Y45/SUM(E$8:E$9))</f>
        <v>0</v>
      </c>
      <c r="AE45" s="106">
        <f>求节点(宝物升星!F$61:F$66,宝物升星!$C$61:$C$66,Z45/SUM(F$8:F$9))</f>
        <v>0</v>
      </c>
      <c r="AF45" s="106">
        <f>求节点(宝物升星!G$61:G$66,宝物升星!$C$61:$C$66,AA45/SUM(G$8:G$9))</f>
        <v>0</v>
      </c>
      <c r="AG45" s="106">
        <f>求节点(宝物升星!H$61:H$66,宝物升星!$C$61:$C$66,AB45/SUM(H$8:H$9))</f>
        <v>0</v>
      </c>
      <c r="AH45" s="50"/>
      <c r="AI45" s="50"/>
      <c r="AJ45" s="50"/>
      <c r="AK45" s="50"/>
      <c r="AL45" s="50"/>
      <c r="AU45" s="92">
        <v>1080</v>
      </c>
      <c r="AY45" s="31">
        <f t="shared" si="8"/>
        <v>0.14285714285714285</v>
      </c>
      <c r="AZ45" s="31">
        <f t="shared" si="9"/>
        <v>7.1428571428571425E-2</v>
      </c>
      <c r="BA45" s="31">
        <f t="shared" si="2"/>
        <v>0</v>
      </c>
      <c r="BB45" s="31">
        <f t="shared" si="3"/>
        <v>0</v>
      </c>
      <c r="BC45" s="31">
        <f t="shared" si="4"/>
        <v>0</v>
      </c>
      <c r="BD45" s="31">
        <f t="shared" si="5"/>
        <v>141.42857142857147</v>
      </c>
      <c r="BE45" s="31">
        <f t="shared" si="6"/>
        <v>66.428571428571459</v>
      </c>
    </row>
    <row r="46" spans="14:57" x14ac:dyDescent="0.15">
      <c r="N46" s="50">
        <v>20</v>
      </c>
      <c r="O46" s="50">
        <f>求节点(节奏总纲!$O$4:$O$163,节奏总纲!Q$4:Q$163,N46)</f>
        <v>2.6036999999999999</v>
      </c>
      <c r="P46" s="114">
        <f>INDEX('[1]资源-钻石'!$M$4:$M$163,$N46)*$O$11</f>
        <v>5645.8350064730939</v>
      </c>
      <c r="Q46" s="114">
        <v>0</v>
      </c>
      <c r="R46" s="114"/>
      <c r="S46" s="114">
        <f t="shared" si="16"/>
        <v>0</v>
      </c>
      <c r="T46" s="114">
        <f t="shared" si="17"/>
        <v>0</v>
      </c>
      <c r="U46" s="114">
        <f t="shared" si="18"/>
        <v>0</v>
      </c>
      <c r="V46" s="114">
        <f t="shared" si="19"/>
        <v>0</v>
      </c>
      <c r="W46" s="50"/>
      <c r="X46" s="106"/>
      <c r="Y46" s="115">
        <f>求节点(盗宝贼!$CC$5:$CC$164,盗宝贼!$CE$5:$CE$164,$N46)+S46</f>
        <v>0</v>
      </c>
      <c r="Z46" s="115">
        <f>求节点(盗宝贼!$CC$5:$CC$164,盗宝贼!$CJ$5:$CJ$164,$N46)+T46</f>
        <v>0</v>
      </c>
      <c r="AA46" s="115">
        <f>求节点(盗宝贼!$CC$5:$CC$164,盗宝贼!$CO$5:$CO$164,$N46)+U46</f>
        <v>0</v>
      </c>
      <c r="AB46" s="115">
        <f t="shared" si="20"/>
        <v>0</v>
      </c>
      <c r="AC46" s="106"/>
      <c r="AD46" s="106">
        <f>求节点(宝物升星!E$61:E$66,宝物升星!$C$61:$C$66,Y46/SUM(E$8:E$9))</f>
        <v>0</v>
      </c>
      <c r="AE46" s="106">
        <f>求节点(宝物升星!F$61:F$66,宝物升星!$C$61:$C$66,Z46/SUM(F$8:F$9))</f>
        <v>0</v>
      </c>
      <c r="AF46" s="106">
        <f>求节点(宝物升星!G$61:G$66,宝物升星!$C$61:$C$66,AA46/SUM(G$8:G$9))</f>
        <v>0</v>
      </c>
      <c r="AG46" s="106">
        <f>求节点(宝物升星!H$61:H$66,宝物升星!$C$61:$C$66,AB46/SUM(H$8:H$9))</f>
        <v>0</v>
      </c>
      <c r="AH46" s="50"/>
      <c r="AI46" s="50"/>
      <c r="AJ46" s="50"/>
      <c r="AK46" s="50"/>
      <c r="AL46" s="50"/>
      <c r="AU46" s="92">
        <v>1110</v>
      </c>
      <c r="AY46" s="31">
        <f t="shared" si="8"/>
        <v>0.14285714285714285</v>
      </c>
      <c r="AZ46" s="31">
        <f t="shared" si="9"/>
        <v>7.1428571428571425E-2</v>
      </c>
      <c r="BA46" s="31">
        <f t="shared" si="2"/>
        <v>0</v>
      </c>
      <c r="BB46" s="31">
        <f t="shared" si="3"/>
        <v>0</v>
      </c>
      <c r="BC46" s="31">
        <f t="shared" si="4"/>
        <v>0</v>
      </c>
      <c r="BD46" s="31">
        <f t="shared" si="5"/>
        <v>145.71428571428575</v>
      </c>
      <c r="BE46" s="31">
        <f t="shared" si="6"/>
        <v>68.571428571428598</v>
      </c>
    </row>
    <row r="47" spans="14:57" x14ac:dyDescent="0.15">
      <c r="N47" s="50">
        <v>25</v>
      </c>
      <c r="O47" s="50">
        <f>求节点(节奏总纲!$O$4:$O$163,节奏总纲!Q$4:Q$163,N47)</f>
        <v>4.054257309608067</v>
      </c>
      <c r="P47" s="114">
        <f>INDEX('[1]资源-钻石'!$M$4:$M$163,$N47)*$O$11</f>
        <v>8099.9910267222504</v>
      </c>
      <c r="Q47" s="114">
        <v>0</v>
      </c>
      <c r="R47" s="114"/>
      <c r="S47" s="114">
        <f t="shared" si="16"/>
        <v>0</v>
      </c>
      <c r="T47" s="114">
        <f t="shared" si="17"/>
        <v>0</v>
      </c>
      <c r="U47" s="114">
        <f t="shared" si="18"/>
        <v>0</v>
      </c>
      <c r="V47" s="114">
        <f t="shared" si="19"/>
        <v>0</v>
      </c>
      <c r="W47" s="50"/>
      <c r="X47" s="106"/>
      <c r="Y47" s="115">
        <f>求节点(盗宝贼!$CC$5:$CC$164,盗宝贼!$CE$5:$CE$164,$N47)+S47</f>
        <v>0</v>
      </c>
      <c r="Z47" s="115">
        <f>求节点(盗宝贼!$CC$5:$CC$164,盗宝贼!$CJ$5:$CJ$164,$N47)+T47</f>
        <v>0</v>
      </c>
      <c r="AA47" s="115">
        <f>求节点(盗宝贼!$CC$5:$CC$164,盗宝贼!$CO$5:$CO$164,$N47)+U47</f>
        <v>0</v>
      </c>
      <c r="AB47" s="115">
        <f t="shared" si="20"/>
        <v>0</v>
      </c>
      <c r="AC47" s="106"/>
      <c r="AD47" s="106">
        <f>求节点(宝物升星!E$61:E$66,宝物升星!$C$61:$C$66,Y47/SUM(E$8:E$9))</f>
        <v>0</v>
      </c>
      <c r="AE47" s="106">
        <f>求节点(宝物升星!F$61:F$66,宝物升星!$C$61:$C$66,Z47/SUM(F$8:F$9))</f>
        <v>0</v>
      </c>
      <c r="AF47" s="106">
        <f>求节点(宝物升星!G$61:G$66,宝物升星!$C$61:$C$66,AA47/SUM(G$8:G$9))</f>
        <v>0</v>
      </c>
      <c r="AG47" s="106">
        <f>求节点(宝物升星!H$61:H$66,宝物升星!$C$61:$C$66,AB47/SUM(H$8:H$9))</f>
        <v>0</v>
      </c>
      <c r="AH47" s="50"/>
      <c r="AI47" s="50"/>
      <c r="AJ47" s="50"/>
      <c r="AK47" s="50"/>
      <c r="AL47" s="50"/>
      <c r="AU47" s="92">
        <v>1140</v>
      </c>
      <c r="AY47" s="31">
        <f t="shared" si="8"/>
        <v>0.14285714285714285</v>
      </c>
      <c r="AZ47" s="31">
        <f t="shared" si="9"/>
        <v>7.1428571428571425E-2</v>
      </c>
      <c r="BA47" s="31">
        <f t="shared" si="2"/>
        <v>0</v>
      </c>
      <c r="BB47" s="31">
        <f t="shared" si="3"/>
        <v>0</v>
      </c>
      <c r="BC47" s="31">
        <f t="shared" si="4"/>
        <v>0</v>
      </c>
      <c r="BD47" s="31">
        <f t="shared" si="5"/>
        <v>150.00000000000003</v>
      </c>
      <c r="BE47" s="31">
        <f t="shared" si="6"/>
        <v>70.714285714285737</v>
      </c>
    </row>
    <row r="48" spans="14:57" x14ac:dyDescent="0.15">
      <c r="N48" s="50">
        <v>30</v>
      </c>
      <c r="O48" s="50">
        <f>求节点(节奏总纲!$O$4:$O$163,节奏总纲!Q$4:Q$163,N48)</f>
        <v>6.1025999999999998</v>
      </c>
      <c r="P48" s="114">
        <f>INDEX('[1]资源-钻石'!$M$4:$M$163,$N48)*$O$11</f>
        <v>11565.522868767825</v>
      </c>
      <c r="Q48" s="114">
        <v>0</v>
      </c>
      <c r="R48" s="114"/>
      <c r="S48" s="114">
        <f t="shared" si="16"/>
        <v>0</v>
      </c>
      <c r="T48" s="114">
        <f t="shared" si="17"/>
        <v>0</v>
      </c>
      <c r="U48" s="114">
        <f t="shared" si="18"/>
        <v>0</v>
      </c>
      <c r="V48" s="114">
        <f t="shared" si="19"/>
        <v>0</v>
      </c>
      <c r="W48" s="50"/>
      <c r="X48" s="106"/>
      <c r="Y48" s="115">
        <f>求节点(盗宝贼!$CC$5:$CC$164,盗宝贼!$CE$5:$CE$164,$N48)+S48</f>
        <v>0</v>
      </c>
      <c r="Z48" s="115">
        <f>求节点(盗宝贼!$CC$5:$CC$164,盗宝贼!$CJ$5:$CJ$164,$N48)+T48</f>
        <v>0</v>
      </c>
      <c r="AA48" s="115">
        <f>求节点(盗宝贼!$CC$5:$CC$164,盗宝贼!$CO$5:$CO$164,$N48)+U48</f>
        <v>0</v>
      </c>
      <c r="AB48" s="115">
        <f t="shared" si="20"/>
        <v>0</v>
      </c>
      <c r="AC48" s="106"/>
      <c r="AD48" s="106">
        <f>求节点(宝物升星!E$61:E$66,宝物升星!$C$61:$C$66,Y48/SUM(E$8:E$9))</f>
        <v>0</v>
      </c>
      <c r="AE48" s="106">
        <f>求节点(宝物升星!F$61:F$66,宝物升星!$C$61:$C$66,Z48/SUM(F$8:F$9))</f>
        <v>0</v>
      </c>
      <c r="AF48" s="106">
        <f>求节点(宝物升星!G$61:G$66,宝物升星!$C$61:$C$66,AA48/SUM(G$8:G$9))</f>
        <v>0</v>
      </c>
      <c r="AG48" s="106">
        <f>求节点(宝物升星!H$61:H$66,宝物升星!$C$61:$C$66,AB48/SUM(H$8:H$9))</f>
        <v>0</v>
      </c>
      <c r="AH48" s="50"/>
      <c r="AI48" s="50"/>
      <c r="AJ48" s="50"/>
      <c r="AK48" s="50"/>
      <c r="AL48" s="50"/>
      <c r="AU48" s="92">
        <v>1170</v>
      </c>
      <c r="AY48" s="31">
        <f t="shared" si="8"/>
        <v>0.14285714285714285</v>
      </c>
      <c r="AZ48" s="31">
        <f t="shared" si="9"/>
        <v>7.1428571428571425E-2</v>
      </c>
      <c r="BA48" s="31">
        <f t="shared" si="2"/>
        <v>0</v>
      </c>
      <c r="BB48" s="31">
        <f t="shared" si="3"/>
        <v>0</v>
      </c>
      <c r="BC48" s="31">
        <f t="shared" si="4"/>
        <v>0</v>
      </c>
      <c r="BD48" s="31">
        <f t="shared" si="5"/>
        <v>154.28571428571431</v>
      </c>
      <c r="BE48" s="31">
        <f t="shared" si="6"/>
        <v>72.857142857142875</v>
      </c>
    </row>
    <row r="49" spans="14:57" x14ac:dyDescent="0.15">
      <c r="N49" s="50">
        <v>35</v>
      </c>
      <c r="O49" s="50">
        <f>求节点(节奏总纲!$O$4:$O$163,节奏总纲!Q$4:Q$163,N49)</f>
        <v>9.0048988904635934</v>
      </c>
      <c r="P49" s="114">
        <f>INDEX('[1]资源-钻石'!$M$4:$M$163,$N49)*$O$11</f>
        <v>15496.105904374699</v>
      </c>
      <c r="Q49" s="114">
        <v>0</v>
      </c>
      <c r="R49" s="114"/>
      <c r="S49" s="114">
        <f t="shared" si="16"/>
        <v>0</v>
      </c>
      <c r="T49" s="114">
        <f t="shared" si="17"/>
        <v>0</v>
      </c>
      <c r="U49" s="114">
        <f t="shared" si="18"/>
        <v>0</v>
      </c>
      <c r="V49" s="114">
        <f t="shared" si="19"/>
        <v>0</v>
      </c>
      <c r="W49" s="50"/>
      <c r="X49" s="106"/>
      <c r="Y49" s="115">
        <f>求节点(盗宝贼!$CC$5:$CC$164,盗宝贼!$CE$5:$CE$164,$N49)+S49</f>
        <v>0</v>
      </c>
      <c r="Z49" s="115">
        <f>求节点(盗宝贼!$CC$5:$CC$164,盗宝贼!$CJ$5:$CJ$164,$N49)+T49</f>
        <v>0</v>
      </c>
      <c r="AA49" s="115">
        <f>求节点(盗宝贼!$CC$5:$CC$164,盗宝贼!$CO$5:$CO$164,$N49)+U49</f>
        <v>0</v>
      </c>
      <c r="AB49" s="115">
        <f t="shared" si="20"/>
        <v>0</v>
      </c>
      <c r="AC49" s="106"/>
      <c r="AD49" s="106">
        <f>求节点(宝物升星!E$61:E$66,宝物升星!$C$61:$C$66,Y49/SUM(E$8:E$9))</f>
        <v>0</v>
      </c>
      <c r="AE49" s="106">
        <f>求节点(宝物升星!F$61:F$66,宝物升星!$C$61:$C$66,Z49/SUM(F$8:F$9))</f>
        <v>0</v>
      </c>
      <c r="AF49" s="106">
        <f>求节点(宝物升星!G$61:G$66,宝物升星!$C$61:$C$66,AA49/SUM(G$8:G$9))</f>
        <v>0</v>
      </c>
      <c r="AG49" s="106">
        <f>求节点(宝物升星!H$61:H$66,宝物升星!$C$61:$C$66,AB49/SUM(H$8:H$9))</f>
        <v>0</v>
      </c>
      <c r="AH49" s="50"/>
      <c r="AI49" s="50"/>
      <c r="AJ49" s="50"/>
      <c r="AK49" s="50"/>
      <c r="AL49" s="50"/>
      <c r="AU49" s="92">
        <v>1200</v>
      </c>
      <c r="AY49" s="31">
        <f t="shared" si="8"/>
        <v>0.14285714285714285</v>
      </c>
      <c r="AZ49" s="31">
        <f t="shared" si="9"/>
        <v>7.1428571428571425E-2</v>
      </c>
      <c r="BA49" s="31">
        <f t="shared" si="2"/>
        <v>0</v>
      </c>
      <c r="BB49" s="31">
        <f t="shared" si="3"/>
        <v>0</v>
      </c>
      <c r="BC49" s="31">
        <f t="shared" si="4"/>
        <v>0</v>
      </c>
      <c r="BD49" s="31">
        <f t="shared" si="5"/>
        <v>158.57142857142858</v>
      </c>
      <c r="BE49" s="31">
        <f t="shared" si="6"/>
        <v>75.000000000000014</v>
      </c>
    </row>
    <row r="50" spans="14:57" x14ac:dyDescent="0.15">
      <c r="N50" s="50">
        <v>40</v>
      </c>
      <c r="O50" s="50">
        <f>求节点(节奏总纲!$O$4:$O$163,节奏总纲!Q$4:Q$163,N50)</f>
        <v>13.059000000000001</v>
      </c>
      <c r="P50" s="114">
        <f>INDEX('[1]资源-钻石'!$M$4:$M$163,$N50)*$O$11</f>
        <v>20374.007532513187</v>
      </c>
      <c r="Q50" s="114">
        <v>0</v>
      </c>
      <c r="R50" s="114"/>
      <c r="S50" s="114">
        <f t="shared" si="16"/>
        <v>0</v>
      </c>
      <c r="T50" s="114">
        <f t="shared" si="17"/>
        <v>0</v>
      </c>
      <c r="U50" s="114">
        <f t="shared" si="18"/>
        <v>0</v>
      </c>
      <c r="V50" s="114">
        <f t="shared" si="19"/>
        <v>0</v>
      </c>
      <c r="W50" s="50"/>
      <c r="X50" s="106"/>
      <c r="Y50" s="115">
        <f>求节点(盗宝贼!$CC$5:$CC$164,盗宝贼!$CE$5:$CE$164,$N50)+S50</f>
        <v>1.8894285545869507</v>
      </c>
      <c r="Z50" s="115">
        <f>求节点(盗宝贼!$CC$5:$CC$164,盗宝贼!$CJ$5:$CJ$164,$N50)+T50</f>
        <v>0.2099365060652168</v>
      </c>
      <c r="AA50" s="115">
        <f>求节点(盗宝贼!$CC$5:$CC$164,盗宝贼!$CO$5:$CO$164,$N50)+U50</f>
        <v>0</v>
      </c>
      <c r="AB50" s="115">
        <f t="shared" si="20"/>
        <v>0</v>
      </c>
      <c r="AC50" s="106"/>
      <c r="AD50" s="106">
        <f>求节点(宝物升星!E$61:E$66,宝物升星!$C$61:$C$66,Y50/SUM(E$8:E$9))</f>
        <v>0</v>
      </c>
      <c r="AE50" s="106">
        <f>求节点(宝物升星!F$61:F$66,宝物升星!$C$61:$C$66,Z50/SUM(F$8:F$9))</f>
        <v>0</v>
      </c>
      <c r="AF50" s="106">
        <f>求节点(宝物升星!G$61:G$66,宝物升星!$C$61:$C$66,AA50/SUM(G$8:G$9))</f>
        <v>0</v>
      </c>
      <c r="AG50" s="106">
        <f>求节点(宝物升星!H$61:H$66,宝物升星!$C$61:$C$66,AB50/SUM(H$8:H$9))</f>
        <v>0</v>
      </c>
      <c r="AH50" s="50"/>
      <c r="AI50" s="50"/>
      <c r="AJ50" s="50"/>
      <c r="AK50" s="50"/>
      <c r="AL50" s="50"/>
      <c r="AU50" s="92">
        <v>1230</v>
      </c>
      <c r="AY50" s="31">
        <f t="shared" si="8"/>
        <v>0.14285714285714285</v>
      </c>
      <c r="AZ50" s="31">
        <f t="shared" si="9"/>
        <v>7.1428571428571425E-2</v>
      </c>
      <c r="BA50" s="31">
        <f t="shared" si="2"/>
        <v>0</v>
      </c>
      <c r="BB50" s="31">
        <f t="shared" si="3"/>
        <v>0</v>
      </c>
      <c r="BC50" s="31">
        <f t="shared" si="4"/>
        <v>0</v>
      </c>
      <c r="BD50" s="31">
        <f t="shared" si="5"/>
        <v>162.85714285714286</v>
      </c>
      <c r="BE50" s="31">
        <f t="shared" si="6"/>
        <v>77.142857142857153</v>
      </c>
    </row>
    <row r="51" spans="14:57" x14ac:dyDescent="0.15">
      <c r="N51" s="50">
        <v>45</v>
      </c>
      <c r="O51" s="50">
        <f>求节点(节奏总纲!$O$4:$O$163,节奏总纲!Q$4:Q$163,N51)</f>
        <v>18.900199714525563</v>
      </c>
      <c r="P51" s="114">
        <f>INDEX('[1]资源-钻石'!$M$4:$M$163,$N51)*$O$11</f>
        <v>27226.099516146987</v>
      </c>
      <c r="Q51" s="133">
        <v>0.1</v>
      </c>
      <c r="R51" s="114"/>
      <c r="S51" s="114">
        <f t="shared" si="16"/>
        <v>3.4259508557818288</v>
      </c>
      <c r="T51" s="114">
        <f t="shared" si="17"/>
        <v>1.8150733010764659</v>
      </c>
      <c r="U51" s="114">
        <f t="shared" si="18"/>
        <v>0.54452199032293969</v>
      </c>
      <c r="V51" s="114">
        <f t="shared" si="19"/>
        <v>6.1258723911330713E-2</v>
      </c>
      <c r="W51" s="50"/>
      <c r="X51" s="106"/>
      <c r="Y51" s="115">
        <f>求节点(盗宝贼!$CC$5:$CC$164,盗宝贼!$CE$5:$CE$164,$N51)+S51</f>
        <v>10.052341266548083</v>
      </c>
      <c r="Z51" s="115">
        <f>求节点(盗宝贼!$CC$5:$CC$164,盗宝贼!$CJ$5:$CJ$164,$N51)+T51</f>
        <v>2.5513389022727164</v>
      </c>
      <c r="AA51" s="115">
        <f>求节点(盗宝贼!$CC$5:$CC$164,盗宝贼!$CO$5:$CO$164,$N51)+U51</f>
        <v>0.54452199032293969</v>
      </c>
      <c r="AB51" s="115">
        <f t="shared" si="20"/>
        <v>6.1258723911330713E-2</v>
      </c>
      <c r="AC51" s="106"/>
      <c r="AD51" s="106">
        <f>求节点(宝物升星!E$61:E$66,宝物升星!$C$61:$C$66,Y51/SUM(E$8:E$9))</f>
        <v>1.2565426583185104</v>
      </c>
      <c r="AE51" s="106">
        <f>求节点(宝物升星!F$61:F$66,宝物升星!$C$61:$C$66,Z51/SUM(F$8:F$9))</f>
        <v>0</v>
      </c>
      <c r="AF51" s="106">
        <f>求节点(宝物升星!G$61:G$66,宝物升星!$C$61:$C$66,AA51/SUM(G$8:G$9))</f>
        <v>0</v>
      </c>
      <c r="AG51" s="106">
        <f>求节点(宝物升星!H$61:H$66,宝物升星!$C$61:$C$66,AB51/SUM(H$8:H$9))</f>
        <v>0</v>
      </c>
      <c r="AH51" s="50"/>
      <c r="AI51" s="50"/>
      <c r="AJ51" s="50"/>
      <c r="AK51" s="50"/>
      <c r="AL51" s="50"/>
      <c r="AU51" s="92">
        <v>1260</v>
      </c>
      <c r="AY51" s="31">
        <f t="shared" si="8"/>
        <v>0.14285714285714285</v>
      </c>
      <c r="AZ51" s="31">
        <f t="shared" si="9"/>
        <v>7.1428571428571425E-2</v>
      </c>
      <c r="BA51" s="31">
        <f t="shared" si="2"/>
        <v>0</v>
      </c>
      <c r="BB51" s="31">
        <f t="shared" si="3"/>
        <v>0</v>
      </c>
      <c r="BC51" s="31">
        <f t="shared" si="4"/>
        <v>0</v>
      </c>
      <c r="BD51" s="31">
        <f t="shared" si="5"/>
        <v>167.14285714285714</v>
      </c>
      <c r="BE51" s="31">
        <f t="shared" si="6"/>
        <v>79.285714285714292</v>
      </c>
    </row>
    <row r="52" spans="14:57" x14ac:dyDescent="0.15">
      <c r="N52" s="50">
        <v>50</v>
      </c>
      <c r="O52" s="50">
        <f>求节点(节奏总纲!$O$4:$O$163,节奏总纲!Q$4:Q$163,N52)</f>
        <v>27.0351</v>
      </c>
      <c r="P52" s="114">
        <f>INDEX('[1]资源-钻石'!$M$4:$M$163,$N52)*$O$11</f>
        <v>36721.762751550159</v>
      </c>
      <c r="Q52" s="133">
        <v>0.2</v>
      </c>
      <c r="R52" s="114"/>
      <c r="S52" s="114">
        <f t="shared" si="16"/>
        <v>9.2416436258067893</v>
      </c>
      <c r="T52" s="114">
        <f t="shared" si="17"/>
        <v>4.8962350335400213</v>
      </c>
      <c r="U52" s="114">
        <f t="shared" si="18"/>
        <v>1.4688705100620065</v>
      </c>
      <c r="V52" s="114">
        <f t="shared" si="19"/>
        <v>0.16524793238197572</v>
      </c>
      <c r="W52" s="50"/>
      <c r="X52" s="106"/>
      <c r="Y52" s="115">
        <f>求节点(盗宝贼!$CC$5:$CC$164,盗宝贼!$CE$5:$CE$164,$N52)+S52</f>
        <v>24.65006795035006</v>
      </c>
      <c r="Z52" s="115">
        <f>求节点(盗宝贼!$CC$5:$CC$164,盗宝贼!$CJ$5:$CJ$164,$N52)+T52</f>
        <v>6.6082821807114964</v>
      </c>
      <c r="AA52" s="115">
        <f>求节点(盗宝贼!$CC$5:$CC$164,盗宝贼!$CO$5:$CO$164,$N52)+U52</f>
        <v>1.4688705100620065</v>
      </c>
      <c r="AB52" s="115">
        <f t="shared" si="20"/>
        <v>0.16524793238197572</v>
      </c>
      <c r="AC52" s="106"/>
      <c r="AD52" s="106">
        <f>求节点(宝物升星!E$61:E$66,宝物升星!$C$61:$C$66,Y52/SUM(E$8:E$9))</f>
        <v>2.540629246896879</v>
      </c>
      <c r="AE52" s="106">
        <f>求节点(宝物升星!F$61:F$66,宝物升星!$C$61:$C$66,Z52/SUM(F$8:F$9))</f>
        <v>0.32165643614229933</v>
      </c>
      <c r="AF52" s="106">
        <f>求节点(宝物升星!G$61:G$66,宝物升星!$C$61:$C$66,AA52/SUM(G$8:G$9))</f>
        <v>0</v>
      </c>
      <c r="AG52" s="106">
        <f>求节点(宝物升星!H$61:H$66,宝物升星!$C$61:$C$66,AB52/SUM(H$8:H$9))</f>
        <v>0</v>
      </c>
      <c r="AH52" s="50"/>
      <c r="AI52" s="50"/>
      <c r="AJ52" s="50"/>
      <c r="AK52" s="50"/>
      <c r="AL52" s="50"/>
      <c r="AU52" s="92">
        <v>1290</v>
      </c>
      <c r="AY52" s="31">
        <f t="shared" si="8"/>
        <v>0.14285714285714285</v>
      </c>
      <c r="AZ52" s="31">
        <f t="shared" si="9"/>
        <v>7.1428571428571425E-2</v>
      </c>
      <c r="BA52" s="31">
        <f t="shared" si="2"/>
        <v>0</v>
      </c>
      <c r="BB52" s="31">
        <f t="shared" si="3"/>
        <v>0</v>
      </c>
      <c r="BC52" s="31">
        <f t="shared" si="4"/>
        <v>0</v>
      </c>
      <c r="BD52" s="31">
        <f t="shared" si="5"/>
        <v>171.42857142857142</v>
      </c>
      <c r="BE52" s="31">
        <f t="shared" si="6"/>
        <v>81.428571428571431</v>
      </c>
    </row>
    <row r="53" spans="14:57" x14ac:dyDescent="0.15">
      <c r="N53" s="50">
        <v>60</v>
      </c>
      <c r="O53" s="50">
        <f>求节点(节奏总纲!$O$4:$O$163,节奏总纲!Q$4:Q$163,N53)</f>
        <v>54.589500000000001</v>
      </c>
      <c r="P53" s="114">
        <f>INDEX('[1]资源-钻石'!$M$4:$M$163,$N53)*$O$11</f>
        <v>70147.122281329226</v>
      </c>
      <c r="Q53" s="133">
        <v>0.5</v>
      </c>
      <c r="R53" s="114"/>
      <c r="S53" s="114">
        <f t="shared" si="16"/>
        <v>44.134231102002964</v>
      </c>
      <c r="T53" s="114">
        <f t="shared" si="17"/>
        <v>23.382374093776406</v>
      </c>
      <c r="U53" s="114">
        <f t="shared" si="18"/>
        <v>7.0147122281329226</v>
      </c>
      <c r="V53" s="114">
        <f t="shared" si="19"/>
        <v>0.78915512566495372</v>
      </c>
      <c r="W53" s="50"/>
      <c r="X53" s="106"/>
      <c r="Y53" s="115">
        <f>求节点(盗宝贼!$CC$5:$CC$164,盗宝贼!$CE$5:$CE$164,$N53)+S53</f>
        <v>92.274037093857416</v>
      </c>
      <c r="Z53" s="115">
        <f>求节点(盗宝贼!$CC$5:$CC$164,盗宝贼!$CJ$5:$CJ$164,$N53)+T53</f>
        <v>29.398645247450027</v>
      </c>
      <c r="AA53" s="115">
        <f>求节点(盗宝贼!$CC$5:$CC$164,盗宝贼!$CO$5:$CO$164,$N53)+U53</f>
        <v>7.0147122281329226</v>
      </c>
      <c r="AB53" s="115">
        <f t="shared" si="20"/>
        <v>0.78915512566495372</v>
      </c>
      <c r="AC53" s="106"/>
      <c r="AD53" s="106">
        <f>求节点(宝物升星!E$61:E$66,宝物升星!$C$61:$C$66,Y53/SUM(E$8:E$9))</f>
        <v>4.4417818295915223</v>
      </c>
      <c r="AE53" s="106">
        <f>求节点(宝物升星!F$61:F$66,宝物升星!$C$61:$C$66,Z53/SUM(F$8:F$9))</f>
        <v>2.4699322623725015</v>
      </c>
      <c r="AF53" s="106">
        <f>求节点(宝物升星!G$61:G$66,宝物升星!$C$61:$C$66,AA53/SUM(G$8:G$9))</f>
        <v>0</v>
      </c>
      <c r="AG53" s="106">
        <f>求节点(宝物升星!H$61:H$66,宝物升星!$C$61:$C$66,AB53/SUM(H$8:H$9))</f>
        <v>0</v>
      </c>
      <c r="AH53" s="50"/>
      <c r="AI53" s="50"/>
      <c r="AJ53" s="50"/>
      <c r="AK53" s="50"/>
      <c r="AL53" s="50"/>
      <c r="AU53" s="92">
        <v>1320</v>
      </c>
      <c r="AY53" s="31">
        <f t="shared" si="8"/>
        <v>0.14285714285714285</v>
      </c>
      <c r="AZ53" s="31">
        <f t="shared" si="9"/>
        <v>7.1428571428571425E-2</v>
      </c>
      <c r="BA53" s="31">
        <f t="shared" si="2"/>
        <v>0</v>
      </c>
      <c r="BB53" s="31">
        <f t="shared" si="3"/>
        <v>0</v>
      </c>
      <c r="BC53" s="31">
        <f t="shared" si="4"/>
        <v>0</v>
      </c>
      <c r="BD53" s="31">
        <f t="shared" si="5"/>
        <v>175.71428571428569</v>
      </c>
      <c r="BE53" s="31">
        <f t="shared" si="6"/>
        <v>83.571428571428569</v>
      </c>
    </row>
    <row r="54" spans="14:57" x14ac:dyDescent="0.15">
      <c r="N54" s="50">
        <v>70</v>
      </c>
      <c r="O54" s="50">
        <f>求节点(节奏总纲!$O$4:$O$163,节奏总纲!Q$4:Q$163,N54)</f>
        <v>109.9693</v>
      </c>
      <c r="P54" s="114">
        <f>INDEX('[1]资源-钻石'!$M$4:$M$163,$N54)*$O$11</f>
        <v>132471.05548259805</v>
      </c>
      <c r="Q54" s="133">
        <v>1</v>
      </c>
      <c r="R54" s="114"/>
      <c r="S54" s="114">
        <f t="shared" si="16"/>
        <v>166.69274481560254</v>
      </c>
      <c r="T54" s="114">
        <f t="shared" si="17"/>
        <v>88.314036988398698</v>
      </c>
      <c r="U54" s="114">
        <f t="shared" si="18"/>
        <v>26.494211096519614</v>
      </c>
      <c r="V54" s="114">
        <f t="shared" si="19"/>
        <v>2.9805987483584557</v>
      </c>
      <c r="W54" s="50"/>
      <c r="X54" s="106"/>
      <c r="Y54" s="115">
        <f>求节点(盗宝贼!$CC$5:$CC$164,盗宝贼!$CE$5:$CE$164,$N54)+S54</f>
        <v>245.1060886539895</v>
      </c>
      <c r="Z54" s="115">
        <f>求节点(盗宝贼!$CC$5:$CC$164,盗宝贼!$CJ$5:$CJ$164,$N54)+T54</f>
        <v>106.02127527602227</v>
      </c>
      <c r="AA54" s="115">
        <f>求节点(盗宝贼!$CC$5:$CC$164,盗宝贼!$CO$5:$CO$164,$N54)+U54</f>
        <v>26.494211096519614</v>
      </c>
      <c r="AB54" s="115">
        <f t="shared" si="20"/>
        <v>2.9805987483584557</v>
      </c>
      <c r="AC54" s="106"/>
      <c r="AD54" s="106">
        <f>求节点(宝物升星!E$61:E$66,宝物升星!$C$61:$C$66,Y54/SUM(E$8:E$9))</f>
        <v>5</v>
      </c>
      <c r="AE54" s="106">
        <f>求节点(宝物升星!F$61:F$66,宝物升星!$C$61:$C$66,Z54/SUM(F$8:F$9))</f>
        <v>4.3252659409502785</v>
      </c>
      <c r="AF54" s="106">
        <f>求节点(宝物升星!G$61:G$66,宝物升星!$C$61:$C$66,AA54/SUM(G$8:G$9))</f>
        <v>5.9768443860784615E-2</v>
      </c>
      <c r="AG54" s="106">
        <f>求节点(宝物升星!H$61:H$66,宝物升星!$C$61:$C$66,AB54/SUM(H$8:H$9))</f>
        <v>1.9805987483584557</v>
      </c>
      <c r="AH54" s="50"/>
      <c r="AI54" s="50"/>
      <c r="AJ54" s="50"/>
      <c r="AK54" s="50"/>
      <c r="AL54" s="50"/>
      <c r="AU54" s="92">
        <v>1350</v>
      </c>
      <c r="AY54" s="31">
        <f t="shared" si="8"/>
        <v>0.14285714285714285</v>
      </c>
      <c r="AZ54" s="31">
        <f t="shared" si="9"/>
        <v>7.1428571428571425E-2</v>
      </c>
      <c r="BA54" s="31">
        <f t="shared" si="2"/>
        <v>0</v>
      </c>
      <c r="BB54" s="31">
        <f t="shared" si="3"/>
        <v>0</v>
      </c>
      <c r="BC54" s="31">
        <f t="shared" si="4"/>
        <v>0</v>
      </c>
      <c r="BD54" s="31">
        <f t="shared" si="5"/>
        <v>179.99999999999997</v>
      </c>
      <c r="BE54" s="31">
        <f t="shared" si="6"/>
        <v>85.714285714285708</v>
      </c>
    </row>
    <row r="55" spans="14:57" x14ac:dyDescent="0.15">
      <c r="N55" s="50">
        <v>80</v>
      </c>
      <c r="O55" s="50">
        <f>求节点(节奏总纲!$O$4:$O$163,节奏总纲!Q$4:Q$163,N55)</f>
        <v>221.08500000000001</v>
      </c>
      <c r="P55" s="114">
        <f>INDEX('[1]资源-钻石'!$M$4:$M$163,$N55)*$O$11</f>
        <v>245184.64091667518</v>
      </c>
      <c r="Q55" s="133">
        <v>1</v>
      </c>
      <c r="R55" s="114"/>
      <c r="S55" s="114">
        <f t="shared" si="16"/>
        <v>308.52400648681629</v>
      </c>
      <c r="T55" s="114">
        <f t="shared" si="17"/>
        <v>163.45642727778346</v>
      </c>
      <c r="U55" s="114">
        <f t="shared" si="18"/>
        <v>49.036928183335043</v>
      </c>
      <c r="V55" s="114">
        <f t="shared" si="19"/>
        <v>5.5166544206251915</v>
      </c>
      <c r="W55" s="50"/>
      <c r="X55" s="106"/>
      <c r="Y55" s="115">
        <f>求节点(盗宝贼!$CC$5:$CC$164,盗宝贼!$CE$5:$CE$164,$N55)+S55</f>
        <v>489.18168393050223</v>
      </c>
      <c r="Z55" s="115">
        <f>求节点(盗宝贼!$CC$5:$CC$164,盗宝贼!$CJ$5:$CJ$164,$N55)+T55</f>
        <v>224.98266568196374</v>
      </c>
      <c r="AA55" s="115">
        <f>求节点(盗宝贼!$CC$5:$CC$164,盗宝贼!$CO$5:$CO$164,$N55)+U55</f>
        <v>49.036928183335043</v>
      </c>
      <c r="AB55" s="115">
        <f t="shared" si="20"/>
        <v>5.5166544206251915</v>
      </c>
      <c r="AC55" s="106"/>
      <c r="AD55" s="106">
        <f>求节点(宝物升星!E$61:E$66,宝物升星!$C$61:$C$66,Y55/SUM(E$8:E$9))</f>
        <v>5</v>
      </c>
      <c r="AE55" s="106">
        <f>求节点(宝物升星!F$61:F$66,宝物升星!$C$61:$C$66,Z55/SUM(F$8:F$9))</f>
        <v>5</v>
      </c>
      <c r="AF55" s="106">
        <f>求节点(宝物升星!G$61:G$66,宝物升星!$C$61:$C$66,AA55/SUM(G$8:G$9))</f>
        <v>0.96147712733340174</v>
      </c>
      <c r="AG55" s="106">
        <f>求节点(宝物升星!H$61:H$66,宝物升星!$C$61:$C$66,AB55/SUM(H$8:H$9))</f>
        <v>3.7583272103125958</v>
      </c>
      <c r="AH55" s="50"/>
      <c r="AI55" s="50"/>
      <c r="AJ55" s="50"/>
      <c r="AK55" s="50"/>
      <c r="AL55" s="50"/>
      <c r="AU55" s="92">
        <v>1380</v>
      </c>
      <c r="AY55" s="31">
        <f t="shared" si="8"/>
        <v>0.14285714285714285</v>
      </c>
      <c r="AZ55" s="31">
        <f t="shared" si="9"/>
        <v>7.1428571428571425E-2</v>
      </c>
      <c r="BA55" s="31">
        <f t="shared" si="2"/>
        <v>0</v>
      </c>
      <c r="BB55" s="31">
        <f t="shared" si="3"/>
        <v>0</v>
      </c>
      <c r="BC55" s="31">
        <f t="shared" si="4"/>
        <v>0</v>
      </c>
      <c r="BD55" s="31">
        <f t="shared" si="5"/>
        <v>184.28571428571425</v>
      </c>
      <c r="BE55" s="31">
        <f t="shared" si="6"/>
        <v>87.857142857142847</v>
      </c>
    </row>
    <row r="56" spans="14:57" x14ac:dyDescent="0.15">
      <c r="N56" s="50">
        <v>90</v>
      </c>
      <c r="O56" s="50">
        <f>求节点(节奏总纲!$O$4:$O$163,节奏总纲!Q$4:Q$163,N56)</f>
        <v>438.13140000000004</v>
      </c>
      <c r="P56" s="114">
        <f>INDEX('[1]资源-钻石'!$M$4:$M$163,$N56)*$O$11</f>
        <v>477679.17958608776</v>
      </c>
      <c r="Q56" s="133">
        <v>1</v>
      </c>
      <c r="R56" s="114"/>
      <c r="S56" s="114">
        <f t="shared" si="16"/>
        <v>601.07963431249379</v>
      </c>
      <c r="T56" s="114">
        <f t="shared" si="17"/>
        <v>318.45278639072518</v>
      </c>
      <c r="U56" s="114">
        <f t="shared" si="18"/>
        <v>95.535835917217554</v>
      </c>
      <c r="V56" s="114">
        <f t="shared" si="19"/>
        <v>10.747781540686974</v>
      </c>
      <c r="W56" s="50"/>
      <c r="X56" s="106"/>
      <c r="Y56" s="115">
        <f>求节点(盗宝贼!$CC$5:$CC$164,盗宝贼!$CE$5:$CE$164,$N56)+S56</f>
        <v>1026.0447395961799</v>
      </c>
      <c r="Z56" s="115">
        <f>求节点(盗宝贼!$CC$5:$CC$164,盗宝贼!$CJ$5:$CJ$164,$N56)+T56</f>
        <v>484.68220815490554</v>
      </c>
      <c r="AA56" s="115">
        <f>求节点(盗宝贼!$CC$5:$CC$164,盗宝贼!$CO$5:$CO$164,$N56)+U56</f>
        <v>95.535835917217554</v>
      </c>
      <c r="AB56" s="115">
        <f t="shared" si="20"/>
        <v>10.747781540686974</v>
      </c>
      <c r="AC56" s="106"/>
      <c r="AD56" s="106">
        <f>求节点(宝物升星!E$61:E$66,宝物升星!$C$61:$C$66,Y56/SUM(E$8:E$9))</f>
        <v>5</v>
      </c>
      <c r="AE56" s="106">
        <f>求节点(宝物升星!F$61:F$66,宝物升星!$C$61:$C$66,Z56/SUM(F$8:F$9))</f>
        <v>5</v>
      </c>
      <c r="AF56" s="106">
        <f>求节点(宝物升星!G$61:G$66,宝物升星!$C$61:$C$66,AA56/SUM(G$8:G$9))</f>
        <v>2.410716718344351</v>
      </c>
      <c r="AG56" s="106">
        <f>求节点(宝物升星!H$61:H$66,宝物升星!$C$61:$C$66,AB56/SUM(H$8:H$9))</f>
        <v>5</v>
      </c>
      <c r="AH56" s="50"/>
      <c r="AI56" s="50"/>
      <c r="AJ56" s="50"/>
      <c r="AK56" s="50"/>
      <c r="AL56" s="50"/>
      <c r="AU56" s="92">
        <v>1410</v>
      </c>
      <c r="AY56" s="31">
        <f t="shared" si="8"/>
        <v>0.14285714285714285</v>
      </c>
      <c r="AZ56" s="31">
        <f t="shared" si="9"/>
        <v>7.1428571428571425E-2</v>
      </c>
      <c r="BA56" s="31">
        <f t="shared" si="2"/>
        <v>0</v>
      </c>
      <c r="BB56" s="31">
        <f t="shared" si="3"/>
        <v>0</v>
      </c>
      <c r="BC56" s="31">
        <f t="shared" si="4"/>
        <v>0</v>
      </c>
      <c r="BD56" s="31">
        <f t="shared" si="5"/>
        <v>188.57142857142853</v>
      </c>
      <c r="BE56" s="31">
        <f t="shared" si="6"/>
        <v>89.999999999999986</v>
      </c>
    </row>
    <row r="57" spans="14:57" x14ac:dyDescent="0.15">
      <c r="N57" s="50">
        <v>100</v>
      </c>
      <c r="O57" s="50">
        <f>求节点(节奏总纲!$O$4:$O$163,节奏总纲!Q$4:Q$163,N57)</f>
        <v>874.97189999999989</v>
      </c>
      <c r="P57" s="114">
        <f>INDEX('[1]资源-钻石'!$M$4:$M$163,$N57)*$O$11</f>
        <v>746460.35592497548</v>
      </c>
      <c r="Q57" s="133">
        <v>1</v>
      </c>
      <c r="R57" s="114"/>
      <c r="S57" s="114">
        <f t="shared" si="16"/>
        <v>939.29594787226074</v>
      </c>
      <c r="T57" s="114">
        <f t="shared" si="17"/>
        <v>497.64023728331699</v>
      </c>
      <c r="U57" s="114">
        <f t="shared" si="18"/>
        <v>149.29207118499511</v>
      </c>
      <c r="V57" s="114">
        <f t="shared" si="19"/>
        <v>16.795358008311947</v>
      </c>
      <c r="W57" s="50"/>
      <c r="X57" s="106"/>
      <c r="Y57" s="115">
        <f>求节点(盗宝贼!$CC$5:$CC$164,盗宝贼!$CE$5:$CE$164,$N57)+S57</f>
        <v>1855.9687199559467</v>
      </c>
      <c r="Z57" s="115">
        <f>求节点(盗宝贼!$CC$5:$CC$164,盗宝贼!$CJ$5:$CJ$164,$N57)+T57</f>
        <v>874.60151624749733</v>
      </c>
      <c r="AA57" s="115">
        <f>求节点(盗宝贼!$CC$5:$CC$164,盗宝贼!$CO$5:$CO$164,$N57)+U57</f>
        <v>149.29207118499511</v>
      </c>
      <c r="AB57" s="115">
        <f t="shared" si="20"/>
        <v>16.795358008311947</v>
      </c>
      <c r="AC57" s="106"/>
      <c r="AD57" s="106">
        <f>求节点(宝物升星!E$61:E$66,宝物升星!$C$61:$C$66,Y57/SUM(E$8:E$9))</f>
        <v>5</v>
      </c>
      <c r="AE57" s="106">
        <f>求节点(宝物升星!F$61:F$66,宝物升星!$C$61:$C$66,Z57/SUM(F$8:F$9))</f>
        <v>5</v>
      </c>
      <c r="AF57" s="106">
        <f>求节点(宝物升星!G$61:G$66,宝物升星!$C$61:$C$66,AA57/SUM(G$8:G$9))</f>
        <v>3.2429207118499512</v>
      </c>
      <c r="AG57" s="106">
        <f>求节点(宝物升星!H$61:H$66,宝物升星!$C$61:$C$66,AB57/SUM(H$8:H$9))</f>
        <v>5</v>
      </c>
      <c r="AH57" s="50"/>
      <c r="AI57" s="50"/>
      <c r="AJ57" s="50"/>
      <c r="AK57" s="50"/>
      <c r="AL57" s="50"/>
      <c r="AU57" s="92">
        <v>1440</v>
      </c>
      <c r="AY57" s="31">
        <f t="shared" si="8"/>
        <v>0.14285714285714285</v>
      </c>
      <c r="AZ57" s="31">
        <f t="shared" si="9"/>
        <v>7.1428571428571425E-2</v>
      </c>
      <c r="BA57" s="31">
        <f t="shared" ref="BA57:BA120" si="21">IF($AU58="",BA56,($AU58-$AU57)*AV57+BA56)</f>
        <v>0</v>
      </c>
      <c r="BB57" s="31">
        <f t="shared" ref="BB57:BB120" si="22">IF($AU58="",BB56,($AU58-$AU57)*AW57+BB56)</f>
        <v>0</v>
      </c>
      <c r="BC57" s="31">
        <f t="shared" ref="BC57:BC120" si="23">IF($AU58="",BC56,($AU58-$AU57)*AX57+BC56)</f>
        <v>0</v>
      </c>
      <c r="BD57" s="31">
        <f t="shared" ref="BD57:BD120" si="24">IF($AU58="",BD56,($AU58-$AU57)*AY57+BD56)</f>
        <v>192.8571428571428</v>
      </c>
      <c r="BE57" s="31">
        <f t="shared" ref="BE57:BE120" si="25">IF($AU58="",BE56,($AU58-$AU57)*AZ57+BE56)</f>
        <v>92.142857142857125</v>
      </c>
    </row>
    <row r="58" spans="14:57" x14ac:dyDescent="0.15">
      <c r="N58" s="50">
        <v>110</v>
      </c>
      <c r="O58" s="50">
        <f>求节点(节奏总纲!$O$4:$O$163,节奏总纲!Q$4:Q$163,N58)</f>
        <v>1740.5640999999998</v>
      </c>
      <c r="P58" s="114">
        <f>INDEX('[1]资源-钻石'!$M$4:$M$163,$N58)*$O$11</f>
        <v>1015241.5322638632</v>
      </c>
      <c r="Q58" s="133">
        <v>1</v>
      </c>
      <c r="R58" s="114"/>
      <c r="S58" s="114">
        <f t="shared" si="16"/>
        <v>1277.512261432028</v>
      </c>
      <c r="T58" s="114">
        <f t="shared" si="17"/>
        <v>676.82768817590886</v>
      </c>
      <c r="U58" s="114">
        <f t="shared" si="18"/>
        <v>203.04830645277266</v>
      </c>
      <c r="V58" s="114">
        <f t="shared" si="19"/>
        <v>22.842934475936925</v>
      </c>
      <c r="W58" s="50"/>
      <c r="X58" s="106"/>
      <c r="Y58" s="115">
        <f>求节点(盗宝贼!$CC$5:$CC$164,盗宝贼!$CE$5:$CE$164,$N58)+S58</f>
        <v>3168.4956138357138</v>
      </c>
      <c r="Z58" s="115">
        <f>求节点(盗宝贼!$CC$5:$CC$164,盗宝贼!$CJ$5:$CJ$164,$N58)+T58</f>
        <v>1471.3506444200891</v>
      </c>
      <c r="AA58" s="115">
        <f>求节点(盗宝贼!$CC$5:$CC$164,盗宝贼!$CO$5:$CO$164,$N58)+U58</f>
        <v>203.04830645277266</v>
      </c>
      <c r="AB58" s="115">
        <f t="shared" si="20"/>
        <v>22.842934475936925</v>
      </c>
      <c r="AC58" s="106"/>
      <c r="AD58" s="106">
        <f>求节点(宝物升星!E$61:E$66,宝物升星!$C$61:$C$66,Y58/SUM(E$8:E$9))</f>
        <v>5</v>
      </c>
      <c r="AE58" s="106">
        <f>求节点(宝物升星!F$61:F$66,宝物升星!$C$61:$C$66,Z58/SUM(F$8:F$9))</f>
        <v>5</v>
      </c>
      <c r="AF58" s="106">
        <f>求节点(宝物升星!G$61:G$66,宝物升星!$C$61:$C$66,AA58/SUM(G$8:G$9))</f>
        <v>3.7804830645277265</v>
      </c>
      <c r="AG58" s="106">
        <f>求节点(宝物升星!H$61:H$66,宝物升星!$C$61:$C$66,AB58/SUM(H$8:H$9))</f>
        <v>5</v>
      </c>
      <c r="AH58" s="50"/>
      <c r="AI58" s="50"/>
      <c r="AJ58" s="50"/>
      <c r="AK58" s="50"/>
      <c r="AL58" s="50"/>
      <c r="AU58" s="92">
        <v>1470</v>
      </c>
      <c r="AY58" s="31">
        <f t="shared" ref="AY58:AY121" si="26">1/7</f>
        <v>0.14285714285714285</v>
      </c>
      <c r="AZ58" s="31">
        <f t="shared" si="9"/>
        <v>7.1428571428571425E-2</v>
      </c>
      <c r="BA58" s="31">
        <f t="shared" si="21"/>
        <v>0</v>
      </c>
      <c r="BB58" s="31">
        <f t="shared" si="22"/>
        <v>0</v>
      </c>
      <c r="BC58" s="31">
        <f t="shared" si="23"/>
        <v>0</v>
      </c>
      <c r="BD58" s="31">
        <f t="shared" si="24"/>
        <v>197.14285714285708</v>
      </c>
      <c r="BE58" s="31">
        <f t="shared" si="25"/>
        <v>94.285714285714263</v>
      </c>
    </row>
    <row r="59" spans="14:57" x14ac:dyDescent="0.15">
      <c r="N59" s="50">
        <v>120</v>
      </c>
      <c r="O59" s="50">
        <f>求节点(节奏总纲!$O$4:$O$163,节奏总纲!Q$4:Q$163,N59)</f>
        <v>3486.0735</v>
      </c>
      <c r="P59" s="114">
        <f>INDEX('[1]资源-钻石'!$M$4:$M$163,$N59)*$O$11</f>
        <v>1284022.7086027509</v>
      </c>
      <c r="Q59" s="133">
        <v>1</v>
      </c>
      <c r="R59" s="114"/>
      <c r="S59" s="114">
        <f t="shared" si="16"/>
        <v>1615.7285749917949</v>
      </c>
      <c r="T59" s="114">
        <f t="shared" si="17"/>
        <v>856.01513906850062</v>
      </c>
      <c r="U59" s="114">
        <f t="shared" si="18"/>
        <v>256.80454172055022</v>
      </c>
      <c r="V59" s="114">
        <f t="shared" si="19"/>
        <v>28.890510943561893</v>
      </c>
      <c r="W59" s="50"/>
      <c r="X59" s="106"/>
      <c r="Y59" s="115">
        <f>求节点(盗宝贼!$CC$5:$CC$164,盗宝贼!$CE$5:$CE$164,$N59)+S59</f>
        <v>5471.4573080354803</v>
      </c>
      <c r="Z59" s="115">
        <f>求节点(盗宝贼!$CC$5:$CC$164,盗宝贼!$CJ$5:$CJ$164,$N59)+T59</f>
        <v>2492.5718298726811</v>
      </c>
      <c r="AA59" s="115">
        <f>求节点(盗宝贼!$CC$5:$CC$164,盗宝贼!$CO$5:$CO$164,$N59)+U59</f>
        <v>256.80454172055022</v>
      </c>
      <c r="AB59" s="115">
        <f t="shared" si="20"/>
        <v>28.890510943561893</v>
      </c>
      <c r="AC59" s="106"/>
      <c r="AD59" s="106">
        <f>求节点(宝物升星!E$61:E$66,宝物升星!$C$61:$C$66,Y59/SUM(E$8:E$9))</f>
        <v>5</v>
      </c>
      <c r="AE59" s="106">
        <f>求节点(宝物升星!F$61:F$66,宝物升星!$C$61:$C$66,Z59/SUM(F$8:F$9))</f>
        <v>5</v>
      </c>
      <c r="AF59" s="106">
        <f>求节点(宝物升星!G$61:G$66,宝物升星!$C$61:$C$66,AA59/SUM(G$8:G$9))</f>
        <v>4.1590227086027509</v>
      </c>
      <c r="AG59" s="106">
        <f>求节点(宝物升星!H$61:H$66,宝物升星!$C$61:$C$66,AB59/SUM(H$8:H$9))</f>
        <v>5</v>
      </c>
      <c r="AH59" s="50"/>
      <c r="AI59" s="50"/>
      <c r="AJ59" s="50"/>
      <c r="AK59" s="50"/>
      <c r="AL59" s="50"/>
      <c r="AU59" s="92">
        <v>1500</v>
      </c>
      <c r="AY59" s="31">
        <f t="shared" si="26"/>
        <v>0.14285714285714285</v>
      </c>
      <c r="AZ59" s="31">
        <f t="shared" si="9"/>
        <v>7.1428571428571425E-2</v>
      </c>
      <c r="BA59" s="31">
        <f t="shared" si="21"/>
        <v>0</v>
      </c>
      <c r="BB59" s="31">
        <f t="shared" si="22"/>
        <v>0</v>
      </c>
      <c r="BC59" s="31">
        <f t="shared" si="23"/>
        <v>0</v>
      </c>
      <c r="BD59" s="31">
        <f t="shared" si="24"/>
        <v>201.42857142857136</v>
      </c>
      <c r="BE59" s="31">
        <f t="shared" si="25"/>
        <v>96.428571428571402</v>
      </c>
    </row>
    <row r="60" spans="14:57" x14ac:dyDescent="0.15">
      <c r="N60" s="50">
        <v>130</v>
      </c>
      <c r="O60" s="50">
        <f>求节点(节奏总纲!$O$4:$O$163,节奏总纲!Q$4:Q$163,N60)</f>
        <v>6940.2343000000001</v>
      </c>
      <c r="P60" s="114">
        <f>INDEX('[1]资源-钻石'!$M$4:$M$163,$N60)*$O$11</f>
        <v>1552803.8849416387</v>
      </c>
      <c r="Q60" s="133">
        <v>1</v>
      </c>
      <c r="R60" s="114"/>
      <c r="S60" s="114">
        <f t="shared" si="16"/>
        <v>1953.9448885515619</v>
      </c>
      <c r="T60" s="114">
        <f t="shared" si="17"/>
        <v>1035.2025899610924</v>
      </c>
      <c r="U60" s="114">
        <f t="shared" si="18"/>
        <v>310.56077698832775</v>
      </c>
      <c r="V60" s="114">
        <f t="shared" si="19"/>
        <v>34.938087411186864</v>
      </c>
      <c r="W60" s="50"/>
      <c r="X60" s="106"/>
      <c r="Y60" s="115">
        <f>求节点(盗宝贼!$CC$5:$CC$164,盗宝贼!$CE$5:$CE$164,$N60)+S60</f>
        <v>9697.6770180752483</v>
      </c>
      <c r="Z60" s="115">
        <f>求节点(盗宝贼!$CC$5:$CC$164,盗宝贼!$CJ$5:$CJ$164,$N60)+T60</f>
        <v>4338.0464506852732</v>
      </c>
      <c r="AA60" s="115">
        <f>求节点(盗宝贼!$CC$5:$CC$164,盗宝贼!$CO$5:$CO$164,$N60)+U60</f>
        <v>310.56077698832775</v>
      </c>
      <c r="AB60" s="115">
        <f t="shared" si="20"/>
        <v>34.938087411186864</v>
      </c>
      <c r="AC60" s="106"/>
      <c r="AD60" s="106">
        <f>求节点(宝物升星!E$61:E$66,宝物升星!$C$61:$C$66,Y60/SUM(E$8:E$9))</f>
        <v>5</v>
      </c>
      <c r="AE60" s="106">
        <f>求节点(宝物升星!F$61:F$66,宝物升星!$C$61:$C$66,Z60/SUM(F$8:F$9))</f>
        <v>5</v>
      </c>
      <c r="AF60" s="106">
        <f>求节点(宝物升星!G$61:G$66,宝物升星!$C$61:$C$66,AA60/SUM(G$8:G$9))</f>
        <v>4.427803884941639</v>
      </c>
      <c r="AG60" s="106">
        <f>求节点(宝物升星!H$61:H$66,宝物升星!$C$61:$C$66,AB60/SUM(H$8:H$9))</f>
        <v>5</v>
      </c>
      <c r="AH60" s="50"/>
      <c r="AI60" s="50"/>
      <c r="AJ60" s="50"/>
      <c r="AK60" s="50"/>
      <c r="AL60" s="50"/>
      <c r="AU60" s="92">
        <v>1530</v>
      </c>
      <c r="AY60" s="31">
        <f t="shared" si="26"/>
        <v>0.14285714285714285</v>
      </c>
      <c r="AZ60" s="31">
        <f t="shared" si="9"/>
        <v>7.1428571428571425E-2</v>
      </c>
      <c r="BA60" s="31">
        <f t="shared" si="21"/>
        <v>0</v>
      </c>
      <c r="BB60" s="31">
        <f t="shared" si="22"/>
        <v>0</v>
      </c>
      <c r="BC60" s="31">
        <f t="shared" si="23"/>
        <v>0</v>
      </c>
      <c r="BD60" s="31">
        <f t="shared" si="24"/>
        <v>205.71428571428564</v>
      </c>
      <c r="BE60" s="31">
        <f t="shared" si="25"/>
        <v>98.571428571428541</v>
      </c>
    </row>
    <row r="61" spans="14:57" x14ac:dyDescent="0.15">
      <c r="N61" s="50">
        <v>140</v>
      </c>
      <c r="O61" s="50">
        <f>求节点(节奏总纲!$O$4:$O$163,节奏总纲!Q$4:Q$163,N61)</f>
        <v>13881.315900000001</v>
      </c>
      <c r="P61" s="114">
        <f>INDEX('[1]资源-钻石'!$M$4:$M$163,$N61)*$O$11</f>
        <v>1821585.0612805265</v>
      </c>
      <c r="Q61" s="133">
        <v>1</v>
      </c>
      <c r="R61" s="114"/>
      <c r="S61" s="114">
        <f t="shared" si="16"/>
        <v>2292.1612021113292</v>
      </c>
      <c r="T61" s="114">
        <f t="shared" si="17"/>
        <v>1214.3900408536842</v>
      </c>
      <c r="U61" s="114">
        <f t="shared" si="18"/>
        <v>364.31701225610533</v>
      </c>
      <c r="V61" s="114">
        <f t="shared" si="19"/>
        <v>40.985663878811842</v>
      </c>
      <c r="W61" s="50"/>
      <c r="X61" s="106"/>
      <c r="Y61" s="115">
        <f>求节点(盗宝贼!$CC$5:$CC$164,盗宝贼!$CE$5:$CE$164,$N61)+S61</f>
        <v>17848.77478059502</v>
      </c>
      <c r="Z61" s="115">
        <f>求节点(盗宝贼!$CC$5:$CC$164,盗宝贼!$CJ$5:$CJ$164,$N61)+T61</f>
        <v>7865.6116654178677</v>
      </c>
      <c r="AA61" s="115">
        <f>求节点(盗宝贼!$CC$5:$CC$164,盗宝贼!$CO$5:$CO$164,$N61)+U61</f>
        <v>364.31701225610533</v>
      </c>
      <c r="AB61" s="115">
        <f t="shared" si="20"/>
        <v>40.985663878811842</v>
      </c>
      <c r="AC61" s="106"/>
      <c r="AD61" s="106">
        <f>求节点(宝物升星!E$61:E$66,宝物升星!$C$61:$C$66,Y61/SUM(E$8:E$9))</f>
        <v>5</v>
      </c>
      <c r="AE61" s="106">
        <f>求节点(宝物升星!F$61:F$66,宝物升星!$C$61:$C$66,Z61/SUM(F$8:F$9))</f>
        <v>5</v>
      </c>
      <c r="AF61" s="106">
        <f>求节点(宝物升星!G$61:G$66,宝物升星!$C$61:$C$66,AA61/SUM(G$8:G$9))</f>
        <v>4.6965850612805262</v>
      </c>
      <c r="AG61" s="106">
        <f>求节点(宝物升星!H$61:H$66,宝物升星!$C$61:$C$66,AB61/SUM(H$8:H$9))</f>
        <v>5</v>
      </c>
      <c r="AH61" s="50"/>
      <c r="AI61" s="50"/>
      <c r="AJ61" s="50"/>
      <c r="AK61" s="50"/>
      <c r="AL61" s="50"/>
      <c r="AU61" s="92">
        <v>1560</v>
      </c>
      <c r="AY61" s="31">
        <f t="shared" si="26"/>
        <v>0.14285714285714285</v>
      </c>
      <c r="AZ61" s="31">
        <f t="shared" si="9"/>
        <v>7.1428571428571425E-2</v>
      </c>
      <c r="BA61" s="31">
        <f t="shared" si="21"/>
        <v>0</v>
      </c>
      <c r="BB61" s="31">
        <f t="shared" si="22"/>
        <v>0</v>
      </c>
      <c r="BC61" s="31">
        <f t="shared" si="23"/>
        <v>0</v>
      </c>
      <c r="BD61" s="31">
        <f t="shared" si="24"/>
        <v>209.99999999999991</v>
      </c>
      <c r="BE61" s="31">
        <f t="shared" si="25"/>
        <v>100.71428571428568</v>
      </c>
    </row>
    <row r="62" spans="14:57" x14ac:dyDescent="0.15">
      <c r="N62" s="50">
        <v>150</v>
      </c>
      <c r="O62" s="50">
        <f>求节点(节奏总纲!$O$4:$O$163,节奏总纲!Q$4:Q$163,N62)</f>
        <v>27665.178100000001</v>
      </c>
      <c r="P62" s="114">
        <f>INDEX('[1]资源-钻石'!$M$4:$M$163,$N62)*$O$11</f>
        <v>2090366.2376194142</v>
      </c>
      <c r="Q62" s="133">
        <v>1</v>
      </c>
      <c r="R62" s="114"/>
      <c r="S62" s="114">
        <f t="shared" si="16"/>
        <v>2630.3775156710958</v>
      </c>
      <c r="T62" s="114">
        <f t="shared" si="17"/>
        <v>1393.5774917462761</v>
      </c>
      <c r="U62" s="114">
        <f t="shared" si="18"/>
        <v>418.07324752388286</v>
      </c>
      <c r="V62" s="114">
        <f t="shared" si="19"/>
        <v>47.033240346436813</v>
      </c>
      <c r="W62" s="50"/>
      <c r="X62" s="106"/>
      <c r="Y62" s="115">
        <f>求节点(盗宝贼!$CC$5:$CC$164,盗宝贼!$CE$5:$CE$164,$N62)+S62</f>
        <v>33702.106386474792</v>
      </c>
      <c r="Z62" s="115">
        <f>求节点(盗宝贼!$CC$5:$CC$164,盗宝贼!$CJ$5:$CJ$164,$N62)+T62</f>
        <v>14694.134241590458</v>
      </c>
      <c r="AA62" s="115">
        <f>求节点(盗宝贼!$CC$5:$CC$164,盗宝贼!$CO$5:$CO$164,$N62)+U62</f>
        <v>418.07324752388286</v>
      </c>
      <c r="AB62" s="115">
        <f t="shared" si="20"/>
        <v>47.033240346436813</v>
      </c>
      <c r="AC62" s="106"/>
      <c r="AD62" s="106">
        <f>求节点(宝物升星!E$61:E$66,宝物升星!$C$61:$C$66,Y62/SUM(E$8:E$9))</f>
        <v>5</v>
      </c>
      <c r="AE62" s="106">
        <f>求节点(宝物升星!F$61:F$66,宝物升星!$C$61:$C$66,Z62/SUM(F$8:F$9))</f>
        <v>5</v>
      </c>
      <c r="AF62" s="106">
        <f>求节点(宝物升星!G$61:G$66,宝物升星!$C$61:$C$66,AA62/SUM(G$8:G$9))</f>
        <v>4.9653662376194143</v>
      </c>
      <c r="AG62" s="106">
        <f>求节点(宝物升星!H$61:H$66,宝物升星!$C$61:$C$66,AB62/SUM(H$8:H$9))</f>
        <v>5</v>
      </c>
      <c r="AH62" s="50"/>
      <c r="AI62" s="50"/>
      <c r="AJ62" s="50"/>
      <c r="AK62" s="50"/>
      <c r="AL62" s="50"/>
      <c r="AU62" s="92">
        <v>1590</v>
      </c>
      <c r="AY62" s="31">
        <f t="shared" si="26"/>
        <v>0.14285714285714285</v>
      </c>
      <c r="AZ62" s="31">
        <f t="shared" si="9"/>
        <v>7.1428571428571425E-2</v>
      </c>
      <c r="BA62" s="31">
        <f t="shared" si="21"/>
        <v>0</v>
      </c>
      <c r="BB62" s="31">
        <f t="shared" si="22"/>
        <v>0</v>
      </c>
      <c r="BC62" s="31">
        <f t="shared" si="23"/>
        <v>0</v>
      </c>
      <c r="BD62" s="31">
        <f t="shared" si="24"/>
        <v>214.28571428571419</v>
      </c>
      <c r="BE62" s="31">
        <f t="shared" si="25"/>
        <v>102.85714285714282</v>
      </c>
    </row>
    <row r="63" spans="14:57" x14ac:dyDescent="0.15">
      <c r="N63" s="50">
        <v>160</v>
      </c>
      <c r="O63" s="50">
        <f>求节点(节奏总纲!$O$4:$O$163,节奏总纲!Q$4:Q$163,N63)</f>
        <v>65535</v>
      </c>
      <c r="P63" s="114">
        <f>INDEX('[1]资源-钻石'!$M$4:$M$163,$N63)*$O$11</f>
        <v>2359147.4139583022</v>
      </c>
      <c r="Q63" s="133">
        <v>1</v>
      </c>
      <c r="R63" s="114"/>
      <c r="S63" s="114">
        <f t="shared" si="16"/>
        <v>2968.5938292308633</v>
      </c>
      <c r="T63" s="114">
        <f t="shared" si="17"/>
        <v>1572.764942638868</v>
      </c>
      <c r="U63" s="114">
        <f t="shared" si="18"/>
        <v>471.82948279166044</v>
      </c>
      <c r="V63" s="114">
        <f t="shared" si="19"/>
        <v>53.080816814061798</v>
      </c>
      <c r="W63" s="50"/>
      <c r="X63" s="106"/>
      <c r="Y63" s="115">
        <f>求节点(盗宝贼!$CC$5:$CC$164,盗宝贼!$CE$5:$CE$164,$N63)+S63</f>
        <v>76666.594230674556</v>
      </c>
      <c r="Z63" s="115">
        <f>求节点(盗宝贼!$CC$5:$CC$164,盗宝贼!$CJ$5:$CJ$164,$N63)+T63</f>
        <v>33141.723777043058</v>
      </c>
      <c r="AA63" s="115">
        <f>求节点(盗宝贼!$CC$5:$CC$164,盗宝贼!$CO$5:$CO$164,$N63)+U63</f>
        <v>471.82948279166044</v>
      </c>
      <c r="AB63" s="115">
        <f t="shared" si="20"/>
        <v>53.080816814061798</v>
      </c>
      <c r="AC63" s="106"/>
      <c r="AD63" s="106">
        <f>求节点(宝物升星!E$61:E$66,宝物升星!$C$61:$C$66,Y63/SUM(E$8:E$9))</f>
        <v>5</v>
      </c>
      <c r="AE63" s="106">
        <f>求节点(宝物升星!F$61:F$66,宝物升星!$C$61:$C$66,Z63/SUM(F$8:F$9))</f>
        <v>5</v>
      </c>
      <c r="AF63" s="106">
        <f>求节点(宝物升星!G$61:G$66,宝物升星!$C$61:$C$66,AA63/SUM(G$8:G$9))</f>
        <v>5</v>
      </c>
      <c r="AG63" s="106">
        <f>求节点(宝物升星!H$61:H$66,宝物升星!$C$61:$C$66,AB63/SUM(H$8:H$9))</f>
        <v>5</v>
      </c>
      <c r="AH63" s="50"/>
      <c r="AI63" s="50"/>
      <c r="AJ63" s="50"/>
      <c r="AK63" s="50"/>
      <c r="AL63" s="50"/>
      <c r="AU63" s="92">
        <v>1620</v>
      </c>
      <c r="AY63" s="31">
        <f t="shared" si="26"/>
        <v>0.14285714285714285</v>
      </c>
      <c r="AZ63" s="31">
        <f t="shared" si="9"/>
        <v>7.1428571428571425E-2</v>
      </c>
      <c r="BA63" s="31">
        <f t="shared" si="21"/>
        <v>0</v>
      </c>
      <c r="BB63" s="31">
        <f t="shared" si="22"/>
        <v>0</v>
      </c>
      <c r="BC63" s="31">
        <f t="shared" si="23"/>
        <v>0</v>
      </c>
      <c r="BD63" s="31">
        <f t="shared" si="24"/>
        <v>218.57142857142847</v>
      </c>
      <c r="BE63" s="31">
        <f t="shared" si="25"/>
        <v>104.99999999999996</v>
      </c>
    </row>
    <row r="64" spans="14:57" x14ac:dyDescent="0.15">
      <c r="AU64" s="92">
        <v>1650</v>
      </c>
      <c r="AY64" s="31">
        <f t="shared" si="26"/>
        <v>0.14285714285714285</v>
      </c>
      <c r="AZ64" s="31">
        <f t="shared" si="9"/>
        <v>7.1428571428571425E-2</v>
      </c>
      <c r="BA64" s="31">
        <f t="shared" si="21"/>
        <v>0</v>
      </c>
      <c r="BB64" s="31">
        <f t="shared" si="22"/>
        <v>0</v>
      </c>
      <c r="BC64" s="31">
        <f t="shared" si="23"/>
        <v>0</v>
      </c>
      <c r="BD64" s="31">
        <f t="shared" si="24"/>
        <v>222.85714285714275</v>
      </c>
      <c r="BE64" s="31">
        <f t="shared" si="25"/>
        <v>107.1428571428571</v>
      </c>
    </row>
    <row r="65" spans="14:57" x14ac:dyDescent="0.15">
      <c r="AU65" s="92">
        <v>1680</v>
      </c>
      <c r="AY65" s="31">
        <f t="shared" si="26"/>
        <v>0.14285714285714285</v>
      </c>
      <c r="AZ65" s="31">
        <f t="shared" si="9"/>
        <v>7.1428571428571425E-2</v>
      </c>
      <c r="BA65" s="31">
        <f t="shared" si="21"/>
        <v>0</v>
      </c>
      <c r="BB65" s="31">
        <f t="shared" si="22"/>
        <v>0</v>
      </c>
      <c r="BC65" s="31">
        <f t="shared" si="23"/>
        <v>0</v>
      </c>
      <c r="BD65" s="31">
        <f t="shared" si="24"/>
        <v>227.14285714285703</v>
      </c>
      <c r="BE65" s="31">
        <f t="shared" si="25"/>
        <v>109.28571428571423</v>
      </c>
    </row>
    <row r="66" spans="14:57" x14ac:dyDescent="0.15">
      <c r="AU66" s="92">
        <v>1710</v>
      </c>
      <c r="AY66" s="31">
        <f t="shared" si="26"/>
        <v>0.14285714285714285</v>
      </c>
      <c r="AZ66" s="31">
        <f t="shared" si="9"/>
        <v>7.1428571428571425E-2</v>
      </c>
      <c r="BA66" s="31">
        <f t="shared" si="21"/>
        <v>0</v>
      </c>
      <c r="BB66" s="31">
        <f t="shared" si="22"/>
        <v>0</v>
      </c>
      <c r="BC66" s="31">
        <f t="shared" si="23"/>
        <v>0</v>
      </c>
      <c r="BD66" s="31">
        <f t="shared" si="24"/>
        <v>231.4285714285713</v>
      </c>
      <c r="BE66" s="31">
        <f t="shared" si="25"/>
        <v>111.42857142857137</v>
      </c>
    </row>
    <row r="67" spans="14:57" x14ac:dyDescent="0.15">
      <c r="N67" s="50" t="s">
        <v>242</v>
      </c>
      <c r="O67" s="50"/>
      <c r="P67" s="114"/>
      <c r="Q67" s="116"/>
      <c r="R67" s="144" t="s">
        <v>424</v>
      </c>
      <c r="S67" s="157"/>
      <c r="T67" s="157"/>
      <c r="U67" s="157"/>
      <c r="V67" s="145"/>
      <c r="W67" s="50"/>
      <c r="X67" s="155" t="s">
        <v>238</v>
      </c>
      <c r="Y67" s="155"/>
      <c r="Z67" s="155"/>
      <c r="AA67" s="155"/>
      <c r="AB67" s="155"/>
      <c r="AC67" s="155" t="s">
        <v>245</v>
      </c>
      <c r="AD67" s="155"/>
      <c r="AE67" s="155"/>
      <c r="AF67" s="155"/>
      <c r="AG67" s="155"/>
      <c r="AH67" s="143"/>
      <c r="AI67" s="143"/>
      <c r="AJ67" s="143"/>
      <c r="AK67" s="143"/>
      <c r="AL67" s="143"/>
      <c r="AU67" s="92">
        <v>1740</v>
      </c>
      <c r="AY67" s="31">
        <f t="shared" si="26"/>
        <v>0.14285714285714285</v>
      </c>
      <c r="AZ67" s="31">
        <f t="shared" si="9"/>
        <v>7.1428571428571425E-2</v>
      </c>
      <c r="BA67" s="31">
        <f t="shared" si="21"/>
        <v>0</v>
      </c>
      <c r="BB67" s="31">
        <f t="shared" si="22"/>
        <v>0</v>
      </c>
      <c r="BC67" s="31">
        <f t="shared" si="23"/>
        <v>0</v>
      </c>
      <c r="BD67" s="31">
        <f t="shared" si="24"/>
        <v>235.71428571428558</v>
      </c>
      <c r="BE67" s="31">
        <f t="shared" si="25"/>
        <v>113.57142857142851</v>
      </c>
    </row>
    <row r="68" spans="14:57" x14ac:dyDescent="0.15">
      <c r="N68" s="50" t="s">
        <v>161</v>
      </c>
      <c r="O68" s="50" t="s">
        <v>158</v>
      </c>
      <c r="P68" s="114" t="s">
        <v>421</v>
      </c>
      <c r="Q68" s="114" t="s">
        <v>426</v>
      </c>
      <c r="R68" s="119" t="s">
        <v>25</v>
      </c>
      <c r="S68" s="119" t="s">
        <v>1</v>
      </c>
      <c r="T68" s="119" t="s">
        <v>2</v>
      </c>
      <c r="U68" s="119" t="s">
        <v>0</v>
      </c>
      <c r="V68" s="119" t="s">
        <v>217</v>
      </c>
      <c r="W68" s="50"/>
      <c r="X68" s="106" t="s">
        <v>25</v>
      </c>
      <c r="Y68" s="106" t="s">
        <v>1</v>
      </c>
      <c r="Z68" s="106" t="s">
        <v>2</v>
      </c>
      <c r="AA68" s="106" t="s">
        <v>0</v>
      </c>
      <c r="AB68" s="106" t="s">
        <v>217</v>
      </c>
      <c r="AC68" s="106" t="s">
        <v>25</v>
      </c>
      <c r="AD68" s="106" t="s">
        <v>1</v>
      </c>
      <c r="AE68" s="106" t="s">
        <v>2</v>
      </c>
      <c r="AF68" s="106" t="s">
        <v>0</v>
      </c>
      <c r="AG68" s="106" t="s">
        <v>217</v>
      </c>
      <c r="AH68" s="50"/>
      <c r="AI68" s="56"/>
      <c r="AJ68" s="56"/>
      <c r="AK68" s="56"/>
      <c r="AL68" s="50"/>
      <c r="AU68" s="92">
        <v>1770</v>
      </c>
      <c r="AY68" s="31">
        <f t="shared" si="26"/>
        <v>0.14285714285714285</v>
      </c>
      <c r="AZ68" s="31">
        <f t="shared" si="9"/>
        <v>7.1428571428571425E-2</v>
      </c>
      <c r="BA68" s="31">
        <f t="shared" si="21"/>
        <v>0</v>
      </c>
      <c r="BB68" s="31">
        <f t="shared" si="22"/>
        <v>0</v>
      </c>
      <c r="BC68" s="31">
        <f t="shared" si="23"/>
        <v>0</v>
      </c>
      <c r="BD68" s="31">
        <f t="shared" si="24"/>
        <v>239.99999999999986</v>
      </c>
      <c r="BE68" s="31">
        <f t="shared" si="25"/>
        <v>115.71428571428565</v>
      </c>
    </row>
    <row r="69" spans="14:57" x14ac:dyDescent="0.15">
      <c r="N69" s="50">
        <v>5</v>
      </c>
      <c r="O69" s="50">
        <f>求节点(节奏总纲!$O$4:$O$163,节奏总纲!R$4:R$163,N69)</f>
        <v>0.28315639123824782</v>
      </c>
      <c r="P69" s="114">
        <f>INDEX('[1]资源-钻石'!$N$4:$N$163,$N69)*$O$11</f>
        <v>1318.6138447988378</v>
      </c>
      <c r="Q69" s="114">
        <v>0</v>
      </c>
      <c r="R69" s="114"/>
      <c r="S69" s="114">
        <f t="shared" ref="S69:S89" si="27">$P69/$E$25*E$17*$Q69*E$18</f>
        <v>0</v>
      </c>
      <c r="T69" s="114">
        <f t="shared" ref="T69:T89" si="28">$P69/$E$25*F$17*$Q69*F$18</f>
        <v>0</v>
      </c>
      <c r="U69" s="114">
        <f t="shared" ref="U69:U89" si="29">$P69/$E$25*G$17*$Q69*G$18</f>
        <v>0</v>
      </c>
      <c r="V69" s="114">
        <f>$P69/$E$25*H$17*$Q69*(H$18+$H$21)</f>
        <v>0</v>
      </c>
      <c r="W69" s="50"/>
      <c r="X69" s="106"/>
      <c r="Y69" s="115">
        <f>求节点(盗宝贼!$CC$5:$CC$164,盗宝贼!$CF$5:$CF$164,$N69)+S69</f>
        <v>0</v>
      </c>
      <c r="Z69" s="115">
        <f>求节点(盗宝贼!$CC$5:$CC$164,盗宝贼!$CK$5:$CK$164,$N69)+T69</f>
        <v>0</v>
      </c>
      <c r="AA69" s="115">
        <f>求节点(盗宝贼!$CC$5:$CC$164,盗宝贼!$CP$5:$CP$164,$N69)+U69</f>
        <v>0</v>
      </c>
      <c r="AB69" s="115">
        <f>V69</f>
        <v>0</v>
      </c>
      <c r="AC69" s="106"/>
      <c r="AD69" s="106">
        <f>求节点(宝物升星!E$61:E$66,宝物升星!$C$61:$C$66,Y69/SUM(E$8:E$9))</f>
        <v>0</v>
      </c>
      <c r="AE69" s="106">
        <f>求节点(宝物升星!F$61:F$66,宝物升星!$C$61:$C$66,Z69/SUM(F$8:F$9))</f>
        <v>0</v>
      </c>
      <c r="AF69" s="106">
        <f>求节点(宝物升星!G$61:G$66,宝物升星!$C$61:$C$66,AA69/SUM(G$8:G$9))</f>
        <v>0</v>
      </c>
      <c r="AG69" s="106">
        <f>求节点(宝物升星!H$61:H$66,宝物升星!$C$61:$C$66,AB69/SUM(H$8:H$9))</f>
        <v>0</v>
      </c>
      <c r="AH69" s="50"/>
      <c r="AI69" s="50"/>
      <c r="AJ69" s="50"/>
      <c r="AK69" s="50"/>
      <c r="AL69" s="50"/>
      <c r="AU69" s="92">
        <v>1800</v>
      </c>
      <c r="AY69" s="31">
        <f t="shared" si="26"/>
        <v>0.14285714285714285</v>
      </c>
      <c r="AZ69" s="31">
        <f t="shared" si="9"/>
        <v>7.1428571428571425E-2</v>
      </c>
      <c r="BA69" s="31">
        <f t="shared" si="21"/>
        <v>0</v>
      </c>
      <c r="BB69" s="31">
        <f t="shared" si="22"/>
        <v>0</v>
      </c>
      <c r="BC69" s="31">
        <f t="shared" si="23"/>
        <v>0</v>
      </c>
      <c r="BD69" s="31">
        <f t="shared" si="24"/>
        <v>244.28571428571414</v>
      </c>
      <c r="BE69" s="31">
        <f t="shared" si="25"/>
        <v>117.85714285714279</v>
      </c>
    </row>
    <row r="70" spans="14:57" x14ac:dyDescent="0.15">
      <c r="N70" s="50">
        <v>10</v>
      </c>
      <c r="O70" s="50">
        <f>求节点(节奏总纲!$O$4:$O$163,节奏总纲!R$4:R$163,N70)</f>
        <v>0.6895</v>
      </c>
      <c r="P70" s="114">
        <f>INDEX('[1]资源-钻石'!$N$4:$N$163,$N70)*$O$11</f>
        <v>3210.8907802254448</v>
      </c>
      <c r="Q70" s="114">
        <v>0</v>
      </c>
      <c r="R70" s="114"/>
      <c r="S70" s="114">
        <f t="shared" si="27"/>
        <v>0</v>
      </c>
      <c r="T70" s="114">
        <f t="shared" si="28"/>
        <v>0</v>
      </c>
      <c r="U70" s="114">
        <f t="shared" si="29"/>
        <v>0</v>
      </c>
      <c r="V70" s="114">
        <f t="shared" ref="V70:V89" si="30">$P70/$E$25*H$17*$Q70*(H$18+$H$21)</f>
        <v>0</v>
      </c>
      <c r="W70" s="50"/>
      <c r="X70" s="106"/>
      <c r="Y70" s="115">
        <f>求节点(盗宝贼!$CC$5:$CC$164,盗宝贼!$CF$5:$CF$164,$N70)+S70</f>
        <v>0</v>
      </c>
      <c r="Z70" s="115">
        <f>求节点(盗宝贼!$CC$5:$CC$164,盗宝贼!$CK$5:$CK$164,$N70)+T70</f>
        <v>0</v>
      </c>
      <c r="AA70" s="115">
        <f>求节点(盗宝贼!$CC$5:$CC$164,盗宝贼!$CP$5:$CP$164,$N70)+U70</f>
        <v>0</v>
      </c>
      <c r="AB70" s="115">
        <f t="shared" ref="AB70:AB89" si="31">V70</f>
        <v>0</v>
      </c>
      <c r="AC70" s="106"/>
      <c r="AD70" s="106">
        <f>求节点(宝物升星!E$61:E$66,宝物升星!$C$61:$C$66,Y70/SUM(E$8:E$9))</f>
        <v>0</v>
      </c>
      <c r="AE70" s="106">
        <f>求节点(宝物升星!F$61:F$66,宝物升星!$C$61:$C$66,Z70/SUM(F$8:F$9))</f>
        <v>0</v>
      </c>
      <c r="AF70" s="106">
        <f>求节点(宝物升星!G$61:G$66,宝物升星!$C$61:$C$66,AA70/SUM(G$8:G$9))</f>
        <v>0</v>
      </c>
      <c r="AG70" s="106">
        <f>求节点(宝物升星!H$61:H$66,宝物升星!$C$61:$C$66,AB70/SUM(H$8:H$9))</f>
        <v>0</v>
      </c>
      <c r="AH70" s="50"/>
      <c r="AI70" s="50"/>
      <c r="AJ70" s="50"/>
      <c r="AK70" s="50"/>
      <c r="AL70" s="50"/>
      <c r="AU70" s="92">
        <v>1830</v>
      </c>
      <c r="AY70" s="31">
        <f t="shared" si="26"/>
        <v>0.14285714285714285</v>
      </c>
      <c r="AZ70" s="31">
        <f t="shared" si="9"/>
        <v>7.1428571428571425E-2</v>
      </c>
      <c r="BA70" s="31">
        <f t="shared" si="21"/>
        <v>0</v>
      </c>
      <c r="BB70" s="31">
        <f t="shared" si="22"/>
        <v>0</v>
      </c>
      <c r="BC70" s="31">
        <f t="shared" si="23"/>
        <v>0</v>
      </c>
      <c r="BD70" s="31">
        <f t="shared" si="24"/>
        <v>248.57142857142841</v>
      </c>
      <c r="BE70" s="31">
        <f t="shared" si="25"/>
        <v>119.99999999999993</v>
      </c>
    </row>
    <row r="71" spans="14:57" x14ac:dyDescent="0.15">
      <c r="N71" s="50">
        <v>15</v>
      </c>
      <c r="O71" s="50">
        <f>求节点(节奏总纲!$O$4:$O$163,节奏总纲!R$4:R$163,N71)</f>
        <v>1.2928808199080308</v>
      </c>
      <c r="P71" s="114">
        <f>INDEX('[1]资源-钻石'!$N$4:$N$163,$N71)*$O$11</f>
        <v>5425.4343228834978</v>
      </c>
      <c r="Q71" s="114">
        <v>0</v>
      </c>
      <c r="R71" s="114"/>
      <c r="S71" s="114">
        <f t="shared" si="27"/>
        <v>0</v>
      </c>
      <c r="T71" s="114">
        <f t="shared" si="28"/>
        <v>0</v>
      </c>
      <c r="U71" s="114">
        <f t="shared" si="29"/>
        <v>0</v>
      </c>
      <c r="V71" s="114">
        <f t="shared" si="30"/>
        <v>0</v>
      </c>
      <c r="W71" s="50"/>
      <c r="X71" s="106"/>
      <c r="Y71" s="115">
        <f>求节点(盗宝贼!$CC$5:$CC$164,盗宝贼!$CF$5:$CF$164,$N71)+S71</f>
        <v>0</v>
      </c>
      <c r="Z71" s="115">
        <f>求节点(盗宝贼!$CC$5:$CC$164,盗宝贼!$CK$5:$CK$164,$N71)+T71</f>
        <v>0</v>
      </c>
      <c r="AA71" s="115">
        <f>求节点(盗宝贼!$CC$5:$CC$164,盗宝贼!$CP$5:$CP$164,$N71)+U71</f>
        <v>0</v>
      </c>
      <c r="AB71" s="115">
        <f t="shared" si="31"/>
        <v>0</v>
      </c>
      <c r="AC71" s="106"/>
      <c r="AD71" s="106">
        <f>求节点(宝物升星!E$61:E$66,宝物升星!$C$61:$C$66,Y71/SUM(E$8:E$9))</f>
        <v>0</v>
      </c>
      <c r="AE71" s="106">
        <f>求节点(宝物升星!F$61:F$66,宝物升星!$C$61:$C$66,Z71/SUM(F$8:F$9))</f>
        <v>0</v>
      </c>
      <c r="AF71" s="106">
        <f>求节点(宝物升星!G$61:G$66,宝物升星!$C$61:$C$66,AA71/SUM(G$8:G$9))</f>
        <v>0</v>
      </c>
      <c r="AG71" s="106">
        <f>求节点(宝物升星!H$61:H$66,宝物升星!$C$61:$C$66,AB71/SUM(H$8:H$9))</f>
        <v>0</v>
      </c>
      <c r="AH71" s="50"/>
      <c r="AI71" s="50"/>
      <c r="AJ71" s="50"/>
      <c r="AK71" s="50"/>
      <c r="AL71" s="50"/>
      <c r="AU71" s="92">
        <v>1860</v>
      </c>
      <c r="AY71" s="31">
        <f t="shared" si="26"/>
        <v>0.14285714285714285</v>
      </c>
      <c r="AZ71" s="31">
        <f t="shared" si="9"/>
        <v>7.1428571428571425E-2</v>
      </c>
      <c r="BA71" s="31">
        <f t="shared" si="21"/>
        <v>0</v>
      </c>
      <c r="BB71" s="31">
        <f t="shared" si="22"/>
        <v>0</v>
      </c>
      <c r="BC71" s="31">
        <f t="shared" si="23"/>
        <v>0</v>
      </c>
      <c r="BD71" s="31">
        <f t="shared" si="24"/>
        <v>252.85714285714269</v>
      </c>
      <c r="BE71" s="31">
        <f t="shared" si="25"/>
        <v>122.14285714285707</v>
      </c>
    </row>
    <row r="72" spans="14:57" x14ac:dyDescent="0.15">
      <c r="N72" s="50">
        <v>20</v>
      </c>
      <c r="O72" s="50">
        <f>求节点(节奏总纲!$O$4:$O$163,节奏总纲!R$4:R$163,N72)</f>
        <v>2.1372</v>
      </c>
      <c r="P72" s="114">
        <f>INDEX('[1]资源-钻石'!$N$4:$N$163,$N72)*$O$11</f>
        <v>7641.1458818151541</v>
      </c>
      <c r="Q72" s="114">
        <v>0</v>
      </c>
      <c r="R72" s="114"/>
      <c r="S72" s="114">
        <f t="shared" si="27"/>
        <v>0</v>
      </c>
      <c r="T72" s="114">
        <f t="shared" si="28"/>
        <v>0</v>
      </c>
      <c r="U72" s="114">
        <f t="shared" si="29"/>
        <v>0</v>
      </c>
      <c r="V72" s="114">
        <f t="shared" si="30"/>
        <v>0</v>
      </c>
      <c r="W72" s="50"/>
      <c r="X72" s="106"/>
      <c r="Y72" s="115">
        <f>求节点(盗宝贼!$CC$5:$CC$164,盗宝贼!$CF$5:$CF$164,$N72)+S72</f>
        <v>0</v>
      </c>
      <c r="Z72" s="115">
        <f>求节点(盗宝贼!$CC$5:$CC$164,盗宝贼!$CK$5:$CK$164,$N72)+T72</f>
        <v>0</v>
      </c>
      <c r="AA72" s="115">
        <f>求节点(盗宝贼!$CC$5:$CC$164,盗宝贼!$CP$5:$CP$164,$N72)+U72</f>
        <v>0</v>
      </c>
      <c r="AB72" s="115">
        <f t="shared" si="31"/>
        <v>0</v>
      </c>
      <c r="AC72" s="106"/>
      <c r="AD72" s="106">
        <f>求节点(宝物升星!E$61:E$66,宝物升星!$C$61:$C$66,Y72/SUM(E$8:E$9))</f>
        <v>0</v>
      </c>
      <c r="AE72" s="106">
        <f>求节点(宝物升星!F$61:F$66,宝物升星!$C$61:$C$66,Z72/SUM(F$8:F$9))</f>
        <v>0</v>
      </c>
      <c r="AF72" s="106">
        <f>求节点(宝物升星!G$61:G$66,宝物升星!$C$61:$C$66,AA72/SUM(G$8:G$9))</f>
        <v>0</v>
      </c>
      <c r="AG72" s="106">
        <f>求节点(宝物升星!H$61:H$66,宝物升星!$C$61:$C$66,AB72/SUM(H$8:H$9))</f>
        <v>0</v>
      </c>
      <c r="AH72" s="50"/>
      <c r="AI72" s="50"/>
      <c r="AJ72" s="50"/>
      <c r="AK72" s="50"/>
      <c r="AL72" s="50"/>
      <c r="AU72" s="92">
        <v>1890</v>
      </c>
      <c r="AY72" s="31">
        <f t="shared" si="26"/>
        <v>0.14285714285714285</v>
      </c>
      <c r="AZ72" s="31">
        <f t="shared" si="9"/>
        <v>7.1428571428571425E-2</v>
      </c>
      <c r="BA72" s="31">
        <f t="shared" si="21"/>
        <v>0</v>
      </c>
      <c r="BB72" s="31">
        <f t="shared" si="22"/>
        <v>0</v>
      </c>
      <c r="BC72" s="31">
        <f t="shared" si="23"/>
        <v>0</v>
      </c>
      <c r="BD72" s="31">
        <f t="shared" si="24"/>
        <v>257.142857142857</v>
      </c>
      <c r="BE72" s="31">
        <f t="shared" si="25"/>
        <v>124.28571428571421</v>
      </c>
    </row>
    <row r="73" spans="14:57" x14ac:dyDescent="0.15">
      <c r="N73" s="50">
        <v>25</v>
      </c>
      <c r="O73" s="50">
        <f>求节点(节奏总纲!$O$4:$O$163,节奏总纲!R$4:R$163,N73)</f>
        <v>3.3445527219854276</v>
      </c>
      <c r="P73" s="114">
        <f>INDEX('[1]资源-钻石'!$N$4:$N$163,$N73)*$O$11</f>
        <v>10809.551201612952</v>
      </c>
      <c r="Q73" s="114">
        <v>0</v>
      </c>
      <c r="R73" s="114"/>
      <c r="S73" s="114">
        <f t="shared" si="27"/>
        <v>0</v>
      </c>
      <c r="T73" s="114">
        <f t="shared" si="28"/>
        <v>0</v>
      </c>
      <c r="U73" s="114">
        <f t="shared" si="29"/>
        <v>0</v>
      </c>
      <c r="V73" s="114">
        <f t="shared" si="30"/>
        <v>0</v>
      </c>
      <c r="W73" s="50"/>
      <c r="X73" s="106"/>
      <c r="Y73" s="115">
        <f>求节点(盗宝贼!$CC$5:$CC$164,盗宝贼!$CF$5:$CF$164,$N73)+S73</f>
        <v>0</v>
      </c>
      <c r="Z73" s="115">
        <f>求节点(盗宝贼!$CC$5:$CC$164,盗宝贼!$CK$5:$CK$164,$N73)+T73</f>
        <v>0</v>
      </c>
      <c r="AA73" s="115">
        <f>求节点(盗宝贼!$CC$5:$CC$164,盗宝贼!$CP$5:$CP$164,$N73)+U73</f>
        <v>0</v>
      </c>
      <c r="AB73" s="115">
        <f t="shared" si="31"/>
        <v>0</v>
      </c>
      <c r="AC73" s="106"/>
      <c r="AD73" s="106">
        <f>求节点(宝物升星!E$61:E$66,宝物升星!$C$61:$C$66,Y73/SUM(E$8:E$9))</f>
        <v>0</v>
      </c>
      <c r="AE73" s="106">
        <f>求节点(宝物升星!F$61:F$66,宝物升星!$C$61:$C$66,Z73/SUM(F$8:F$9))</f>
        <v>0</v>
      </c>
      <c r="AF73" s="106">
        <f>求节点(宝物升星!G$61:G$66,宝物升星!$C$61:$C$66,AA73/SUM(G$8:G$9))</f>
        <v>0</v>
      </c>
      <c r="AG73" s="106">
        <f>求节点(宝物升星!H$61:H$66,宝物升星!$C$61:$C$66,AB73/SUM(H$8:H$9))</f>
        <v>0</v>
      </c>
      <c r="AH73" s="50"/>
      <c r="AI73" s="50"/>
      <c r="AJ73" s="50"/>
      <c r="AK73" s="50"/>
      <c r="AL73" s="50"/>
      <c r="AU73" s="92">
        <v>1920</v>
      </c>
      <c r="AY73" s="31">
        <f t="shared" si="26"/>
        <v>0.14285714285714285</v>
      </c>
      <c r="AZ73" s="31">
        <f t="shared" si="9"/>
        <v>7.1428571428571425E-2</v>
      </c>
      <c r="BA73" s="31">
        <f t="shared" si="21"/>
        <v>0</v>
      </c>
      <c r="BB73" s="31">
        <f t="shared" si="22"/>
        <v>0</v>
      </c>
      <c r="BC73" s="31">
        <f t="shared" si="23"/>
        <v>0</v>
      </c>
      <c r="BD73" s="31">
        <f t="shared" si="24"/>
        <v>261.42857142857127</v>
      </c>
      <c r="BE73" s="31">
        <f t="shared" si="25"/>
        <v>126.42857142857135</v>
      </c>
    </row>
    <row r="74" spans="14:57" x14ac:dyDescent="0.15">
      <c r="N74" s="50">
        <v>30</v>
      </c>
      <c r="O74" s="50">
        <f>求节点(节奏总纲!$O$4:$O$163,节奏总纲!R$4:R$163,N74)</f>
        <v>5.0421000000000005</v>
      </c>
      <c r="P74" s="114">
        <f>INDEX('[1]资源-钻石'!$N$4:$N$163,$N74)*$O$11</f>
        <v>15264.353620432994</v>
      </c>
      <c r="Q74" s="114">
        <v>0</v>
      </c>
      <c r="R74" s="114"/>
      <c r="S74" s="114">
        <f t="shared" si="27"/>
        <v>0</v>
      </c>
      <c r="T74" s="114">
        <f t="shared" si="28"/>
        <v>0</v>
      </c>
      <c r="U74" s="114">
        <f t="shared" si="29"/>
        <v>0</v>
      </c>
      <c r="V74" s="114">
        <f t="shared" si="30"/>
        <v>0</v>
      </c>
      <c r="W74" s="50"/>
      <c r="X74" s="106"/>
      <c r="Y74" s="115">
        <f>求节点(盗宝贼!$CC$5:$CC$164,盗宝贼!$CF$5:$CF$164,$N74)+S74</f>
        <v>0</v>
      </c>
      <c r="Z74" s="115">
        <f>求节点(盗宝贼!$CC$5:$CC$164,盗宝贼!$CK$5:$CK$164,$N74)+T74</f>
        <v>0</v>
      </c>
      <c r="AA74" s="115">
        <f>求节点(盗宝贼!$CC$5:$CC$164,盗宝贼!$CP$5:$CP$164,$N74)+U74</f>
        <v>0</v>
      </c>
      <c r="AB74" s="115">
        <f t="shared" si="31"/>
        <v>0</v>
      </c>
      <c r="AC74" s="106"/>
      <c r="AD74" s="106">
        <f>求节点(宝物升星!E$61:E$66,宝物升星!$C$61:$C$66,Y74/SUM(E$8:E$9))</f>
        <v>0</v>
      </c>
      <c r="AE74" s="106">
        <f>求节点(宝物升星!F$61:F$66,宝物升星!$C$61:$C$66,Z74/SUM(F$8:F$9))</f>
        <v>0</v>
      </c>
      <c r="AF74" s="106">
        <f>求节点(宝物升星!G$61:G$66,宝物升星!$C$61:$C$66,AA74/SUM(G$8:G$9))</f>
        <v>0</v>
      </c>
      <c r="AG74" s="106">
        <f>求节点(宝物升星!H$61:H$66,宝物升星!$C$61:$C$66,AB74/SUM(H$8:H$9))</f>
        <v>0</v>
      </c>
      <c r="AH74" s="50"/>
      <c r="AI74" s="50"/>
      <c r="AJ74" s="50"/>
      <c r="AK74" s="50"/>
      <c r="AL74" s="50"/>
      <c r="AU74" s="92">
        <v>1950</v>
      </c>
      <c r="AY74" s="31">
        <f t="shared" si="26"/>
        <v>0.14285714285714285</v>
      </c>
      <c r="AZ74" s="31">
        <f t="shared" si="9"/>
        <v>7.1428571428571425E-2</v>
      </c>
      <c r="BA74" s="31">
        <f t="shared" si="21"/>
        <v>0</v>
      </c>
      <c r="BB74" s="31">
        <f t="shared" si="22"/>
        <v>0</v>
      </c>
      <c r="BC74" s="31">
        <f t="shared" si="23"/>
        <v>0</v>
      </c>
      <c r="BD74" s="31">
        <f t="shared" si="24"/>
        <v>265.71428571428555</v>
      </c>
      <c r="BE74" s="31">
        <f t="shared" si="25"/>
        <v>128.5714285714285</v>
      </c>
    </row>
    <row r="75" spans="14:57" x14ac:dyDescent="0.15">
      <c r="N75" s="50">
        <v>35</v>
      </c>
      <c r="O75" s="50">
        <f>求节点(节奏总纲!$O$4:$O$163,节奏总纲!R$4:R$163,N75)</f>
        <v>7.4547485030661838</v>
      </c>
      <c r="P75" s="114">
        <f>INDEX('[1]资源-钻石'!$N$4:$N$163,$N75)*$O$11</f>
        <v>21329.63099098474</v>
      </c>
      <c r="Q75" s="114">
        <v>0</v>
      </c>
      <c r="R75" s="114"/>
      <c r="S75" s="114">
        <f t="shared" si="27"/>
        <v>0</v>
      </c>
      <c r="T75" s="114">
        <f t="shared" si="28"/>
        <v>0</v>
      </c>
      <c r="U75" s="114">
        <f t="shared" si="29"/>
        <v>0</v>
      </c>
      <c r="V75" s="114">
        <f t="shared" si="30"/>
        <v>0</v>
      </c>
      <c r="W75" s="50"/>
      <c r="X75" s="106"/>
      <c r="Y75" s="115">
        <f>求节点(盗宝贼!$CC$5:$CC$164,盗宝贼!$CF$5:$CF$164,$N75)+S75</f>
        <v>0.36882234113364998</v>
      </c>
      <c r="Z75" s="115">
        <f>求节点(盗宝贼!$CC$5:$CC$164,盗宝贼!$CK$5:$CK$164,$N75)+T75</f>
        <v>4.0980260125961107E-2</v>
      </c>
      <c r="AA75" s="115">
        <f>求节点(盗宝贼!$CC$5:$CC$164,盗宝贼!$CP$5:$CP$164,$N75)+U75</f>
        <v>0</v>
      </c>
      <c r="AB75" s="115">
        <f t="shared" si="31"/>
        <v>0</v>
      </c>
      <c r="AC75" s="106"/>
      <c r="AD75" s="106">
        <f>求节点(宝物升星!E$61:E$66,宝物升星!$C$61:$C$66,Y75/SUM(E$8:E$9))</f>
        <v>0</v>
      </c>
      <c r="AE75" s="106">
        <f>求节点(宝物升星!F$61:F$66,宝物升星!$C$61:$C$66,Z75/SUM(F$8:F$9))</f>
        <v>0</v>
      </c>
      <c r="AF75" s="106">
        <f>求节点(宝物升星!G$61:G$66,宝物升星!$C$61:$C$66,AA75/SUM(G$8:G$9))</f>
        <v>0</v>
      </c>
      <c r="AG75" s="106">
        <f>求节点(宝物升星!H$61:H$66,宝物升星!$C$61:$C$66,AB75/SUM(H$8:H$9))</f>
        <v>0</v>
      </c>
      <c r="AH75" s="50"/>
      <c r="AI75" s="50"/>
      <c r="AJ75" s="50"/>
      <c r="AK75" s="50"/>
      <c r="AL75" s="50"/>
      <c r="AU75" s="92">
        <v>1980</v>
      </c>
      <c r="AY75" s="31">
        <f t="shared" si="26"/>
        <v>0.14285714285714285</v>
      </c>
      <c r="AZ75" s="31">
        <f t="shared" si="9"/>
        <v>7.1428571428571425E-2</v>
      </c>
      <c r="BA75" s="31">
        <f t="shared" si="21"/>
        <v>0</v>
      </c>
      <c r="BB75" s="31">
        <f t="shared" si="22"/>
        <v>0</v>
      </c>
      <c r="BC75" s="31">
        <f t="shared" si="23"/>
        <v>0</v>
      </c>
      <c r="BD75" s="31">
        <f t="shared" si="24"/>
        <v>269.99999999999983</v>
      </c>
      <c r="BE75" s="31">
        <f t="shared" si="25"/>
        <v>130.71428571428564</v>
      </c>
    </row>
    <row r="76" spans="14:57" x14ac:dyDescent="0.15">
      <c r="N76" s="50">
        <v>40</v>
      </c>
      <c r="O76" s="50">
        <f>求节点(节奏总纲!$O$4:$O$163,节奏总纲!R$4:R$163,N76)</f>
        <v>10.782</v>
      </c>
      <c r="P76" s="114">
        <f>INDEX('[1]资源-钻石'!$N$4:$N$163,$N76)*$O$11</f>
        <v>28113.969814060907</v>
      </c>
      <c r="Q76" s="114">
        <v>0</v>
      </c>
      <c r="R76" s="114"/>
      <c r="S76" s="114">
        <f t="shared" si="27"/>
        <v>0</v>
      </c>
      <c r="T76" s="114">
        <f t="shared" si="28"/>
        <v>0</v>
      </c>
      <c r="U76" s="114">
        <f t="shared" si="29"/>
        <v>0</v>
      </c>
      <c r="V76" s="114">
        <f t="shared" si="30"/>
        <v>0</v>
      </c>
      <c r="W76" s="50"/>
      <c r="X76" s="106"/>
      <c r="Y76" s="115">
        <f>求节点(盗宝贼!$CC$5:$CC$164,盗宝贼!$CF$5:$CF$164,$N76)+S76</f>
        <v>3.3068643893633856</v>
      </c>
      <c r="Z76" s="115">
        <f>求节点(盗宝贼!$CC$5:$CC$164,盗宝贼!$CK$5:$CK$164,$N76)+T76</f>
        <v>0.36742937659593178</v>
      </c>
      <c r="AA76" s="115">
        <f>求节点(盗宝贼!$CC$5:$CC$164,盗宝贼!$CP$5:$CP$164,$N76)+U76</f>
        <v>0</v>
      </c>
      <c r="AB76" s="115">
        <f t="shared" si="31"/>
        <v>0</v>
      </c>
      <c r="AC76" s="106"/>
      <c r="AD76" s="106">
        <f>求节点(宝物升星!E$61:E$66,宝物升星!$C$61:$C$66,Y76/SUM(E$8:E$9))</f>
        <v>0</v>
      </c>
      <c r="AE76" s="106">
        <f>求节点(宝物升星!F$61:F$66,宝物升星!$C$61:$C$66,Z76/SUM(F$8:F$9))</f>
        <v>0</v>
      </c>
      <c r="AF76" s="106">
        <f>求节点(宝物升星!G$61:G$66,宝物升星!$C$61:$C$66,AA76/SUM(G$8:G$9))</f>
        <v>0</v>
      </c>
      <c r="AG76" s="106">
        <f>求节点(宝物升星!H$61:H$66,宝物升星!$C$61:$C$66,AB76/SUM(H$8:H$9))</f>
        <v>0</v>
      </c>
      <c r="AH76" s="50"/>
      <c r="AI76" s="50"/>
      <c r="AJ76" s="50"/>
      <c r="AK76" s="50"/>
      <c r="AL76" s="50"/>
      <c r="AU76" s="92">
        <v>2010</v>
      </c>
      <c r="AY76" s="31">
        <f t="shared" si="26"/>
        <v>0.14285714285714285</v>
      </c>
      <c r="AZ76" s="31">
        <f t="shared" si="9"/>
        <v>7.1428571428571425E-2</v>
      </c>
      <c r="BA76" s="31">
        <f t="shared" si="21"/>
        <v>0</v>
      </c>
      <c r="BB76" s="31">
        <f t="shared" si="22"/>
        <v>0</v>
      </c>
      <c r="BC76" s="31">
        <f t="shared" si="23"/>
        <v>0</v>
      </c>
      <c r="BD76" s="31">
        <f t="shared" si="24"/>
        <v>274.28571428571411</v>
      </c>
      <c r="BE76" s="31">
        <f t="shared" si="25"/>
        <v>132.85714285714278</v>
      </c>
    </row>
    <row r="77" spans="14:57" x14ac:dyDescent="0.15">
      <c r="N77" s="50">
        <v>45</v>
      </c>
      <c r="O77" s="50">
        <f>求节点(节奏总纲!$O$4:$O$163,节奏总纲!R$4:R$163,N77)</f>
        <v>15.604181364035009</v>
      </c>
      <c r="P77" s="114">
        <f>INDEX('[1]资源-钻石'!$N$4:$N$163,$N77)*$O$11</f>
        <v>37739.63257304085</v>
      </c>
      <c r="Q77" s="133">
        <v>0.1</v>
      </c>
      <c r="R77" s="114"/>
      <c r="S77" s="114">
        <f t="shared" si="27"/>
        <v>4.7489037654409731</v>
      </c>
      <c r="T77" s="114">
        <f t="shared" si="28"/>
        <v>2.5159755048693899</v>
      </c>
      <c r="U77" s="114">
        <f t="shared" si="29"/>
        <v>0.75479265146081698</v>
      </c>
      <c r="V77" s="114">
        <f t="shared" si="30"/>
        <v>7.9253228403385778E-2</v>
      </c>
      <c r="W77" s="50"/>
      <c r="X77" s="106"/>
      <c r="Y77" s="115">
        <f>求节点(盗宝贼!$CC$5:$CC$164,盗宝贼!$CF$5:$CF$164,$N77)+S77</f>
        <v>14.065350784067359</v>
      </c>
      <c r="Z77" s="115">
        <f>求节点(盗宝贼!$CC$5:$CC$164,盗宝贼!$CK$5:$CK$164,$N77)+T77</f>
        <v>3.5511362847167662</v>
      </c>
      <c r="AA77" s="115">
        <f>求节点(盗宝贼!$CC$5:$CC$164,盗宝贼!$CP$5:$CP$164,$N77)+U77</f>
        <v>0.75479265146081698</v>
      </c>
      <c r="AB77" s="115">
        <f t="shared" si="31"/>
        <v>7.9253228403385778E-2</v>
      </c>
      <c r="AC77" s="106"/>
      <c r="AD77" s="106">
        <f>求节点(宝物升星!E$61:E$66,宝物升星!$C$61:$C$66,Y77/SUM(E$8:E$9))</f>
        <v>1.7581688480084199</v>
      </c>
      <c r="AE77" s="106">
        <f>求节点(宝物升星!F$61:F$66,宝物升星!$C$61:$C$66,Z77/SUM(F$8:F$9))</f>
        <v>0</v>
      </c>
      <c r="AF77" s="106">
        <f>求节点(宝物升星!G$61:G$66,宝物升星!$C$61:$C$66,AA77/SUM(G$8:G$9))</f>
        <v>0</v>
      </c>
      <c r="AG77" s="106">
        <f>求节点(宝物升星!H$61:H$66,宝物升星!$C$61:$C$66,AB77/SUM(H$8:H$9))</f>
        <v>0</v>
      </c>
      <c r="AH77" s="50"/>
      <c r="AI77" s="50"/>
      <c r="AJ77" s="50"/>
      <c r="AK77" s="50"/>
      <c r="AL77" s="50"/>
      <c r="AU77" s="92">
        <v>2040</v>
      </c>
      <c r="AY77" s="31">
        <f t="shared" si="26"/>
        <v>0.14285714285714285</v>
      </c>
      <c r="AZ77" s="31">
        <f t="shared" si="9"/>
        <v>7.1428571428571425E-2</v>
      </c>
      <c r="BA77" s="31">
        <f t="shared" si="21"/>
        <v>0</v>
      </c>
      <c r="BB77" s="31">
        <f t="shared" si="22"/>
        <v>0</v>
      </c>
      <c r="BC77" s="31">
        <f t="shared" si="23"/>
        <v>0</v>
      </c>
      <c r="BD77" s="31">
        <f t="shared" si="24"/>
        <v>278.57142857142838</v>
      </c>
      <c r="BE77" s="31">
        <f t="shared" si="25"/>
        <v>134.99999999999991</v>
      </c>
    </row>
    <row r="78" spans="14:57" x14ac:dyDescent="0.15">
      <c r="N78" s="50">
        <v>50</v>
      </c>
      <c r="O78" s="50">
        <f>求节点(节奏总纲!$O$4:$O$163,节奏总纲!R$4:R$163,N78)</f>
        <v>22.205300000000001</v>
      </c>
      <c r="P78" s="114">
        <f>INDEX('[1]资源-钻石'!$N$4:$N$163,$N78)*$O$11</f>
        <v>50348.196013113447</v>
      </c>
      <c r="Q78" s="133">
        <v>0.2</v>
      </c>
      <c r="R78" s="114"/>
      <c r="S78" s="114">
        <f t="shared" si="27"/>
        <v>12.670962663300218</v>
      </c>
      <c r="T78" s="114">
        <f t="shared" si="28"/>
        <v>6.7130928017484592</v>
      </c>
      <c r="U78" s="114">
        <f t="shared" si="29"/>
        <v>2.0139278405245382</v>
      </c>
      <c r="V78" s="114">
        <f t="shared" si="30"/>
        <v>0.2114624232550765</v>
      </c>
      <c r="W78" s="50"/>
      <c r="X78" s="106"/>
      <c r="Y78" s="115">
        <f>求节点(盗宝贼!$CC$5:$CC$164,盗宝贼!$CF$5:$CF$164,$N78)+S78</f>
        <v>32.619169272841205</v>
      </c>
      <c r="Z78" s="115">
        <f>求节点(盗宝贼!$CC$5:$CC$164,盗宝贼!$CK$5:$CK$164,$N78)+T78</f>
        <v>8.9295602028085703</v>
      </c>
      <c r="AA78" s="115">
        <f>求节点(盗宝贼!$CC$5:$CC$164,盗宝贼!$CP$5:$CP$164,$N78)+U78</f>
        <v>2.0139278405245382</v>
      </c>
      <c r="AB78" s="115">
        <f t="shared" si="31"/>
        <v>0.2114624232550765</v>
      </c>
      <c r="AC78" s="106"/>
      <c r="AD78" s="106">
        <f>求节点(宝物升星!E$61:E$66,宝物升星!$C$61:$C$66,Y78/SUM(E$8:E$9))</f>
        <v>3.0193490397762877</v>
      </c>
      <c r="AE78" s="106">
        <f>求节点(宝物升星!F$61:F$66,宝物升星!$C$61:$C$66,Z78/SUM(F$8:F$9))</f>
        <v>0.78591204056171415</v>
      </c>
      <c r="AF78" s="106">
        <f>求节点(宝物升星!G$61:G$66,宝物升星!$C$61:$C$66,AA78/SUM(G$8:G$9))</f>
        <v>0</v>
      </c>
      <c r="AG78" s="106">
        <f>求节点(宝物升星!H$61:H$66,宝物升星!$C$61:$C$66,AB78/SUM(H$8:H$9))</f>
        <v>0</v>
      </c>
      <c r="AH78" s="50"/>
      <c r="AI78" s="50"/>
      <c r="AJ78" s="50"/>
      <c r="AK78" s="50"/>
      <c r="AL78" s="50"/>
      <c r="AU78" s="92">
        <v>2070</v>
      </c>
      <c r="AY78" s="31">
        <f t="shared" si="26"/>
        <v>0.14285714285714285</v>
      </c>
      <c r="AZ78" s="31">
        <f t="shared" si="9"/>
        <v>7.1428571428571425E-2</v>
      </c>
      <c r="BA78" s="31">
        <f t="shared" si="21"/>
        <v>0</v>
      </c>
      <c r="BB78" s="31">
        <f t="shared" si="22"/>
        <v>0</v>
      </c>
      <c r="BC78" s="31">
        <f t="shared" si="23"/>
        <v>0</v>
      </c>
      <c r="BD78" s="31">
        <f t="shared" si="24"/>
        <v>282.85714285714266</v>
      </c>
      <c r="BE78" s="31">
        <f t="shared" si="25"/>
        <v>137.14285714285705</v>
      </c>
    </row>
    <row r="79" spans="14:57" x14ac:dyDescent="0.15">
      <c r="N79" s="50">
        <v>60</v>
      </c>
      <c r="O79" s="50">
        <f>求节点(节奏总纲!$O$4:$O$163,节奏总纲!R$4:R$163,N79)</f>
        <v>44.717399999999998</v>
      </c>
      <c r="P79" s="114">
        <f>INDEX('[1]资源-钻石'!$N$4:$N$163,$N79)*$O$11</f>
        <v>94792.772961903785</v>
      </c>
      <c r="Q79" s="133">
        <v>0.5</v>
      </c>
      <c r="R79" s="114"/>
      <c r="S79" s="114">
        <f t="shared" si="27"/>
        <v>59.640452988531131</v>
      </c>
      <c r="T79" s="114">
        <f t="shared" si="28"/>
        <v>31.597590987301263</v>
      </c>
      <c r="U79" s="114">
        <f t="shared" si="29"/>
        <v>9.4792772961903786</v>
      </c>
      <c r="V79" s="114">
        <f t="shared" si="30"/>
        <v>0.99532411609998972</v>
      </c>
      <c r="W79" s="50"/>
      <c r="X79" s="106"/>
      <c r="Y79" s="115">
        <f>求节点(盗宝贼!$CC$5:$CC$164,盗宝贼!$CF$5:$CF$164,$N79)+S79</f>
        <v>111.6015147130864</v>
      </c>
      <c r="Z79" s="115">
        <f>求节点(盗宝贼!$CC$5:$CC$164,盗宝贼!$CK$5:$CK$164,$N79)+T79</f>
        <v>38.6904198044152</v>
      </c>
      <c r="AA79" s="115">
        <f>求节点(盗宝贼!$CC$5:$CC$164,盗宝贼!$CP$5:$CP$164,$N79)+U79</f>
        <v>9.4792772961903786</v>
      </c>
      <c r="AB79" s="115">
        <f t="shared" si="31"/>
        <v>0.99532411609998972</v>
      </c>
      <c r="AC79" s="106"/>
      <c r="AD79" s="106">
        <f>求节点(宝物升星!E$61:E$66,宝物升星!$C$61:$C$66,Y79/SUM(E$8:E$9))</f>
        <v>4.7437736673919755</v>
      </c>
      <c r="AE79" s="106">
        <f>求节点(宝物升星!F$61:F$66,宝物升星!$C$61:$C$66,Z79/SUM(F$8:F$9))</f>
        <v>2.9345209902207601</v>
      </c>
      <c r="AF79" s="106">
        <f>求节点(宝物升星!G$61:G$66,宝物升星!$C$61:$C$66,AA79/SUM(G$8:G$9))</f>
        <v>0</v>
      </c>
      <c r="AG79" s="106">
        <f>求节点(宝物升星!H$61:H$66,宝物升星!$C$61:$C$66,AB79/SUM(H$8:H$9))</f>
        <v>0</v>
      </c>
      <c r="AH79" s="50"/>
      <c r="AI79" s="50"/>
      <c r="AJ79" s="50"/>
      <c r="AK79" s="50"/>
      <c r="AL79" s="50"/>
      <c r="AU79" s="92">
        <v>2100</v>
      </c>
      <c r="AY79" s="31">
        <f t="shared" si="26"/>
        <v>0.14285714285714285</v>
      </c>
      <c r="AZ79" s="31">
        <f t="shared" si="9"/>
        <v>7.1428571428571425E-2</v>
      </c>
      <c r="BA79" s="31">
        <f t="shared" si="21"/>
        <v>0</v>
      </c>
      <c r="BB79" s="31">
        <f t="shared" si="22"/>
        <v>0</v>
      </c>
      <c r="BC79" s="31">
        <f t="shared" si="23"/>
        <v>0</v>
      </c>
      <c r="BD79" s="31">
        <f t="shared" si="24"/>
        <v>287.14285714285694</v>
      </c>
      <c r="BE79" s="31">
        <f t="shared" si="25"/>
        <v>139.28571428571419</v>
      </c>
    </row>
    <row r="80" spans="14:57" x14ac:dyDescent="0.15">
      <c r="N80" s="50">
        <v>70</v>
      </c>
      <c r="O80" s="50">
        <f>求节点(节奏总纲!$O$4:$O$163,节奏总纲!R$4:R$163,N80)</f>
        <v>90.106499999999997</v>
      </c>
      <c r="P80" s="114">
        <f>INDEX('[1]资源-钻石'!$N$4:$N$163,$N80)*$O$11</f>
        <v>185915.08440267554</v>
      </c>
      <c r="Q80" s="133">
        <v>1</v>
      </c>
      <c r="R80" s="114"/>
      <c r="S80" s="114">
        <f t="shared" si="27"/>
        <v>233.94314787336668</v>
      </c>
      <c r="T80" s="114">
        <f t="shared" si="28"/>
        <v>123.94338960178368</v>
      </c>
      <c r="U80" s="114">
        <f t="shared" si="29"/>
        <v>37.183016880535106</v>
      </c>
      <c r="V80" s="114">
        <f t="shared" si="30"/>
        <v>3.9042167724561865</v>
      </c>
      <c r="W80" s="50"/>
      <c r="X80" s="106"/>
      <c r="Y80" s="115">
        <f>求节点(盗宝贼!$CC$5:$CC$164,盗宝贼!$CF$5:$CF$164,$N80)+S80</f>
        <v>321.47174797236926</v>
      </c>
      <c r="Z80" s="115">
        <f>求节点(盗宝贼!$CC$5:$CC$164,盗宝贼!$CK$5:$CK$164,$N80)+T80</f>
        <v>146.05339007514883</v>
      </c>
      <c r="AA80" s="115">
        <f>求节点(盗宝贼!$CC$5:$CC$164,盗宝贼!$CP$5:$CP$164,$N80)+U80</f>
        <v>37.183016880535106</v>
      </c>
      <c r="AB80" s="115">
        <f t="shared" si="31"/>
        <v>3.9042167724561865</v>
      </c>
      <c r="AC80" s="106"/>
      <c r="AD80" s="106">
        <f>求节点(宝物升星!E$61:E$66,宝物升星!$C$61:$C$66,Y80/SUM(E$8:E$9))</f>
        <v>5</v>
      </c>
      <c r="AE80" s="106">
        <f>求节点(宝物升星!F$61:F$66,宝物升星!$C$61:$C$66,Z80/SUM(F$8:F$9))</f>
        <v>4.8256673759393607</v>
      </c>
      <c r="AF80" s="106">
        <f>求节点(宝物升星!G$61:G$66,宝物升星!$C$61:$C$66,AA80/SUM(G$8:G$9))</f>
        <v>0.48732067522140432</v>
      </c>
      <c r="AG80" s="106">
        <f>求节点(宝物升星!H$61:H$66,宝物升星!$C$61:$C$66,AB80/SUM(H$8:H$9))</f>
        <v>2.9042167724561865</v>
      </c>
      <c r="AH80" s="50"/>
      <c r="AI80" s="50"/>
      <c r="AJ80" s="50"/>
      <c r="AK80" s="50"/>
      <c r="AL80" s="50"/>
      <c r="AU80" s="92">
        <v>2130</v>
      </c>
      <c r="AY80" s="31">
        <f t="shared" si="26"/>
        <v>0.14285714285714285</v>
      </c>
      <c r="AZ80" s="31">
        <f t="shared" ref="AZ80:AZ143" si="32">1/14</f>
        <v>7.1428571428571425E-2</v>
      </c>
      <c r="BA80" s="31">
        <f t="shared" si="21"/>
        <v>0</v>
      </c>
      <c r="BB80" s="31">
        <f t="shared" si="22"/>
        <v>0</v>
      </c>
      <c r="BC80" s="31">
        <f t="shared" si="23"/>
        <v>0</v>
      </c>
      <c r="BD80" s="31">
        <f t="shared" si="24"/>
        <v>291.42857142857122</v>
      </c>
      <c r="BE80" s="31">
        <f t="shared" si="25"/>
        <v>141.42857142857133</v>
      </c>
    </row>
    <row r="81" spans="14:57" x14ac:dyDescent="0.15">
      <c r="N81" s="50">
        <v>80</v>
      </c>
      <c r="O81" s="50">
        <f>求节点(节奏总纲!$O$4:$O$163,节奏总纲!R$4:R$163,N81)</f>
        <v>180.33600000000001</v>
      </c>
      <c r="P81" s="114">
        <f>INDEX('[1]资源-钻石'!$N$4:$N$163,$N81)*$O$11</f>
        <v>341519.55857891316</v>
      </c>
      <c r="Q81" s="133">
        <v>1</v>
      </c>
      <c r="R81" s="114"/>
      <c r="S81" s="114">
        <f t="shared" si="27"/>
        <v>429.74544454513239</v>
      </c>
      <c r="T81" s="114">
        <f t="shared" si="28"/>
        <v>227.67970571927543</v>
      </c>
      <c r="U81" s="114">
        <f t="shared" si="29"/>
        <v>68.303911715782633</v>
      </c>
      <c r="V81" s="114">
        <f t="shared" si="30"/>
        <v>7.1719107301571761</v>
      </c>
      <c r="W81" s="50"/>
      <c r="X81" s="106"/>
      <c r="Y81" s="115">
        <f>求节点(盗宝贼!$CC$5:$CC$164,盗宝贼!$CF$5:$CF$164,$N81)+S81</f>
        <v>639.58925310071754</v>
      </c>
      <c r="Z81" s="115">
        <f>求节点(盗宝贼!$CC$5:$CC$164,盗宝贼!$CK$5:$CK$164,$N81)+T81</f>
        <v>302.21050981689029</v>
      </c>
      <c r="AA81" s="115">
        <f>求节点(盗宝贼!$CC$5:$CC$164,盗宝贼!$CP$5:$CP$164,$N81)+U81</f>
        <v>68.303911715782633</v>
      </c>
      <c r="AB81" s="115">
        <f t="shared" si="31"/>
        <v>7.1719107301571761</v>
      </c>
      <c r="AC81" s="106"/>
      <c r="AD81" s="106">
        <f>求节点(宝物升星!E$61:E$66,宝物升星!$C$61:$C$66,Y81/SUM(E$8:E$9))</f>
        <v>5</v>
      </c>
      <c r="AE81" s="106">
        <f>求节点(宝物升星!F$61:F$66,宝物升星!$C$61:$C$66,Z81/SUM(F$8:F$9))</f>
        <v>5</v>
      </c>
      <c r="AF81" s="106">
        <f>求节点(宝物升星!G$61:G$66,宝物升星!$C$61:$C$66,AA81/SUM(G$8:G$9))</f>
        <v>1.7321564686313051</v>
      </c>
      <c r="AG81" s="106">
        <f>求节点(宝物升星!H$61:H$66,宝物升星!$C$61:$C$66,AB81/SUM(H$8:H$9))</f>
        <v>4.292977682539294</v>
      </c>
      <c r="AH81" s="50"/>
      <c r="AI81" s="50"/>
      <c r="AJ81" s="50"/>
      <c r="AK81" s="50"/>
      <c r="AL81" s="50"/>
      <c r="AU81" s="92">
        <v>2160</v>
      </c>
      <c r="AY81" s="31">
        <f t="shared" si="26"/>
        <v>0.14285714285714285</v>
      </c>
      <c r="AZ81" s="31">
        <f t="shared" si="32"/>
        <v>7.1428571428571425E-2</v>
      </c>
      <c r="BA81" s="31">
        <f t="shared" si="21"/>
        <v>0</v>
      </c>
      <c r="BB81" s="31">
        <f t="shared" si="22"/>
        <v>0</v>
      </c>
      <c r="BC81" s="31">
        <f t="shared" si="23"/>
        <v>0</v>
      </c>
      <c r="BD81" s="31">
        <f t="shared" si="24"/>
        <v>295.7142857142855</v>
      </c>
      <c r="BE81" s="31">
        <f t="shared" si="25"/>
        <v>143.57142857142847</v>
      </c>
    </row>
    <row r="82" spans="14:57" x14ac:dyDescent="0.15">
      <c r="N82" s="50">
        <v>90</v>
      </c>
      <c r="O82" s="50">
        <f>求节点(节奏总纲!$O$4:$O$163,节奏总纲!R$4:R$163,N82)</f>
        <v>353.76530000000002</v>
      </c>
      <c r="P82" s="114">
        <f>INDEX('[1]资源-钻石'!$N$4:$N$163,$N82)*$O$11</f>
        <v>668493.13710303325</v>
      </c>
      <c r="Q82" s="133">
        <v>1</v>
      </c>
      <c r="R82" s="114"/>
      <c r="S82" s="114">
        <f t="shared" si="27"/>
        <v>841.18719752131676</v>
      </c>
      <c r="T82" s="114">
        <f t="shared" si="28"/>
        <v>445.66209140202216</v>
      </c>
      <c r="U82" s="114">
        <f t="shared" si="29"/>
        <v>133.69862742060664</v>
      </c>
      <c r="V82" s="114">
        <f t="shared" si="30"/>
        <v>14.038355879163698</v>
      </c>
      <c r="W82" s="50"/>
      <c r="X82" s="106"/>
      <c r="Y82" s="115">
        <f>求节点(盗宝贼!$CC$5:$CC$164,盗宝贼!$CF$5:$CF$164,$N82)+S82</f>
        <v>1316.1697199169021</v>
      </c>
      <c r="Z82" s="115">
        <f>求节点(盗宝贼!$CC$5:$CC$164,盗宝贼!$CK$5:$CK$164,$N82)+T82</f>
        <v>633.82377285963707</v>
      </c>
      <c r="AA82" s="115">
        <f>求节点(盗宝贼!$CC$5:$CC$164,盗宝贼!$CP$5:$CP$164,$N82)+U82</f>
        <v>133.69862742060664</v>
      </c>
      <c r="AB82" s="115">
        <f t="shared" si="31"/>
        <v>14.038355879163698</v>
      </c>
      <c r="AC82" s="106"/>
      <c r="AD82" s="106">
        <f>求节点(宝物升星!E$61:E$66,宝物升星!$C$61:$C$66,Y82/SUM(E$8:E$9))</f>
        <v>5</v>
      </c>
      <c r="AE82" s="106">
        <f>求节点(宝物升星!F$61:F$66,宝物升星!$C$61:$C$66,Z82/SUM(F$8:F$9))</f>
        <v>5</v>
      </c>
      <c r="AF82" s="106">
        <f>求节点(宝物升星!G$61:G$66,宝物升星!$C$61:$C$66,AA82/SUM(G$8:G$9))</f>
        <v>3.0869862742060663</v>
      </c>
      <c r="AG82" s="106">
        <f>求节点(宝物升星!H$61:H$66,宝物升星!$C$61:$C$66,AB82/SUM(H$8:H$9))</f>
        <v>5</v>
      </c>
      <c r="AH82" s="50"/>
      <c r="AI82" s="50"/>
      <c r="AJ82" s="50"/>
      <c r="AK82" s="50"/>
      <c r="AL82" s="50"/>
      <c r="AU82" s="92">
        <v>2190</v>
      </c>
      <c r="AY82" s="31">
        <f t="shared" si="26"/>
        <v>0.14285714285714285</v>
      </c>
      <c r="AZ82" s="31">
        <f t="shared" si="32"/>
        <v>7.1428571428571425E-2</v>
      </c>
      <c r="BA82" s="31">
        <f t="shared" si="21"/>
        <v>0</v>
      </c>
      <c r="BB82" s="31">
        <f t="shared" si="22"/>
        <v>0</v>
      </c>
      <c r="BC82" s="31">
        <f t="shared" si="23"/>
        <v>0</v>
      </c>
      <c r="BD82" s="31">
        <f t="shared" si="24"/>
        <v>299.99999999999977</v>
      </c>
      <c r="BE82" s="31">
        <f t="shared" si="25"/>
        <v>145.71428571428561</v>
      </c>
    </row>
    <row r="83" spans="14:57" x14ac:dyDescent="0.15">
      <c r="N83" s="50">
        <v>100</v>
      </c>
      <c r="O83" s="50">
        <f>求节点(节奏总纲!$O$4:$O$163,节奏总纲!R$4:R$163,N83)</f>
        <v>706.6884</v>
      </c>
      <c r="P83" s="114">
        <f>INDEX('[1]资源-钻石'!$N$4:$N$163,$N83)*$O$11</f>
        <v>1067482.7434212877</v>
      </c>
      <c r="Q83" s="133">
        <v>1</v>
      </c>
      <c r="R83" s="114"/>
      <c r="S83" s="114">
        <f t="shared" si="27"/>
        <v>1343.2491188051204</v>
      </c>
      <c r="T83" s="114">
        <f t="shared" si="28"/>
        <v>711.65516228085846</v>
      </c>
      <c r="U83" s="114">
        <f t="shared" si="29"/>
        <v>213.49654868425753</v>
      </c>
      <c r="V83" s="114">
        <f t="shared" si="30"/>
        <v>22.417137611847043</v>
      </c>
      <c r="W83" s="50"/>
      <c r="X83" s="106"/>
      <c r="Y83" s="115">
        <f>求节点(盗宝贼!$CC$5:$CC$164,盗宝贼!$CF$5:$CF$164,$N83)+S83</f>
        <v>2357.7804764807061</v>
      </c>
      <c r="Z83" s="115">
        <f>求节点(盗宝贼!$CC$5:$CC$164,盗宝贼!$CK$5:$CK$164,$N83)+T83</f>
        <v>1131.0520588584734</v>
      </c>
      <c r="AA83" s="115">
        <f>求节点(盗宝贼!$CC$5:$CC$164,盗宝贼!$CP$5:$CP$164,$N83)+U83</f>
        <v>213.49654868425753</v>
      </c>
      <c r="AB83" s="115">
        <f t="shared" si="31"/>
        <v>22.417137611847043</v>
      </c>
      <c r="AC83" s="106"/>
      <c r="AD83" s="106">
        <f>求节点(宝物升星!E$61:E$66,宝物升星!$C$61:$C$66,Y83/SUM(E$8:E$9))</f>
        <v>5</v>
      </c>
      <c r="AE83" s="106">
        <f>求节点(宝物升星!F$61:F$66,宝物升星!$C$61:$C$66,Z83/SUM(F$8:F$9))</f>
        <v>5</v>
      </c>
      <c r="AF83" s="106">
        <f>求节点(宝物升星!G$61:G$66,宝物升星!$C$61:$C$66,AA83/SUM(G$8:G$9))</f>
        <v>3.8849654868425754</v>
      </c>
      <c r="AG83" s="106">
        <f>求节点(宝物升星!H$61:H$66,宝物升星!$C$61:$C$66,AB83/SUM(H$8:H$9))</f>
        <v>5</v>
      </c>
      <c r="AH83" s="50"/>
      <c r="AI83" s="50"/>
      <c r="AJ83" s="50"/>
      <c r="AK83" s="50"/>
      <c r="AL83" s="50"/>
      <c r="AU83" s="92">
        <v>2220</v>
      </c>
      <c r="AY83" s="31">
        <f t="shared" si="26"/>
        <v>0.14285714285714285</v>
      </c>
      <c r="AZ83" s="31">
        <f t="shared" si="32"/>
        <v>7.1428571428571425E-2</v>
      </c>
      <c r="BA83" s="31">
        <f t="shared" si="21"/>
        <v>0</v>
      </c>
      <c r="BB83" s="31">
        <f t="shared" si="22"/>
        <v>0</v>
      </c>
      <c r="BC83" s="31">
        <f t="shared" si="23"/>
        <v>0</v>
      </c>
      <c r="BD83" s="31">
        <f t="shared" si="24"/>
        <v>304.28571428571405</v>
      </c>
      <c r="BE83" s="31">
        <f t="shared" si="25"/>
        <v>147.85714285714275</v>
      </c>
    </row>
    <row r="84" spans="14:57" x14ac:dyDescent="0.15">
      <c r="N84" s="50">
        <v>110</v>
      </c>
      <c r="O84" s="50">
        <f>求节点(节奏总纲!$O$4:$O$163,节奏总纲!R$4:R$163,N84)</f>
        <v>1395.6445999999999</v>
      </c>
      <c r="P84" s="114">
        <f>INDEX('[1]资源-钻石'!$N$4:$N$163,$N84)*$O$11</f>
        <v>1466472.3497395413</v>
      </c>
      <c r="Q84" s="133">
        <v>1</v>
      </c>
      <c r="R84" s="114"/>
      <c r="S84" s="114">
        <f t="shared" si="27"/>
        <v>1845.3110400889227</v>
      </c>
      <c r="T84" s="114">
        <f t="shared" si="28"/>
        <v>977.6482331596942</v>
      </c>
      <c r="U84" s="114">
        <f t="shared" si="29"/>
        <v>293.29446994790828</v>
      </c>
      <c r="V84" s="114">
        <f t="shared" si="30"/>
        <v>30.795919344530368</v>
      </c>
      <c r="W84" s="50"/>
      <c r="X84" s="106"/>
      <c r="Y84" s="115">
        <f>求节点(盗宝贼!$CC$5:$CC$164,盗宝贼!$CF$5:$CF$164,$N84)+S84</f>
        <v>3913.1186363245083</v>
      </c>
      <c r="Z84" s="115">
        <f>求节点(盗宝贼!$CC$5:$CC$164,盗宝贼!$CK$5:$CK$164,$N84)+T84</f>
        <v>1848.449231977309</v>
      </c>
      <c r="AA84" s="115">
        <f>求节点(盗宝贼!$CC$5:$CC$164,盗宝贼!$CP$5:$CP$164,$N84)+U84</f>
        <v>293.29446994790828</v>
      </c>
      <c r="AB84" s="115">
        <f t="shared" si="31"/>
        <v>30.795919344530368</v>
      </c>
      <c r="AC84" s="106"/>
      <c r="AD84" s="106">
        <f>求节点(宝物升星!E$61:E$66,宝物升星!$C$61:$C$66,Y84/SUM(E$8:E$9))</f>
        <v>5</v>
      </c>
      <c r="AE84" s="106">
        <f>求节点(宝物升星!F$61:F$66,宝物升星!$C$61:$C$66,Z84/SUM(F$8:F$9))</f>
        <v>5</v>
      </c>
      <c r="AF84" s="106">
        <f>求节点(宝物升星!G$61:G$66,宝物升星!$C$61:$C$66,AA84/SUM(G$8:G$9))</f>
        <v>4.3414723497395418</v>
      </c>
      <c r="AG84" s="106">
        <f>求节点(宝物升星!H$61:H$66,宝物升星!$C$61:$C$66,AB84/SUM(H$8:H$9))</f>
        <v>5</v>
      </c>
      <c r="AH84" s="50"/>
      <c r="AI84" s="50"/>
      <c r="AJ84" s="50"/>
      <c r="AK84" s="50"/>
      <c r="AL84" s="50"/>
      <c r="AU84" s="92">
        <v>2250</v>
      </c>
      <c r="AY84" s="31">
        <f t="shared" si="26"/>
        <v>0.14285714285714285</v>
      </c>
      <c r="AZ84" s="31">
        <f t="shared" si="32"/>
        <v>7.1428571428571425E-2</v>
      </c>
      <c r="BA84" s="31">
        <f t="shared" si="21"/>
        <v>0</v>
      </c>
      <c r="BB84" s="31">
        <f t="shared" si="22"/>
        <v>0</v>
      </c>
      <c r="BC84" s="31">
        <f t="shared" si="23"/>
        <v>0</v>
      </c>
      <c r="BD84" s="31">
        <f t="shared" si="24"/>
        <v>308.57142857142833</v>
      </c>
      <c r="BE84" s="31">
        <f t="shared" si="25"/>
        <v>149.99999999999989</v>
      </c>
    </row>
    <row r="85" spans="14:57" x14ac:dyDescent="0.15">
      <c r="N85" s="50">
        <v>120</v>
      </c>
      <c r="O85" s="50">
        <f>求节点(节奏总纲!$O$4:$O$163,节奏总纲!R$4:R$163,N85)</f>
        <v>2791.971</v>
      </c>
      <c r="P85" s="114">
        <f>INDEX('[1]资源-钻石'!$N$4:$N$163,$N85)*$O$11</f>
        <v>1865461.9560577944</v>
      </c>
      <c r="Q85" s="133">
        <v>1</v>
      </c>
      <c r="R85" s="114"/>
      <c r="S85" s="114">
        <f t="shared" si="27"/>
        <v>2347.3729613727241</v>
      </c>
      <c r="T85" s="114">
        <f t="shared" si="28"/>
        <v>1243.6413040385296</v>
      </c>
      <c r="U85" s="114">
        <f t="shared" si="29"/>
        <v>373.09239121155889</v>
      </c>
      <c r="V85" s="114">
        <f t="shared" si="30"/>
        <v>39.174701077213683</v>
      </c>
      <c r="W85" s="50"/>
      <c r="X85" s="106"/>
      <c r="Y85" s="115">
        <f>求节点(盗宝贼!$CC$5:$CC$164,盗宝贼!$CF$5:$CF$164,$N85)+S85</f>
        <v>6549.8843579283093</v>
      </c>
      <c r="Z85" s="115">
        <f>求节点(盗宝贼!$CC$5:$CC$164,盗宝贼!$CK$5:$CK$164,$N85)+T85</f>
        <v>3029.3153601361446</v>
      </c>
      <c r="AA85" s="115">
        <f>求节点(盗宝贼!$CC$5:$CC$164,盗宝贼!$CP$5:$CP$164,$N85)+U85</f>
        <v>373.09239121155889</v>
      </c>
      <c r="AB85" s="115">
        <f t="shared" si="31"/>
        <v>39.174701077213683</v>
      </c>
      <c r="AC85" s="106"/>
      <c r="AD85" s="106">
        <f>求节点(宝物升星!E$61:E$66,宝物升星!$C$61:$C$66,Y85/SUM(E$8:E$9))</f>
        <v>5</v>
      </c>
      <c r="AE85" s="106">
        <f>求节点(宝物升星!F$61:F$66,宝物升星!$C$61:$C$66,Z85/SUM(F$8:F$9))</f>
        <v>5</v>
      </c>
      <c r="AF85" s="106">
        <f>求节点(宝物升星!G$61:G$66,宝物升星!$C$61:$C$66,AA85/SUM(G$8:G$9))</f>
        <v>4.7404619560577945</v>
      </c>
      <c r="AG85" s="106">
        <f>求节点(宝物升星!H$61:H$66,宝物升星!$C$61:$C$66,AB85/SUM(H$8:H$9))</f>
        <v>5</v>
      </c>
      <c r="AH85" s="50"/>
      <c r="AI85" s="50"/>
      <c r="AJ85" s="50"/>
      <c r="AK85" s="50"/>
      <c r="AL85" s="50"/>
      <c r="AU85" s="92">
        <v>2280</v>
      </c>
      <c r="AY85" s="31">
        <f t="shared" si="26"/>
        <v>0.14285714285714285</v>
      </c>
      <c r="AZ85" s="31">
        <f t="shared" si="32"/>
        <v>7.1428571428571425E-2</v>
      </c>
      <c r="BA85" s="31">
        <f t="shared" si="21"/>
        <v>0</v>
      </c>
      <c r="BB85" s="31">
        <f t="shared" si="22"/>
        <v>0</v>
      </c>
      <c r="BC85" s="31">
        <f t="shared" si="23"/>
        <v>0</v>
      </c>
      <c r="BD85" s="31">
        <f t="shared" si="24"/>
        <v>312.85714285714261</v>
      </c>
      <c r="BE85" s="31">
        <f t="shared" si="25"/>
        <v>152.14285714285703</v>
      </c>
    </row>
    <row r="86" spans="14:57" x14ac:dyDescent="0.15">
      <c r="N86" s="50">
        <v>130</v>
      </c>
      <c r="O86" s="50">
        <f>求节点(节奏总纲!$O$4:$O$163,节奏总纲!R$4:R$163,N86)</f>
        <v>5535.4777999999997</v>
      </c>
      <c r="P86" s="114">
        <f>INDEX('[1]资源-钻石'!$N$4:$N$163,$N86)*$O$11</f>
        <v>2264451.5623760475</v>
      </c>
      <c r="Q86" s="133">
        <v>1</v>
      </c>
      <c r="R86" s="114"/>
      <c r="S86" s="114">
        <f t="shared" si="27"/>
        <v>2849.434882656526</v>
      </c>
      <c r="T86" s="114">
        <f t="shared" si="28"/>
        <v>1509.634374917365</v>
      </c>
      <c r="U86" s="114">
        <f t="shared" si="29"/>
        <v>452.8903124752095</v>
      </c>
      <c r="V86" s="114">
        <f t="shared" si="30"/>
        <v>47.553482809896998</v>
      </c>
      <c r="W86" s="50"/>
      <c r="X86" s="106"/>
      <c r="Y86" s="115">
        <f>求节点(盗宝贼!$CC$5:$CC$164,盗宝贼!$CF$5:$CF$164,$N86)+S86</f>
        <v>11246.21947505211</v>
      </c>
      <c r="Z86" s="115">
        <f>求节点(盗宝贼!$CC$5:$CC$164,盗宝贼!$CK$5:$CK$164,$N86)+T86</f>
        <v>5092.8540863749795</v>
      </c>
      <c r="AA86" s="115">
        <f>求节点(盗宝贼!$CC$5:$CC$164,盗宝贼!$CP$5:$CP$164,$N86)+U86</f>
        <v>452.8903124752095</v>
      </c>
      <c r="AB86" s="115">
        <f t="shared" si="31"/>
        <v>47.553482809896998</v>
      </c>
      <c r="AC86" s="106"/>
      <c r="AD86" s="106">
        <f>求节点(宝物升星!E$61:E$66,宝物升星!$C$61:$C$66,Y86/SUM(E$8:E$9))</f>
        <v>5</v>
      </c>
      <c r="AE86" s="106">
        <f>求节点(宝物升星!F$61:F$66,宝物升星!$C$61:$C$66,Z86/SUM(F$8:F$9))</f>
        <v>5</v>
      </c>
      <c r="AF86" s="106">
        <f>求节点(宝物升星!G$61:G$66,宝物升星!$C$61:$C$66,AA86/SUM(G$8:G$9))</f>
        <v>5</v>
      </c>
      <c r="AG86" s="106">
        <f>求节点(宝物升星!H$61:H$66,宝物升星!$C$61:$C$66,AB86/SUM(H$8:H$9))</f>
        <v>5</v>
      </c>
      <c r="AH86" s="50"/>
      <c r="AI86" s="50"/>
      <c r="AJ86" s="50"/>
      <c r="AK86" s="50"/>
      <c r="AL86" s="50"/>
      <c r="AU86" s="92">
        <v>2310</v>
      </c>
      <c r="AY86" s="31">
        <f t="shared" si="26"/>
        <v>0.14285714285714285</v>
      </c>
      <c r="AZ86" s="31">
        <f t="shared" si="32"/>
        <v>7.1428571428571425E-2</v>
      </c>
      <c r="BA86" s="31">
        <f t="shared" si="21"/>
        <v>0</v>
      </c>
      <c r="BB86" s="31">
        <f t="shared" si="22"/>
        <v>0</v>
      </c>
      <c r="BC86" s="31">
        <f t="shared" si="23"/>
        <v>0</v>
      </c>
      <c r="BD86" s="31">
        <f t="shared" si="24"/>
        <v>317.14285714285688</v>
      </c>
      <c r="BE86" s="31">
        <f t="shared" si="25"/>
        <v>154.28571428571416</v>
      </c>
    </row>
    <row r="87" spans="14:57" x14ac:dyDescent="0.15">
      <c r="N87" s="50">
        <v>140</v>
      </c>
      <c r="O87" s="50">
        <f>求节点(节奏总纲!$O$4:$O$163,节奏总纲!R$4:R$163,N87)</f>
        <v>11020.8441</v>
      </c>
      <c r="P87" s="114">
        <f>INDEX('[1]资源-钻石'!$N$4:$N$163,$N87)*$O$11</f>
        <v>2663441.1686942996</v>
      </c>
      <c r="Q87" s="133">
        <v>1</v>
      </c>
      <c r="R87" s="114"/>
      <c r="S87" s="114">
        <f t="shared" si="27"/>
        <v>3351.496803940327</v>
      </c>
      <c r="T87" s="114">
        <f t="shared" si="28"/>
        <v>1775.6274457961997</v>
      </c>
      <c r="U87" s="114">
        <f t="shared" si="29"/>
        <v>532.68823373885994</v>
      </c>
      <c r="V87" s="114">
        <f t="shared" si="30"/>
        <v>55.932264542580292</v>
      </c>
      <c r="W87" s="50"/>
      <c r="X87" s="106"/>
      <c r="Y87" s="115">
        <f>求节点(盗宝贼!$CC$5:$CC$164,盗宝贼!$CF$5:$CF$164,$N87)+S87</f>
        <v>20134.309395775916</v>
      </c>
      <c r="Z87" s="115">
        <f>求节点(盗宝贼!$CC$5:$CC$164,盗宝贼!$CK$5:$CK$164,$N87)+T87</f>
        <v>8952.8591570138142</v>
      </c>
      <c r="AA87" s="115">
        <f>求节点(盗宝贼!$CC$5:$CC$164,盗宝贼!$CP$5:$CP$164,$N87)+U87</f>
        <v>532.68823373885994</v>
      </c>
      <c r="AB87" s="115">
        <f t="shared" si="31"/>
        <v>55.932264542580292</v>
      </c>
      <c r="AC87" s="106"/>
      <c r="AD87" s="106">
        <f>求节点(宝物升星!E$61:E$66,宝物升星!$C$61:$C$66,Y87/SUM(E$8:E$9))</f>
        <v>5</v>
      </c>
      <c r="AE87" s="106">
        <f>求节点(宝物升星!F$61:F$66,宝物升星!$C$61:$C$66,Z87/SUM(F$8:F$9))</f>
        <v>5</v>
      </c>
      <c r="AF87" s="106">
        <f>求节点(宝物升星!G$61:G$66,宝物升星!$C$61:$C$66,AA87/SUM(G$8:G$9))</f>
        <v>5</v>
      </c>
      <c r="AG87" s="106">
        <f>求节点(宝物升星!H$61:H$66,宝物升星!$C$61:$C$66,AB87/SUM(H$8:H$9))</f>
        <v>5</v>
      </c>
      <c r="AH87" s="50"/>
      <c r="AI87" s="50"/>
      <c r="AJ87" s="50"/>
      <c r="AK87" s="50"/>
      <c r="AL87" s="50"/>
      <c r="AU87" s="92">
        <v>2340</v>
      </c>
      <c r="AY87" s="31">
        <f t="shared" si="26"/>
        <v>0.14285714285714285</v>
      </c>
      <c r="AZ87" s="31">
        <f t="shared" si="32"/>
        <v>7.1428571428571425E-2</v>
      </c>
      <c r="BA87" s="31">
        <f t="shared" si="21"/>
        <v>0</v>
      </c>
      <c r="BB87" s="31">
        <f t="shared" si="22"/>
        <v>0</v>
      </c>
      <c r="BC87" s="31">
        <f t="shared" si="23"/>
        <v>0</v>
      </c>
      <c r="BD87" s="31">
        <f t="shared" si="24"/>
        <v>321.42857142857116</v>
      </c>
      <c r="BE87" s="31">
        <f t="shared" si="25"/>
        <v>156.4285714285713</v>
      </c>
    </row>
    <row r="88" spans="14:57" x14ac:dyDescent="0.15">
      <c r="N88" s="50">
        <v>150</v>
      </c>
      <c r="O88" s="50">
        <f>求节点(节奏总纲!$O$4:$O$163,节奏总纲!R$4:R$163,N88)</f>
        <v>21976.8269</v>
      </c>
      <c r="P88" s="114">
        <f>INDEX('[1]资源-钻石'!$N$4:$N$163,$N88)*$O$11</f>
        <v>3062430.7750125499</v>
      </c>
      <c r="Q88" s="133">
        <v>1</v>
      </c>
      <c r="R88" s="114"/>
      <c r="S88" s="114">
        <f t="shared" si="27"/>
        <v>3853.5587252241253</v>
      </c>
      <c r="T88" s="114">
        <f t="shared" si="28"/>
        <v>2041.6205166750333</v>
      </c>
      <c r="U88" s="114">
        <f t="shared" si="29"/>
        <v>612.48615500251003</v>
      </c>
      <c r="V88" s="114">
        <f t="shared" si="30"/>
        <v>64.31104627526355</v>
      </c>
      <c r="W88" s="50"/>
      <c r="X88" s="106"/>
      <c r="Y88" s="115">
        <f>求节点(盗宝贼!$CC$5:$CC$164,盗宝贼!$CF$5:$CF$164,$N88)+S88</f>
        <v>37385.877821699716</v>
      </c>
      <c r="Z88" s="115">
        <f>求节点(盗宝贼!$CC$5:$CC$164,盗宝贼!$CK$5:$CK$164,$N88)+T88</f>
        <v>16397.21215845265</v>
      </c>
      <c r="AA88" s="115">
        <f>求节点(盗宝贼!$CC$5:$CC$164,盗宝贼!$CP$5:$CP$164,$N88)+U88</f>
        <v>612.48615500251003</v>
      </c>
      <c r="AB88" s="115">
        <f t="shared" si="31"/>
        <v>64.31104627526355</v>
      </c>
      <c r="AC88" s="106"/>
      <c r="AD88" s="106">
        <f>求节点(宝物升星!E$61:E$66,宝物升星!$C$61:$C$66,Y88/SUM(E$8:E$9))</f>
        <v>5</v>
      </c>
      <c r="AE88" s="106">
        <f>求节点(宝物升星!F$61:F$66,宝物升星!$C$61:$C$66,Z88/SUM(F$8:F$9))</f>
        <v>5</v>
      </c>
      <c r="AF88" s="106">
        <f>求节点(宝物升星!G$61:G$66,宝物升星!$C$61:$C$66,AA88/SUM(G$8:G$9))</f>
        <v>5</v>
      </c>
      <c r="AG88" s="106">
        <f>求节点(宝物升星!H$61:H$66,宝物升星!$C$61:$C$66,AB88/SUM(H$8:H$9))</f>
        <v>5</v>
      </c>
      <c r="AH88" s="50"/>
      <c r="AI88" s="50"/>
      <c r="AJ88" s="50"/>
      <c r="AK88" s="50"/>
      <c r="AL88" s="50"/>
      <c r="AU88" s="92">
        <v>2370</v>
      </c>
      <c r="AY88" s="31">
        <f t="shared" si="26"/>
        <v>0.14285714285714285</v>
      </c>
      <c r="AZ88" s="31">
        <f t="shared" si="32"/>
        <v>7.1428571428571425E-2</v>
      </c>
      <c r="BA88" s="31">
        <f t="shared" si="21"/>
        <v>0</v>
      </c>
      <c r="BB88" s="31">
        <f t="shared" si="22"/>
        <v>0</v>
      </c>
      <c r="BC88" s="31">
        <f t="shared" si="23"/>
        <v>0</v>
      </c>
      <c r="BD88" s="31">
        <f t="shared" si="24"/>
        <v>325.71428571428544</v>
      </c>
      <c r="BE88" s="31">
        <f t="shared" si="25"/>
        <v>158.57142857142844</v>
      </c>
    </row>
    <row r="89" spans="14:57" x14ac:dyDescent="0.15">
      <c r="N89" s="50">
        <v>160</v>
      </c>
      <c r="O89" s="50">
        <f>求节点(节奏总纲!$O$4:$O$163,节奏总纲!R$4:R$163,N89)</f>
        <v>66190.350000000006</v>
      </c>
      <c r="P89" s="114">
        <f>INDEX('[1]资源-钻石'!$N$4:$N$163,$N89)*$O$11</f>
        <v>3461420.3813308002</v>
      </c>
      <c r="Q89" s="133">
        <v>1</v>
      </c>
      <c r="R89" s="114"/>
      <c r="S89" s="114">
        <f t="shared" si="27"/>
        <v>4355.620646507924</v>
      </c>
      <c r="T89" s="114">
        <f t="shared" si="28"/>
        <v>2307.6135875538671</v>
      </c>
      <c r="U89" s="114">
        <f t="shared" si="29"/>
        <v>692.28407626616013</v>
      </c>
      <c r="V89" s="114">
        <f t="shared" si="30"/>
        <v>72.689828007946815</v>
      </c>
      <c r="W89" s="50"/>
      <c r="X89" s="106"/>
      <c r="Y89" s="115">
        <f>求节点(盗宝贼!$CC$5:$CC$164,盗宝贼!$CF$5:$CF$164,$N89)+S89</f>
        <v>105481.57385826357</v>
      </c>
      <c r="Z89" s="115">
        <f>求节点(盗宝贼!$CC$5:$CC$164,盗宝贼!$CK$5:$CK$164,$N89)+T89</f>
        <v>45631.905564451503</v>
      </c>
      <c r="AA89" s="115">
        <f>求节点(盗宝贼!$CC$5:$CC$164,盗宝贼!$CP$5:$CP$164,$N89)+U89</f>
        <v>692.28407626616013</v>
      </c>
      <c r="AB89" s="115">
        <f t="shared" si="31"/>
        <v>72.689828007946815</v>
      </c>
      <c r="AC89" s="106"/>
      <c r="AD89" s="106">
        <f>求节点(宝物升星!E$61:E$66,宝物升星!$C$61:$C$66,Y89/SUM(E$8:E$9))</f>
        <v>5</v>
      </c>
      <c r="AE89" s="106">
        <f>求节点(宝物升星!F$61:F$66,宝物升星!$C$61:$C$66,Z89/SUM(F$8:F$9))</f>
        <v>5</v>
      </c>
      <c r="AF89" s="106">
        <f>求节点(宝物升星!G$61:G$66,宝物升星!$C$61:$C$66,AA89/SUM(G$8:G$9))</f>
        <v>5</v>
      </c>
      <c r="AG89" s="106">
        <f>求节点(宝物升星!H$61:H$66,宝物升星!$C$61:$C$66,AB89/SUM(H$8:H$9))</f>
        <v>5</v>
      </c>
      <c r="AH89" s="50"/>
      <c r="AI89" s="50"/>
      <c r="AJ89" s="50"/>
      <c r="AK89" s="50"/>
      <c r="AL89" s="50"/>
      <c r="AU89" s="92">
        <v>2400</v>
      </c>
      <c r="AY89" s="31">
        <f t="shared" si="26"/>
        <v>0.14285714285714285</v>
      </c>
      <c r="AZ89" s="31">
        <f t="shared" si="32"/>
        <v>7.1428571428571425E-2</v>
      </c>
      <c r="BA89" s="31">
        <f t="shared" si="21"/>
        <v>0</v>
      </c>
      <c r="BB89" s="31">
        <f t="shared" si="22"/>
        <v>0</v>
      </c>
      <c r="BC89" s="31">
        <f t="shared" si="23"/>
        <v>0</v>
      </c>
      <c r="BD89" s="31">
        <f t="shared" si="24"/>
        <v>329.99999999999972</v>
      </c>
      <c r="BE89" s="31">
        <f t="shared" si="25"/>
        <v>160.71428571428558</v>
      </c>
    </row>
    <row r="90" spans="14:57" x14ac:dyDescent="0.15">
      <c r="AU90" s="92">
        <v>2430</v>
      </c>
      <c r="AY90" s="31">
        <f t="shared" si="26"/>
        <v>0.14285714285714285</v>
      </c>
      <c r="AZ90" s="31">
        <f t="shared" si="32"/>
        <v>7.1428571428571425E-2</v>
      </c>
      <c r="BA90" s="31">
        <f t="shared" si="21"/>
        <v>0</v>
      </c>
      <c r="BB90" s="31">
        <f t="shared" si="22"/>
        <v>0</v>
      </c>
      <c r="BC90" s="31">
        <f t="shared" si="23"/>
        <v>0</v>
      </c>
      <c r="BD90" s="31">
        <f t="shared" si="24"/>
        <v>334.28571428571399</v>
      </c>
      <c r="BE90" s="31">
        <f t="shared" si="25"/>
        <v>162.85714285714272</v>
      </c>
    </row>
    <row r="91" spans="14:57" x14ac:dyDescent="0.15">
      <c r="AU91" s="92">
        <v>2460</v>
      </c>
      <c r="AY91" s="31">
        <f t="shared" si="26"/>
        <v>0.14285714285714285</v>
      </c>
      <c r="AZ91" s="31">
        <f t="shared" si="32"/>
        <v>7.1428571428571425E-2</v>
      </c>
      <c r="BA91" s="31">
        <f t="shared" si="21"/>
        <v>0</v>
      </c>
      <c r="BB91" s="31">
        <f t="shared" si="22"/>
        <v>0</v>
      </c>
      <c r="BC91" s="31">
        <f t="shared" si="23"/>
        <v>0</v>
      </c>
      <c r="BD91" s="31">
        <f t="shared" si="24"/>
        <v>338.57142857142827</v>
      </c>
      <c r="BE91" s="31">
        <f t="shared" si="25"/>
        <v>164.99999999999986</v>
      </c>
    </row>
    <row r="92" spans="14:57" x14ac:dyDescent="0.15">
      <c r="AU92" s="92">
        <v>2490</v>
      </c>
      <c r="AY92" s="31">
        <f t="shared" si="26"/>
        <v>0.14285714285714285</v>
      </c>
      <c r="AZ92" s="31">
        <f t="shared" si="32"/>
        <v>7.1428571428571425E-2</v>
      </c>
      <c r="BA92" s="31">
        <f t="shared" si="21"/>
        <v>0</v>
      </c>
      <c r="BB92" s="31">
        <f t="shared" si="22"/>
        <v>0</v>
      </c>
      <c r="BC92" s="31">
        <f t="shared" si="23"/>
        <v>0</v>
      </c>
      <c r="BD92" s="31">
        <f t="shared" si="24"/>
        <v>342.85714285714255</v>
      </c>
      <c r="BE92" s="31">
        <f t="shared" si="25"/>
        <v>167.142857142857</v>
      </c>
    </row>
    <row r="93" spans="14:57" x14ac:dyDescent="0.15">
      <c r="N93" s="50" t="s">
        <v>243</v>
      </c>
      <c r="O93" s="50"/>
      <c r="P93" s="114"/>
      <c r="Q93" s="116"/>
      <c r="R93" s="144" t="s">
        <v>424</v>
      </c>
      <c r="S93" s="157"/>
      <c r="T93" s="157"/>
      <c r="U93" s="157"/>
      <c r="V93" s="145"/>
      <c r="W93" s="50"/>
      <c r="X93" s="155" t="s">
        <v>238</v>
      </c>
      <c r="Y93" s="155"/>
      <c r="Z93" s="155"/>
      <c r="AA93" s="155"/>
      <c r="AB93" s="155"/>
      <c r="AC93" s="155" t="s">
        <v>245</v>
      </c>
      <c r="AD93" s="155"/>
      <c r="AE93" s="155"/>
      <c r="AF93" s="155"/>
      <c r="AG93" s="155"/>
      <c r="AH93" s="143"/>
      <c r="AI93" s="143"/>
      <c r="AJ93" s="143"/>
      <c r="AK93" s="143"/>
      <c r="AL93" s="143"/>
      <c r="AU93" s="92">
        <v>2520</v>
      </c>
      <c r="AY93" s="31">
        <f t="shared" si="26"/>
        <v>0.14285714285714285</v>
      </c>
      <c r="AZ93" s="31">
        <f t="shared" si="32"/>
        <v>7.1428571428571425E-2</v>
      </c>
      <c r="BA93" s="31">
        <f t="shared" si="21"/>
        <v>0</v>
      </c>
      <c r="BB93" s="31">
        <f t="shared" si="22"/>
        <v>0</v>
      </c>
      <c r="BC93" s="31">
        <f t="shared" si="23"/>
        <v>0</v>
      </c>
      <c r="BD93" s="31">
        <f t="shared" si="24"/>
        <v>347.14285714285683</v>
      </c>
      <c r="BE93" s="31">
        <f t="shared" si="25"/>
        <v>169.28571428571414</v>
      </c>
    </row>
    <row r="94" spans="14:57" x14ac:dyDescent="0.15">
      <c r="N94" s="50" t="s">
        <v>161</v>
      </c>
      <c r="O94" s="50" t="s">
        <v>158</v>
      </c>
      <c r="P94" s="114" t="s">
        <v>421</v>
      </c>
      <c r="Q94" s="114" t="s">
        <v>426</v>
      </c>
      <c r="R94" s="119" t="s">
        <v>25</v>
      </c>
      <c r="S94" s="119" t="s">
        <v>1</v>
      </c>
      <c r="T94" s="119" t="s">
        <v>2</v>
      </c>
      <c r="U94" s="119" t="s">
        <v>0</v>
      </c>
      <c r="V94" s="119" t="s">
        <v>217</v>
      </c>
      <c r="W94" s="50"/>
      <c r="X94" s="106" t="s">
        <v>25</v>
      </c>
      <c r="Y94" s="106" t="s">
        <v>1</v>
      </c>
      <c r="Z94" s="106" t="s">
        <v>2</v>
      </c>
      <c r="AA94" s="106" t="s">
        <v>0</v>
      </c>
      <c r="AB94" s="106" t="s">
        <v>217</v>
      </c>
      <c r="AC94" s="106" t="s">
        <v>25</v>
      </c>
      <c r="AD94" s="106" t="s">
        <v>1</v>
      </c>
      <c r="AE94" s="106" t="s">
        <v>2</v>
      </c>
      <c r="AF94" s="106" t="s">
        <v>0</v>
      </c>
      <c r="AG94" s="106" t="s">
        <v>217</v>
      </c>
      <c r="AH94" s="50"/>
      <c r="AI94" s="56"/>
      <c r="AJ94" s="56"/>
      <c r="AK94" s="56"/>
      <c r="AL94" s="50"/>
      <c r="AU94" s="92">
        <v>2550</v>
      </c>
      <c r="AY94" s="31">
        <f t="shared" si="26"/>
        <v>0.14285714285714285</v>
      </c>
      <c r="AZ94" s="31">
        <f t="shared" si="32"/>
        <v>7.1428571428571425E-2</v>
      </c>
      <c r="BA94" s="31">
        <f t="shared" si="21"/>
        <v>0</v>
      </c>
      <c r="BB94" s="31">
        <f t="shared" si="22"/>
        <v>0</v>
      </c>
      <c r="BC94" s="31">
        <f t="shared" si="23"/>
        <v>0</v>
      </c>
      <c r="BD94" s="31">
        <f t="shared" si="24"/>
        <v>351.4285714285711</v>
      </c>
      <c r="BE94" s="31">
        <f t="shared" si="25"/>
        <v>171.42857142857127</v>
      </c>
    </row>
    <row r="95" spans="14:57" x14ac:dyDescent="0.15">
      <c r="N95" s="50">
        <v>5</v>
      </c>
      <c r="O95" s="50">
        <f>求节点(节奏总纲!$O$4:$O$163,节奏总纲!S$4:S$163,N95)</f>
        <v>0.20296464556281663</v>
      </c>
      <c r="P95" s="114">
        <f>INDEX('[1]资源-钻石'!$O$4:$O$163,$N95)*$O$11</f>
        <v>2345.7686327961605</v>
      </c>
      <c r="Q95" s="114">
        <v>0</v>
      </c>
      <c r="R95" s="114"/>
      <c r="S95" s="114">
        <f t="shared" ref="S95:S115" si="33">$P95/$E$25*E$17*$Q95*E$18</f>
        <v>0</v>
      </c>
      <c r="T95" s="114">
        <f t="shared" ref="T95:T115" si="34">$P95/$E$25*F$17*$Q95*F$18</f>
        <v>0</v>
      </c>
      <c r="U95" s="114">
        <f t="shared" ref="U95:U115" si="35">$P95/$E$25*G$17*$Q95*G$18</f>
        <v>0</v>
      </c>
      <c r="V95" s="114">
        <f>$P95/$E$25*H$17*$Q95*(H$18+$H$22)</f>
        <v>0</v>
      </c>
      <c r="W95" s="50"/>
      <c r="X95" s="106"/>
      <c r="Y95" s="115">
        <f>求节点(盗宝贼!$CC$5:$CC$164,盗宝贼!$CG$5:$CG$164,$N95)+S95</f>
        <v>0</v>
      </c>
      <c r="Z95" s="115">
        <f>求节点(盗宝贼!$CC$5:$CC$164,盗宝贼!$CL$5:$CL$164,$N95)+T95</f>
        <v>0</v>
      </c>
      <c r="AA95" s="115">
        <f>求节点(盗宝贼!$CC$5:$CC$164,盗宝贼!$CQ$5:$CQ$164,$N95)+U95</f>
        <v>0</v>
      </c>
      <c r="AB95" s="115">
        <f>V95</f>
        <v>0</v>
      </c>
      <c r="AC95" s="106"/>
      <c r="AD95" s="106">
        <f>求节点(宝物升星!E$61:E$66,宝物升星!$C$61:$C$66,Y95/SUM(E$8:E$9))</f>
        <v>0</v>
      </c>
      <c r="AE95" s="106">
        <f>求节点(宝物升星!F$61:F$66,宝物升星!$C$61:$C$66,Z95/SUM(F$8:F$9))</f>
        <v>0</v>
      </c>
      <c r="AF95" s="106">
        <f>求节点(宝物升星!G$61:G$66,宝物升星!$C$61:$C$66,AA95/SUM(G$8:G$9))</f>
        <v>0</v>
      </c>
      <c r="AG95" s="106">
        <f>求节点(宝物升星!H$61:H$66,宝物升星!$C$61:$C$66,AB95/SUM(H$8:H$9))</f>
        <v>0</v>
      </c>
      <c r="AH95" s="50"/>
      <c r="AI95" s="50"/>
      <c r="AJ95" s="50"/>
      <c r="AK95" s="50"/>
      <c r="AL95" s="50"/>
      <c r="AU95" s="92">
        <v>2580</v>
      </c>
      <c r="AY95" s="31">
        <f t="shared" si="26"/>
        <v>0.14285714285714285</v>
      </c>
      <c r="AZ95" s="31">
        <f t="shared" si="32"/>
        <v>7.1428571428571425E-2</v>
      </c>
      <c r="BA95" s="31">
        <f t="shared" si="21"/>
        <v>0</v>
      </c>
      <c r="BB95" s="31">
        <f t="shared" si="22"/>
        <v>0</v>
      </c>
      <c r="BC95" s="31">
        <f t="shared" si="23"/>
        <v>0</v>
      </c>
      <c r="BD95" s="31">
        <f t="shared" si="24"/>
        <v>355.71428571428538</v>
      </c>
      <c r="BE95" s="31">
        <f t="shared" si="25"/>
        <v>173.57142857142841</v>
      </c>
    </row>
    <row r="96" spans="14:57" x14ac:dyDescent="0.15">
      <c r="N96" s="50">
        <v>10</v>
      </c>
      <c r="O96" s="50">
        <f>求节点(节奏总纲!$O$4:$O$163,节奏总纲!S$4:S$163,N96)</f>
        <v>0.49980000000000002</v>
      </c>
      <c r="P96" s="114">
        <f>INDEX('[1]资源-钻石'!$O$4:$O$163,$N96)*$O$11</f>
        <v>5776.4501764355982</v>
      </c>
      <c r="Q96" s="114">
        <v>0</v>
      </c>
      <c r="R96" s="114"/>
      <c r="S96" s="114">
        <f t="shared" si="33"/>
        <v>0</v>
      </c>
      <c r="T96" s="114">
        <f t="shared" si="34"/>
        <v>0</v>
      </c>
      <c r="U96" s="114">
        <f t="shared" si="35"/>
        <v>0</v>
      </c>
      <c r="V96" s="114">
        <f t="shared" ref="V96:V115" si="36">$P96/$E$25*H$17*$Q96*(H$18+$H$22)</f>
        <v>0</v>
      </c>
      <c r="W96" s="50"/>
      <c r="X96" s="106"/>
      <c r="Y96" s="115">
        <f>求节点(盗宝贼!$CC$5:$CC$164,盗宝贼!$CG$5:$CG$164,$N96)+S96</f>
        <v>0</v>
      </c>
      <c r="Z96" s="115">
        <f>求节点(盗宝贼!$CC$5:$CC$164,盗宝贼!$CL$5:$CL$164,$N96)+T96</f>
        <v>0</v>
      </c>
      <c r="AA96" s="115">
        <f>求节点(盗宝贼!$CC$5:$CC$164,盗宝贼!$CQ$5:$CQ$164,$N96)+U96</f>
        <v>0</v>
      </c>
      <c r="AB96" s="115">
        <f t="shared" ref="AB96:AB115" si="37">V96</f>
        <v>0</v>
      </c>
      <c r="AC96" s="106"/>
      <c r="AD96" s="106">
        <f>求节点(宝物升星!E$61:E$66,宝物升星!$C$61:$C$66,Y96/SUM(E$8:E$9))</f>
        <v>0</v>
      </c>
      <c r="AE96" s="106">
        <f>求节点(宝物升星!F$61:F$66,宝物升星!$C$61:$C$66,Z96/SUM(F$8:F$9))</f>
        <v>0</v>
      </c>
      <c r="AF96" s="106">
        <f>求节点(宝物升星!G$61:G$66,宝物升星!$C$61:$C$66,AA96/SUM(G$8:G$9))</f>
        <v>0</v>
      </c>
      <c r="AG96" s="106">
        <f>求节点(宝物升星!H$61:H$66,宝物升星!$C$61:$C$66,AB96/SUM(H$8:H$9))</f>
        <v>0</v>
      </c>
      <c r="AH96" s="50"/>
      <c r="AI96" s="50"/>
      <c r="AJ96" s="50"/>
      <c r="AK96" s="50"/>
      <c r="AL96" s="50"/>
      <c r="AU96" s="92">
        <v>2610</v>
      </c>
      <c r="AY96" s="31">
        <f t="shared" si="26"/>
        <v>0.14285714285714285</v>
      </c>
      <c r="AZ96" s="31">
        <f t="shared" si="32"/>
        <v>7.1428571428571425E-2</v>
      </c>
      <c r="BA96" s="31">
        <f t="shared" si="21"/>
        <v>0</v>
      </c>
      <c r="BB96" s="31">
        <f t="shared" si="22"/>
        <v>0</v>
      </c>
      <c r="BC96" s="31">
        <f t="shared" si="23"/>
        <v>0</v>
      </c>
      <c r="BD96" s="31">
        <f t="shared" si="24"/>
        <v>359.99999999999966</v>
      </c>
      <c r="BE96" s="31">
        <f t="shared" si="25"/>
        <v>175.71428571428555</v>
      </c>
    </row>
    <row r="97" spans="14:57" x14ac:dyDescent="0.15">
      <c r="N97" s="50">
        <v>15</v>
      </c>
      <c r="O97" s="50">
        <f>求节点(节奏总纲!$O$4:$O$163,节奏总纲!S$4:S$163,N97)</f>
        <v>0.94895367774327255</v>
      </c>
      <c r="P97" s="114">
        <f>INDEX('[1]资源-钻石'!$O$4:$O$163,$N97)*$O$11</f>
        <v>10967.554300178746</v>
      </c>
      <c r="Q97" s="114">
        <v>0</v>
      </c>
      <c r="R97" s="114"/>
      <c r="S97" s="114">
        <f t="shared" si="33"/>
        <v>0</v>
      </c>
      <c r="T97" s="114">
        <f t="shared" si="34"/>
        <v>0</v>
      </c>
      <c r="U97" s="114">
        <f t="shared" si="35"/>
        <v>0</v>
      </c>
      <c r="V97" s="114">
        <f t="shared" si="36"/>
        <v>0</v>
      </c>
      <c r="W97" s="50"/>
      <c r="X97" s="106"/>
      <c r="Y97" s="115">
        <f>求节点(盗宝贼!$CC$5:$CC$164,盗宝贼!$CG$5:$CG$164,$N97)+S97</f>
        <v>0</v>
      </c>
      <c r="Z97" s="115">
        <f>求节点(盗宝贼!$CC$5:$CC$164,盗宝贼!$CL$5:$CL$164,$N97)+T97</f>
        <v>0</v>
      </c>
      <c r="AA97" s="115">
        <f>求节点(盗宝贼!$CC$5:$CC$164,盗宝贼!$CQ$5:$CQ$164,$N97)+U97</f>
        <v>0</v>
      </c>
      <c r="AB97" s="115">
        <f t="shared" si="37"/>
        <v>0</v>
      </c>
      <c r="AC97" s="106"/>
      <c r="AD97" s="106">
        <f>求节点(宝物升星!E$61:E$66,宝物升星!$C$61:$C$66,Y97/SUM(E$8:E$9))</f>
        <v>0</v>
      </c>
      <c r="AE97" s="106">
        <f>求节点(宝物升星!F$61:F$66,宝物升星!$C$61:$C$66,Z97/SUM(F$8:F$9))</f>
        <v>0</v>
      </c>
      <c r="AF97" s="106">
        <f>求节点(宝物升星!G$61:G$66,宝物升星!$C$61:$C$66,AA97/SUM(G$8:G$9))</f>
        <v>0</v>
      </c>
      <c r="AG97" s="106">
        <f>求节点(宝物升星!H$61:H$66,宝物升星!$C$61:$C$66,AB97/SUM(H$8:H$9))</f>
        <v>0</v>
      </c>
      <c r="AH97" s="50"/>
      <c r="AI97" s="50"/>
      <c r="AJ97" s="50"/>
      <c r="AK97" s="50"/>
      <c r="AL97" s="50"/>
      <c r="AU97" s="92">
        <v>2640</v>
      </c>
      <c r="AY97" s="31">
        <f t="shared" si="26"/>
        <v>0.14285714285714285</v>
      </c>
      <c r="AZ97" s="31">
        <f t="shared" si="32"/>
        <v>7.1428571428571425E-2</v>
      </c>
      <c r="BA97" s="31">
        <f t="shared" si="21"/>
        <v>0</v>
      </c>
      <c r="BB97" s="31">
        <f t="shared" si="22"/>
        <v>0</v>
      </c>
      <c r="BC97" s="31">
        <f t="shared" si="23"/>
        <v>0</v>
      </c>
      <c r="BD97" s="31">
        <f t="shared" si="24"/>
        <v>364.28571428571394</v>
      </c>
      <c r="BE97" s="31">
        <f t="shared" si="25"/>
        <v>177.85714285714269</v>
      </c>
    </row>
    <row r="98" spans="14:57" x14ac:dyDescent="0.15">
      <c r="N98" s="50">
        <v>20</v>
      </c>
      <c r="O98" s="50">
        <f>求节点(节奏总纲!$O$4:$O$163,节奏总纲!S$4:S$163,N98)</f>
        <v>1.5800999999999998</v>
      </c>
      <c r="P98" s="114">
        <f>INDEX('[1]资源-钻石'!$O$4:$O$163,$N98)*$O$11</f>
        <v>15222.991982743271</v>
      </c>
      <c r="Q98" s="114">
        <v>0</v>
      </c>
      <c r="R98" s="114"/>
      <c r="S98" s="114">
        <f t="shared" si="33"/>
        <v>0</v>
      </c>
      <c r="T98" s="114">
        <f t="shared" si="34"/>
        <v>0</v>
      </c>
      <c r="U98" s="114">
        <f t="shared" si="35"/>
        <v>0</v>
      </c>
      <c r="V98" s="114">
        <f t="shared" si="36"/>
        <v>0</v>
      </c>
      <c r="W98" s="50"/>
      <c r="X98" s="106"/>
      <c r="Y98" s="115">
        <f>求节点(盗宝贼!$CC$5:$CC$164,盗宝贼!$CG$5:$CG$164,$N98)+S98</f>
        <v>0</v>
      </c>
      <c r="Z98" s="115">
        <f>求节点(盗宝贼!$CC$5:$CC$164,盗宝贼!$CL$5:$CL$164,$N98)+T98</f>
        <v>0</v>
      </c>
      <c r="AA98" s="115">
        <f>求节点(盗宝贼!$CC$5:$CC$164,盗宝贼!$CQ$5:$CQ$164,$N98)+U98</f>
        <v>0</v>
      </c>
      <c r="AB98" s="115">
        <f t="shared" si="37"/>
        <v>0</v>
      </c>
      <c r="AC98" s="106"/>
      <c r="AD98" s="106">
        <f>求节点(宝物升星!E$61:E$66,宝物升星!$C$61:$C$66,Y98/SUM(E$8:E$9))</f>
        <v>0</v>
      </c>
      <c r="AE98" s="106">
        <f>求节点(宝物升星!F$61:F$66,宝物升星!$C$61:$C$66,Z98/SUM(F$8:F$9))</f>
        <v>0</v>
      </c>
      <c r="AF98" s="106">
        <f>求节点(宝物升星!G$61:G$66,宝物升星!$C$61:$C$66,AA98/SUM(G$8:G$9))</f>
        <v>0</v>
      </c>
      <c r="AG98" s="106">
        <f>求节点(宝物升星!H$61:H$66,宝物升星!$C$61:$C$66,AB98/SUM(H$8:H$9))</f>
        <v>0</v>
      </c>
      <c r="AH98" s="50"/>
      <c r="AI98" s="50"/>
      <c r="AJ98" s="50"/>
      <c r="AK98" s="50"/>
      <c r="AL98" s="50"/>
      <c r="AU98" s="92">
        <v>2670</v>
      </c>
      <c r="AY98" s="31">
        <f t="shared" si="26"/>
        <v>0.14285714285714285</v>
      </c>
      <c r="AZ98" s="31">
        <f t="shared" si="32"/>
        <v>7.1428571428571425E-2</v>
      </c>
      <c r="BA98" s="31">
        <f t="shared" si="21"/>
        <v>0</v>
      </c>
      <c r="BB98" s="31">
        <f t="shared" si="22"/>
        <v>0</v>
      </c>
      <c r="BC98" s="31">
        <f t="shared" si="23"/>
        <v>0</v>
      </c>
      <c r="BD98" s="31">
        <f t="shared" si="24"/>
        <v>368.57142857142821</v>
      </c>
      <c r="BE98" s="31">
        <f t="shared" si="25"/>
        <v>179.99999999999983</v>
      </c>
    </row>
    <row r="99" spans="14:57" x14ac:dyDescent="0.15">
      <c r="N99" s="50">
        <v>25</v>
      </c>
      <c r="O99" s="50">
        <f>求节点(节奏总纲!$O$4:$O$163,节奏总纲!S$4:S$163,N99)</f>
        <v>2.478377831579845</v>
      </c>
      <c r="P99" s="114">
        <f>INDEX('[1]资源-钻石'!$O$4:$O$163,$N99)*$O$11</f>
        <v>20898.925794450097</v>
      </c>
      <c r="Q99" s="114">
        <v>0</v>
      </c>
      <c r="R99" s="114"/>
      <c r="S99" s="114">
        <f t="shared" si="33"/>
        <v>0</v>
      </c>
      <c r="T99" s="114">
        <f t="shared" si="34"/>
        <v>0</v>
      </c>
      <c r="U99" s="114">
        <f t="shared" si="35"/>
        <v>0</v>
      </c>
      <c r="V99" s="114">
        <f t="shared" si="36"/>
        <v>0</v>
      </c>
      <c r="W99" s="50"/>
      <c r="X99" s="106"/>
      <c r="Y99" s="115">
        <f>求节点(盗宝贼!$CC$5:$CC$164,盗宝贼!$CG$5:$CG$164,$N99)+S99</f>
        <v>0</v>
      </c>
      <c r="Z99" s="115">
        <f>求节点(盗宝贼!$CC$5:$CC$164,盗宝贼!$CL$5:$CL$164,$N99)+T99</f>
        <v>0</v>
      </c>
      <c r="AA99" s="115">
        <f>求节点(盗宝贼!$CC$5:$CC$164,盗宝贼!$CQ$5:$CQ$164,$N99)+U99</f>
        <v>0</v>
      </c>
      <c r="AB99" s="115">
        <f t="shared" si="37"/>
        <v>0</v>
      </c>
      <c r="AC99" s="106"/>
      <c r="AD99" s="106">
        <f>求节点(宝物升星!E$61:E$66,宝物升星!$C$61:$C$66,Y99/SUM(E$8:E$9))</f>
        <v>0</v>
      </c>
      <c r="AE99" s="106">
        <f>求节点(宝物升星!F$61:F$66,宝物升星!$C$61:$C$66,Z99/SUM(F$8:F$9))</f>
        <v>0</v>
      </c>
      <c r="AF99" s="106">
        <f>求节点(宝物升星!G$61:G$66,宝物升星!$C$61:$C$66,AA99/SUM(G$8:G$9))</f>
        <v>0</v>
      </c>
      <c r="AG99" s="106">
        <f>求节点(宝物升星!H$61:H$66,宝物升星!$C$61:$C$66,AB99/SUM(H$8:H$9))</f>
        <v>0</v>
      </c>
      <c r="AH99" s="50"/>
      <c r="AI99" s="50"/>
      <c r="AJ99" s="50"/>
      <c r="AK99" s="50"/>
      <c r="AL99" s="50"/>
      <c r="AU99" s="92">
        <v>2700</v>
      </c>
      <c r="AY99" s="31">
        <f t="shared" si="26"/>
        <v>0.14285714285714285</v>
      </c>
      <c r="AZ99" s="31">
        <f t="shared" si="32"/>
        <v>7.1428571428571425E-2</v>
      </c>
      <c r="BA99" s="31">
        <f t="shared" si="21"/>
        <v>0</v>
      </c>
      <c r="BB99" s="31">
        <f t="shared" si="22"/>
        <v>0</v>
      </c>
      <c r="BC99" s="31">
        <f t="shared" si="23"/>
        <v>0</v>
      </c>
      <c r="BD99" s="31">
        <f t="shared" si="24"/>
        <v>372.85714285714249</v>
      </c>
      <c r="BE99" s="31">
        <f t="shared" si="25"/>
        <v>182.14285714285697</v>
      </c>
    </row>
    <row r="100" spans="14:57" x14ac:dyDescent="0.15">
      <c r="N100" s="50">
        <v>30</v>
      </c>
      <c r="O100" s="50">
        <f>求节点(节奏总纲!$O$4:$O$163,节奏总纲!S$4:S$163,N100)</f>
        <v>3.7428999999999997</v>
      </c>
      <c r="P100" s="114">
        <f>INDEX('[1]资源-钻石'!$O$4:$O$163,$N100)*$O$11</f>
        <v>28889.041857723794</v>
      </c>
      <c r="Q100" s="114">
        <v>0</v>
      </c>
      <c r="R100" s="114"/>
      <c r="S100" s="114">
        <f t="shared" si="33"/>
        <v>0</v>
      </c>
      <c r="T100" s="114">
        <f t="shared" si="34"/>
        <v>0</v>
      </c>
      <c r="U100" s="114">
        <f t="shared" si="35"/>
        <v>0</v>
      </c>
      <c r="V100" s="114">
        <f t="shared" si="36"/>
        <v>0</v>
      </c>
      <c r="W100" s="50"/>
      <c r="X100" s="106"/>
      <c r="Y100" s="115">
        <f>求节点(盗宝贼!$CC$5:$CC$164,盗宝贼!$CG$5:$CG$164,$N100)+S100</f>
        <v>0</v>
      </c>
      <c r="Z100" s="115">
        <f>求节点(盗宝贼!$CC$5:$CC$164,盗宝贼!$CL$5:$CL$164,$N100)+T100</f>
        <v>0</v>
      </c>
      <c r="AA100" s="115">
        <f>求节点(盗宝贼!$CC$5:$CC$164,盗宝贼!$CQ$5:$CQ$164,$N100)+U100</f>
        <v>0</v>
      </c>
      <c r="AB100" s="115">
        <f t="shared" si="37"/>
        <v>0</v>
      </c>
      <c r="AC100" s="106"/>
      <c r="AD100" s="106">
        <f>求节点(宝物升星!E$61:E$66,宝物升星!$C$61:$C$66,Y100/SUM(E$8:E$9))</f>
        <v>0</v>
      </c>
      <c r="AE100" s="106">
        <f>求节点(宝物升星!F$61:F$66,宝物升星!$C$61:$C$66,Z100/SUM(F$8:F$9))</f>
        <v>0</v>
      </c>
      <c r="AF100" s="106">
        <f>求节点(宝物升星!G$61:G$66,宝物升星!$C$61:$C$66,AA100/SUM(G$8:G$9))</f>
        <v>0</v>
      </c>
      <c r="AG100" s="106">
        <f>求节点(宝物升星!H$61:H$66,宝物升星!$C$61:$C$66,AB100/SUM(H$8:H$9))</f>
        <v>0</v>
      </c>
      <c r="AH100" s="50"/>
      <c r="AI100" s="50"/>
      <c r="AJ100" s="50"/>
      <c r="AK100" s="50"/>
      <c r="AL100" s="50"/>
      <c r="AU100" s="92">
        <v>2730</v>
      </c>
      <c r="AY100" s="31">
        <f t="shared" si="26"/>
        <v>0.14285714285714285</v>
      </c>
      <c r="AZ100" s="31">
        <f t="shared" si="32"/>
        <v>7.1428571428571425E-2</v>
      </c>
      <c r="BA100" s="31">
        <f t="shared" si="21"/>
        <v>0</v>
      </c>
      <c r="BB100" s="31">
        <f t="shared" si="22"/>
        <v>0</v>
      </c>
      <c r="BC100" s="31">
        <f t="shared" si="23"/>
        <v>0</v>
      </c>
      <c r="BD100" s="31">
        <f t="shared" si="24"/>
        <v>377.14285714285677</v>
      </c>
      <c r="BE100" s="31">
        <f t="shared" si="25"/>
        <v>184.28571428571411</v>
      </c>
    </row>
    <row r="101" spans="14:57" x14ac:dyDescent="0.15">
      <c r="N101" s="50">
        <v>35</v>
      </c>
      <c r="O101" s="50">
        <f>求节点(节奏总纲!$O$4:$O$163,节奏总纲!S$4:S$163,N101)</f>
        <v>5.5405242056546129</v>
      </c>
      <c r="P101" s="114">
        <f>INDEX('[1]资源-钻石'!$O$4:$O$163,$N101)*$O$11</f>
        <v>40247.661263562615</v>
      </c>
      <c r="Q101" s="114">
        <v>0</v>
      </c>
      <c r="R101" s="114"/>
      <c r="S101" s="114">
        <f t="shared" si="33"/>
        <v>0</v>
      </c>
      <c r="T101" s="114">
        <f t="shared" si="34"/>
        <v>0</v>
      </c>
      <c r="U101" s="114">
        <f t="shared" si="35"/>
        <v>0</v>
      </c>
      <c r="V101" s="114">
        <f t="shared" si="36"/>
        <v>0</v>
      </c>
      <c r="W101" s="50"/>
      <c r="X101" s="106"/>
      <c r="Y101" s="115">
        <f>求节点(盗宝贼!$CC$5:$CC$164,盗宝贼!$CG$5:$CG$164,$N101)+S101</f>
        <v>0.9854004168235948</v>
      </c>
      <c r="Z101" s="115">
        <f>求节点(盗宝贼!$CC$5:$CC$164,盗宝贼!$CL$5:$CL$164,$N101)+T101</f>
        <v>0.10948893520262164</v>
      </c>
      <c r="AA101" s="115">
        <f>求节点(盗宝贼!$CC$5:$CC$164,盗宝贼!$CQ$5:$CQ$164,$N101)+U101</f>
        <v>0</v>
      </c>
      <c r="AB101" s="115">
        <f t="shared" si="37"/>
        <v>0</v>
      </c>
      <c r="AC101" s="106"/>
      <c r="AD101" s="106">
        <f>求节点(宝物升星!E$61:E$66,宝物升星!$C$61:$C$66,Y101/SUM(E$8:E$9))</f>
        <v>0</v>
      </c>
      <c r="AE101" s="106">
        <f>求节点(宝物升星!F$61:F$66,宝物升星!$C$61:$C$66,Z101/SUM(F$8:F$9))</f>
        <v>0</v>
      </c>
      <c r="AF101" s="106">
        <f>求节点(宝物升星!G$61:G$66,宝物升星!$C$61:$C$66,AA101/SUM(G$8:G$9))</f>
        <v>0</v>
      </c>
      <c r="AG101" s="106">
        <f>求节点(宝物升星!H$61:H$66,宝物升星!$C$61:$C$66,AB101/SUM(H$8:H$9))</f>
        <v>0</v>
      </c>
      <c r="AH101" s="50"/>
      <c r="AI101" s="50"/>
      <c r="AJ101" s="50"/>
      <c r="AK101" s="50"/>
      <c r="AL101" s="50"/>
      <c r="AU101" s="92">
        <v>2760</v>
      </c>
      <c r="AY101" s="31">
        <f t="shared" si="26"/>
        <v>0.14285714285714285</v>
      </c>
      <c r="AZ101" s="31">
        <f t="shared" si="32"/>
        <v>7.1428571428571425E-2</v>
      </c>
      <c r="BA101" s="31">
        <f t="shared" si="21"/>
        <v>0</v>
      </c>
      <c r="BB101" s="31">
        <f t="shared" si="22"/>
        <v>0</v>
      </c>
      <c r="BC101" s="31">
        <f t="shared" si="23"/>
        <v>0</v>
      </c>
      <c r="BD101" s="31">
        <f t="shared" si="24"/>
        <v>381.42857142857105</v>
      </c>
      <c r="BE101" s="31">
        <f t="shared" si="25"/>
        <v>186.42857142857125</v>
      </c>
    </row>
    <row r="102" spans="14:57" x14ac:dyDescent="0.15">
      <c r="N102" s="50">
        <v>40</v>
      </c>
      <c r="O102" s="50">
        <f>求节点(节奏总纲!$O$4:$O$163,节奏总纲!S$4:S$163,N102)</f>
        <v>8.0009999999999994</v>
      </c>
      <c r="P102" s="114">
        <f>INDEX('[1]资源-钻石'!$O$4:$O$163,$N102)*$O$11</f>
        <v>54935.51225956955</v>
      </c>
      <c r="Q102" s="114">
        <v>0</v>
      </c>
      <c r="R102" s="114"/>
      <c r="S102" s="114">
        <f t="shared" si="33"/>
        <v>0</v>
      </c>
      <c r="T102" s="114">
        <f t="shared" si="34"/>
        <v>0</v>
      </c>
      <c r="U102" s="114">
        <f t="shared" si="35"/>
        <v>0</v>
      </c>
      <c r="V102" s="114">
        <f t="shared" si="36"/>
        <v>0</v>
      </c>
      <c r="W102" s="50"/>
      <c r="X102" s="106"/>
      <c r="Y102" s="115">
        <f>求节点(盗宝贼!$CC$5:$CC$164,盗宝贼!$CG$5:$CG$164,$N102)+S102</f>
        <v>4.1537333756816563</v>
      </c>
      <c r="Z102" s="115">
        <f>求节点(盗宝贼!$CC$5:$CC$164,盗宝贼!$CL$5:$CL$164,$N102)+T102</f>
        <v>0.46152593063129521</v>
      </c>
      <c r="AA102" s="115">
        <f>求节点(盗宝贼!$CC$5:$CC$164,盗宝贼!$CQ$5:$CQ$164,$N102)+U102</f>
        <v>0</v>
      </c>
      <c r="AB102" s="115">
        <f t="shared" si="37"/>
        <v>0</v>
      </c>
      <c r="AC102" s="106"/>
      <c r="AD102" s="106">
        <f>求节点(宝物升星!E$61:E$66,宝物升星!$C$61:$C$66,Y102/SUM(E$8:E$9))</f>
        <v>3.8433343920414087E-2</v>
      </c>
      <c r="AE102" s="106">
        <f>求节点(宝物升星!F$61:F$66,宝物升星!$C$61:$C$66,Z102/SUM(F$8:F$9))</f>
        <v>0</v>
      </c>
      <c r="AF102" s="106">
        <f>求节点(宝物升星!G$61:G$66,宝物升星!$C$61:$C$66,AA102/SUM(G$8:G$9))</f>
        <v>0</v>
      </c>
      <c r="AG102" s="106">
        <f>求节点(宝物升星!H$61:H$66,宝物升星!$C$61:$C$66,AB102/SUM(H$8:H$9))</f>
        <v>0</v>
      </c>
      <c r="AH102" s="50"/>
      <c r="AI102" s="50"/>
      <c r="AJ102" s="50"/>
      <c r="AK102" s="50"/>
      <c r="AL102" s="50"/>
      <c r="AU102" s="92">
        <v>2790</v>
      </c>
      <c r="AY102" s="31">
        <f t="shared" si="26"/>
        <v>0.14285714285714285</v>
      </c>
      <c r="AZ102" s="31">
        <f t="shared" si="32"/>
        <v>7.1428571428571425E-2</v>
      </c>
      <c r="BA102" s="31">
        <f t="shared" si="21"/>
        <v>0</v>
      </c>
      <c r="BB102" s="31">
        <f t="shared" si="22"/>
        <v>0</v>
      </c>
      <c r="BC102" s="31">
        <f t="shared" si="23"/>
        <v>0</v>
      </c>
      <c r="BD102" s="31">
        <f t="shared" si="24"/>
        <v>385.71428571428532</v>
      </c>
      <c r="BE102" s="31">
        <f t="shared" si="25"/>
        <v>188.57142857142838</v>
      </c>
    </row>
    <row r="103" spans="14:57" x14ac:dyDescent="0.15">
      <c r="N103" s="50">
        <v>45</v>
      </c>
      <c r="O103" s="50">
        <f>求节点(节奏总纲!$O$4:$O$163,节奏总纲!S$4:S$163,N103)</f>
        <v>11.572830835613489</v>
      </c>
      <c r="P103" s="114">
        <f>INDEX('[1]资源-钻石'!$O$4:$O$163,$N103)*$O$11</f>
        <v>74439.223581634535</v>
      </c>
      <c r="Q103" s="133">
        <v>0.1</v>
      </c>
      <c r="R103" s="114"/>
      <c r="S103" s="114">
        <f t="shared" si="33"/>
        <v>9.3669356340223455</v>
      </c>
      <c r="T103" s="114">
        <f t="shared" si="34"/>
        <v>4.9626149054423019</v>
      </c>
      <c r="U103" s="114">
        <f t="shared" si="35"/>
        <v>1.4887844716326908</v>
      </c>
      <c r="V103" s="114">
        <f t="shared" si="36"/>
        <v>0.14515648598418734</v>
      </c>
      <c r="W103" s="50"/>
      <c r="X103" s="106"/>
      <c r="Y103" s="115">
        <f>求节点(盗宝贼!$CC$5:$CC$164,盗宝贼!$CG$5:$CG$164,$N103)+S103</f>
        <v>19.734928574587073</v>
      </c>
      <c r="Z103" s="115">
        <f>求节点(盗宝贼!$CC$5:$CC$164,盗宝贼!$CL$5:$CL$164,$N103)+T103</f>
        <v>6.1146141210606046</v>
      </c>
      <c r="AA103" s="115">
        <f>求节点(盗宝贼!$CC$5:$CC$164,盗宝贼!$CQ$5:$CQ$164,$N103)+U103</f>
        <v>1.4887844716326908</v>
      </c>
      <c r="AB103" s="115">
        <f t="shared" si="37"/>
        <v>0.14515648598418734</v>
      </c>
      <c r="AC103" s="106"/>
      <c r="AD103" s="106">
        <f>求节点(宝物升星!E$61:E$66,宝物升星!$C$61:$C$66,Y103/SUM(E$8:E$9))</f>
        <v>2.2334330359116921</v>
      </c>
      <c r="AE103" s="106">
        <f>求节点(宝物升星!F$61:F$66,宝物升星!$C$61:$C$66,Z103/SUM(F$8:F$9))</f>
        <v>0.22292282421212084</v>
      </c>
      <c r="AF103" s="106">
        <f>求节点(宝物升星!G$61:G$66,宝物升星!$C$61:$C$66,AA103/SUM(G$8:G$9))</f>
        <v>0</v>
      </c>
      <c r="AG103" s="106">
        <f>求节点(宝物升星!H$61:H$66,宝物升星!$C$61:$C$66,AB103/SUM(H$8:H$9))</f>
        <v>0</v>
      </c>
      <c r="AH103" s="50"/>
      <c r="AI103" s="50"/>
      <c r="AJ103" s="50"/>
      <c r="AK103" s="50"/>
      <c r="AL103" s="50"/>
      <c r="AU103" s="92">
        <v>2820</v>
      </c>
      <c r="AY103" s="31">
        <f t="shared" si="26"/>
        <v>0.14285714285714285</v>
      </c>
      <c r="AZ103" s="31">
        <f t="shared" si="32"/>
        <v>7.1428571428571425E-2</v>
      </c>
      <c r="BA103" s="31">
        <f t="shared" si="21"/>
        <v>0</v>
      </c>
      <c r="BB103" s="31">
        <f t="shared" si="22"/>
        <v>0</v>
      </c>
      <c r="BC103" s="31">
        <f t="shared" si="23"/>
        <v>0</v>
      </c>
      <c r="BD103" s="31">
        <f t="shared" si="24"/>
        <v>389.9999999999996</v>
      </c>
      <c r="BE103" s="31">
        <f t="shared" si="25"/>
        <v>190.71428571428552</v>
      </c>
    </row>
    <row r="104" spans="14:57" x14ac:dyDescent="0.15">
      <c r="N104" s="50">
        <v>50</v>
      </c>
      <c r="O104" s="50">
        <f>求节点(节奏总纲!$O$4:$O$163,节奏总纲!S$4:S$163,N104)</f>
        <v>16.386599999999998</v>
      </c>
      <c r="P104" s="114">
        <f>INDEX('[1]资源-钻石'!$O$4:$O$163,$N104)*$O$11</f>
        <v>99426.037849538057</v>
      </c>
      <c r="Q104" s="133">
        <v>0.2</v>
      </c>
      <c r="R104" s="114"/>
      <c r="S104" s="114">
        <f t="shared" si="33"/>
        <v>25.022219525467079</v>
      </c>
      <c r="T104" s="114">
        <f t="shared" si="34"/>
        <v>13.256805046605075</v>
      </c>
      <c r="U104" s="114">
        <f t="shared" si="35"/>
        <v>3.9770415139815221</v>
      </c>
      <c r="V104" s="114">
        <f t="shared" si="36"/>
        <v>0.38776154761319848</v>
      </c>
      <c r="W104" s="50"/>
      <c r="X104" s="106"/>
      <c r="Y104" s="115">
        <f>求节点(盗宝贼!$CC$5:$CC$164,盗宝贼!$CG$5:$CG$164,$N104)+S104</f>
        <v>45.477850264173924</v>
      </c>
      <c r="Z104" s="115">
        <f>求节点(盗宝贼!$CC$5:$CC$164,盗宝贼!$CL$5:$CL$164,$N104)+T104</f>
        <v>15.550130804560997</v>
      </c>
      <c r="AA104" s="115">
        <f>求节点(盗宝贼!$CC$5:$CC$164,盗宝贼!$CQ$5:$CQ$164,$N104)+U104</f>
        <v>3.9770415139815221</v>
      </c>
      <c r="AB104" s="115">
        <f t="shared" si="37"/>
        <v>0.38776154761319848</v>
      </c>
      <c r="AC104" s="106"/>
      <c r="AD104" s="106">
        <f>求节点(宝物升星!E$61:E$66,宝物升星!$C$61:$C$66,Y104/SUM(E$8:E$9))</f>
        <v>3.4211828207554351</v>
      </c>
      <c r="AE104" s="106">
        <f>求节点(宝物升星!F$61:F$66,宝物升星!$C$61:$C$66,Z104/SUM(F$8:F$9))</f>
        <v>1.5550130804560998</v>
      </c>
      <c r="AF104" s="106">
        <f>求节点(宝物升星!G$61:G$66,宝物升星!$C$61:$C$66,AA104/SUM(G$8:G$9))</f>
        <v>0</v>
      </c>
      <c r="AG104" s="106">
        <f>求节点(宝物升星!H$61:H$66,宝物升星!$C$61:$C$66,AB104/SUM(H$8:H$9))</f>
        <v>0</v>
      </c>
      <c r="AH104" s="50"/>
      <c r="AI104" s="50"/>
      <c r="AJ104" s="50"/>
      <c r="AK104" s="50"/>
      <c r="AL104" s="50"/>
      <c r="AU104" s="92">
        <v>2850</v>
      </c>
      <c r="AY104" s="31">
        <f t="shared" si="26"/>
        <v>0.14285714285714285</v>
      </c>
      <c r="AZ104" s="31">
        <f t="shared" si="32"/>
        <v>7.1428571428571425E-2</v>
      </c>
      <c r="BA104" s="31">
        <f t="shared" si="21"/>
        <v>0</v>
      </c>
      <c r="BB104" s="31">
        <f t="shared" si="22"/>
        <v>0</v>
      </c>
      <c r="BC104" s="31">
        <f t="shared" si="23"/>
        <v>0</v>
      </c>
      <c r="BD104" s="31">
        <f t="shared" si="24"/>
        <v>394.28571428571388</v>
      </c>
      <c r="BE104" s="31">
        <f t="shared" si="25"/>
        <v>192.85714285714266</v>
      </c>
    </row>
    <row r="105" spans="14:57" x14ac:dyDescent="0.15">
      <c r="N105" s="50">
        <v>60</v>
      </c>
      <c r="O105" s="50">
        <f>求节点(节奏总纲!$O$4:$O$163,节奏总纲!S$4:S$163,N105)</f>
        <v>32.810400000000001</v>
      </c>
      <c r="P105" s="114">
        <f>INDEX('[1]资源-钻石'!$O$4:$O$163,$N105)*$O$11</f>
        <v>181002.74556959778</v>
      </c>
      <c r="Q105" s="133">
        <v>0.5</v>
      </c>
      <c r="R105" s="114"/>
      <c r="S105" s="114">
        <f t="shared" si="33"/>
        <v>113.88089408753859</v>
      </c>
      <c r="T105" s="114">
        <f t="shared" si="34"/>
        <v>60.334248523199257</v>
      </c>
      <c r="U105" s="114">
        <f t="shared" si="35"/>
        <v>18.100274556959778</v>
      </c>
      <c r="V105" s="114">
        <f t="shared" si="36"/>
        <v>1.7647767693035785</v>
      </c>
      <c r="W105" s="50"/>
      <c r="X105" s="106"/>
      <c r="Y105" s="115">
        <f>求节点(盗宝贼!$CC$5:$CC$164,盗宝贼!$CG$5:$CG$164,$N105)+S105</f>
        <v>152.3629746126328</v>
      </c>
      <c r="Z105" s="115">
        <f>求节点(盗宝贼!$CC$5:$CC$164,盗宝贼!$CL$5:$CL$164,$N105)+T105</f>
        <v>66.755602112385034</v>
      </c>
      <c r="AA105" s="115">
        <f>求节点(盗宝贼!$CC$5:$CC$164,盗宝贼!$CQ$5:$CQ$164,$N105)+U105</f>
        <v>18.100274556959778</v>
      </c>
      <c r="AB105" s="115">
        <f t="shared" si="37"/>
        <v>1.7647767693035785</v>
      </c>
      <c r="AC105" s="106"/>
      <c r="AD105" s="106">
        <f>求节点(宝物升星!E$61:E$66,宝物升星!$C$61:$C$66,Y105/SUM(E$8:E$9))</f>
        <v>5</v>
      </c>
      <c r="AE105" s="106">
        <f>求节点(宝物升星!F$61:F$66,宝物升星!$C$61:$C$66,Z105/SUM(F$8:F$9))</f>
        <v>3.6688900528096258</v>
      </c>
      <c r="AF105" s="106">
        <f>求节点(宝物升星!G$61:G$66,宝物升星!$C$61:$C$66,AA105/SUM(G$8:G$9))</f>
        <v>0</v>
      </c>
      <c r="AG105" s="106">
        <f>求节点(宝物升星!H$61:H$66,宝物升星!$C$61:$C$66,AB105/SUM(H$8:H$9))</f>
        <v>0.76477676930357852</v>
      </c>
      <c r="AH105" s="50"/>
      <c r="AI105" s="50"/>
      <c r="AJ105" s="50"/>
      <c r="AK105" s="50"/>
      <c r="AL105" s="50"/>
      <c r="AU105" s="92">
        <v>2880</v>
      </c>
      <c r="AY105" s="31">
        <f t="shared" si="26"/>
        <v>0.14285714285714285</v>
      </c>
      <c r="AZ105" s="31">
        <f t="shared" si="32"/>
        <v>7.1428571428571425E-2</v>
      </c>
      <c r="BA105" s="31">
        <f t="shared" si="21"/>
        <v>0</v>
      </c>
      <c r="BB105" s="31">
        <f t="shared" si="22"/>
        <v>0</v>
      </c>
      <c r="BC105" s="31">
        <f t="shared" si="23"/>
        <v>0</v>
      </c>
      <c r="BD105" s="31">
        <f t="shared" si="24"/>
        <v>398.57142857142816</v>
      </c>
      <c r="BE105" s="31">
        <f t="shared" si="25"/>
        <v>194.9999999999998</v>
      </c>
    </row>
    <row r="106" spans="14:57" x14ac:dyDescent="0.15">
      <c r="N106" s="50">
        <v>70</v>
      </c>
      <c r="O106" s="50">
        <f>求节点(节奏总纲!$O$4:$O$163,节奏总纲!S$4:S$163,N106)</f>
        <v>65.925700000000006</v>
      </c>
      <c r="P106" s="114">
        <f>INDEX('[1]资源-钻石'!$O$4:$O$163,$N106)*$O$11</f>
        <v>353602.11681421223</v>
      </c>
      <c r="Q106" s="133">
        <v>1</v>
      </c>
      <c r="R106" s="114"/>
      <c r="S106" s="114">
        <f t="shared" si="33"/>
        <v>444.94933032455037</v>
      </c>
      <c r="T106" s="114">
        <f t="shared" si="34"/>
        <v>235.73474454280816</v>
      </c>
      <c r="U106" s="114">
        <f t="shared" si="35"/>
        <v>70.720423362842453</v>
      </c>
      <c r="V106" s="114">
        <f t="shared" si="36"/>
        <v>6.8952412778771386</v>
      </c>
      <c r="W106" s="50"/>
      <c r="X106" s="106"/>
      <c r="Y106" s="115">
        <f>求节点(盗宝贼!$CC$5:$CC$164,盗宝贼!$CG$5:$CG$164,$N106)+S106</f>
        <v>519.08803459250942</v>
      </c>
      <c r="Z106" s="115">
        <f>求节点(盗宝贼!$CC$5:$CC$164,盗宝贼!$CL$5:$CL$164,$N106)+T106</f>
        <v>257.43750830750747</v>
      </c>
      <c r="AA106" s="115">
        <f>求节点(盗宝贼!$CC$5:$CC$164,盗宝贼!$CQ$5:$CQ$164,$N106)+U106</f>
        <v>70.720423362842453</v>
      </c>
      <c r="AB106" s="115">
        <f t="shared" si="37"/>
        <v>6.8952412778771386</v>
      </c>
      <c r="AC106" s="106"/>
      <c r="AD106" s="106">
        <f>求节点(宝物升星!E$61:E$66,宝物升星!$C$61:$C$66,Y106/SUM(E$8:E$9))</f>
        <v>5</v>
      </c>
      <c r="AE106" s="106">
        <f>求节点(宝物升星!F$61:F$66,宝物升星!$C$61:$C$66,Z106/SUM(F$8:F$9))</f>
        <v>5</v>
      </c>
      <c r="AF106" s="106">
        <f>求节点(宝物升星!G$61:G$66,宝物升星!$C$61:$C$66,AA106/SUM(G$8:G$9))</f>
        <v>1.8288169345136982</v>
      </c>
      <c r="AG106" s="106">
        <f>求节点(宝物升星!H$61:H$66,宝物升星!$C$61:$C$66,AB106/SUM(H$8:H$9))</f>
        <v>4.2238103194692851</v>
      </c>
      <c r="AH106" s="50"/>
      <c r="AI106" s="50"/>
      <c r="AJ106" s="50"/>
      <c r="AK106" s="50"/>
      <c r="AL106" s="50"/>
      <c r="AU106" s="92">
        <v>2910</v>
      </c>
      <c r="AY106" s="31">
        <f t="shared" si="26"/>
        <v>0.14285714285714285</v>
      </c>
      <c r="AZ106" s="31">
        <f t="shared" si="32"/>
        <v>7.1428571428571425E-2</v>
      </c>
      <c r="BA106" s="31">
        <f t="shared" si="21"/>
        <v>0</v>
      </c>
      <c r="BB106" s="31">
        <f t="shared" si="22"/>
        <v>0</v>
      </c>
      <c r="BC106" s="31">
        <f t="shared" si="23"/>
        <v>0</v>
      </c>
      <c r="BD106" s="31">
        <f t="shared" si="24"/>
        <v>402.85714285714243</v>
      </c>
      <c r="BE106" s="31">
        <f t="shared" si="25"/>
        <v>197.14285714285694</v>
      </c>
    </row>
    <row r="107" spans="14:57" x14ac:dyDescent="0.15">
      <c r="N107" s="50">
        <v>80</v>
      </c>
      <c r="O107" s="50">
        <f>求节点(节奏总纲!$O$4:$O$163,节奏总纲!S$4:S$163,N107)</f>
        <v>131.58000000000001</v>
      </c>
      <c r="P107" s="114">
        <f>INDEX('[1]资源-钻石'!$O$4:$O$163,$N107)*$O$11</f>
        <v>682793.44038600719</v>
      </c>
      <c r="Q107" s="133">
        <v>1</v>
      </c>
      <c r="R107" s="114"/>
      <c r="S107" s="114">
        <f t="shared" si="33"/>
        <v>859.18174581905896</v>
      </c>
      <c r="T107" s="114">
        <f t="shared" si="34"/>
        <v>455.19562692400478</v>
      </c>
      <c r="U107" s="114">
        <f t="shared" si="35"/>
        <v>136.55868807720145</v>
      </c>
      <c r="V107" s="114">
        <f t="shared" si="36"/>
        <v>13.314472087527141</v>
      </c>
      <c r="W107" s="50"/>
      <c r="X107" s="106"/>
      <c r="Y107" s="115">
        <f>求节点(盗宝贼!$CC$5:$CC$164,盗宝贼!$CG$5:$CG$164,$N107)+S107</f>
        <v>1041.9546812037604</v>
      </c>
      <c r="Z107" s="115">
        <f>求节点(盗宝贼!$CC$5:$CC$164,盗宝贼!$CL$5:$CL$164,$N107)+T107</f>
        <v>523.45591831016509</v>
      </c>
      <c r="AA107" s="115">
        <f>求节点(盗宝贼!$CC$5:$CC$164,盗宝贼!$CQ$5:$CQ$164,$N107)+U107</f>
        <v>136.55868807720145</v>
      </c>
      <c r="AB107" s="115">
        <f t="shared" si="37"/>
        <v>13.314472087527141</v>
      </c>
      <c r="AC107" s="106"/>
      <c r="AD107" s="106">
        <f>求节点(宝物升星!E$61:E$66,宝物升星!$C$61:$C$66,Y107/SUM(E$8:E$9))</f>
        <v>5</v>
      </c>
      <c r="AE107" s="106">
        <f>求节点(宝物升星!F$61:F$66,宝物升星!$C$61:$C$66,Z107/SUM(F$8:F$9))</f>
        <v>5</v>
      </c>
      <c r="AF107" s="106">
        <f>求节点(宝物升星!G$61:G$66,宝物升星!$C$61:$C$66,AA107/SUM(G$8:G$9))</f>
        <v>3.1155868807720148</v>
      </c>
      <c r="AG107" s="106">
        <f>求节点(宝物升星!H$61:H$66,宝物升星!$C$61:$C$66,AB107/SUM(H$8:H$9))</f>
        <v>5</v>
      </c>
      <c r="AH107" s="50"/>
      <c r="AI107" s="50"/>
      <c r="AJ107" s="50"/>
      <c r="AK107" s="50"/>
      <c r="AL107" s="50"/>
      <c r="AU107" s="92">
        <v>2940</v>
      </c>
      <c r="AY107" s="31">
        <f t="shared" si="26"/>
        <v>0.14285714285714285</v>
      </c>
      <c r="AZ107" s="31">
        <f t="shared" si="32"/>
        <v>7.1428571428571425E-2</v>
      </c>
      <c r="BA107" s="31">
        <f t="shared" si="21"/>
        <v>0</v>
      </c>
      <c r="BB107" s="31">
        <f t="shared" si="22"/>
        <v>0</v>
      </c>
      <c r="BC107" s="31">
        <f t="shared" si="23"/>
        <v>0</v>
      </c>
      <c r="BD107" s="31">
        <f t="shared" si="24"/>
        <v>407.14285714285671</v>
      </c>
      <c r="BE107" s="31">
        <f t="shared" si="25"/>
        <v>199.28571428571408</v>
      </c>
    </row>
    <row r="108" spans="14:57" x14ac:dyDescent="0.15">
      <c r="N108" s="50">
        <v>90</v>
      </c>
      <c r="O108" s="50">
        <f>求节点(节奏总纲!$O$4:$O$163,节奏总纲!S$4:S$163,N108)</f>
        <v>254.88680000000002</v>
      </c>
      <c r="P108" s="114">
        <f>INDEX('[1]资源-钻石'!$O$4:$O$163,$N108)*$O$11</f>
        <v>1300210.2212937155</v>
      </c>
      <c r="Q108" s="133">
        <v>1</v>
      </c>
      <c r="R108" s="114"/>
      <c r="S108" s="114">
        <f t="shared" si="33"/>
        <v>1636.0978617945921</v>
      </c>
      <c r="T108" s="114">
        <f t="shared" si="34"/>
        <v>866.80681419581038</v>
      </c>
      <c r="U108" s="114">
        <f t="shared" si="35"/>
        <v>260.04204425874315</v>
      </c>
      <c r="V108" s="114">
        <f t="shared" si="36"/>
        <v>25.354099315227455</v>
      </c>
      <c r="W108" s="50"/>
      <c r="X108" s="106"/>
      <c r="Y108" s="115">
        <f>求节点(盗宝贼!$CC$5:$CC$164,盗宝贼!$CG$5:$CG$164,$N108)+S108</f>
        <v>2032.2408838992937</v>
      </c>
      <c r="Z108" s="115">
        <f>求节点(盗宝贼!$CC$5:$CC$164,盗宝贼!$CL$5:$CL$164,$N108)+T108</f>
        <v>1026.5114284619708</v>
      </c>
      <c r="AA108" s="115">
        <f>求节点(盗宝贼!$CC$5:$CC$164,盗宝贼!$CQ$5:$CQ$164,$N108)+U108</f>
        <v>260.04204425874315</v>
      </c>
      <c r="AB108" s="115">
        <f t="shared" si="37"/>
        <v>25.354099315227455</v>
      </c>
      <c r="AC108" s="106"/>
      <c r="AD108" s="106">
        <f>求节点(宝物升星!E$61:E$66,宝物升星!$C$61:$C$66,Y108/SUM(E$8:E$9))</f>
        <v>5</v>
      </c>
      <c r="AE108" s="106">
        <f>求节点(宝物升星!F$61:F$66,宝物升星!$C$61:$C$66,Z108/SUM(F$8:F$9))</f>
        <v>5</v>
      </c>
      <c r="AF108" s="106">
        <f>求节点(宝物升星!G$61:G$66,宝物升星!$C$61:$C$66,AA108/SUM(G$8:G$9))</f>
        <v>4.1752102212937157</v>
      </c>
      <c r="AG108" s="106">
        <f>求节点(宝物升星!H$61:H$66,宝物升星!$C$61:$C$66,AB108/SUM(H$8:H$9))</f>
        <v>5</v>
      </c>
      <c r="AH108" s="50"/>
      <c r="AI108" s="50"/>
      <c r="AJ108" s="50"/>
      <c r="AK108" s="50"/>
      <c r="AL108" s="50"/>
      <c r="AU108" s="92">
        <v>2970</v>
      </c>
      <c r="AY108" s="31">
        <f t="shared" si="26"/>
        <v>0.14285714285714285</v>
      </c>
      <c r="AZ108" s="31">
        <f t="shared" si="32"/>
        <v>7.1428571428571425E-2</v>
      </c>
      <c r="BA108" s="31">
        <f t="shared" si="21"/>
        <v>0</v>
      </c>
      <c r="BB108" s="31">
        <f t="shared" si="22"/>
        <v>0</v>
      </c>
      <c r="BC108" s="31">
        <f t="shared" si="23"/>
        <v>0</v>
      </c>
      <c r="BD108" s="31">
        <f t="shared" si="24"/>
        <v>411.42857142857099</v>
      </c>
      <c r="BE108" s="31">
        <f t="shared" si="25"/>
        <v>201.42857142857122</v>
      </c>
    </row>
    <row r="109" spans="14:57" x14ac:dyDescent="0.15">
      <c r="N109" s="50">
        <v>100</v>
      </c>
      <c r="O109" s="50">
        <f>求节点(节奏总纲!$O$4:$O$163,节奏总纲!S$4:S$163,N109)</f>
        <v>508.22640000000001</v>
      </c>
      <c r="P109" s="114">
        <f>INDEX('[1]资源-钻石'!$O$4:$O$163,$N109)*$O$11</f>
        <v>2388288.2279225988</v>
      </c>
      <c r="Q109" s="133">
        <v>1</v>
      </c>
      <c r="R109" s="114"/>
      <c r="S109" s="114">
        <f t="shared" si="33"/>
        <v>3005.2626868026032</v>
      </c>
      <c r="T109" s="114">
        <f t="shared" si="34"/>
        <v>1592.1921519483992</v>
      </c>
      <c r="U109" s="114">
        <f t="shared" si="35"/>
        <v>477.6576455845198</v>
      </c>
      <c r="V109" s="114">
        <f t="shared" si="36"/>
        <v>46.571620444490677</v>
      </c>
      <c r="W109" s="50"/>
      <c r="X109" s="106"/>
      <c r="Y109" s="115">
        <f>求节点(盗宝贼!$CC$5:$CC$164,盗宝贼!$CG$5:$CG$164,$N109)+S109</f>
        <v>3839.7845527473046</v>
      </c>
      <c r="Z109" s="115">
        <f>求节点(盗宝贼!$CC$5:$CC$164,盗宝贼!$CL$5:$CL$164,$N109)+T109</f>
        <v>1939.7734135745595</v>
      </c>
      <c r="AA109" s="115">
        <f>求节点(盗宝贼!$CC$5:$CC$164,盗宝贼!$CQ$5:$CQ$164,$N109)+U109</f>
        <v>477.6576455845198</v>
      </c>
      <c r="AB109" s="115">
        <f t="shared" si="37"/>
        <v>46.571620444490677</v>
      </c>
      <c r="AC109" s="106"/>
      <c r="AD109" s="106">
        <f>求节点(宝物升星!E$61:E$66,宝物升星!$C$61:$C$66,Y109/SUM(E$8:E$9))</f>
        <v>5</v>
      </c>
      <c r="AE109" s="106">
        <f>求节点(宝物升星!F$61:F$66,宝物升星!$C$61:$C$66,Z109/SUM(F$8:F$9))</f>
        <v>5</v>
      </c>
      <c r="AF109" s="106">
        <f>求节点(宝物升星!G$61:G$66,宝物升星!$C$61:$C$66,AA109/SUM(G$8:G$9))</f>
        <v>5</v>
      </c>
      <c r="AG109" s="106">
        <f>求节点(宝物升星!H$61:H$66,宝物升星!$C$61:$C$66,AB109/SUM(H$8:H$9))</f>
        <v>5</v>
      </c>
      <c r="AH109" s="50"/>
      <c r="AI109" s="50"/>
      <c r="AJ109" s="50"/>
      <c r="AK109" s="50"/>
      <c r="AL109" s="50"/>
      <c r="AU109" s="92">
        <v>3000</v>
      </c>
      <c r="AY109" s="31">
        <f t="shared" si="26"/>
        <v>0.14285714285714285</v>
      </c>
      <c r="AZ109" s="31">
        <f t="shared" si="32"/>
        <v>7.1428571428571425E-2</v>
      </c>
      <c r="BA109" s="31">
        <f t="shared" si="21"/>
        <v>0</v>
      </c>
      <c r="BB109" s="31">
        <f t="shared" si="22"/>
        <v>0</v>
      </c>
      <c r="BC109" s="31">
        <f t="shared" si="23"/>
        <v>0</v>
      </c>
      <c r="BD109" s="31">
        <f t="shared" si="24"/>
        <v>415.71428571428527</v>
      </c>
      <c r="BE109" s="31">
        <f t="shared" si="25"/>
        <v>203.57142857142836</v>
      </c>
    </row>
    <row r="110" spans="14:57" x14ac:dyDescent="0.15">
      <c r="N110" s="50">
        <v>110</v>
      </c>
      <c r="O110" s="50">
        <f>求节点(节奏总纲!$O$4:$O$163,节奏总纲!S$4:S$163,N110)</f>
        <v>999.75480000000005</v>
      </c>
      <c r="P110" s="114">
        <f>INDEX('[1]资源-钻石'!$O$4:$O$163,$N110)*$O$11</f>
        <v>3540997.276576648</v>
      </c>
      <c r="Q110" s="133">
        <v>1</v>
      </c>
      <c r="R110" s="114"/>
      <c r="S110" s="114">
        <f t="shared" si="33"/>
        <v>4455.7549063589477</v>
      </c>
      <c r="T110" s="114">
        <f t="shared" si="34"/>
        <v>2360.6648510510986</v>
      </c>
      <c r="U110" s="114">
        <f t="shared" si="35"/>
        <v>708.1994553153296</v>
      </c>
      <c r="V110" s="114">
        <f t="shared" si="36"/>
        <v>69.049446893244635</v>
      </c>
      <c r="W110" s="50"/>
      <c r="X110" s="106"/>
      <c r="Y110" s="115">
        <f>求节点(盗宝贼!$CC$5:$CC$164,盗宝贼!$CG$5:$CG$164,$N110)+S110</f>
        <v>6140.8175156636498</v>
      </c>
      <c r="Z110" s="115">
        <f>求节点(盗宝贼!$CC$5:$CC$164,盗宝贼!$CL$5:$CL$164,$N110)+T110</f>
        <v>3072.7635741172589</v>
      </c>
      <c r="AA110" s="115">
        <f>求节点(盗宝贼!$CC$5:$CC$164,盗宝贼!$CQ$5:$CQ$164,$N110)+U110</f>
        <v>708.1994553153296</v>
      </c>
      <c r="AB110" s="115">
        <f t="shared" si="37"/>
        <v>69.049446893244635</v>
      </c>
      <c r="AC110" s="106"/>
      <c r="AD110" s="106">
        <f>求节点(宝物升星!E$61:E$66,宝物升星!$C$61:$C$66,Y110/SUM(E$8:E$9))</f>
        <v>5</v>
      </c>
      <c r="AE110" s="106">
        <f>求节点(宝物升星!F$61:F$66,宝物升星!$C$61:$C$66,Z110/SUM(F$8:F$9))</f>
        <v>5</v>
      </c>
      <c r="AF110" s="106">
        <f>求节点(宝物升星!G$61:G$66,宝物升星!$C$61:$C$66,AA110/SUM(G$8:G$9))</f>
        <v>5</v>
      </c>
      <c r="AG110" s="106">
        <f>求节点(宝物升星!H$61:H$66,宝物升星!$C$61:$C$66,AB110/SUM(H$8:H$9))</f>
        <v>5</v>
      </c>
      <c r="AH110" s="50"/>
      <c r="AI110" s="50"/>
      <c r="AJ110" s="50"/>
      <c r="AK110" s="50"/>
      <c r="AL110" s="50"/>
      <c r="AU110" s="92">
        <v>3030</v>
      </c>
      <c r="AY110" s="31">
        <f t="shared" si="26"/>
        <v>0.14285714285714285</v>
      </c>
      <c r="AZ110" s="31">
        <f t="shared" si="32"/>
        <v>7.1428571428571425E-2</v>
      </c>
      <c r="BA110" s="31">
        <f t="shared" si="21"/>
        <v>0</v>
      </c>
      <c r="BB110" s="31">
        <f t="shared" si="22"/>
        <v>0</v>
      </c>
      <c r="BC110" s="31">
        <f t="shared" si="23"/>
        <v>0</v>
      </c>
      <c r="BD110" s="31">
        <f t="shared" si="24"/>
        <v>419.99999999999955</v>
      </c>
      <c r="BE110" s="31">
        <f t="shared" si="25"/>
        <v>205.7142857142855</v>
      </c>
    </row>
    <row r="111" spans="14:57" x14ac:dyDescent="0.15">
      <c r="N111" s="50">
        <v>120</v>
      </c>
      <c r="O111" s="50">
        <f>求节点(节奏总纲!$O$4:$O$163,节奏总纲!S$4:S$163,N111)</f>
        <v>1987.713</v>
      </c>
      <c r="P111" s="114">
        <f>INDEX('[1]资源-钻石'!$O$4:$O$163,$N111)*$O$11</f>
        <v>4693706.3252306981</v>
      </c>
      <c r="Q111" s="133">
        <v>1</v>
      </c>
      <c r="R111" s="114"/>
      <c r="S111" s="114">
        <f t="shared" si="33"/>
        <v>5906.2471259152944</v>
      </c>
      <c r="T111" s="114">
        <f t="shared" si="34"/>
        <v>3129.1375501537987</v>
      </c>
      <c r="U111" s="114">
        <f t="shared" si="35"/>
        <v>938.74126504613957</v>
      </c>
      <c r="V111" s="114">
        <f t="shared" si="36"/>
        <v>91.527273341998622</v>
      </c>
      <c r="W111" s="50"/>
      <c r="X111" s="106"/>
      <c r="Y111" s="115">
        <f>求节点(盗宝贼!$CC$5:$CC$164,盗宝贼!$CG$5:$CG$164,$N111)+S111</f>
        <v>9300.8726044999948</v>
      </c>
      <c r="Z111" s="115">
        <f>求节点(盗宝贼!$CC$5:$CC$164,盗宝贼!$CL$5:$CL$164,$N111)+T111</f>
        <v>4573.9060743399586</v>
      </c>
      <c r="AA111" s="115">
        <f>求节点(盗宝贼!$CC$5:$CC$164,盗宝贼!$CQ$5:$CQ$164,$N111)+U111</f>
        <v>938.74126504613957</v>
      </c>
      <c r="AB111" s="115">
        <f t="shared" si="37"/>
        <v>91.527273341998622</v>
      </c>
      <c r="AC111" s="106"/>
      <c r="AD111" s="106">
        <f>求节点(宝物升星!E$61:E$66,宝物升星!$C$61:$C$66,Y111/SUM(E$8:E$9))</f>
        <v>5</v>
      </c>
      <c r="AE111" s="106">
        <f>求节点(宝物升星!F$61:F$66,宝物升星!$C$61:$C$66,Z111/SUM(F$8:F$9))</f>
        <v>5</v>
      </c>
      <c r="AF111" s="106">
        <f>求节点(宝物升星!G$61:G$66,宝物升星!$C$61:$C$66,AA111/SUM(G$8:G$9))</f>
        <v>5</v>
      </c>
      <c r="AG111" s="106">
        <f>求节点(宝物升星!H$61:H$66,宝物升星!$C$61:$C$66,AB111/SUM(H$8:H$9))</f>
        <v>5</v>
      </c>
      <c r="AH111" s="50"/>
      <c r="AI111" s="50"/>
      <c r="AJ111" s="50"/>
      <c r="AK111" s="50"/>
      <c r="AL111" s="50"/>
      <c r="AU111" s="92">
        <v>3060</v>
      </c>
      <c r="AY111" s="31">
        <f t="shared" si="26"/>
        <v>0.14285714285714285</v>
      </c>
      <c r="AZ111" s="31">
        <f t="shared" si="32"/>
        <v>7.1428571428571425E-2</v>
      </c>
      <c r="BA111" s="31">
        <f t="shared" si="21"/>
        <v>0</v>
      </c>
      <c r="BB111" s="31">
        <f t="shared" si="22"/>
        <v>0</v>
      </c>
      <c r="BC111" s="31">
        <f t="shared" si="23"/>
        <v>0</v>
      </c>
      <c r="BD111" s="31">
        <f t="shared" si="24"/>
        <v>424.28571428571382</v>
      </c>
      <c r="BE111" s="31">
        <f t="shared" si="25"/>
        <v>207.85714285714263</v>
      </c>
    </row>
    <row r="112" spans="14:57" x14ac:dyDescent="0.15">
      <c r="N112" s="50">
        <v>130</v>
      </c>
      <c r="O112" s="50">
        <f>求节点(节奏总纲!$O$4:$O$163,节奏总纲!S$4:S$163,N112)</f>
        <v>3951.3384000000001</v>
      </c>
      <c r="P112" s="114">
        <f>INDEX('[1]资源-钻石'!$O$4:$O$163,$N112)*$O$11</f>
        <v>5846415.3738847477</v>
      </c>
      <c r="Q112" s="133">
        <v>1</v>
      </c>
      <c r="R112" s="114"/>
      <c r="S112" s="114">
        <f t="shared" si="33"/>
        <v>7356.7393454716403</v>
      </c>
      <c r="T112" s="114">
        <f t="shared" si="34"/>
        <v>3897.6102492564983</v>
      </c>
      <c r="U112" s="114">
        <f t="shared" si="35"/>
        <v>1169.2830747769494</v>
      </c>
      <c r="V112" s="114">
        <f t="shared" si="36"/>
        <v>114.0050997907526</v>
      </c>
      <c r="W112" s="50"/>
      <c r="X112" s="106"/>
      <c r="Y112" s="115">
        <f>求节点(盗宝贼!$CC$5:$CC$164,盗宝贼!$CG$5:$CG$164,$N112)+S112</f>
        <v>14149.222216216343</v>
      </c>
      <c r="Z112" s="115">
        <f>求节点(盗宝贼!$CC$5:$CC$164,盗宝贼!$CL$5:$CL$164,$N112)+T112</f>
        <v>6798.6033700826592</v>
      </c>
      <c r="AA112" s="115">
        <f>求节点(盗宝贼!$CC$5:$CC$164,盗宝贼!$CQ$5:$CQ$164,$N112)+U112</f>
        <v>1169.2830747769494</v>
      </c>
      <c r="AB112" s="115">
        <f t="shared" si="37"/>
        <v>114.0050997907526</v>
      </c>
      <c r="AC112" s="106"/>
      <c r="AD112" s="106">
        <f>求节点(宝物升星!E$61:E$66,宝物升星!$C$61:$C$66,Y112/SUM(E$8:E$9))</f>
        <v>5</v>
      </c>
      <c r="AE112" s="106">
        <f>求节点(宝物升星!F$61:F$66,宝物升星!$C$61:$C$66,Z112/SUM(F$8:F$9))</f>
        <v>5</v>
      </c>
      <c r="AF112" s="106">
        <f>求节点(宝物升星!G$61:G$66,宝物升星!$C$61:$C$66,AA112/SUM(G$8:G$9))</f>
        <v>5</v>
      </c>
      <c r="AG112" s="106">
        <f>求节点(宝物升星!H$61:H$66,宝物升星!$C$61:$C$66,AB112/SUM(H$8:H$9))</f>
        <v>5</v>
      </c>
      <c r="AH112" s="50"/>
      <c r="AI112" s="50"/>
      <c r="AJ112" s="50"/>
      <c r="AK112" s="50"/>
      <c r="AL112" s="50"/>
      <c r="AU112" s="92">
        <v>3090</v>
      </c>
      <c r="AY112" s="31">
        <f t="shared" si="26"/>
        <v>0.14285714285714285</v>
      </c>
      <c r="AZ112" s="31">
        <f t="shared" si="32"/>
        <v>7.1428571428571425E-2</v>
      </c>
      <c r="BA112" s="31">
        <f t="shared" si="21"/>
        <v>0</v>
      </c>
      <c r="BB112" s="31">
        <f t="shared" si="22"/>
        <v>0</v>
      </c>
      <c r="BC112" s="31">
        <f t="shared" si="23"/>
        <v>0</v>
      </c>
      <c r="BD112" s="31">
        <f t="shared" si="24"/>
        <v>428.5714285714281</v>
      </c>
      <c r="BE112" s="31">
        <f t="shared" si="25"/>
        <v>209.99999999999977</v>
      </c>
    </row>
    <row r="113" spans="14:57" x14ac:dyDescent="0.15">
      <c r="N113" s="50">
        <v>140</v>
      </c>
      <c r="O113" s="50">
        <f>求节点(节奏总纲!$O$4:$O$163,节奏总纲!S$4:S$163,N113)</f>
        <v>7804.8612000000003</v>
      </c>
      <c r="P113" s="114">
        <f>INDEX('[1]资源-钻石'!$O$4:$O$163,$N113)*$O$11</f>
        <v>6999124.4225387974</v>
      </c>
      <c r="Q113" s="133">
        <v>1</v>
      </c>
      <c r="R113" s="114"/>
      <c r="S113" s="114">
        <f t="shared" si="33"/>
        <v>8807.2315650279852</v>
      </c>
      <c r="T113" s="114">
        <f t="shared" si="34"/>
        <v>4666.0829483591979</v>
      </c>
      <c r="U113" s="114">
        <f t="shared" si="35"/>
        <v>1399.8248845077594</v>
      </c>
      <c r="V113" s="114">
        <f t="shared" si="36"/>
        <v>136.48292623950655</v>
      </c>
      <c r="W113" s="50"/>
      <c r="X113" s="106"/>
      <c r="Y113" s="115">
        <f>求节点(盗宝贼!$CC$5:$CC$164,盗宝贼!$CG$5:$CG$164,$N113)+S113</f>
        <v>22267.850288892689</v>
      </c>
      <c r="Z113" s="115">
        <f>求节点(盗宝贼!$CC$5:$CC$164,盗宝贼!$CL$5:$CL$164,$N113)+T113</f>
        <v>10424.848577665358</v>
      </c>
      <c r="AA113" s="115">
        <f>求节点(盗宝贼!$CC$5:$CC$164,盗宝贼!$CQ$5:$CQ$164,$N113)+U113</f>
        <v>1399.8248845077594</v>
      </c>
      <c r="AB113" s="115">
        <f t="shared" si="37"/>
        <v>136.48292623950655</v>
      </c>
      <c r="AC113" s="106"/>
      <c r="AD113" s="106">
        <f>求节点(宝物升星!E$61:E$66,宝物升星!$C$61:$C$66,Y113/SUM(E$8:E$9))</f>
        <v>5</v>
      </c>
      <c r="AE113" s="106">
        <f>求节点(宝物升星!F$61:F$66,宝物升星!$C$61:$C$66,Z113/SUM(F$8:F$9))</f>
        <v>5</v>
      </c>
      <c r="AF113" s="106">
        <f>求节点(宝物升星!G$61:G$66,宝物升星!$C$61:$C$66,AA113/SUM(G$8:G$9))</f>
        <v>5</v>
      </c>
      <c r="AG113" s="106">
        <f>求节点(宝物升星!H$61:H$66,宝物升星!$C$61:$C$66,AB113/SUM(H$8:H$9))</f>
        <v>5</v>
      </c>
      <c r="AH113" s="50"/>
      <c r="AI113" s="50"/>
      <c r="AJ113" s="50"/>
      <c r="AK113" s="50"/>
      <c r="AL113" s="50"/>
      <c r="AU113" s="92">
        <v>3120</v>
      </c>
      <c r="AY113" s="31">
        <f t="shared" si="26"/>
        <v>0.14285714285714285</v>
      </c>
      <c r="AZ113" s="31">
        <f t="shared" si="32"/>
        <v>7.1428571428571425E-2</v>
      </c>
      <c r="BA113" s="31">
        <f t="shared" si="21"/>
        <v>0</v>
      </c>
      <c r="BB113" s="31">
        <f t="shared" si="22"/>
        <v>0</v>
      </c>
      <c r="BC113" s="31">
        <f t="shared" si="23"/>
        <v>0</v>
      </c>
      <c r="BD113" s="31">
        <f t="shared" si="24"/>
        <v>432.85714285714238</v>
      </c>
      <c r="BE113" s="31">
        <f t="shared" si="25"/>
        <v>212.14285714285691</v>
      </c>
    </row>
    <row r="114" spans="14:57" x14ac:dyDescent="0.15">
      <c r="N114" s="50">
        <v>150</v>
      </c>
      <c r="O114" s="50">
        <f>求节点(节奏总纲!$O$4:$O$163,节奏总纲!S$4:S$163,N114)</f>
        <v>15577.4318</v>
      </c>
      <c r="P114" s="114">
        <f>INDEX('[1]资源-钻石'!$O$4:$O$163,$N114)*$O$11</f>
        <v>8151833.4711928461</v>
      </c>
      <c r="Q114" s="133">
        <v>1</v>
      </c>
      <c r="R114" s="114"/>
      <c r="S114" s="114">
        <f t="shared" si="33"/>
        <v>10257.72378458433</v>
      </c>
      <c r="T114" s="114">
        <f t="shared" si="34"/>
        <v>5434.555647461897</v>
      </c>
      <c r="U114" s="114">
        <f t="shared" si="35"/>
        <v>1630.3666942385692</v>
      </c>
      <c r="V114" s="114">
        <f t="shared" si="36"/>
        <v>158.96075268826053</v>
      </c>
      <c r="W114" s="50"/>
      <c r="X114" s="106"/>
      <c r="Y114" s="115">
        <f>求节点(盗宝贼!$CC$5:$CC$164,盗宝贼!$CG$5:$CG$164,$N114)+S114</f>
        <v>37167.998674689035</v>
      </c>
      <c r="Z114" s="115">
        <f>求节点(盗宝贼!$CC$5:$CC$164,盗宝贼!$CL$5:$CL$164,$N114)+T114</f>
        <v>16957.45963372806</v>
      </c>
      <c r="AA114" s="115">
        <f>求节点(盗宝贼!$CC$5:$CC$164,盗宝贼!$CQ$5:$CQ$164,$N114)+U114</f>
        <v>1630.3666942385692</v>
      </c>
      <c r="AB114" s="115">
        <f t="shared" si="37"/>
        <v>158.96075268826053</v>
      </c>
      <c r="AC114" s="106"/>
      <c r="AD114" s="106">
        <f>求节点(宝物升星!E$61:E$66,宝物升星!$C$61:$C$66,Y114/SUM(E$8:E$9))</f>
        <v>5</v>
      </c>
      <c r="AE114" s="106">
        <f>求节点(宝物升星!F$61:F$66,宝物升星!$C$61:$C$66,Z114/SUM(F$8:F$9))</f>
        <v>5</v>
      </c>
      <c r="AF114" s="106">
        <f>求节点(宝物升星!G$61:G$66,宝物升星!$C$61:$C$66,AA114/SUM(G$8:G$9))</f>
        <v>5</v>
      </c>
      <c r="AG114" s="106">
        <f>求节点(宝物升星!H$61:H$66,宝物升星!$C$61:$C$66,AB114/SUM(H$8:H$9))</f>
        <v>5</v>
      </c>
      <c r="AH114" s="50"/>
      <c r="AI114" s="50"/>
      <c r="AJ114" s="50"/>
      <c r="AK114" s="50"/>
      <c r="AL114" s="50"/>
      <c r="AU114" s="92">
        <v>3150</v>
      </c>
      <c r="AY114" s="31">
        <f t="shared" si="26"/>
        <v>0.14285714285714285</v>
      </c>
      <c r="AZ114" s="31">
        <f t="shared" si="32"/>
        <v>7.1428571428571425E-2</v>
      </c>
      <c r="BA114" s="31">
        <f t="shared" si="21"/>
        <v>0</v>
      </c>
      <c r="BB114" s="31">
        <f t="shared" si="22"/>
        <v>0</v>
      </c>
      <c r="BC114" s="31">
        <f t="shared" si="23"/>
        <v>0</v>
      </c>
      <c r="BD114" s="31">
        <f t="shared" si="24"/>
        <v>437.14285714285666</v>
      </c>
      <c r="BE114" s="31">
        <f t="shared" si="25"/>
        <v>214.28571428571405</v>
      </c>
    </row>
    <row r="115" spans="14:57" x14ac:dyDescent="0.15">
      <c r="N115" s="50">
        <v>160</v>
      </c>
      <c r="O115" s="50">
        <f>求节点(节奏总纲!$O$4:$O$163,节奏总纲!S$4:S$163,N115)</f>
        <v>66190.350000000006</v>
      </c>
      <c r="P115" s="114">
        <f>INDEX('[1]资源-钻石'!$O$4:$O$163,$N115)*$O$11</f>
        <v>9304542.5198468957</v>
      </c>
      <c r="Q115" s="133">
        <v>1</v>
      </c>
      <c r="R115" s="114"/>
      <c r="S115" s="114">
        <f t="shared" si="33"/>
        <v>11708.216004140677</v>
      </c>
      <c r="T115" s="114">
        <f t="shared" si="34"/>
        <v>6203.0283465645971</v>
      </c>
      <c r="U115" s="114">
        <f t="shared" si="35"/>
        <v>1860.9085039693794</v>
      </c>
      <c r="V115" s="114">
        <f t="shared" si="36"/>
        <v>181.4385791370145</v>
      </c>
      <c r="W115" s="50"/>
      <c r="X115" s="106"/>
      <c r="Y115" s="115">
        <f>求节点(盗宝贼!$CC$5:$CC$164,盗宝贼!$CG$5:$CG$164,$N115)+S115</f>
        <v>126199.08454752539</v>
      </c>
      <c r="Z115" s="115">
        <f>求节点(盗宝贼!$CC$5:$CC$164,盗宝贼!$CL$5:$CL$164,$N115)+T115</f>
        <v>55260.472469950764</v>
      </c>
      <c r="AA115" s="115">
        <f>求节点(盗宝贼!$CC$5:$CC$164,盗宝贼!$CQ$5:$CQ$164,$N115)+U115</f>
        <v>1860.9085039693794</v>
      </c>
      <c r="AB115" s="115">
        <f t="shared" si="37"/>
        <v>181.4385791370145</v>
      </c>
      <c r="AC115" s="106"/>
      <c r="AD115" s="106">
        <f>求节点(宝物升星!E$61:E$66,宝物升星!$C$61:$C$66,Y115/SUM(E$8:E$9))</f>
        <v>5</v>
      </c>
      <c r="AE115" s="106">
        <f>求节点(宝物升星!F$61:F$66,宝物升星!$C$61:$C$66,Z115/SUM(F$8:F$9))</f>
        <v>5</v>
      </c>
      <c r="AF115" s="106">
        <f>求节点(宝物升星!G$61:G$66,宝物升星!$C$61:$C$66,AA115/SUM(G$8:G$9))</f>
        <v>5</v>
      </c>
      <c r="AG115" s="106">
        <f>求节点(宝物升星!H$61:H$66,宝物升星!$C$61:$C$66,AB115/SUM(H$8:H$9))</f>
        <v>5</v>
      </c>
      <c r="AH115" s="50"/>
      <c r="AI115" s="50"/>
      <c r="AJ115" s="50"/>
      <c r="AK115" s="50"/>
      <c r="AL115" s="50"/>
      <c r="AU115" s="92">
        <v>3180</v>
      </c>
      <c r="AY115" s="31">
        <f t="shared" si="26"/>
        <v>0.14285714285714285</v>
      </c>
      <c r="AZ115" s="31">
        <f t="shared" si="32"/>
        <v>7.1428571428571425E-2</v>
      </c>
      <c r="BA115" s="31">
        <f t="shared" si="21"/>
        <v>0</v>
      </c>
      <c r="BB115" s="31">
        <f t="shared" si="22"/>
        <v>0</v>
      </c>
      <c r="BC115" s="31">
        <f t="shared" si="23"/>
        <v>0</v>
      </c>
      <c r="BD115" s="31">
        <f t="shared" si="24"/>
        <v>441.42857142857093</v>
      </c>
      <c r="BE115" s="31">
        <f t="shared" si="25"/>
        <v>216.42857142857119</v>
      </c>
    </row>
    <row r="116" spans="14:57" x14ac:dyDescent="0.15">
      <c r="AU116" s="92">
        <v>3210</v>
      </c>
      <c r="AY116" s="31">
        <f t="shared" si="26"/>
        <v>0.14285714285714285</v>
      </c>
      <c r="AZ116" s="31">
        <f t="shared" si="32"/>
        <v>7.1428571428571425E-2</v>
      </c>
      <c r="BA116" s="31">
        <f t="shared" si="21"/>
        <v>0</v>
      </c>
      <c r="BB116" s="31">
        <f t="shared" si="22"/>
        <v>0</v>
      </c>
      <c r="BC116" s="31">
        <f t="shared" si="23"/>
        <v>0</v>
      </c>
      <c r="BD116" s="31">
        <f t="shared" si="24"/>
        <v>445.71428571428521</v>
      </c>
      <c r="BE116" s="31">
        <f t="shared" si="25"/>
        <v>218.57142857142833</v>
      </c>
    </row>
    <row r="117" spans="14:57" x14ac:dyDescent="0.15">
      <c r="AU117" s="92">
        <v>3240</v>
      </c>
      <c r="AY117" s="31">
        <f t="shared" si="26"/>
        <v>0.14285714285714285</v>
      </c>
      <c r="AZ117" s="31">
        <f t="shared" si="32"/>
        <v>7.1428571428571425E-2</v>
      </c>
      <c r="BA117" s="31">
        <f t="shared" si="21"/>
        <v>0</v>
      </c>
      <c r="BB117" s="31">
        <f t="shared" si="22"/>
        <v>0</v>
      </c>
      <c r="BC117" s="31">
        <f t="shared" si="23"/>
        <v>0</v>
      </c>
      <c r="BD117" s="31">
        <f t="shared" si="24"/>
        <v>449.99999999999949</v>
      </c>
      <c r="BE117" s="31">
        <f t="shared" si="25"/>
        <v>220.71428571428547</v>
      </c>
    </row>
    <row r="118" spans="14:57" x14ac:dyDescent="0.15">
      <c r="AU118" s="92">
        <v>3270</v>
      </c>
      <c r="AY118" s="31">
        <f t="shared" si="26"/>
        <v>0.14285714285714285</v>
      </c>
      <c r="AZ118" s="31">
        <f t="shared" si="32"/>
        <v>7.1428571428571425E-2</v>
      </c>
      <c r="BA118" s="31">
        <f t="shared" si="21"/>
        <v>0</v>
      </c>
      <c r="BB118" s="31">
        <f t="shared" si="22"/>
        <v>0</v>
      </c>
      <c r="BC118" s="31">
        <f t="shared" si="23"/>
        <v>0</v>
      </c>
      <c r="BD118" s="31">
        <f t="shared" si="24"/>
        <v>454.28571428571377</v>
      </c>
      <c r="BE118" s="31">
        <f t="shared" si="25"/>
        <v>222.85714285714261</v>
      </c>
    </row>
    <row r="119" spans="14:57" x14ac:dyDescent="0.15">
      <c r="N119" s="50" t="s">
        <v>244</v>
      </c>
      <c r="O119" s="50"/>
      <c r="P119" s="114"/>
      <c r="Q119" s="116"/>
      <c r="R119" s="144" t="s">
        <v>424</v>
      </c>
      <c r="S119" s="157"/>
      <c r="T119" s="157"/>
      <c r="U119" s="157"/>
      <c r="V119" s="145"/>
      <c r="W119" s="50"/>
      <c r="X119" s="155" t="s">
        <v>238</v>
      </c>
      <c r="Y119" s="155"/>
      <c r="Z119" s="155"/>
      <c r="AA119" s="155"/>
      <c r="AB119" s="155"/>
      <c r="AC119" s="155" t="s">
        <v>245</v>
      </c>
      <c r="AD119" s="155"/>
      <c r="AE119" s="155"/>
      <c r="AF119" s="155"/>
      <c r="AG119" s="155"/>
      <c r="AH119" s="143"/>
      <c r="AI119" s="143"/>
      <c r="AJ119" s="143"/>
      <c r="AK119" s="143"/>
      <c r="AL119" s="143"/>
      <c r="AU119" s="92">
        <v>3300</v>
      </c>
      <c r="AY119" s="31">
        <f t="shared" si="26"/>
        <v>0.14285714285714285</v>
      </c>
      <c r="AZ119" s="31">
        <f t="shared" si="32"/>
        <v>7.1428571428571425E-2</v>
      </c>
      <c r="BA119" s="31">
        <f t="shared" si="21"/>
        <v>0</v>
      </c>
      <c r="BB119" s="31">
        <f t="shared" si="22"/>
        <v>0</v>
      </c>
      <c r="BC119" s="31">
        <f t="shared" si="23"/>
        <v>0</v>
      </c>
      <c r="BD119" s="31">
        <f t="shared" si="24"/>
        <v>458.57142857142804</v>
      </c>
      <c r="BE119" s="31">
        <f t="shared" si="25"/>
        <v>224.99999999999974</v>
      </c>
    </row>
    <row r="120" spans="14:57" x14ac:dyDescent="0.15">
      <c r="N120" s="50" t="s">
        <v>161</v>
      </c>
      <c r="O120" s="50" t="s">
        <v>158</v>
      </c>
      <c r="P120" s="114" t="s">
        <v>421</v>
      </c>
      <c r="Q120" s="114" t="s">
        <v>426</v>
      </c>
      <c r="R120" s="119" t="s">
        <v>25</v>
      </c>
      <c r="S120" s="119" t="s">
        <v>1</v>
      </c>
      <c r="T120" s="119" t="s">
        <v>2</v>
      </c>
      <c r="U120" s="119" t="s">
        <v>0</v>
      </c>
      <c r="V120" s="119" t="s">
        <v>217</v>
      </c>
      <c r="W120" s="50"/>
      <c r="X120" s="106" t="s">
        <v>25</v>
      </c>
      <c r="Y120" s="106" t="s">
        <v>1</v>
      </c>
      <c r="Z120" s="106" t="s">
        <v>2</v>
      </c>
      <c r="AA120" s="106" t="s">
        <v>0</v>
      </c>
      <c r="AB120" s="106" t="s">
        <v>217</v>
      </c>
      <c r="AC120" s="106" t="s">
        <v>25</v>
      </c>
      <c r="AD120" s="106" t="s">
        <v>1</v>
      </c>
      <c r="AE120" s="106" t="s">
        <v>2</v>
      </c>
      <c r="AF120" s="106" t="s">
        <v>0</v>
      </c>
      <c r="AG120" s="106" t="s">
        <v>217</v>
      </c>
      <c r="AH120" s="50"/>
      <c r="AI120" s="56"/>
      <c r="AJ120" s="56"/>
      <c r="AK120" s="56"/>
      <c r="AL120" s="50"/>
      <c r="AU120" s="92">
        <v>3330</v>
      </c>
      <c r="AY120" s="31">
        <f t="shared" si="26"/>
        <v>0.14285714285714285</v>
      </c>
      <c r="AZ120" s="31">
        <f t="shared" si="32"/>
        <v>7.1428571428571425E-2</v>
      </c>
      <c r="BA120" s="31">
        <f t="shared" si="21"/>
        <v>0</v>
      </c>
      <c r="BB120" s="31">
        <f t="shared" si="22"/>
        <v>0</v>
      </c>
      <c r="BC120" s="31">
        <f t="shared" si="23"/>
        <v>0</v>
      </c>
      <c r="BD120" s="31">
        <f t="shared" si="24"/>
        <v>462.85714285714232</v>
      </c>
      <c r="BE120" s="31">
        <f t="shared" si="25"/>
        <v>227.14285714285688</v>
      </c>
    </row>
    <row r="121" spans="14:57" x14ac:dyDescent="0.15">
      <c r="N121" s="50">
        <v>5</v>
      </c>
      <c r="O121" s="50">
        <f>求节点(节奏总纲!$O$4:$O$163,节奏总纲!T$4:T$163,N121)</f>
        <v>0.10951806589144637</v>
      </c>
      <c r="P121" s="114">
        <f>INDEX('[1]资源-钻石'!$P$4:$P$163,$N121)*$O$11</f>
        <v>2936.1274019599236</v>
      </c>
      <c r="Q121" s="114">
        <v>0</v>
      </c>
      <c r="R121" s="114"/>
      <c r="S121" s="114">
        <f t="shared" ref="S121:S141" si="38">$P121/$E$25*E$17*$Q121*E$18</f>
        <v>0</v>
      </c>
      <c r="T121" s="114">
        <f t="shared" ref="T121:T141" si="39">$P121/$E$25*F$17*$Q121*F$18</f>
        <v>0</v>
      </c>
      <c r="U121" s="114">
        <f t="shared" ref="U121:U141" si="40">$P121/$E$25*G$17*$Q121*G$18</f>
        <v>0</v>
      </c>
      <c r="V121" s="114">
        <f>$P121/$E$25*H$17*$Q121*(H$18+$H$23)</f>
        <v>0</v>
      </c>
      <c r="W121" s="50"/>
      <c r="X121" s="106"/>
      <c r="Y121" s="115">
        <f>求节点(盗宝贼!$CC$5:$CC$164,盗宝贼!$CH$5:$CH$164,$N121)+S121</f>
        <v>0</v>
      </c>
      <c r="Z121" s="115">
        <f>求节点(盗宝贼!$CC$5:$CC$164,盗宝贼!$CM$5:$CM$164,$N121)+T121</f>
        <v>0</v>
      </c>
      <c r="AA121" s="115">
        <f>求节点(盗宝贼!$CC$5:$CC$164,盗宝贼!$CR$5:$CR$164,$N121)+U121</f>
        <v>0</v>
      </c>
      <c r="AB121" s="115">
        <f>V121</f>
        <v>0</v>
      </c>
      <c r="AC121" s="106"/>
      <c r="AD121" s="106">
        <f>求节点(宝物升星!E$61:E$66,宝物升星!$C$61:$C$66,Y121/SUM(E$8:E$9))</f>
        <v>0</v>
      </c>
      <c r="AE121" s="106">
        <f>求节点(宝物升星!F$61:F$66,宝物升星!$C$61:$C$66,Z121/SUM(F$8:F$9))</f>
        <v>0</v>
      </c>
      <c r="AF121" s="106">
        <f>求节点(宝物升星!G$61:G$66,宝物升星!$C$61:$C$66,AA121/SUM(G$8:G$9))</f>
        <v>0</v>
      </c>
      <c r="AG121" s="106">
        <f>求节点(宝物升星!H$61:H$66,宝物升星!$C$61:$C$66,AB121/SUM(H$8:H$9))</f>
        <v>0</v>
      </c>
      <c r="AH121" s="50"/>
      <c r="AI121" s="50"/>
      <c r="AJ121" s="50"/>
      <c r="AK121" s="50"/>
      <c r="AL121" s="50"/>
      <c r="AU121" s="92">
        <v>3360</v>
      </c>
      <c r="AY121" s="31">
        <f t="shared" si="26"/>
        <v>0.14285714285714285</v>
      </c>
      <c r="AZ121" s="31">
        <f t="shared" si="32"/>
        <v>7.1428571428571425E-2</v>
      </c>
      <c r="BA121" s="31">
        <f t="shared" ref="BA121:BA184" si="41">IF($AU122="",BA120,($AU122-$AU121)*AV121+BA120)</f>
        <v>0</v>
      </c>
      <c r="BB121" s="31">
        <f t="shared" ref="BB121:BB184" si="42">IF($AU122="",BB120,($AU122-$AU121)*AW121+BB120)</f>
        <v>0</v>
      </c>
      <c r="BC121" s="31">
        <f t="shared" ref="BC121:BC184" si="43">IF($AU122="",BC120,($AU122-$AU121)*AX121+BC120)</f>
        <v>0</v>
      </c>
      <c r="BD121" s="31">
        <f t="shared" ref="BD121:BD184" si="44">IF($AU122="",BD120,($AU122-$AU121)*AY121+BD120)</f>
        <v>467.1428571428566</v>
      </c>
      <c r="BE121" s="31">
        <f t="shared" ref="BE121:BE184" si="45">IF($AU122="",BE120,($AU122-$AU121)*AZ121+BE120)</f>
        <v>229.28571428571402</v>
      </c>
    </row>
    <row r="122" spans="14:57" x14ac:dyDescent="0.15">
      <c r="N122" s="50">
        <v>10</v>
      </c>
      <c r="O122" s="50">
        <f>求节点(节奏总纲!$O$4:$O$163,节奏总纲!T$4:T$163,N122)</f>
        <v>0.2732</v>
      </c>
      <c r="P122" s="114">
        <f>INDEX('[1]资源-钻石'!$P$4:$P$163,$N122)*$O$11</f>
        <v>7324.3624208131778</v>
      </c>
      <c r="Q122" s="114">
        <v>0</v>
      </c>
      <c r="R122" s="114"/>
      <c r="S122" s="114">
        <f t="shared" si="38"/>
        <v>0</v>
      </c>
      <c r="T122" s="114">
        <f t="shared" si="39"/>
        <v>0</v>
      </c>
      <c r="U122" s="114">
        <f t="shared" si="40"/>
        <v>0</v>
      </c>
      <c r="V122" s="114">
        <f t="shared" ref="V122:V141" si="46">$P122/$E$25*H$17*$Q122*(H$18+$H$23)</f>
        <v>0</v>
      </c>
      <c r="W122" s="50"/>
      <c r="X122" s="106"/>
      <c r="Y122" s="115">
        <f>求节点(盗宝贼!$CC$5:$CC$164,盗宝贼!$CH$5:$CH$164,$N122)+S122</f>
        <v>0</v>
      </c>
      <c r="Z122" s="115">
        <f>求节点(盗宝贼!$CC$5:$CC$164,盗宝贼!$CM$5:$CM$164,$N122)+T122</f>
        <v>0</v>
      </c>
      <c r="AA122" s="115">
        <f>求节点(盗宝贼!$CC$5:$CC$164,盗宝贼!$CR$5:$CR$164,$N122)+U122</f>
        <v>0</v>
      </c>
      <c r="AB122" s="115">
        <f t="shared" ref="AB122:AB141" si="47">V122</f>
        <v>0</v>
      </c>
      <c r="AC122" s="106"/>
      <c r="AD122" s="106">
        <f>求节点(宝物升星!E$61:E$66,宝物升星!$C$61:$C$66,Y122/SUM(E$8:E$9))</f>
        <v>0</v>
      </c>
      <c r="AE122" s="106">
        <f>求节点(宝物升星!F$61:F$66,宝物升星!$C$61:$C$66,Z122/SUM(F$8:F$9))</f>
        <v>0</v>
      </c>
      <c r="AF122" s="106">
        <f>求节点(宝物升星!G$61:G$66,宝物升星!$C$61:$C$66,AA122/SUM(G$8:G$9))</f>
        <v>0</v>
      </c>
      <c r="AG122" s="106">
        <f>求节点(宝物升星!H$61:H$66,宝物升星!$C$61:$C$66,AB122/SUM(H$8:H$9))</f>
        <v>0</v>
      </c>
      <c r="AH122" s="50"/>
      <c r="AI122" s="50"/>
      <c r="AJ122" s="50"/>
      <c r="AK122" s="50"/>
      <c r="AL122" s="50"/>
      <c r="AU122" s="92">
        <v>3390</v>
      </c>
      <c r="AY122" s="31">
        <f t="shared" ref="AY122:AY185" si="48">1/7</f>
        <v>0.14285714285714285</v>
      </c>
      <c r="AZ122" s="31">
        <f t="shared" si="32"/>
        <v>7.1428571428571425E-2</v>
      </c>
      <c r="BA122" s="31">
        <f t="shared" si="41"/>
        <v>0</v>
      </c>
      <c r="BB122" s="31">
        <f t="shared" si="42"/>
        <v>0</v>
      </c>
      <c r="BC122" s="31">
        <f t="shared" si="43"/>
        <v>0</v>
      </c>
      <c r="BD122" s="31">
        <f t="shared" si="44"/>
        <v>471.42857142857088</v>
      </c>
      <c r="BE122" s="31">
        <f t="shared" si="45"/>
        <v>231.42857142857116</v>
      </c>
    </row>
    <row r="123" spans="14:57" x14ac:dyDescent="0.15">
      <c r="N123" s="50">
        <v>15</v>
      </c>
      <c r="O123" s="50">
        <f>求节点(节奏总纲!$O$4:$O$163,节奏总纲!T$4:T$163,N123)</f>
        <v>0.5271355400643265</v>
      </c>
      <c r="P123" s="114">
        <f>INDEX('[1]资源-钻石'!$P$4:$P$163,$N123)*$O$11</f>
        <v>14132.253807914392</v>
      </c>
      <c r="Q123" s="114">
        <v>0</v>
      </c>
      <c r="R123" s="114"/>
      <c r="S123" s="114">
        <f t="shared" si="38"/>
        <v>0</v>
      </c>
      <c r="T123" s="114">
        <f t="shared" si="39"/>
        <v>0</v>
      </c>
      <c r="U123" s="114">
        <f t="shared" si="40"/>
        <v>0</v>
      </c>
      <c r="V123" s="114">
        <f t="shared" si="46"/>
        <v>0</v>
      </c>
      <c r="W123" s="50"/>
      <c r="X123" s="106"/>
      <c r="Y123" s="115">
        <f>求节点(盗宝贼!$CC$5:$CC$164,盗宝贼!$CH$5:$CH$164,$N123)+S123</f>
        <v>0</v>
      </c>
      <c r="Z123" s="115">
        <f>求节点(盗宝贼!$CC$5:$CC$164,盗宝贼!$CM$5:$CM$164,$N123)+T123</f>
        <v>0</v>
      </c>
      <c r="AA123" s="115">
        <f>求节点(盗宝贼!$CC$5:$CC$164,盗宝贼!$CR$5:$CR$164,$N123)+U123</f>
        <v>0</v>
      </c>
      <c r="AB123" s="115">
        <f t="shared" si="47"/>
        <v>0</v>
      </c>
      <c r="AC123" s="106"/>
      <c r="AD123" s="106">
        <f>求节点(宝物升星!E$61:E$66,宝物升星!$C$61:$C$66,Y123/SUM(E$8:E$9))</f>
        <v>0</v>
      </c>
      <c r="AE123" s="106">
        <f>求节点(宝物升星!F$61:F$66,宝物升星!$C$61:$C$66,Z123/SUM(F$8:F$9))</f>
        <v>0</v>
      </c>
      <c r="AF123" s="106">
        <f>求节点(宝物升星!G$61:G$66,宝物升星!$C$61:$C$66,AA123/SUM(G$8:G$9))</f>
        <v>0</v>
      </c>
      <c r="AG123" s="106">
        <f>求节点(宝物升星!H$61:H$66,宝物升星!$C$61:$C$66,AB123/SUM(H$8:H$9))</f>
        <v>0</v>
      </c>
      <c r="AH123" s="50"/>
      <c r="AI123" s="50"/>
      <c r="AJ123" s="50"/>
      <c r="AK123" s="50"/>
      <c r="AL123" s="50"/>
      <c r="AU123" s="92">
        <v>3420</v>
      </c>
      <c r="AY123" s="31">
        <f t="shared" si="48"/>
        <v>0.14285714285714285</v>
      </c>
      <c r="AZ123" s="31">
        <f t="shared" si="32"/>
        <v>7.1428571428571425E-2</v>
      </c>
      <c r="BA123" s="31">
        <f t="shared" si="41"/>
        <v>0</v>
      </c>
      <c r="BB123" s="31">
        <f t="shared" si="42"/>
        <v>0</v>
      </c>
      <c r="BC123" s="31">
        <f t="shared" si="43"/>
        <v>0</v>
      </c>
      <c r="BD123" s="31">
        <f t="shared" si="44"/>
        <v>475.71428571428515</v>
      </c>
      <c r="BE123" s="31">
        <f t="shared" si="45"/>
        <v>233.5714285714283</v>
      </c>
    </row>
    <row r="124" spans="14:57" x14ac:dyDescent="0.15">
      <c r="N124" s="50">
        <v>20</v>
      </c>
      <c r="O124" s="50">
        <f>求节点(节奏总纲!$O$4:$O$163,节奏总纲!T$4:T$163,N124)</f>
        <v>0.87990000000000002</v>
      </c>
      <c r="P124" s="114">
        <f>INDEX('[1]资源-钻石'!$P$4:$P$163,$N124)*$O$11</f>
        <v>23589.701662055326</v>
      </c>
      <c r="Q124" s="114">
        <v>0</v>
      </c>
      <c r="R124" s="114"/>
      <c r="S124" s="114">
        <f t="shared" si="38"/>
        <v>0</v>
      </c>
      <c r="T124" s="114">
        <f t="shared" si="39"/>
        <v>0</v>
      </c>
      <c r="U124" s="114">
        <f t="shared" si="40"/>
        <v>0</v>
      </c>
      <c r="V124" s="114">
        <f t="shared" si="46"/>
        <v>0</v>
      </c>
      <c r="W124" s="50"/>
      <c r="X124" s="106"/>
      <c r="Y124" s="115">
        <f>求节点(盗宝贼!$CC$5:$CC$164,盗宝贼!$CH$5:$CH$164,$N124)+S124</f>
        <v>0</v>
      </c>
      <c r="Z124" s="115">
        <f>求节点(盗宝贼!$CC$5:$CC$164,盗宝贼!$CM$5:$CM$164,$N124)+T124</f>
        <v>0</v>
      </c>
      <c r="AA124" s="115">
        <f>求节点(盗宝贼!$CC$5:$CC$164,盗宝贼!$CR$5:$CR$164,$N124)+U124</f>
        <v>0</v>
      </c>
      <c r="AB124" s="115">
        <f t="shared" si="47"/>
        <v>0</v>
      </c>
      <c r="AC124" s="106"/>
      <c r="AD124" s="106">
        <f>求节点(宝物升星!E$61:E$66,宝物升星!$C$61:$C$66,Y124/SUM(E$8:E$9))</f>
        <v>0</v>
      </c>
      <c r="AE124" s="106">
        <f>求节点(宝物升星!F$61:F$66,宝物升星!$C$61:$C$66,Z124/SUM(F$8:F$9))</f>
        <v>0</v>
      </c>
      <c r="AF124" s="106">
        <f>求节点(宝物升星!G$61:G$66,宝物升星!$C$61:$C$66,AA124/SUM(G$8:G$9))</f>
        <v>0</v>
      </c>
      <c r="AG124" s="106">
        <f>求节点(宝物升星!H$61:H$66,宝物升星!$C$61:$C$66,AB124/SUM(H$8:H$9))</f>
        <v>0</v>
      </c>
      <c r="AH124" s="50"/>
      <c r="AI124" s="50"/>
      <c r="AJ124" s="50"/>
      <c r="AK124" s="50"/>
      <c r="AL124" s="50"/>
      <c r="AU124" s="92">
        <v>3450</v>
      </c>
      <c r="AY124" s="31">
        <f t="shared" si="48"/>
        <v>0.14285714285714285</v>
      </c>
      <c r="AZ124" s="31">
        <f t="shared" si="32"/>
        <v>7.1428571428571425E-2</v>
      </c>
      <c r="BA124" s="31">
        <f t="shared" si="41"/>
        <v>0</v>
      </c>
      <c r="BB124" s="31">
        <f t="shared" si="42"/>
        <v>0</v>
      </c>
      <c r="BC124" s="31">
        <f t="shared" si="43"/>
        <v>0</v>
      </c>
      <c r="BD124" s="31">
        <f t="shared" si="44"/>
        <v>479.99999999999943</v>
      </c>
      <c r="BE124" s="31">
        <f t="shared" si="45"/>
        <v>235.71428571428544</v>
      </c>
    </row>
    <row r="125" spans="14:57" x14ac:dyDescent="0.15">
      <c r="N125" s="50">
        <v>25</v>
      </c>
      <c r="O125" s="50">
        <f>求节点(节奏总纲!$O$4:$O$163,节奏总纲!T$4:T$163,N125)</f>
        <v>1.3802915995495415</v>
      </c>
      <c r="P125" s="114">
        <f>INDEX('[1]资源-钻石'!$P$4:$P$163,$N125)*$O$11</f>
        <v>32311.794656967551</v>
      </c>
      <c r="Q125" s="114">
        <v>0</v>
      </c>
      <c r="R125" s="114"/>
      <c r="S125" s="114">
        <f t="shared" si="38"/>
        <v>0</v>
      </c>
      <c r="T125" s="114">
        <f t="shared" si="39"/>
        <v>0</v>
      </c>
      <c r="U125" s="114">
        <f t="shared" si="40"/>
        <v>0</v>
      </c>
      <c r="V125" s="114">
        <f t="shared" si="46"/>
        <v>0</v>
      </c>
      <c r="W125" s="50"/>
      <c r="X125" s="106"/>
      <c r="Y125" s="115">
        <f>求节点(盗宝贼!$CC$5:$CC$164,盗宝贼!$CH$5:$CH$164,$N125)+S125</f>
        <v>0</v>
      </c>
      <c r="Z125" s="115">
        <f>求节点(盗宝贼!$CC$5:$CC$164,盗宝贼!$CM$5:$CM$164,$N125)+T125</f>
        <v>0</v>
      </c>
      <c r="AA125" s="115">
        <f>求节点(盗宝贼!$CC$5:$CC$164,盗宝贼!$CR$5:$CR$164,$N125)+U125</f>
        <v>0</v>
      </c>
      <c r="AB125" s="115">
        <f t="shared" si="47"/>
        <v>0</v>
      </c>
      <c r="AC125" s="106"/>
      <c r="AD125" s="106">
        <f>求节点(宝物升星!E$61:E$66,宝物升星!$C$61:$C$66,Y125/SUM(E$8:E$9))</f>
        <v>0</v>
      </c>
      <c r="AE125" s="106">
        <f>求节点(宝物升星!F$61:F$66,宝物升星!$C$61:$C$66,Z125/SUM(F$8:F$9))</f>
        <v>0</v>
      </c>
      <c r="AF125" s="106">
        <f>求节点(宝物升星!G$61:G$66,宝物升星!$C$61:$C$66,AA125/SUM(G$8:G$9))</f>
        <v>0</v>
      </c>
      <c r="AG125" s="106">
        <f>求节点(宝物升星!H$61:H$66,宝物升星!$C$61:$C$66,AB125/SUM(H$8:H$9))</f>
        <v>0</v>
      </c>
      <c r="AH125" s="50"/>
      <c r="AI125" s="50"/>
      <c r="AJ125" s="50"/>
      <c r="AK125" s="50"/>
      <c r="AL125" s="50"/>
      <c r="AU125" s="92">
        <v>3480</v>
      </c>
      <c r="AY125" s="31">
        <f t="shared" si="48"/>
        <v>0.14285714285714285</v>
      </c>
      <c r="AZ125" s="31">
        <f t="shared" si="32"/>
        <v>7.1428571428571425E-2</v>
      </c>
      <c r="BA125" s="31">
        <f t="shared" si="41"/>
        <v>0</v>
      </c>
      <c r="BB125" s="31">
        <f t="shared" si="42"/>
        <v>0</v>
      </c>
      <c r="BC125" s="31">
        <f t="shared" si="43"/>
        <v>0</v>
      </c>
      <c r="BD125" s="31">
        <f t="shared" si="44"/>
        <v>484.28571428571371</v>
      </c>
      <c r="BE125" s="31">
        <f t="shared" si="45"/>
        <v>237.85714285714258</v>
      </c>
    </row>
    <row r="126" spans="14:57" x14ac:dyDescent="0.15">
      <c r="N126" s="50">
        <v>30</v>
      </c>
      <c r="O126" s="50">
        <f>求节点(节奏总纲!$O$4:$O$163,节奏总纲!T$4:T$163,N126)</f>
        <v>2.1006999999999998</v>
      </c>
      <c r="P126" s="114">
        <f>INDEX('[1]资源-钻石'!$P$4:$P$163,$N126)*$O$11</f>
        <v>42735.061392172742</v>
      </c>
      <c r="Q126" s="114">
        <v>0</v>
      </c>
      <c r="R126" s="114"/>
      <c r="S126" s="114">
        <f t="shared" si="38"/>
        <v>0</v>
      </c>
      <c r="T126" s="114">
        <f t="shared" si="39"/>
        <v>0</v>
      </c>
      <c r="U126" s="114">
        <f t="shared" si="40"/>
        <v>0</v>
      </c>
      <c r="V126" s="114">
        <f t="shared" si="46"/>
        <v>0</v>
      </c>
      <c r="W126" s="50"/>
      <c r="X126" s="106"/>
      <c r="Y126" s="115">
        <f>求节点(盗宝贼!$CC$5:$CC$164,盗宝贼!$CH$5:$CH$164,$N126)+S126</f>
        <v>0</v>
      </c>
      <c r="Z126" s="115">
        <f>求节点(盗宝贼!$CC$5:$CC$164,盗宝贼!$CM$5:$CM$164,$N126)+T126</f>
        <v>0</v>
      </c>
      <c r="AA126" s="115">
        <f>求节点(盗宝贼!$CC$5:$CC$164,盗宝贼!$CR$5:$CR$164,$N126)+U126</f>
        <v>0</v>
      </c>
      <c r="AB126" s="115">
        <f t="shared" si="47"/>
        <v>0</v>
      </c>
      <c r="AC126" s="106"/>
      <c r="AD126" s="106">
        <f>求节点(宝物升星!E$61:E$66,宝物升星!$C$61:$C$66,Y126/SUM(E$8:E$9))</f>
        <v>0</v>
      </c>
      <c r="AE126" s="106">
        <f>求节点(宝物升星!F$61:F$66,宝物升星!$C$61:$C$66,Z126/SUM(F$8:F$9))</f>
        <v>0</v>
      </c>
      <c r="AF126" s="106">
        <f>求节点(宝物升星!G$61:G$66,宝物升星!$C$61:$C$66,AA126/SUM(G$8:G$9))</f>
        <v>0</v>
      </c>
      <c r="AG126" s="106">
        <f>求节点(宝物升星!H$61:H$66,宝物升星!$C$61:$C$66,AB126/SUM(H$8:H$9))</f>
        <v>0</v>
      </c>
      <c r="AH126" s="50"/>
      <c r="AI126" s="50"/>
      <c r="AJ126" s="50"/>
      <c r="AK126" s="50"/>
      <c r="AL126" s="50"/>
      <c r="AU126" s="92">
        <v>3510</v>
      </c>
      <c r="AY126" s="31">
        <f t="shared" si="48"/>
        <v>0.14285714285714285</v>
      </c>
      <c r="AZ126" s="31">
        <f t="shared" si="32"/>
        <v>7.1428571428571425E-2</v>
      </c>
      <c r="BA126" s="31">
        <f t="shared" si="41"/>
        <v>0</v>
      </c>
      <c r="BB126" s="31">
        <f t="shared" si="42"/>
        <v>0</v>
      </c>
      <c r="BC126" s="31">
        <f t="shared" si="43"/>
        <v>0</v>
      </c>
      <c r="BD126" s="31">
        <f t="shared" si="44"/>
        <v>488.57142857142799</v>
      </c>
      <c r="BE126" s="31">
        <f t="shared" si="45"/>
        <v>239.99999999999972</v>
      </c>
    </row>
    <row r="127" spans="14:57" x14ac:dyDescent="0.15">
      <c r="N127" s="50">
        <v>35</v>
      </c>
      <c r="O127" s="50">
        <f>求节点(节奏总纲!$O$4:$O$163,节奏总纲!T$4:T$163,N127)</f>
        <v>3.1106144832938032</v>
      </c>
      <c r="P127" s="114">
        <f>INDEX('[1]资源-钻石'!$P$4:$P$163,$N127)*$O$11</f>
        <v>57347.062074752415</v>
      </c>
      <c r="Q127" s="114">
        <v>0</v>
      </c>
      <c r="R127" s="114"/>
      <c r="S127" s="114">
        <f t="shared" si="38"/>
        <v>0</v>
      </c>
      <c r="T127" s="114">
        <f t="shared" si="39"/>
        <v>0</v>
      </c>
      <c r="U127" s="114">
        <f t="shared" si="40"/>
        <v>0</v>
      </c>
      <c r="V127" s="114">
        <f t="shared" si="46"/>
        <v>0</v>
      </c>
      <c r="W127" s="50"/>
      <c r="X127" s="106"/>
      <c r="Y127" s="115">
        <f>求节点(盗宝贼!$CC$5:$CC$164,盗宝贼!$CH$5:$CH$164,$N127)+S127</f>
        <v>0.75738608532815621</v>
      </c>
      <c r="Z127" s="115">
        <f>求节点(盗宝贼!$CC$5:$CC$164,盗宝贼!$CM$5:$CM$164,$N127)+T127</f>
        <v>8.4154009480906261E-2</v>
      </c>
      <c r="AA127" s="115">
        <f>求节点(盗宝贼!$CC$5:$CC$164,盗宝贼!$CR$5:$CR$164,$N127)+U127</f>
        <v>0</v>
      </c>
      <c r="AB127" s="115">
        <f t="shared" si="47"/>
        <v>0</v>
      </c>
      <c r="AC127" s="106"/>
      <c r="AD127" s="106">
        <f>求节点(宝物升星!E$61:E$66,宝物升星!$C$61:$C$66,Y127/SUM(E$8:E$9))</f>
        <v>0</v>
      </c>
      <c r="AE127" s="106">
        <f>求节点(宝物升星!F$61:F$66,宝物升星!$C$61:$C$66,Z127/SUM(F$8:F$9))</f>
        <v>0</v>
      </c>
      <c r="AF127" s="106">
        <f>求节点(宝物升星!G$61:G$66,宝物升星!$C$61:$C$66,AA127/SUM(G$8:G$9))</f>
        <v>0</v>
      </c>
      <c r="AG127" s="106">
        <f>求节点(宝物升星!H$61:H$66,宝物升星!$C$61:$C$66,AB127/SUM(H$8:H$9))</f>
        <v>0</v>
      </c>
      <c r="AH127" s="50"/>
      <c r="AI127" s="50"/>
      <c r="AJ127" s="50"/>
      <c r="AK127" s="50"/>
      <c r="AL127" s="50"/>
      <c r="AU127" s="92">
        <v>3540</v>
      </c>
      <c r="AY127" s="31">
        <f t="shared" si="48"/>
        <v>0.14285714285714285</v>
      </c>
      <c r="AZ127" s="31">
        <f t="shared" si="32"/>
        <v>7.1428571428571425E-2</v>
      </c>
      <c r="BA127" s="31">
        <f t="shared" si="41"/>
        <v>0</v>
      </c>
      <c r="BB127" s="31">
        <f t="shared" si="42"/>
        <v>0</v>
      </c>
      <c r="BC127" s="31">
        <f t="shared" si="43"/>
        <v>0</v>
      </c>
      <c r="BD127" s="31">
        <f t="shared" si="44"/>
        <v>492.85714285714226</v>
      </c>
      <c r="BE127" s="31">
        <f t="shared" si="45"/>
        <v>242.14285714285685</v>
      </c>
    </row>
    <row r="128" spans="14:57" x14ac:dyDescent="0.15">
      <c r="N128" s="50">
        <v>40</v>
      </c>
      <c r="O128" s="50">
        <f>求节点(节奏总纲!$O$4:$O$163,节奏总纲!T$4:T$163,N128)</f>
        <v>4.5</v>
      </c>
      <c r="P128" s="114">
        <f>INDEX('[1]资源-钻石'!$P$4:$P$163,$N128)*$O$11</f>
        <v>77449.459311658982</v>
      </c>
      <c r="Q128" s="114">
        <v>0</v>
      </c>
      <c r="R128" s="114"/>
      <c r="S128" s="114">
        <f t="shared" si="38"/>
        <v>0</v>
      </c>
      <c r="T128" s="114">
        <f t="shared" si="39"/>
        <v>0</v>
      </c>
      <c r="U128" s="114">
        <f t="shared" si="40"/>
        <v>0</v>
      </c>
      <c r="V128" s="114">
        <f t="shared" si="46"/>
        <v>0</v>
      </c>
      <c r="W128" s="50"/>
      <c r="X128" s="106"/>
      <c r="Y128" s="115">
        <f>求节点(盗宝贼!$CC$5:$CC$164,盗宝贼!$CH$5:$CH$164,$N128)+S128</f>
        <v>2.6921236258851389</v>
      </c>
      <c r="Z128" s="115">
        <f>求节点(盗宝贼!$CC$5:$CC$164,盗宝贼!$CM$5:$CM$164,$N128)+T128</f>
        <v>0.29912484732057099</v>
      </c>
      <c r="AA128" s="115">
        <f>求节点(盗宝贼!$CC$5:$CC$164,盗宝贼!$CR$5:$CR$164,$N128)+U128</f>
        <v>0</v>
      </c>
      <c r="AB128" s="115">
        <f t="shared" si="47"/>
        <v>0</v>
      </c>
      <c r="AC128" s="106"/>
      <c r="AD128" s="106">
        <f>求节点(宝物升星!E$61:E$66,宝物升星!$C$61:$C$66,Y128/SUM(E$8:E$9))</f>
        <v>0</v>
      </c>
      <c r="AE128" s="106">
        <f>求节点(宝物升星!F$61:F$66,宝物升星!$C$61:$C$66,Z128/SUM(F$8:F$9))</f>
        <v>0</v>
      </c>
      <c r="AF128" s="106">
        <f>求节点(宝物升星!G$61:G$66,宝物升星!$C$61:$C$66,AA128/SUM(G$8:G$9))</f>
        <v>0</v>
      </c>
      <c r="AG128" s="106">
        <f>求节点(宝物升星!H$61:H$66,宝物升星!$C$61:$C$66,AB128/SUM(H$8:H$9))</f>
        <v>0</v>
      </c>
      <c r="AH128" s="50"/>
      <c r="AI128" s="50"/>
      <c r="AJ128" s="50"/>
      <c r="AK128" s="50"/>
      <c r="AL128" s="50"/>
      <c r="AU128" s="92">
        <v>3570</v>
      </c>
      <c r="AY128" s="31">
        <f t="shared" si="48"/>
        <v>0.14285714285714285</v>
      </c>
      <c r="AZ128" s="31">
        <f t="shared" si="32"/>
        <v>7.1428571428571425E-2</v>
      </c>
      <c r="BA128" s="31">
        <f t="shared" si="41"/>
        <v>0</v>
      </c>
      <c r="BB128" s="31">
        <f t="shared" si="42"/>
        <v>0</v>
      </c>
      <c r="BC128" s="31">
        <f t="shared" si="43"/>
        <v>0</v>
      </c>
      <c r="BD128" s="31">
        <f t="shared" si="44"/>
        <v>497.14285714285654</v>
      </c>
      <c r="BE128" s="31">
        <f t="shared" si="45"/>
        <v>244.28571428571399</v>
      </c>
    </row>
    <row r="129" spans="14:57" x14ac:dyDescent="0.15">
      <c r="N129" s="50">
        <v>45</v>
      </c>
      <c r="O129" s="50">
        <f>求节点(节奏总纲!$O$4:$O$163,节奏总纲!T$4:T$163,N129)</f>
        <v>6.49903880788984</v>
      </c>
      <c r="P129" s="114">
        <f>INDEX('[1]资源-钻石'!$P$4:$P$163,$N129)*$O$11</f>
        <v>106372.65717502886</v>
      </c>
      <c r="Q129" s="133">
        <v>0.1</v>
      </c>
      <c r="R129" s="114"/>
      <c r="S129" s="114">
        <f t="shared" si="38"/>
        <v>13.385226027857797</v>
      </c>
      <c r="T129" s="114">
        <f t="shared" si="39"/>
        <v>7.0915104783352563</v>
      </c>
      <c r="U129" s="114">
        <f t="shared" si="40"/>
        <v>2.1274531435005772</v>
      </c>
      <c r="V129" s="114">
        <f t="shared" si="46"/>
        <v>0.47867695728762982</v>
      </c>
      <c r="W129" s="50"/>
      <c r="X129" s="106"/>
      <c r="Y129" s="115">
        <f>求节点(盗宝贼!$CC$5:$CC$164,盗宝贼!$CH$5:$CH$164,$N129)+S129</f>
        <v>19.801713219721034</v>
      </c>
      <c r="Z129" s="115">
        <f>求节点(盗宝贼!$CC$5:$CC$164,盗宝贼!$CM$5:$CM$164,$N129)+T129</f>
        <v>7.8044534996533939</v>
      </c>
      <c r="AA129" s="115">
        <f>求节点(盗宝贼!$CC$5:$CC$164,盗宝贼!$CR$5:$CR$164,$N129)+U129</f>
        <v>2.1274531435005772</v>
      </c>
      <c r="AB129" s="115">
        <f t="shared" si="47"/>
        <v>0.47867695728762982</v>
      </c>
      <c r="AC129" s="106"/>
      <c r="AD129" s="106">
        <f>求节点(宝物升星!E$61:E$66,宝物升星!$C$61:$C$66,Y129/SUM(E$8:E$9))</f>
        <v>2.2376070762325648</v>
      </c>
      <c r="AE129" s="106">
        <f>求节点(宝物升星!F$61:F$66,宝物升星!$C$61:$C$66,Z129/SUM(F$8:F$9))</f>
        <v>0.56089069993067886</v>
      </c>
      <c r="AF129" s="106">
        <f>求节点(宝物升星!G$61:G$66,宝物升星!$C$61:$C$66,AA129/SUM(G$8:G$9))</f>
        <v>0</v>
      </c>
      <c r="AG129" s="106">
        <f>求节点(宝物升星!H$61:H$66,宝物升星!$C$61:$C$66,AB129/SUM(H$8:H$9))</f>
        <v>0</v>
      </c>
      <c r="AH129" s="50"/>
      <c r="AI129" s="50"/>
      <c r="AJ129" s="50"/>
      <c r="AK129" s="50"/>
      <c r="AL129" s="50"/>
      <c r="AU129" s="92">
        <v>3600</v>
      </c>
      <c r="AY129" s="31">
        <f t="shared" si="48"/>
        <v>0.14285714285714285</v>
      </c>
      <c r="AZ129" s="31">
        <f t="shared" si="32"/>
        <v>7.1428571428571425E-2</v>
      </c>
      <c r="BA129" s="31">
        <f t="shared" si="41"/>
        <v>0</v>
      </c>
      <c r="BB129" s="31">
        <f t="shared" si="42"/>
        <v>0</v>
      </c>
      <c r="BC129" s="31">
        <f t="shared" si="43"/>
        <v>0</v>
      </c>
      <c r="BD129" s="31">
        <f t="shared" si="44"/>
        <v>501.42857142857082</v>
      </c>
      <c r="BE129" s="31">
        <f t="shared" si="45"/>
        <v>246.42857142857113</v>
      </c>
    </row>
    <row r="130" spans="14:57" x14ac:dyDescent="0.15">
      <c r="N130" s="50">
        <v>50</v>
      </c>
      <c r="O130" s="50">
        <f>求节点(节奏总纲!$O$4:$O$163,节奏总纲!T$4:T$163,N130)</f>
        <v>9.1883999999999997</v>
      </c>
      <c r="P130" s="114">
        <f>INDEX('[1]资源-钻石'!$P$4:$P$163,$N130)*$O$11</f>
        <v>142189.50862294724</v>
      </c>
      <c r="Q130" s="133">
        <v>0.2</v>
      </c>
      <c r="R130" s="114"/>
      <c r="S130" s="114">
        <f t="shared" si="38"/>
        <v>35.784359670108387</v>
      </c>
      <c r="T130" s="114">
        <f t="shared" si="39"/>
        <v>18.958601149726299</v>
      </c>
      <c r="U130" s="114">
        <f t="shared" si="40"/>
        <v>5.6875803449178903</v>
      </c>
      <c r="V130" s="114">
        <f t="shared" si="46"/>
        <v>1.2797055776065251</v>
      </c>
      <c r="W130" s="50"/>
      <c r="X130" s="106"/>
      <c r="Y130" s="115">
        <f>求节点(盗宝贼!$CC$5:$CC$164,盗宝贼!$CH$5:$CH$164,$N130)+S130</f>
        <v>47.546245290098561</v>
      </c>
      <c r="Z130" s="115">
        <f>求节点(盗宝贼!$CC$5:$CC$164,盗宝贼!$CM$5:$CM$164,$N130)+T130</f>
        <v>20.331662871488202</v>
      </c>
      <c r="AA130" s="115">
        <f>求节点(盗宝贼!$CC$5:$CC$164,盗宝贼!$CR$5:$CR$164,$N130)+U130</f>
        <v>5.6875803449178903</v>
      </c>
      <c r="AB130" s="115">
        <f t="shared" si="47"/>
        <v>1.2797055776065251</v>
      </c>
      <c r="AC130" s="106"/>
      <c r="AD130" s="106">
        <f>求节点(宝物升星!E$61:E$66,宝物升星!$C$61:$C$66,Y130/SUM(E$8:E$9))</f>
        <v>3.4858201653155803</v>
      </c>
      <c r="AE130" s="106">
        <f>求节点(宝物升星!F$61:F$66,宝物升星!$C$61:$C$66,Z130/SUM(F$8:F$9))</f>
        <v>2.0165831435744099</v>
      </c>
      <c r="AF130" s="106">
        <f>求节点(宝物升星!G$61:G$66,宝物升星!$C$61:$C$66,AA130/SUM(G$8:G$9))</f>
        <v>0</v>
      </c>
      <c r="AG130" s="106">
        <f>求节点(宝物升星!H$61:H$66,宝物升星!$C$61:$C$66,AB130/SUM(H$8:H$9))</f>
        <v>0.27970557760652515</v>
      </c>
      <c r="AH130" s="50"/>
      <c r="AI130" s="50"/>
      <c r="AJ130" s="50"/>
      <c r="AK130" s="50"/>
      <c r="AL130" s="50"/>
      <c r="AU130" s="92">
        <v>3630</v>
      </c>
      <c r="AY130" s="31">
        <f t="shared" si="48"/>
        <v>0.14285714285714285</v>
      </c>
      <c r="AZ130" s="31">
        <f t="shared" si="32"/>
        <v>7.1428571428571425E-2</v>
      </c>
      <c r="BA130" s="31">
        <f t="shared" si="41"/>
        <v>0</v>
      </c>
      <c r="BB130" s="31">
        <f t="shared" si="42"/>
        <v>0</v>
      </c>
      <c r="BC130" s="31">
        <f t="shared" si="43"/>
        <v>0</v>
      </c>
      <c r="BD130" s="31">
        <f t="shared" si="44"/>
        <v>505.7142857142851</v>
      </c>
      <c r="BE130" s="31">
        <f t="shared" si="45"/>
        <v>248.57142857142827</v>
      </c>
    </row>
    <row r="131" spans="14:57" x14ac:dyDescent="0.15">
      <c r="N131" s="50">
        <v>60</v>
      </c>
      <c r="O131" s="50">
        <f>求节点(节奏总纲!$O$4:$O$163,节奏总纲!T$4:T$163,N131)</f>
        <v>18.276300000000003</v>
      </c>
      <c r="P131" s="114">
        <f>INDEX('[1]资源-钻石'!$P$4:$P$163,$N131)*$O$11</f>
        <v>254501.7156125672</v>
      </c>
      <c r="Q131" s="133">
        <v>0.5</v>
      </c>
      <c r="R131" s="114"/>
      <c r="S131" s="114">
        <f t="shared" si="38"/>
        <v>160.12399607290686</v>
      </c>
      <c r="T131" s="114">
        <f t="shared" si="39"/>
        <v>84.833905204189065</v>
      </c>
      <c r="U131" s="114">
        <f t="shared" si="40"/>
        <v>25.45017156125672</v>
      </c>
      <c r="V131" s="114">
        <f t="shared" si="46"/>
        <v>5.7262886012827616</v>
      </c>
      <c r="W131" s="50"/>
      <c r="X131" s="106"/>
      <c r="Y131" s="115">
        <f>求节点(盗宝贼!$CC$5:$CC$164,盗宝贼!$CH$5:$CH$164,$N131)+S131</f>
        <v>180.09771820265669</v>
      </c>
      <c r="Z131" s="115">
        <f>求节点(盗宝贼!$CC$5:$CC$164,盗宝贼!$CM$5:$CM$164,$N131)+T131</f>
        <v>88.630313589168736</v>
      </c>
      <c r="AA131" s="115">
        <f>求节点(盗宝贼!$CC$5:$CC$164,盗宝贼!$CR$5:$CR$164,$N131)+U131</f>
        <v>25.45017156125672</v>
      </c>
      <c r="AB131" s="115">
        <f t="shared" si="47"/>
        <v>5.7262886012827616</v>
      </c>
      <c r="AC131" s="106"/>
      <c r="AD131" s="106">
        <f>求节点(宝物升星!E$61:E$66,宝物升星!$C$61:$C$66,Y131/SUM(E$8:E$9))</f>
        <v>5</v>
      </c>
      <c r="AE131" s="106">
        <f>求节点(宝物升星!F$61:F$66,宝物升星!$C$61:$C$66,Z131/SUM(F$8:F$9))</f>
        <v>4.1078789198646088</v>
      </c>
      <c r="AF131" s="106">
        <f>求节点(宝物升星!G$61:G$66,宝物升星!$C$61:$C$66,AA131/SUM(G$8:G$9))</f>
        <v>1.8006862450268724E-2</v>
      </c>
      <c r="AG131" s="106">
        <f>求节点(宝物升星!H$61:H$66,宝物升星!$C$61:$C$66,AB131/SUM(H$8:H$9))</f>
        <v>3.8631443006413808</v>
      </c>
      <c r="AH131" s="50"/>
      <c r="AI131" s="50"/>
      <c r="AJ131" s="50"/>
      <c r="AK131" s="50"/>
      <c r="AL131" s="50"/>
      <c r="AU131" s="92">
        <v>3660</v>
      </c>
      <c r="AY131" s="31">
        <f t="shared" si="48"/>
        <v>0.14285714285714285</v>
      </c>
      <c r="AZ131" s="31">
        <f t="shared" si="32"/>
        <v>7.1428571428571425E-2</v>
      </c>
      <c r="BA131" s="31">
        <f t="shared" si="41"/>
        <v>0</v>
      </c>
      <c r="BB131" s="31">
        <f t="shared" si="42"/>
        <v>0</v>
      </c>
      <c r="BC131" s="31">
        <f t="shared" si="43"/>
        <v>0</v>
      </c>
      <c r="BD131" s="31">
        <f t="shared" si="44"/>
        <v>509.99999999999937</v>
      </c>
      <c r="BE131" s="31">
        <f t="shared" si="45"/>
        <v>250.71428571428541</v>
      </c>
    </row>
    <row r="132" spans="14:57" x14ac:dyDescent="0.15">
      <c r="N132" s="50">
        <v>70</v>
      </c>
      <c r="O132" s="50">
        <f>求节点(节奏总纲!$O$4:$O$163,节奏总纲!T$4:T$163,N132)</f>
        <v>36.4998</v>
      </c>
      <c r="P132" s="114">
        <f>INDEX('[1]资源-钻石'!$P$4:$P$163,$N132)*$O$11</f>
        <v>470227.57006880245</v>
      </c>
      <c r="Q132" s="133">
        <v>1</v>
      </c>
      <c r="R132" s="114"/>
      <c r="S132" s="114">
        <f t="shared" si="38"/>
        <v>591.70302566990972</v>
      </c>
      <c r="T132" s="114">
        <f t="shared" si="39"/>
        <v>313.485046712535</v>
      </c>
      <c r="U132" s="114">
        <f t="shared" si="40"/>
        <v>94.045514013760496</v>
      </c>
      <c r="V132" s="114">
        <f t="shared" si="46"/>
        <v>21.16024065309611</v>
      </c>
      <c r="W132" s="50"/>
      <c r="X132" s="106"/>
      <c r="Y132" s="115">
        <f>求节点(盗宝贼!$CC$5:$CC$164,盗宝贼!$CH$5:$CH$164,$N132)+S132</f>
        <v>631.73941707950291</v>
      </c>
      <c r="Z132" s="115">
        <f>求节点(盗宝贼!$CC$5:$CC$164,盗宝贼!$CM$5:$CM$164,$N132)+T132</f>
        <v>325.87974193173329</v>
      </c>
      <c r="AA132" s="115">
        <f>求节点(盗宝贼!$CC$5:$CC$164,盗宝贼!$CR$5:$CR$164,$N132)+U132</f>
        <v>94.045514013760496</v>
      </c>
      <c r="AB132" s="115">
        <f t="shared" si="47"/>
        <v>21.16024065309611</v>
      </c>
      <c r="AC132" s="106"/>
      <c r="AD132" s="106">
        <f>求节点(宝物升星!E$61:E$66,宝物升星!$C$61:$C$66,Y132/SUM(E$8:E$9))</f>
        <v>5</v>
      </c>
      <c r="AE132" s="106">
        <f>求节点(宝物升星!F$61:F$66,宝物升星!$C$61:$C$66,Z132/SUM(F$8:F$9))</f>
        <v>5</v>
      </c>
      <c r="AF132" s="106">
        <f>求节点(宝物升星!G$61:G$66,宝物升星!$C$61:$C$66,AA132/SUM(G$8:G$9))</f>
        <v>2.3809102802752102</v>
      </c>
      <c r="AG132" s="106">
        <f>求节点(宝物升星!H$61:H$66,宝物升星!$C$61:$C$66,AB132/SUM(H$8:H$9))</f>
        <v>5</v>
      </c>
      <c r="AH132" s="50"/>
      <c r="AI132" s="50"/>
      <c r="AJ132" s="50"/>
      <c r="AK132" s="50"/>
      <c r="AL132" s="50"/>
      <c r="AU132" s="92">
        <v>3690</v>
      </c>
      <c r="AY132" s="31">
        <f t="shared" si="48"/>
        <v>0.14285714285714285</v>
      </c>
      <c r="AZ132" s="31">
        <f t="shared" si="32"/>
        <v>7.1428571428571425E-2</v>
      </c>
      <c r="BA132" s="31">
        <f t="shared" si="41"/>
        <v>0</v>
      </c>
      <c r="BB132" s="31">
        <f t="shared" si="42"/>
        <v>0</v>
      </c>
      <c r="BC132" s="31">
        <f t="shared" si="43"/>
        <v>0</v>
      </c>
      <c r="BD132" s="31">
        <f t="shared" si="44"/>
        <v>514.28571428571365</v>
      </c>
      <c r="BE132" s="31">
        <f t="shared" si="45"/>
        <v>252.85714285714255</v>
      </c>
    </row>
    <row r="133" spans="14:57" x14ac:dyDescent="0.15">
      <c r="N133" s="50">
        <v>80</v>
      </c>
      <c r="O133" s="50">
        <f>求节点(节奏总纲!$O$4:$O$163,节奏总纲!T$4:T$163,N133)</f>
        <v>72.777000000000001</v>
      </c>
      <c r="P133" s="114">
        <f>INDEX('[1]资源-钻石'!$P$4:$P$163,$N133)*$O$11</f>
        <v>916855.42939266202</v>
      </c>
      <c r="Q133" s="133">
        <v>1</v>
      </c>
      <c r="R133" s="114"/>
      <c r="S133" s="114">
        <f t="shared" si="38"/>
        <v>1153.7097486524328</v>
      </c>
      <c r="T133" s="114">
        <f t="shared" si="39"/>
        <v>611.23695292844127</v>
      </c>
      <c r="U133" s="114">
        <f t="shared" si="40"/>
        <v>183.3710858785324</v>
      </c>
      <c r="V133" s="114">
        <f t="shared" si="46"/>
        <v>41.258494322669783</v>
      </c>
      <c r="W133" s="50"/>
      <c r="X133" s="106"/>
      <c r="Y133" s="115">
        <f>求节点(盗宝贼!$CC$5:$CC$164,盗宝贼!$CH$5:$CH$164,$N133)+S133</f>
        <v>1253.7434017593148</v>
      </c>
      <c r="Z133" s="115">
        <f>求节点(盗宝贼!$CC$5:$CC$164,盗宝贼!$CM$5:$CM$164,$N133)+T133</f>
        <v>649.34476030362043</v>
      </c>
      <c r="AA133" s="115">
        <f>求节点(盗宝贼!$CC$5:$CC$164,盗宝贼!$CR$5:$CR$164,$N133)+U133</f>
        <v>183.3710858785324</v>
      </c>
      <c r="AB133" s="115">
        <f t="shared" si="47"/>
        <v>41.258494322669783</v>
      </c>
      <c r="AC133" s="106"/>
      <c r="AD133" s="106">
        <f>求节点(宝物升星!E$61:E$66,宝物升星!$C$61:$C$66,Y133/SUM(E$8:E$9))</f>
        <v>5</v>
      </c>
      <c r="AE133" s="106">
        <f>求节点(宝物升星!F$61:F$66,宝物升星!$C$61:$C$66,Z133/SUM(F$8:F$9))</f>
        <v>5</v>
      </c>
      <c r="AF133" s="106">
        <f>求节点(宝物升星!G$61:G$66,宝物升星!$C$61:$C$66,AA133/SUM(G$8:G$9))</f>
        <v>3.5837108587853237</v>
      </c>
      <c r="AG133" s="106">
        <f>求节点(宝物升星!H$61:H$66,宝物升星!$C$61:$C$66,AB133/SUM(H$8:H$9))</f>
        <v>5</v>
      </c>
      <c r="AH133" s="50"/>
      <c r="AI133" s="50"/>
      <c r="AJ133" s="50"/>
      <c r="AK133" s="50"/>
      <c r="AL133" s="50"/>
      <c r="AU133" s="92">
        <v>3720</v>
      </c>
      <c r="AY133" s="31">
        <f t="shared" si="48"/>
        <v>0.14285714285714285</v>
      </c>
      <c r="AZ133" s="31">
        <f t="shared" si="32"/>
        <v>7.1428571428571425E-2</v>
      </c>
      <c r="BA133" s="31">
        <f t="shared" si="41"/>
        <v>0</v>
      </c>
      <c r="BB133" s="31">
        <f t="shared" si="42"/>
        <v>0</v>
      </c>
      <c r="BC133" s="31">
        <f t="shared" si="43"/>
        <v>0</v>
      </c>
      <c r="BD133" s="31">
        <f t="shared" si="44"/>
        <v>518.57142857142799</v>
      </c>
      <c r="BE133" s="31">
        <f t="shared" si="45"/>
        <v>254.99999999999969</v>
      </c>
    </row>
    <row r="134" spans="14:57" x14ac:dyDescent="0.15">
      <c r="N134" s="50">
        <v>90</v>
      </c>
      <c r="O134" s="50">
        <f>求节点(节奏总纲!$O$4:$O$163,节奏总纲!T$4:T$163,N134)</f>
        <v>138.48100000000002</v>
      </c>
      <c r="P134" s="114">
        <f>INDEX('[1]资源-钻石'!$P$4:$P$163,$N134)*$O$11</f>
        <v>1709094.1318911004</v>
      </c>
      <c r="Q134" s="133">
        <v>1</v>
      </c>
      <c r="R134" s="114"/>
      <c r="S134" s="114">
        <f t="shared" si="38"/>
        <v>2150.6101159629679</v>
      </c>
      <c r="T134" s="114">
        <f t="shared" si="39"/>
        <v>1139.3960879274005</v>
      </c>
      <c r="U134" s="114">
        <f t="shared" si="40"/>
        <v>341.81882637822014</v>
      </c>
      <c r="V134" s="114">
        <f t="shared" si="46"/>
        <v>76.909235935099531</v>
      </c>
      <c r="W134" s="50"/>
      <c r="X134" s="106"/>
      <c r="Y134" s="115">
        <f>求节点(盗宝贼!$CC$5:$CC$164,盗宝贼!$CH$5:$CH$164,$N134)+S134</f>
        <v>2364.3379706698497</v>
      </c>
      <c r="Z134" s="115">
        <f>求节点(盗宝贼!$CC$5:$CC$164,盗宝贼!$CM$5:$CM$164,$N134)+T134</f>
        <v>1226.2299817025796</v>
      </c>
      <c r="AA134" s="115">
        <f>求节点(盗宝贼!$CC$5:$CC$164,盗宝贼!$CR$5:$CR$164,$N134)+U134</f>
        <v>341.81882637822014</v>
      </c>
      <c r="AB134" s="115">
        <f t="shared" si="47"/>
        <v>76.909235935099531</v>
      </c>
      <c r="AC134" s="106"/>
      <c r="AD134" s="106">
        <f>求节点(宝物升星!E$61:E$66,宝物升星!$C$61:$C$66,Y134/SUM(E$8:E$9))</f>
        <v>5</v>
      </c>
      <c r="AE134" s="106">
        <f>求节点(宝物升星!F$61:F$66,宝物升星!$C$61:$C$66,Z134/SUM(F$8:F$9))</f>
        <v>5</v>
      </c>
      <c r="AF134" s="106">
        <f>求节点(宝物升星!G$61:G$66,宝物升星!$C$61:$C$66,AA134/SUM(G$8:G$9))</f>
        <v>4.584094131891101</v>
      </c>
      <c r="AG134" s="106">
        <f>求节点(宝物升星!H$61:H$66,宝物升星!$C$61:$C$66,AB134/SUM(H$8:H$9))</f>
        <v>5</v>
      </c>
      <c r="AH134" s="50"/>
      <c r="AI134" s="50"/>
      <c r="AJ134" s="50"/>
      <c r="AK134" s="50"/>
      <c r="AL134" s="50"/>
      <c r="AU134" s="92">
        <v>3750</v>
      </c>
      <c r="AY134" s="31">
        <f t="shared" si="48"/>
        <v>0.14285714285714285</v>
      </c>
      <c r="AZ134" s="31">
        <f t="shared" si="32"/>
        <v>7.1428571428571425E-2</v>
      </c>
      <c r="BA134" s="31">
        <f t="shared" si="41"/>
        <v>0</v>
      </c>
      <c r="BB134" s="31">
        <f t="shared" si="42"/>
        <v>0</v>
      </c>
      <c r="BC134" s="31">
        <f t="shared" si="43"/>
        <v>0</v>
      </c>
      <c r="BD134" s="31">
        <f t="shared" si="44"/>
        <v>522.85714285714232</v>
      </c>
      <c r="BE134" s="31">
        <f t="shared" si="45"/>
        <v>257.14285714285683</v>
      </c>
    </row>
    <row r="135" spans="14:57" x14ac:dyDescent="0.15">
      <c r="N135" s="50">
        <v>100</v>
      </c>
      <c r="O135" s="50">
        <f>求节点(节奏总纲!$O$4:$O$163,节奏总纲!T$4:T$163,N135)</f>
        <v>274.16400000000004</v>
      </c>
      <c r="P135" s="114">
        <f>INDEX('[1]资源-钻石'!$P$4:$P$163,$N135)*$O$11</f>
        <v>3351272.7098286967</v>
      </c>
      <c r="Q135" s="133">
        <v>1</v>
      </c>
      <c r="R135" s="114"/>
      <c r="S135" s="114">
        <f t="shared" si="38"/>
        <v>4217.0181598677764</v>
      </c>
      <c r="T135" s="114">
        <f t="shared" si="39"/>
        <v>2234.1818065524644</v>
      </c>
      <c r="U135" s="114">
        <f t="shared" si="40"/>
        <v>670.25454196573935</v>
      </c>
      <c r="V135" s="114">
        <f t="shared" si="46"/>
        <v>150.80727194229135</v>
      </c>
      <c r="W135" s="50"/>
      <c r="X135" s="106"/>
      <c r="Y135" s="115">
        <f>求节点(盗宝贼!$CC$5:$CC$164,盗宝贼!$CH$5:$CH$164,$N135)+S135</f>
        <v>4665.5318777746579</v>
      </c>
      <c r="Z135" s="115">
        <f>求节点(盗宝贼!$CC$5:$CC$164,盗宝贼!$CM$5:$CM$164,$N135)+T135</f>
        <v>2421.6382131276437</v>
      </c>
      <c r="AA135" s="115">
        <f>求节点(盗宝贼!$CC$5:$CC$164,盗宝贼!$CR$5:$CR$164,$N135)+U135</f>
        <v>670.25454196573935</v>
      </c>
      <c r="AB135" s="115">
        <f t="shared" si="47"/>
        <v>150.80727194229135</v>
      </c>
      <c r="AC135" s="106"/>
      <c r="AD135" s="106">
        <f>求节点(宝物升星!E$61:E$66,宝物升星!$C$61:$C$66,Y135/SUM(E$8:E$9))</f>
        <v>5</v>
      </c>
      <c r="AE135" s="106">
        <f>求节点(宝物升星!F$61:F$66,宝物升星!$C$61:$C$66,Z135/SUM(F$8:F$9))</f>
        <v>5</v>
      </c>
      <c r="AF135" s="106">
        <f>求节点(宝物升星!G$61:G$66,宝物升星!$C$61:$C$66,AA135/SUM(G$8:G$9))</f>
        <v>5</v>
      </c>
      <c r="AG135" s="106">
        <f>求节点(宝物升星!H$61:H$66,宝物升星!$C$61:$C$66,AB135/SUM(H$8:H$9))</f>
        <v>5</v>
      </c>
      <c r="AH135" s="50"/>
      <c r="AI135" s="50"/>
      <c r="AJ135" s="50"/>
      <c r="AK135" s="50"/>
      <c r="AL135" s="50"/>
      <c r="AU135" s="92">
        <v>3780</v>
      </c>
      <c r="AY135" s="31">
        <f t="shared" si="48"/>
        <v>0.14285714285714285</v>
      </c>
      <c r="AZ135" s="31">
        <f t="shared" si="32"/>
        <v>7.1428571428571425E-2</v>
      </c>
      <c r="BA135" s="31">
        <f t="shared" si="41"/>
        <v>0</v>
      </c>
      <c r="BB135" s="31">
        <f t="shared" si="42"/>
        <v>0</v>
      </c>
      <c r="BC135" s="31">
        <f t="shared" si="43"/>
        <v>0</v>
      </c>
      <c r="BD135" s="31">
        <f t="shared" si="44"/>
        <v>527.14285714285666</v>
      </c>
      <c r="BE135" s="31">
        <f t="shared" si="45"/>
        <v>259.28571428571399</v>
      </c>
    </row>
    <row r="136" spans="14:57" x14ac:dyDescent="0.15">
      <c r="N136" s="50">
        <v>110</v>
      </c>
      <c r="O136" s="50">
        <f>求节点(节奏总纲!$O$4:$O$163,节奏总纲!T$4:T$163,N136)</f>
        <v>541.22680000000003</v>
      </c>
      <c r="P136" s="114">
        <f>INDEX('[1]资源-钻石'!$P$4:$P$163,$N136)*$O$11</f>
        <v>6004139.9657830847</v>
      </c>
      <c r="Q136" s="133">
        <v>1</v>
      </c>
      <c r="R136" s="114"/>
      <c r="S136" s="114">
        <f t="shared" si="38"/>
        <v>7555.2094569437149</v>
      </c>
      <c r="T136" s="114">
        <f t="shared" si="39"/>
        <v>4002.7599771887235</v>
      </c>
      <c r="U136" s="114">
        <f t="shared" si="40"/>
        <v>1200.8279931566171</v>
      </c>
      <c r="V136" s="114">
        <f t="shared" si="46"/>
        <v>270.18629846023879</v>
      </c>
      <c r="W136" s="50"/>
      <c r="X136" s="106"/>
      <c r="Y136" s="115">
        <f>求节点(盗宝贼!$CC$5:$CC$164,盗宝贼!$CH$5:$CH$164,$N136)+S136</f>
        <v>8465.8486439705975</v>
      </c>
      <c r="Z136" s="115">
        <f>求节点(盗宝贼!$CC$5:$CC$164,盗宝贼!$CM$5:$CM$164,$N136)+T136</f>
        <v>4388.2701562439024</v>
      </c>
      <c r="AA136" s="115">
        <f>求节点(盗宝贼!$CC$5:$CC$164,盗宝贼!$CR$5:$CR$164,$N136)+U136</f>
        <v>1200.8279931566171</v>
      </c>
      <c r="AB136" s="115">
        <f t="shared" si="47"/>
        <v>270.18629846023879</v>
      </c>
      <c r="AC136" s="106"/>
      <c r="AD136" s="106">
        <f>求节点(宝物升星!E$61:E$66,宝物升星!$C$61:$C$66,Y136/SUM(E$8:E$9))</f>
        <v>5</v>
      </c>
      <c r="AE136" s="106">
        <f>求节点(宝物升星!F$61:F$66,宝物升星!$C$61:$C$66,Z136/SUM(F$8:F$9))</f>
        <v>5</v>
      </c>
      <c r="AF136" s="106">
        <f>求节点(宝物升星!G$61:G$66,宝物升星!$C$61:$C$66,AA136/SUM(G$8:G$9))</f>
        <v>5</v>
      </c>
      <c r="AG136" s="106">
        <f>求节点(宝物升星!H$61:H$66,宝物升星!$C$61:$C$66,AB136/SUM(H$8:H$9))</f>
        <v>5</v>
      </c>
      <c r="AH136" s="50"/>
      <c r="AI136" s="50"/>
      <c r="AJ136" s="50"/>
      <c r="AK136" s="50"/>
      <c r="AL136" s="50"/>
      <c r="AU136" s="92">
        <v>3810</v>
      </c>
      <c r="AY136" s="31">
        <f t="shared" si="48"/>
        <v>0.14285714285714285</v>
      </c>
      <c r="AZ136" s="31">
        <f t="shared" si="32"/>
        <v>7.1428571428571425E-2</v>
      </c>
      <c r="BA136" s="31">
        <f t="shared" si="41"/>
        <v>0</v>
      </c>
      <c r="BB136" s="31">
        <f t="shared" si="42"/>
        <v>0</v>
      </c>
      <c r="BC136" s="31">
        <f t="shared" si="43"/>
        <v>0</v>
      </c>
      <c r="BD136" s="31">
        <f t="shared" si="44"/>
        <v>531.42857142857099</v>
      </c>
      <c r="BE136" s="31">
        <f t="shared" si="45"/>
        <v>261.42857142857116</v>
      </c>
    </row>
    <row r="137" spans="14:57" x14ac:dyDescent="0.15">
      <c r="N137" s="50">
        <v>120</v>
      </c>
      <c r="O137" s="50">
        <f>求节点(节奏总纲!$O$4:$O$163,节奏总纲!T$4:T$163,N137)</f>
        <v>1066.3380000000002</v>
      </c>
      <c r="P137" s="114">
        <f>INDEX('[1]资源-钻石'!$P$4:$P$163,$N137)*$O$11</f>
        <v>8735541.5584308803</v>
      </c>
      <c r="Q137" s="133">
        <v>1</v>
      </c>
      <c r="R137" s="114"/>
      <c r="S137" s="114">
        <f t="shared" si="38"/>
        <v>10992.22312769219</v>
      </c>
      <c r="T137" s="114">
        <f t="shared" si="39"/>
        <v>5823.6943722872538</v>
      </c>
      <c r="U137" s="114">
        <f t="shared" si="40"/>
        <v>1747.1083116861762</v>
      </c>
      <c r="V137" s="114">
        <f t="shared" si="46"/>
        <v>393.09937012938963</v>
      </c>
      <c r="W137" s="50"/>
      <c r="X137" s="106"/>
      <c r="Y137" s="115">
        <f>求节点(盗宝贼!$CC$5:$CC$164,盗宝贼!$CH$5:$CH$164,$N137)+S137</f>
        <v>12811.514735199073</v>
      </c>
      <c r="Z137" s="115">
        <f>求节点(盗宝贼!$CC$5:$CC$164,盗宝贼!$CM$5:$CM$164,$N137)+T137</f>
        <v>6598.6270172624336</v>
      </c>
      <c r="AA137" s="115">
        <f>求节点(盗宝贼!$CC$5:$CC$164,盗宝贼!$CR$5:$CR$164,$N137)+U137</f>
        <v>1747.1083116861762</v>
      </c>
      <c r="AB137" s="115">
        <f t="shared" si="47"/>
        <v>393.09937012938963</v>
      </c>
      <c r="AC137" s="106"/>
      <c r="AD137" s="106">
        <f>求节点(宝物升星!E$61:E$66,宝物升星!$C$61:$C$66,Y137/SUM(E$8:E$9))</f>
        <v>5</v>
      </c>
      <c r="AE137" s="106">
        <f>求节点(宝物升星!F$61:F$66,宝物升星!$C$61:$C$66,Z137/SUM(F$8:F$9))</f>
        <v>5</v>
      </c>
      <c r="AF137" s="106">
        <f>求节点(宝物升星!G$61:G$66,宝物升星!$C$61:$C$66,AA137/SUM(G$8:G$9))</f>
        <v>5</v>
      </c>
      <c r="AG137" s="106">
        <f>求节点(宝物升星!H$61:H$66,宝物升星!$C$61:$C$66,AB137/SUM(H$8:H$9))</f>
        <v>5</v>
      </c>
      <c r="AH137" s="50"/>
      <c r="AI137" s="50"/>
      <c r="AJ137" s="50"/>
      <c r="AK137" s="50"/>
      <c r="AL137" s="50"/>
      <c r="AU137" s="92">
        <v>3840</v>
      </c>
      <c r="AY137" s="31">
        <f t="shared" si="48"/>
        <v>0.14285714285714285</v>
      </c>
      <c r="AZ137" s="31">
        <f t="shared" si="32"/>
        <v>7.1428571428571425E-2</v>
      </c>
      <c r="BA137" s="31">
        <f t="shared" si="41"/>
        <v>0</v>
      </c>
      <c r="BB137" s="31">
        <f t="shared" si="42"/>
        <v>0</v>
      </c>
      <c r="BC137" s="31">
        <f t="shared" si="43"/>
        <v>0</v>
      </c>
      <c r="BD137" s="31">
        <f t="shared" si="44"/>
        <v>535.71428571428532</v>
      </c>
      <c r="BE137" s="31">
        <f t="shared" si="45"/>
        <v>263.57142857142833</v>
      </c>
    </row>
    <row r="138" spans="14:57" x14ac:dyDescent="0.15">
      <c r="N138" s="50">
        <v>130</v>
      </c>
      <c r="O138" s="50">
        <f>求节点(节奏总纲!$O$4:$O$163,节奏总纲!T$4:T$163,N138)</f>
        <v>2123.1071999999999</v>
      </c>
      <c r="P138" s="114">
        <f>INDEX('[1]资源-钻石'!$P$4:$P$163,$N138)*$O$11</f>
        <v>11466943.151078681</v>
      </c>
      <c r="Q138" s="133">
        <v>1</v>
      </c>
      <c r="R138" s="114"/>
      <c r="S138" s="114">
        <f t="shared" si="38"/>
        <v>14429.236798440672</v>
      </c>
      <c r="T138" s="114">
        <f t="shared" si="39"/>
        <v>7644.6287673857869</v>
      </c>
      <c r="U138" s="114">
        <f t="shared" si="40"/>
        <v>2293.3886302157362</v>
      </c>
      <c r="V138" s="114">
        <f t="shared" si="46"/>
        <v>516.01244179854052</v>
      </c>
      <c r="W138" s="50"/>
      <c r="X138" s="106"/>
      <c r="Y138" s="115">
        <f>求节点(盗宝贼!$CC$5:$CC$164,盗宝贼!$CH$5:$CH$164,$N138)+S138</f>
        <v>18077.161829627556</v>
      </c>
      <c r="Z138" s="115">
        <f>求节点(盗宝贼!$CC$5:$CC$164,盗宝贼!$CM$5:$CM$164,$N138)+T138</f>
        <v>9203.2614510809653</v>
      </c>
      <c r="AA138" s="115">
        <f>求节点(盗宝贼!$CC$5:$CC$164,盗宝贼!$CR$5:$CR$164,$N138)+U138</f>
        <v>2293.3886302157362</v>
      </c>
      <c r="AB138" s="115">
        <f t="shared" si="47"/>
        <v>516.01244179854052</v>
      </c>
      <c r="AC138" s="106"/>
      <c r="AD138" s="106">
        <f>求节点(宝物升星!E$61:E$66,宝物升星!$C$61:$C$66,Y138/SUM(E$8:E$9))</f>
        <v>5</v>
      </c>
      <c r="AE138" s="106">
        <f>求节点(宝物升星!F$61:F$66,宝物升星!$C$61:$C$66,Z138/SUM(F$8:F$9))</f>
        <v>5</v>
      </c>
      <c r="AF138" s="106">
        <f>求节点(宝物升星!G$61:G$66,宝物升星!$C$61:$C$66,AA138/SUM(G$8:G$9))</f>
        <v>5</v>
      </c>
      <c r="AG138" s="106">
        <f>求节点(宝物升星!H$61:H$66,宝物升星!$C$61:$C$66,AB138/SUM(H$8:H$9))</f>
        <v>5</v>
      </c>
      <c r="AH138" s="50"/>
      <c r="AI138" s="50"/>
      <c r="AJ138" s="50"/>
      <c r="AK138" s="50"/>
      <c r="AL138" s="50"/>
      <c r="AU138" s="92">
        <v>3870</v>
      </c>
      <c r="AY138" s="31">
        <f t="shared" si="48"/>
        <v>0.14285714285714285</v>
      </c>
      <c r="AZ138" s="31">
        <f t="shared" si="32"/>
        <v>7.1428571428571425E-2</v>
      </c>
      <c r="BA138" s="31">
        <f t="shared" si="41"/>
        <v>0</v>
      </c>
      <c r="BB138" s="31">
        <f t="shared" si="42"/>
        <v>0</v>
      </c>
      <c r="BC138" s="31">
        <f t="shared" si="43"/>
        <v>0</v>
      </c>
      <c r="BD138" s="31">
        <f t="shared" si="44"/>
        <v>539.99999999999966</v>
      </c>
      <c r="BE138" s="31">
        <f t="shared" si="45"/>
        <v>265.7142857142855</v>
      </c>
    </row>
    <row r="139" spans="14:57" x14ac:dyDescent="0.15">
      <c r="N139" s="50">
        <v>140</v>
      </c>
      <c r="O139" s="50">
        <f>求节点(节奏总纲!$O$4:$O$163,节奏总纲!T$4:T$163,N139)</f>
        <v>4169.4735000000001</v>
      </c>
      <c r="P139" s="114">
        <f>INDEX('[1]资源-钻石'!$P$4:$P$163,$N139)*$O$11</f>
        <v>14198344.743726486</v>
      </c>
      <c r="Q139" s="133">
        <v>1</v>
      </c>
      <c r="R139" s="114"/>
      <c r="S139" s="114">
        <f t="shared" si="38"/>
        <v>17866.250469189163</v>
      </c>
      <c r="T139" s="114">
        <f t="shared" si="39"/>
        <v>9465.5631624843245</v>
      </c>
      <c r="U139" s="114">
        <f t="shared" si="40"/>
        <v>2839.6689487452973</v>
      </c>
      <c r="V139" s="114">
        <f t="shared" si="46"/>
        <v>638.92551346769187</v>
      </c>
      <c r="W139" s="50"/>
      <c r="X139" s="106"/>
      <c r="Y139" s="115">
        <f>求节点(盗宝贼!$CC$5:$CC$164,盗宝贼!$CH$5:$CH$164,$N139)+S139</f>
        <v>25055.207745896041</v>
      </c>
      <c r="Z139" s="115">
        <f>求节点(盗宝贼!$CC$5:$CC$164,盗宝贼!$CM$5:$CM$164,$N139)+T139</f>
        <v>12541.781094259502</v>
      </c>
      <c r="AA139" s="115">
        <f>求节点(盗宝贼!$CC$5:$CC$164,盗宝贼!$CR$5:$CR$164,$N139)+U139</f>
        <v>2839.6689487452973</v>
      </c>
      <c r="AB139" s="115">
        <f t="shared" si="47"/>
        <v>638.92551346769187</v>
      </c>
      <c r="AC139" s="106"/>
      <c r="AD139" s="106">
        <f>求节点(宝物升星!E$61:E$66,宝物升星!$C$61:$C$66,Y139/SUM(E$8:E$9))</f>
        <v>5</v>
      </c>
      <c r="AE139" s="106">
        <f>求节点(宝物升星!F$61:F$66,宝物升星!$C$61:$C$66,Z139/SUM(F$8:F$9))</f>
        <v>5</v>
      </c>
      <c r="AF139" s="106">
        <f>求节点(宝物升星!G$61:G$66,宝物升星!$C$61:$C$66,AA139/SUM(G$8:G$9))</f>
        <v>5</v>
      </c>
      <c r="AG139" s="106">
        <f>求节点(宝物升星!H$61:H$66,宝物升星!$C$61:$C$66,AB139/SUM(H$8:H$9))</f>
        <v>5</v>
      </c>
      <c r="AH139" s="50"/>
      <c r="AI139" s="50"/>
      <c r="AJ139" s="50"/>
      <c r="AK139" s="50"/>
      <c r="AL139" s="50"/>
      <c r="AU139" s="92">
        <v>3900</v>
      </c>
      <c r="AY139" s="31">
        <f t="shared" si="48"/>
        <v>0.14285714285714285</v>
      </c>
      <c r="AZ139" s="31">
        <f t="shared" si="32"/>
        <v>7.1428571428571425E-2</v>
      </c>
      <c r="BA139" s="31">
        <f t="shared" si="41"/>
        <v>0</v>
      </c>
      <c r="BB139" s="31">
        <f t="shared" si="42"/>
        <v>0</v>
      </c>
      <c r="BC139" s="31">
        <f t="shared" si="43"/>
        <v>0</v>
      </c>
      <c r="BD139" s="31">
        <f t="shared" si="44"/>
        <v>544.28571428571399</v>
      </c>
      <c r="BE139" s="31">
        <f t="shared" si="45"/>
        <v>267.85714285714266</v>
      </c>
    </row>
    <row r="140" spans="14:57" x14ac:dyDescent="0.15">
      <c r="N140" s="50">
        <v>150</v>
      </c>
      <c r="O140" s="50">
        <f>求节点(节奏总纲!$O$4:$O$163,节奏总纲!T$4:T$163,N140)</f>
        <v>8355.5850000000009</v>
      </c>
      <c r="P140" s="114">
        <f>INDEX('[1]资源-钻石'!$P$4:$P$163,$N140)*$O$11</f>
        <v>16929746.33637429</v>
      </c>
      <c r="Q140" s="133">
        <v>1</v>
      </c>
      <c r="R140" s="114"/>
      <c r="S140" s="114">
        <f t="shared" si="38"/>
        <v>21303.264139937644</v>
      </c>
      <c r="T140" s="114">
        <f t="shared" si="39"/>
        <v>11286.497557582859</v>
      </c>
      <c r="U140" s="114">
        <f t="shared" si="40"/>
        <v>3385.9492672748579</v>
      </c>
      <c r="V140" s="114">
        <f t="shared" si="46"/>
        <v>761.83858513684299</v>
      </c>
      <c r="W140" s="50"/>
      <c r="X140" s="106"/>
      <c r="Y140" s="115">
        <f>求节点(盗宝贼!$CC$5:$CC$164,盗宝贼!$CH$5:$CH$164,$N140)+S140</f>
        <v>35735.868756244527</v>
      </c>
      <c r="Z140" s="115">
        <f>求节点(盗宝贼!$CC$5:$CC$164,盗宝贼!$CM$5:$CM$164,$N140)+T140</f>
        <v>17467.135777758038</v>
      </c>
      <c r="AA140" s="115">
        <f>求节点(盗宝贼!$CC$5:$CC$164,盗宝贼!$CR$5:$CR$164,$N140)+U140</f>
        <v>3385.9492672748579</v>
      </c>
      <c r="AB140" s="115">
        <f t="shared" si="47"/>
        <v>761.83858513684299</v>
      </c>
      <c r="AC140" s="106"/>
      <c r="AD140" s="106">
        <f>求节点(宝物升星!E$61:E$66,宝物升星!$C$61:$C$66,Y140/SUM(E$8:E$9))</f>
        <v>5</v>
      </c>
      <c r="AE140" s="106">
        <f>求节点(宝物升星!F$61:F$66,宝物升星!$C$61:$C$66,Z140/SUM(F$8:F$9))</f>
        <v>5</v>
      </c>
      <c r="AF140" s="106">
        <f>求节点(宝物升星!G$61:G$66,宝物升星!$C$61:$C$66,AA140/SUM(G$8:G$9))</f>
        <v>5</v>
      </c>
      <c r="AG140" s="106">
        <f>求节点(宝物升星!H$61:H$66,宝物升星!$C$61:$C$66,AB140/SUM(H$8:H$9))</f>
        <v>5</v>
      </c>
      <c r="AH140" s="50"/>
      <c r="AI140" s="50"/>
      <c r="AJ140" s="50"/>
      <c r="AK140" s="50"/>
      <c r="AL140" s="50"/>
      <c r="AU140" s="92">
        <v>3930</v>
      </c>
      <c r="AY140" s="31">
        <f t="shared" si="48"/>
        <v>0.14285714285714285</v>
      </c>
      <c r="AZ140" s="31">
        <f t="shared" si="32"/>
        <v>7.1428571428571425E-2</v>
      </c>
      <c r="BA140" s="31">
        <f t="shared" si="41"/>
        <v>0</v>
      </c>
      <c r="BB140" s="31">
        <f t="shared" si="42"/>
        <v>0</v>
      </c>
      <c r="BC140" s="31">
        <f t="shared" si="43"/>
        <v>0</v>
      </c>
      <c r="BD140" s="31">
        <f t="shared" si="44"/>
        <v>548.57142857142833</v>
      </c>
      <c r="BE140" s="31">
        <f t="shared" si="45"/>
        <v>269.99999999999983</v>
      </c>
    </row>
    <row r="141" spans="14:57" x14ac:dyDescent="0.15">
      <c r="N141" s="50">
        <v>160</v>
      </c>
      <c r="O141" s="50">
        <f>求节点(节奏总纲!$O$4:$O$163,节奏总纲!T$4:T$163,N141)</f>
        <v>66190.350000000006</v>
      </c>
      <c r="P141" s="114">
        <f>INDEX('[1]资源-钻石'!$P$4:$P$163,$N141)*$O$11</f>
        <v>19661147.929022096</v>
      </c>
      <c r="Q141" s="133">
        <v>1</v>
      </c>
      <c r="R141" s="114"/>
      <c r="S141" s="114">
        <f t="shared" si="38"/>
        <v>24740.277810686137</v>
      </c>
      <c r="T141" s="114">
        <f t="shared" si="39"/>
        <v>13107.431952681398</v>
      </c>
      <c r="U141" s="114">
        <f t="shared" si="40"/>
        <v>3932.2295858044195</v>
      </c>
      <c r="V141" s="114">
        <f t="shared" si="46"/>
        <v>884.75165680599423</v>
      </c>
      <c r="W141" s="50"/>
      <c r="X141" s="106"/>
      <c r="Y141" s="115">
        <f>求节点(盗宝贼!$CC$5:$CC$164,盗宝贼!$CH$5:$CH$164,$N141)+S141</f>
        <v>139250.15978299305</v>
      </c>
      <c r="Z141" s="115">
        <f>求节点(盗宝贼!$CC$5:$CC$164,盗宝贼!$CM$5:$CM$164,$N141)+T141</f>
        <v>62178.331896856595</v>
      </c>
      <c r="AA141" s="115">
        <f>求节点(盗宝贼!$CC$5:$CC$164,盗宝贼!$CR$5:$CR$164,$N141)+U141</f>
        <v>3932.2295858044195</v>
      </c>
      <c r="AB141" s="115">
        <f t="shared" si="47"/>
        <v>884.75165680599423</v>
      </c>
      <c r="AC141" s="106"/>
      <c r="AD141" s="106">
        <f>求节点(宝物升星!E$61:E$66,宝物升星!$C$61:$C$66,Y141/SUM(E$8:E$9))</f>
        <v>5</v>
      </c>
      <c r="AE141" s="106">
        <f>求节点(宝物升星!F$61:F$66,宝物升星!$C$61:$C$66,Z141/SUM(F$8:F$9))</f>
        <v>5</v>
      </c>
      <c r="AF141" s="106">
        <f>求节点(宝物升星!G$61:G$66,宝物升星!$C$61:$C$66,AA141/SUM(G$8:G$9))</f>
        <v>5</v>
      </c>
      <c r="AG141" s="106">
        <f>求节点(宝物升星!H$61:H$66,宝物升星!$C$61:$C$66,AB141/SUM(H$8:H$9))</f>
        <v>5</v>
      </c>
      <c r="AH141" s="50"/>
      <c r="AI141" s="50"/>
      <c r="AJ141" s="50"/>
      <c r="AK141" s="50"/>
      <c r="AL141" s="50"/>
      <c r="AU141" s="92">
        <v>3960</v>
      </c>
      <c r="AY141" s="31">
        <f t="shared" si="48"/>
        <v>0.14285714285714285</v>
      </c>
      <c r="AZ141" s="31">
        <f t="shared" si="32"/>
        <v>7.1428571428571425E-2</v>
      </c>
      <c r="BA141" s="31">
        <f t="shared" si="41"/>
        <v>0</v>
      </c>
      <c r="BB141" s="31">
        <f t="shared" si="42"/>
        <v>0</v>
      </c>
      <c r="BC141" s="31">
        <f t="shared" si="43"/>
        <v>0</v>
      </c>
      <c r="BD141" s="31">
        <f t="shared" si="44"/>
        <v>552.85714285714266</v>
      </c>
      <c r="BE141" s="31">
        <f t="shared" si="45"/>
        <v>272.142857142857</v>
      </c>
    </row>
    <row r="142" spans="14:57" x14ac:dyDescent="0.15">
      <c r="AU142" s="92">
        <v>3990</v>
      </c>
      <c r="AY142" s="31">
        <f t="shared" si="48"/>
        <v>0.14285714285714285</v>
      </c>
      <c r="AZ142" s="31">
        <f t="shared" si="32"/>
        <v>7.1428571428571425E-2</v>
      </c>
      <c r="BA142" s="31">
        <f t="shared" si="41"/>
        <v>0</v>
      </c>
      <c r="BB142" s="31">
        <f t="shared" si="42"/>
        <v>0</v>
      </c>
      <c r="BC142" s="31">
        <f t="shared" si="43"/>
        <v>0</v>
      </c>
      <c r="BD142" s="31">
        <f t="shared" si="44"/>
        <v>557.142857142857</v>
      </c>
      <c r="BE142" s="31">
        <f t="shared" si="45"/>
        <v>274.28571428571416</v>
      </c>
    </row>
    <row r="143" spans="14:57" x14ac:dyDescent="0.15">
      <c r="AU143" s="92">
        <v>4020</v>
      </c>
      <c r="AY143" s="31">
        <f t="shared" si="48"/>
        <v>0.14285714285714285</v>
      </c>
      <c r="AZ143" s="31">
        <f t="shared" si="32"/>
        <v>7.1428571428571425E-2</v>
      </c>
      <c r="BA143" s="31">
        <f t="shared" si="41"/>
        <v>0</v>
      </c>
      <c r="BB143" s="31">
        <f t="shared" si="42"/>
        <v>0</v>
      </c>
      <c r="BC143" s="31">
        <f t="shared" si="43"/>
        <v>0</v>
      </c>
      <c r="BD143" s="31">
        <f t="shared" si="44"/>
        <v>561.42857142857133</v>
      </c>
      <c r="BE143" s="31">
        <f t="shared" si="45"/>
        <v>276.42857142857133</v>
      </c>
    </row>
    <row r="144" spans="14:57" x14ac:dyDescent="0.15">
      <c r="AU144" s="92">
        <v>4050</v>
      </c>
      <c r="AY144" s="31">
        <f t="shared" si="48"/>
        <v>0.14285714285714285</v>
      </c>
      <c r="AZ144" s="31">
        <f t="shared" ref="AZ144:AZ207" si="49">1/14</f>
        <v>7.1428571428571425E-2</v>
      </c>
      <c r="BA144" s="31">
        <f t="shared" si="41"/>
        <v>0</v>
      </c>
      <c r="BB144" s="31">
        <f t="shared" si="42"/>
        <v>0</v>
      </c>
      <c r="BC144" s="31">
        <f t="shared" si="43"/>
        <v>0</v>
      </c>
      <c r="BD144" s="31">
        <f t="shared" si="44"/>
        <v>565.71428571428567</v>
      </c>
      <c r="BE144" s="31">
        <f t="shared" si="45"/>
        <v>278.5714285714285</v>
      </c>
    </row>
    <row r="145" spans="47:57" x14ac:dyDescent="0.15">
      <c r="AU145" s="92">
        <v>4080</v>
      </c>
      <c r="AY145" s="31">
        <f t="shared" si="48"/>
        <v>0.14285714285714285</v>
      </c>
      <c r="AZ145" s="31">
        <f t="shared" si="49"/>
        <v>7.1428571428571425E-2</v>
      </c>
      <c r="BA145" s="31">
        <f t="shared" si="41"/>
        <v>0</v>
      </c>
      <c r="BB145" s="31">
        <f t="shared" si="42"/>
        <v>0</v>
      </c>
      <c r="BC145" s="31">
        <f t="shared" si="43"/>
        <v>0</v>
      </c>
      <c r="BD145" s="31">
        <f t="shared" si="44"/>
        <v>570</v>
      </c>
      <c r="BE145" s="31">
        <f t="shared" si="45"/>
        <v>280.71428571428567</v>
      </c>
    </row>
    <row r="146" spans="47:57" x14ac:dyDescent="0.15">
      <c r="AU146" s="92">
        <v>4110</v>
      </c>
      <c r="AY146" s="31">
        <f t="shared" si="48"/>
        <v>0.14285714285714285</v>
      </c>
      <c r="AZ146" s="31">
        <f t="shared" si="49"/>
        <v>7.1428571428571425E-2</v>
      </c>
      <c r="BA146" s="31">
        <f t="shared" si="41"/>
        <v>0</v>
      </c>
      <c r="BB146" s="31">
        <f t="shared" si="42"/>
        <v>0</v>
      </c>
      <c r="BC146" s="31">
        <f t="shared" si="43"/>
        <v>0</v>
      </c>
      <c r="BD146" s="31">
        <f t="shared" si="44"/>
        <v>574.28571428571433</v>
      </c>
      <c r="BE146" s="31">
        <f t="shared" si="45"/>
        <v>282.85714285714283</v>
      </c>
    </row>
    <row r="147" spans="47:57" x14ac:dyDescent="0.15">
      <c r="AU147" s="92">
        <v>4140</v>
      </c>
      <c r="AY147" s="31">
        <f t="shared" si="48"/>
        <v>0.14285714285714285</v>
      </c>
      <c r="AZ147" s="31">
        <f t="shared" si="49"/>
        <v>7.1428571428571425E-2</v>
      </c>
      <c r="BA147" s="31">
        <f t="shared" si="41"/>
        <v>0</v>
      </c>
      <c r="BB147" s="31">
        <f t="shared" si="42"/>
        <v>0</v>
      </c>
      <c r="BC147" s="31">
        <f t="shared" si="43"/>
        <v>0</v>
      </c>
      <c r="BD147" s="31">
        <f t="shared" si="44"/>
        <v>578.57142857142867</v>
      </c>
      <c r="BE147" s="31">
        <f t="shared" si="45"/>
        <v>285</v>
      </c>
    </row>
    <row r="148" spans="47:57" x14ac:dyDescent="0.15">
      <c r="AU148" s="92">
        <v>4170</v>
      </c>
      <c r="AY148" s="31">
        <f t="shared" si="48"/>
        <v>0.14285714285714285</v>
      </c>
      <c r="AZ148" s="31">
        <f t="shared" si="49"/>
        <v>7.1428571428571425E-2</v>
      </c>
      <c r="BA148" s="31">
        <f t="shared" si="41"/>
        <v>0</v>
      </c>
      <c r="BB148" s="31">
        <f t="shared" si="42"/>
        <v>0</v>
      </c>
      <c r="BC148" s="31">
        <f t="shared" si="43"/>
        <v>0</v>
      </c>
      <c r="BD148" s="31">
        <f t="shared" si="44"/>
        <v>582.857142857143</v>
      </c>
      <c r="BE148" s="31">
        <f t="shared" si="45"/>
        <v>287.14285714285717</v>
      </c>
    </row>
    <row r="149" spans="47:57" x14ac:dyDescent="0.15">
      <c r="AU149" s="92">
        <v>4200</v>
      </c>
      <c r="AY149" s="31">
        <f t="shared" si="48"/>
        <v>0.14285714285714285</v>
      </c>
      <c r="AZ149" s="31">
        <f t="shared" si="49"/>
        <v>7.1428571428571425E-2</v>
      </c>
      <c r="BA149" s="31">
        <f t="shared" si="41"/>
        <v>0</v>
      </c>
      <c r="BB149" s="31">
        <f t="shared" si="42"/>
        <v>0</v>
      </c>
      <c r="BC149" s="31">
        <f t="shared" si="43"/>
        <v>0</v>
      </c>
      <c r="BD149" s="31">
        <f t="shared" si="44"/>
        <v>587.14285714285734</v>
      </c>
      <c r="BE149" s="31">
        <f t="shared" si="45"/>
        <v>289.28571428571433</v>
      </c>
    </row>
    <row r="150" spans="47:57" x14ac:dyDescent="0.15">
      <c r="AU150" s="92">
        <v>4230</v>
      </c>
      <c r="AY150" s="31">
        <f t="shared" si="48"/>
        <v>0.14285714285714285</v>
      </c>
      <c r="AZ150" s="31">
        <f t="shared" si="49"/>
        <v>7.1428571428571425E-2</v>
      </c>
      <c r="BA150" s="31">
        <f t="shared" si="41"/>
        <v>0</v>
      </c>
      <c r="BB150" s="31">
        <f t="shared" si="42"/>
        <v>0</v>
      </c>
      <c r="BC150" s="31">
        <f t="shared" si="43"/>
        <v>0</v>
      </c>
      <c r="BD150" s="31">
        <f t="shared" si="44"/>
        <v>591.42857142857167</v>
      </c>
      <c r="BE150" s="31">
        <f t="shared" si="45"/>
        <v>291.4285714285715</v>
      </c>
    </row>
    <row r="151" spans="47:57" x14ac:dyDescent="0.15">
      <c r="AU151" s="92">
        <v>4260</v>
      </c>
      <c r="AY151" s="31">
        <f t="shared" si="48"/>
        <v>0.14285714285714285</v>
      </c>
      <c r="AZ151" s="31">
        <f t="shared" si="49"/>
        <v>7.1428571428571425E-2</v>
      </c>
      <c r="BA151" s="31">
        <f t="shared" si="41"/>
        <v>0</v>
      </c>
      <c r="BB151" s="31">
        <f t="shared" si="42"/>
        <v>0</v>
      </c>
      <c r="BC151" s="31">
        <f t="shared" si="43"/>
        <v>0</v>
      </c>
      <c r="BD151" s="31">
        <f t="shared" si="44"/>
        <v>595.71428571428601</v>
      </c>
      <c r="BE151" s="31">
        <f t="shared" si="45"/>
        <v>293.57142857142867</v>
      </c>
    </row>
    <row r="152" spans="47:57" x14ac:dyDescent="0.15">
      <c r="AU152" s="92">
        <v>4290</v>
      </c>
      <c r="AY152" s="31">
        <f t="shared" si="48"/>
        <v>0.14285714285714285</v>
      </c>
      <c r="AZ152" s="31">
        <f t="shared" si="49"/>
        <v>7.1428571428571425E-2</v>
      </c>
      <c r="BA152" s="31">
        <f t="shared" si="41"/>
        <v>0</v>
      </c>
      <c r="BB152" s="31">
        <f t="shared" si="42"/>
        <v>0</v>
      </c>
      <c r="BC152" s="31">
        <f t="shared" si="43"/>
        <v>0</v>
      </c>
      <c r="BD152" s="31">
        <f t="shared" si="44"/>
        <v>600.00000000000034</v>
      </c>
      <c r="BE152" s="31">
        <f t="shared" si="45"/>
        <v>295.71428571428584</v>
      </c>
    </row>
    <row r="153" spans="47:57" x14ac:dyDescent="0.15">
      <c r="AU153" s="92">
        <v>4320</v>
      </c>
      <c r="AY153" s="31">
        <f t="shared" si="48"/>
        <v>0.14285714285714285</v>
      </c>
      <c r="AZ153" s="31">
        <f t="shared" si="49"/>
        <v>7.1428571428571425E-2</v>
      </c>
      <c r="BA153" s="31">
        <f t="shared" si="41"/>
        <v>0</v>
      </c>
      <c r="BB153" s="31">
        <f t="shared" si="42"/>
        <v>0</v>
      </c>
      <c r="BC153" s="31">
        <f t="shared" si="43"/>
        <v>0</v>
      </c>
      <c r="BD153" s="31">
        <f t="shared" si="44"/>
        <v>604.28571428571468</v>
      </c>
      <c r="BE153" s="31">
        <f t="shared" si="45"/>
        <v>297.857142857143</v>
      </c>
    </row>
    <row r="154" spans="47:57" x14ac:dyDescent="0.15">
      <c r="AU154" s="92">
        <v>4350</v>
      </c>
      <c r="AY154" s="31">
        <f t="shared" si="48"/>
        <v>0.14285714285714285</v>
      </c>
      <c r="AZ154" s="31">
        <f t="shared" si="49"/>
        <v>7.1428571428571425E-2</v>
      </c>
      <c r="BA154" s="31">
        <f t="shared" si="41"/>
        <v>0</v>
      </c>
      <c r="BB154" s="31">
        <f t="shared" si="42"/>
        <v>0</v>
      </c>
      <c r="BC154" s="31">
        <f t="shared" si="43"/>
        <v>0</v>
      </c>
      <c r="BD154" s="31">
        <f t="shared" si="44"/>
        <v>608.57142857142901</v>
      </c>
      <c r="BE154" s="31">
        <f t="shared" si="45"/>
        <v>300.00000000000017</v>
      </c>
    </row>
    <row r="155" spans="47:57" x14ac:dyDescent="0.15">
      <c r="AU155" s="92">
        <v>4380</v>
      </c>
      <c r="AY155" s="31">
        <f t="shared" si="48"/>
        <v>0.14285714285714285</v>
      </c>
      <c r="AZ155" s="31">
        <f t="shared" si="49"/>
        <v>7.1428571428571425E-2</v>
      </c>
      <c r="BA155" s="31">
        <f t="shared" si="41"/>
        <v>0</v>
      </c>
      <c r="BB155" s="31">
        <f t="shared" si="42"/>
        <v>0</v>
      </c>
      <c r="BC155" s="31">
        <f t="shared" si="43"/>
        <v>0</v>
      </c>
      <c r="BD155" s="31">
        <f t="shared" si="44"/>
        <v>612.85714285714334</v>
      </c>
      <c r="BE155" s="31">
        <f t="shared" si="45"/>
        <v>302.14285714285734</v>
      </c>
    </row>
    <row r="156" spans="47:57" x14ac:dyDescent="0.15">
      <c r="AU156" s="92">
        <v>4410</v>
      </c>
      <c r="AY156" s="31">
        <f t="shared" si="48"/>
        <v>0.14285714285714285</v>
      </c>
      <c r="AZ156" s="31">
        <f t="shared" si="49"/>
        <v>7.1428571428571425E-2</v>
      </c>
      <c r="BA156" s="31">
        <f t="shared" si="41"/>
        <v>0</v>
      </c>
      <c r="BB156" s="31">
        <f t="shared" si="42"/>
        <v>0</v>
      </c>
      <c r="BC156" s="31">
        <f t="shared" si="43"/>
        <v>0</v>
      </c>
      <c r="BD156" s="31">
        <f t="shared" si="44"/>
        <v>617.14285714285768</v>
      </c>
      <c r="BE156" s="31">
        <f t="shared" si="45"/>
        <v>304.2857142857145</v>
      </c>
    </row>
    <row r="157" spans="47:57" x14ac:dyDescent="0.15">
      <c r="AU157" s="92">
        <v>4440</v>
      </c>
      <c r="AY157" s="31">
        <f t="shared" si="48"/>
        <v>0.14285714285714285</v>
      </c>
      <c r="AZ157" s="31">
        <f t="shared" si="49"/>
        <v>7.1428571428571425E-2</v>
      </c>
      <c r="BA157" s="31">
        <f t="shared" si="41"/>
        <v>0</v>
      </c>
      <c r="BB157" s="31">
        <f t="shared" si="42"/>
        <v>0</v>
      </c>
      <c r="BC157" s="31">
        <f t="shared" si="43"/>
        <v>0</v>
      </c>
      <c r="BD157" s="31">
        <f t="shared" si="44"/>
        <v>621.42857142857201</v>
      </c>
      <c r="BE157" s="31">
        <f t="shared" si="45"/>
        <v>306.42857142857167</v>
      </c>
    </row>
    <row r="158" spans="47:57" x14ac:dyDescent="0.15">
      <c r="AU158" s="92">
        <v>4470</v>
      </c>
      <c r="AY158" s="31">
        <f t="shared" si="48"/>
        <v>0.14285714285714285</v>
      </c>
      <c r="AZ158" s="31">
        <f t="shared" si="49"/>
        <v>7.1428571428571425E-2</v>
      </c>
      <c r="BA158" s="31">
        <f t="shared" si="41"/>
        <v>0</v>
      </c>
      <c r="BB158" s="31">
        <f t="shared" si="42"/>
        <v>0</v>
      </c>
      <c r="BC158" s="31">
        <f t="shared" si="43"/>
        <v>0</v>
      </c>
      <c r="BD158" s="31">
        <f t="shared" si="44"/>
        <v>625.71428571428635</v>
      </c>
      <c r="BE158" s="31">
        <f t="shared" si="45"/>
        <v>308.57142857142884</v>
      </c>
    </row>
    <row r="159" spans="47:57" x14ac:dyDescent="0.15">
      <c r="AU159" s="92">
        <v>4500</v>
      </c>
      <c r="AY159" s="31">
        <f t="shared" si="48"/>
        <v>0.14285714285714285</v>
      </c>
      <c r="AZ159" s="31">
        <f t="shared" si="49"/>
        <v>7.1428571428571425E-2</v>
      </c>
      <c r="BA159" s="31">
        <f t="shared" si="41"/>
        <v>0</v>
      </c>
      <c r="BB159" s="31">
        <f t="shared" si="42"/>
        <v>0</v>
      </c>
      <c r="BC159" s="31">
        <f t="shared" si="43"/>
        <v>0</v>
      </c>
      <c r="BD159" s="31">
        <f t="shared" si="44"/>
        <v>630.00000000000068</v>
      </c>
      <c r="BE159" s="31">
        <f t="shared" si="45"/>
        <v>310.71428571428601</v>
      </c>
    </row>
    <row r="160" spans="47:57" x14ac:dyDescent="0.15">
      <c r="AU160" s="92">
        <v>4530</v>
      </c>
      <c r="AY160" s="31">
        <f t="shared" si="48"/>
        <v>0.14285714285714285</v>
      </c>
      <c r="AZ160" s="31">
        <f t="shared" si="49"/>
        <v>7.1428571428571425E-2</v>
      </c>
      <c r="BA160" s="31">
        <f t="shared" si="41"/>
        <v>0</v>
      </c>
      <c r="BB160" s="31">
        <f t="shared" si="42"/>
        <v>0</v>
      </c>
      <c r="BC160" s="31">
        <f t="shared" si="43"/>
        <v>0</v>
      </c>
      <c r="BD160" s="31">
        <f t="shared" si="44"/>
        <v>634.28571428571502</v>
      </c>
      <c r="BE160" s="31">
        <f t="shared" si="45"/>
        <v>312.85714285714317</v>
      </c>
    </row>
    <row r="161" spans="47:57" x14ac:dyDescent="0.15">
      <c r="AU161" s="92">
        <v>4560</v>
      </c>
      <c r="AY161" s="31">
        <f t="shared" si="48"/>
        <v>0.14285714285714285</v>
      </c>
      <c r="AZ161" s="31">
        <f t="shared" si="49"/>
        <v>7.1428571428571425E-2</v>
      </c>
      <c r="BA161" s="31">
        <f t="shared" si="41"/>
        <v>0</v>
      </c>
      <c r="BB161" s="31">
        <f t="shared" si="42"/>
        <v>0</v>
      </c>
      <c r="BC161" s="31">
        <f t="shared" si="43"/>
        <v>0</v>
      </c>
      <c r="BD161" s="31">
        <f t="shared" si="44"/>
        <v>638.57142857142935</v>
      </c>
      <c r="BE161" s="31">
        <f t="shared" si="45"/>
        <v>315.00000000000034</v>
      </c>
    </row>
    <row r="162" spans="47:57" x14ac:dyDescent="0.15">
      <c r="AU162" s="92">
        <v>4590</v>
      </c>
      <c r="AY162" s="31">
        <f t="shared" si="48"/>
        <v>0.14285714285714285</v>
      </c>
      <c r="AZ162" s="31">
        <f t="shared" si="49"/>
        <v>7.1428571428571425E-2</v>
      </c>
      <c r="BA162" s="31">
        <f t="shared" si="41"/>
        <v>0</v>
      </c>
      <c r="BB162" s="31">
        <f t="shared" si="42"/>
        <v>0</v>
      </c>
      <c r="BC162" s="31">
        <f t="shared" si="43"/>
        <v>0</v>
      </c>
      <c r="BD162" s="31">
        <f t="shared" si="44"/>
        <v>642.85714285714369</v>
      </c>
      <c r="BE162" s="31">
        <f t="shared" si="45"/>
        <v>317.14285714285751</v>
      </c>
    </row>
    <row r="163" spans="47:57" x14ac:dyDescent="0.15">
      <c r="AU163" s="92">
        <v>4620</v>
      </c>
      <c r="AY163" s="31">
        <f t="shared" si="48"/>
        <v>0.14285714285714285</v>
      </c>
      <c r="AZ163" s="31">
        <f t="shared" si="49"/>
        <v>7.1428571428571425E-2</v>
      </c>
      <c r="BA163" s="31">
        <f t="shared" si="41"/>
        <v>0</v>
      </c>
      <c r="BB163" s="31">
        <f t="shared" si="42"/>
        <v>0</v>
      </c>
      <c r="BC163" s="31">
        <f t="shared" si="43"/>
        <v>0</v>
      </c>
      <c r="BD163" s="31">
        <f t="shared" si="44"/>
        <v>647.14285714285802</v>
      </c>
      <c r="BE163" s="31">
        <f t="shared" si="45"/>
        <v>319.28571428571468</v>
      </c>
    </row>
    <row r="164" spans="47:57" x14ac:dyDescent="0.15">
      <c r="AU164" s="92">
        <v>4650</v>
      </c>
      <c r="AY164" s="31">
        <f t="shared" si="48"/>
        <v>0.14285714285714285</v>
      </c>
      <c r="AZ164" s="31">
        <f t="shared" si="49"/>
        <v>7.1428571428571425E-2</v>
      </c>
      <c r="BA164" s="31">
        <f t="shared" si="41"/>
        <v>0</v>
      </c>
      <c r="BB164" s="31">
        <f t="shared" si="42"/>
        <v>0</v>
      </c>
      <c r="BC164" s="31">
        <f t="shared" si="43"/>
        <v>0</v>
      </c>
      <c r="BD164" s="31">
        <f t="shared" si="44"/>
        <v>651.42857142857235</v>
      </c>
      <c r="BE164" s="31">
        <f t="shared" si="45"/>
        <v>321.42857142857184</v>
      </c>
    </row>
    <row r="165" spans="47:57" x14ac:dyDescent="0.15">
      <c r="AU165" s="92">
        <v>4680</v>
      </c>
      <c r="AY165" s="31">
        <f t="shared" si="48"/>
        <v>0.14285714285714285</v>
      </c>
      <c r="AZ165" s="31">
        <f t="shared" si="49"/>
        <v>7.1428571428571425E-2</v>
      </c>
      <c r="BA165" s="31">
        <f t="shared" si="41"/>
        <v>0</v>
      </c>
      <c r="BB165" s="31">
        <f t="shared" si="42"/>
        <v>0</v>
      </c>
      <c r="BC165" s="31">
        <f t="shared" si="43"/>
        <v>0</v>
      </c>
      <c r="BD165" s="31">
        <f t="shared" si="44"/>
        <v>655.71428571428669</v>
      </c>
      <c r="BE165" s="31">
        <f t="shared" si="45"/>
        <v>323.57142857142901</v>
      </c>
    </row>
    <row r="166" spans="47:57" x14ac:dyDescent="0.15">
      <c r="AU166" s="92">
        <v>4710</v>
      </c>
      <c r="AY166" s="31">
        <f t="shared" si="48"/>
        <v>0.14285714285714285</v>
      </c>
      <c r="AZ166" s="31">
        <f t="shared" si="49"/>
        <v>7.1428571428571425E-2</v>
      </c>
      <c r="BA166" s="31">
        <f t="shared" si="41"/>
        <v>0</v>
      </c>
      <c r="BB166" s="31">
        <f t="shared" si="42"/>
        <v>0</v>
      </c>
      <c r="BC166" s="31">
        <f t="shared" si="43"/>
        <v>0</v>
      </c>
      <c r="BD166" s="31">
        <f t="shared" si="44"/>
        <v>660.00000000000102</v>
      </c>
      <c r="BE166" s="31">
        <f t="shared" si="45"/>
        <v>325.71428571428618</v>
      </c>
    </row>
    <row r="167" spans="47:57" x14ac:dyDescent="0.15">
      <c r="AU167" s="92">
        <v>4740</v>
      </c>
      <c r="AY167" s="31">
        <f t="shared" si="48"/>
        <v>0.14285714285714285</v>
      </c>
      <c r="AZ167" s="31">
        <f t="shared" si="49"/>
        <v>7.1428571428571425E-2</v>
      </c>
      <c r="BA167" s="31">
        <f t="shared" si="41"/>
        <v>0</v>
      </c>
      <c r="BB167" s="31">
        <f t="shared" si="42"/>
        <v>0</v>
      </c>
      <c r="BC167" s="31">
        <f t="shared" si="43"/>
        <v>0</v>
      </c>
      <c r="BD167" s="31">
        <f t="shared" si="44"/>
        <v>664.28571428571536</v>
      </c>
      <c r="BE167" s="31">
        <f t="shared" si="45"/>
        <v>327.85714285714334</v>
      </c>
    </row>
    <row r="168" spans="47:57" x14ac:dyDescent="0.15">
      <c r="AU168" s="92">
        <v>4770</v>
      </c>
      <c r="AY168" s="31">
        <f t="shared" si="48"/>
        <v>0.14285714285714285</v>
      </c>
      <c r="AZ168" s="31">
        <f t="shared" si="49"/>
        <v>7.1428571428571425E-2</v>
      </c>
      <c r="BA168" s="31">
        <f t="shared" si="41"/>
        <v>0</v>
      </c>
      <c r="BB168" s="31">
        <f t="shared" si="42"/>
        <v>0</v>
      </c>
      <c r="BC168" s="31">
        <f t="shared" si="43"/>
        <v>0</v>
      </c>
      <c r="BD168" s="31">
        <f t="shared" si="44"/>
        <v>668.57142857142969</v>
      </c>
      <c r="BE168" s="31">
        <f t="shared" si="45"/>
        <v>330.00000000000051</v>
      </c>
    </row>
    <row r="169" spans="47:57" x14ac:dyDescent="0.15">
      <c r="AU169" s="92">
        <v>4800</v>
      </c>
      <c r="AY169" s="31">
        <f t="shared" si="48"/>
        <v>0.14285714285714285</v>
      </c>
      <c r="AZ169" s="31">
        <f t="shared" si="49"/>
        <v>7.1428571428571425E-2</v>
      </c>
      <c r="BA169" s="31">
        <f t="shared" si="41"/>
        <v>0</v>
      </c>
      <c r="BB169" s="31">
        <f t="shared" si="42"/>
        <v>0</v>
      </c>
      <c r="BC169" s="31">
        <f t="shared" si="43"/>
        <v>0</v>
      </c>
      <c r="BD169" s="31">
        <f t="shared" si="44"/>
        <v>672.85714285714403</v>
      </c>
      <c r="BE169" s="31">
        <f t="shared" si="45"/>
        <v>332.14285714285768</v>
      </c>
    </row>
    <row r="170" spans="47:57" x14ac:dyDescent="0.15">
      <c r="AU170" s="92">
        <v>4830</v>
      </c>
      <c r="AY170" s="31">
        <f t="shared" si="48"/>
        <v>0.14285714285714285</v>
      </c>
      <c r="AZ170" s="31">
        <f t="shared" si="49"/>
        <v>7.1428571428571425E-2</v>
      </c>
      <c r="BA170" s="31">
        <f t="shared" si="41"/>
        <v>0</v>
      </c>
      <c r="BB170" s="31">
        <f t="shared" si="42"/>
        <v>0</v>
      </c>
      <c r="BC170" s="31">
        <f t="shared" si="43"/>
        <v>0</v>
      </c>
      <c r="BD170" s="31">
        <f t="shared" si="44"/>
        <v>677.14285714285836</v>
      </c>
      <c r="BE170" s="31">
        <f t="shared" si="45"/>
        <v>334.28571428571485</v>
      </c>
    </row>
    <row r="171" spans="47:57" x14ac:dyDescent="0.15">
      <c r="AU171" s="92">
        <v>4860</v>
      </c>
      <c r="AY171" s="31">
        <f t="shared" si="48"/>
        <v>0.14285714285714285</v>
      </c>
      <c r="AZ171" s="31">
        <f t="shared" si="49"/>
        <v>7.1428571428571425E-2</v>
      </c>
      <c r="BA171" s="31">
        <f t="shared" si="41"/>
        <v>0</v>
      </c>
      <c r="BB171" s="31">
        <f t="shared" si="42"/>
        <v>0</v>
      </c>
      <c r="BC171" s="31">
        <f t="shared" si="43"/>
        <v>0</v>
      </c>
      <c r="BD171" s="31">
        <f t="shared" si="44"/>
        <v>681.4285714285727</v>
      </c>
      <c r="BE171" s="31">
        <f t="shared" si="45"/>
        <v>336.42857142857201</v>
      </c>
    </row>
    <row r="172" spans="47:57" x14ac:dyDescent="0.15">
      <c r="AU172" s="92">
        <v>4890</v>
      </c>
      <c r="AY172" s="31">
        <f t="shared" si="48"/>
        <v>0.14285714285714285</v>
      </c>
      <c r="AZ172" s="31">
        <f t="shared" si="49"/>
        <v>7.1428571428571425E-2</v>
      </c>
      <c r="BA172" s="31">
        <f t="shared" si="41"/>
        <v>0</v>
      </c>
      <c r="BB172" s="31">
        <f t="shared" si="42"/>
        <v>0</v>
      </c>
      <c r="BC172" s="31">
        <f t="shared" si="43"/>
        <v>0</v>
      </c>
      <c r="BD172" s="31">
        <f t="shared" si="44"/>
        <v>685.71428571428703</v>
      </c>
      <c r="BE172" s="31">
        <f t="shared" si="45"/>
        <v>338.57142857142918</v>
      </c>
    </row>
    <row r="173" spans="47:57" x14ac:dyDescent="0.15">
      <c r="AU173" s="92">
        <v>4920</v>
      </c>
      <c r="AY173" s="31">
        <f t="shared" si="48"/>
        <v>0.14285714285714285</v>
      </c>
      <c r="AZ173" s="31">
        <f t="shared" si="49"/>
        <v>7.1428571428571425E-2</v>
      </c>
      <c r="BA173" s="31">
        <f t="shared" si="41"/>
        <v>0</v>
      </c>
      <c r="BB173" s="31">
        <f t="shared" si="42"/>
        <v>0</v>
      </c>
      <c r="BC173" s="31">
        <f t="shared" si="43"/>
        <v>0</v>
      </c>
      <c r="BD173" s="31">
        <f t="shared" si="44"/>
        <v>690.00000000000136</v>
      </c>
      <c r="BE173" s="31">
        <f t="shared" si="45"/>
        <v>340.71428571428635</v>
      </c>
    </row>
    <row r="174" spans="47:57" x14ac:dyDescent="0.15">
      <c r="AU174" s="92">
        <v>4950</v>
      </c>
      <c r="AY174" s="31">
        <f t="shared" si="48"/>
        <v>0.14285714285714285</v>
      </c>
      <c r="AZ174" s="31">
        <f t="shared" si="49"/>
        <v>7.1428571428571425E-2</v>
      </c>
      <c r="BA174" s="31">
        <f t="shared" si="41"/>
        <v>0</v>
      </c>
      <c r="BB174" s="31">
        <f t="shared" si="42"/>
        <v>0</v>
      </c>
      <c r="BC174" s="31">
        <f t="shared" si="43"/>
        <v>0</v>
      </c>
      <c r="BD174" s="31">
        <f t="shared" si="44"/>
        <v>694.2857142857157</v>
      </c>
      <c r="BE174" s="31">
        <f t="shared" si="45"/>
        <v>342.85714285714351</v>
      </c>
    </row>
    <row r="175" spans="47:57" x14ac:dyDescent="0.15">
      <c r="AU175" s="92">
        <v>4980</v>
      </c>
      <c r="AY175" s="31">
        <f t="shared" si="48"/>
        <v>0.14285714285714285</v>
      </c>
      <c r="AZ175" s="31">
        <f t="shared" si="49"/>
        <v>7.1428571428571425E-2</v>
      </c>
      <c r="BA175" s="31">
        <f t="shared" si="41"/>
        <v>0</v>
      </c>
      <c r="BB175" s="31">
        <f t="shared" si="42"/>
        <v>0</v>
      </c>
      <c r="BC175" s="31">
        <f t="shared" si="43"/>
        <v>0</v>
      </c>
      <c r="BD175" s="31">
        <f t="shared" si="44"/>
        <v>698.57142857143003</v>
      </c>
      <c r="BE175" s="31">
        <f t="shared" si="45"/>
        <v>345.00000000000068</v>
      </c>
    </row>
    <row r="176" spans="47:57" x14ac:dyDescent="0.15">
      <c r="AU176" s="92">
        <v>5010</v>
      </c>
      <c r="AY176" s="31">
        <f t="shared" si="48"/>
        <v>0.14285714285714285</v>
      </c>
      <c r="AZ176" s="31">
        <f t="shared" si="49"/>
        <v>7.1428571428571425E-2</v>
      </c>
      <c r="BA176" s="31">
        <f t="shared" si="41"/>
        <v>0</v>
      </c>
      <c r="BB176" s="31">
        <f t="shared" si="42"/>
        <v>0</v>
      </c>
      <c r="BC176" s="31">
        <f t="shared" si="43"/>
        <v>0</v>
      </c>
      <c r="BD176" s="31">
        <f t="shared" si="44"/>
        <v>702.85714285714437</v>
      </c>
      <c r="BE176" s="31">
        <f t="shared" si="45"/>
        <v>347.14285714285785</v>
      </c>
    </row>
    <row r="177" spans="47:57" x14ac:dyDescent="0.15">
      <c r="AU177" s="92">
        <v>5040</v>
      </c>
      <c r="AY177" s="31">
        <f t="shared" si="48"/>
        <v>0.14285714285714285</v>
      </c>
      <c r="AZ177" s="31">
        <f t="shared" si="49"/>
        <v>7.1428571428571425E-2</v>
      </c>
      <c r="BA177" s="31">
        <f t="shared" si="41"/>
        <v>0</v>
      </c>
      <c r="BB177" s="31">
        <f t="shared" si="42"/>
        <v>0</v>
      </c>
      <c r="BC177" s="31">
        <f t="shared" si="43"/>
        <v>0</v>
      </c>
      <c r="BD177" s="31">
        <f t="shared" si="44"/>
        <v>707.1428571428587</v>
      </c>
      <c r="BE177" s="31">
        <f t="shared" si="45"/>
        <v>349.28571428571502</v>
      </c>
    </row>
    <row r="178" spans="47:57" x14ac:dyDescent="0.15">
      <c r="AU178" s="92">
        <v>5070</v>
      </c>
      <c r="AY178" s="31">
        <f t="shared" si="48"/>
        <v>0.14285714285714285</v>
      </c>
      <c r="AZ178" s="31">
        <f t="shared" si="49"/>
        <v>7.1428571428571425E-2</v>
      </c>
      <c r="BA178" s="31">
        <f t="shared" si="41"/>
        <v>0</v>
      </c>
      <c r="BB178" s="31">
        <f t="shared" si="42"/>
        <v>0</v>
      </c>
      <c r="BC178" s="31">
        <f t="shared" si="43"/>
        <v>0</v>
      </c>
      <c r="BD178" s="31">
        <f t="shared" si="44"/>
        <v>711.42857142857304</v>
      </c>
      <c r="BE178" s="31">
        <f t="shared" si="45"/>
        <v>351.42857142857218</v>
      </c>
    </row>
    <row r="179" spans="47:57" x14ac:dyDescent="0.15">
      <c r="AU179" s="92">
        <v>5100</v>
      </c>
      <c r="AY179" s="31">
        <f t="shared" si="48"/>
        <v>0.14285714285714285</v>
      </c>
      <c r="AZ179" s="31">
        <f t="shared" si="49"/>
        <v>7.1428571428571425E-2</v>
      </c>
      <c r="BA179" s="31">
        <f t="shared" si="41"/>
        <v>0</v>
      </c>
      <c r="BB179" s="31">
        <f t="shared" si="42"/>
        <v>0</v>
      </c>
      <c r="BC179" s="31">
        <f t="shared" si="43"/>
        <v>0</v>
      </c>
      <c r="BD179" s="31">
        <f t="shared" si="44"/>
        <v>715.71428571428737</v>
      </c>
      <c r="BE179" s="31">
        <f t="shared" si="45"/>
        <v>353.57142857142935</v>
      </c>
    </row>
    <row r="180" spans="47:57" x14ac:dyDescent="0.15">
      <c r="AU180" s="92">
        <v>5130</v>
      </c>
      <c r="AY180" s="31">
        <f t="shared" si="48"/>
        <v>0.14285714285714285</v>
      </c>
      <c r="AZ180" s="31">
        <f t="shared" si="49"/>
        <v>7.1428571428571425E-2</v>
      </c>
      <c r="BA180" s="31">
        <f t="shared" si="41"/>
        <v>0</v>
      </c>
      <c r="BB180" s="31">
        <f t="shared" si="42"/>
        <v>0</v>
      </c>
      <c r="BC180" s="31">
        <f t="shared" si="43"/>
        <v>0</v>
      </c>
      <c r="BD180" s="31">
        <f t="shared" si="44"/>
        <v>720.00000000000171</v>
      </c>
      <c r="BE180" s="31">
        <f t="shared" si="45"/>
        <v>355.71428571428652</v>
      </c>
    </row>
    <row r="181" spans="47:57" x14ac:dyDescent="0.15">
      <c r="AU181" s="92">
        <v>5160</v>
      </c>
      <c r="AY181" s="31">
        <f t="shared" si="48"/>
        <v>0.14285714285714285</v>
      </c>
      <c r="AZ181" s="31">
        <f t="shared" si="49"/>
        <v>7.1428571428571425E-2</v>
      </c>
      <c r="BA181" s="31">
        <f t="shared" si="41"/>
        <v>0</v>
      </c>
      <c r="BB181" s="31">
        <f t="shared" si="42"/>
        <v>0</v>
      </c>
      <c r="BC181" s="31">
        <f t="shared" si="43"/>
        <v>0</v>
      </c>
      <c r="BD181" s="31">
        <f t="shared" si="44"/>
        <v>724.28571428571604</v>
      </c>
      <c r="BE181" s="31">
        <f t="shared" si="45"/>
        <v>357.85714285714369</v>
      </c>
    </row>
    <row r="182" spans="47:57" x14ac:dyDescent="0.15">
      <c r="AU182" s="92">
        <v>5190</v>
      </c>
      <c r="AY182" s="31">
        <f t="shared" si="48"/>
        <v>0.14285714285714285</v>
      </c>
      <c r="AZ182" s="31">
        <f t="shared" si="49"/>
        <v>7.1428571428571425E-2</v>
      </c>
      <c r="BA182" s="31">
        <f t="shared" si="41"/>
        <v>0</v>
      </c>
      <c r="BB182" s="31">
        <f t="shared" si="42"/>
        <v>0</v>
      </c>
      <c r="BC182" s="31">
        <f t="shared" si="43"/>
        <v>0</v>
      </c>
      <c r="BD182" s="31">
        <f t="shared" si="44"/>
        <v>728.57142857143037</v>
      </c>
      <c r="BE182" s="31">
        <f t="shared" si="45"/>
        <v>360.00000000000085</v>
      </c>
    </row>
    <row r="183" spans="47:57" x14ac:dyDescent="0.15">
      <c r="AU183" s="92">
        <v>5220</v>
      </c>
      <c r="AY183" s="31">
        <f t="shared" si="48"/>
        <v>0.14285714285714285</v>
      </c>
      <c r="AZ183" s="31">
        <f t="shared" si="49"/>
        <v>7.1428571428571425E-2</v>
      </c>
      <c r="BA183" s="31">
        <f t="shared" si="41"/>
        <v>0</v>
      </c>
      <c r="BB183" s="31">
        <f t="shared" si="42"/>
        <v>0</v>
      </c>
      <c r="BC183" s="31">
        <f t="shared" si="43"/>
        <v>0</v>
      </c>
      <c r="BD183" s="31">
        <f t="shared" si="44"/>
        <v>732.85714285714471</v>
      </c>
      <c r="BE183" s="31">
        <f t="shared" si="45"/>
        <v>362.14285714285802</v>
      </c>
    </row>
    <row r="184" spans="47:57" x14ac:dyDescent="0.15">
      <c r="AU184" s="92">
        <v>5250</v>
      </c>
      <c r="AY184" s="31">
        <f t="shared" si="48"/>
        <v>0.14285714285714285</v>
      </c>
      <c r="AZ184" s="31">
        <f t="shared" si="49"/>
        <v>7.1428571428571425E-2</v>
      </c>
      <c r="BA184" s="31">
        <f t="shared" si="41"/>
        <v>0</v>
      </c>
      <c r="BB184" s="31">
        <f t="shared" si="42"/>
        <v>0</v>
      </c>
      <c r="BC184" s="31">
        <f t="shared" si="43"/>
        <v>0</v>
      </c>
      <c r="BD184" s="31">
        <f t="shared" si="44"/>
        <v>737.14285714285904</v>
      </c>
      <c r="BE184" s="31">
        <f t="shared" si="45"/>
        <v>364.28571428571519</v>
      </c>
    </row>
    <row r="185" spans="47:57" x14ac:dyDescent="0.15">
      <c r="AU185" s="92">
        <v>5280</v>
      </c>
      <c r="AY185" s="31">
        <f t="shared" si="48"/>
        <v>0.14285714285714285</v>
      </c>
      <c r="AZ185" s="31">
        <f t="shared" si="49"/>
        <v>7.1428571428571425E-2</v>
      </c>
      <c r="BA185" s="31">
        <f t="shared" ref="BA185:BA248" si="50">IF($AU186="",BA184,($AU186-$AU185)*AV185+BA184)</f>
        <v>0</v>
      </c>
      <c r="BB185" s="31">
        <f t="shared" ref="BB185:BB248" si="51">IF($AU186="",BB184,($AU186-$AU185)*AW185+BB184)</f>
        <v>0</v>
      </c>
      <c r="BC185" s="31">
        <f t="shared" ref="BC185:BC248" si="52">IF($AU186="",BC184,($AU186-$AU185)*AX185+BC184)</f>
        <v>0</v>
      </c>
      <c r="BD185" s="31">
        <f t="shared" ref="BD185:BD248" si="53">IF($AU186="",BD184,($AU186-$AU185)*AY185+BD184)</f>
        <v>741.42857142857338</v>
      </c>
      <c r="BE185" s="31">
        <f t="shared" ref="BE185:BE248" si="54">IF($AU186="",BE184,($AU186-$AU185)*AZ185+BE184)</f>
        <v>366.42857142857235</v>
      </c>
    </row>
    <row r="186" spans="47:57" x14ac:dyDescent="0.15">
      <c r="AU186" s="92">
        <v>5310</v>
      </c>
      <c r="AY186" s="31">
        <f t="shared" ref="AY186:AY249" si="55">1/7</f>
        <v>0.14285714285714285</v>
      </c>
      <c r="AZ186" s="31">
        <f t="shared" si="49"/>
        <v>7.1428571428571425E-2</v>
      </c>
      <c r="BA186" s="31">
        <f t="shared" si="50"/>
        <v>0</v>
      </c>
      <c r="BB186" s="31">
        <f t="shared" si="51"/>
        <v>0</v>
      </c>
      <c r="BC186" s="31">
        <f t="shared" si="52"/>
        <v>0</v>
      </c>
      <c r="BD186" s="31">
        <f t="shared" si="53"/>
        <v>745.71428571428771</v>
      </c>
      <c r="BE186" s="31">
        <f t="shared" si="54"/>
        <v>368.57142857142952</v>
      </c>
    </row>
    <row r="187" spans="47:57" x14ac:dyDescent="0.15">
      <c r="AU187" s="92">
        <v>5340</v>
      </c>
      <c r="AY187" s="31">
        <f t="shared" si="55"/>
        <v>0.14285714285714285</v>
      </c>
      <c r="AZ187" s="31">
        <f t="shared" si="49"/>
        <v>7.1428571428571425E-2</v>
      </c>
      <c r="BA187" s="31">
        <f t="shared" si="50"/>
        <v>0</v>
      </c>
      <c r="BB187" s="31">
        <f t="shared" si="51"/>
        <v>0</v>
      </c>
      <c r="BC187" s="31">
        <f t="shared" si="52"/>
        <v>0</v>
      </c>
      <c r="BD187" s="31">
        <f t="shared" si="53"/>
        <v>750.00000000000205</v>
      </c>
      <c r="BE187" s="31">
        <f t="shared" si="54"/>
        <v>370.71428571428669</v>
      </c>
    </row>
    <row r="188" spans="47:57" x14ac:dyDescent="0.15">
      <c r="AU188" s="92">
        <v>5370</v>
      </c>
      <c r="AY188" s="31">
        <f t="shared" si="55"/>
        <v>0.14285714285714285</v>
      </c>
      <c r="AZ188" s="31">
        <f t="shared" si="49"/>
        <v>7.1428571428571425E-2</v>
      </c>
      <c r="BA188" s="31">
        <f t="shared" si="50"/>
        <v>0</v>
      </c>
      <c r="BB188" s="31">
        <f t="shared" si="51"/>
        <v>0</v>
      </c>
      <c r="BC188" s="31">
        <f t="shared" si="52"/>
        <v>0</v>
      </c>
      <c r="BD188" s="31">
        <f t="shared" si="53"/>
        <v>754.28571428571638</v>
      </c>
      <c r="BE188" s="31">
        <f t="shared" si="54"/>
        <v>372.85714285714386</v>
      </c>
    </row>
    <row r="189" spans="47:57" x14ac:dyDescent="0.15">
      <c r="AU189" s="92">
        <v>5400</v>
      </c>
      <c r="AY189" s="31">
        <f t="shared" si="55"/>
        <v>0.14285714285714285</v>
      </c>
      <c r="AZ189" s="31">
        <f t="shared" si="49"/>
        <v>7.1428571428571425E-2</v>
      </c>
      <c r="BA189" s="31">
        <f t="shared" si="50"/>
        <v>0</v>
      </c>
      <c r="BB189" s="31">
        <f t="shared" si="51"/>
        <v>0</v>
      </c>
      <c r="BC189" s="31">
        <f t="shared" si="52"/>
        <v>0</v>
      </c>
      <c r="BD189" s="31">
        <f t="shared" si="53"/>
        <v>758.57142857143072</v>
      </c>
      <c r="BE189" s="31">
        <f t="shared" si="54"/>
        <v>375.00000000000102</v>
      </c>
    </row>
    <row r="190" spans="47:57" x14ac:dyDescent="0.15">
      <c r="AU190" s="92">
        <v>5430</v>
      </c>
      <c r="AY190" s="31">
        <f t="shared" si="55"/>
        <v>0.14285714285714285</v>
      </c>
      <c r="AZ190" s="31">
        <f t="shared" si="49"/>
        <v>7.1428571428571425E-2</v>
      </c>
      <c r="BA190" s="31">
        <f t="shared" si="50"/>
        <v>0</v>
      </c>
      <c r="BB190" s="31">
        <f t="shared" si="51"/>
        <v>0</v>
      </c>
      <c r="BC190" s="31">
        <f t="shared" si="52"/>
        <v>0</v>
      </c>
      <c r="BD190" s="31">
        <f t="shared" si="53"/>
        <v>762.85714285714505</v>
      </c>
      <c r="BE190" s="31">
        <f t="shared" si="54"/>
        <v>377.14285714285819</v>
      </c>
    </row>
    <row r="191" spans="47:57" x14ac:dyDescent="0.15">
      <c r="AU191" s="92">
        <v>5460</v>
      </c>
      <c r="AY191" s="31">
        <f t="shared" si="55"/>
        <v>0.14285714285714285</v>
      </c>
      <c r="AZ191" s="31">
        <f t="shared" si="49"/>
        <v>7.1428571428571425E-2</v>
      </c>
      <c r="BA191" s="31">
        <f t="shared" si="50"/>
        <v>0</v>
      </c>
      <c r="BB191" s="31">
        <f t="shared" si="51"/>
        <v>0</v>
      </c>
      <c r="BC191" s="31">
        <f t="shared" si="52"/>
        <v>0</v>
      </c>
      <c r="BD191" s="31">
        <f t="shared" si="53"/>
        <v>767.14285714285938</v>
      </c>
      <c r="BE191" s="31">
        <f t="shared" si="54"/>
        <v>379.28571428571536</v>
      </c>
    </row>
    <row r="192" spans="47:57" x14ac:dyDescent="0.15">
      <c r="AU192" s="92">
        <v>5490</v>
      </c>
      <c r="AY192" s="31">
        <f t="shared" si="55"/>
        <v>0.14285714285714285</v>
      </c>
      <c r="AZ192" s="31">
        <f t="shared" si="49"/>
        <v>7.1428571428571425E-2</v>
      </c>
      <c r="BA192" s="31">
        <f t="shared" si="50"/>
        <v>0</v>
      </c>
      <c r="BB192" s="31">
        <f t="shared" si="51"/>
        <v>0</v>
      </c>
      <c r="BC192" s="31">
        <f t="shared" si="52"/>
        <v>0</v>
      </c>
      <c r="BD192" s="31">
        <f t="shared" si="53"/>
        <v>771.42857142857372</v>
      </c>
      <c r="BE192" s="31">
        <f t="shared" si="54"/>
        <v>381.42857142857252</v>
      </c>
    </row>
    <row r="193" spans="47:57" x14ac:dyDescent="0.15">
      <c r="AU193" s="92">
        <v>5520</v>
      </c>
      <c r="AY193" s="31">
        <f t="shared" si="55"/>
        <v>0.14285714285714285</v>
      </c>
      <c r="AZ193" s="31">
        <f t="shared" si="49"/>
        <v>7.1428571428571425E-2</v>
      </c>
      <c r="BA193" s="31">
        <f t="shared" si="50"/>
        <v>0</v>
      </c>
      <c r="BB193" s="31">
        <f t="shared" si="51"/>
        <v>0</v>
      </c>
      <c r="BC193" s="31">
        <f t="shared" si="52"/>
        <v>0</v>
      </c>
      <c r="BD193" s="31">
        <f t="shared" si="53"/>
        <v>775.71428571428805</v>
      </c>
      <c r="BE193" s="31">
        <f t="shared" si="54"/>
        <v>383.57142857142969</v>
      </c>
    </row>
    <row r="194" spans="47:57" x14ac:dyDescent="0.15">
      <c r="AU194" s="92">
        <v>5550</v>
      </c>
      <c r="AY194" s="31">
        <f t="shared" si="55"/>
        <v>0.14285714285714285</v>
      </c>
      <c r="AZ194" s="31">
        <f t="shared" si="49"/>
        <v>7.1428571428571425E-2</v>
      </c>
      <c r="BA194" s="31">
        <f t="shared" si="50"/>
        <v>0</v>
      </c>
      <c r="BB194" s="31">
        <f t="shared" si="51"/>
        <v>0</v>
      </c>
      <c r="BC194" s="31">
        <f t="shared" si="52"/>
        <v>0</v>
      </c>
      <c r="BD194" s="31">
        <f t="shared" si="53"/>
        <v>780.00000000000239</v>
      </c>
      <c r="BE194" s="31">
        <f t="shared" si="54"/>
        <v>385.71428571428686</v>
      </c>
    </row>
    <row r="195" spans="47:57" x14ac:dyDescent="0.15">
      <c r="AU195" s="92">
        <v>5580</v>
      </c>
      <c r="AY195" s="31">
        <f t="shared" si="55"/>
        <v>0.14285714285714285</v>
      </c>
      <c r="AZ195" s="31">
        <f t="shared" si="49"/>
        <v>7.1428571428571425E-2</v>
      </c>
      <c r="BA195" s="31">
        <f t="shared" si="50"/>
        <v>0</v>
      </c>
      <c r="BB195" s="31">
        <f t="shared" si="51"/>
        <v>0</v>
      </c>
      <c r="BC195" s="31">
        <f t="shared" si="52"/>
        <v>0</v>
      </c>
      <c r="BD195" s="31">
        <f t="shared" si="53"/>
        <v>784.28571428571672</v>
      </c>
      <c r="BE195" s="31">
        <f t="shared" si="54"/>
        <v>387.85714285714403</v>
      </c>
    </row>
    <row r="196" spans="47:57" x14ac:dyDescent="0.15">
      <c r="AU196" s="92">
        <v>5610</v>
      </c>
      <c r="AY196" s="31">
        <f t="shared" si="55"/>
        <v>0.14285714285714285</v>
      </c>
      <c r="AZ196" s="31">
        <f t="shared" si="49"/>
        <v>7.1428571428571425E-2</v>
      </c>
      <c r="BA196" s="31">
        <f t="shared" si="50"/>
        <v>0</v>
      </c>
      <c r="BB196" s="31">
        <f t="shared" si="51"/>
        <v>0</v>
      </c>
      <c r="BC196" s="31">
        <f t="shared" si="52"/>
        <v>0</v>
      </c>
      <c r="BD196" s="31">
        <f t="shared" si="53"/>
        <v>788.57142857143106</v>
      </c>
      <c r="BE196" s="31">
        <f t="shared" si="54"/>
        <v>390.00000000000119</v>
      </c>
    </row>
    <row r="197" spans="47:57" x14ac:dyDescent="0.15">
      <c r="AU197" s="92">
        <v>5640</v>
      </c>
      <c r="AY197" s="31">
        <f t="shared" si="55"/>
        <v>0.14285714285714285</v>
      </c>
      <c r="AZ197" s="31">
        <f t="shared" si="49"/>
        <v>7.1428571428571425E-2</v>
      </c>
      <c r="BA197" s="31">
        <f t="shared" si="50"/>
        <v>0</v>
      </c>
      <c r="BB197" s="31">
        <f t="shared" si="51"/>
        <v>0</v>
      </c>
      <c r="BC197" s="31">
        <f t="shared" si="52"/>
        <v>0</v>
      </c>
      <c r="BD197" s="31">
        <f t="shared" si="53"/>
        <v>792.85714285714539</v>
      </c>
      <c r="BE197" s="31">
        <f t="shared" si="54"/>
        <v>392.14285714285836</v>
      </c>
    </row>
    <row r="198" spans="47:57" x14ac:dyDescent="0.15">
      <c r="AU198" s="92">
        <v>5670</v>
      </c>
      <c r="AY198" s="31">
        <f t="shared" si="55"/>
        <v>0.14285714285714285</v>
      </c>
      <c r="AZ198" s="31">
        <f t="shared" si="49"/>
        <v>7.1428571428571425E-2</v>
      </c>
      <c r="BA198" s="31">
        <f t="shared" si="50"/>
        <v>0</v>
      </c>
      <c r="BB198" s="31">
        <f t="shared" si="51"/>
        <v>0</v>
      </c>
      <c r="BC198" s="31">
        <f t="shared" si="52"/>
        <v>0</v>
      </c>
      <c r="BD198" s="31">
        <f t="shared" si="53"/>
        <v>797.14285714285973</v>
      </c>
      <c r="BE198" s="31">
        <f t="shared" si="54"/>
        <v>394.28571428571553</v>
      </c>
    </row>
    <row r="199" spans="47:57" x14ac:dyDescent="0.15">
      <c r="AU199" s="92">
        <v>5700</v>
      </c>
      <c r="AY199" s="31">
        <f t="shared" si="55"/>
        <v>0.14285714285714285</v>
      </c>
      <c r="AZ199" s="31">
        <f t="shared" si="49"/>
        <v>7.1428571428571425E-2</v>
      </c>
      <c r="BA199" s="31">
        <f t="shared" si="50"/>
        <v>0</v>
      </c>
      <c r="BB199" s="31">
        <f t="shared" si="51"/>
        <v>0</v>
      </c>
      <c r="BC199" s="31">
        <f t="shared" si="52"/>
        <v>0</v>
      </c>
      <c r="BD199" s="31">
        <f t="shared" si="53"/>
        <v>801.42857142857406</v>
      </c>
      <c r="BE199" s="31">
        <f t="shared" si="54"/>
        <v>396.4285714285727</v>
      </c>
    </row>
    <row r="200" spans="47:57" x14ac:dyDescent="0.15">
      <c r="AU200" s="92">
        <v>5730</v>
      </c>
      <c r="AY200" s="31">
        <f t="shared" si="55"/>
        <v>0.14285714285714285</v>
      </c>
      <c r="AZ200" s="31">
        <f t="shared" si="49"/>
        <v>7.1428571428571425E-2</v>
      </c>
      <c r="BA200" s="31">
        <f t="shared" si="50"/>
        <v>0</v>
      </c>
      <c r="BB200" s="31">
        <f t="shared" si="51"/>
        <v>0</v>
      </c>
      <c r="BC200" s="31">
        <f t="shared" si="52"/>
        <v>0</v>
      </c>
      <c r="BD200" s="31">
        <f t="shared" si="53"/>
        <v>805.71428571428839</v>
      </c>
      <c r="BE200" s="31">
        <f t="shared" si="54"/>
        <v>398.57142857142986</v>
      </c>
    </row>
    <row r="201" spans="47:57" x14ac:dyDescent="0.15">
      <c r="AU201" s="92">
        <v>5760</v>
      </c>
      <c r="AY201" s="31">
        <f t="shared" si="55"/>
        <v>0.14285714285714285</v>
      </c>
      <c r="AZ201" s="31">
        <f t="shared" si="49"/>
        <v>7.1428571428571425E-2</v>
      </c>
      <c r="BA201" s="31">
        <f t="shared" si="50"/>
        <v>0</v>
      </c>
      <c r="BB201" s="31">
        <f t="shared" si="51"/>
        <v>0</v>
      </c>
      <c r="BC201" s="31">
        <f t="shared" si="52"/>
        <v>0</v>
      </c>
      <c r="BD201" s="31">
        <f t="shared" si="53"/>
        <v>810.00000000000273</v>
      </c>
      <c r="BE201" s="31">
        <f t="shared" si="54"/>
        <v>400.71428571428703</v>
      </c>
    </row>
    <row r="202" spans="47:57" x14ac:dyDescent="0.15">
      <c r="AU202" s="92">
        <v>5790</v>
      </c>
      <c r="AY202" s="31">
        <f t="shared" si="55"/>
        <v>0.14285714285714285</v>
      </c>
      <c r="AZ202" s="31">
        <f t="shared" si="49"/>
        <v>7.1428571428571425E-2</v>
      </c>
      <c r="BA202" s="31">
        <f t="shared" si="50"/>
        <v>0</v>
      </c>
      <c r="BB202" s="31">
        <f t="shared" si="51"/>
        <v>0</v>
      </c>
      <c r="BC202" s="31">
        <f t="shared" si="52"/>
        <v>0</v>
      </c>
      <c r="BD202" s="31">
        <f t="shared" si="53"/>
        <v>814.28571428571706</v>
      </c>
      <c r="BE202" s="31">
        <f t="shared" si="54"/>
        <v>402.8571428571442</v>
      </c>
    </row>
    <row r="203" spans="47:57" x14ac:dyDescent="0.15">
      <c r="AU203" s="92">
        <v>5820</v>
      </c>
      <c r="AY203" s="31">
        <f t="shared" si="55"/>
        <v>0.14285714285714285</v>
      </c>
      <c r="AZ203" s="31">
        <f t="shared" si="49"/>
        <v>7.1428571428571425E-2</v>
      </c>
      <c r="BA203" s="31">
        <f t="shared" si="50"/>
        <v>0</v>
      </c>
      <c r="BB203" s="31">
        <f t="shared" si="51"/>
        <v>0</v>
      </c>
      <c r="BC203" s="31">
        <f t="shared" si="52"/>
        <v>0</v>
      </c>
      <c r="BD203" s="31">
        <f t="shared" si="53"/>
        <v>818.5714285714314</v>
      </c>
      <c r="BE203" s="31">
        <f t="shared" si="54"/>
        <v>405.00000000000136</v>
      </c>
    </row>
    <row r="204" spans="47:57" x14ac:dyDescent="0.15">
      <c r="AU204" s="92">
        <v>5850</v>
      </c>
      <c r="AY204" s="31">
        <f t="shared" si="55"/>
        <v>0.14285714285714285</v>
      </c>
      <c r="AZ204" s="31">
        <f t="shared" si="49"/>
        <v>7.1428571428571425E-2</v>
      </c>
      <c r="BA204" s="31">
        <f t="shared" si="50"/>
        <v>0</v>
      </c>
      <c r="BB204" s="31">
        <f t="shared" si="51"/>
        <v>0</v>
      </c>
      <c r="BC204" s="31">
        <f t="shared" si="52"/>
        <v>0</v>
      </c>
      <c r="BD204" s="31">
        <f t="shared" si="53"/>
        <v>822.85714285714573</v>
      </c>
      <c r="BE204" s="31">
        <f t="shared" si="54"/>
        <v>407.14285714285853</v>
      </c>
    </row>
    <row r="205" spans="47:57" x14ac:dyDescent="0.15">
      <c r="AU205" s="92">
        <v>5880</v>
      </c>
      <c r="AY205" s="31">
        <f t="shared" si="55"/>
        <v>0.14285714285714285</v>
      </c>
      <c r="AZ205" s="31">
        <f t="shared" si="49"/>
        <v>7.1428571428571425E-2</v>
      </c>
      <c r="BA205" s="31">
        <f t="shared" si="50"/>
        <v>0</v>
      </c>
      <c r="BB205" s="31">
        <f t="shared" si="51"/>
        <v>0</v>
      </c>
      <c r="BC205" s="31">
        <f t="shared" si="52"/>
        <v>0</v>
      </c>
      <c r="BD205" s="31">
        <f t="shared" si="53"/>
        <v>827.14285714286007</v>
      </c>
      <c r="BE205" s="31">
        <f t="shared" si="54"/>
        <v>409.2857142857157</v>
      </c>
    </row>
    <row r="206" spans="47:57" x14ac:dyDescent="0.15">
      <c r="AU206" s="92">
        <v>5910</v>
      </c>
      <c r="AY206" s="31">
        <f t="shared" si="55"/>
        <v>0.14285714285714285</v>
      </c>
      <c r="AZ206" s="31">
        <f t="shared" si="49"/>
        <v>7.1428571428571425E-2</v>
      </c>
      <c r="BA206" s="31">
        <f t="shared" si="50"/>
        <v>0</v>
      </c>
      <c r="BB206" s="31">
        <f t="shared" si="51"/>
        <v>0</v>
      </c>
      <c r="BC206" s="31">
        <f t="shared" si="52"/>
        <v>0</v>
      </c>
      <c r="BD206" s="31">
        <f t="shared" si="53"/>
        <v>831.4285714285744</v>
      </c>
      <c r="BE206" s="31">
        <f t="shared" si="54"/>
        <v>411.42857142857287</v>
      </c>
    </row>
    <row r="207" spans="47:57" x14ac:dyDescent="0.15">
      <c r="AU207" s="92">
        <v>5940</v>
      </c>
      <c r="AY207" s="31">
        <f t="shared" si="55"/>
        <v>0.14285714285714285</v>
      </c>
      <c r="AZ207" s="31">
        <f t="shared" si="49"/>
        <v>7.1428571428571425E-2</v>
      </c>
      <c r="BA207" s="31">
        <f t="shared" si="50"/>
        <v>0</v>
      </c>
      <c r="BB207" s="31">
        <f t="shared" si="51"/>
        <v>0</v>
      </c>
      <c r="BC207" s="31">
        <f t="shared" si="52"/>
        <v>0</v>
      </c>
      <c r="BD207" s="31">
        <f t="shared" si="53"/>
        <v>835.71428571428874</v>
      </c>
      <c r="BE207" s="31">
        <f t="shared" si="54"/>
        <v>413.57142857143003</v>
      </c>
    </row>
    <row r="208" spans="47:57" x14ac:dyDescent="0.15">
      <c r="AU208" s="92">
        <v>5970</v>
      </c>
      <c r="AY208" s="31">
        <f t="shared" si="55"/>
        <v>0.14285714285714285</v>
      </c>
      <c r="AZ208" s="31">
        <f t="shared" ref="AZ208:AZ271" si="56">1/14</f>
        <v>7.1428571428571425E-2</v>
      </c>
      <c r="BA208" s="31">
        <f t="shared" si="50"/>
        <v>0</v>
      </c>
      <c r="BB208" s="31">
        <f t="shared" si="51"/>
        <v>0</v>
      </c>
      <c r="BC208" s="31">
        <f t="shared" si="52"/>
        <v>0</v>
      </c>
      <c r="BD208" s="31">
        <f t="shared" si="53"/>
        <v>840.00000000000307</v>
      </c>
      <c r="BE208" s="31">
        <f t="shared" si="54"/>
        <v>415.7142857142872</v>
      </c>
    </row>
    <row r="209" spans="47:57" x14ac:dyDescent="0.15">
      <c r="AU209" s="92">
        <v>6000</v>
      </c>
      <c r="AY209" s="31">
        <f t="shared" si="55"/>
        <v>0.14285714285714285</v>
      </c>
      <c r="AZ209" s="31">
        <f t="shared" si="56"/>
        <v>7.1428571428571425E-2</v>
      </c>
      <c r="BA209" s="31">
        <f t="shared" si="50"/>
        <v>0</v>
      </c>
      <c r="BB209" s="31">
        <f t="shared" si="51"/>
        <v>0</v>
      </c>
      <c r="BC209" s="31">
        <f t="shared" si="52"/>
        <v>0</v>
      </c>
      <c r="BD209" s="31">
        <f t="shared" si="53"/>
        <v>844.2857142857174</v>
      </c>
      <c r="BE209" s="31">
        <f t="shared" si="54"/>
        <v>417.85714285714437</v>
      </c>
    </row>
    <row r="210" spans="47:57" x14ac:dyDescent="0.15">
      <c r="AU210" s="92">
        <v>6030</v>
      </c>
      <c r="AY210" s="31">
        <f t="shared" si="55"/>
        <v>0.14285714285714285</v>
      </c>
      <c r="AZ210" s="31">
        <f t="shared" si="56"/>
        <v>7.1428571428571425E-2</v>
      </c>
      <c r="BA210" s="31">
        <f t="shared" si="50"/>
        <v>0</v>
      </c>
      <c r="BB210" s="31">
        <f t="shared" si="51"/>
        <v>0</v>
      </c>
      <c r="BC210" s="31">
        <f t="shared" si="52"/>
        <v>0</v>
      </c>
      <c r="BD210" s="31">
        <f t="shared" si="53"/>
        <v>848.57142857143174</v>
      </c>
      <c r="BE210" s="31">
        <f t="shared" si="54"/>
        <v>420.00000000000153</v>
      </c>
    </row>
    <row r="211" spans="47:57" x14ac:dyDescent="0.15">
      <c r="AU211" s="92">
        <v>6060</v>
      </c>
      <c r="AY211" s="31">
        <f t="shared" si="55"/>
        <v>0.14285714285714285</v>
      </c>
      <c r="AZ211" s="31">
        <f t="shared" si="56"/>
        <v>7.1428571428571425E-2</v>
      </c>
      <c r="BA211" s="31">
        <f t="shared" si="50"/>
        <v>0</v>
      </c>
      <c r="BB211" s="31">
        <f t="shared" si="51"/>
        <v>0</v>
      </c>
      <c r="BC211" s="31">
        <f t="shared" si="52"/>
        <v>0</v>
      </c>
      <c r="BD211" s="31">
        <f t="shared" si="53"/>
        <v>852.85714285714607</v>
      </c>
      <c r="BE211" s="31">
        <f t="shared" si="54"/>
        <v>422.1428571428587</v>
      </c>
    </row>
    <row r="212" spans="47:57" x14ac:dyDescent="0.15">
      <c r="AU212" s="92">
        <v>6090</v>
      </c>
      <c r="AY212" s="31">
        <f t="shared" si="55"/>
        <v>0.14285714285714285</v>
      </c>
      <c r="AZ212" s="31">
        <f t="shared" si="56"/>
        <v>7.1428571428571425E-2</v>
      </c>
      <c r="BA212" s="31">
        <f t="shared" si="50"/>
        <v>0</v>
      </c>
      <c r="BB212" s="31">
        <f t="shared" si="51"/>
        <v>0</v>
      </c>
      <c r="BC212" s="31">
        <f t="shared" si="52"/>
        <v>0</v>
      </c>
      <c r="BD212" s="31">
        <f t="shared" si="53"/>
        <v>857.14285714286041</v>
      </c>
      <c r="BE212" s="31">
        <f t="shared" si="54"/>
        <v>424.28571428571587</v>
      </c>
    </row>
    <row r="213" spans="47:57" x14ac:dyDescent="0.15">
      <c r="AU213" s="92">
        <v>6120</v>
      </c>
      <c r="AY213" s="31">
        <f t="shared" si="55"/>
        <v>0.14285714285714285</v>
      </c>
      <c r="AZ213" s="31">
        <f t="shared" si="56"/>
        <v>7.1428571428571425E-2</v>
      </c>
      <c r="BA213" s="31">
        <f t="shared" si="50"/>
        <v>0</v>
      </c>
      <c r="BB213" s="31">
        <f t="shared" si="51"/>
        <v>0</v>
      </c>
      <c r="BC213" s="31">
        <f t="shared" si="52"/>
        <v>0</v>
      </c>
      <c r="BD213" s="31">
        <f t="shared" si="53"/>
        <v>861.42857142857474</v>
      </c>
      <c r="BE213" s="31">
        <f t="shared" si="54"/>
        <v>426.42857142857304</v>
      </c>
    </row>
    <row r="214" spans="47:57" x14ac:dyDescent="0.15">
      <c r="AU214" s="92">
        <v>6150</v>
      </c>
      <c r="AY214" s="31">
        <f t="shared" si="55"/>
        <v>0.14285714285714285</v>
      </c>
      <c r="AZ214" s="31">
        <f t="shared" si="56"/>
        <v>7.1428571428571425E-2</v>
      </c>
      <c r="BA214" s="31">
        <f t="shared" si="50"/>
        <v>0</v>
      </c>
      <c r="BB214" s="31">
        <f t="shared" si="51"/>
        <v>0</v>
      </c>
      <c r="BC214" s="31">
        <f t="shared" si="52"/>
        <v>0</v>
      </c>
      <c r="BD214" s="31">
        <f t="shared" si="53"/>
        <v>865.71428571428908</v>
      </c>
      <c r="BE214" s="31">
        <f t="shared" si="54"/>
        <v>428.5714285714302</v>
      </c>
    </row>
    <row r="215" spans="47:57" x14ac:dyDescent="0.15">
      <c r="AU215" s="92">
        <v>6180</v>
      </c>
      <c r="AY215" s="31">
        <f t="shared" si="55"/>
        <v>0.14285714285714285</v>
      </c>
      <c r="AZ215" s="31">
        <f t="shared" si="56"/>
        <v>7.1428571428571425E-2</v>
      </c>
      <c r="BA215" s="31">
        <f t="shared" si="50"/>
        <v>0</v>
      </c>
      <c r="BB215" s="31">
        <f t="shared" si="51"/>
        <v>0</v>
      </c>
      <c r="BC215" s="31">
        <f t="shared" si="52"/>
        <v>0</v>
      </c>
      <c r="BD215" s="31">
        <f t="shared" si="53"/>
        <v>870.00000000000341</v>
      </c>
      <c r="BE215" s="31">
        <f t="shared" si="54"/>
        <v>430.71428571428737</v>
      </c>
    </row>
    <row r="216" spans="47:57" x14ac:dyDescent="0.15">
      <c r="AU216" s="92">
        <v>6210</v>
      </c>
      <c r="AY216" s="31">
        <f t="shared" si="55"/>
        <v>0.14285714285714285</v>
      </c>
      <c r="AZ216" s="31">
        <f t="shared" si="56"/>
        <v>7.1428571428571425E-2</v>
      </c>
      <c r="BA216" s="31">
        <f t="shared" si="50"/>
        <v>0</v>
      </c>
      <c r="BB216" s="31">
        <f t="shared" si="51"/>
        <v>0</v>
      </c>
      <c r="BC216" s="31">
        <f t="shared" si="52"/>
        <v>0</v>
      </c>
      <c r="BD216" s="31">
        <f t="shared" si="53"/>
        <v>874.28571428571775</v>
      </c>
      <c r="BE216" s="31">
        <f t="shared" si="54"/>
        <v>432.85714285714454</v>
      </c>
    </row>
    <row r="217" spans="47:57" x14ac:dyDescent="0.15">
      <c r="AU217" s="92">
        <v>6240</v>
      </c>
      <c r="AY217" s="31">
        <f t="shared" si="55"/>
        <v>0.14285714285714285</v>
      </c>
      <c r="AZ217" s="31">
        <f t="shared" si="56"/>
        <v>7.1428571428571425E-2</v>
      </c>
      <c r="BA217" s="31">
        <f t="shared" si="50"/>
        <v>0</v>
      </c>
      <c r="BB217" s="31">
        <f t="shared" si="51"/>
        <v>0</v>
      </c>
      <c r="BC217" s="31">
        <f t="shared" si="52"/>
        <v>0</v>
      </c>
      <c r="BD217" s="31">
        <f t="shared" si="53"/>
        <v>878.57142857143208</v>
      </c>
      <c r="BE217" s="31">
        <f t="shared" si="54"/>
        <v>435.00000000000171</v>
      </c>
    </row>
    <row r="218" spans="47:57" x14ac:dyDescent="0.15">
      <c r="AU218" s="92">
        <v>6270</v>
      </c>
      <c r="AY218" s="31">
        <f t="shared" si="55"/>
        <v>0.14285714285714285</v>
      </c>
      <c r="AZ218" s="31">
        <f t="shared" si="56"/>
        <v>7.1428571428571425E-2</v>
      </c>
      <c r="BA218" s="31">
        <f t="shared" si="50"/>
        <v>0</v>
      </c>
      <c r="BB218" s="31">
        <f t="shared" si="51"/>
        <v>0</v>
      </c>
      <c r="BC218" s="31">
        <f t="shared" si="52"/>
        <v>0</v>
      </c>
      <c r="BD218" s="31">
        <f t="shared" si="53"/>
        <v>882.85714285714641</v>
      </c>
      <c r="BE218" s="31">
        <f t="shared" si="54"/>
        <v>437.14285714285887</v>
      </c>
    </row>
    <row r="219" spans="47:57" x14ac:dyDescent="0.15">
      <c r="AU219" s="92">
        <v>6300</v>
      </c>
      <c r="AY219" s="31">
        <f t="shared" si="55"/>
        <v>0.14285714285714285</v>
      </c>
      <c r="AZ219" s="31">
        <f t="shared" si="56"/>
        <v>7.1428571428571425E-2</v>
      </c>
      <c r="BA219" s="31">
        <f t="shared" si="50"/>
        <v>0</v>
      </c>
      <c r="BB219" s="31">
        <f t="shared" si="51"/>
        <v>0</v>
      </c>
      <c r="BC219" s="31">
        <f t="shared" si="52"/>
        <v>0</v>
      </c>
      <c r="BD219" s="31">
        <f t="shared" si="53"/>
        <v>887.14285714286075</v>
      </c>
      <c r="BE219" s="31">
        <f t="shared" si="54"/>
        <v>439.28571428571604</v>
      </c>
    </row>
    <row r="220" spans="47:57" x14ac:dyDescent="0.15">
      <c r="AU220" s="92">
        <v>6330</v>
      </c>
      <c r="AY220" s="31">
        <f t="shared" si="55"/>
        <v>0.14285714285714285</v>
      </c>
      <c r="AZ220" s="31">
        <f t="shared" si="56"/>
        <v>7.1428571428571425E-2</v>
      </c>
      <c r="BA220" s="31">
        <f t="shared" si="50"/>
        <v>0</v>
      </c>
      <c r="BB220" s="31">
        <f t="shared" si="51"/>
        <v>0</v>
      </c>
      <c r="BC220" s="31">
        <f t="shared" si="52"/>
        <v>0</v>
      </c>
      <c r="BD220" s="31">
        <f t="shared" si="53"/>
        <v>891.42857142857508</v>
      </c>
      <c r="BE220" s="31">
        <f t="shared" si="54"/>
        <v>441.42857142857321</v>
      </c>
    </row>
    <row r="221" spans="47:57" x14ac:dyDescent="0.15">
      <c r="AU221" s="92">
        <v>6360</v>
      </c>
      <c r="AY221" s="31">
        <f t="shared" si="55"/>
        <v>0.14285714285714285</v>
      </c>
      <c r="AZ221" s="31">
        <f t="shared" si="56"/>
        <v>7.1428571428571425E-2</v>
      </c>
      <c r="BA221" s="31">
        <f t="shared" si="50"/>
        <v>0</v>
      </c>
      <c r="BB221" s="31">
        <f t="shared" si="51"/>
        <v>0</v>
      </c>
      <c r="BC221" s="31">
        <f t="shared" si="52"/>
        <v>0</v>
      </c>
      <c r="BD221" s="31">
        <f t="shared" si="53"/>
        <v>895.71428571428942</v>
      </c>
      <c r="BE221" s="31">
        <f t="shared" si="54"/>
        <v>443.57142857143037</v>
      </c>
    </row>
    <row r="222" spans="47:57" x14ac:dyDescent="0.15">
      <c r="AU222" s="92">
        <v>6390</v>
      </c>
      <c r="AY222" s="31">
        <f t="shared" si="55"/>
        <v>0.14285714285714285</v>
      </c>
      <c r="AZ222" s="31">
        <f t="shared" si="56"/>
        <v>7.1428571428571425E-2</v>
      </c>
      <c r="BA222" s="31">
        <f t="shared" si="50"/>
        <v>0</v>
      </c>
      <c r="BB222" s="31">
        <f t="shared" si="51"/>
        <v>0</v>
      </c>
      <c r="BC222" s="31">
        <f t="shared" si="52"/>
        <v>0</v>
      </c>
      <c r="BD222" s="31">
        <f t="shared" si="53"/>
        <v>900.00000000000375</v>
      </c>
      <c r="BE222" s="31">
        <f t="shared" si="54"/>
        <v>445.71428571428754</v>
      </c>
    </row>
    <row r="223" spans="47:57" x14ac:dyDescent="0.15">
      <c r="AU223" s="92">
        <v>6420</v>
      </c>
      <c r="AY223" s="31">
        <f t="shared" si="55"/>
        <v>0.14285714285714285</v>
      </c>
      <c r="AZ223" s="31">
        <f t="shared" si="56"/>
        <v>7.1428571428571425E-2</v>
      </c>
      <c r="BA223" s="31">
        <f t="shared" si="50"/>
        <v>0</v>
      </c>
      <c r="BB223" s="31">
        <f t="shared" si="51"/>
        <v>0</v>
      </c>
      <c r="BC223" s="31">
        <f t="shared" si="52"/>
        <v>0</v>
      </c>
      <c r="BD223" s="31">
        <f t="shared" si="53"/>
        <v>904.28571428571809</v>
      </c>
      <c r="BE223" s="31">
        <f t="shared" si="54"/>
        <v>447.85714285714471</v>
      </c>
    </row>
    <row r="224" spans="47:57" x14ac:dyDescent="0.15">
      <c r="AU224" s="92">
        <v>6450</v>
      </c>
      <c r="AY224" s="31">
        <f t="shared" si="55"/>
        <v>0.14285714285714285</v>
      </c>
      <c r="AZ224" s="31">
        <f t="shared" si="56"/>
        <v>7.1428571428571425E-2</v>
      </c>
      <c r="BA224" s="31">
        <f t="shared" si="50"/>
        <v>0</v>
      </c>
      <c r="BB224" s="31">
        <f t="shared" si="51"/>
        <v>0</v>
      </c>
      <c r="BC224" s="31">
        <f t="shared" si="52"/>
        <v>0</v>
      </c>
      <c r="BD224" s="31">
        <f t="shared" si="53"/>
        <v>908.57142857143242</v>
      </c>
      <c r="BE224" s="31">
        <f t="shared" si="54"/>
        <v>450.00000000000188</v>
      </c>
    </row>
    <row r="225" spans="47:57" x14ac:dyDescent="0.15">
      <c r="AU225" s="92">
        <v>6480</v>
      </c>
      <c r="AY225" s="31">
        <f t="shared" si="55"/>
        <v>0.14285714285714285</v>
      </c>
      <c r="AZ225" s="31">
        <f t="shared" si="56"/>
        <v>7.1428571428571425E-2</v>
      </c>
      <c r="BA225" s="31">
        <f t="shared" si="50"/>
        <v>0</v>
      </c>
      <c r="BB225" s="31">
        <f t="shared" si="51"/>
        <v>0</v>
      </c>
      <c r="BC225" s="31">
        <f t="shared" si="52"/>
        <v>0</v>
      </c>
      <c r="BD225" s="31">
        <f t="shared" si="53"/>
        <v>912.85714285714675</v>
      </c>
      <c r="BE225" s="31">
        <f t="shared" si="54"/>
        <v>452.14285714285904</v>
      </c>
    </row>
    <row r="226" spans="47:57" x14ac:dyDescent="0.15">
      <c r="AU226" s="92">
        <v>6510</v>
      </c>
      <c r="AY226" s="31">
        <f t="shared" si="55"/>
        <v>0.14285714285714285</v>
      </c>
      <c r="AZ226" s="31">
        <f t="shared" si="56"/>
        <v>7.1428571428571425E-2</v>
      </c>
      <c r="BA226" s="31">
        <f t="shared" si="50"/>
        <v>0</v>
      </c>
      <c r="BB226" s="31">
        <f t="shared" si="51"/>
        <v>0</v>
      </c>
      <c r="BC226" s="31">
        <f t="shared" si="52"/>
        <v>0</v>
      </c>
      <c r="BD226" s="31">
        <f t="shared" si="53"/>
        <v>917.14285714286109</v>
      </c>
      <c r="BE226" s="31">
        <f t="shared" si="54"/>
        <v>454.28571428571621</v>
      </c>
    </row>
    <row r="227" spans="47:57" x14ac:dyDescent="0.15">
      <c r="AU227" s="92">
        <v>6540</v>
      </c>
      <c r="AY227" s="31">
        <f t="shared" si="55"/>
        <v>0.14285714285714285</v>
      </c>
      <c r="AZ227" s="31">
        <f t="shared" si="56"/>
        <v>7.1428571428571425E-2</v>
      </c>
      <c r="BA227" s="31">
        <f t="shared" si="50"/>
        <v>0</v>
      </c>
      <c r="BB227" s="31">
        <f t="shared" si="51"/>
        <v>0</v>
      </c>
      <c r="BC227" s="31">
        <f t="shared" si="52"/>
        <v>0</v>
      </c>
      <c r="BD227" s="31">
        <f t="shared" si="53"/>
        <v>921.42857142857542</v>
      </c>
      <c r="BE227" s="31">
        <f t="shared" si="54"/>
        <v>456.42857142857338</v>
      </c>
    </row>
    <row r="228" spans="47:57" x14ac:dyDescent="0.15">
      <c r="AU228" s="92">
        <v>6570</v>
      </c>
      <c r="AY228" s="31">
        <f t="shared" si="55"/>
        <v>0.14285714285714285</v>
      </c>
      <c r="AZ228" s="31">
        <f t="shared" si="56"/>
        <v>7.1428571428571425E-2</v>
      </c>
      <c r="BA228" s="31">
        <f t="shared" si="50"/>
        <v>0</v>
      </c>
      <c r="BB228" s="31">
        <f t="shared" si="51"/>
        <v>0</v>
      </c>
      <c r="BC228" s="31">
        <f t="shared" si="52"/>
        <v>0</v>
      </c>
      <c r="BD228" s="31">
        <f t="shared" si="53"/>
        <v>925.71428571428976</v>
      </c>
      <c r="BE228" s="31">
        <f t="shared" si="54"/>
        <v>458.57142857143054</v>
      </c>
    </row>
    <row r="229" spans="47:57" x14ac:dyDescent="0.15">
      <c r="AU229" s="92">
        <v>6600</v>
      </c>
      <c r="AY229" s="31">
        <f t="shared" si="55"/>
        <v>0.14285714285714285</v>
      </c>
      <c r="AZ229" s="31">
        <f t="shared" si="56"/>
        <v>7.1428571428571425E-2</v>
      </c>
      <c r="BA229" s="31">
        <f t="shared" si="50"/>
        <v>0</v>
      </c>
      <c r="BB229" s="31">
        <f t="shared" si="51"/>
        <v>0</v>
      </c>
      <c r="BC229" s="31">
        <f t="shared" si="52"/>
        <v>0</v>
      </c>
      <c r="BD229" s="31">
        <f t="shared" si="53"/>
        <v>930.00000000000409</v>
      </c>
      <c r="BE229" s="31">
        <f t="shared" si="54"/>
        <v>460.71428571428771</v>
      </c>
    </row>
    <row r="230" spans="47:57" x14ac:dyDescent="0.15">
      <c r="AU230" s="92">
        <v>6630</v>
      </c>
      <c r="AY230" s="31">
        <f t="shared" si="55"/>
        <v>0.14285714285714285</v>
      </c>
      <c r="AZ230" s="31">
        <f t="shared" si="56"/>
        <v>7.1428571428571425E-2</v>
      </c>
      <c r="BA230" s="31">
        <f t="shared" si="50"/>
        <v>0</v>
      </c>
      <c r="BB230" s="31">
        <f t="shared" si="51"/>
        <v>0</v>
      </c>
      <c r="BC230" s="31">
        <f t="shared" si="52"/>
        <v>0</v>
      </c>
      <c r="BD230" s="31">
        <f t="shared" si="53"/>
        <v>934.28571428571843</v>
      </c>
      <c r="BE230" s="31">
        <f t="shared" si="54"/>
        <v>462.85714285714488</v>
      </c>
    </row>
    <row r="231" spans="47:57" x14ac:dyDescent="0.15">
      <c r="AU231" s="92">
        <v>6660</v>
      </c>
      <c r="AY231" s="31">
        <f t="shared" si="55"/>
        <v>0.14285714285714285</v>
      </c>
      <c r="AZ231" s="31">
        <f t="shared" si="56"/>
        <v>7.1428571428571425E-2</v>
      </c>
      <c r="BA231" s="31">
        <f t="shared" si="50"/>
        <v>0</v>
      </c>
      <c r="BB231" s="31">
        <f t="shared" si="51"/>
        <v>0</v>
      </c>
      <c r="BC231" s="31">
        <f t="shared" si="52"/>
        <v>0</v>
      </c>
      <c r="BD231" s="31">
        <f t="shared" si="53"/>
        <v>938.57142857143276</v>
      </c>
      <c r="BE231" s="31">
        <f t="shared" si="54"/>
        <v>465.00000000000205</v>
      </c>
    </row>
    <row r="232" spans="47:57" x14ac:dyDescent="0.15">
      <c r="AU232" s="92">
        <v>6690</v>
      </c>
      <c r="AY232" s="31">
        <f t="shared" si="55"/>
        <v>0.14285714285714285</v>
      </c>
      <c r="AZ232" s="31">
        <f t="shared" si="56"/>
        <v>7.1428571428571425E-2</v>
      </c>
      <c r="BA232" s="31">
        <f t="shared" si="50"/>
        <v>0</v>
      </c>
      <c r="BB232" s="31">
        <f t="shared" si="51"/>
        <v>0</v>
      </c>
      <c r="BC232" s="31">
        <f t="shared" si="52"/>
        <v>0</v>
      </c>
      <c r="BD232" s="31">
        <f t="shared" si="53"/>
        <v>942.8571428571471</v>
      </c>
      <c r="BE232" s="31">
        <f t="shared" si="54"/>
        <v>467.14285714285921</v>
      </c>
    </row>
    <row r="233" spans="47:57" x14ac:dyDescent="0.15">
      <c r="AU233" s="92">
        <v>6720</v>
      </c>
      <c r="AY233" s="31">
        <f t="shared" si="55"/>
        <v>0.14285714285714285</v>
      </c>
      <c r="AZ233" s="31">
        <f t="shared" si="56"/>
        <v>7.1428571428571425E-2</v>
      </c>
      <c r="BA233" s="31">
        <f t="shared" si="50"/>
        <v>0</v>
      </c>
      <c r="BB233" s="31">
        <f t="shared" si="51"/>
        <v>0</v>
      </c>
      <c r="BC233" s="31">
        <f t="shared" si="52"/>
        <v>0</v>
      </c>
      <c r="BD233" s="31">
        <f t="shared" si="53"/>
        <v>947.14285714286143</v>
      </c>
      <c r="BE233" s="31">
        <f t="shared" si="54"/>
        <v>469.28571428571638</v>
      </c>
    </row>
    <row r="234" spans="47:57" x14ac:dyDescent="0.15">
      <c r="AU234" s="92">
        <v>6750</v>
      </c>
      <c r="AY234" s="31">
        <f t="shared" si="55"/>
        <v>0.14285714285714285</v>
      </c>
      <c r="AZ234" s="31">
        <f t="shared" si="56"/>
        <v>7.1428571428571425E-2</v>
      </c>
      <c r="BA234" s="31">
        <f t="shared" si="50"/>
        <v>0</v>
      </c>
      <c r="BB234" s="31">
        <f t="shared" si="51"/>
        <v>0</v>
      </c>
      <c r="BC234" s="31">
        <f t="shared" si="52"/>
        <v>0</v>
      </c>
      <c r="BD234" s="31">
        <f t="shared" si="53"/>
        <v>951.42857142857576</v>
      </c>
      <c r="BE234" s="31">
        <f t="shared" si="54"/>
        <v>471.42857142857355</v>
      </c>
    </row>
    <row r="235" spans="47:57" x14ac:dyDescent="0.15">
      <c r="AU235" s="92">
        <v>6780</v>
      </c>
      <c r="AY235" s="31">
        <f t="shared" si="55"/>
        <v>0.14285714285714285</v>
      </c>
      <c r="AZ235" s="31">
        <f t="shared" si="56"/>
        <v>7.1428571428571425E-2</v>
      </c>
      <c r="BA235" s="31">
        <f t="shared" si="50"/>
        <v>0</v>
      </c>
      <c r="BB235" s="31">
        <f t="shared" si="51"/>
        <v>0</v>
      </c>
      <c r="BC235" s="31">
        <f t="shared" si="52"/>
        <v>0</v>
      </c>
      <c r="BD235" s="31">
        <f t="shared" si="53"/>
        <v>955.7142857142901</v>
      </c>
      <c r="BE235" s="31">
        <f t="shared" si="54"/>
        <v>473.57142857143072</v>
      </c>
    </row>
    <row r="236" spans="47:57" x14ac:dyDescent="0.15">
      <c r="AU236" s="92">
        <v>6810</v>
      </c>
      <c r="AY236" s="31">
        <f t="shared" si="55"/>
        <v>0.14285714285714285</v>
      </c>
      <c r="AZ236" s="31">
        <f t="shared" si="56"/>
        <v>7.1428571428571425E-2</v>
      </c>
      <c r="BA236" s="31">
        <f t="shared" si="50"/>
        <v>0</v>
      </c>
      <c r="BB236" s="31">
        <f t="shared" si="51"/>
        <v>0</v>
      </c>
      <c r="BC236" s="31">
        <f t="shared" si="52"/>
        <v>0</v>
      </c>
      <c r="BD236" s="31">
        <f t="shared" si="53"/>
        <v>960.00000000000443</v>
      </c>
      <c r="BE236" s="31">
        <f t="shared" si="54"/>
        <v>475.71428571428788</v>
      </c>
    </row>
    <row r="237" spans="47:57" x14ac:dyDescent="0.15">
      <c r="AU237" s="92">
        <v>6840</v>
      </c>
      <c r="AY237" s="31">
        <f t="shared" si="55"/>
        <v>0.14285714285714285</v>
      </c>
      <c r="AZ237" s="31">
        <f t="shared" si="56"/>
        <v>7.1428571428571425E-2</v>
      </c>
      <c r="BA237" s="31">
        <f t="shared" si="50"/>
        <v>0</v>
      </c>
      <c r="BB237" s="31">
        <f t="shared" si="51"/>
        <v>0</v>
      </c>
      <c r="BC237" s="31">
        <f t="shared" si="52"/>
        <v>0</v>
      </c>
      <c r="BD237" s="31">
        <f t="shared" si="53"/>
        <v>964.28571428571877</v>
      </c>
      <c r="BE237" s="31">
        <f t="shared" si="54"/>
        <v>477.85714285714505</v>
      </c>
    </row>
    <row r="238" spans="47:57" x14ac:dyDescent="0.15">
      <c r="AU238" s="92">
        <v>6870</v>
      </c>
      <c r="AY238" s="31">
        <f t="shared" si="55"/>
        <v>0.14285714285714285</v>
      </c>
      <c r="AZ238" s="31">
        <f t="shared" si="56"/>
        <v>7.1428571428571425E-2</v>
      </c>
      <c r="BA238" s="31">
        <f t="shared" si="50"/>
        <v>0</v>
      </c>
      <c r="BB238" s="31">
        <f t="shared" si="51"/>
        <v>0</v>
      </c>
      <c r="BC238" s="31">
        <f t="shared" si="52"/>
        <v>0</v>
      </c>
      <c r="BD238" s="31">
        <f t="shared" si="53"/>
        <v>968.5714285714331</v>
      </c>
      <c r="BE238" s="31">
        <f t="shared" si="54"/>
        <v>480.00000000000222</v>
      </c>
    </row>
    <row r="239" spans="47:57" x14ac:dyDescent="0.15">
      <c r="AU239" s="92">
        <v>6900</v>
      </c>
      <c r="AY239" s="31">
        <f t="shared" si="55"/>
        <v>0.14285714285714285</v>
      </c>
      <c r="AZ239" s="31">
        <f t="shared" si="56"/>
        <v>7.1428571428571425E-2</v>
      </c>
      <c r="BA239" s="31">
        <f t="shared" si="50"/>
        <v>0</v>
      </c>
      <c r="BB239" s="31">
        <f t="shared" si="51"/>
        <v>0</v>
      </c>
      <c r="BC239" s="31">
        <f t="shared" si="52"/>
        <v>0</v>
      </c>
      <c r="BD239" s="31">
        <f t="shared" si="53"/>
        <v>972.85714285714744</v>
      </c>
      <c r="BE239" s="31">
        <f t="shared" si="54"/>
        <v>482.14285714285938</v>
      </c>
    </row>
    <row r="240" spans="47:57" x14ac:dyDescent="0.15">
      <c r="AU240" s="92">
        <v>6930</v>
      </c>
      <c r="AY240" s="31">
        <f t="shared" si="55"/>
        <v>0.14285714285714285</v>
      </c>
      <c r="AZ240" s="31">
        <f t="shared" si="56"/>
        <v>7.1428571428571425E-2</v>
      </c>
      <c r="BA240" s="31">
        <f t="shared" si="50"/>
        <v>0</v>
      </c>
      <c r="BB240" s="31">
        <f t="shared" si="51"/>
        <v>0</v>
      </c>
      <c r="BC240" s="31">
        <f t="shared" si="52"/>
        <v>0</v>
      </c>
      <c r="BD240" s="31">
        <f t="shared" si="53"/>
        <v>977.14285714286177</v>
      </c>
      <c r="BE240" s="31">
        <f t="shared" si="54"/>
        <v>484.28571428571655</v>
      </c>
    </row>
    <row r="241" spans="47:57" x14ac:dyDescent="0.15">
      <c r="AU241" s="92">
        <v>6960</v>
      </c>
      <c r="AY241" s="31">
        <f t="shared" si="55"/>
        <v>0.14285714285714285</v>
      </c>
      <c r="AZ241" s="31">
        <f t="shared" si="56"/>
        <v>7.1428571428571425E-2</v>
      </c>
      <c r="BA241" s="31">
        <f t="shared" si="50"/>
        <v>0</v>
      </c>
      <c r="BB241" s="31">
        <f t="shared" si="51"/>
        <v>0</v>
      </c>
      <c r="BC241" s="31">
        <f t="shared" si="52"/>
        <v>0</v>
      </c>
      <c r="BD241" s="31">
        <f t="shared" si="53"/>
        <v>981.42857142857611</v>
      </c>
      <c r="BE241" s="31">
        <f t="shared" si="54"/>
        <v>486.42857142857372</v>
      </c>
    </row>
    <row r="242" spans="47:57" x14ac:dyDescent="0.15">
      <c r="AU242" s="92">
        <v>6990</v>
      </c>
      <c r="AY242" s="31">
        <f t="shared" si="55"/>
        <v>0.14285714285714285</v>
      </c>
      <c r="AZ242" s="31">
        <f t="shared" si="56"/>
        <v>7.1428571428571425E-2</v>
      </c>
      <c r="BA242" s="31">
        <f t="shared" si="50"/>
        <v>0</v>
      </c>
      <c r="BB242" s="31">
        <f t="shared" si="51"/>
        <v>0</v>
      </c>
      <c r="BC242" s="31">
        <f t="shared" si="52"/>
        <v>0</v>
      </c>
      <c r="BD242" s="31">
        <f t="shared" si="53"/>
        <v>985.71428571429044</v>
      </c>
      <c r="BE242" s="31">
        <f t="shared" si="54"/>
        <v>488.57142857143089</v>
      </c>
    </row>
    <row r="243" spans="47:57" x14ac:dyDescent="0.15">
      <c r="AU243" s="92">
        <v>7020</v>
      </c>
      <c r="AY243" s="31">
        <f t="shared" si="55"/>
        <v>0.14285714285714285</v>
      </c>
      <c r="AZ243" s="31">
        <f t="shared" si="56"/>
        <v>7.1428571428571425E-2</v>
      </c>
      <c r="BA243" s="31">
        <f t="shared" si="50"/>
        <v>0</v>
      </c>
      <c r="BB243" s="31">
        <f t="shared" si="51"/>
        <v>0</v>
      </c>
      <c r="BC243" s="31">
        <f t="shared" si="52"/>
        <v>0</v>
      </c>
      <c r="BD243" s="31">
        <f t="shared" si="53"/>
        <v>990.00000000000477</v>
      </c>
      <c r="BE243" s="31">
        <f t="shared" si="54"/>
        <v>490.71428571428805</v>
      </c>
    </row>
    <row r="244" spans="47:57" x14ac:dyDescent="0.15">
      <c r="AU244" s="92">
        <v>7050</v>
      </c>
      <c r="AY244" s="31">
        <f t="shared" si="55"/>
        <v>0.14285714285714285</v>
      </c>
      <c r="AZ244" s="31">
        <f t="shared" si="56"/>
        <v>7.1428571428571425E-2</v>
      </c>
      <c r="BA244" s="31">
        <f t="shared" si="50"/>
        <v>0</v>
      </c>
      <c r="BB244" s="31">
        <f t="shared" si="51"/>
        <v>0</v>
      </c>
      <c r="BC244" s="31">
        <f t="shared" si="52"/>
        <v>0</v>
      </c>
      <c r="BD244" s="31">
        <f t="shared" si="53"/>
        <v>994.28571428571911</v>
      </c>
      <c r="BE244" s="31">
        <f t="shared" si="54"/>
        <v>492.85714285714522</v>
      </c>
    </row>
    <row r="245" spans="47:57" x14ac:dyDescent="0.15">
      <c r="AU245" s="92">
        <v>7080</v>
      </c>
      <c r="AY245" s="31">
        <f t="shared" si="55"/>
        <v>0.14285714285714285</v>
      </c>
      <c r="AZ245" s="31">
        <f t="shared" si="56"/>
        <v>7.1428571428571425E-2</v>
      </c>
      <c r="BA245" s="31">
        <f t="shared" si="50"/>
        <v>0</v>
      </c>
      <c r="BB245" s="31">
        <f t="shared" si="51"/>
        <v>0</v>
      </c>
      <c r="BC245" s="31">
        <f t="shared" si="52"/>
        <v>0</v>
      </c>
      <c r="BD245" s="31">
        <f t="shared" si="53"/>
        <v>998.57142857143344</v>
      </c>
      <c r="BE245" s="31">
        <f t="shared" si="54"/>
        <v>495.00000000000239</v>
      </c>
    </row>
    <row r="246" spans="47:57" x14ac:dyDescent="0.15">
      <c r="AU246" s="92">
        <v>7110</v>
      </c>
      <c r="AY246" s="31">
        <f t="shared" si="55"/>
        <v>0.14285714285714285</v>
      </c>
      <c r="AZ246" s="31">
        <f t="shared" si="56"/>
        <v>7.1428571428571425E-2</v>
      </c>
      <c r="BA246" s="31">
        <f t="shared" si="50"/>
        <v>0</v>
      </c>
      <c r="BB246" s="31">
        <f t="shared" si="51"/>
        <v>0</v>
      </c>
      <c r="BC246" s="31">
        <f t="shared" si="52"/>
        <v>0</v>
      </c>
      <c r="BD246" s="31">
        <f t="shared" si="53"/>
        <v>1002.8571428571478</v>
      </c>
      <c r="BE246" s="31">
        <f t="shared" si="54"/>
        <v>497.14285714285955</v>
      </c>
    </row>
    <row r="247" spans="47:57" x14ac:dyDescent="0.15">
      <c r="AU247" s="92">
        <v>7140</v>
      </c>
      <c r="AY247" s="31">
        <f t="shared" si="55"/>
        <v>0.14285714285714285</v>
      </c>
      <c r="AZ247" s="31">
        <f t="shared" si="56"/>
        <v>7.1428571428571425E-2</v>
      </c>
      <c r="BA247" s="31">
        <f t="shared" si="50"/>
        <v>0</v>
      </c>
      <c r="BB247" s="31">
        <f t="shared" si="51"/>
        <v>0</v>
      </c>
      <c r="BC247" s="31">
        <f t="shared" si="52"/>
        <v>0</v>
      </c>
      <c r="BD247" s="31">
        <f t="shared" si="53"/>
        <v>1007.1428571428621</v>
      </c>
      <c r="BE247" s="31">
        <f t="shared" si="54"/>
        <v>499.28571428571672</v>
      </c>
    </row>
    <row r="248" spans="47:57" x14ac:dyDescent="0.15">
      <c r="AU248" s="92">
        <v>7170</v>
      </c>
      <c r="AY248" s="31">
        <f t="shared" si="55"/>
        <v>0.14285714285714285</v>
      </c>
      <c r="AZ248" s="31">
        <f t="shared" si="56"/>
        <v>7.1428571428571425E-2</v>
      </c>
      <c r="BA248" s="31">
        <f t="shared" si="50"/>
        <v>0</v>
      </c>
      <c r="BB248" s="31">
        <f t="shared" si="51"/>
        <v>0</v>
      </c>
      <c r="BC248" s="31">
        <f t="shared" si="52"/>
        <v>0</v>
      </c>
      <c r="BD248" s="31">
        <f t="shared" si="53"/>
        <v>1011.4285714285764</v>
      </c>
      <c r="BE248" s="31">
        <f t="shared" si="54"/>
        <v>501.42857142857389</v>
      </c>
    </row>
    <row r="249" spans="47:57" x14ac:dyDescent="0.15">
      <c r="AU249" s="92">
        <v>7200</v>
      </c>
      <c r="AY249" s="31">
        <f t="shared" si="55"/>
        <v>0.14285714285714285</v>
      </c>
      <c r="AZ249" s="31">
        <f t="shared" si="56"/>
        <v>7.1428571428571425E-2</v>
      </c>
      <c r="BA249" s="31">
        <f t="shared" ref="BA249:BA280" si="57">IF($AU250="",BA248,($AU250-$AU249)*AV249+BA248)</f>
        <v>0</v>
      </c>
      <c r="BB249" s="31">
        <f t="shared" ref="BB249:BB280" si="58">IF($AU250="",BB248,($AU250-$AU249)*AW249+BB248)</f>
        <v>0</v>
      </c>
      <c r="BC249" s="31">
        <f t="shared" ref="BC249:BC280" si="59">IF($AU250="",BC248,($AU250-$AU249)*AX249+BC248)</f>
        <v>0</v>
      </c>
      <c r="BD249" s="31">
        <f t="shared" ref="BD249:BD280" si="60">IF($AU250="",BD248,($AU250-$AU249)*AY249+BD248)</f>
        <v>1015.7142857142908</v>
      </c>
      <c r="BE249" s="31">
        <f t="shared" ref="BE249:BE280" si="61">IF($AU250="",BE248,($AU250-$AU249)*AZ249+BE248)</f>
        <v>503.57142857143106</v>
      </c>
    </row>
    <row r="250" spans="47:57" x14ac:dyDescent="0.15">
      <c r="AU250" s="92">
        <v>7230</v>
      </c>
      <c r="AY250" s="31">
        <f t="shared" ref="AY250:AY309" si="62">1/7</f>
        <v>0.14285714285714285</v>
      </c>
      <c r="AZ250" s="31">
        <f t="shared" si="56"/>
        <v>7.1428571428571425E-2</v>
      </c>
      <c r="BA250" s="31">
        <f t="shared" si="57"/>
        <v>0</v>
      </c>
      <c r="BB250" s="31">
        <f t="shared" si="58"/>
        <v>0</v>
      </c>
      <c r="BC250" s="31">
        <f t="shared" si="59"/>
        <v>0</v>
      </c>
      <c r="BD250" s="31">
        <f t="shared" si="60"/>
        <v>1020.0000000000051</v>
      </c>
      <c r="BE250" s="31">
        <f t="shared" si="61"/>
        <v>505.71428571428822</v>
      </c>
    </row>
    <row r="251" spans="47:57" x14ac:dyDescent="0.15">
      <c r="AU251" s="92">
        <v>7260</v>
      </c>
      <c r="AY251" s="31">
        <f t="shared" si="62"/>
        <v>0.14285714285714285</v>
      </c>
      <c r="AZ251" s="31">
        <f t="shared" si="56"/>
        <v>7.1428571428571425E-2</v>
      </c>
      <c r="BA251" s="31">
        <f t="shared" si="57"/>
        <v>0</v>
      </c>
      <c r="BB251" s="31">
        <f t="shared" si="58"/>
        <v>0</v>
      </c>
      <c r="BC251" s="31">
        <f t="shared" si="59"/>
        <v>0</v>
      </c>
      <c r="BD251" s="31">
        <f t="shared" si="60"/>
        <v>1024.2857142857195</v>
      </c>
      <c r="BE251" s="31">
        <f t="shared" si="61"/>
        <v>507.85714285714539</v>
      </c>
    </row>
    <row r="252" spans="47:57" x14ac:dyDescent="0.15">
      <c r="AU252" s="92">
        <v>7290</v>
      </c>
      <c r="AY252" s="31">
        <f t="shared" si="62"/>
        <v>0.14285714285714285</v>
      </c>
      <c r="AZ252" s="31">
        <f t="shared" si="56"/>
        <v>7.1428571428571425E-2</v>
      </c>
      <c r="BA252" s="31">
        <f t="shared" si="57"/>
        <v>0</v>
      </c>
      <c r="BB252" s="31">
        <f t="shared" si="58"/>
        <v>0</v>
      </c>
      <c r="BC252" s="31">
        <f t="shared" si="59"/>
        <v>0</v>
      </c>
      <c r="BD252" s="31">
        <f t="shared" si="60"/>
        <v>1028.5714285714337</v>
      </c>
      <c r="BE252" s="31">
        <f t="shared" si="61"/>
        <v>510.00000000000256</v>
      </c>
    </row>
    <row r="253" spans="47:57" x14ac:dyDescent="0.15">
      <c r="AU253" s="92">
        <v>7320</v>
      </c>
      <c r="AY253" s="31">
        <f t="shared" si="62"/>
        <v>0.14285714285714285</v>
      </c>
      <c r="AZ253" s="31">
        <f t="shared" si="56"/>
        <v>7.1428571428571425E-2</v>
      </c>
      <c r="BA253" s="31">
        <f t="shared" si="57"/>
        <v>0</v>
      </c>
      <c r="BB253" s="31">
        <f t="shared" si="58"/>
        <v>0</v>
      </c>
      <c r="BC253" s="31">
        <f t="shared" si="59"/>
        <v>0</v>
      </c>
      <c r="BD253" s="31">
        <f t="shared" si="60"/>
        <v>1032.8571428571479</v>
      </c>
      <c r="BE253" s="31">
        <f t="shared" si="61"/>
        <v>512.14285714285973</v>
      </c>
    </row>
    <row r="254" spans="47:57" x14ac:dyDescent="0.15">
      <c r="AU254" s="92">
        <v>7350</v>
      </c>
      <c r="AY254" s="31">
        <f t="shared" si="62"/>
        <v>0.14285714285714285</v>
      </c>
      <c r="AZ254" s="31">
        <f t="shared" si="56"/>
        <v>7.1428571428571425E-2</v>
      </c>
      <c r="BA254" s="31">
        <f t="shared" si="57"/>
        <v>0</v>
      </c>
      <c r="BB254" s="31">
        <f t="shared" si="58"/>
        <v>0</v>
      </c>
      <c r="BC254" s="31">
        <f t="shared" si="59"/>
        <v>0</v>
      </c>
      <c r="BD254" s="31">
        <f t="shared" si="60"/>
        <v>1037.1428571428621</v>
      </c>
      <c r="BE254" s="31">
        <f t="shared" si="61"/>
        <v>514.28571428571684</v>
      </c>
    </row>
    <row r="255" spans="47:57" x14ac:dyDescent="0.15">
      <c r="AU255" s="92">
        <v>7380</v>
      </c>
      <c r="AY255" s="31">
        <f t="shared" si="62"/>
        <v>0.14285714285714285</v>
      </c>
      <c r="AZ255" s="31">
        <f t="shared" si="56"/>
        <v>7.1428571428571425E-2</v>
      </c>
      <c r="BA255" s="31">
        <f t="shared" si="57"/>
        <v>0</v>
      </c>
      <c r="BB255" s="31">
        <f t="shared" si="58"/>
        <v>0</v>
      </c>
      <c r="BC255" s="31">
        <f t="shared" si="59"/>
        <v>0</v>
      </c>
      <c r="BD255" s="31">
        <f t="shared" si="60"/>
        <v>1041.4285714285763</v>
      </c>
      <c r="BE255" s="31">
        <f t="shared" si="61"/>
        <v>516.42857142857395</v>
      </c>
    </row>
    <row r="256" spans="47:57" x14ac:dyDescent="0.15">
      <c r="AU256" s="92">
        <v>7410</v>
      </c>
      <c r="AY256" s="31">
        <f t="shared" si="62"/>
        <v>0.14285714285714285</v>
      </c>
      <c r="AZ256" s="31">
        <f t="shared" si="56"/>
        <v>7.1428571428571425E-2</v>
      </c>
      <c r="BA256" s="31">
        <f t="shared" si="57"/>
        <v>0</v>
      </c>
      <c r="BB256" s="31">
        <f t="shared" si="58"/>
        <v>0</v>
      </c>
      <c r="BC256" s="31">
        <f t="shared" si="59"/>
        <v>0</v>
      </c>
      <c r="BD256" s="31">
        <f t="shared" si="60"/>
        <v>1045.7142857142906</v>
      </c>
      <c r="BE256" s="31">
        <f t="shared" si="61"/>
        <v>518.57142857143106</v>
      </c>
    </row>
    <row r="257" spans="47:57" x14ac:dyDescent="0.15">
      <c r="AU257" s="92">
        <v>7440</v>
      </c>
      <c r="AY257" s="31">
        <f t="shared" si="62"/>
        <v>0.14285714285714285</v>
      </c>
      <c r="AZ257" s="31">
        <f t="shared" si="56"/>
        <v>7.1428571428571425E-2</v>
      </c>
      <c r="BA257" s="31">
        <f t="shared" si="57"/>
        <v>0</v>
      </c>
      <c r="BB257" s="31">
        <f t="shared" si="58"/>
        <v>0</v>
      </c>
      <c r="BC257" s="31">
        <f t="shared" si="59"/>
        <v>0</v>
      </c>
      <c r="BD257" s="31">
        <f t="shared" si="60"/>
        <v>1050.0000000000048</v>
      </c>
      <c r="BE257" s="31">
        <f t="shared" si="61"/>
        <v>520.71428571428817</v>
      </c>
    </row>
    <row r="258" spans="47:57" x14ac:dyDescent="0.15">
      <c r="AU258" s="92">
        <v>7470</v>
      </c>
      <c r="AY258" s="31">
        <f t="shared" si="62"/>
        <v>0.14285714285714285</v>
      </c>
      <c r="AZ258" s="31">
        <f t="shared" si="56"/>
        <v>7.1428571428571425E-2</v>
      </c>
      <c r="BA258" s="31">
        <f t="shared" si="57"/>
        <v>0</v>
      </c>
      <c r="BB258" s="31">
        <f t="shared" si="58"/>
        <v>0</v>
      </c>
      <c r="BC258" s="31">
        <f t="shared" si="59"/>
        <v>0</v>
      </c>
      <c r="BD258" s="31">
        <f t="shared" si="60"/>
        <v>1054.285714285719</v>
      </c>
      <c r="BE258" s="31">
        <f t="shared" si="61"/>
        <v>522.85714285714528</v>
      </c>
    </row>
    <row r="259" spans="47:57" x14ac:dyDescent="0.15">
      <c r="AU259" s="92">
        <v>7500</v>
      </c>
      <c r="AY259" s="31">
        <f t="shared" si="62"/>
        <v>0.14285714285714285</v>
      </c>
      <c r="AZ259" s="31">
        <f t="shared" si="56"/>
        <v>7.1428571428571425E-2</v>
      </c>
      <c r="BA259" s="31">
        <f t="shared" si="57"/>
        <v>0</v>
      </c>
      <c r="BB259" s="31">
        <f t="shared" si="58"/>
        <v>0</v>
      </c>
      <c r="BC259" s="31">
        <f t="shared" si="59"/>
        <v>0</v>
      </c>
      <c r="BD259" s="31">
        <f t="shared" si="60"/>
        <v>1058.5714285714332</v>
      </c>
      <c r="BE259" s="31">
        <f t="shared" si="61"/>
        <v>525.00000000000239</v>
      </c>
    </row>
    <row r="260" spans="47:57" x14ac:dyDescent="0.15">
      <c r="AU260" s="92">
        <v>7530</v>
      </c>
      <c r="AY260" s="31">
        <f t="shared" si="62"/>
        <v>0.14285714285714285</v>
      </c>
      <c r="AZ260" s="31">
        <f t="shared" si="56"/>
        <v>7.1428571428571425E-2</v>
      </c>
      <c r="BA260" s="31">
        <f t="shared" si="57"/>
        <v>0</v>
      </c>
      <c r="BB260" s="31">
        <f t="shared" si="58"/>
        <v>0</v>
      </c>
      <c r="BC260" s="31">
        <f t="shared" si="59"/>
        <v>0</v>
      </c>
      <c r="BD260" s="31">
        <f t="shared" si="60"/>
        <v>1062.8571428571474</v>
      </c>
      <c r="BE260" s="31">
        <f t="shared" si="61"/>
        <v>527.1428571428595</v>
      </c>
    </row>
    <row r="261" spans="47:57" x14ac:dyDescent="0.15">
      <c r="AU261" s="92">
        <v>7560</v>
      </c>
      <c r="AY261" s="31">
        <f t="shared" si="62"/>
        <v>0.14285714285714285</v>
      </c>
      <c r="AZ261" s="31">
        <f t="shared" si="56"/>
        <v>7.1428571428571425E-2</v>
      </c>
      <c r="BA261" s="31">
        <f t="shared" si="57"/>
        <v>0</v>
      </c>
      <c r="BB261" s="31">
        <f t="shared" si="58"/>
        <v>0</v>
      </c>
      <c r="BC261" s="31">
        <f t="shared" si="59"/>
        <v>0</v>
      </c>
      <c r="BD261" s="31">
        <f t="shared" si="60"/>
        <v>1067.1428571428617</v>
      </c>
      <c r="BE261" s="31">
        <f t="shared" si="61"/>
        <v>529.28571428571661</v>
      </c>
    </row>
    <row r="262" spans="47:57" x14ac:dyDescent="0.15">
      <c r="AU262" s="92">
        <v>7590</v>
      </c>
      <c r="AY262" s="31">
        <f t="shared" si="62"/>
        <v>0.14285714285714285</v>
      </c>
      <c r="AZ262" s="31">
        <f t="shared" si="56"/>
        <v>7.1428571428571425E-2</v>
      </c>
      <c r="BA262" s="31">
        <f t="shared" si="57"/>
        <v>0</v>
      </c>
      <c r="BB262" s="31">
        <f t="shared" si="58"/>
        <v>0</v>
      </c>
      <c r="BC262" s="31">
        <f t="shared" si="59"/>
        <v>0</v>
      </c>
      <c r="BD262" s="31">
        <f t="shared" si="60"/>
        <v>1071.4285714285759</v>
      </c>
      <c r="BE262" s="31">
        <f t="shared" si="61"/>
        <v>531.42857142857372</v>
      </c>
    </row>
    <row r="263" spans="47:57" x14ac:dyDescent="0.15">
      <c r="AU263" s="92">
        <v>7620</v>
      </c>
      <c r="AY263" s="31">
        <f t="shared" si="62"/>
        <v>0.14285714285714285</v>
      </c>
      <c r="AZ263" s="31">
        <f t="shared" si="56"/>
        <v>7.1428571428571425E-2</v>
      </c>
      <c r="BA263" s="31">
        <f t="shared" si="57"/>
        <v>0</v>
      </c>
      <c r="BB263" s="31">
        <f t="shared" si="58"/>
        <v>0</v>
      </c>
      <c r="BC263" s="31">
        <f t="shared" si="59"/>
        <v>0</v>
      </c>
      <c r="BD263" s="31">
        <f t="shared" si="60"/>
        <v>1075.7142857142901</v>
      </c>
      <c r="BE263" s="31">
        <f t="shared" si="61"/>
        <v>533.57142857143083</v>
      </c>
    </row>
    <row r="264" spans="47:57" x14ac:dyDescent="0.15">
      <c r="AU264" s="92">
        <v>7650</v>
      </c>
      <c r="AY264" s="31">
        <f t="shared" si="62"/>
        <v>0.14285714285714285</v>
      </c>
      <c r="AZ264" s="31">
        <f t="shared" si="56"/>
        <v>7.1428571428571425E-2</v>
      </c>
      <c r="BA264" s="31">
        <f t="shared" si="57"/>
        <v>0</v>
      </c>
      <c r="BB264" s="31">
        <f t="shared" si="58"/>
        <v>0</v>
      </c>
      <c r="BC264" s="31">
        <f t="shared" si="59"/>
        <v>0</v>
      </c>
      <c r="BD264" s="31">
        <f t="shared" si="60"/>
        <v>1080.0000000000043</v>
      </c>
      <c r="BE264" s="31">
        <f t="shared" si="61"/>
        <v>535.71428571428794</v>
      </c>
    </row>
    <row r="265" spans="47:57" x14ac:dyDescent="0.15">
      <c r="AU265" s="92">
        <v>7680</v>
      </c>
      <c r="AY265" s="31">
        <f t="shared" si="62"/>
        <v>0.14285714285714285</v>
      </c>
      <c r="AZ265" s="31">
        <f t="shared" si="56"/>
        <v>7.1428571428571425E-2</v>
      </c>
      <c r="BA265" s="31">
        <f t="shared" si="57"/>
        <v>0</v>
      </c>
      <c r="BB265" s="31">
        <f t="shared" si="58"/>
        <v>0</v>
      </c>
      <c r="BC265" s="31">
        <f t="shared" si="59"/>
        <v>0</v>
      </c>
      <c r="BD265" s="31">
        <f t="shared" si="60"/>
        <v>1084.2857142857185</v>
      </c>
      <c r="BE265" s="31">
        <f t="shared" si="61"/>
        <v>537.85714285714505</v>
      </c>
    </row>
    <row r="266" spans="47:57" x14ac:dyDescent="0.15">
      <c r="AU266" s="92">
        <v>7710</v>
      </c>
      <c r="AY266" s="31">
        <f t="shared" si="62"/>
        <v>0.14285714285714285</v>
      </c>
      <c r="AZ266" s="31">
        <f t="shared" si="56"/>
        <v>7.1428571428571425E-2</v>
      </c>
      <c r="BA266" s="31">
        <f t="shared" si="57"/>
        <v>0</v>
      </c>
      <c r="BB266" s="31">
        <f t="shared" si="58"/>
        <v>0</v>
      </c>
      <c r="BC266" s="31">
        <f t="shared" si="59"/>
        <v>0</v>
      </c>
      <c r="BD266" s="31">
        <f t="shared" si="60"/>
        <v>1088.5714285714328</v>
      </c>
      <c r="BE266" s="31">
        <f t="shared" si="61"/>
        <v>540.00000000000216</v>
      </c>
    </row>
    <row r="267" spans="47:57" x14ac:dyDescent="0.15">
      <c r="AU267" s="92">
        <v>7740</v>
      </c>
      <c r="AY267" s="31">
        <f t="shared" si="62"/>
        <v>0.14285714285714285</v>
      </c>
      <c r="AZ267" s="31">
        <f t="shared" si="56"/>
        <v>7.1428571428571425E-2</v>
      </c>
      <c r="BA267" s="31">
        <f t="shared" si="57"/>
        <v>0</v>
      </c>
      <c r="BB267" s="31">
        <f t="shared" si="58"/>
        <v>0</v>
      </c>
      <c r="BC267" s="31">
        <f t="shared" si="59"/>
        <v>0</v>
      </c>
      <c r="BD267" s="31">
        <f t="shared" si="60"/>
        <v>1092.857142857147</v>
      </c>
      <c r="BE267" s="31">
        <f t="shared" si="61"/>
        <v>542.14285714285927</v>
      </c>
    </row>
    <row r="268" spans="47:57" x14ac:dyDescent="0.15">
      <c r="AU268" s="92">
        <v>7770</v>
      </c>
      <c r="AY268" s="31">
        <f t="shared" si="62"/>
        <v>0.14285714285714285</v>
      </c>
      <c r="AZ268" s="31">
        <f t="shared" si="56"/>
        <v>7.1428571428571425E-2</v>
      </c>
      <c r="BA268" s="31">
        <f t="shared" si="57"/>
        <v>0</v>
      </c>
      <c r="BB268" s="31">
        <f t="shared" si="58"/>
        <v>0</v>
      </c>
      <c r="BC268" s="31">
        <f t="shared" si="59"/>
        <v>0</v>
      </c>
      <c r="BD268" s="31">
        <f t="shared" si="60"/>
        <v>1097.1428571428612</v>
      </c>
      <c r="BE268" s="31">
        <f t="shared" si="61"/>
        <v>544.28571428571638</v>
      </c>
    </row>
    <row r="269" spans="47:57" x14ac:dyDescent="0.15">
      <c r="AU269" s="92">
        <v>7800</v>
      </c>
      <c r="AY269" s="31">
        <f t="shared" si="62"/>
        <v>0.14285714285714285</v>
      </c>
      <c r="AZ269" s="31">
        <f t="shared" si="56"/>
        <v>7.1428571428571425E-2</v>
      </c>
      <c r="BA269" s="31">
        <f t="shared" si="57"/>
        <v>0</v>
      </c>
      <c r="BB269" s="31">
        <f t="shared" si="58"/>
        <v>0</v>
      </c>
      <c r="BC269" s="31">
        <f t="shared" si="59"/>
        <v>0</v>
      </c>
      <c r="BD269" s="31">
        <f t="shared" si="60"/>
        <v>1101.4285714285754</v>
      </c>
      <c r="BE269" s="31">
        <f t="shared" si="61"/>
        <v>546.42857142857349</v>
      </c>
    </row>
    <row r="270" spans="47:57" x14ac:dyDescent="0.15">
      <c r="AU270" s="92">
        <v>7830</v>
      </c>
      <c r="AY270" s="31">
        <f t="shared" si="62"/>
        <v>0.14285714285714285</v>
      </c>
      <c r="AZ270" s="31">
        <f t="shared" si="56"/>
        <v>7.1428571428571425E-2</v>
      </c>
      <c r="BA270" s="31">
        <f t="shared" si="57"/>
        <v>0</v>
      </c>
      <c r="BB270" s="31">
        <f t="shared" si="58"/>
        <v>0</v>
      </c>
      <c r="BC270" s="31">
        <f t="shared" si="59"/>
        <v>0</v>
      </c>
      <c r="BD270" s="31">
        <f t="shared" si="60"/>
        <v>1105.7142857142896</v>
      </c>
      <c r="BE270" s="31">
        <f t="shared" si="61"/>
        <v>548.5714285714306</v>
      </c>
    </row>
    <row r="271" spans="47:57" x14ac:dyDescent="0.15">
      <c r="AU271" s="92">
        <v>7860</v>
      </c>
      <c r="AY271" s="31">
        <f t="shared" si="62"/>
        <v>0.14285714285714285</v>
      </c>
      <c r="AZ271" s="31">
        <f t="shared" si="56"/>
        <v>7.1428571428571425E-2</v>
      </c>
      <c r="BA271" s="31">
        <f t="shared" si="57"/>
        <v>0</v>
      </c>
      <c r="BB271" s="31">
        <f t="shared" si="58"/>
        <v>0</v>
      </c>
      <c r="BC271" s="31">
        <f t="shared" si="59"/>
        <v>0</v>
      </c>
      <c r="BD271" s="31">
        <f t="shared" si="60"/>
        <v>1110.0000000000039</v>
      </c>
      <c r="BE271" s="31">
        <f t="shared" si="61"/>
        <v>550.71428571428771</v>
      </c>
    </row>
    <row r="272" spans="47:57" x14ac:dyDescent="0.15">
      <c r="AU272" s="92">
        <v>7890</v>
      </c>
      <c r="AY272" s="31">
        <f t="shared" si="62"/>
        <v>0.14285714285714285</v>
      </c>
      <c r="AZ272" s="31">
        <f t="shared" ref="AZ272:AZ309" si="63">1/14</f>
        <v>7.1428571428571425E-2</v>
      </c>
      <c r="BA272" s="31">
        <f t="shared" si="57"/>
        <v>0</v>
      </c>
      <c r="BB272" s="31">
        <f t="shared" si="58"/>
        <v>0</v>
      </c>
      <c r="BC272" s="31">
        <f t="shared" si="59"/>
        <v>0</v>
      </c>
      <c r="BD272" s="31">
        <f t="shared" si="60"/>
        <v>1114.2857142857181</v>
      </c>
      <c r="BE272" s="31">
        <f t="shared" si="61"/>
        <v>552.85714285714482</v>
      </c>
    </row>
    <row r="273" spans="47:57" x14ac:dyDescent="0.15">
      <c r="AU273" s="92">
        <v>7920</v>
      </c>
      <c r="AY273" s="31">
        <f t="shared" si="62"/>
        <v>0.14285714285714285</v>
      </c>
      <c r="AZ273" s="31">
        <f t="shared" si="63"/>
        <v>7.1428571428571425E-2</v>
      </c>
      <c r="BA273" s="31">
        <f t="shared" si="57"/>
        <v>0</v>
      </c>
      <c r="BB273" s="31">
        <f t="shared" si="58"/>
        <v>0</v>
      </c>
      <c r="BC273" s="31">
        <f t="shared" si="59"/>
        <v>0</v>
      </c>
      <c r="BD273" s="31">
        <f t="shared" si="60"/>
        <v>1118.5714285714323</v>
      </c>
      <c r="BE273" s="31">
        <f t="shared" si="61"/>
        <v>555.00000000000193</v>
      </c>
    </row>
    <row r="274" spans="47:57" x14ac:dyDescent="0.15">
      <c r="AU274" s="92">
        <v>7950</v>
      </c>
      <c r="AY274" s="31">
        <f t="shared" si="62"/>
        <v>0.14285714285714285</v>
      </c>
      <c r="AZ274" s="31">
        <f t="shared" si="63"/>
        <v>7.1428571428571425E-2</v>
      </c>
      <c r="BA274" s="31">
        <f t="shared" si="57"/>
        <v>0</v>
      </c>
      <c r="BB274" s="31">
        <f t="shared" si="58"/>
        <v>0</v>
      </c>
      <c r="BC274" s="31">
        <f t="shared" si="59"/>
        <v>0</v>
      </c>
      <c r="BD274" s="31">
        <f t="shared" si="60"/>
        <v>1122.8571428571465</v>
      </c>
      <c r="BE274" s="31">
        <f t="shared" si="61"/>
        <v>557.14285714285904</v>
      </c>
    </row>
    <row r="275" spans="47:57" x14ac:dyDescent="0.15">
      <c r="AU275" s="92">
        <v>7980</v>
      </c>
      <c r="AY275" s="31">
        <f t="shared" si="62"/>
        <v>0.14285714285714285</v>
      </c>
      <c r="AZ275" s="31">
        <f t="shared" si="63"/>
        <v>7.1428571428571425E-2</v>
      </c>
      <c r="BA275" s="31">
        <f t="shared" si="57"/>
        <v>0</v>
      </c>
      <c r="BB275" s="31">
        <f t="shared" si="58"/>
        <v>0</v>
      </c>
      <c r="BC275" s="31">
        <f t="shared" si="59"/>
        <v>0</v>
      </c>
      <c r="BD275" s="31">
        <f t="shared" si="60"/>
        <v>1127.1428571428607</v>
      </c>
      <c r="BE275" s="31">
        <f t="shared" si="61"/>
        <v>559.28571428571615</v>
      </c>
    </row>
    <row r="276" spans="47:57" x14ac:dyDescent="0.15">
      <c r="AU276" s="92">
        <v>8010</v>
      </c>
      <c r="AY276" s="31">
        <f t="shared" si="62"/>
        <v>0.14285714285714285</v>
      </c>
      <c r="AZ276" s="31">
        <f t="shared" si="63"/>
        <v>7.1428571428571425E-2</v>
      </c>
      <c r="BA276" s="31">
        <f t="shared" si="57"/>
        <v>0</v>
      </c>
      <c r="BB276" s="31">
        <f t="shared" si="58"/>
        <v>0</v>
      </c>
      <c r="BC276" s="31">
        <f t="shared" si="59"/>
        <v>0</v>
      </c>
      <c r="BD276" s="31">
        <f t="shared" si="60"/>
        <v>1131.428571428575</v>
      </c>
      <c r="BE276" s="31">
        <f t="shared" si="61"/>
        <v>561.42857142857326</v>
      </c>
    </row>
    <row r="277" spans="47:57" x14ac:dyDescent="0.15">
      <c r="AU277" s="92">
        <v>8040</v>
      </c>
      <c r="AY277" s="31">
        <f t="shared" si="62"/>
        <v>0.14285714285714285</v>
      </c>
      <c r="AZ277" s="31">
        <f t="shared" si="63"/>
        <v>7.1428571428571425E-2</v>
      </c>
      <c r="BA277" s="31">
        <f t="shared" si="57"/>
        <v>0</v>
      </c>
      <c r="BB277" s="31">
        <f t="shared" si="58"/>
        <v>0</v>
      </c>
      <c r="BC277" s="31">
        <f t="shared" si="59"/>
        <v>0</v>
      </c>
      <c r="BD277" s="31">
        <f t="shared" si="60"/>
        <v>1135.7142857142892</v>
      </c>
      <c r="BE277" s="31">
        <f t="shared" si="61"/>
        <v>563.57142857143037</v>
      </c>
    </row>
    <row r="278" spans="47:57" x14ac:dyDescent="0.15">
      <c r="AU278" s="92">
        <v>8070</v>
      </c>
      <c r="AY278" s="31">
        <f t="shared" si="62"/>
        <v>0.14285714285714285</v>
      </c>
      <c r="AZ278" s="31">
        <f t="shared" si="63"/>
        <v>7.1428571428571425E-2</v>
      </c>
      <c r="BA278" s="31">
        <f t="shared" si="57"/>
        <v>0</v>
      </c>
      <c r="BB278" s="31">
        <f t="shared" si="58"/>
        <v>0</v>
      </c>
      <c r="BC278" s="31">
        <f t="shared" si="59"/>
        <v>0</v>
      </c>
      <c r="BD278" s="31">
        <f t="shared" si="60"/>
        <v>1140.0000000000034</v>
      </c>
      <c r="BE278" s="31">
        <f t="shared" si="61"/>
        <v>565.71428571428748</v>
      </c>
    </row>
    <row r="279" spans="47:57" x14ac:dyDescent="0.15">
      <c r="AU279" s="92">
        <v>8100</v>
      </c>
      <c r="AY279" s="31">
        <f t="shared" si="62"/>
        <v>0.14285714285714285</v>
      </c>
      <c r="AZ279" s="31">
        <f t="shared" si="63"/>
        <v>7.1428571428571425E-2</v>
      </c>
      <c r="BA279" s="31">
        <f t="shared" si="57"/>
        <v>0</v>
      </c>
      <c r="BB279" s="31">
        <f t="shared" si="58"/>
        <v>0</v>
      </c>
      <c r="BC279" s="31">
        <f t="shared" si="59"/>
        <v>0</v>
      </c>
      <c r="BD279" s="31">
        <f t="shared" si="60"/>
        <v>1144.2857142857176</v>
      </c>
      <c r="BE279" s="31">
        <f t="shared" si="61"/>
        <v>567.85714285714459</v>
      </c>
    </row>
    <row r="280" spans="47:57" x14ac:dyDescent="0.15">
      <c r="AU280" s="92">
        <v>8130</v>
      </c>
      <c r="AY280" s="31">
        <f t="shared" si="62"/>
        <v>0.14285714285714285</v>
      </c>
      <c r="AZ280" s="31">
        <f t="shared" si="63"/>
        <v>7.1428571428571425E-2</v>
      </c>
      <c r="BA280" s="31">
        <f t="shared" si="57"/>
        <v>0</v>
      </c>
      <c r="BB280" s="31">
        <f t="shared" si="58"/>
        <v>0</v>
      </c>
      <c r="BC280" s="31">
        <f t="shared" si="59"/>
        <v>0</v>
      </c>
      <c r="BD280" s="31">
        <f t="shared" si="60"/>
        <v>1148.5714285714319</v>
      </c>
      <c r="BE280" s="31">
        <f t="shared" si="61"/>
        <v>570.00000000000171</v>
      </c>
    </row>
    <row r="281" spans="47:57" x14ac:dyDescent="0.15">
      <c r="AU281" s="92">
        <v>8160</v>
      </c>
      <c r="AY281" s="31">
        <f t="shared" si="62"/>
        <v>0.14285714285714285</v>
      </c>
      <c r="AZ281" s="31">
        <f t="shared" si="63"/>
        <v>7.1428571428571425E-2</v>
      </c>
      <c r="BA281" s="31">
        <f t="shared" ref="BA281:BA309" si="64">IF($AU282="",BA280,($AU282-$AU281)*AV281+BA280)</f>
        <v>0</v>
      </c>
      <c r="BB281" s="31">
        <f t="shared" ref="BB281:BB309" si="65">IF($AU282="",BB280,($AU282-$AU281)*AW281+BB280)</f>
        <v>0</v>
      </c>
      <c r="BC281" s="31">
        <f t="shared" ref="BC281:BC309" si="66">IF($AU282="",BC280,($AU282-$AU281)*AX281+BC280)</f>
        <v>0</v>
      </c>
      <c r="BD281" s="31">
        <f t="shared" ref="BD281:BD309" si="67">IF($AU282="",BD280,($AU282-$AU281)*AY281+BD280)</f>
        <v>1152.8571428571461</v>
      </c>
      <c r="BE281" s="31">
        <f t="shared" ref="BE281:BE309" si="68">IF($AU282="",BE280,($AU282-$AU281)*AZ281+BE280)</f>
        <v>572.14285714285882</v>
      </c>
    </row>
    <row r="282" spans="47:57" x14ac:dyDescent="0.15">
      <c r="AU282" s="92">
        <v>8190</v>
      </c>
      <c r="AY282" s="31">
        <f t="shared" si="62"/>
        <v>0.14285714285714285</v>
      </c>
      <c r="AZ282" s="31">
        <f t="shared" si="63"/>
        <v>7.1428571428571425E-2</v>
      </c>
      <c r="BA282" s="31">
        <f t="shared" si="64"/>
        <v>0</v>
      </c>
      <c r="BB282" s="31">
        <f t="shared" si="65"/>
        <v>0</v>
      </c>
      <c r="BC282" s="31">
        <f t="shared" si="66"/>
        <v>0</v>
      </c>
      <c r="BD282" s="31">
        <f t="shared" si="67"/>
        <v>1157.1428571428603</v>
      </c>
      <c r="BE282" s="31">
        <f t="shared" si="68"/>
        <v>574.28571428571593</v>
      </c>
    </row>
    <row r="283" spans="47:57" x14ac:dyDescent="0.15">
      <c r="AU283" s="92">
        <v>8220</v>
      </c>
      <c r="AY283" s="31">
        <f t="shared" si="62"/>
        <v>0.14285714285714285</v>
      </c>
      <c r="AZ283" s="31">
        <f t="shared" si="63"/>
        <v>7.1428571428571425E-2</v>
      </c>
      <c r="BA283" s="31">
        <f t="shared" si="64"/>
        <v>0</v>
      </c>
      <c r="BB283" s="31">
        <f t="shared" si="65"/>
        <v>0</v>
      </c>
      <c r="BC283" s="31">
        <f t="shared" si="66"/>
        <v>0</v>
      </c>
      <c r="BD283" s="31">
        <f t="shared" si="67"/>
        <v>1161.4285714285745</v>
      </c>
      <c r="BE283" s="31">
        <f t="shared" si="68"/>
        <v>576.42857142857304</v>
      </c>
    </row>
    <row r="284" spans="47:57" x14ac:dyDescent="0.15">
      <c r="AU284" s="92">
        <v>8250</v>
      </c>
      <c r="AY284" s="31">
        <f t="shared" si="62"/>
        <v>0.14285714285714285</v>
      </c>
      <c r="AZ284" s="31">
        <f t="shared" si="63"/>
        <v>7.1428571428571425E-2</v>
      </c>
      <c r="BA284" s="31">
        <f t="shared" si="64"/>
        <v>0</v>
      </c>
      <c r="BB284" s="31">
        <f t="shared" si="65"/>
        <v>0</v>
      </c>
      <c r="BC284" s="31">
        <f t="shared" si="66"/>
        <v>0</v>
      </c>
      <c r="BD284" s="31">
        <f t="shared" si="67"/>
        <v>1165.7142857142887</v>
      </c>
      <c r="BE284" s="31">
        <f t="shared" si="68"/>
        <v>578.57142857143015</v>
      </c>
    </row>
    <row r="285" spans="47:57" x14ac:dyDescent="0.15">
      <c r="AU285" s="92">
        <v>8280</v>
      </c>
      <c r="AY285" s="31">
        <f t="shared" si="62"/>
        <v>0.14285714285714285</v>
      </c>
      <c r="AZ285" s="31">
        <f t="shared" si="63"/>
        <v>7.1428571428571425E-2</v>
      </c>
      <c r="BA285" s="31">
        <f t="shared" si="64"/>
        <v>0</v>
      </c>
      <c r="BB285" s="31">
        <f t="shared" si="65"/>
        <v>0</v>
      </c>
      <c r="BC285" s="31">
        <f t="shared" si="66"/>
        <v>0</v>
      </c>
      <c r="BD285" s="31">
        <f t="shared" si="67"/>
        <v>1170.000000000003</v>
      </c>
      <c r="BE285" s="31">
        <f t="shared" si="68"/>
        <v>580.71428571428726</v>
      </c>
    </row>
    <row r="286" spans="47:57" x14ac:dyDescent="0.15">
      <c r="AU286" s="92">
        <v>8310</v>
      </c>
      <c r="AY286" s="31">
        <f t="shared" si="62"/>
        <v>0.14285714285714285</v>
      </c>
      <c r="AZ286" s="31">
        <f t="shared" si="63"/>
        <v>7.1428571428571425E-2</v>
      </c>
      <c r="BA286" s="31">
        <f t="shared" si="64"/>
        <v>0</v>
      </c>
      <c r="BB286" s="31">
        <f t="shared" si="65"/>
        <v>0</v>
      </c>
      <c r="BC286" s="31">
        <f t="shared" si="66"/>
        <v>0</v>
      </c>
      <c r="BD286" s="31">
        <f t="shared" si="67"/>
        <v>1174.2857142857172</v>
      </c>
      <c r="BE286" s="31">
        <f t="shared" si="68"/>
        <v>582.85714285714437</v>
      </c>
    </row>
    <row r="287" spans="47:57" x14ac:dyDescent="0.15">
      <c r="AU287" s="92">
        <v>8340</v>
      </c>
      <c r="AY287" s="31">
        <f t="shared" si="62"/>
        <v>0.14285714285714285</v>
      </c>
      <c r="AZ287" s="31">
        <f t="shared" si="63"/>
        <v>7.1428571428571425E-2</v>
      </c>
      <c r="BA287" s="31">
        <f t="shared" si="64"/>
        <v>0</v>
      </c>
      <c r="BB287" s="31">
        <f t="shared" si="65"/>
        <v>0</v>
      </c>
      <c r="BC287" s="31">
        <f t="shared" si="66"/>
        <v>0</v>
      </c>
      <c r="BD287" s="31">
        <f t="shared" si="67"/>
        <v>1178.5714285714314</v>
      </c>
      <c r="BE287" s="31">
        <f t="shared" si="68"/>
        <v>585.00000000000148</v>
      </c>
    </row>
    <row r="288" spans="47:57" x14ac:dyDescent="0.15">
      <c r="AU288" s="92">
        <v>8370</v>
      </c>
      <c r="AY288" s="31">
        <f t="shared" si="62"/>
        <v>0.14285714285714285</v>
      </c>
      <c r="AZ288" s="31">
        <f t="shared" si="63"/>
        <v>7.1428571428571425E-2</v>
      </c>
      <c r="BA288" s="31">
        <f t="shared" si="64"/>
        <v>0</v>
      </c>
      <c r="BB288" s="31">
        <f t="shared" si="65"/>
        <v>0</v>
      </c>
      <c r="BC288" s="31">
        <f t="shared" si="66"/>
        <v>0</v>
      </c>
      <c r="BD288" s="31">
        <f t="shared" si="67"/>
        <v>1182.8571428571456</v>
      </c>
      <c r="BE288" s="31">
        <f t="shared" si="68"/>
        <v>587.14285714285859</v>
      </c>
    </row>
    <row r="289" spans="47:57" x14ac:dyDescent="0.15">
      <c r="AU289" s="92">
        <v>8400</v>
      </c>
      <c r="AY289" s="31">
        <f t="shared" si="62"/>
        <v>0.14285714285714285</v>
      </c>
      <c r="AZ289" s="31">
        <f t="shared" si="63"/>
        <v>7.1428571428571425E-2</v>
      </c>
      <c r="BA289" s="31">
        <f t="shared" si="64"/>
        <v>0</v>
      </c>
      <c r="BB289" s="31">
        <f t="shared" si="65"/>
        <v>0</v>
      </c>
      <c r="BC289" s="31">
        <f t="shared" si="66"/>
        <v>0</v>
      </c>
      <c r="BD289" s="31">
        <f t="shared" si="67"/>
        <v>1187.1428571428598</v>
      </c>
      <c r="BE289" s="31">
        <f t="shared" si="68"/>
        <v>589.2857142857157</v>
      </c>
    </row>
    <row r="290" spans="47:57" x14ac:dyDescent="0.15">
      <c r="AU290" s="92">
        <v>8430</v>
      </c>
      <c r="AY290" s="31">
        <f t="shared" si="62"/>
        <v>0.14285714285714285</v>
      </c>
      <c r="AZ290" s="31">
        <f t="shared" si="63"/>
        <v>7.1428571428571425E-2</v>
      </c>
      <c r="BA290" s="31">
        <f t="shared" si="64"/>
        <v>0</v>
      </c>
      <c r="BB290" s="31">
        <f t="shared" si="65"/>
        <v>0</v>
      </c>
      <c r="BC290" s="31">
        <f t="shared" si="66"/>
        <v>0</v>
      </c>
      <c r="BD290" s="31">
        <f t="shared" si="67"/>
        <v>1191.4285714285741</v>
      </c>
      <c r="BE290" s="31">
        <f t="shared" si="68"/>
        <v>591.42857142857281</v>
      </c>
    </row>
    <row r="291" spans="47:57" x14ac:dyDescent="0.15">
      <c r="AU291" s="92">
        <v>8460</v>
      </c>
      <c r="AY291" s="31">
        <f t="shared" si="62"/>
        <v>0.14285714285714285</v>
      </c>
      <c r="AZ291" s="31">
        <f t="shared" si="63"/>
        <v>7.1428571428571425E-2</v>
      </c>
      <c r="BA291" s="31">
        <f t="shared" si="64"/>
        <v>0</v>
      </c>
      <c r="BB291" s="31">
        <f t="shared" si="65"/>
        <v>0</v>
      </c>
      <c r="BC291" s="31">
        <f t="shared" si="66"/>
        <v>0</v>
      </c>
      <c r="BD291" s="31">
        <f t="shared" si="67"/>
        <v>1195.7142857142883</v>
      </c>
      <c r="BE291" s="31">
        <f t="shared" si="68"/>
        <v>593.57142857142992</v>
      </c>
    </row>
    <row r="292" spans="47:57" x14ac:dyDescent="0.15">
      <c r="AU292" s="92">
        <v>8490</v>
      </c>
      <c r="AY292" s="31">
        <f t="shared" si="62"/>
        <v>0.14285714285714285</v>
      </c>
      <c r="AZ292" s="31">
        <f t="shared" si="63"/>
        <v>7.1428571428571425E-2</v>
      </c>
      <c r="BA292" s="31">
        <f t="shared" si="64"/>
        <v>0</v>
      </c>
      <c r="BB292" s="31">
        <f t="shared" si="65"/>
        <v>0</v>
      </c>
      <c r="BC292" s="31">
        <f t="shared" si="66"/>
        <v>0</v>
      </c>
      <c r="BD292" s="31">
        <f t="shared" si="67"/>
        <v>1200.0000000000025</v>
      </c>
      <c r="BE292" s="31">
        <f t="shared" si="68"/>
        <v>595.71428571428703</v>
      </c>
    </row>
    <row r="293" spans="47:57" x14ac:dyDescent="0.15">
      <c r="AU293" s="92">
        <v>8520</v>
      </c>
      <c r="AY293" s="31">
        <f t="shared" si="62"/>
        <v>0.14285714285714285</v>
      </c>
      <c r="AZ293" s="31">
        <f t="shared" si="63"/>
        <v>7.1428571428571425E-2</v>
      </c>
      <c r="BA293" s="31">
        <f t="shared" si="64"/>
        <v>0</v>
      </c>
      <c r="BB293" s="31">
        <f t="shared" si="65"/>
        <v>0</v>
      </c>
      <c r="BC293" s="31">
        <f t="shared" si="66"/>
        <v>0</v>
      </c>
      <c r="BD293" s="31">
        <f t="shared" si="67"/>
        <v>1204.2857142857167</v>
      </c>
      <c r="BE293" s="31">
        <f t="shared" si="68"/>
        <v>597.85714285714414</v>
      </c>
    </row>
    <row r="294" spans="47:57" x14ac:dyDescent="0.15">
      <c r="AU294" s="92">
        <v>8550</v>
      </c>
      <c r="AY294" s="31">
        <f t="shared" si="62"/>
        <v>0.14285714285714285</v>
      </c>
      <c r="AZ294" s="31">
        <f t="shared" si="63"/>
        <v>7.1428571428571425E-2</v>
      </c>
      <c r="BA294" s="31">
        <f t="shared" si="64"/>
        <v>0</v>
      </c>
      <c r="BB294" s="31">
        <f t="shared" si="65"/>
        <v>0</v>
      </c>
      <c r="BC294" s="31">
        <f t="shared" si="66"/>
        <v>0</v>
      </c>
      <c r="BD294" s="31">
        <f t="shared" si="67"/>
        <v>1208.5714285714309</v>
      </c>
      <c r="BE294" s="31">
        <f t="shared" si="68"/>
        <v>600.00000000000125</v>
      </c>
    </row>
    <row r="295" spans="47:57" x14ac:dyDescent="0.15">
      <c r="AU295" s="92">
        <v>8580</v>
      </c>
      <c r="AY295" s="31">
        <f t="shared" si="62"/>
        <v>0.14285714285714285</v>
      </c>
      <c r="AZ295" s="31">
        <f t="shared" si="63"/>
        <v>7.1428571428571425E-2</v>
      </c>
      <c r="BA295" s="31">
        <f t="shared" si="64"/>
        <v>0</v>
      </c>
      <c r="BB295" s="31">
        <f t="shared" si="65"/>
        <v>0</v>
      </c>
      <c r="BC295" s="31">
        <f t="shared" si="66"/>
        <v>0</v>
      </c>
      <c r="BD295" s="31">
        <f t="shared" si="67"/>
        <v>1212.8571428571452</v>
      </c>
      <c r="BE295" s="31">
        <f t="shared" si="68"/>
        <v>602.14285714285836</v>
      </c>
    </row>
    <row r="296" spans="47:57" x14ac:dyDescent="0.15">
      <c r="AU296" s="92">
        <v>8610</v>
      </c>
      <c r="AY296" s="31">
        <f t="shared" si="62"/>
        <v>0.14285714285714285</v>
      </c>
      <c r="AZ296" s="31">
        <f t="shared" si="63"/>
        <v>7.1428571428571425E-2</v>
      </c>
      <c r="BA296" s="31">
        <f t="shared" si="64"/>
        <v>0</v>
      </c>
      <c r="BB296" s="31">
        <f t="shared" si="65"/>
        <v>0</v>
      </c>
      <c r="BC296" s="31">
        <f t="shared" si="66"/>
        <v>0</v>
      </c>
      <c r="BD296" s="31">
        <f t="shared" si="67"/>
        <v>1217.1428571428594</v>
      </c>
      <c r="BE296" s="31">
        <f t="shared" si="68"/>
        <v>604.28571428571547</v>
      </c>
    </row>
    <row r="297" spans="47:57" x14ac:dyDescent="0.15">
      <c r="AU297" s="92">
        <v>8640</v>
      </c>
      <c r="AY297" s="31">
        <f t="shared" si="62"/>
        <v>0.14285714285714285</v>
      </c>
      <c r="AZ297" s="31">
        <f t="shared" si="63"/>
        <v>7.1428571428571425E-2</v>
      </c>
      <c r="BA297" s="31">
        <f t="shared" si="64"/>
        <v>0</v>
      </c>
      <c r="BB297" s="31">
        <f t="shared" si="65"/>
        <v>0</v>
      </c>
      <c r="BC297" s="31">
        <f t="shared" si="66"/>
        <v>0</v>
      </c>
      <c r="BD297" s="31">
        <f t="shared" si="67"/>
        <v>1221.4285714285736</v>
      </c>
      <c r="BE297" s="31">
        <f t="shared" si="68"/>
        <v>606.42857142857258</v>
      </c>
    </row>
    <row r="298" spans="47:57" x14ac:dyDescent="0.15">
      <c r="AU298" s="92">
        <v>8670</v>
      </c>
      <c r="AY298" s="31">
        <f t="shared" si="62"/>
        <v>0.14285714285714285</v>
      </c>
      <c r="AZ298" s="31">
        <f t="shared" si="63"/>
        <v>7.1428571428571425E-2</v>
      </c>
      <c r="BA298" s="31">
        <f t="shared" si="64"/>
        <v>0</v>
      </c>
      <c r="BB298" s="31">
        <f t="shared" si="65"/>
        <v>0</v>
      </c>
      <c r="BC298" s="31">
        <f t="shared" si="66"/>
        <v>0</v>
      </c>
      <c r="BD298" s="31">
        <f t="shared" si="67"/>
        <v>1225.7142857142878</v>
      </c>
      <c r="BE298" s="31">
        <f t="shared" si="68"/>
        <v>608.57142857142969</v>
      </c>
    </row>
    <row r="299" spans="47:57" x14ac:dyDescent="0.15">
      <c r="AU299" s="92">
        <v>8700</v>
      </c>
      <c r="AY299" s="31">
        <f t="shared" si="62"/>
        <v>0.14285714285714285</v>
      </c>
      <c r="AZ299" s="31">
        <f t="shared" si="63"/>
        <v>7.1428571428571425E-2</v>
      </c>
      <c r="BA299" s="31">
        <f t="shared" si="64"/>
        <v>0</v>
      </c>
      <c r="BB299" s="31">
        <f t="shared" si="65"/>
        <v>0</v>
      </c>
      <c r="BC299" s="31">
        <f t="shared" si="66"/>
        <v>0</v>
      </c>
      <c r="BD299" s="31">
        <f t="shared" si="67"/>
        <v>1230.000000000002</v>
      </c>
      <c r="BE299" s="31">
        <f t="shared" si="68"/>
        <v>610.7142857142868</v>
      </c>
    </row>
    <row r="300" spans="47:57" x14ac:dyDescent="0.15">
      <c r="AU300" s="92">
        <v>8730</v>
      </c>
      <c r="AY300" s="31">
        <f t="shared" si="62"/>
        <v>0.14285714285714285</v>
      </c>
      <c r="AZ300" s="31">
        <f t="shared" si="63"/>
        <v>7.1428571428571425E-2</v>
      </c>
      <c r="BA300" s="31">
        <f t="shared" si="64"/>
        <v>0</v>
      </c>
      <c r="BB300" s="31">
        <f t="shared" si="65"/>
        <v>0</v>
      </c>
      <c r="BC300" s="31">
        <f t="shared" si="66"/>
        <v>0</v>
      </c>
      <c r="BD300" s="31">
        <f t="shared" si="67"/>
        <v>1234.2857142857163</v>
      </c>
      <c r="BE300" s="31">
        <f t="shared" si="68"/>
        <v>612.85714285714391</v>
      </c>
    </row>
    <row r="301" spans="47:57" x14ac:dyDescent="0.15">
      <c r="AU301" s="92">
        <v>8760</v>
      </c>
      <c r="AY301" s="31">
        <f t="shared" si="62"/>
        <v>0.14285714285714285</v>
      </c>
      <c r="AZ301" s="31">
        <f t="shared" si="63"/>
        <v>7.1428571428571425E-2</v>
      </c>
      <c r="BA301" s="31">
        <f t="shared" si="64"/>
        <v>0</v>
      </c>
      <c r="BB301" s="31">
        <f t="shared" si="65"/>
        <v>0</v>
      </c>
      <c r="BC301" s="31">
        <f t="shared" si="66"/>
        <v>0</v>
      </c>
      <c r="BD301" s="31">
        <f t="shared" si="67"/>
        <v>1238.5714285714305</v>
      </c>
      <c r="BE301" s="31">
        <f t="shared" si="68"/>
        <v>615.00000000000102</v>
      </c>
    </row>
    <row r="302" spans="47:57" x14ac:dyDescent="0.15">
      <c r="AU302" s="92">
        <v>8790</v>
      </c>
      <c r="AY302" s="31">
        <f t="shared" si="62"/>
        <v>0.14285714285714285</v>
      </c>
      <c r="AZ302" s="31">
        <f t="shared" si="63"/>
        <v>7.1428571428571425E-2</v>
      </c>
      <c r="BA302" s="31">
        <f t="shared" si="64"/>
        <v>0</v>
      </c>
      <c r="BB302" s="31">
        <f t="shared" si="65"/>
        <v>0</v>
      </c>
      <c r="BC302" s="31">
        <f t="shared" si="66"/>
        <v>0</v>
      </c>
      <c r="BD302" s="31">
        <f t="shared" si="67"/>
        <v>1242.8571428571447</v>
      </c>
      <c r="BE302" s="31">
        <f t="shared" si="68"/>
        <v>617.14285714285813</v>
      </c>
    </row>
    <row r="303" spans="47:57" x14ac:dyDescent="0.15">
      <c r="AU303" s="92">
        <v>8820</v>
      </c>
      <c r="AY303" s="31">
        <f t="shared" si="62"/>
        <v>0.14285714285714285</v>
      </c>
      <c r="AZ303" s="31">
        <f t="shared" si="63"/>
        <v>7.1428571428571425E-2</v>
      </c>
      <c r="BA303" s="31">
        <f t="shared" si="64"/>
        <v>0</v>
      </c>
      <c r="BB303" s="31">
        <f t="shared" si="65"/>
        <v>0</v>
      </c>
      <c r="BC303" s="31">
        <f t="shared" si="66"/>
        <v>0</v>
      </c>
      <c r="BD303" s="31">
        <f t="shared" si="67"/>
        <v>1247.1428571428589</v>
      </c>
      <c r="BE303" s="31">
        <f t="shared" si="68"/>
        <v>619.28571428571524</v>
      </c>
    </row>
    <row r="304" spans="47:57" x14ac:dyDescent="0.15">
      <c r="AU304" s="92">
        <v>8850</v>
      </c>
      <c r="AY304" s="31">
        <f t="shared" si="62"/>
        <v>0.14285714285714285</v>
      </c>
      <c r="AZ304" s="31">
        <f t="shared" si="63"/>
        <v>7.1428571428571425E-2</v>
      </c>
      <c r="BA304" s="31">
        <f t="shared" si="64"/>
        <v>0</v>
      </c>
      <c r="BB304" s="31">
        <f t="shared" si="65"/>
        <v>0</v>
      </c>
      <c r="BC304" s="31">
        <f t="shared" si="66"/>
        <v>0</v>
      </c>
      <c r="BD304" s="31">
        <f t="shared" si="67"/>
        <v>1251.4285714285732</v>
      </c>
      <c r="BE304" s="31">
        <f t="shared" si="68"/>
        <v>621.42857142857235</v>
      </c>
    </row>
    <row r="305" spans="47:57" x14ac:dyDescent="0.15">
      <c r="AU305" s="92">
        <v>8880</v>
      </c>
      <c r="AY305" s="31">
        <f t="shared" si="62"/>
        <v>0.14285714285714285</v>
      </c>
      <c r="AZ305" s="31">
        <f t="shared" si="63"/>
        <v>7.1428571428571425E-2</v>
      </c>
      <c r="BA305" s="31">
        <f t="shared" si="64"/>
        <v>0</v>
      </c>
      <c r="BB305" s="31">
        <f t="shared" si="65"/>
        <v>0</v>
      </c>
      <c r="BC305" s="31">
        <f t="shared" si="66"/>
        <v>0</v>
      </c>
      <c r="BD305" s="31">
        <f t="shared" si="67"/>
        <v>1255.7142857142874</v>
      </c>
      <c r="BE305" s="31">
        <f t="shared" si="68"/>
        <v>623.57142857142946</v>
      </c>
    </row>
    <row r="306" spans="47:57" x14ac:dyDescent="0.15">
      <c r="AU306" s="92">
        <v>8910</v>
      </c>
      <c r="AY306" s="31">
        <f t="shared" si="62"/>
        <v>0.14285714285714285</v>
      </c>
      <c r="AZ306" s="31">
        <f t="shared" si="63"/>
        <v>7.1428571428571425E-2</v>
      </c>
      <c r="BA306" s="31">
        <f t="shared" si="64"/>
        <v>0</v>
      </c>
      <c r="BB306" s="31">
        <f t="shared" si="65"/>
        <v>0</v>
      </c>
      <c r="BC306" s="31">
        <f t="shared" si="66"/>
        <v>0</v>
      </c>
      <c r="BD306" s="31">
        <f t="shared" si="67"/>
        <v>1260.0000000000016</v>
      </c>
      <c r="BE306" s="31">
        <f t="shared" si="68"/>
        <v>625.71428571428658</v>
      </c>
    </row>
    <row r="307" spans="47:57" x14ac:dyDescent="0.15">
      <c r="AU307" s="92">
        <v>8940</v>
      </c>
      <c r="AY307" s="31">
        <f t="shared" si="62"/>
        <v>0.14285714285714285</v>
      </c>
      <c r="AZ307" s="31">
        <f t="shared" si="63"/>
        <v>7.1428571428571425E-2</v>
      </c>
      <c r="BA307" s="31">
        <f t="shared" si="64"/>
        <v>0</v>
      </c>
      <c r="BB307" s="31">
        <f t="shared" si="65"/>
        <v>0</v>
      </c>
      <c r="BC307" s="31">
        <f t="shared" si="66"/>
        <v>0</v>
      </c>
      <c r="BD307" s="31">
        <f t="shared" si="67"/>
        <v>1264.2857142857158</v>
      </c>
      <c r="BE307" s="31">
        <f t="shared" si="68"/>
        <v>627.85714285714369</v>
      </c>
    </row>
    <row r="308" spans="47:57" x14ac:dyDescent="0.15">
      <c r="AU308" s="92">
        <v>8970</v>
      </c>
      <c r="AY308" s="31">
        <f t="shared" si="62"/>
        <v>0.14285714285714285</v>
      </c>
      <c r="AZ308" s="31">
        <f t="shared" si="63"/>
        <v>7.1428571428571425E-2</v>
      </c>
      <c r="BA308" s="31">
        <f t="shared" si="64"/>
        <v>0</v>
      </c>
      <c r="BB308" s="31">
        <f t="shared" si="65"/>
        <v>0</v>
      </c>
      <c r="BC308" s="31">
        <f t="shared" si="66"/>
        <v>0</v>
      </c>
      <c r="BD308" s="31">
        <f t="shared" si="67"/>
        <v>1268.57142857143</v>
      </c>
      <c r="BE308" s="31">
        <f t="shared" si="68"/>
        <v>630.0000000000008</v>
      </c>
    </row>
    <row r="309" spans="47:57" x14ac:dyDescent="0.15">
      <c r="AU309" s="92">
        <v>9000</v>
      </c>
      <c r="AY309" s="31">
        <f t="shared" si="62"/>
        <v>0.14285714285714285</v>
      </c>
      <c r="AZ309" s="31">
        <f t="shared" si="63"/>
        <v>7.1428571428571425E-2</v>
      </c>
      <c r="BA309" s="31">
        <f t="shared" si="64"/>
        <v>0</v>
      </c>
      <c r="BB309" s="31">
        <f t="shared" si="65"/>
        <v>0</v>
      </c>
      <c r="BC309" s="31">
        <f t="shared" si="66"/>
        <v>0</v>
      </c>
      <c r="BD309" s="31">
        <f t="shared" si="67"/>
        <v>1268.57142857143</v>
      </c>
      <c r="BE309" s="31">
        <f t="shared" si="68"/>
        <v>630.0000000000008</v>
      </c>
    </row>
  </sheetData>
  <mergeCells count="23">
    <mergeCell ref="R15:V15"/>
    <mergeCell ref="R41:V41"/>
    <mergeCell ref="R67:V67"/>
    <mergeCell ref="R93:V93"/>
    <mergeCell ref="R119:V119"/>
    <mergeCell ref="AO4:AP4"/>
    <mergeCell ref="AC93:AG93"/>
    <mergeCell ref="AC119:AG119"/>
    <mergeCell ref="AH15:AL15"/>
    <mergeCell ref="AH41:AL41"/>
    <mergeCell ref="AH67:AL67"/>
    <mergeCell ref="AH93:AL93"/>
    <mergeCell ref="AH119:AL119"/>
    <mergeCell ref="X15:AB15"/>
    <mergeCell ref="X41:AB41"/>
    <mergeCell ref="X67:AB67"/>
    <mergeCell ref="X93:AB93"/>
    <mergeCell ref="X119:AB119"/>
    <mergeCell ref="AV7:AZ7"/>
    <mergeCell ref="BA7:BE7"/>
    <mergeCell ref="AC15:AG15"/>
    <mergeCell ref="AC41:AG41"/>
    <mergeCell ref="AC67:AG67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B4:AN106"/>
  <sheetViews>
    <sheetView workbookViewId="0">
      <selection activeCell="C6" sqref="C6:C12"/>
    </sheetView>
  </sheetViews>
  <sheetFormatPr defaultRowHeight="12" x14ac:dyDescent="0.15"/>
  <cols>
    <col min="1" max="1" width="9" style="5"/>
    <col min="2" max="6" width="9" style="3"/>
    <col min="7" max="39" width="9" style="5"/>
    <col min="40" max="40" width="9" style="16"/>
    <col min="41" max="16384" width="9" style="5"/>
  </cols>
  <sheetData>
    <row r="4" spans="2:38" x14ac:dyDescent="0.15">
      <c r="B4" s="14"/>
      <c r="C4" s="14" t="s">
        <v>139</v>
      </c>
      <c r="D4" s="14"/>
      <c r="G4" s="3"/>
    </row>
    <row r="5" spans="2:38" x14ac:dyDescent="0.15">
      <c r="B5" s="14" t="s">
        <v>3</v>
      </c>
      <c r="C5" s="14" t="s">
        <v>4</v>
      </c>
      <c r="D5" s="14" t="s">
        <v>5</v>
      </c>
      <c r="G5" s="3"/>
      <c r="J5" s="158" t="s">
        <v>88</v>
      </c>
      <c r="K5" s="158"/>
      <c r="L5" s="158"/>
      <c r="M5" s="158"/>
      <c r="N5" s="158"/>
      <c r="P5" s="158" t="s">
        <v>89</v>
      </c>
      <c r="Q5" s="158"/>
      <c r="R5" s="158"/>
      <c r="S5" s="158"/>
      <c r="T5" s="158"/>
      <c r="Z5" s="158" t="s">
        <v>100</v>
      </c>
      <c r="AA5" s="158"/>
      <c r="AB5" s="158"/>
      <c r="AC5" s="158"/>
      <c r="AD5" s="158"/>
      <c r="AE5" s="15"/>
      <c r="AF5" s="7"/>
      <c r="AG5" s="13"/>
      <c r="AH5" s="158" t="s">
        <v>159</v>
      </c>
      <c r="AI5" s="158"/>
      <c r="AJ5" s="158"/>
      <c r="AK5" s="158"/>
      <c r="AL5" s="158"/>
    </row>
    <row r="6" spans="2:38" x14ac:dyDescent="0.15">
      <c r="B6" s="14">
        <v>1</v>
      </c>
      <c r="C6" s="14">
        <v>1</v>
      </c>
      <c r="D6" s="14">
        <f>SUM($C$6:C6)</f>
        <v>1</v>
      </c>
      <c r="G6" s="3"/>
      <c r="I6" s="5" t="s">
        <v>95</v>
      </c>
      <c r="J6" s="13" t="s">
        <v>84</v>
      </c>
      <c r="K6" s="13" t="s">
        <v>85</v>
      </c>
      <c r="L6" s="13" t="s">
        <v>86</v>
      </c>
      <c r="M6" s="13" t="s">
        <v>0</v>
      </c>
      <c r="N6" s="13" t="s">
        <v>87</v>
      </c>
      <c r="P6" s="13" t="s">
        <v>84</v>
      </c>
      <c r="Q6" s="13" t="s">
        <v>85</v>
      </c>
      <c r="R6" s="13" t="s">
        <v>86</v>
      </c>
      <c r="S6" s="13" t="s">
        <v>0</v>
      </c>
      <c r="T6" s="13" t="s">
        <v>87</v>
      </c>
      <c r="V6" s="13" t="s">
        <v>101</v>
      </c>
      <c r="W6" s="13" t="s">
        <v>90</v>
      </c>
      <c r="X6" s="13" t="s">
        <v>94</v>
      </c>
      <c r="Z6" s="13" t="s">
        <v>84</v>
      </c>
      <c r="AA6" s="13" t="s">
        <v>85</v>
      </c>
      <c r="AB6" s="13" t="s">
        <v>86</v>
      </c>
      <c r="AC6" s="13" t="s">
        <v>0</v>
      </c>
      <c r="AD6" s="13" t="s">
        <v>87</v>
      </c>
      <c r="AE6" s="13" t="s">
        <v>93</v>
      </c>
      <c r="AG6" s="13" t="s">
        <v>99</v>
      </c>
      <c r="AH6" s="13" t="s">
        <v>102</v>
      </c>
      <c r="AI6" s="13" t="s">
        <v>103</v>
      </c>
      <c r="AJ6" s="13" t="s">
        <v>104</v>
      </c>
      <c r="AK6" s="13" t="s">
        <v>105</v>
      </c>
      <c r="AL6" s="13" t="s">
        <v>106</v>
      </c>
    </row>
    <row r="7" spans="2:38" x14ac:dyDescent="0.15">
      <c r="B7" s="14">
        <v>2</v>
      </c>
      <c r="C7" s="14">
        <v>1</v>
      </c>
      <c r="D7" s="14">
        <f>SUM($C$6:C7)</f>
        <v>2</v>
      </c>
      <c r="G7" s="3"/>
      <c r="J7" s="13"/>
      <c r="K7" s="13">
        <v>5</v>
      </c>
      <c r="L7" s="13">
        <v>1</v>
      </c>
      <c r="M7" s="13"/>
      <c r="N7" s="13"/>
      <c r="P7" s="13"/>
      <c r="Q7" s="13">
        <v>0</v>
      </c>
      <c r="R7" s="13">
        <v>0</v>
      </c>
      <c r="S7" s="13"/>
      <c r="T7" s="13"/>
      <c r="V7" s="13">
        <v>6</v>
      </c>
      <c r="W7" s="13">
        <f>INDEX(节奏总纲!P:P,MATCH(V7,节奏总纲!O:O,0))</f>
        <v>0.51571656651039799</v>
      </c>
      <c r="X7" s="13">
        <f>W7</f>
        <v>0.51571656651039799</v>
      </c>
      <c r="Z7" s="13">
        <f t="shared" ref="Z7:Z20" si="0">J7*INDEX($D$19:$D$26,P7+1,1)</f>
        <v>0</v>
      </c>
      <c r="AA7" s="13">
        <f t="shared" ref="AA7:AA20" si="1">K7*INDEX($D$19:$D$26,Q7+1,1)</f>
        <v>5</v>
      </c>
      <c r="AB7" s="13">
        <f t="shared" ref="AB7:AB20" si="2">L7*INDEX($D$19:$D$26,R7+1,1)</f>
        <v>1</v>
      </c>
      <c r="AC7" s="13">
        <f t="shared" ref="AC7:AC20" si="3">M7*INDEX($D$19:$D$26,S7+1,1)</f>
        <v>0</v>
      </c>
      <c r="AD7" s="13">
        <f t="shared" ref="AD7:AD20" si="4">N7*INDEX($D$19:$D$26,T7+1,1)</f>
        <v>0</v>
      </c>
      <c r="AE7" s="13">
        <f t="shared" ref="AE7:AE20" si="5">SUMPRODUCT(Z7:AD7,$C$35:$G$35)</f>
        <v>1000</v>
      </c>
      <c r="AG7" s="13">
        <v>1</v>
      </c>
      <c r="AH7" s="13">
        <f>求节点($V$7:$V$20,$AE$7:$AE$20,AG7)</f>
        <v>166.66666666666674</v>
      </c>
      <c r="AI7" s="13">
        <f>求节点($V$27:$V$39,$AE$27:$AE$39,AG7)</f>
        <v>333.33333333333348</v>
      </c>
      <c r="AJ7" s="13">
        <f>求节点($V$43:$V$54,$AE$43:$AE$54,AG7)</f>
        <v>450</v>
      </c>
      <c r="AK7" s="13">
        <f>求节点($V$58:$V$68,$AE$58:$AE$68,AG7)</f>
        <v>500</v>
      </c>
      <c r="AL7" s="13">
        <f>求节点($V$72:$V$80,$AE$72:$AE$80,AG7)</f>
        <v>1500</v>
      </c>
    </row>
    <row r="8" spans="2:38" x14ac:dyDescent="0.15">
      <c r="B8" s="14">
        <v>3</v>
      </c>
      <c r="C8" s="14">
        <v>1</v>
      </c>
      <c r="D8" s="14">
        <f>SUM($C$6:C8)</f>
        <v>3</v>
      </c>
      <c r="J8" s="13"/>
      <c r="K8" s="13"/>
      <c r="L8" s="13">
        <v>5</v>
      </c>
      <c r="M8" s="13">
        <v>1</v>
      </c>
      <c r="N8" s="13"/>
      <c r="P8" s="13"/>
      <c r="Q8" s="13"/>
      <c r="R8" s="13">
        <v>0</v>
      </c>
      <c r="S8" s="13">
        <v>0</v>
      </c>
      <c r="T8" s="13"/>
      <c r="V8" s="13">
        <v>20</v>
      </c>
      <c r="W8" s="13">
        <f>INDEX(节奏总纲!P:P,MATCH(V8,节奏总纲!O:O,0))</f>
        <v>3</v>
      </c>
      <c r="X8" s="13">
        <f t="shared" ref="X8:X14" si="6">W8-W7</f>
        <v>2.484283433489602</v>
      </c>
      <c r="Z8" s="13">
        <f t="shared" si="0"/>
        <v>0</v>
      </c>
      <c r="AA8" s="13">
        <f t="shared" si="1"/>
        <v>0</v>
      </c>
      <c r="AB8" s="13">
        <f t="shared" si="2"/>
        <v>5</v>
      </c>
      <c r="AC8" s="13">
        <f t="shared" si="3"/>
        <v>1</v>
      </c>
      <c r="AD8" s="13">
        <f t="shared" si="4"/>
        <v>0</v>
      </c>
      <c r="AE8" s="13">
        <f t="shared" si="5"/>
        <v>5000</v>
      </c>
      <c r="AG8" s="13">
        <v>2</v>
      </c>
      <c r="AH8" s="13">
        <f t="shared" ref="AH8:AH71" si="7">求节点($V$7:$V$20,$AE$7:$AE$20,AG8)</f>
        <v>333.33333333333337</v>
      </c>
      <c r="AI8" s="13">
        <f t="shared" ref="AI8:AI71" si="8">求节点($V$27:$V$39,$AE$27:$AE$39,AG8)</f>
        <v>666.66666666666674</v>
      </c>
      <c r="AJ8" s="13">
        <f t="shared" ref="AJ8:AJ71" si="9">求节点($V$43:$V$54,$AE$43:$AE$54,AG8)</f>
        <v>900</v>
      </c>
      <c r="AK8" s="13">
        <f t="shared" ref="AK8:AK71" si="10">求节点($V$58:$V$68,$AE$58:$AE$68,AG8)</f>
        <v>1000</v>
      </c>
      <c r="AL8" s="13">
        <f t="shared" ref="AL8:AL71" si="11">求节点($V$72:$V$80,$AE$72:$AE$80,AG8)</f>
        <v>3000</v>
      </c>
    </row>
    <row r="9" spans="2:38" x14ac:dyDescent="0.15">
      <c r="B9" s="14">
        <v>4</v>
      </c>
      <c r="C9" s="14">
        <v>2</v>
      </c>
      <c r="D9" s="14">
        <f>SUM($C$6:C9)</f>
        <v>5</v>
      </c>
      <c r="J9" s="13"/>
      <c r="K9" s="13"/>
      <c r="L9" s="13">
        <v>3</v>
      </c>
      <c r="M9" s="13">
        <v>3</v>
      </c>
      <c r="N9" s="13"/>
      <c r="P9" s="13"/>
      <c r="Q9" s="13"/>
      <c r="R9" s="13">
        <v>1</v>
      </c>
      <c r="S9" s="13">
        <v>0</v>
      </c>
      <c r="T9" s="13"/>
      <c r="V9" s="13">
        <v>30</v>
      </c>
      <c r="W9" s="13">
        <f>INDEX(节奏总纲!P:P,MATCH(V9,节奏总纲!O:O,0))</f>
        <v>7</v>
      </c>
      <c r="X9" s="13">
        <f t="shared" si="6"/>
        <v>4</v>
      </c>
      <c r="Z9" s="13">
        <f t="shared" si="0"/>
        <v>0</v>
      </c>
      <c r="AA9" s="13">
        <f t="shared" si="1"/>
        <v>0</v>
      </c>
      <c r="AB9" s="13">
        <f t="shared" si="2"/>
        <v>6</v>
      </c>
      <c r="AC9" s="13">
        <f t="shared" si="3"/>
        <v>3</v>
      </c>
      <c r="AD9" s="13">
        <f t="shared" si="4"/>
        <v>0</v>
      </c>
      <c r="AE9" s="13">
        <f t="shared" si="5"/>
        <v>10500</v>
      </c>
      <c r="AG9" s="13">
        <v>3</v>
      </c>
      <c r="AH9" s="13">
        <f t="shared" si="7"/>
        <v>500</v>
      </c>
      <c r="AI9" s="13">
        <f t="shared" si="8"/>
        <v>1000</v>
      </c>
      <c r="AJ9" s="13">
        <f t="shared" si="9"/>
        <v>1350</v>
      </c>
      <c r="AK9" s="13">
        <f t="shared" si="10"/>
        <v>1500</v>
      </c>
      <c r="AL9" s="13">
        <f t="shared" si="11"/>
        <v>4500</v>
      </c>
    </row>
    <row r="10" spans="2:38" x14ac:dyDescent="0.15">
      <c r="B10" s="14">
        <v>5</v>
      </c>
      <c r="C10" s="14">
        <v>2</v>
      </c>
      <c r="D10" s="14">
        <f>SUM($C$6:C10)</f>
        <v>7</v>
      </c>
      <c r="J10" s="13"/>
      <c r="K10" s="13"/>
      <c r="L10" s="13">
        <v>1</v>
      </c>
      <c r="M10" s="13">
        <v>5</v>
      </c>
      <c r="N10" s="13"/>
      <c r="P10" s="13"/>
      <c r="Q10" s="13"/>
      <c r="R10" s="13">
        <v>3</v>
      </c>
      <c r="S10" s="13">
        <v>0</v>
      </c>
      <c r="T10" s="13"/>
      <c r="V10" s="13">
        <v>35</v>
      </c>
      <c r="W10" s="13">
        <f>INDEX(节奏总纲!P:P,MATCH(V10,节奏总纲!O:O,0))</f>
        <v>10.313708498984759</v>
      </c>
      <c r="X10" s="13">
        <f t="shared" si="6"/>
        <v>3.3137084989847594</v>
      </c>
      <c r="Z10" s="13">
        <f t="shared" si="0"/>
        <v>0</v>
      </c>
      <c r="AA10" s="13">
        <f t="shared" si="1"/>
        <v>0</v>
      </c>
      <c r="AB10" s="13">
        <f t="shared" si="2"/>
        <v>4</v>
      </c>
      <c r="AC10" s="13">
        <f t="shared" si="3"/>
        <v>5</v>
      </c>
      <c r="AD10" s="13">
        <f t="shared" si="4"/>
        <v>0</v>
      </c>
      <c r="AE10" s="13">
        <f t="shared" si="5"/>
        <v>14500</v>
      </c>
      <c r="AG10" s="13">
        <v>4</v>
      </c>
      <c r="AH10" s="13">
        <f t="shared" si="7"/>
        <v>666.66666666666674</v>
      </c>
      <c r="AI10" s="13">
        <f t="shared" si="8"/>
        <v>1333.3333333333335</v>
      </c>
      <c r="AJ10" s="13">
        <f t="shared" si="9"/>
        <v>1800</v>
      </c>
      <c r="AK10" s="13">
        <f t="shared" si="10"/>
        <v>2000</v>
      </c>
      <c r="AL10" s="13">
        <f t="shared" si="11"/>
        <v>6000</v>
      </c>
    </row>
    <row r="11" spans="2:38" x14ac:dyDescent="0.15">
      <c r="B11" s="14">
        <v>6</v>
      </c>
      <c r="C11" s="14">
        <v>2</v>
      </c>
      <c r="D11" s="14">
        <f>SUM($C$6:C11)</f>
        <v>9</v>
      </c>
      <c r="J11" s="13"/>
      <c r="K11" s="13"/>
      <c r="L11" s="13"/>
      <c r="M11" s="13">
        <v>6</v>
      </c>
      <c r="N11" s="13"/>
      <c r="P11" s="13"/>
      <c r="Q11" s="13"/>
      <c r="R11" s="13"/>
      <c r="S11" s="13">
        <v>0</v>
      </c>
      <c r="T11" s="13"/>
      <c r="V11" s="13">
        <v>38</v>
      </c>
      <c r="W11" s="13">
        <f>INDEX(节奏总纲!P:P,MATCH(V11,节奏总纲!O:O,0))</f>
        <v>12.928809012737984</v>
      </c>
      <c r="X11" s="13">
        <f t="shared" si="6"/>
        <v>2.6151005137532248</v>
      </c>
      <c r="Z11" s="13">
        <f t="shared" si="0"/>
        <v>0</v>
      </c>
      <c r="AA11" s="13">
        <f t="shared" si="1"/>
        <v>0</v>
      </c>
      <c r="AB11" s="13">
        <f t="shared" si="2"/>
        <v>0</v>
      </c>
      <c r="AC11" s="13">
        <f t="shared" si="3"/>
        <v>6</v>
      </c>
      <c r="AD11" s="13">
        <f t="shared" si="4"/>
        <v>0</v>
      </c>
      <c r="AE11" s="13">
        <f t="shared" si="5"/>
        <v>15000</v>
      </c>
      <c r="AG11" s="13">
        <v>5</v>
      </c>
      <c r="AH11" s="13">
        <f t="shared" si="7"/>
        <v>833.33333333333337</v>
      </c>
      <c r="AI11" s="13">
        <f t="shared" si="8"/>
        <v>1666.6666666666667</v>
      </c>
      <c r="AJ11" s="13">
        <f t="shared" si="9"/>
        <v>2250</v>
      </c>
      <c r="AK11" s="13">
        <f t="shared" si="10"/>
        <v>2500</v>
      </c>
      <c r="AL11" s="13">
        <f t="shared" si="11"/>
        <v>7500</v>
      </c>
    </row>
    <row r="12" spans="2:38" x14ac:dyDescent="0.15">
      <c r="B12" s="14">
        <v>7</v>
      </c>
      <c r="C12" s="14">
        <v>3</v>
      </c>
      <c r="D12" s="14">
        <f>SUM($C$6:C12)</f>
        <v>12</v>
      </c>
      <c r="J12" s="13"/>
      <c r="K12" s="13"/>
      <c r="L12" s="13"/>
      <c r="M12" s="13">
        <v>6</v>
      </c>
      <c r="N12" s="13"/>
      <c r="P12" s="13"/>
      <c r="Q12" s="13"/>
      <c r="R12" s="13"/>
      <c r="S12" s="13">
        <v>1</v>
      </c>
      <c r="T12" s="13"/>
      <c r="V12" s="13">
        <v>46</v>
      </c>
      <c r="W12" s="13">
        <f>INDEX(节奏总纲!P:P,MATCH(V12,节奏总纲!O:O,0))</f>
        <v>23.251465064166357</v>
      </c>
      <c r="X12" s="13">
        <f t="shared" si="6"/>
        <v>10.322656051428373</v>
      </c>
      <c r="Z12" s="13">
        <f t="shared" si="0"/>
        <v>0</v>
      </c>
      <c r="AA12" s="13">
        <f t="shared" si="1"/>
        <v>0</v>
      </c>
      <c r="AB12" s="13">
        <f t="shared" si="2"/>
        <v>0</v>
      </c>
      <c r="AC12" s="13">
        <f t="shared" si="3"/>
        <v>12</v>
      </c>
      <c r="AD12" s="13">
        <f t="shared" si="4"/>
        <v>0</v>
      </c>
      <c r="AE12" s="13">
        <f t="shared" si="5"/>
        <v>30000</v>
      </c>
      <c r="AG12" s="13">
        <v>6</v>
      </c>
      <c r="AH12" s="13">
        <f t="shared" si="7"/>
        <v>1000</v>
      </c>
      <c r="AI12" s="13">
        <f t="shared" si="8"/>
        <v>2000</v>
      </c>
      <c r="AJ12" s="13">
        <f t="shared" si="9"/>
        <v>2700</v>
      </c>
      <c r="AK12" s="13">
        <f t="shared" si="10"/>
        <v>3000</v>
      </c>
      <c r="AL12" s="13">
        <f t="shared" si="11"/>
        <v>9000</v>
      </c>
    </row>
    <row r="13" spans="2:38" x14ac:dyDescent="0.15">
      <c r="B13" s="14">
        <v>8</v>
      </c>
      <c r="C13" s="14">
        <v>3</v>
      </c>
      <c r="D13" s="14">
        <f>SUM($C$6:C13)</f>
        <v>15</v>
      </c>
      <c r="J13" s="13"/>
      <c r="K13" s="13"/>
      <c r="L13" s="13"/>
      <c r="M13" s="13">
        <v>6</v>
      </c>
      <c r="N13" s="13"/>
      <c r="P13" s="13"/>
      <c r="Q13" s="13"/>
      <c r="R13" s="13"/>
      <c r="S13" s="13">
        <v>3</v>
      </c>
      <c r="T13" s="13"/>
      <c r="V13" s="13">
        <v>58</v>
      </c>
      <c r="W13" s="13">
        <f>INDEX(节奏总纲!P:P,MATCH(V13,节奏总纲!O:O,0))</f>
        <v>54.715236050951923</v>
      </c>
      <c r="X13" s="13">
        <f t="shared" si="6"/>
        <v>31.463770986785565</v>
      </c>
      <c r="Z13" s="13">
        <f t="shared" si="0"/>
        <v>0</v>
      </c>
      <c r="AA13" s="13">
        <f t="shared" si="1"/>
        <v>0</v>
      </c>
      <c r="AB13" s="13">
        <f t="shared" si="2"/>
        <v>0</v>
      </c>
      <c r="AC13" s="13">
        <f t="shared" si="3"/>
        <v>24</v>
      </c>
      <c r="AD13" s="13">
        <f t="shared" si="4"/>
        <v>0</v>
      </c>
      <c r="AE13" s="13">
        <f t="shared" si="5"/>
        <v>60000</v>
      </c>
      <c r="AG13" s="13">
        <v>7</v>
      </c>
      <c r="AH13" s="13">
        <f t="shared" si="7"/>
        <v>1285.7142857142858</v>
      </c>
      <c r="AI13" s="13">
        <f t="shared" si="8"/>
        <v>2807.6923076923076</v>
      </c>
      <c r="AJ13" s="13">
        <f t="shared" si="9"/>
        <v>3150</v>
      </c>
      <c r="AK13" s="13">
        <f t="shared" si="10"/>
        <v>3500</v>
      </c>
      <c r="AL13" s="13">
        <f t="shared" si="11"/>
        <v>10500</v>
      </c>
    </row>
    <row r="14" spans="2:38" x14ac:dyDescent="0.15">
      <c r="J14" s="13"/>
      <c r="K14" s="13"/>
      <c r="L14" s="13"/>
      <c r="M14" s="13">
        <v>6</v>
      </c>
      <c r="N14" s="13"/>
      <c r="P14" s="13"/>
      <c r="Q14" s="13"/>
      <c r="R14" s="13"/>
      <c r="S14" s="13">
        <v>6</v>
      </c>
      <c r="T14" s="13"/>
      <c r="V14" s="13">
        <v>67</v>
      </c>
      <c r="W14" s="13">
        <f>INDEX(节奏总纲!P:P,MATCH(V14,节奏总纲!O:O,0))</f>
        <v>102.96830673359811</v>
      </c>
      <c r="X14" s="13">
        <f t="shared" si="6"/>
        <v>48.253070682646189</v>
      </c>
      <c r="Z14" s="13">
        <f t="shared" si="0"/>
        <v>0</v>
      </c>
      <c r="AA14" s="13">
        <f t="shared" si="1"/>
        <v>0</v>
      </c>
      <c r="AB14" s="13">
        <f t="shared" si="2"/>
        <v>0</v>
      </c>
      <c r="AC14" s="13">
        <f t="shared" si="3"/>
        <v>42</v>
      </c>
      <c r="AD14" s="13">
        <f t="shared" si="4"/>
        <v>0</v>
      </c>
      <c r="AE14" s="13">
        <f t="shared" si="5"/>
        <v>105000</v>
      </c>
      <c r="AG14" s="13">
        <v>8</v>
      </c>
      <c r="AH14" s="13">
        <f t="shared" si="7"/>
        <v>1571.4285714285716</v>
      </c>
      <c r="AI14" s="13">
        <f t="shared" si="8"/>
        <v>3615.3846153846152</v>
      </c>
      <c r="AJ14" s="13">
        <f t="shared" si="9"/>
        <v>3600</v>
      </c>
      <c r="AK14" s="13">
        <f t="shared" si="10"/>
        <v>4000</v>
      </c>
      <c r="AL14" s="13">
        <f t="shared" si="11"/>
        <v>12000</v>
      </c>
    </row>
    <row r="15" spans="2:38" x14ac:dyDescent="0.15">
      <c r="J15" s="13"/>
      <c r="K15" s="13"/>
      <c r="L15" s="13"/>
      <c r="M15" s="13"/>
      <c r="N15" s="13">
        <v>1</v>
      </c>
      <c r="P15" s="13"/>
      <c r="Q15" s="13"/>
      <c r="R15" s="13"/>
      <c r="S15" s="13"/>
      <c r="T15" s="13">
        <v>0</v>
      </c>
      <c r="V15" s="13">
        <v>68</v>
      </c>
      <c r="W15" s="13">
        <f>INDEX(节奏总纲!P:P,MATCH(V15,节奏总纲!O:O,0))</f>
        <v>110.43047210190386</v>
      </c>
      <c r="X15" s="13">
        <f t="shared" ref="X15:X20" si="12">W15-W14</f>
        <v>7.4621653683057474</v>
      </c>
      <c r="Z15" s="13">
        <f t="shared" si="0"/>
        <v>0</v>
      </c>
      <c r="AA15" s="13">
        <f t="shared" si="1"/>
        <v>0</v>
      </c>
      <c r="AB15" s="13">
        <f t="shared" si="2"/>
        <v>0</v>
      </c>
      <c r="AC15" s="13">
        <f t="shared" si="3"/>
        <v>0</v>
      </c>
      <c r="AD15" s="13">
        <f t="shared" si="4"/>
        <v>1</v>
      </c>
      <c r="AE15" s="13">
        <f t="shared" si="5"/>
        <v>25000</v>
      </c>
      <c r="AG15" s="13">
        <v>9</v>
      </c>
      <c r="AH15" s="13">
        <f t="shared" si="7"/>
        <v>1857.1428571428571</v>
      </c>
      <c r="AI15" s="13">
        <f t="shared" si="8"/>
        <v>4423.0769230769238</v>
      </c>
      <c r="AJ15" s="13">
        <f t="shared" si="9"/>
        <v>4240</v>
      </c>
      <c r="AK15" s="13">
        <f t="shared" si="10"/>
        <v>4500</v>
      </c>
      <c r="AL15" s="13">
        <f t="shared" si="11"/>
        <v>13500</v>
      </c>
    </row>
    <row r="16" spans="2:38" x14ac:dyDescent="0.15">
      <c r="J16" s="13"/>
      <c r="K16" s="13"/>
      <c r="L16" s="13"/>
      <c r="M16" s="13"/>
      <c r="N16" s="13">
        <v>2</v>
      </c>
      <c r="P16" s="13"/>
      <c r="Q16" s="13"/>
      <c r="R16" s="13"/>
      <c r="S16" s="13"/>
      <c r="T16" s="13">
        <v>0</v>
      </c>
      <c r="V16" s="13">
        <v>75</v>
      </c>
      <c r="W16" s="13">
        <f>INDEX(节奏总纲!P:P,MATCH(V16,节奏总纲!O:O,0))</f>
        <v>180.01933598375612</v>
      </c>
      <c r="X16" s="13">
        <f t="shared" si="12"/>
        <v>69.588863881852262</v>
      </c>
      <c r="Z16" s="13">
        <f t="shared" si="0"/>
        <v>0</v>
      </c>
      <c r="AA16" s="13">
        <f t="shared" si="1"/>
        <v>0</v>
      </c>
      <c r="AB16" s="13">
        <f t="shared" si="2"/>
        <v>0</v>
      </c>
      <c r="AC16" s="13">
        <f t="shared" si="3"/>
        <v>0</v>
      </c>
      <c r="AD16" s="13">
        <f t="shared" si="4"/>
        <v>2</v>
      </c>
      <c r="AE16" s="13">
        <f t="shared" si="5"/>
        <v>50000</v>
      </c>
      <c r="AG16" s="13">
        <v>10</v>
      </c>
      <c r="AH16" s="13">
        <f t="shared" si="7"/>
        <v>2142.8571428571431</v>
      </c>
      <c r="AI16" s="13">
        <f t="shared" si="8"/>
        <v>5230.7692307692305</v>
      </c>
      <c r="AJ16" s="13">
        <f t="shared" si="9"/>
        <v>4880</v>
      </c>
      <c r="AK16" s="13">
        <f t="shared" si="10"/>
        <v>5000</v>
      </c>
      <c r="AL16" s="13">
        <f t="shared" si="11"/>
        <v>15000</v>
      </c>
    </row>
    <row r="17" spans="2:38" x14ac:dyDescent="0.15">
      <c r="B17" s="14"/>
      <c r="C17" s="14" t="s">
        <v>140</v>
      </c>
      <c r="D17" s="14"/>
      <c r="J17" s="13"/>
      <c r="K17" s="13"/>
      <c r="L17" s="13"/>
      <c r="M17" s="13"/>
      <c r="N17" s="13">
        <v>3</v>
      </c>
      <c r="P17" s="13"/>
      <c r="Q17" s="13"/>
      <c r="R17" s="13"/>
      <c r="S17" s="13"/>
      <c r="T17" s="13">
        <v>0</v>
      </c>
      <c r="V17" s="13">
        <v>80</v>
      </c>
      <c r="W17" s="13">
        <f>INDEX(节奏总纲!P:P,MATCH(V17,节奏总纲!O:O,0))</f>
        <v>255</v>
      </c>
      <c r="X17" s="13">
        <f t="shared" si="12"/>
        <v>74.980664016243878</v>
      </c>
      <c r="Z17" s="13">
        <f t="shared" si="0"/>
        <v>0</v>
      </c>
      <c r="AA17" s="13">
        <f t="shared" si="1"/>
        <v>0</v>
      </c>
      <c r="AB17" s="13">
        <f t="shared" si="2"/>
        <v>0</v>
      </c>
      <c r="AC17" s="13">
        <f t="shared" si="3"/>
        <v>0</v>
      </c>
      <c r="AD17" s="13">
        <f t="shared" si="4"/>
        <v>3</v>
      </c>
      <c r="AE17" s="13">
        <f t="shared" si="5"/>
        <v>75000</v>
      </c>
      <c r="AG17" s="13">
        <v>11</v>
      </c>
      <c r="AH17" s="13">
        <f t="shared" si="7"/>
        <v>2428.5714285714284</v>
      </c>
      <c r="AI17" s="13">
        <f t="shared" si="8"/>
        <v>6038.461538461539</v>
      </c>
      <c r="AJ17" s="13">
        <f t="shared" si="9"/>
        <v>5520</v>
      </c>
      <c r="AK17" s="13">
        <f t="shared" si="10"/>
        <v>5307.6923076923076</v>
      </c>
      <c r="AL17" s="13">
        <f t="shared" si="11"/>
        <v>16500</v>
      </c>
    </row>
    <row r="18" spans="2:38" x14ac:dyDescent="0.15">
      <c r="B18" s="14" t="s">
        <v>6</v>
      </c>
      <c r="C18" s="14" t="s">
        <v>4</v>
      </c>
      <c r="D18" s="14" t="s">
        <v>5</v>
      </c>
      <c r="J18" s="13"/>
      <c r="K18" s="13"/>
      <c r="L18" s="13"/>
      <c r="M18" s="13"/>
      <c r="N18" s="13">
        <v>4</v>
      </c>
      <c r="P18" s="13"/>
      <c r="Q18" s="13"/>
      <c r="R18" s="13"/>
      <c r="S18" s="13"/>
      <c r="T18" s="13">
        <v>0</v>
      </c>
      <c r="V18" s="13">
        <v>84</v>
      </c>
      <c r="W18" s="13">
        <f>INDEX(节奏总纲!P:P,MATCH(V18,节奏总纲!O:O,0))</f>
        <v>336.79402515786086</v>
      </c>
      <c r="X18" s="13">
        <f t="shared" si="12"/>
        <v>81.794025157860858</v>
      </c>
      <c r="Z18" s="13">
        <f t="shared" si="0"/>
        <v>0</v>
      </c>
      <c r="AA18" s="13">
        <f t="shared" si="1"/>
        <v>0</v>
      </c>
      <c r="AB18" s="13">
        <f t="shared" si="2"/>
        <v>0</v>
      </c>
      <c r="AC18" s="13">
        <f t="shared" si="3"/>
        <v>0</v>
      </c>
      <c r="AD18" s="13">
        <f t="shared" si="4"/>
        <v>4</v>
      </c>
      <c r="AE18" s="13">
        <f t="shared" si="5"/>
        <v>100000</v>
      </c>
      <c r="AG18" s="13">
        <v>12</v>
      </c>
      <c r="AH18" s="13">
        <f t="shared" si="7"/>
        <v>2714.2857142857142</v>
      </c>
      <c r="AI18" s="13">
        <f t="shared" si="8"/>
        <v>6846.1538461538466</v>
      </c>
      <c r="AJ18" s="13">
        <f t="shared" si="9"/>
        <v>6160</v>
      </c>
      <c r="AK18" s="13">
        <f t="shared" si="10"/>
        <v>5615.3846153846152</v>
      </c>
      <c r="AL18" s="13">
        <f t="shared" si="11"/>
        <v>18000</v>
      </c>
    </row>
    <row r="19" spans="2:38" x14ac:dyDescent="0.15">
      <c r="B19" s="14">
        <v>0</v>
      </c>
      <c r="C19" s="14">
        <v>1</v>
      </c>
      <c r="D19" s="14">
        <f>SUM($C19:C$19)</f>
        <v>1</v>
      </c>
      <c r="J19" s="13"/>
      <c r="K19" s="13"/>
      <c r="L19" s="13"/>
      <c r="M19" s="13"/>
      <c r="N19" s="13">
        <v>5</v>
      </c>
      <c r="P19" s="13"/>
      <c r="Q19" s="13"/>
      <c r="R19" s="13"/>
      <c r="S19" s="13"/>
      <c r="T19" s="13">
        <v>0</v>
      </c>
      <c r="V19" s="13">
        <v>88</v>
      </c>
      <c r="W19" s="13">
        <f>INDEX(节奏总纲!P:P,MATCH(V19,节奏总纲!O:O,0))</f>
        <v>444.72188840761549</v>
      </c>
      <c r="X19" s="13">
        <f t="shared" si="12"/>
        <v>107.92786324975464</v>
      </c>
      <c r="Z19" s="13">
        <f t="shared" si="0"/>
        <v>0</v>
      </c>
      <c r="AA19" s="13">
        <f t="shared" si="1"/>
        <v>0</v>
      </c>
      <c r="AB19" s="13">
        <f t="shared" si="2"/>
        <v>0</v>
      </c>
      <c r="AC19" s="13">
        <f t="shared" si="3"/>
        <v>0</v>
      </c>
      <c r="AD19" s="13">
        <f t="shared" si="4"/>
        <v>5</v>
      </c>
      <c r="AE19" s="13">
        <f t="shared" si="5"/>
        <v>125000</v>
      </c>
      <c r="AG19" s="13">
        <v>13</v>
      </c>
      <c r="AH19" s="13">
        <f t="shared" si="7"/>
        <v>3000</v>
      </c>
      <c r="AI19" s="13">
        <f t="shared" si="8"/>
        <v>7653.8461538461543</v>
      </c>
      <c r="AJ19" s="13">
        <f t="shared" si="9"/>
        <v>6800</v>
      </c>
      <c r="AK19" s="13">
        <f t="shared" si="10"/>
        <v>5923.0769230769229</v>
      </c>
      <c r="AL19" s="13">
        <f t="shared" si="11"/>
        <v>19500</v>
      </c>
    </row>
    <row r="20" spans="2:38" x14ac:dyDescent="0.15">
      <c r="B20" s="14">
        <v>1</v>
      </c>
      <c r="C20" s="14">
        <v>1</v>
      </c>
      <c r="D20" s="14">
        <f>SUM($C$19:C20)</f>
        <v>2</v>
      </c>
      <c r="J20" s="13"/>
      <c r="K20" s="13"/>
      <c r="L20" s="13"/>
      <c r="M20" s="13"/>
      <c r="N20" s="13">
        <v>6</v>
      </c>
      <c r="P20" s="13"/>
      <c r="Q20" s="13"/>
      <c r="R20" s="13"/>
      <c r="S20" s="13"/>
      <c r="T20" s="13">
        <v>0</v>
      </c>
      <c r="V20" s="13">
        <v>91</v>
      </c>
      <c r="W20" s="13">
        <f>INDEX(节奏总纲!P:P,MATCH(V20,节奏总纲!O:O,0))</f>
        <v>547.74801281858208</v>
      </c>
      <c r="X20" s="13">
        <f t="shared" si="12"/>
        <v>103.02612441096659</v>
      </c>
      <c r="Z20" s="13">
        <f t="shared" si="0"/>
        <v>0</v>
      </c>
      <c r="AA20" s="13">
        <f t="shared" si="1"/>
        <v>0</v>
      </c>
      <c r="AB20" s="13">
        <f t="shared" si="2"/>
        <v>0</v>
      </c>
      <c r="AC20" s="13">
        <f t="shared" si="3"/>
        <v>0</v>
      </c>
      <c r="AD20" s="13">
        <f t="shared" si="4"/>
        <v>6</v>
      </c>
      <c r="AE20" s="13">
        <f t="shared" si="5"/>
        <v>150000</v>
      </c>
      <c r="AG20" s="13">
        <v>14</v>
      </c>
      <c r="AH20" s="13">
        <f t="shared" si="7"/>
        <v>3285.7142857142858</v>
      </c>
      <c r="AI20" s="13">
        <f t="shared" si="8"/>
        <v>8461.538461538461</v>
      </c>
      <c r="AJ20" s="13">
        <f t="shared" si="9"/>
        <v>7440</v>
      </c>
      <c r="AK20" s="13">
        <f t="shared" si="10"/>
        <v>6230.7692307692305</v>
      </c>
      <c r="AL20" s="13">
        <f t="shared" si="11"/>
        <v>21000</v>
      </c>
    </row>
    <row r="21" spans="2:38" x14ac:dyDescent="0.15">
      <c r="B21" s="14">
        <v>2</v>
      </c>
      <c r="C21" s="14">
        <v>1</v>
      </c>
      <c r="D21" s="14">
        <f>SUM($C$19:C21)</f>
        <v>3</v>
      </c>
      <c r="AG21" s="13">
        <v>15</v>
      </c>
      <c r="AH21" s="13">
        <f t="shared" si="7"/>
        <v>3571.4285714285716</v>
      </c>
      <c r="AI21" s="13">
        <f t="shared" si="8"/>
        <v>9269.2307692307695</v>
      </c>
      <c r="AJ21" s="13">
        <f t="shared" si="9"/>
        <v>8080</v>
      </c>
      <c r="AK21" s="13">
        <f t="shared" si="10"/>
        <v>6538.4615384615381</v>
      </c>
      <c r="AL21" s="13">
        <f t="shared" si="11"/>
        <v>22500</v>
      </c>
    </row>
    <row r="22" spans="2:38" x14ac:dyDescent="0.15">
      <c r="B22" s="14">
        <v>3</v>
      </c>
      <c r="C22" s="14">
        <v>1</v>
      </c>
      <c r="D22" s="14">
        <f>SUM($C$19:C22)</f>
        <v>4</v>
      </c>
      <c r="AG22" s="13">
        <v>16</v>
      </c>
      <c r="AH22" s="13">
        <f t="shared" si="7"/>
        <v>3857.1428571428573</v>
      </c>
      <c r="AI22" s="13">
        <f t="shared" si="8"/>
        <v>10076.923076923078</v>
      </c>
      <c r="AJ22" s="13">
        <f t="shared" si="9"/>
        <v>8720</v>
      </c>
      <c r="AK22" s="13">
        <f t="shared" si="10"/>
        <v>6846.1538461538457</v>
      </c>
      <c r="AL22" s="13">
        <f t="shared" si="11"/>
        <v>24000</v>
      </c>
    </row>
    <row r="23" spans="2:38" x14ac:dyDescent="0.15">
      <c r="B23" s="14">
        <v>4</v>
      </c>
      <c r="C23" s="14">
        <v>1</v>
      </c>
      <c r="D23" s="14">
        <f>SUM($C$19:C23)</f>
        <v>5</v>
      </c>
      <c r="AG23" s="13">
        <v>17</v>
      </c>
      <c r="AH23" s="13">
        <f t="shared" si="7"/>
        <v>4142.8571428571431</v>
      </c>
      <c r="AI23" s="13">
        <f t="shared" si="8"/>
        <v>10884.615384615385</v>
      </c>
      <c r="AJ23" s="13">
        <f t="shared" si="9"/>
        <v>9360</v>
      </c>
      <c r="AK23" s="13">
        <f t="shared" si="10"/>
        <v>7153.8461538461543</v>
      </c>
      <c r="AL23" s="13">
        <f t="shared" si="11"/>
        <v>25500</v>
      </c>
    </row>
    <row r="24" spans="2:38" x14ac:dyDescent="0.15">
      <c r="B24" s="14">
        <v>5</v>
      </c>
      <c r="C24" s="14">
        <v>1</v>
      </c>
      <c r="D24" s="14">
        <f>SUM($C$19:C24)</f>
        <v>6</v>
      </c>
      <c r="AG24" s="13">
        <v>18</v>
      </c>
      <c r="AH24" s="13">
        <f t="shared" si="7"/>
        <v>4428.5714285714284</v>
      </c>
      <c r="AI24" s="13">
        <f t="shared" si="8"/>
        <v>11692.307692307693</v>
      </c>
      <c r="AJ24" s="13">
        <f t="shared" si="9"/>
        <v>10000</v>
      </c>
      <c r="AK24" s="13">
        <f t="shared" si="10"/>
        <v>7461.538461538461</v>
      </c>
      <c r="AL24" s="13">
        <f t="shared" si="11"/>
        <v>27000</v>
      </c>
    </row>
    <row r="25" spans="2:38" x14ac:dyDescent="0.15">
      <c r="B25" s="14">
        <v>6</v>
      </c>
      <c r="C25" s="14">
        <v>1</v>
      </c>
      <c r="D25" s="14">
        <f>SUM($C$19:C25)</f>
        <v>7</v>
      </c>
      <c r="J25" s="158" t="s">
        <v>88</v>
      </c>
      <c r="K25" s="158"/>
      <c r="L25" s="158"/>
      <c r="M25" s="158"/>
      <c r="N25" s="158"/>
      <c r="P25" s="158" t="s">
        <v>89</v>
      </c>
      <c r="Q25" s="158"/>
      <c r="R25" s="158"/>
      <c r="S25" s="158"/>
      <c r="T25" s="158"/>
      <c r="Z25" s="158" t="s">
        <v>100</v>
      </c>
      <c r="AA25" s="158"/>
      <c r="AB25" s="158"/>
      <c r="AC25" s="158"/>
      <c r="AD25" s="158"/>
      <c r="AE25" s="15"/>
      <c r="AG25" s="13">
        <v>19</v>
      </c>
      <c r="AH25" s="13">
        <f t="shared" si="7"/>
        <v>4714.2857142857138</v>
      </c>
      <c r="AI25" s="13">
        <f t="shared" si="8"/>
        <v>12500</v>
      </c>
      <c r="AJ25" s="13">
        <f t="shared" si="9"/>
        <v>11136.363636363636</v>
      </c>
      <c r="AK25" s="13">
        <f t="shared" si="10"/>
        <v>7769.2307692307695</v>
      </c>
      <c r="AL25" s="13">
        <f t="shared" si="11"/>
        <v>28500</v>
      </c>
    </row>
    <row r="26" spans="2:38" x14ac:dyDescent="0.15">
      <c r="B26" s="14">
        <v>7</v>
      </c>
      <c r="C26" s="14">
        <v>1</v>
      </c>
      <c r="D26" s="14">
        <f>SUM($C$19:C26)</f>
        <v>8</v>
      </c>
      <c r="I26" s="5" t="s">
        <v>96</v>
      </c>
      <c r="J26" s="13" t="s">
        <v>84</v>
      </c>
      <c r="K26" s="13" t="s">
        <v>85</v>
      </c>
      <c r="L26" s="13" t="s">
        <v>86</v>
      </c>
      <c r="M26" s="13" t="s">
        <v>0</v>
      </c>
      <c r="N26" s="13" t="s">
        <v>87</v>
      </c>
      <c r="P26" s="13" t="s">
        <v>84</v>
      </c>
      <c r="Q26" s="13" t="s">
        <v>85</v>
      </c>
      <c r="R26" s="13" t="s">
        <v>86</v>
      </c>
      <c r="S26" s="13" t="s">
        <v>0</v>
      </c>
      <c r="T26" s="13" t="s">
        <v>87</v>
      </c>
      <c r="V26" s="13" t="s">
        <v>101</v>
      </c>
      <c r="W26" s="13" t="s">
        <v>90</v>
      </c>
      <c r="X26" s="13" t="s">
        <v>12</v>
      </c>
      <c r="Z26" s="13" t="s">
        <v>84</v>
      </c>
      <c r="AA26" s="13" t="s">
        <v>85</v>
      </c>
      <c r="AB26" s="13" t="s">
        <v>86</v>
      </c>
      <c r="AC26" s="13" t="s">
        <v>0</v>
      </c>
      <c r="AD26" s="13" t="s">
        <v>87</v>
      </c>
      <c r="AE26" s="13" t="s">
        <v>93</v>
      </c>
      <c r="AG26" s="13">
        <v>20</v>
      </c>
      <c r="AH26" s="13">
        <f t="shared" si="7"/>
        <v>5000</v>
      </c>
      <c r="AI26" s="13">
        <f t="shared" si="8"/>
        <v>13909.090909090908</v>
      </c>
      <c r="AJ26" s="13">
        <f t="shared" si="9"/>
        <v>12272.727272727272</v>
      </c>
      <c r="AK26" s="13">
        <f t="shared" si="10"/>
        <v>8076.9230769230762</v>
      </c>
      <c r="AL26" s="13">
        <f t="shared" si="11"/>
        <v>30000</v>
      </c>
    </row>
    <row r="27" spans="2:38" x14ac:dyDescent="0.15">
      <c r="J27" s="13"/>
      <c r="K27" s="13">
        <v>5</v>
      </c>
      <c r="L27" s="13">
        <v>1</v>
      </c>
      <c r="M27" s="13"/>
      <c r="N27" s="13"/>
      <c r="P27" s="13"/>
      <c r="Q27" s="13">
        <v>0</v>
      </c>
      <c r="R27" s="13">
        <v>0</v>
      </c>
      <c r="S27" s="13"/>
      <c r="T27" s="13"/>
      <c r="V27" s="13">
        <v>6</v>
      </c>
      <c r="W27" s="13">
        <f>INDEX(节奏总纲!Q:Q,MATCH(V27,节奏总纲!O:O,0))</f>
        <v>0.43939051466685908</v>
      </c>
      <c r="X27" s="13">
        <f>W27</f>
        <v>0.43939051466685908</v>
      </c>
      <c r="Z27" s="13">
        <f t="shared" ref="Z27:AD34" si="13">J27*INDEX($D$20:$D$26,P27+1,1)</f>
        <v>0</v>
      </c>
      <c r="AA27" s="13">
        <f t="shared" si="13"/>
        <v>10</v>
      </c>
      <c r="AB27" s="13">
        <f t="shared" si="13"/>
        <v>2</v>
      </c>
      <c r="AC27" s="13">
        <f t="shared" si="13"/>
        <v>0</v>
      </c>
      <c r="AD27" s="13">
        <f t="shared" si="13"/>
        <v>0</v>
      </c>
      <c r="AE27" s="13">
        <f t="shared" ref="AE27:AE39" si="14">SUMPRODUCT(Z27:AD27,$C$35:$G$35)</f>
        <v>2000</v>
      </c>
      <c r="AG27" s="13">
        <v>21</v>
      </c>
      <c r="AH27" s="13">
        <f t="shared" si="7"/>
        <v>5550</v>
      </c>
      <c r="AI27" s="13">
        <f t="shared" si="8"/>
        <v>15318.181818181818</v>
      </c>
      <c r="AJ27" s="13">
        <f t="shared" si="9"/>
        <v>13409.090909090908</v>
      </c>
      <c r="AK27" s="13">
        <f t="shared" si="10"/>
        <v>8384.6153846153848</v>
      </c>
      <c r="AL27" s="13">
        <f t="shared" si="11"/>
        <v>33000</v>
      </c>
    </row>
    <row r="28" spans="2:38" x14ac:dyDescent="0.15">
      <c r="B28" s="14"/>
      <c r="C28" s="14" t="s">
        <v>141</v>
      </c>
      <c r="D28" s="14"/>
      <c r="J28" s="13"/>
      <c r="K28" s="13"/>
      <c r="L28" s="13">
        <v>5</v>
      </c>
      <c r="M28" s="13">
        <v>1</v>
      </c>
      <c r="N28" s="13"/>
      <c r="P28" s="13"/>
      <c r="Q28" s="13"/>
      <c r="R28" s="13">
        <v>1</v>
      </c>
      <c r="S28" s="13">
        <v>0</v>
      </c>
      <c r="T28" s="13"/>
      <c r="V28" s="13">
        <v>19</v>
      </c>
      <c r="W28" s="13">
        <f>INDEX(节奏总纲!Q:Q,MATCH(V28,节奏总纲!O:O,0))</f>
        <v>2.3734030389920986</v>
      </c>
      <c r="X28" s="13">
        <f t="shared" ref="X28:X39" si="15">W28</f>
        <v>2.3734030389920986</v>
      </c>
      <c r="Z28" s="13">
        <f t="shared" si="13"/>
        <v>0</v>
      </c>
      <c r="AA28" s="13">
        <f t="shared" si="13"/>
        <v>0</v>
      </c>
      <c r="AB28" s="13">
        <f t="shared" si="13"/>
        <v>15</v>
      </c>
      <c r="AC28" s="13">
        <f t="shared" si="13"/>
        <v>2</v>
      </c>
      <c r="AD28" s="13">
        <f t="shared" si="13"/>
        <v>0</v>
      </c>
      <c r="AE28" s="13">
        <f t="shared" si="14"/>
        <v>12500</v>
      </c>
      <c r="AG28" s="13">
        <v>22</v>
      </c>
      <c r="AH28" s="13">
        <f t="shared" si="7"/>
        <v>6100</v>
      </c>
      <c r="AI28" s="13">
        <f t="shared" si="8"/>
        <v>16727.272727272728</v>
      </c>
      <c r="AJ28" s="13">
        <f t="shared" si="9"/>
        <v>14545.454545454544</v>
      </c>
      <c r="AK28" s="13">
        <f t="shared" si="10"/>
        <v>8692.3076923076915</v>
      </c>
      <c r="AL28" s="13">
        <f t="shared" si="11"/>
        <v>36000</v>
      </c>
    </row>
    <row r="29" spans="2:38" x14ac:dyDescent="0.15">
      <c r="B29" s="14" t="s">
        <v>13</v>
      </c>
      <c r="C29" s="14" t="s">
        <v>14</v>
      </c>
      <c r="D29" s="14" t="s">
        <v>15</v>
      </c>
      <c r="J29" s="13"/>
      <c r="K29" s="13"/>
      <c r="L29" s="13">
        <v>1</v>
      </c>
      <c r="M29" s="13">
        <v>5</v>
      </c>
      <c r="N29" s="13"/>
      <c r="P29" s="13"/>
      <c r="Q29" s="13"/>
      <c r="R29" s="13">
        <v>4</v>
      </c>
      <c r="S29" s="13">
        <v>0</v>
      </c>
      <c r="T29" s="13"/>
      <c r="V29" s="13">
        <v>30</v>
      </c>
      <c r="W29" s="13">
        <f>INDEX(节奏总纲!Q:Q,MATCH(V29,节奏总纲!O:O,0))</f>
        <v>6.1025999999999998</v>
      </c>
      <c r="X29" s="13">
        <f t="shared" si="15"/>
        <v>6.1025999999999998</v>
      </c>
      <c r="Z29" s="13">
        <f t="shared" si="13"/>
        <v>0</v>
      </c>
      <c r="AA29" s="13">
        <f t="shared" si="13"/>
        <v>0</v>
      </c>
      <c r="AB29" s="13">
        <f t="shared" si="13"/>
        <v>6</v>
      </c>
      <c r="AC29" s="13">
        <f t="shared" si="13"/>
        <v>10</v>
      </c>
      <c r="AD29" s="13">
        <f t="shared" si="13"/>
        <v>0</v>
      </c>
      <c r="AE29" s="13">
        <f t="shared" si="14"/>
        <v>28000</v>
      </c>
      <c r="AG29" s="13">
        <v>23</v>
      </c>
      <c r="AH29" s="13">
        <f t="shared" si="7"/>
        <v>6650</v>
      </c>
      <c r="AI29" s="13">
        <f t="shared" si="8"/>
        <v>18136.363636363636</v>
      </c>
      <c r="AJ29" s="13">
        <f t="shared" si="9"/>
        <v>15681.81818181818</v>
      </c>
      <c r="AK29" s="13">
        <f t="shared" si="10"/>
        <v>9000</v>
      </c>
      <c r="AL29" s="13">
        <f t="shared" si="11"/>
        <v>39000</v>
      </c>
    </row>
    <row r="30" spans="2:38" x14ac:dyDescent="0.15">
      <c r="B30" s="14">
        <v>1</v>
      </c>
      <c r="C30" s="14">
        <v>0</v>
      </c>
      <c r="D30" s="14">
        <v>0</v>
      </c>
      <c r="J30" s="13"/>
      <c r="K30" s="13"/>
      <c r="L30" s="13"/>
      <c r="M30" s="13">
        <v>6</v>
      </c>
      <c r="N30" s="13"/>
      <c r="P30" s="13"/>
      <c r="Q30" s="13"/>
      <c r="R30" s="13"/>
      <c r="S30" s="13">
        <v>0</v>
      </c>
      <c r="T30" s="13"/>
      <c r="V30" s="13">
        <v>38</v>
      </c>
      <c r="W30" s="13">
        <f>INDEX(节奏总纲!Q:Q,MATCH(V30,节奏总纲!O:O,0))</f>
        <v>11.292021791725356</v>
      </c>
      <c r="X30" s="13">
        <f t="shared" si="15"/>
        <v>11.292021791725356</v>
      </c>
      <c r="Z30" s="13">
        <f t="shared" si="13"/>
        <v>0</v>
      </c>
      <c r="AA30" s="13">
        <f t="shared" si="13"/>
        <v>0</v>
      </c>
      <c r="AB30" s="13">
        <f t="shared" si="13"/>
        <v>0</v>
      </c>
      <c r="AC30" s="13">
        <f t="shared" si="13"/>
        <v>12</v>
      </c>
      <c r="AD30" s="13">
        <f t="shared" si="13"/>
        <v>0</v>
      </c>
      <c r="AE30" s="13">
        <f t="shared" si="14"/>
        <v>30000</v>
      </c>
      <c r="AG30" s="13">
        <v>24</v>
      </c>
      <c r="AH30" s="13">
        <f t="shared" si="7"/>
        <v>7200</v>
      </c>
      <c r="AI30" s="13">
        <f t="shared" si="8"/>
        <v>19545.454545454544</v>
      </c>
      <c r="AJ30" s="13">
        <f t="shared" si="9"/>
        <v>16818.181818181816</v>
      </c>
      <c r="AK30" s="13">
        <f t="shared" si="10"/>
        <v>9666.6666666666661</v>
      </c>
      <c r="AL30" s="13">
        <f t="shared" si="11"/>
        <v>42000</v>
      </c>
    </row>
    <row r="31" spans="2:38" x14ac:dyDescent="0.15">
      <c r="B31" s="14">
        <v>2</v>
      </c>
      <c r="C31" s="14">
        <v>3</v>
      </c>
      <c r="D31" s="14">
        <v>3</v>
      </c>
      <c r="J31" s="13"/>
      <c r="K31" s="13"/>
      <c r="L31" s="13"/>
      <c r="M31" s="13">
        <v>6</v>
      </c>
      <c r="N31" s="13"/>
      <c r="P31" s="13"/>
      <c r="Q31" s="13"/>
      <c r="R31" s="13"/>
      <c r="S31" s="13">
        <v>1</v>
      </c>
      <c r="T31" s="13"/>
      <c r="V31" s="13">
        <v>46</v>
      </c>
      <c r="W31" s="13">
        <f>INDEX(节奏总纲!Q:Q,MATCH(V31,节奏总纲!O:O,0))</f>
        <v>20.310154733549314</v>
      </c>
      <c r="X31" s="13">
        <f t="shared" si="15"/>
        <v>20.310154733549314</v>
      </c>
      <c r="Z31" s="13">
        <f t="shared" si="13"/>
        <v>0</v>
      </c>
      <c r="AA31" s="13">
        <f t="shared" si="13"/>
        <v>0</v>
      </c>
      <c r="AB31" s="13">
        <f t="shared" si="13"/>
        <v>0</v>
      </c>
      <c r="AC31" s="13">
        <f t="shared" si="13"/>
        <v>18</v>
      </c>
      <c r="AD31" s="13">
        <f t="shared" si="13"/>
        <v>0</v>
      </c>
      <c r="AE31" s="13">
        <f t="shared" si="14"/>
        <v>45000</v>
      </c>
      <c r="AG31" s="13">
        <v>25</v>
      </c>
      <c r="AH31" s="13">
        <f t="shared" si="7"/>
        <v>7750</v>
      </c>
      <c r="AI31" s="13">
        <f t="shared" si="8"/>
        <v>20954.545454545456</v>
      </c>
      <c r="AJ31" s="13">
        <f t="shared" si="9"/>
        <v>17954.545454545456</v>
      </c>
      <c r="AK31" s="13">
        <f t="shared" si="10"/>
        <v>10333.333333333334</v>
      </c>
      <c r="AL31" s="13">
        <f t="shared" si="11"/>
        <v>45000</v>
      </c>
    </row>
    <row r="32" spans="2:38" x14ac:dyDescent="0.15">
      <c r="J32" s="13"/>
      <c r="K32" s="13"/>
      <c r="L32" s="13"/>
      <c r="M32" s="13">
        <v>6</v>
      </c>
      <c r="N32" s="13"/>
      <c r="P32" s="13"/>
      <c r="Q32" s="13"/>
      <c r="R32" s="13"/>
      <c r="S32" s="13">
        <v>3</v>
      </c>
      <c r="T32" s="13"/>
      <c r="V32" s="13">
        <v>58</v>
      </c>
      <c r="W32" s="13">
        <f>INDEX(节奏总纲!Q:Q,MATCH(V32,节奏总纲!O:O,0))</f>
        <v>47.459995750595695</v>
      </c>
      <c r="X32" s="13">
        <f t="shared" si="15"/>
        <v>47.459995750595695</v>
      </c>
      <c r="Z32" s="13">
        <f t="shared" si="13"/>
        <v>0</v>
      </c>
      <c r="AA32" s="13">
        <f t="shared" si="13"/>
        <v>0</v>
      </c>
      <c r="AB32" s="13">
        <f t="shared" si="13"/>
        <v>0</v>
      </c>
      <c r="AC32" s="13">
        <f t="shared" si="13"/>
        <v>30</v>
      </c>
      <c r="AD32" s="13">
        <f t="shared" si="13"/>
        <v>0</v>
      </c>
      <c r="AE32" s="13">
        <f t="shared" si="14"/>
        <v>75000</v>
      </c>
      <c r="AG32" s="13">
        <v>26</v>
      </c>
      <c r="AH32" s="13">
        <f t="shared" si="7"/>
        <v>8300</v>
      </c>
      <c r="AI32" s="13">
        <f t="shared" si="8"/>
        <v>22363.636363636364</v>
      </c>
      <c r="AJ32" s="13">
        <f t="shared" si="9"/>
        <v>19090.909090909088</v>
      </c>
      <c r="AK32" s="13">
        <f t="shared" si="10"/>
        <v>11000</v>
      </c>
      <c r="AL32" s="13">
        <f t="shared" si="11"/>
        <v>48000</v>
      </c>
    </row>
    <row r="33" spans="2:38" x14ac:dyDescent="0.15">
      <c r="J33" s="13"/>
      <c r="K33" s="13"/>
      <c r="L33" s="13"/>
      <c r="M33" s="13">
        <v>4</v>
      </c>
      <c r="N33" s="13"/>
      <c r="P33" s="13"/>
      <c r="Q33" s="13"/>
      <c r="R33" s="13"/>
      <c r="S33" s="13">
        <v>6</v>
      </c>
      <c r="T33" s="13"/>
      <c r="V33" s="13">
        <v>67</v>
      </c>
      <c r="W33" s="13">
        <f>INDEX(节奏总纲!Q:Q,MATCH(V33,节奏总纲!O:O,0))</f>
        <v>89.469161720823394</v>
      </c>
      <c r="X33" s="13">
        <f t="shared" si="15"/>
        <v>89.469161720823394</v>
      </c>
      <c r="Z33" s="13">
        <f t="shared" si="13"/>
        <v>0</v>
      </c>
      <c r="AA33" s="13">
        <f t="shared" si="13"/>
        <v>0</v>
      </c>
      <c r="AB33" s="13">
        <f t="shared" si="13"/>
        <v>0</v>
      </c>
      <c r="AC33" s="13">
        <f t="shared" si="13"/>
        <v>32</v>
      </c>
      <c r="AD33" s="13">
        <f t="shared" si="13"/>
        <v>0</v>
      </c>
      <c r="AE33" s="13">
        <f t="shared" si="14"/>
        <v>80000</v>
      </c>
      <c r="AG33" s="13">
        <v>27</v>
      </c>
      <c r="AH33" s="13">
        <f t="shared" si="7"/>
        <v>8850</v>
      </c>
      <c r="AI33" s="13">
        <f t="shared" si="8"/>
        <v>23772.727272727272</v>
      </c>
      <c r="AJ33" s="13">
        <f t="shared" si="9"/>
        <v>20227.272727272728</v>
      </c>
      <c r="AK33" s="13">
        <f t="shared" si="10"/>
        <v>11666.666666666666</v>
      </c>
      <c r="AL33" s="13">
        <f t="shared" si="11"/>
        <v>51000</v>
      </c>
    </row>
    <row r="34" spans="2:38" x14ac:dyDescent="0.15">
      <c r="B34" s="14" t="s">
        <v>91</v>
      </c>
      <c r="C34" s="14" t="s">
        <v>82</v>
      </c>
      <c r="D34" s="14" t="s">
        <v>79</v>
      </c>
      <c r="E34" s="14" t="s">
        <v>80</v>
      </c>
      <c r="F34" s="14" t="s">
        <v>81</v>
      </c>
      <c r="G34" s="14" t="s">
        <v>83</v>
      </c>
      <c r="J34" s="13"/>
      <c r="K34" s="13"/>
      <c r="L34" s="13"/>
      <c r="M34" s="13">
        <v>5</v>
      </c>
      <c r="N34" s="13">
        <v>1</v>
      </c>
      <c r="P34" s="13"/>
      <c r="Q34" s="13"/>
      <c r="R34" s="13"/>
      <c r="S34" s="13">
        <v>6</v>
      </c>
      <c r="T34" s="13">
        <v>0</v>
      </c>
      <c r="V34" s="13">
        <v>68</v>
      </c>
      <c r="W34" s="13">
        <f>INDEX(节奏总纲!Q:Q,MATCH(V34,节奏总纲!O:O,0))</f>
        <v>95.831563690032169</v>
      </c>
      <c r="X34" s="13">
        <f t="shared" si="15"/>
        <v>95.831563690032169</v>
      </c>
      <c r="Z34" s="13">
        <f t="shared" si="13"/>
        <v>0</v>
      </c>
      <c r="AA34" s="13">
        <f t="shared" si="13"/>
        <v>0</v>
      </c>
      <c r="AB34" s="13">
        <f t="shared" si="13"/>
        <v>0</v>
      </c>
      <c r="AC34" s="13">
        <f t="shared" si="13"/>
        <v>40</v>
      </c>
      <c r="AD34" s="13">
        <f t="shared" si="13"/>
        <v>2</v>
      </c>
      <c r="AE34" s="13">
        <f t="shared" si="14"/>
        <v>150000</v>
      </c>
      <c r="AG34" s="13">
        <v>28</v>
      </c>
      <c r="AH34" s="13">
        <f t="shared" si="7"/>
        <v>9400</v>
      </c>
      <c r="AI34" s="13">
        <f t="shared" si="8"/>
        <v>25181.81818181818</v>
      </c>
      <c r="AJ34" s="13">
        <f t="shared" si="9"/>
        <v>21363.63636363636</v>
      </c>
      <c r="AK34" s="13">
        <f t="shared" si="10"/>
        <v>12333.333333333332</v>
      </c>
      <c r="AL34" s="13">
        <f t="shared" si="11"/>
        <v>54000</v>
      </c>
    </row>
    <row r="35" spans="2:38" x14ac:dyDescent="0.15">
      <c r="B35" s="14" t="s">
        <v>92</v>
      </c>
      <c r="C35" s="14">
        <v>50</v>
      </c>
      <c r="D35" s="14">
        <v>100</v>
      </c>
      <c r="E35" s="14">
        <v>500</v>
      </c>
      <c r="F35" s="14">
        <v>2500</v>
      </c>
      <c r="G35" s="14">
        <v>25000</v>
      </c>
      <c r="I35" s="6"/>
      <c r="J35" s="13"/>
      <c r="K35" s="13"/>
      <c r="L35" s="13"/>
      <c r="M35" s="13"/>
      <c r="N35" s="13">
        <v>2</v>
      </c>
      <c r="O35" s="6"/>
      <c r="P35" s="13"/>
      <c r="Q35" s="13"/>
      <c r="R35" s="13"/>
      <c r="S35" s="13"/>
      <c r="T35" s="13">
        <v>0</v>
      </c>
      <c r="U35" s="6"/>
      <c r="V35" s="13">
        <v>75</v>
      </c>
      <c r="W35" s="13">
        <f>INDEX(节奏总纲!Q:Q,MATCH(V35,节奏总纲!O:O,0))</f>
        <v>155.75272949314578</v>
      </c>
      <c r="X35" s="13">
        <f t="shared" si="15"/>
        <v>155.75272949314578</v>
      </c>
      <c r="Y35" s="6"/>
      <c r="Z35" s="13">
        <f t="shared" ref="Z35:AD39" si="16">J35*INDEX($D$19:$D$26,P35+1,1)</f>
        <v>0</v>
      </c>
      <c r="AA35" s="13">
        <f t="shared" si="16"/>
        <v>0</v>
      </c>
      <c r="AB35" s="13">
        <f t="shared" si="16"/>
        <v>0</v>
      </c>
      <c r="AC35" s="13">
        <f t="shared" si="16"/>
        <v>0</v>
      </c>
      <c r="AD35" s="13">
        <f t="shared" si="16"/>
        <v>2</v>
      </c>
      <c r="AE35" s="13">
        <f t="shared" si="14"/>
        <v>50000</v>
      </c>
      <c r="AG35" s="13">
        <v>29</v>
      </c>
      <c r="AH35" s="13">
        <f t="shared" si="7"/>
        <v>9950</v>
      </c>
      <c r="AI35" s="13">
        <f t="shared" si="8"/>
        <v>26590.909090909088</v>
      </c>
      <c r="AJ35" s="13">
        <f t="shared" si="9"/>
        <v>22500</v>
      </c>
      <c r="AK35" s="13">
        <f t="shared" si="10"/>
        <v>13000</v>
      </c>
      <c r="AL35" s="13">
        <f t="shared" si="11"/>
        <v>57000</v>
      </c>
    </row>
    <row r="36" spans="2:38" x14ac:dyDescent="0.15">
      <c r="I36" s="6"/>
      <c r="J36" s="13"/>
      <c r="K36" s="13"/>
      <c r="L36" s="13"/>
      <c r="M36" s="13"/>
      <c r="N36" s="13">
        <v>3</v>
      </c>
      <c r="O36" s="6"/>
      <c r="P36" s="13"/>
      <c r="Q36" s="13"/>
      <c r="R36" s="13"/>
      <c r="S36" s="13"/>
      <c r="T36" s="13">
        <v>0</v>
      </c>
      <c r="U36" s="6"/>
      <c r="V36" s="13">
        <v>80</v>
      </c>
      <c r="W36" s="13">
        <f>INDEX(节奏总纲!Q:Q,MATCH(V36,节奏总纲!O:O,0))</f>
        <v>221.08500000000001</v>
      </c>
      <c r="X36" s="13">
        <f t="shared" si="15"/>
        <v>221.08500000000001</v>
      </c>
      <c r="Y36" s="6"/>
      <c r="Z36" s="13">
        <f t="shared" si="16"/>
        <v>0</v>
      </c>
      <c r="AA36" s="13">
        <f t="shared" si="16"/>
        <v>0</v>
      </c>
      <c r="AB36" s="13">
        <f t="shared" si="16"/>
        <v>0</v>
      </c>
      <c r="AC36" s="13">
        <f t="shared" si="16"/>
        <v>0</v>
      </c>
      <c r="AD36" s="13">
        <f t="shared" si="16"/>
        <v>3</v>
      </c>
      <c r="AE36" s="13">
        <f t="shared" si="14"/>
        <v>75000</v>
      </c>
      <c r="AG36" s="13">
        <v>30</v>
      </c>
      <c r="AH36" s="13">
        <f t="shared" si="7"/>
        <v>10500</v>
      </c>
      <c r="AI36" s="13">
        <f t="shared" si="8"/>
        <v>28000</v>
      </c>
      <c r="AJ36" s="13">
        <f t="shared" si="9"/>
        <v>23111.111111111109</v>
      </c>
      <c r="AK36" s="13">
        <f t="shared" si="10"/>
        <v>13666.666666666666</v>
      </c>
      <c r="AL36" s="13">
        <f t="shared" si="11"/>
        <v>60000</v>
      </c>
    </row>
    <row r="37" spans="2:38" x14ac:dyDescent="0.15">
      <c r="I37" s="6"/>
      <c r="J37" s="13"/>
      <c r="K37" s="13"/>
      <c r="L37" s="13"/>
      <c r="M37" s="13"/>
      <c r="N37" s="13">
        <v>4</v>
      </c>
      <c r="O37" s="6"/>
      <c r="P37" s="13"/>
      <c r="Q37" s="13"/>
      <c r="R37" s="13"/>
      <c r="S37" s="13"/>
      <c r="T37" s="13">
        <v>0</v>
      </c>
      <c r="U37" s="6"/>
      <c r="V37" s="13">
        <v>84</v>
      </c>
      <c r="W37" s="13">
        <f>INDEX(节奏总纲!Q:Q,MATCH(V37,节奏总纲!O:O,0))</f>
        <v>291.2594729565181</v>
      </c>
      <c r="X37" s="13">
        <f t="shared" si="15"/>
        <v>291.2594729565181</v>
      </c>
      <c r="Y37" s="6"/>
      <c r="Z37" s="13">
        <f t="shared" si="16"/>
        <v>0</v>
      </c>
      <c r="AA37" s="13">
        <f t="shared" si="16"/>
        <v>0</v>
      </c>
      <c r="AB37" s="13">
        <f t="shared" si="16"/>
        <v>0</v>
      </c>
      <c r="AC37" s="13">
        <f t="shared" si="16"/>
        <v>0</v>
      </c>
      <c r="AD37" s="13">
        <f t="shared" si="16"/>
        <v>4</v>
      </c>
      <c r="AE37" s="13">
        <f t="shared" si="14"/>
        <v>100000</v>
      </c>
      <c r="AG37" s="13">
        <v>31</v>
      </c>
      <c r="AH37" s="13">
        <f t="shared" si="7"/>
        <v>11300</v>
      </c>
      <c r="AI37" s="13">
        <f t="shared" si="8"/>
        <v>28250</v>
      </c>
      <c r="AJ37" s="13">
        <f t="shared" si="9"/>
        <v>23722.222222222223</v>
      </c>
      <c r="AK37" s="13">
        <f t="shared" si="10"/>
        <v>14333.333333333332</v>
      </c>
      <c r="AL37" s="13">
        <f t="shared" si="11"/>
        <v>62750</v>
      </c>
    </row>
    <row r="38" spans="2:38" x14ac:dyDescent="0.15">
      <c r="I38" s="6"/>
      <c r="J38" s="13"/>
      <c r="K38" s="13"/>
      <c r="L38" s="13"/>
      <c r="M38" s="13"/>
      <c r="N38" s="13">
        <v>5</v>
      </c>
      <c r="O38" s="6"/>
      <c r="P38" s="13"/>
      <c r="Q38" s="13"/>
      <c r="R38" s="13"/>
      <c r="S38" s="13"/>
      <c r="T38" s="13">
        <v>0</v>
      </c>
      <c r="U38" s="6"/>
      <c r="V38" s="13">
        <v>88</v>
      </c>
      <c r="W38" s="13">
        <f>INDEX(节奏总纲!Q:Q,MATCH(V38,节奏总纲!O:O,0))</f>
        <v>384.7733778502689</v>
      </c>
      <c r="X38" s="13">
        <f t="shared" si="15"/>
        <v>384.7733778502689</v>
      </c>
      <c r="Y38" s="6"/>
      <c r="Z38" s="13">
        <f t="shared" si="16"/>
        <v>0</v>
      </c>
      <c r="AA38" s="13">
        <f t="shared" si="16"/>
        <v>0</v>
      </c>
      <c r="AB38" s="13">
        <f t="shared" si="16"/>
        <v>0</v>
      </c>
      <c r="AC38" s="13">
        <f t="shared" si="16"/>
        <v>0</v>
      </c>
      <c r="AD38" s="13">
        <f t="shared" si="16"/>
        <v>5</v>
      </c>
      <c r="AE38" s="13">
        <f t="shared" si="14"/>
        <v>125000</v>
      </c>
      <c r="AG38" s="13">
        <v>32</v>
      </c>
      <c r="AH38" s="13">
        <f t="shared" si="7"/>
        <v>12100</v>
      </c>
      <c r="AI38" s="13">
        <f t="shared" si="8"/>
        <v>28500</v>
      </c>
      <c r="AJ38" s="13">
        <f t="shared" si="9"/>
        <v>24333.333333333332</v>
      </c>
      <c r="AK38" s="13">
        <f t="shared" si="10"/>
        <v>15000</v>
      </c>
      <c r="AL38" s="13">
        <f t="shared" si="11"/>
        <v>65500</v>
      </c>
    </row>
    <row r="39" spans="2:38" x14ac:dyDescent="0.15">
      <c r="G39" s="3"/>
      <c r="I39" s="6"/>
      <c r="J39" s="13"/>
      <c r="K39" s="13"/>
      <c r="L39" s="13"/>
      <c r="M39" s="13"/>
      <c r="N39" s="13">
        <v>6</v>
      </c>
      <c r="O39" s="6"/>
      <c r="P39" s="13"/>
      <c r="Q39" s="13"/>
      <c r="R39" s="13"/>
      <c r="S39" s="13"/>
      <c r="T39" s="13">
        <v>0</v>
      </c>
      <c r="U39" s="6"/>
      <c r="V39" s="13">
        <v>91</v>
      </c>
      <c r="W39" s="13">
        <f>INDEX(节奏总纲!Q:Q,MATCH(V39,节奏总纲!O:O,0))</f>
        <v>469.42004698552483</v>
      </c>
      <c r="X39" s="13">
        <f t="shared" si="15"/>
        <v>469.42004698552483</v>
      </c>
      <c r="Y39" s="6"/>
      <c r="Z39" s="13">
        <f t="shared" si="16"/>
        <v>0</v>
      </c>
      <c r="AA39" s="13">
        <f t="shared" si="16"/>
        <v>0</v>
      </c>
      <c r="AB39" s="13">
        <f t="shared" si="16"/>
        <v>0</v>
      </c>
      <c r="AC39" s="13">
        <f t="shared" si="16"/>
        <v>0</v>
      </c>
      <c r="AD39" s="13">
        <f t="shared" si="16"/>
        <v>6</v>
      </c>
      <c r="AE39" s="13">
        <f t="shared" si="14"/>
        <v>150000</v>
      </c>
      <c r="AG39" s="13">
        <v>33</v>
      </c>
      <c r="AH39" s="13">
        <f t="shared" si="7"/>
        <v>12900</v>
      </c>
      <c r="AI39" s="13">
        <f t="shared" si="8"/>
        <v>28750</v>
      </c>
      <c r="AJ39" s="13">
        <f t="shared" si="9"/>
        <v>24944.444444444445</v>
      </c>
      <c r="AK39" s="13">
        <f t="shared" si="10"/>
        <v>17142.857142857141</v>
      </c>
      <c r="AL39" s="13">
        <f t="shared" si="11"/>
        <v>68250</v>
      </c>
    </row>
    <row r="40" spans="2:38" x14ac:dyDescent="0.15">
      <c r="G40" s="3"/>
      <c r="AG40" s="13">
        <v>34</v>
      </c>
      <c r="AH40" s="13">
        <f t="shared" si="7"/>
        <v>13700</v>
      </c>
      <c r="AI40" s="13">
        <f t="shared" si="8"/>
        <v>29000</v>
      </c>
      <c r="AJ40" s="13">
        <f t="shared" si="9"/>
        <v>25555.555555555555</v>
      </c>
      <c r="AK40" s="13">
        <f t="shared" si="10"/>
        <v>19285.714285714286</v>
      </c>
      <c r="AL40" s="13">
        <f t="shared" si="11"/>
        <v>71000</v>
      </c>
    </row>
    <row r="41" spans="2:38" x14ac:dyDescent="0.15">
      <c r="G41" s="3"/>
      <c r="J41" s="158" t="s">
        <v>88</v>
      </c>
      <c r="K41" s="158"/>
      <c r="L41" s="158"/>
      <c r="M41" s="158"/>
      <c r="N41" s="158"/>
      <c r="P41" s="158" t="s">
        <v>89</v>
      </c>
      <c r="Q41" s="158"/>
      <c r="R41" s="158"/>
      <c r="S41" s="158"/>
      <c r="T41" s="158"/>
      <c r="Z41" s="158" t="s">
        <v>100</v>
      </c>
      <c r="AA41" s="158"/>
      <c r="AB41" s="158"/>
      <c r="AC41" s="158"/>
      <c r="AD41" s="158"/>
      <c r="AE41" s="15"/>
      <c r="AG41" s="13">
        <v>35</v>
      </c>
      <c r="AH41" s="13">
        <f t="shared" si="7"/>
        <v>14500</v>
      </c>
      <c r="AI41" s="13">
        <f t="shared" si="8"/>
        <v>29250</v>
      </c>
      <c r="AJ41" s="13">
        <f t="shared" si="9"/>
        <v>26166.666666666668</v>
      </c>
      <c r="AK41" s="13">
        <f t="shared" si="10"/>
        <v>21428.571428571428</v>
      </c>
      <c r="AL41" s="13">
        <f t="shared" si="11"/>
        <v>73750</v>
      </c>
    </row>
    <row r="42" spans="2:38" x14ac:dyDescent="0.15">
      <c r="G42" s="3"/>
      <c r="I42" s="5" t="s">
        <v>97</v>
      </c>
      <c r="J42" s="13" t="s">
        <v>84</v>
      </c>
      <c r="K42" s="13" t="s">
        <v>85</v>
      </c>
      <c r="L42" s="13" t="s">
        <v>86</v>
      </c>
      <c r="M42" s="13" t="s">
        <v>0</v>
      </c>
      <c r="N42" s="13" t="s">
        <v>87</v>
      </c>
      <c r="P42" s="13" t="s">
        <v>84</v>
      </c>
      <c r="Q42" s="13" t="s">
        <v>85</v>
      </c>
      <c r="R42" s="13" t="s">
        <v>86</v>
      </c>
      <c r="S42" s="13" t="s">
        <v>0</v>
      </c>
      <c r="T42" s="13" t="s">
        <v>87</v>
      </c>
      <c r="V42" s="13" t="s">
        <v>101</v>
      </c>
      <c r="W42" s="13" t="s">
        <v>90</v>
      </c>
      <c r="X42" s="13" t="s">
        <v>12</v>
      </c>
      <c r="Z42" s="13" t="s">
        <v>84</v>
      </c>
      <c r="AA42" s="13" t="s">
        <v>85</v>
      </c>
      <c r="AB42" s="13" t="s">
        <v>86</v>
      </c>
      <c r="AC42" s="13" t="s">
        <v>0</v>
      </c>
      <c r="AD42" s="13" t="s">
        <v>87</v>
      </c>
      <c r="AE42" s="13" t="s">
        <v>93</v>
      </c>
      <c r="AG42" s="13">
        <v>36</v>
      </c>
      <c r="AH42" s="13">
        <f t="shared" si="7"/>
        <v>14666.666666666666</v>
      </c>
      <c r="AI42" s="13">
        <f t="shared" si="8"/>
        <v>29500</v>
      </c>
      <c r="AJ42" s="13">
        <f t="shared" si="9"/>
        <v>26777.777777777777</v>
      </c>
      <c r="AK42" s="13">
        <f t="shared" si="10"/>
        <v>23571.428571428572</v>
      </c>
      <c r="AL42" s="13">
        <f t="shared" si="11"/>
        <v>76500</v>
      </c>
    </row>
    <row r="43" spans="2:38" x14ac:dyDescent="0.15">
      <c r="G43" s="3"/>
      <c r="J43" s="13"/>
      <c r="K43" s="13">
        <v>3</v>
      </c>
      <c r="L43" s="13">
        <v>3</v>
      </c>
      <c r="M43" s="13"/>
      <c r="N43" s="13"/>
      <c r="P43" s="13"/>
      <c r="Q43" s="13">
        <v>0</v>
      </c>
      <c r="R43" s="13">
        <v>0</v>
      </c>
      <c r="S43" s="13"/>
      <c r="T43" s="13"/>
      <c r="V43" s="13">
        <v>8</v>
      </c>
      <c r="W43" s="13">
        <f>INDEX(节奏总纲!R:R,MATCH(V43,节奏总纲!O:O,0))</f>
        <v>0.50550507844857251</v>
      </c>
      <c r="X43" s="13">
        <f>W43</f>
        <v>0.50550507844857251</v>
      </c>
      <c r="Z43" s="13">
        <f t="shared" ref="Z43:Z54" si="17">J43*INDEX($D$20:$D$26,P43+1,1)</f>
        <v>0</v>
      </c>
      <c r="AA43" s="13">
        <f t="shared" ref="AA43:AA54" si="18">K43*INDEX($D$20:$D$26,Q43+1,1)</f>
        <v>6</v>
      </c>
      <c r="AB43" s="13">
        <f t="shared" ref="AB43:AB54" si="19">L43*INDEX($D$20:$D$26,R43+1,1)</f>
        <v>6</v>
      </c>
      <c r="AC43" s="13">
        <f t="shared" ref="AC43:AC54" si="20">M43*INDEX($D$20:$D$26,S43+1,1)</f>
        <v>0</v>
      </c>
      <c r="AD43" s="13">
        <f t="shared" ref="AD43:AD54" si="21">N43*INDEX($D$20:$D$26,T43+1,1)</f>
        <v>0</v>
      </c>
      <c r="AE43" s="13">
        <f t="shared" ref="AE43:AE54" si="22">SUMPRODUCT(Z43:AD43,$C$35:$G$35)</f>
        <v>3600</v>
      </c>
      <c r="AG43" s="13">
        <v>37</v>
      </c>
      <c r="AH43" s="13">
        <f t="shared" si="7"/>
        <v>14833.333333333334</v>
      </c>
      <c r="AI43" s="13">
        <f t="shared" si="8"/>
        <v>29750</v>
      </c>
      <c r="AJ43" s="13">
        <f t="shared" si="9"/>
        <v>27388.888888888891</v>
      </c>
      <c r="AK43" s="13">
        <f t="shared" si="10"/>
        <v>25714.285714285714</v>
      </c>
      <c r="AL43" s="13">
        <f t="shared" si="11"/>
        <v>79250</v>
      </c>
    </row>
    <row r="44" spans="2:38" x14ac:dyDescent="0.15">
      <c r="G44" s="3"/>
      <c r="J44" s="13"/>
      <c r="K44" s="13"/>
      <c r="L44" s="13">
        <v>5</v>
      </c>
      <c r="M44" s="13">
        <v>1</v>
      </c>
      <c r="N44" s="13"/>
      <c r="P44" s="13"/>
      <c r="Q44" s="13"/>
      <c r="R44" s="13">
        <v>0</v>
      </c>
      <c r="S44" s="13">
        <v>0</v>
      </c>
      <c r="T44" s="13"/>
      <c r="V44" s="13">
        <v>18</v>
      </c>
      <c r="W44" s="13">
        <f>INDEX(节奏总纲!R:R,MATCH(V44,节奏总纲!O:O,0))</f>
        <v>1.7690655458445907</v>
      </c>
      <c r="X44" s="13">
        <f>W44-W43</f>
        <v>1.2635604673960183</v>
      </c>
      <c r="Z44" s="13">
        <f t="shared" si="17"/>
        <v>0</v>
      </c>
      <c r="AA44" s="13">
        <f t="shared" si="18"/>
        <v>0</v>
      </c>
      <c r="AB44" s="13">
        <f t="shared" si="19"/>
        <v>10</v>
      </c>
      <c r="AC44" s="13">
        <f t="shared" si="20"/>
        <v>2</v>
      </c>
      <c r="AD44" s="13">
        <f t="shared" si="21"/>
        <v>0</v>
      </c>
      <c r="AE44" s="13">
        <f t="shared" si="22"/>
        <v>10000</v>
      </c>
      <c r="AG44" s="13">
        <v>38</v>
      </c>
      <c r="AH44" s="13">
        <f t="shared" si="7"/>
        <v>15000</v>
      </c>
      <c r="AI44" s="13">
        <f t="shared" si="8"/>
        <v>30000</v>
      </c>
      <c r="AJ44" s="13">
        <f t="shared" si="9"/>
        <v>28000</v>
      </c>
      <c r="AK44" s="13">
        <f t="shared" si="10"/>
        <v>27857.142857142855</v>
      </c>
      <c r="AL44" s="13">
        <f t="shared" si="11"/>
        <v>82000</v>
      </c>
    </row>
    <row r="45" spans="2:38" x14ac:dyDescent="0.15">
      <c r="G45" s="3"/>
      <c r="J45" s="13"/>
      <c r="K45" s="13"/>
      <c r="L45" s="13">
        <v>3</v>
      </c>
      <c r="M45" s="13">
        <v>3</v>
      </c>
      <c r="N45" s="13"/>
      <c r="P45" s="13"/>
      <c r="Q45" s="13"/>
      <c r="R45" s="13">
        <v>3</v>
      </c>
      <c r="S45" s="13">
        <v>0</v>
      </c>
      <c r="T45" s="13"/>
      <c r="V45" s="13">
        <v>29</v>
      </c>
      <c r="W45" s="13">
        <f>INDEX(节奏总纲!R:R,MATCH(V45,节奏总纲!O:O,0))</f>
        <v>4.6510378992858623</v>
      </c>
      <c r="X45" s="13">
        <f t="shared" ref="X45:X54" si="23">W45-W44</f>
        <v>2.8819723534412716</v>
      </c>
      <c r="Z45" s="13">
        <f t="shared" si="17"/>
        <v>0</v>
      </c>
      <c r="AA45" s="13">
        <f t="shared" si="18"/>
        <v>0</v>
      </c>
      <c r="AB45" s="13">
        <f t="shared" si="19"/>
        <v>15</v>
      </c>
      <c r="AC45" s="13">
        <f t="shared" si="20"/>
        <v>6</v>
      </c>
      <c r="AD45" s="13">
        <f t="shared" si="21"/>
        <v>0</v>
      </c>
      <c r="AE45" s="13">
        <f t="shared" si="22"/>
        <v>22500</v>
      </c>
      <c r="AG45" s="13">
        <v>39</v>
      </c>
      <c r="AH45" s="13">
        <f t="shared" si="7"/>
        <v>16875</v>
      </c>
      <c r="AI45" s="13">
        <f t="shared" si="8"/>
        <v>31875</v>
      </c>
      <c r="AJ45" s="13">
        <f t="shared" si="9"/>
        <v>28285.714285714286</v>
      </c>
      <c r="AK45" s="13">
        <f t="shared" si="10"/>
        <v>30000</v>
      </c>
      <c r="AL45" s="13">
        <f t="shared" si="11"/>
        <v>84750</v>
      </c>
    </row>
    <row r="46" spans="2:38" x14ac:dyDescent="0.15">
      <c r="J46" s="13"/>
      <c r="K46" s="13"/>
      <c r="L46" s="13">
        <v>1</v>
      </c>
      <c r="M46" s="13">
        <v>5</v>
      </c>
      <c r="N46" s="13"/>
      <c r="P46" s="13"/>
      <c r="Q46" s="13"/>
      <c r="R46" s="13">
        <v>4</v>
      </c>
      <c r="S46" s="13">
        <v>0</v>
      </c>
      <c r="T46" s="13"/>
      <c r="V46" s="13">
        <v>38</v>
      </c>
      <c r="W46" s="13">
        <f>INDEX(节奏总纲!R:R,MATCH(V46,节奏总纲!O:O,0))</f>
        <v>9.3190855363815395</v>
      </c>
      <c r="X46" s="13">
        <f t="shared" si="23"/>
        <v>4.6680476370956772</v>
      </c>
      <c r="Z46" s="13">
        <f t="shared" si="17"/>
        <v>0</v>
      </c>
      <c r="AA46" s="13">
        <f t="shared" si="18"/>
        <v>0</v>
      </c>
      <c r="AB46" s="13">
        <f t="shared" si="19"/>
        <v>6</v>
      </c>
      <c r="AC46" s="13">
        <f t="shared" si="20"/>
        <v>10</v>
      </c>
      <c r="AD46" s="13">
        <f t="shared" si="21"/>
        <v>0</v>
      </c>
      <c r="AE46" s="13">
        <f t="shared" si="22"/>
        <v>28000</v>
      </c>
      <c r="AG46" s="13">
        <v>40</v>
      </c>
      <c r="AH46" s="13">
        <f t="shared" si="7"/>
        <v>18750</v>
      </c>
      <c r="AI46" s="13">
        <f t="shared" si="8"/>
        <v>33750</v>
      </c>
      <c r="AJ46" s="13">
        <f t="shared" si="9"/>
        <v>28571.428571428572</v>
      </c>
      <c r="AK46" s="13">
        <f t="shared" si="10"/>
        <v>34285.714285714283</v>
      </c>
      <c r="AL46" s="13">
        <f t="shared" si="11"/>
        <v>87500</v>
      </c>
    </row>
    <row r="47" spans="2:38" x14ac:dyDescent="0.15">
      <c r="G47" s="19"/>
      <c r="J47" s="13"/>
      <c r="K47" s="13"/>
      <c r="L47" s="13"/>
      <c r="M47" s="13">
        <v>6</v>
      </c>
      <c r="N47" s="13"/>
      <c r="P47" s="13"/>
      <c r="Q47" s="13"/>
      <c r="R47" s="13"/>
      <c r="S47" s="13">
        <v>0</v>
      </c>
      <c r="T47" s="13"/>
      <c r="V47" s="13">
        <v>45</v>
      </c>
      <c r="W47" s="13">
        <f>INDEX(节奏总纲!R:R,MATCH(V47,节奏总纲!O:O,0))</f>
        <v>15.604181364035009</v>
      </c>
      <c r="X47" s="13">
        <f t="shared" si="23"/>
        <v>6.2850958276534694</v>
      </c>
      <c r="Z47" s="13">
        <f t="shared" si="17"/>
        <v>0</v>
      </c>
      <c r="AA47" s="13">
        <f t="shared" si="18"/>
        <v>0</v>
      </c>
      <c r="AB47" s="13">
        <f t="shared" si="19"/>
        <v>0</v>
      </c>
      <c r="AC47" s="13">
        <f t="shared" si="20"/>
        <v>12</v>
      </c>
      <c r="AD47" s="13">
        <f t="shared" si="21"/>
        <v>0</v>
      </c>
      <c r="AE47" s="13">
        <f t="shared" si="22"/>
        <v>30000</v>
      </c>
      <c r="AG47" s="13">
        <v>41</v>
      </c>
      <c r="AH47" s="13">
        <f t="shared" si="7"/>
        <v>20625</v>
      </c>
      <c r="AI47" s="13">
        <f t="shared" si="8"/>
        <v>35625</v>
      </c>
      <c r="AJ47" s="13">
        <f t="shared" si="9"/>
        <v>28857.142857142859</v>
      </c>
      <c r="AK47" s="13">
        <f t="shared" si="10"/>
        <v>38571.428571428572</v>
      </c>
      <c r="AL47" s="13">
        <f t="shared" si="11"/>
        <v>91500</v>
      </c>
    </row>
    <row r="48" spans="2:38" x14ac:dyDescent="0.15">
      <c r="G48" s="3"/>
      <c r="I48" s="8"/>
      <c r="J48" s="13"/>
      <c r="K48" s="13"/>
      <c r="L48" s="13"/>
      <c r="M48" s="13">
        <v>6</v>
      </c>
      <c r="N48" s="13"/>
      <c r="O48" s="8"/>
      <c r="P48" s="13"/>
      <c r="Q48" s="13"/>
      <c r="R48" s="13"/>
      <c r="S48" s="13">
        <v>1</v>
      </c>
      <c r="T48" s="13"/>
      <c r="U48" s="8"/>
      <c r="V48" s="13">
        <v>52</v>
      </c>
      <c r="W48" s="13">
        <f>INDEX(节奏总纲!R:R,MATCH(V48,节奏总纲!O:O,0))</f>
        <v>25.606552544428059</v>
      </c>
      <c r="X48" s="13">
        <f t="shared" si="23"/>
        <v>10.00237118039305</v>
      </c>
      <c r="Y48" s="8"/>
      <c r="Z48" s="13">
        <f t="shared" si="17"/>
        <v>0</v>
      </c>
      <c r="AA48" s="13">
        <f t="shared" si="18"/>
        <v>0</v>
      </c>
      <c r="AB48" s="13">
        <f t="shared" si="19"/>
        <v>0</v>
      </c>
      <c r="AC48" s="13">
        <f t="shared" si="20"/>
        <v>18</v>
      </c>
      <c r="AD48" s="13">
        <f t="shared" si="21"/>
        <v>0</v>
      </c>
      <c r="AE48" s="13">
        <f t="shared" si="22"/>
        <v>45000</v>
      </c>
      <c r="AG48" s="13">
        <v>42</v>
      </c>
      <c r="AH48" s="13">
        <f t="shared" si="7"/>
        <v>22500</v>
      </c>
      <c r="AI48" s="13">
        <f t="shared" si="8"/>
        <v>37500</v>
      </c>
      <c r="AJ48" s="13">
        <f t="shared" si="9"/>
        <v>29142.857142857141</v>
      </c>
      <c r="AK48" s="13">
        <f t="shared" si="10"/>
        <v>42857.142857142855</v>
      </c>
      <c r="AL48" s="13">
        <f t="shared" si="11"/>
        <v>95500</v>
      </c>
    </row>
    <row r="49" spans="7:38" x14ac:dyDescent="0.15">
      <c r="G49" s="3"/>
      <c r="I49" s="8"/>
      <c r="J49" s="13"/>
      <c r="K49" s="13"/>
      <c r="L49" s="13"/>
      <c r="M49" s="13">
        <v>6</v>
      </c>
      <c r="N49" s="13"/>
      <c r="O49" s="8"/>
      <c r="P49" s="13"/>
      <c r="Q49" s="13"/>
      <c r="R49" s="13"/>
      <c r="S49" s="13">
        <v>3</v>
      </c>
      <c r="T49" s="13"/>
      <c r="U49" s="8"/>
      <c r="V49" s="13">
        <v>58</v>
      </c>
      <c r="W49" s="13">
        <f>INDEX(节奏总纲!R:R,MATCH(V49,节奏总纲!O:O,0))</f>
        <v>38.913475879437009</v>
      </c>
      <c r="X49" s="13">
        <f t="shared" si="23"/>
        <v>13.30692333500895</v>
      </c>
      <c r="Y49" s="8"/>
      <c r="Z49" s="13">
        <f t="shared" si="17"/>
        <v>0</v>
      </c>
      <c r="AA49" s="13">
        <f t="shared" si="18"/>
        <v>0</v>
      </c>
      <c r="AB49" s="13">
        <f t="shared" si="19"/>
        <v>0</v>
      </c>
      <c r="AC49" s="13">
        <f t="shared" si="20"/>
        <v>30</v>
      </c>
      <c r="AD49" s="13">
        <f t="shared" si="21"/>
        <v>0</v>
      </c>
      <c r="AE49" s="13">
        <f t="shared" si="22"/>
        <v>75000</v>
      </c>
      <c r="AG49" s="13">
        <v>43</v>
      </c>
      <c r="AH49" s="13">
        <f t="shared" si="7"/>
        <v>24375</v>
      </c>
      <c r="AI49" s="13">
        <f t="shared" si="8"/>
        <v>39375</v>
      </c>
      <c r="AJ49" s="13">
        <f t="shared" si="9"/>
        <v>29428.571428571428</v>
      </c>
      <c r="AK49" s="13">
        <f t="shared" si="10"/>
        <v>47142.857142857145</v>
      </c>
      <c r="AL49" s="13">
        <f t="shared" si="11"/>
        <v>99500</v>
      </c>
    </row>
    <row r="50" spans="7:38" x14ac:dyDescent="0.15">
      <c r="G50" s="3"/>
      <c r="J50" s="13"/>
      <c r="K50" s="13"/>
      <c r="L50" s="13"/>
      <c r="M50" s="13">
        <v>5</v>
      </c>
      <c r="N50" s="13">
        <v>1</v>
      </c>
      <c r="P50" s="13"/>
      <c r="Q50" s="13"/>
      <c r="R50" s="13"/>
      <c r="S50" s="13">
        <v>3</v>
      </c>
      <c r="T50" s="13">
        <v>0</v>
      </c>
      <c r="V50" s="13">
        <v>63</v>
      </c>
      <c r="W50" s="13">
        <f>INDEX(节奏总纲!R:R,MATCH(V50,节奏总纲!O:O,0))</f>
        <v>55.27987808786542</v>
      </c>
      <c r="X50" s="13">
        <f t="shared" si="23"/>
        <v>16.366402208428411</v>
      </c>
      <c r="Z50" s="13">
        <f t="shared" si="17"/>
        <v>0</v>
      </c>
      <c r="AA50" s="13">
        <f t="shared" si="18"/>
        <v>0</v>
      </c>
      <c r="AB50" s="13">
        <f t="shared" si="19"/>
        <v>0</v>
      </c>
      <c r="AC50" s="13">
        <f t="shared" si="20"/>
        <v>25</v>
      </c>
      <c r="AD50" s="13">
        <f t="shared" si="21"/>
        <v>2</v>
      </c>
      <c r="AE50" s="13">
        <f t="shared" si="22"/>
        <v>112500</v>
      </c>
      <c r="AG50" s="13">
        <v>44</v>
      </c>
      <c r="AH50" s="13">
        <f t="shared" si="7"/>
        <v>26250</v>
      </c>
      <c r="AI50" s="13">
        <f t="shared" si="8"/>
        <v>41250</v>
      </c>
      <c r="AJ50" s="13">
        <f t="shared" si="9"/>
        <v>29714.285714285714</v>
      </c>
      <c r="AK50" s="13">
        <f t="shared" si="10"/>
        <v>51428.571428571428</v>
      </c>
      <c r="AL50" s="13">
        <f t="shared" si="11"/>
        <v>103500</v>
      </c>
    </row>
    <row r="51" spans="7:38" x14ac:dyDescent="0.15">
      <c r="G51" s="3"/>
      <c r="J51" s="13"/>
      <c r="K51" s="13"/>
      <c r="L51" s="13"/>
      <c r="M51" s="13">
        <v>5</v>
      </c>
      <c r="N51" s="13">
        <v>3</v>
      </c>
      <c r="P51" s="13"/>
      <c r="Q51" s="13"/>
      <c r="R51" s="13"/>
      <c r="S51" s="13">
        <v>5</v>
      </c>
      <c r="T51" s="13">
        <v>0</v>
      </c>
      <c r="V51" s="13">
        <v>69</v>
      </c>
      <c r="W51" s="13">
        <f>INDEX(节奏总纲!R:R,MATCH(V51,节奏总纲!O:O,0))</f>
        <v>83.894553114198303</v>
      </c>
      <c r="X51" s="13">
        <f t="shared" si="23"/>
        <v>28.614675026332883</v>
      </c>
      <c r="Z51" s="13">
        <f t="shared" si="17"/>
        <v>0</v>
      </c>
      <c r="AA51" s="13">
        <f t="shared" si="18"/>
        <v>0</v>
      </c>
      <c r="AB51" s="13">
        <f t="shared" si="19"/>
        <v>0</v>
      </c>
      <c r="AC51" s="13">
        <f t="shared" si="20"/>
        <v>35</v>
      </c>
      <c r="AD51" s="13">
        <f t="shared" si="21"/>
        <v>6</v>
      </c>
      <c r="AE51" s="13">
        <f t="shared" si="22"/>
        <v>237500</v>
      </c>
      <c r="AG51" s="13">
        <v>45</v>
      </c>
      <c r="AH51" s="13">
        <f t="shared" si="7"/>
        <v>28125</v>
      </c>
      <c r="AI51" s="13">
        <f t="shared" si="8"/>
        <v>43125</v>
      </c>
      <c r="AJ51" s="13">
        <f t="shared" si="9"/>
        <v>30000</v>
      </c>
      <c r="AK51" s="13">
        <f t="shared" si="10"/>
        <v>55714.28571428571</v>
      </c>
      <c r="AL51" s="13">
        <f t="shared" si="11"/>
        <v>107500</v>
      </c>
    </row>
    <row r="52" spans="7:38" x14ac:dyDescent="0.15">
      <c r="G52" s="3"/>
      <c r="J52" s="13"/>
      <c r="K52" s="13"/>
      <c r="L52" s="13"/>
      <c r="M52" s="13">
        <v>0</v>
      </c>
      <c r="N52" s="13">
        <v>6</v>
      </c>
      <c r="O52" s="6"/>
      <c r="P52" s="13"/>
      <c r="Q52" s="13"/>
      <c r="R52" s="13"/>
      <c r="S52" s="13"/>
      <c r="T52" s="13">
        <v>0</v>
      </c>
      <c r="U52" s="6"/>
      <c r="V52" s="13">
        <v>75</v>
      </c>
      <c r="W52" s="13">
        <f>INDEX(节奏总纲!R:R,MATCH(V52,节奏总纲!O:O,0))</f>
        <v>127.38168214210583</v>
      </c>
      <c r="X52" s="13">
        <f t="shared" si="23"/>
        <v>43.487129027907528</v>
      </c>
      <c r="Y52" s="6"/>
      <c r="Z52" s="13">
        <f t="shared" si="17"/>
        <v>0</v>
      </c>
      <c r="AA52" s="13">
        <f t="shared" si="18"/>
        <v>0</v>
      </c>
      <c r="AB52" s="13">
        <f t="shared" si="19"/>
        <v>0</v>
      </c>
      <c r="AC52" s="13">
        <f t="shared" si="20"/>
        <v>0</v>
      </c>
      <c r="AD52" s="13">
        <f t="shared" si="21"/>
        <v>12</v>
      </c>
      <c r="AE52" s="13">
        <f t="shared" si="22"/>
        <v>300000</v>
      </c>
      <c r="AG52" s="13">
        <v>46</v>
      </c>
      <c r="AH52" s="13">
        <f t="shared" si="7"/>
        <v>30000</v>
      </c>
      <c r="AI52" s="13">
        <f t="shared" si="8"/>
        <v>45000</v>
      </c>
      <c r="AJ52" s="13">
        <f t="shared" si="9"/>
        <v>32142.857142857141</v>
      </c>
      <c r="AK52" s="13">
        <f t="shared" si="10"/>
        <v>60000</v>
      </c>
      <c r="AL52" s="13">
        <f t="shared" si="11"/>
        <v>111500</v>
      </c>
    </row>
    <row r="53" spans="7:38" x14ac:dyDescent="0.15">
      <c r="G53" s="3"/>
      <c r="J53" s="13"/>
      <c r="K53" s="13"/>
      <c r="L53" s="13"/>
      <c r="M53" s="13"/>
      <c r="N53" s="13">
        <v>6</v>
      </c>
      <c r="O53" s="6"/>
      <c r="P53" s="13"/>
      <c r="Q53" s="13"/>
      <c r="R53" s="13"/>
      <c r="S53" s="13"/>
      <c r="T53" s="13">
        <v>1</v>
      </c>
      <c r="U53" s="6"/>
      <c r="V53" s="13">
        <v>84</v>
      </c>
      <c r="W53" s="13">
        <f>INDEX(节奏总纲!R:R,MATCH(V53,节奏总纲!O:O,0))</f>
        <v>237.27139072371298</v>
      </c>
      <c r="X53" s="13">
        <f t="shared" si="23"/>
        <v>109.88970858160715</v>
      </c>
      <c r="Y53" s="6"/>
      <c r="Z53" s="13">
        <f t="shared" si="17"/>
        <v>0</v>
      </c>
      <c r="AA53" s="13">
        <f t="shared" si="18"/>
        <v>0</v>
      </c>
      <c r="AB53" s="13">
        <f t="shared" si="19"/>
        <v>0</v>
      </c>
      <c r="AC53" s="13">
        <f t="shared" si="20"/>
        <v>0</v>
      </c>
      <c r="AD53" s="13">
        <f t="shared" si="21"/>
        <v>18</v>
      </c>
      <c r="AE53" s="13">
        <f t="shared" si="22"/>
        <v>450000</v>
      </c>
      <c r="AF53" s="6"/>
      <c r="AG53" s="13">
        <v>47</v>
      </c>
      <c r="AH53" s="13">
        <f t="shared" si="7"/>
        <v>32500</v>
      </c>
      <c r="AI53" s="13">
        <f t="shared" si="8"/>
        <v>47500</v>
      </c>
      <c r="AJ53" s="13">
        <f t="shared" si="9"/>
        <v>34285.714285714283</v>
      </c>
      <c r="AK53" s="13">
        <f t="shared" si="10"/>
        <v>65500</v>
      </c>
      <c r="AL53" s="13">
        <f t="shared" si="11"/>
        <v>115500</v>
      </c>
    </row>
    <row r="54" spans="7:38" x14ac:dyDescent="0.15">
      <c r="G54" s="3"/>
      <c r="I54" s="6"/>
      <c r="J54" s="13"/>
      <c r="K54" s="13"/>
      <c r="L54" s="13"/>
      <c r="M54" s="13"/>
      <c r="N54" s="13">
        <v>6</v>
      </c>
      <c r="O54" s="6"/>
      <c r="P54" s="13"/>
      <c r="Q54" s="13"/>
      <c r="R54" s="13"/>
      <c r="S54" s="13"/>
      <c r="T54" s="13">
        <v>3</v>
      </c>
      <c r="U54" s="6"/>
      <c r="V54" s="13">
        <v>91</v>
      </c>
      <c r="W54" s="13">
        <f>INDEX(节奏总纲!R:R,MATCH(V54,节奏总纲!O:O,0))</f>
        <v>378.43910205635837</v>
      </c>
      <c r="X54" s="13">
        <f t="shared" si="23"/>
        <v>141.16771133264538</v>
      </c>
      <c r="Y54" s="6"/>
      <c r="Z54" s="13">
        <f t="shared" si="17"/>
        <v>0</v>
      </c>
      <c r="AA54" s="13">
        <f t="shared" si="18"/>
        <v>0</v>
      </c>
      <c r="AB54" s="13">
        <f t="shared" si="19"/>
        <v>0</v>
      </c>
      <c r="AC54" s="13">
        <f t="shared" si="20"/>
        <v>0</v>
      </c>
      <c r="AD54" s="13">
        <f t="shared" si="21"/>
        <v>30</v>
      </c>
      <c r="AE54" s="13">
        <f t="shared" si="22"/>
        <v>750000</v>
      </c>
      <c r="AG54" s="13">
        <v>48</v>
      </c>
      <c r="AH54" s="13">
        <f t="shared" si="7"/>
        <v>35000</v>
      </c>
      <c r="AI54" s="13">
        <f t="shared" si="8"/>
        <v>50000</v>
      </c>
      <c r="AJ54" s="13">
        <f t="shared" si="9"/>
        <v>36428.571428571428</v>
      </c>
      <c r="AK54" s="13">
        <f t="shared" si="10"/>
        <v>71000</v>
      </c>
      <c r="AL54" s="13">
        <f t="shared" si="11"/>
        <v>119500</v>
      </c>
    </row>
    <row r="55" spans="7:38" x14ac:dyDescent="0.15">
      <c r="AG55" s="13">
        <v>49</v>
      </c>
      <c r="AH55" s="13">
        <f t="shared" si="7"/>
        <v>37500</v>
      </c>
      <c r="AI55" s="13">
        <f t="shared" si="8"/>
        <v>52500</v>
      </c>
      <c r="AJ55" s="13">
        <f t="shared" si="9"/>
        <v>38571.428571428572</v>
      </c>
      <c r="AK55" s="13">
        <f t="shared" si="10"/>
        <v>76500</v>
      </c>
      <c r="AL55" s="13">
        <f t="shared" si="11"/>
        <v>123500</v>
      </c>
    </row>
    <row r="56" spans="7:38" x14ac:dyDescent="0.15">
      <c r="J56" s="158" t="s">
        <v>88</v>
      </c>
      <c r="K56" s="158"/>
      <c r="L56" s="158"/>
      <c r="M56" s="158"/>
      <c r="N56" s="158"/>
      <c r="P56" s="158" t="s">
        <v>89</v>
      </c>
      <c r="Q56" s="158"/>
      <c r="R56" s="158"/>
      <c r="S56" s="158"/>
      <c r="T56" s="158"/>
      <c r="Z56" s="158" t="s">
        <v>100</v>
      </c>
      <c r="AA56" s="158"/>
      <c r="AB56" s="158"/>
      <c r="AC56" s="158"/>
      <c r="AD56" s="158"/>
      <c r="AE56" s="15"/>
      <c r="AG56" s="13">
        <v>50</v>
      </c>
      <c r="AH56" s="13">
        <f t="shared" si="7"/>
        <v>40000</v>
      </c>
      <c r="AI56" s="13">
        <f t="shared" si="8"/>
        <v>55000</v>
      </c>
      <c r="AJ56" s="13">
        <f t="shared" si="9"/>
        <v>40714.28571428571</v>
      </c>
      <c r="AK56" s="13">
        <f t="shared" si="10"/>
        <v>82000</v>
      </c>
      <c r="AL56" s="13">
        <f t="shared" si="11"/>
        <v>127500</v>
      </c>
    </row>
    <row r="57" spans="7:38" x14ac:dyDescent="0.15">
      <c r="I57" s="5" t="s">
        <v>98</v>
      </c>
      <c r="J57" s="13" t="s">
        <v>84</v>
      </c>
      <c r="K57" s="13" t="s">
        <v>85</v>
      </c>
      <c r="L57" s="13" t="s">
        <v>86</v>
      </c>
      <c r="M57" s="13" t="s">
        <v>0</v>
      </c>
      <c r="N57" s="13" t="s">
        <v>87</v>
      </c>
      <c r="P57" s="13" t="s">
        <v>84</v>
      </c>
      <c r="Q57" s="13" t="s">
        <v>85</v>
      </c>
      <c r="R57" s="13" t="s">
        <v>86</v>
      </c>
      <c r="S57" s="13" t="s">
        <v>0</v>
      </c>
      <c r="T57" s="13" t="s">
        <v>87</v>
      </c>
      <c r="V57" s="13" t="s">
        <v>101</v>
      </c>
      <c r="W57" s="13" t="s">
        <v>90</v>
      </c>
      <c r="X57" s="13" t="s">
        <v>12</v>
      </c>
      <c r="Z57" s="13" t="s">
        <v>84</v>
      </c>
      <c r="AA57" s="13" t="s">
        <v>85</v>
      </c>
      <c r="AB57" s="13" t="s">
        <v>86</v>
      </c>
      <c r="AC57" s="13" t="s">
        <v>0</v>
      </c>
      <c r="AD57" s="13" t="s">
        <v>87</v>
      </c>
      <c r="AE57" s="13" t="s">
        <v>93</v>
      </c>
      <c r="AG57" s="13">
        <v>51</v>
      </c>
      <c r="AH57" s="13">
        <f t="shared" si="7"/>
        <v>42500</v>
      </c>
      <c r="AI57" s="13">
        <f t="shared" si="8"/>
        <v>57500</v>
      </c>
      <c r="AJ57" s="13">
        <f t="shared" si="9"/>
        <v>42857.142857142855</v>
      </c>
      <c r="AK57" s="13">
        <f t="shared" si="10"/>
        <v>87500</v>
      </c>
      <c r="AL57" s="13">
        <f t="shared" si="11"/>
        <v>130312.5</v>
      </c>
    </row>
    <row r="58" spans="7:38" x14ac:dyDescent="0.15">
      <c r="J58" s="13"/>
      <c r="K58" s="13"/>
      <c r="L58" s="13">
        <v>5</v>
      </c>
      <c r="M58" s="13">
        <v>1</v>
      </c>
      <c r="N58" s="13"/>
      <c r="P58" s="13"/>
      <c r="Q58" s="13"/>
      <c r="R58" s="13">
        <v>0</v>
      </c>
      <c r="S58" s="13">
        <v>0</v>
      </c>
      <c r="T58" s="13"/>
      <c r="V58" s="13">
        <v>10</v>
      </c>
      <c r="W58" s="13">
        <f>INDEX(节奏总纲!S:S,MATCH(V58,节奏总纲!O:O,0))</f>
        <v>0.49980000000000002</v>
      </c>
      <c r="X58" s="13">
        <f>W58</f>
        <v>0.49980000000000002</v>
      </c>
      <c r="Z58" s="13">
        <f t="shared" ref="Z58:Z68" si="24">J58*INDEX($D$19:$D$26,P58+1,1)</f>
        <v>0</v>
      </c>
      <c r="AA58" s="13">
        <f t="shared" ref="AA58:AA68" si="25">K58*INDEX($D$19:$D$26,Q58+1,1)</f>
        <v>0</v>
      </c>
      <c r="AB58" s="13">
        <f t="shared" ref="AB58:AB68" si="26">L58*INDEX($D$19:$D$26,R58+1,1)</f>
        <v>5</v>
      </c>
      <c r="AC58" s="13">
        <f t="shared" ref="AC58:AC68" si="27">M58*INDEX($D$19:$D$26,S58+1,1)</f>
        <v>1</v>
      </c>
      <c r="AD58" s="13">
        <f t="shared" ref="AD58:AD68" si="28">N58*INDEX($D$19:$D$26,T58+1,1)</f>
        <v>0</v>
      </c>
      <c r="AE58" s="13">
        <f t="shared" ref="AE58:AE68" si="29">SUMPRODUCT(Z58:AD58,$C$35:$G$35)</f>
        <v>5000</v>
      </c>
      <c r="AG58" s="13">
        <v>52</v>
      </c>
      <c r="AH58" s="13">
        <f t="shared" si="7"/>
        <v>45000</v>
      </c>
      <c r="AI58" s="13">
        <f t="shared" si="8"/>
        <v>60000</v>
      </c>
      <c r="AJ58" s="13">
        <f t="shared" si="9"/>
        <v>45000</v>
      </c>
      <c r="AK58" s="13">
        <f t="shared" si="10"/>
        <v>93214.28571428571</v>
      </c>
      <c r="AL58" s="13">
        <f t="shared" si="11"/>
        <v>133125</v>
      </c>
    </row>
    <row r="59" spans="7:38" x14ac:dyDescent="0.15">
      <c r="J59" s="13"/>
      <c r="K59" s="13"/>
      <c r="L59" s="13">
        <v>3</v>
      </c>
      <c r="M59" s="13">
        <v>3</v>
      </c>
      <c r="N59" s="13"/>
      <c r="P59" s="13"/>
      <c r="Q59" s="13"/>
      <c r="R59" s="13">
        <v>0</v>
      </c>
      <c r="S59" s="13">
        <v>0</v>
      </c>
      <c r="T59" s="13"/>
      <c r="V59" s="13">
        <v>23</v>
      </c>
      <c r="W59" s="13">
        <f>INDEX(节奏总纲!T:T,MATCH(V59,节奏总纲!O:O,0))</f>
        <v>1.1608900698697047</v>
      </c>
      <c r="X59" s="13">
        <f>W59-W58</f>
        <v>0.66109006986970464</v>
      </c>
      <c r="Z59" s="13">
        <f t="shared" si="24"/>
        <v>0</v>
      </c>
      <c r="AA59" s="13">
        <f t="shared" si="25"/>
        <v>0</v>
      </c>
      <c r="AB59" s="13">
        <f t="shared" si="26"/>
        <v>3</v>
      </c>
      <c r="AC59" s="13">
        <f t="shared" si="27"/>
        <v>3</v>
      </c>
      <c r="AD59" s="13">
        <f t="shared" si="28"/>
        <v>0</v>
      </c>
      <c r="AE59" s="13">
        <f t="shared" si="29"/>
        <v>9000</v>
      </c>
      <c r="AG59" s="13">
        <v>53</v>
      </c>
      <c r="AH59" s="13">
        <f t="shared" si="7"/>
        <v>47500</v>
      </c>
      <c r="AI59" s="13">
        <f t="shared" si="8"/>
        <v>62500</v>
      </c>
      <c r="AJ59" s="13">
        <f t="shared" si="9"/>
        <v>50000</v>
      </c>
      <c r="AK59" s="13">
        <f t="shared" si="10"/>
        <v>98928.571428571435</v>
      </c>
      <c r="AL59" s="13">
        <f t="shared" si="11"/>
        <v>135937.5</v>
      </c>
    </row>
    <row r="60" spans="7:38" x14ac:dyDescent="0.15">
      <c r="J60" s="13"/>
      <c r="K60" s="13"/>
      <c r="L60" s="13"/>
      <c r="M60" s="13">
        <v>6</v>
      </c>
      <c r="N60" s="13"/>
      <c r="P60" s="13"/>
      <c r="Q60" s="13"/>
      <c r="R60" s="13"/>
      <c r="S60" s="13">
        <v>0</v>
      </c>
      <c r="T60" s="13"/>
      <c r="V60" s="13">
        <v>32</v>
      </c>
      <c r="W60" s="13">
        <f>INDEX(节奏总纲!T:T,MATCH(V60,节奏总纲!O:O,0))</f>
        <v>2.46506563883286</v>
      </c>
      <c r="X60" s="13">
        <f t="shared" ref="X60:X68" si="30">W60-W59</f>
        <v>1.3041755689631553</v>
      </c>
      <c r="Z60" s="13">
        <f t="shared" si="24"/>
        <v>0</v>
      </c>
      <c r="AA60" s="13">
        <f t="shared" si="25"/>
        <v>0</v>
      </c>
      <c r="AB60" s="13">
        <f t="shared" si="26"/>
        <v>0</v>
      </c>
      <c r="AC60" s="13">
        <f t="shared" si="27"/>
        <v>6</v>
      </c>
      <c r="AD60" s="13">
        <f t="shared" si="28"/>
        <v>0</v>
      </c>
      <c r="AE60" s="13">
        <f t="shared" si="29"/>
        <v>15000</v>
      </c>
      <c r="AG60" s="13">
        <v>54</v>
      </c>
      <c r="AH60" s="13">
        <f t="shared" si="7"/>
        <v>50000</v>
      </c>
      <c r="AI60" s="13">
        <f t="shared" si="8"/>
        <v>65000</v>
      </c>
      <c r="AJ60" s="13">
        <f t="shared" si="9"/>
        <v>55000</v>
      </c>
      <c r="AK60" s="13">
        <f t="shared" si="10"/>
        <v>104642.85714285714</v>
      </c>
      <c r="AL60" s="13">
        <f t="shared" si="11"/>
        <v>138750</v>
      </c>
    </row>
    <row r="61" spans="7:38" x14ac:dyDescent="0.15">
      <c r="J61" s="13"/>
      <c r="K61" s="13"/>
      <c r="L61" s="13"/>
      <c r="M61" s="13">
        <v>6</v>
      </c>
      <c r="N61" s="13"/>
      <c r="P61" s="13"/>
      <c r="Q61" s="13"/>
      <c r="R61" s="13"/>
      <c r="S61" s="13">
        <v>1</v>
      </c>
      <c r="T61" s="13"/>
      <c r="V61" s="13">
        <v>39</v>
      </c>
      <c r="W61" s="13">
        <f>INDEX(节奏总纲!T:T,MATCH(V61,节奏总纲!O:O,0))</f>
        <v>4.1702012426579218</v>
      </c>
      <c r="X61" s="13">
        <f t="shared" si="30"/>
        <v>1.7051356038250618</v>
      </c>
      <c r="Z61" s="13">
        <f t="shared" si="24"/>
        <v>0</v>
      </c>
      <c r="AA61" s="13">
        <f t="shared" si="25"/>
        <v>0</v>
      </c>
      <c r="AB61" s="13">
        <f t="shared" si="26"/>
        <v>0</v>
      </c>
      <c r="AC61" s="13">
        <f t="shared" si="27"/>
        <v>12</v>
      </c>
      <c r="AD61" s="13">
        <f t="shared" si="28"/>
        <v>0</v>
      </c>
      <c r="AE61" s="13">
        <f t="shared" si="29"/>
        <v>30000</v>
      </c>
      <c r="AG61" s="13">
        <v>55</v>
      </c>
      <c r="AH61" s="13">
        <f t="shared" si="7"/>
        <v>52500</v>
      </c>
      <c r="AI61" s="13">
        <f t="shared" si="8"/>
        <v>67500</v>
      </c>
      <c r="AJ61" s="13">
        <f t="shared" si="9"/>
        <v>60000</v>
      </c>
      <c r="AK61" s="13">
        <f t="shared" si="10"/>
        <v>110357.14285714286</v>
      </c>
      <c r="AL61" s="13">
        <f t="shared" si="11"/>
        <v>141562.5</v>
      </c>
    </row>
    <row r="62" spans="7:38" x14ac:dyDescent="0.15">
      <c r="J62" s="13"/>
      <c r="K62" s="13"/>
      <c r="L62" s="13"/>
      <c r="M62" s="13">
        <v>6</v>
      </c>
      <c r="N62" s="13"/>
      <c r="P62" s="13"/>
      <c r="Q62" s="13"/>
      <c r="R62" s="13"/>
      <c r="S62" s="13">
        <v>3</v>
      </c>
      <c r="T62" s="13"/>
      <c r="V62" s="13">
        <v>46</v>
      </c>
      <c r="W62" s="13">
        <f>INDEX(节奏总纲!T:T,MATCH(V62,节奏总纲!O:O,0))</f>
        <v>6.9545132006921566</v>
      </c>
      <c r="X62" s="13">
        <f t="shared" si="30"/>
        <v>2.7843119580342348</v>
      </c>
      <c r="Z62" s="13">
        <f t="shared" si="24"/>
        <v>0</v>
      </c>
      <c r="AA62" s="13">
        <f t="shared" si="25"/>
        <v>0</v>
      </c>
      <c r="AB62" s="13">
        <f t="shared" si="26"/>
        <v>0</v>
      </c>
      <c r="AC62" s="13">
        <f t="shared" si="27"/>
        <v>24</v>
      </c>
      <c r="AD62" s="13">
        <f t="shared" si="28"/>
        <v>0</v>
      </c>
      <c r="AE62" s="13">
        <f t="shared" si="29"/>
        <v>60000</v>
      </c>
      <c r="AG62" s="13">
        <v>56</v>
      </c>
      <c r="AH62" s="13">
        <f t="shared" si="7"/>
        <v>55000</v>
      </c>
      <c r="AI62" s="13">
        <f t="shared" si="8"/>
        <v>70000</v>
      </c>
      <c r="AJ62" s="13">
        <f t="shared" si="9"/>
        <v>65000</v>
      </c>
      <c r="AK62" s="13">
        <f t="shared" si="10"/>
        <v>116071.42857142858</v>
      </c>
      <c r="AL62" s="13">
        <f t="shared" si="11"/>
        <v>144375</v>
      </c>
    </row>
    <row r="63" spans="7:38" x14ac:dyDescent="0.15">
      <c r="J63" s="13"/>
      <c r="K63" s="13"/>
      <c r="L63" s="13"/>
      <c r="M63" s="13">
        <v>5</v>
      </c>
      <c r="N63" s="13">
        <v>1</v>
      </c>
      <c r="P63" s="13"/>
      <c r="Q63" s="13"/>
      <c r="R63" s="13"/>
      <c r="S63" s="13">
        <v>4</v>
      </c>
      <c r="T63" s="13">
        <v>0</v>
      </c>
      <c r="V63" s="13">
        <v>51</v>
      </c>
      <c r="W63" s="13">
        <f>INDEX(节奏总纲!T:T,MATCH(V63,节奏总纲!O:O,0))</f>
        <v>9.8458492119034169</v>
      </c>
      <c r="X63" s="13">
        <f t="shared" si="30"/>
        <v>2.8913360112112603</v>
      </c>
      <c r="Z63" s="13">
        <f t="shared" si="24"/>
        <v>0</v>
      </c>
      <c r="AA63" s="13">
        <f t="shared" si="25"/>
        <v>0</v>
      </c>
      <c r="AB63" s="13">
        <f t="shared" si="26"/>
        <v>0</v>
      </c>
      <c r="AC63" s="13">
        <f t="shared" si="27"/>
        <v>25</v>
      </c>
      <c r="AD63" s="13">
        <f t="shared" si="28"/>
        <v>1</v>
      </c>
      <c r="AE63" s="13">
        <f t="shared" si="29"/>
        <v>87500</v>
      </c>
      <c r="AG63" s="13">
        <v>57</v>
      </c>
      <c r="AH63" s="13">
        <f t="shared" si="7"/>
        <v>57500</v>
      </c>
      <c r="AI63" s="13">
        <f t="shared" si="8"/>
        <v>72500</v>
      </c>
      <c r="AJ63" s="13">
        <f t="shared" si="9"/>
        <v>70000</v>
      </c>
      <c r="AK63" s="13">
        <f t="shared" si="10"/>
        <v>121785.71428571429</v>
      </c>
      <c r="AL63" s="13">
        <f t="shared" si="11"/>
        <v>147187.5</v>
      </c>
    </row>
    <row r="64" spans="7:38" x14ac:dyDescent="0.15">
      <c r="J64" s="13"/>
      <c r="K64" s="13"/>
      <c r="L64" s="13"/>
      <c r="M64" s="13">
        <v>3</v>
      </c>
      <c r="N64" s="13">
        <v>3</v>
      </c>
      <c r="P64" s="13"/>
      <c r="Q64" s="13"/>
      <c r="R64" s="13"/>
      <c r="S64" s="13">
        <v>6</v>
      </c>
      <c r="T64" s="13">
        <v>0</v>
      </c>
      <c r="V64" s="13">
        <v>58</v>
      </c>
      <c r="W64" s="13">
        <f>INDEX(节奏总纲!T:T,MATCH(V64,节奏总纲!O:O,0))</f>
        <v>15.856475407565867</v>
      </c>
      <c r="X64" s="13">
        <f t="shared" si="30"/>
        <v>6.01062619566245</v>
      </c>
      <c r="Z64" s="13">
        <f t="shared" si="24"/>
        <v>0</v>
      </c>
      <c r="AA64" s="13">
        <f t="shared" si="25"/>
        <v>0</v>
      </c>
      <c r="AB64" s="13">
        <f t="shared" si="26"/>
        <v>0</v>
      </c>
      <c r="AC64" s="13">
        <f t="shared" si="27"/>
        <v>21</v>
      </c>
      <c r="AD64" s="13">
        <f t="shared" si="28"/>
        <v>3</v>
      </c>
      <c r="AE64" s="13">
        <f t="shared" si="29"/>
        <v>127500</v>
      </c>
      <c r="AG64" s="13">
        <v>58</v>
      </c>
      <c r="AH64" s="13">
        <f t="shared" si="7"/>
        <v>60000</v>
      </c>
      <c r="AI64" s="13">
        <f t="shared" si="8"/>
        <v>75000</v>
      </c>
      <c r="AJ64" s="13">
        <f t="shared" si="9"/>
        <v>75000</v>
      </c>
      <c r="AK64" s="13">
        <f t="shared" si="10"/>
        <v>127500</v>
      </c>
      <c r="AL64" s="13">
        <f t="shared" si="11"/>
        <v>150000</v>
      </c>
    </row>
    <row r="65" spans="9:38" x14ac:dyDescent="0.15">
      <c r="I65" s="6"/>
      <c r="J65" s="13"/>
      <c r="K65" s="13"/>
      <c r="L65" s="13"/>
      <c r="M65" s="13">
        <v>0</v>
      </c>
      <c r="N65" s="13">
        <v>6</v>
      </c>
      <c r="P65" s="13"/>
      <c r="Q65" s="13"/>
      <c r="R65" s="13"/>
      <c r="S65" s="13"/>
      <c r="T65" s="13">
        <v>0</v>
      </c>
      <c r="V65" s="13">
        <v>64</v>
      </c>
      <c r="W65" s="13">
        <f>INDEX(节奏总纲!T:T,MATCH(V65,节奏总纲!O:O,0))</f>
        <v>24.341929284637001</v>
      </c>
      <c r="X65" s="13">
        <f t="shared" si="30"/>
        <v>8.4854538770711336</v>
      </c>
      <c r="Z65" s="13">
        <f t="shared" si="24"/>
        <v>0</v>
      </c>
      <c r="AA65" s="13">
        <f t="shared" si="25"/>
        <v>0</v>
      </c>
      <c r="AB65" s="13">
        <f t="shared" si="26"/>
        <v>0</v>
      </c>
      <c r="AC65" s="13">
        <f t="shared" si="27"/>
        <v>0</v>
      </c>
      <c r="AD65" s="13">
        <f t="shared" si="28"/>
        <v>6</v>
      </c>
      <c r="AE65" s="13">
        <f t="shared" si="29"/>
        <v>150000</v>
      </c>
      <c r="AG65" s="13">
        <v>59</v>
      </c>
      <c r="AH65" s="13">
        <f t="shared" si="7"/>
        <v>65000</v>
      </c>
      <c r="AI65" s="13">
        <f t="shared" si="8"/>
        <v>75555.555555555562</v>
      </c>
      <c r="AJ65" s="13">
        <f t="shared" si="9"/>
        <v>82500</v>
      </c>
      <c r="AK65" s="13">
        <f t="shared" si="10"/>
        <v>131250</v>
      </c>
      <c r="AL65" s="13">
        <f t="shared" si="11"/>
        <v>168750</v>
      </c>
    </row>
    <row r="66" spans="9:38" x14ac:dyDescent="0.15">
      <c r="I66" s="6"/>
      <c r="J66" s="13"/>
      <c r="K66" s="13"/>
      <c r="L66" s="13"/>
      <c r="M66" s="13"/>
      <c r="N66" s="13">
        <v>6</v>
      </c>
      <c r="P66" s="13"/>
      <c r="Q66" s="13"/>
      <c r="R66" s="13"/>
      <c r="S66" s="13"/>
      <c r="T66" s="13">
        <v>1</v>
      </c>
      <c r="V66" s="13">
        <v>70</v>
      </c>
      <c r="W66" s="13">
        <f>INDEX(节奏总纲!T:T,MATCH(V66,节奏总纲!O:O,0))</f>
        <v>36.4998</v>
      </c>
      <c r="X66" s="13">
        <f t="shared" si="30"/>
        <v>12.157870715363</v>
      </c>
      <c r="Z66" s="13">
        <f t="shared" si="24"/>
        <v>0</v>
      </c>
      <c r="AA66" s="13">
        <f t="shared" si="25"/>
        <v>0</v>
      </c>
      <c r="AB66" s="13">
        <f t="shared" si="26"/>
        <v>0</v>
      </c>
      <c r="AC66" s="13">
        <f t="shared" si="27"/>
        <v>0</v>
      </c>
      <c r="AD66" s="13">
        <f t="shared" si="28"/>
        <v>12</v>
      </c>
      <c r="AE66" s="13">
        <f t="shared" si="29"/>
        <v>300000</v>
      </c>
      <c r="AG66" s="13">
        <v>60</v>
      </c>
      <c r="AH66" s="13">
        <f t="shared" si="7"/>
        <v>70000</v>
      </c>
      <c r="AI66" s="13">
        <f t="shared" si="8"/>
        <v>76111.111111111109</v>
      </c>
      <c r="AJ66" s="13">
        <f t="shared" si="9"/>
        <v>90000</v>
      </c>
      <c r="AK66" s="13">
        <f t="shared" si="10"/>
        <v>135000</v>
      </c>
      <c r="AL66" s="13">
        <f t="shared" si="11"/>
        <v>187500</v>
      </c>
    </row>
    <row r="67" spans="9:38" x14ac:dyDescent="0.15">
      <c r="J67" s="13"/>
      <c r="K67" s="13"/>
      <c r="L67" s="13"/>
      <c r="M67" s="13"/>
      <c r="N67" s="13">
        <v>6</v>
      </c>
      <c r="O67" s="6"/>
      <c r="P67" s="13"/>
      <c r="Q67" s="13"/>
      <c r="R67" s="13"/>
      <c r="S67" s="13"/>
      <c r="T67" s="13">
        <v>3</v>
      </c>
      <c r="U67" s="6"/>
      <c r="V67" s="13">
        <v>75</v>
      </c>
      <c r="W67" s="13">
        <f>INDEX(节奏总纲!T:T,MATCH(V67,节奏总纲!O:O,0))</f>
        <v>51.755559095329879</v>
      </c>
      <c r="X67" s="13">
        <f t="shared" si="30"/>
        <v>15.255759095329879</v>
      </c>
      <c r="Y67" s="6"/>
      <c r="Z67" s="13">
        <f t="shared" si="24"/>
        <v>0</v>
      </c>
      <c r="AA67" s="13">
        <f t="shared" si="25"/>
        <v>0</v>
      </c>
      <c r="AB67" s="13">
        <f t="shared" si="26"/>
        <v>0</v>
      </c>
      <c r="AC67" s="13">
        <f t="shared" si="27"/>
        <v>0</v>
      </c>
      <c r="AD67" s="13">
        <f t="shared" si="28"/>
        <v>24</v>
      </c>
      <c r="AE67" s="13">
        <f t="shared" si="29"/>
        <v>600000</v>
      </c>
      <c r="AG67" s="13">
        <v>61</v>
      </c>
      <c r="AH67" s="13">
        <f t="shared" si="7"/>
        <v>75000</v>
      </c>
      <c r="AI67" s="13">
        <f t="shared" si="8"/>
        <v>76666.666666666672</v>
      </c>
      <c r="AJ67" s="13">
        <f t="shared" si="9"/>
        <v>97500</v>
      </c>
      <c r="AK67" s="13">
        <f t="shared" si="10"/>
        <v>138750</v>
      </c>
      <c r="AL67" s="13">
        <f t="shared" si="11"/>
        <v>206250</v>
      </c>
    </row>
    <row r="68" spans="9:38" x14ac:dyDescent="0.15">
      <c r="J68" s="13"/>
      <c r="K68" s="13"/>
      <c r="L68" s="13"/>
      <c r="M68" s="13"/>
      <c r="N68" s="13">
        <v>6</v>
      </c>
      <c r="O68" s="6"/>
      <c r="P68" s="13"/>
      <c r="Q68" s="13"/>
      <c r="R68" s="13"/>
      <c r="S68" s="13"/>
      <c r="T68" s="13">
        <v>7</v>
      </c>
      <c r="U68" s="6"/>
      <c r="V68" s="13">
        <v>82</v>
      </c>
      <c r="W68" s="13">
        <f>INDEX(节奏总纲!T:T,MATCH(V68,节奏总纲!O:O,0))</f>
        <v>83.230965201704336</v>
      </c>
      <c r="X68" s="13">
        <f t="shared" si="30"/>
        <v>31.475406106374457</v>
      </c>
      <c r="Y68" s="6"/>
      <c r="Z68" s="13">
        <f t="shared" si="24"/>
        <v>0</v>
      </c>
      <c r="AA68" s="13">
        <f t="shared" si="25"/>
        <v>0</v>
      </c>
      <c r="AB68" s="13">
        <f t="shared" si="26"/>
        <v>0</v>
      </c>
      <c r="AC68" s="13">
        <f t="shared" si="27"/>
        <v>0</v>
      </c>
      <c r="AD68" s="13">
        <f t="shared" si="28"/>
        <v>48</v>
      </c>
      <c r="AE68" s="13">
        <f t="shared" si="29"/>
        <v>1200000</v>
      </c>
      <c r="AG68" s="13">
        <v>62</v>
      </c>
      <c r="AH68" s="13">
        <f t="shared" si="7"/>
        <v>80000</v>
      </c>
      <c r="AI68" s="13">
        <f t="shared" si="8"/>
        <v>77222.222222222219</v>
      </c>
      <c r="AJ68" s="13">
        <f t="shared" si="9"/>
        <v>105000</v>
      </c>
      <c r="AK68" s="13">
        <f t="shared" si="10"/>
        <v>142500</v>
      </c>
      <c r="AL68" s="13">
        <f t="shared" si="11"/>
        <v>225000</v>
      </c>
    </row>
    <row r="69" spans="9:38" x14ac:dyDescent="0.15">
      <c r="AG69" s="13">
        <v>63</v>
      </c>
      <c r="AH69" s="13">
        <f t="shared" si="7"/>
        <v>85000</v>
      </c>
      <c r="AI69" s="13">
        <f t="shared" si="8"/>
        <v>77777.777777777781</v>
      </c>
      <c r="AJ69" s="13">
        <f t="shared" si="9"/>
        <v>112500</v>
      </c>
      <c r="AK69" s="13">
        <f t="shared" si="10"/>
        <v>146250</v>
      </c>
      <c r="AL69" s="13">
        <f t="shared" si="11"/>
        <v>243750</v>
      </c>
    </row>
    <row r="70" spans="9:38" x14ac:dyDescent="0.15">
      <c r="J70" s="158" t="s">
        <v>88</v>
      </c>
      <c r="K70" s="158"/>
      <c r="L70" s="158"/>
      <c r="M70" s="158"/>
      <c r="N70" s="158"/>
      <c r="P70" s="158" t="s">
        <v>89</v>
      </c>
      <c r="Q70" s="158"/>
      <c r="R70" s="158"/>
      <c r="S70" s="158"/>
      <c r="T70" s="158"/>
      <c r="Z70" s="158" t="s">
        <v>100</v>
      </c>
      <c r="AA70" s="158"/>
      <c r="AB70" s="158"/>
      <c r="AC70" s="158"/>
      <c r="AD70" s="158"/>
      <c r="AE70" s="15"/>
      <c r="AG70" s="13">
        <v>64</v>
      </c>
      <c r="AH70" s="13">
        <f t="shared" si="7"/>
        <v>90000</v>
      </c>
      <c r="AI70" s="13">
        <f t="shared" si="8"/>
        <v>78333.333333333328</v>
      </c>
      <c r="AJ70" s="13">
        <f t="shared" si="9"/>
        <v>133333.33333333334</v>
      </c>
      <c r="AK70" s="13">
        <f t="shared" si="10"/>
        <v>150000</v>
      </c>
      <c r="AL70" s="13">
        <f t="shared" si="11"/>
        <v>262500</v>
      </c>
    </row>
    <row r="71" spans="9:38" x14ac:dyDescent="0.15">
      <c r="I71" s="5" t="s">
        <v>107</v>
      </c>
      <c r="J71" s="13" t="s">
        <v>84</v>
      </c>
      <c r="K71" s="13" t="s">
        <v>85</v>
      </c>
      <c r="L71" s="13" t="s">
        <v>86</v>
      </c>
      <c r="M71" s="13" t="s">
        <v>0</v>
      </c>
      <c r="N71" s="13" t="s">
        <v>87</v>
      </c>
      <c r="P71" s="13" t="s">
        <v>84</v>
      </c>
      <c r="Q71" s="13" t="s">
        <v>85</v>
      </c>
      <c r="R71" s="13" t="s">
        <v>86</v>
      </c>
      <c r="S71" s="13" t="s">
        <v>0</v>
      </c>
      <c r="T71" s="13" t="s">
        <v>87</v>
      </c>
      <c r="V71" s="13" t="s">
        <v>101</v>
      </c>
      <c r="W71" s="13" t="s">
        <v>90</v>
      </c>
      <c r="X71" s="13" t="s">
        <v>94</v>
      </c>
      <c r="Z71" s="13" t="s">
        <v>84</v>
      </c>
      <c r="AA71" s="13" t="s">
        <v>85</v>
      </c>
      <c r="AB71" s="13" t="s">
        <v>86</v>
      </c>
      <c r="AC71" s="13" t="s">
        <v>0</v>
      </c>
      <c r="AD71" s="13" t="s">
        <v>87</v>
      </c>
      <c r="AE71" s="13" t="s">
        <v>93</v>
      </c>
      <c r="AG71" s="13">
        <v>65</v>
      </c>
      <c r="AH71" s="13">
        <f t="shared" si="7"/>
        <v>95000</v>
      </c>
      <c r="AI71" s="13">
        <f t="shared" si="8"/>
        <v>78888.888888888891</v>
      </c>
      <c r="AJ71" s="13">
        <f t="shared" si="9"/>
        <v>154166.66666666666</v>
      </c>
      <c r="AK71" s="13">
        <f t="shared" si="10"/>
        <v>175000</v>
      </c>
      <c r="AL71" s="13">
        <f t="shared" si="11"/>
        <v>281250</v>
      </c>
    </row>
    <row r="72" spans="9:38" x14ac:dyDescent="0.15">
      <c r="J72" s="13"/>
      <c r="K72" s="13"/>
      <c r="L72" s="13">
        <v>0</v>
      </c>
      <c r="M72" s="13">
        <v>6</v>
      </c>
      <c r="N72" s="13"/>
      <c r="P72" s="13"/>
      <c r="Q72" s="13"/>
      <c r="R72" s="13"/>
      <c r="S72" s="13">
        <v>0</v>
      </c>
      <c r="T72" s="13"/>
      <c r="V72" s="13">
        <v>10</v>
      </c>
      <c r="W72" s="13">
        <f>INDEX(节奏总纲!T:T,MATCH(V72,节奏总纲!O:O,0))</f>
        <v>0.2732</v>
      </c>
      <c r="X72" s="13">
        <f>W72</f>
        <v>0.2732</v>
      </c>
      <c r="Z72" s="13">
        <f t="shared" ref="Z72:Z80" si="31">J72*INDEX($D$19:$D$26,P72+1,1)</f>
        <v>0</v>
      </c>
      <c r="AA72" s="13">
        <f t="shared" ref="AA72:AA80" si="32">K72*INDEX($D$19:$D$26,Q72+1,1)</f>
        <v>0</v>
      </c>
      <c r="AB72" s="13">
        <f t="shared" ref="AB72:AB80" si="33">L72*INDEX($D$19:$D$26,R72+1,1)</f>
        <v>0</v>
      </c>
      <c r="AC72" s="13">
        <f t="shared" ref="AC72:AC80" si="34">M72*INDEX($D$19:$D$26,S72+1,1)</f>
        <v>6</v>
      </c>
      <c r="AD72" s="13">
        <f t="shared" ref="AD72:AD80" si="35">N72*INDEX($D$19:$D$26,T72+1,1)</f>
        <v>0</v>
      </c>
      <c r="AE72" s="13">
        <f t="shared" ref="AE72:AE80" si="36">SUMPRODUCT(Z72:AD72,$C$35:$G$35)</f>
        <v>15000</v>
      </c>
      <c r="AG72" s="13">
        <v>66</v>
      </c>
      <c r="AH72" s="13">
        <f t="shared" ref="AH72:AH106" si="37">求节点($V$7:$V$20,$AE$7:$AE$20,AG72)</f>
        <v>100000</v>
      </c>
      <c r="AI72" s="13">
        <f t="shared" ref="AI72:AI106" si="38">求节点($V$27:$V$39,$AE$27:$AE$39,AG72)</f>
        <v>79444.444444444438</v>
      </c>
      <c r="AJ72" s="13">
        <f t="shared" ref="AJ72:AJ106" si="39">求节点($V$43:$V$54,$AE$43:$AE$54,AG72)</f>
        <v>175000</v>
      </c>
      <c r="AK72" s="13">
        <f t="shared" ref="AK72:AK106" si="40">求节点($V$58:$V$68,$AE$58:$AE$68,AG72)</f>
        <v>200000</v>
      </c>
      <c r="AL72" s="13">
        <f t="shared" ref="AL72:AL106" si="41">求节点($V$72:$V$80,$AE$72:$AE$80,AG72)</f>
        <v>300000</v>
      </c>
    </row>
    <row r="73" spans="9:38" x14ac:dyDescent="0.15">
      <c r="J73" s="13"/>
      <c r="K73" s="13"/>
      <c r="L73" s="13"/>
      <c r="M73" s="13">
        <v>6</v>
      </c>
      <c r="N73" s="13"/>
      <c r="P73" s="13"/>
      <c r="Q73" s="13"/>
      <c r="R73" s="13"/>
      <c r="S73" s="13">
        <v>1</v>
      </c>
      <c r="T73" s="13"/>
      <c r="V73" s="13">
        <v>20</v>
      </c>
      <c r="W73" s="13">
        <f>INDEX(节奏总纲!T:T,MATCH(V73,节奏总纲!O:O,0))</f>
        <v>0.87990000000000002</v>
      </c>
      <c r="X73" s="13">
        <f>W73-W72</f>
        <v>0.60670000000000002</v>
      </c>
      <c r="Z73" s="13">
        <f t="shared" si="31"/>
        <v>0</v>
      </c>
      <c r="AA73" s="13">
        <f t="shared" si="32"/>
        <v>0</v>
      </c>
      <c r="AB73" s="13">
        <f t="shared" si="33"/>
        <v>0</v>
      </c>
      <c r="AC73" s="13">
        <f t="shared" si="34"/>
        <v>12</v>
      </c>
      <c r="AD73" s="13">
        <f t="shared" si="35"/>
        <v>0</v>
      </c>
      <c r="AE73" s="13">
        <f t="shared" si="36"/>
        <v>30000</v>
      </c>
      <c r="AG73" s="13">
        <v>67</v>
      </c>
      <c r="AH73" s="13">
        <f t="shared" si="37"/>
        <v>105000</v>
      </c>
      <c r="AI73" s="13">
        <f t="shared" si="38"/>
        <v>80000</v>
      </c>
      <c r="AJ73" s="13">
        <f t="shared" si="39"/>
        <v>195833.33333333331</v>
      </c>
      <c r="AK73" s="13">
        <f t="shared" si="40"/>
        <v>225000</v>
      </c>
      <c r="AL73" s="13">
        <f t="shared" si="41"/>
        <v>350000</v>
      </c>
    </row>
    <row r="74" spans="9:38" x14ac:dyDescent="0.15">
      <c r="J74" s="13"/>
      <c r="K74" s="13"/>
      <c r="L74" s="13"/>
      <c r="M74" s="13">
        <v>6</v>
      </c>
      <c r="N74" s="13"/>
      <c r="P74" s="13"/>
      <c r="Q74" s="13"/>
      <c r="R74" s="13"/>
      <c r="S74" s="13">
        <v>3</v>
      </c>
      <c r="T74" s="13"/>
      <c r="V74" s="13">
        <v>30</v>
      </c>
      <c r="W74" s="13">
        <f>INDEX(节奏总纲!T:T,MATCH(V74,节奏总纲!O:O,0))</f>
        <v>2.1006999999999998</v>
      </c>
      <c r="X74" s="13">
        <f t="shared" ref="X74:X80" si="42">W74-W73</f>
        <v>1.2207999999999997</v>
      </c>
      <c r="Z74" s="13">
        <f t="shared" si="31"/>
        <v>0</v>
      </c>
      <c r="AA74" s="13">
        <f t="shared" si="32"/>
        <v>0</v>
      </c>
      <c r="AB74" s="13">
        <f t="shared" si="33"/>
        <v>0</v>
      </c>
      <c r="AC74" s="13">
        <f t="shared" si="34"/>
        <v>24</v>
      </c>
      <c r="AD74" s="13">
        <f t="shared" si="35"/>
        <v>0</v>
      </c>
      <c r="AE74" s="13">
        <f t="shared" si="36"/>
        <v>60000</v>
      </c>
      <c r="AG74" s="13">
        <v>68</v>
      </c>
      <c r="AH74" s="13">
        <f t="shared" si="37"/>
        <v>25000</v>
      </c>
      <c r="AI74" s="13">
        <f t="shared" si="38"/>
        <v>150000</v>
      </c>
      <c r="AJ74" s="13">
        <f t="shared" si="39"/>
        <v>216666.66666666666</v>
      </c>
      <c r="AK74" s="13">
        <f t="shared" si="40"/>
        <v>250000</v>
      </c>
      <c r="AL74" s="13">
        <f t="shared" si="41"/>
        <v>400000</v>
      </c>
    </row>
    <row r="75" spans="9:38" x14ac:dyDescent="0.15">
      <c r="J75" s="13"/>
      <c r="K75" s="13"/>
      <c r="L75" s="13"/>
      <c r="M75" s="13">
        <v>5</v>
      </c>
      <c r="N75" s="13">
        <v>1</v>
      </c>
      <c r="P75" s="13"/>
      <c r="Q75" s="13"/>
      <c r="R75" s="13"/>
      <c r="S75" s="13">
        <v>4</v>
      </c>
      <c r="T75" s="13">
        <v>0</v>
      </c>
      <c r="V75" s="13">
        <v>40</v>
      </c>
      <c r="W75" s="13">
        <f>INDEX(节奏总纲!T:T,MATCH(V75,节奏总纲!O:O,0))</f>
        <v>4.5</v>
      </c>
      <c r="X75" s="13">
        <f t="shared" si="42"/>
        <v>2.3993000000000002</v>
      </c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25</v>
      </c>
      <c r="AD75" s="13">
        <f t="shared" si="35"/>
        <v>1</v>
      </c>
      <c r="AE75" s="13">
        <f t="shared" si="36"/>
        <v>87500</v>
      </c>
      <c r="AG75" s="13">
        <v>69</v>
      </c>
      <c r="AH75" s="13">
        <f t="shared" si="37"/>
        <v>28571.428571428572</v>
      </c>
      <c r="AI75" s="13">
        <f t="shared" si="38"/>
        <v>135714.28571428571</v>
      </c>
      <c r="AJ75" s="13">
        <f t="shared" si="39"/>
        <v>237500</v>
      </c>
      <c r="AK75" s="13">
        <f t="shared" si="40"/>
        <v>275000</v>
      </c>
      <c r="AL75" s="13">
        <f t="shared" si="41"/>
        <v>450000</v>
      </c>
    </row>
    <row r="76" spans="9:38" x14ac:dyDescent="0.15">
      <c r="J76" s="13"/>
      <c r="K76" s="13"/>
      <c r="L76" s="13"/>
      <c r="M76" s="13">
        <v>3</v>
      </c>
      <c r="N76" s="13">
        <v>3</v>
      </c>
      <c r="P76" s="13"/>
      <c r="Q76" s="13"/>
      <c r="R76" s="13"/>
      <c r="S76" s="13">
        <v>6</v>
      </c>
      <c r="T76" s="13">
        <v>0</v>
      </c>
      <c r="V76" s="13">
        <v>50</v>
      </c>
      <c r="W76" s="13">
        <f>INDEX(节奏总纲!T:T,MATCH(V76,节奏总纲!O:O,0))</f>
        <v>9.1883999999999997</v>
      </c>
      <c r="X76" s="13">
        <f t="shared" si="42"/>
        <v>4.6883999999999997</v>
      </c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21</v>
      </c>
      <c r="AD76" s="13">
        <f t="shared" si="35"/>
        <v>3</v>
      </c>
      <c r="AE76" s="13">
        <f t="shared" si="36"/>
        <v>127500</v>
      </c>
      <c r="AG76" s="13">
        <v>70</v>
      </c>
      <c r="AH76" s="13">
        <f t="shared" si="37"/>
        <v>32142.857142857145</v>
      </c>
      <c r="AI76" s="13">
        <f t="shared" si="38"/>
        <v>121428.57142857142</v>
      </c>
      <c r="AJ76" s="13">
        <f t="shared" si="39"/>
        <v>247916.66666666666</v>
      </c>
      <c r="AK76" s="13">
        <f t="shared" si="40"/>
        <v>300000</v>
      </c>
      <c r="AL76" s="13">
        <f t="shared" si="41"/>
        <v>500000</v>
      </c>
    </row>
    <row r="77" spans="9:38" x14ac:dyDescent="0.15">
      <c r="J77" s="13"/>
      <c r="K77" s="13"/>
      <c r="L77" s="13"/>
      <c r="M77" s="13"/>
      <c r="N77" s="13">
        <v>6</v>
      </c>
      <c r="P77" s="13"/>
      <c r="Q77" s="13"/>
      <c r="R77" s="13"/>
      <c r="S77" s="13"/>
      <c r="T77" s="13">
        <v>0</v>
      </c>
      <c r="V77" s="13">
        <v>58</v>
      </c>
      <c r="W77" s="13">
        <f>INDEX(节奏总纲!T:T,MATCH(V77,节奏总纲!O:O,0))</f>
        <v>15.856475407565867</v>
      </c>
      <c r="X77" s="13">
        <f t="shared" si="42"/>
        <v>6.6680754075658673</v>
      </c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6</v>
      </c>
      <c r="AE77" s="13">
        <f t="shared" si="36"/>
        <v>150000</v>
      </c>
      <c r="AG77" s="13">
        <v>71</v>
      </c>
      <c r="AH77" s="13">
        <f t="shared" si="37"/>
        <v>35714.28571428571</v>
      </c>
      <c r="AI77" s="13">
        <f t="shared" si="38"/>
        <v>107142.85714285714</v>
      </c>
      <c r="AJ77" s="13">
        <f t="shared" si="39"/>
        <v>258333.33333333334</v>
      </c>
      <c r="AK77" s="13">
        <f t="shared" si="40"/>
        <v>360000</v>
      </c>
      <c r="AL77" s="13">
        <f t="shared" si="41"/>
        <v>550000</v>
      </c>
    </row>
    <row r="78" spans="9:38" x14ac:dyDescent="0.15">
      <c r="J78" s="13"/>
      <c r="K78" s="13"/>
      <c r="L78" s="13"/>
      <c r="M78" s="13"/>
      <c r="N78" s="13">
        <v>6</v>
      </c>
      <c r="P78" s="13"/>
      <c r="Q78" s="13"/>
      <c r="R78" s="13"/>
      <c r="S78" s="13"/>
      <c r="T78" s="13">
        <v>1</v>
      </c>
      <c r="V78" s="13">
        <v>66</v>
      </c>
      <c r="W78" s="13">
        <f>INDEX(节奏总纲!T:T,MATCH(V78,节奏总纲!O:O,0))</f>
        <v>27.851300060458648</v>
      </c>
      <c r="X78" s="13">
        <f t="shared" si="42"/>
        <v>11.994824652892781</v>
      </c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12</v>
      </c>
      <c r="AE78" s="13">
        <f t="shared" si="36"/>
        <v>300000</v>
      </c>
      <c r="AG78" s="13">
        <v>72</v>
      </c>
      <c r="AH78" s="13">
        <f t="shared" si="37"/>
        <v>39285.71428571429</v>
      </c>
      <c r="AI78" s="13">
        <f t="shared" si="38"/>
        <v>92857.142857142855</v>
      </c>
      <c r="AJ78" s="13">
        <f t="shared" si="39"/>
        <v>268750</v>
      </c>
      <c r="AK78" s="13">
        <f t="shared" si="40"/>
        <v>420000</v>
      </c>
      <c r="AL78" s="13">
        <f t="shared" si="41"/>
        <v>600000</v>
      </c>
    </row>
    <row r="79" spans="9:38" x14ac:dyDescent="0.15">
      <c r="J79" s="13"/>
      <c r="K79" s="13"/>
      <c r="L79" s="13"/>
      <c r="M79" s="13"/>
      <c r="N79" s="13">
        <v>6</v>
      </c>
      <c r="P79" s="13"/>
      <c r="Q79" s="13"/>
      <c r="R79" s="13"/>
      <c r="S79" s="13"/>
      <c r="T79" s="13">
        <v>3</v>
      </c>
      <c r="V79" s="13">
        <v>72</v>
      </c>
      <c r="W79" s="13">
        <f>INDEX(节奏总纲!T:T,MATCH(V79,节奏总纲!O:O,0))</f>
        <v>41.896979430227098</v>
      </c>
      <c r="X79" s="13">
        <f t="shared" si="42"/>
        <v>14.04567936976845</v>
      </c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24</v>
      </c>
      <c r="AE79" s="13">
        <f t="shared" si="36"/>
        <v>600000</v>
      </c>
      <c r="AG79" s="13">
        <v>73</v>
      </c>
      <c r="AH79" s="13">
        <f t="shared" si="37"/>
        <v>42857.142857142855</v>
      </c>
      <c r="AI79" s="13">
        <f t="shared" si="38"/>
        <v>78571.428571428565</v>
      </c>
      <c r="AJ79" s="13">
        <f t="shared" si="39"/>
        <v>279166.66666666669</v>
      </c>
      <c r="AK79" s="13">
        <f t="shared" si="40"/>
        <v>480000</v>
      </c>
      <c r="AL79" s="13">
        <f t="shared" si="41"/>
        <v>720000</v>
      </c>
    </row>
    <row r="80" spans="9:38" x14ac:dyDescent="0.15">
      <c r="J80" s="13"/>
      <c r="K80" s="13"/>
      <c r="L80" s="13"/>
      <c r="M80" s="13"/>
      <c r="N80" s="13">
        <v>6</v>
      </c>
      <c r="P80" s="13"/>
      <c r="Q80" s="13"/>
      <c r="R80" s="13"/>
      <c r="S80" s="13"/>
      <c r="T80" s="13">
        <v>7</v>
      </c>
      <c r="V80" s="13">
        <v>77</v>
      </c>
      <c r="W80" s="13">
        <f>INDEX(节奏总纲!T:T,MATCH(V80,节奏总纲!O:O,0))</f>
        <v>59.535663694512365</v>
      </c>
      <c r="X80" s="13">
        <f t="shared" si="42"/>
        <v>17.638684264285267</v>
      </c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48</v>
      </c>
      <c r="AE80" s="13">
        <f t="shared" si="36"/>
        <v>1200000</v>
      </c>
      <c r="AG80" s="13">
        <v>74</v>
      </c>
      <c r="AH80" s="13">
        <f t="shared" si="37"/>
        <v>46428.571428571428</v>
      </c>
      <c r="AI80" s="13">
        <f t="shared" si="38"/>
        <v>64285.71428571429</v>
      </c>
      <c r="AJ80" s="13">
        <f t="shared" si="39"/>
        <v>289583.33333333331</v>
      </c>
      <c r="AK80" s="13">
        <f t="shared" si="40"/>
        <v>540000</v>
      </c>
      <c r="AL80" s="13">
        <f t="shared" si="41"/>
        <v>840000</v>
      </c>
    </row>
    <row r="81" spans="9:38" x14ac:dyDescent="0.15">
      <c r="AG81" s="13">
        <v>75</v>
      </c>
      <c r="AH81" s="13">
        <f t="shared" si="37"/>
        <v>50000</v>
      </c>
      <c r="AI81" s="13">
        <f t="shared" si="38"/>
        <v>50000</v>
      </c>
      <c r="AJ81" s="13">
        <f t="shared" si="39"/>
        <v>300000</v>
      </c>
      <c r="AK81" s="13">
        <f t="shared" si="40"/>
        <v>600000</v>
      </c>
      <c r="AL81" s="13">
        <f t="shared" si="41"/>
        <v>960000</v>
      </c>
    </row>
    <row r="82" spans="9:38" x14ac:dyDescent="0.15">
      <c r="AG82" s="13">
        <v>76</v>
      </c>
      <c r="AH82" s="13">
        <f t="shared" si="37"/>
        <v>55000</v>
      </c>
      <c r="AI82" s="13">
        <f t="shared" si="38"/>
        <v>55000</v>
      </c>
      <c r="AJ82" s="13">
        <f t="shared" si="39"/>
        <v>316666.66666666669</v>
      </c>
      <c r="AK82" s="13">
        <f t="shared" si="40"/>
        <v>685714.28571428568</v>
      </c>
      <c r="AL82" s="13">
        <f t="shared" si="41"/>
        <v>1080000</v>
      </c>
    </row>
    <row r="83" spans="9:38" x14ac:dyDescent="0.15">
      <c r="AG83" s="13">
        <v>77</v>
      </c>
      <c r="AH83" s="13">
        <f t="shared" si="37"/>
        <v>60000</v>
      </c>
      <c r="AI83" s="13">
        <f t="shared" si="38"/>
        <v>60000</v>
      </c>
      <c r="AJ83" s="13">
        <f t="shared" si="39"/>
        <v>333333.33333333331</v>
      </c>
      <c r="AK83" s="13">
        <f t="shared" si="40"/>
        <v>771428.57142857136</v>
      </c>
      <c r="AL83" s="13">
        <f t="shared" si="41"/>
        <v>1200000</v>
      </c>
    </row>
    <row r="84" spans="9:38" x14ac:dyDescent="0.15">
      <c r="AG84" s="13">
        <v>78</v>
      </c>
      <c r="AH84" s="13">
        <f t="shared" si="37"/>
        <v>65000</v>
      </c>
      <c r="AI84" s="13">
        <f t="shared" si="38"/>
        <v>65000</v>
      </c>
      <c r="AJ84" s="13">
        <f t="shared" si="39"/>
        <v>350000</v>
      </c>
      <c r="AK84" s="13">
        <f t="shared" si="40"/>
        <v>857142.85714285716</v>
      </c>
      <c r="AL84" s="13">
        <f t="shared" si="41"/>
        <v>1200000</v>
      </c>
    </row>
    <row r="85" spans="9:38" x14ac:dyDescent="0.15">
      <c r="AG85" s="13">
        <v>79</v>
      </c>
      <c r="AH85" s="13">
        <f t="shared" si="37"/>
        <v>70000</v>
      </c>
      <c r="AI85" s="13">
        <f t="shared" si="38"/>
        <v>70000</v>
      </c>
      <c r="AJ85" s="13">
        <f t="shared" si="39"/>
        <v>366666.66666666669</v>
      </c>
      <c r="AK85" s="13">
        <f t="shared" si="40"/>
        <v>942857.14285714284</v>
      </c>
      <c r="AL85" s="13">
        <f t="shared" si="41"/>
        <v>1200000</v>
      </c>
    </row>
    <row r="86" spans="9:38" x14ac:dyDescent="0.15">
      <c r="AG86" s="13">
        <v>80</v>
      </c>
      <c r="AH86" s="13">
        <f t="shared" si="37"/>
        <v>75000</v>
      </c>
      <c r="AI86" s="13">
        <f t="shared" si="38"/>
        <v>75000</v>
      </c>
      <c r="AJ86" s="13">
        <f t="shared" si="39"/>
        <v>383333.33333333337</v>
      </c>
      <c r="AK86" s="13">
        <f t="shared" si="40"/>
        <v>1028571.4285714285</v>
      </c>
      <c r="AL86" s="13">
        <f t="shared" si="41"/>
        <v>1200000</v>
      </c>
    </row>
    <row r="87" spans="9:38" x14ac:dyDescent="0.15">
      <c r="AG87" s="13">
        <v>81</v>
      </c>
      <c r="AH87" s="13">
        <f t="shared" si="37"/>
        <v>81250</v>
      </c>
      <c r="AI87" s="13">
        <f t="shared" si="38"/>
        <v>81250</v>
      </c>
      <c r="AJ87" s="13">
        <f t="shared" si="39"/>
        <v>400000</v>
      </c>
      <c r="AK87" s="13">
        <f t="shared" si="40"/>
        <v>1114285.7142857143</v>
      </c>
      <c r="AL87" s="13">
        <f t="shared" si="41"/>
        <v>1200000</v>
      </c>
    </row>
    <row r="88" spans="9:38" x14ac:dyDescent="0.15">
      <c r="AG88" s="13">
        <v>82</v>
      </c>
      <c r="AH88" s="13">
        <f t="shared" si="37"/>
        <v>87500</v>
      </c>
      <c r="AI88" s="13">
        <f t="shared" si="38"/>
        <v>87500</v>
      </c>
      <c r="AJ88" s="13">
        <f t="shared" si="39"/>
        <v>416666.66666666669</v>
      </c>
      <c r="AK88" s="13">
        <f t="shared" si="40"/>
        <v>1200000</v>
      </c>
      <c r="AL88" s="13">
        <f t="shared" si="41"/>
        <v>1200000</v>
      </c>
    </row>
    <row r="89" spans="9:38" x14ac:dyDescent="0.15">
      <c r="AG89" s="13">
        <v>83</v>
      </c>
      <c r="AH89" s="13">
        <f t="shared" si="37"/>
        <v>93750</v>
      </c>
      <c r="AI89" s="13">
        <f t="shared" si="38"/>
        <v>93750</v>
      </c>
      <c r="AJ89" s="13">
        <f t="shared" si="39"/>
        <v>433333.33333333337</v>
      </c>
      <c r="AK89" s="13">
        <f t="shared" si="40"/>
        <v>1200000</v>
      </c>
      <c r="AL89" s="13">
        <f t="shared" si="41"/>
        <v>1200000</v>
      </c>
    </row>
    <row r="90" spans="9:38" x14ac:dyDescent="0.15">
      <c r="AG90" s="13">
        <v>84</v>
      </c>
      <c r="AH90" s="13">
        <f t="shared" si="37"/>
        <v>100000</v>
      </c>
      <c r="AI90" s="13">
        <f t="shared" si="38"/>
        <v>100000</v>
      </c>
      <c r="AJ90" s="13">
        <f t="shared" si="39"/>
        <v>450000</v>
      </c>
      <c r="AK90" s="13">
        <f t="shared" si="40"/>
        <v>1200000</v>
      </c>
      <c r="AL90" s="13">
        <f t="shared" si="41"/>
        <v>1200000</v>
      </c>
    </row>
    <row r="91" spans="9:38" x14ac:dyDescent="0.15">
      <c r="I91" s="5">
        <v>6</v>
      </c>
      <c r="AG91" s="13">
        <v>85</v>
      </c>
      <c r="AH91" s="13">
        <f t="shared" si="37"/>
        <v>106250</v>
      </c>
      <c r="AI91" s="13">
        <f t="shared" si="38"/>
        <v>106250</v>
      </c>
      <c r="AJ91" s="13">
        <f t="shared" si="39"/>
        <v>492857.14285714284</v>
      </c>
      <c r="AK91" s="13">
        <f t="shared" si="40"/>
        <v>1200000</v>
      </c>
      <c r="AL91" s="13">
        <f t="shared" si="41"/>
        <v>1200000</v>
      </c>
    </row>
    <row r="92" spans="9:38" x14ac:dyDescent="0.15">
      <c r="AG92" s="13">
        <v>86</v>
      </c>
      <c r="AH92" s="13">
        <f t="shared" si="37"/>
        <v>112500</v>
      </c>
      <c r="AI92" s="13">
        <f t="shared" si="38"/>
        <v>112500</v>
      </c>
      <c r="AJ92" s="13">
        <f t="shared" si="39"/>
        <v>535714.28571428568</v>
      </c>
      <c r="AK92" s="13">
        <f t="shared" si="40"/>
        <v>1200000</v>
      </c>
      <c r="AL92" s="13">
        <f t="shared" si="41"/>
        <v>1200000</v>
      </c>
    </row>
    <row r="93" spans="9:38" x14ac:dyDescent="0.15">
      <c r="AG93" s="13">
        <v>87</v>
      </c>
      <c r="AH93" s="13">
        <f t="shared" si="37"/>
        <v>118750</v>
      </c>
      <c r="AI93" s="13">
        <f t="shared" si="38"/>
        <v>118750</v>
      </c>
      <c r="AJ93" s="13">
        <f t="shared" si="39"/>
        <v>578571.42857142852</v>
      </c>
      <c r="AK93" s="13">
        <f t="shared" si="40"/>
        <v>1200000</v>
      </c>
      <c r="AL93" s="13">
        <f t="shared" si="41"/>
        <v>1200000</v>
      </c>
    </row>
    <row r="94" spans="9:38" x14ac:dyDescent="0.15">
      <c r="AG94" s="13">
        <v>88</v>
      </c>
      <c r="AH94" s="13">
        <f t="shared" si="37"/>
        <v>125000</v>
      </c>
      <c r="AI94" s="13">
        <f t="shared" si="38"/>
        <v>125000</v>
      </c>
      <c r="AJ94" s="13">
        <f t="shared" si="39"/>
        <v>621428.57142857136</v>
      </c>
      <c r="AK94" s="13">
        <f t="shared" si="40"/>
        <v>1200000</v>
      </c>
      <c r="AL94" s="13">
        <f t="shared" si="41"/>
        <v>1200000</v>
      </c>
    </row>
    <row r="95" spans="9:38" x14ac:dyDescent="0.15">
      <c r="AG95" s="13">
        <v>89</v>
      </c>
      <c r="AH95" s="13">
        <f t="shared" si="37"/>
        <v>133333.33333333334</v>
      </c>
      <c r="AI95" s="13">
        <f t="shared" si="38"/>
        <v>133333.33333333334</v>
      </c>
      <c r="AJ95" s="13">
        <f t="shared" si="39"/>
        <v>664285.71428571432</v>
      </c>
      <c r="AK95" s="13">
        <f t="shared" si="40"/>
        <v>1200000</v>
      </c>
      <c r="AL95" s="13">
        <f t="shared" si="41"/>
        <v>1200000</v>
      </c>
    </row>
    <row r="96" spans="9:38" x14ac:dyDescent="0.15">
      <c r="AG96" s="13">
        <v>90</v>
      </c>
      <c r="AH96" s="13">
        <f t="shared" si="37"/>
        <v>141666.66666666666</v>
      </c>
      <c r="AI96" s="13">
        <f t="shared" si="38"/>
        <v>141666.66666666666</v>
      </c>
      <c r="AJ96" s="13">
        <f t="shared" si="39"/>
        <v>707142.85714285716</v>
      </c>
      <c r="AK96" s="13">
        <f t="shared" si="40"/>
        <v>1200000</v>
      </c>
      <c r="AL96" s="13">
        <f t="shared" si="41"/>
        <v>1200000</v>
      </c>
    </row>
    <row r="97" spans="33:38" x14ac:dyDescent="0.15">
      <c r="AG97" s="13">
        <v>91</v>
      </c>
      <c r="AH97" s="13">
        <f t="shared" si="37"/>
        <v>150000</v>
      </c>
      <c r="AI97" s="13">
        <f t="shared" si="38"/>
        <v>150000</v>
      </c>
      <c r="AJ97" s="13">
        <f t="shared" si="39"/>
        <v>750000</v>
      </c>
      <c r="AK97" s="13">
        <f t="shared" si="40"/>
        <v>1200000</v>
      </c>
      <c r="AL97" s="13">
        <f t="shared" si="41"/>
        <v>1200000</v>
      </c>
    </row>
    <row r="98" spans="33:38" x14ac:dyDescent="0.15">
      <c r="AG98" s="13">
        <v>92</v>
      </c>
      <c r="AH98" s="13">
        <f t="shared" si="37"/>
        <v>150000</v>
      </c>
      <c r="AI98" s="13">
        <f t="shared" si="38"/>
        <v>150000</v>
      </c>
      <c r="AJ98" s="13">
        <f t="shared" si="39"/>
        <v>750000</v>
      </c>
      <c r="AK98" s="13">
        <f t="shared" si="40"/>
        <v>1200000</v>
      </c>
      <c r="AL98" s="13">
        <f t="shared" si="41"/>
        <v>1200000</v>
      </c>
    </row>
    <row r="99" spans="33:38" x14ac:dyDescent="0.15">
      <c r="AG99" s="13">
        <v>93</v>
      </c>
      <c r="AH99" s="13">
        <f t="shared" si="37"/>
        <v>150000</v>
      </c>
      <c r="AI99" s="13">
        <f t="shared" si="38"/>
        <v>150000</v>
      </c>
      <c r="AJ99" s="13">
        <f t="shared" si="39"/>
        <v>750000</v>
      </c>
      <c r="AK99" s="13">
        <f t="shared" si="40"/>
        <v>1200000</v>
      </c>
      <c r="AL99" s="13">
        <f t="shared" si="41"/>
        <v>1200000</v>
      </c>
    </row>
    <row r="100" spans="33:38" x14ac:dyDescent="0.15">
      <c r="AG100" s="13">
        <v>94</v>
      </c>
      <c r="AH100" s="13">
        <f t="shared" si="37"/>
        <v>150000</v>
      </c>
      <c r="AI100" s="13">
        <f t="shared" si="38"/>
        <v>150000</v>
      </c>
      <c r="AJ100" s="13">
        <f t="shared" si="39"/>
        <v>750000</v>
      </c>
      <c r="AK100" s="13">
        <f t="shared" si="40"/>
        <v>1200000</v>
      </c>
      <c r="AL100" s="13">
        <f t="shared" si="41"/>
        <v>1200000</v>
      </c>
    </row>
    <row r="101" spans="33:38" x14ac:dyDescent="0.15">
      <c r="AG101" s="13">
        <v>95</v>
      </c>
      <c r="AH101" s="13">
        <f t="shared" si="37"/>
        <v>150000</v>
      </c>
      <c r="AI101" s="13">
        <f t="shared" si="38"/>
        <v>150000</v>
      </c>
      <c r="AJ101" s="13">
        <f t="shared" si="39"/>
        <v>750000</v>
      </c>
      <c r="AK101" s="13">
        <f t="shared" si="40"/>
        <v>1200000</v>
      </c>
      <c r="AL101" s="13">
        <f t="shared" si="41"/>
        <v>1200000</v>
      </c>
    </row>
    <row r="102" spans="33:38" x14ac:dyDescent="0.15">
      <c r="AG102" s="13">
        <v>96</v>
      </c>
      <c r="AH102" s="13">
        <f t="shared" si="37"/>
        <v>150000</v>
      </c>
      <c r="AI102" s="13">
        <f t="shared" si="38"/>
        <v>150000</v>
      </c>
      <c r="AJ102" s="13">
        <f t="shared" si="39"/>
        <v>750000</v>
      </c>
      <c r="AK102" s="13">
        <f t="shared" si="40"/>
        <v>1200000</v>
      </c>
      <c r="AL102" s="13">
        <f t="shared" si="41"/>
        <v>1200000</v>
      </c>
    </row>
    <row r="103" spans="33:38" x14ac:dyDescent="0.15">
      <c r="AG103" s="13">
        <v>97</v>
      </c>
      <c r="AH103" s="13">
        <f t="shared" si="37"/>
        <v>150000</v>
      </c>
      <c r="AI103" s="13">
        <f t="shared" si="38"/>
        <v>150000</v>
      </c>
      <c r="AJ103" s="13">
        <f t="shared" si="39"/>
        <v>750000</v>
      </c>
      <c r="AK103" s="13">
        <f t="shared" si="40"/>
        <v>1200000</v>
      </c>
      <c r="AL103" s="13">
        <f t="shared" si="41"/>
        <v>1200000</v>
      </c>
    </row>
    <row r="104" spans="33:38" x14ac:dyDescent="0.15">
      <c r="AG104" s="13">
        <v>98</v>
      </c>
      <c r="AH104" s="13">
        <f t="shared" si="37"/>
        <v>150000</v>
      </c>
      <c r="AI104" s="13">
        <f t="shared" si="38"/>
        <v>150000</v>
      </c>
      <c r="AJ104" s="13">
        <f t="shared" si="39"/>
        <v>750000</v>
      </c>
      <c r="AK104" s="13">
        <f t="shared" si="40"/>
        <v>1200000</v>
      </c>
      <c r="AL104" s="13">
        <f t="shared" si="41"/>
        <v>1200000</v>
      </c>
    </row>
    <row r="105" spans="33:38" x14ac:dyDescent="0.15">
      <c r="AG105" s="13">
        <v>99</v>
      </c>
      <c r="AH105" s="13">
        <f t="shared" si="37"/>
        <v>150000</v>
      </c>
      <c r="AI105" s="13">
        <f t="shared" si="38"/>
        <v>150000</v>
      </c>
      <c r="AJ105" s="13">
        <f t="shared" si="39"/>
        <v>750000</v>
      </c>
      <c r="AK105" s="13">
        <f t="shared" si="40"/>
        <v>1200000</v>
      </c>
      <c r="AL105" s="13">
        <f t="shared" si="41"/>
        <v>1200000</v>
      </c>
    </row>
    <row r="106" spans="33:38" x14ac:dyDescent="0.15">
      <c r="AG106" s="13">
        <v>100</v>
      </c>
      <c r="AH106" s="13">
        <f t="shared" si="37"/>
        <v>150000</v>
      </c>
      <c r="AI106" s="13">
        <f t="shared" si="38"/>
        <v>150000</v>
      </c>
      <c r="AJ106" s="13">
        <f t="shared" si="39"/>
        <v>750000</v>
      </c>
      <c r="AK106" s="13">
        <f t="shared" si="40"/>
        <v>1200000</v>
      </c>
      <c r="AL106" s="13">
        <f t="shared" si="41"/>
        <v>1200000</v>
      </c>
    </row>
  </sheetData>
  <mergeCells count="16">
    <mergeCell ref="J70:N70"/>
    <mergeCell ref="P70:T70"/>
    <mergeCell ref="Z70:AD70"/>
    <mergeCell ref="J41:N41"/>
    <mergeCell ref="P41:T41"/>
    <mergeCell ref="Z41:AD41"/>
    <mergeCell ref="J56:N56"/>
    <mergeCell ref="P56:T56"/>
    <mergeCell ref="Z56:AD56"/>
    <mergeCell ref="AH5:AL5"/>
    <mergeCell ref="J5:N5"/>
    <mergeCell ref="P5:T5"/>
    <mergeCell ref="Z5:AD5"/>
    <mergeCell ref="J25:N25"/>
    <mergeCell ref="P25:T25"/>
    <mergeCell ref="Z25:AD25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K20:U39"/>
  <sheetViews>
    <sheetView topLeftCell="A10" workbookViewId="0">
      <selection activeCell="J19" sqref="J19"/>
    </sheetView>
  </sheetViews>
  <sheetFormatPr defaultRowHeight="13.5" x14ac:dyDescent="0.15"/>
  <sheetData>
    <row r="20" spans="11:21" x14ac:dyDescent="0.15">
      <c r="K20" s="2" t="s">
        <v>7</v>
      </c>
      <c r="L20" s="2">
        <v>8</v>
      </c>
      <c r="M20" s="4" t="s">
        <v>33</v>
      </c>
      <c r="N20" s="4">
        <v>1</v>
      </c>
      <c r="O20" s="4" t="s">
        <v>32</v>
      </c>
      <c r="P20" s="4">
        <v>5</v>
      </c>
      <c r="Q20" s="4"/>
      <c r="R20" s="4"/>
      <c r="S20" s="4"/>
      <c r="T20" s="2" t="s">
        <v>7</v>
      </c>
      <c r="U20" s="2">
        <v>8</v>
      </c>
    </row>
    <row r="21" spans="11:21" x14ac:dyDescent="0.15">
      <c r="K21" s="2" t="s">
        <v>8</v>
      </c>
      <c r="L21" s="2">
        <v>12</v>
      </c>
      <c r="M21" s="4" t="s">
        <v>33</v>
      </c>
      <c r="N21" s="4">
        <v>3</v>
      </c>
      <c r="O21" s="4" t="s">
        <v>32</v>
      </c>
      <c r="P21" s="4">
        <v>3</v>
      </c>
      <c r="Q21" s="4"/>
      <c r="R21" s="4"/>
      <c r="S21" s="4"/>
      <c r="T21" s="4" t="s">
        <v>55</v>
      </c>
      <c r="U21" s="4">
        <v>10</v>
      </c>
    </row>
    <row r="22" spans="11:21" x14ac:dyDescent="0.15">
      <c r="K22" s="2" t="s">
        <v>9</v>
      </c>
      <c r="L22" s="2">
        <v>16</v>
      </c>
      <c r="M22" s="4" t="s">
        <v>33</v>
      </c>
      <c r="N22" s="4">
        <v>5</v>
      </c>
      <c r="O22" s="4" t="s">
        <v>32</v>
      </c>
      <c r="P22" s="4">
        <v>1</v>
      </c>
      <c r="Q22" s="4"/>
      <c r="R22" s="4"/>
      <c r="S22" s="4"/>
      <c r="T22" s="2" t="s">
        <v>8</v>
      </c>
      <c r="U22" s="2">
        <v>12</v>
      </c>
    </row>
    <row r="23" spans="11:21" x14ac:dyDescent="0.15">
      <c r="K23" s="2" t="s">
        <v>10</v>
      </c>
      <c r="L23" s="2">
        <v>20</v>
      </c>
      <c r="M23" s="4" t="s">
        <v>28</v>
      </c>
      <c r="N23" s="4">
        <v>1</v>
      </c>
      <c r="O23" s="4" t="s">
        <v>33</v>
      </c>
      <c r="P23" s="4">
        <v>5</v>
      </c>
      <c r="Q23" s="4"/>
      <c r="R23" s="4"/>
      <c r="S23" s="4"/>
      <c r="T23" s="2" t="s">
        <v>9</v>
      </c>
      <c r="U23" s="2">
        <v>16</v>
      </c>
    </row>
    <row r="24" spans="11:21" x14ac:dyDescent="0.15">
      <c r="K24" s="2" t="s">
        <v>20</v>
      </c>
      <c r="L24" s="2">
        <v>30</v>
      </c>
      <c r="M24" s="4" t="s">
        <v>28</v>
      </c>
      <c r="N24" s="4">
        <v>4</v>
      </c>
      <c r="O24" s="4" t="s">
        <v>33</v>
      </c>
      <c r="P24" s="4">
        <v>2</v>
      </c>
      <c r="Q24" s="4"/>
      <c r="R24" s="4"/>
      <c r="S24" s="4"/>
      <c r="T24" s="4" t="s">
        <v>56</v>
      </c>
      <c r="U24" s="4">
        <v>20</v>
      </c>
    </row>
    <row r="25" spans="11:21" x14ac:dyDescent="0.15">
      <c r="K25" s="2" t="s">
        <v>21</v>
      </c>
      <c r="L25" s="2">
        <v>32</v>
      </c>
      <c r="M25" s="4" t="s">
        <v>28</v>
      </c>
      <c r="N25" s="4">
        <v>4</v>
      </c>
      <c r="O25" s="4" t="s">
        <v>33</v>
      </c>
      <c r="P25" s="4">
        <v>1</v>
      </c>
      <c r="Q25" s="4" t="s">
        <v>47</v>
      </c>
      <c r="R25" s="4">
        <v>1</v>
      </c>
      <c r="S25" s="4"/>
      <c r="T25" s="4" t="s">
        <v>57</v>
      </c>
      <c r="U25" s="4">
        <v>30</v>
      </c>
    </row>
    <row r="26" spans="11:21" x14ac:dyDescent="0.15">
      <c r="K26" s="2" t="s">
        <v>11</v>
      </c>
      <c r="L26" s="2">
        <v>35</v>
      </c>
      <c r="M26" s="4" t="s">
        <v>28</v>
      </c>
      <c r="N26" s="4">
        <v>6</v>
      </c>
      <c r="O26" s="4"/>
      <c r="P26" s="4"/>
      <c r="Q26" s="4"/>
      <c r="R26" s="4"/>
      <c r="S26" s="4"/>
      <c r="T26" s="2" t="s">
        <v>21</v>
      </c>
      <c r="U26" s="2">
        <v>32</v>
      </c>
    </row>
    <row r="27" spans="11:21" x14ac:dyDescent="0.15">
      <c r="K27" s="2" t="s">
        <v>22</v>
      </c>
      <c r="L27" s="2">
        <v>36</v>
      </c>
      <c r="M27" s="4" t="s">
        <v>48</v>
      </c>
      <c r="N27" s="4">
        <v>1</v>
      </c>
      <c r="O27" s="4" t="s">
        <v>28</v>
      </c>
      <c r="P27" s="4">
        <v>5</v>
      </c>
      <c r="Q27" s="4"/>
      <c r="R27" s="4"/>
      <c r="S27" s="4"/>
      <c r="T27" s="2" t="s">
        <v>11</v>
      </c>
      <c r="U27" s="2">
        <v>35</v>
      </c>
    </row>
    <row r="28" spans="11:21" x14ac:dyDescent="0.15">
      <c r="K28" s="2" t="s">
        <v>16</v>
      </c>
      <c r="L28" s="2">
        <v>44</v>
      </c>
      <c r="M28" s="4" t="s">
        <v>49</v>
      </c>
      <c r="N28" s="4">
        <v>1</v>
      </c>
      <c r="O28" s="4" t="s">
        <v>28</v>
      </c>
      <c r="P28" s="4">
        <v>5</v>
      </c>
      <c r="Q28" s="4"/>
      <c r="R28" s="4"/>
      <c r="S28" s="4"/>
      <c r="T28" s="2" t="s">
        <v>22</v>
      </c>
      <c r="U28" s="2">
        <v>36</v>
      </c>
    </row>
    <row r="29" spans="11:21" x14ac:dyDescent="0.15">
      <c r="K29" s="2" t="s">
        <v>23</v>
      </c>
      <c r="L29" s="2">
        <v>46</v>
      </c>
      <c r="M29" s="4" t="s">
        <v>50</v>
      </c>
      <c r="N29" s="4">
        <v>1</v>
      </c>
      <c r="O29" s="4" t="s">
        <v>48</v>
      </c>
      <c r="P29" s="4">
        <v>5</v>
      </c>
      <c r="Q29" s="4"/>
      <c r="R29" s="4"/>
      <c r="S29" s="4"/>
      <c r="T29" s="4" t="s">
        <v>58</v>
      </c>
      <c r="U29" s="4">
        <v>40</v>
      </c>
    </row>
    <row r="30" spans="11:21" x14ac:dyDescent="0.15">
      <c r="K30" s="2" t="s">
        <v>17</v>
      </c>
      <c r="L30" s="2">
        <v>48</v>
      </c>
      <c r="M30" s="4" t="s">
        <v>51</v>
      </c>
      <c r="N30" s="4">
        <v>6</v>
      </c>
      <c r="O30" s="4"/>
      <c r="P30" s="4"/>
      <c r="Q30" s="4"/>
      <c r="R30" s="4"/>
      <c r="S30" s="4"/>
      <c r="T30" s="2" t="s">
        <v>16</v>
      </c>
      <c r="U30" s="2">
        <v>44</v>
      </c>
    </row>
    <row r="31" spans="11:21" x14ac:dyDescent="0.15">
      <c r="K31" s="2" t="s">
        <v>18</v>
      </c>
      <c r="L31" s="2">
        <v>58</v>
      </c>
      <c r="M31" s="4" t="s">
        <v>52</v>
      </c>
      <c r="N31" s="4">
        <v>6</v>
      </c>
      <c r="O31" s="4"/>
      <c r="P31" s="4"/>
      <c r="Q31" s="4"/>
      <c r="R31" s="4"/>
      <c r="S31" s="4"/>
      <c r="T31" s="2" t="s">
        <v>23</v>
      </c>
      <c r="U31" s="2">
        <v>46</v>
      </c>
    </row>
    <row r="32" spans="11:21" x14ac:dyDescent="0.15">
      <c r="K32" s="2" t="s">
        <v>19</v>
      </c>
      <c r="L32" s="2">
        <v>66</v>
      </c>
      <c r="M32" s="4" t="s">
        <v>53</v>
      </c>
      <c r="N32" s="4">
        <v>6</v>
      </c>
      <c r="O32" s="4"/>
      <c r="P32" s="4"/>
      <c r="Q32" s="4"/>
      <c r="R32" s="4"/>
      <c r="S32" s="4"/>
      <c r="T32" s="2" t="s">
        <v>17</v>
      </c>
      <c r="U32" s="2">
        <v>48</v>
      </c>
    </row>
    <row r="33" spans="11:21" x14ac:dyDescent="0.15">
      <c r="K33" s="4"/>
      <c r="L33" s="4"/>
      <c r="M33" s="4"/>
      <c r="N33" s="4"/>
      <c r="O33" s="4"/>
      <c r="P33" s="4"/>
      <c r="Q33" s="4"/>
      <c r="R33" s="4"/>
      <c r="S33" s="4"/>
      <c r="T33" s="4" t="s">
        <v>59</v>
      </c>
      <c r="U33" s="4">
        <v>50</v>
      </c>
    </row>
    <row r="34" spans="11:21" x14ac:dyDescent="0.15">
      <c r="K34" s="2"/>
      <c r="L34" s="2"/>
      <c r="M34" s="4"/>
      <c r="N34" s="4"/>
      <c r="O34" s="4"/>
      <c r="P34" s="4"/>
      <c r="Q34" s="4"/>
      <c r="R34" s="4"/>
      <c r="S34" s="4"/>
      <c r="T34" s="4" t="s">
        <v>60</v>
      </c>
      <c r="U34" s="4">
        <v>60</v>
      </c>
    </row>
    <row r="35" spans="11:21" x14ac:dyDescent="0.15">
      <c r="K35" s="4"/>
      <c r="L35" s="4"/>
      <c r="M35" s="4"/>
      <c r="N35" s="4"/>
      <c r="O35" s="4"/>
      <c r="P35" s="4"/>
      <c r="Q35" s="4"/>
      <c r="R35" s="4"/>
      <c r="S35" s="4"/>
      <c r="T35" s="2" t="s">
        <v>18</v>
      </c>
      <c r="U35" s="2">
        <v>58</v>
      </c>
    </row>
    <row r="36" spans="11:21" x14ac:dyDescent="0.15">
      <c r="K36" s="4"/>
      <c r="L36" s="4"/>
      <c r="M36" s="4"/>
      <c r="N36" s="4"/>
      <c r="O36" s="4"/>
      <c r="P36" s="4"/>
      <c r="Q36" s="4"/>
      <c r="R36" s="4"/>
      <c r="S36" s="4"/>
      <c r="T36" s="4" t="s">
        <v>61</v>
      </c>
      <c r="U36" s="4">
        <v>70</v>
      </c>
    </row>
    <row r="37" spans="11:21" x14ac:dyDescent="0.15">
      <c r="K37" s="4"/>
      <c r="L37" s="4"/>
      <c r="M37" s="4"/>
      <c r="N37" s="4"/>
      <c r="O37" s="4"/>
      <c r="P37" s="4"/>
      <c r="Q37" s="4"/>
      <c r="R37" s="4"/>
      <c r="S37" s="4"/>
      <c r="T37" s="4" t="s">
        <v>61</v>
      </c>
      <c r="U37" s="4">
        <v>80</v>
      </c>
    </row>
    <row r="38" spans="11:21" x14ac:dyDescent="0.15">
      <c r="K38" s="4"/>
      <c r="L38" s="4"/>
      <c r="M38" s="4"/>
      <c r="N38" s="4"/>
      <c r="O38" s="4"/>
      <c r="P38" s="4"/>
      <c r="Q38" s="4"/>
      <c r="R38" s="4"/>
      <c r="S38" s="4"/>
      <c r="T38" s="4" t="s">
        <v>61</v>
      </c>
      <c r="U38" s="4">
        <v>90</v>
      </c>
    </row>
    <row r="39" spans="11:21" x14ac:dyDescent="0.15">
      <c r="K39" s="4"/>
      <c r="L39" s="4"/>
      <c r="M39" s="4"/>
      <c r="N39" s="4"/>
      <c r="O39" s="4"/>
      <c r="P39" s="4"/>
      <c r="Q39" s="4"/>
      <c r="R39" s="4"/>
      <c r="S39" s="4"/>
      <c r="T39" s="4" t="s">
        <v>61</v>
      </c>
      <c r="U39" s="4">
        <v>100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7"/>
  <dimension ref="A3:AF104"/>
  <sheetViews>
    <sheetView topLeftCell="G1" workbookViewId="0">
      <selection activeCell="S38" sqref="S38"/>
    </sheetView>
  </sheetViews>
  <sheetFormatPr defaultRowHeight="11.25" x14ac:dyDescent="0.15"/>
  <cols>
    <col min="1" max="25" width="9" style="9"/>
    <col min="26" max="26" width="9" style="10"/>
    <col min="27" max="16384" width="9" style="9"/>
  </cols>
  <sheetData>
    <row r="3" spans="2:32" x14ac:dyDescent="0.15">
      <c r="AB3" s="136" t="s">
        <v>136</v>
      </c>
      <c r="AC3" s="136"/>
      <c r="AD3" s="136"/>
      <c r="AE3" s="136"/>
      <c r="AF3" s="136"/>
    </row>
    <row r="4" spans="2:32" x14ac:dyDescent="0.15">
      <c r="AA4" s="9" t="s">
        <v>119</v>
      </c>
      <c r="AB4" s="9" t="s">
        <v>115</v>
      </c>
      <c r="AC4" s="9" t="s">
        <v>116</v>
      </c>
      <c r="AD4" s="9" t="s">
        <v>110</v>
      </c>
      <c r="AE4" s="9" t="s">
        <v>118</v>
      </c>
      <c r="AF4" s="9" t="s">
        <v>111</v>
      </c>
    </row>
    <row r="5" spans="2:32" x14ac:dyDescent="0.15">
      <c r="AA5" s="9">
        <v>1</v>
      </c>
      <c r="AB5" s="9">
        <f>求节点($Q$8:$Q$14,S$8:S$14,$AA5)</f>
        <v>0.12000000000000011</v>
      </c>
      <c r="AC5" s="20">
        <f>求节点($Q$8:$Q$14,T$8:T$14,$AA5)</f>
        <v>4.0000000000000036E-2</v>
      </c>
      <c r="AD5" s="20">
        <f>求节点($Q$8:$Q$14,U$8:U$14,$AA5)</f>
        <v>0</v>
      </c>
      <c r="AE5" s="20">
        <f>求节点($Q$8:$Q$14,V$8:V$14,$AA5)</f>
        <v>0</v>
      </c>
      <c r="AF5" s="20">
        <f>求节点($Q$8:$Q$14,W$8:W$14,$AA5)</f>
        <v>0</v>
      </c>
    </row>
    <row r="6" spans="2:32" x14ac:dyDescent="0.15">
      <c r="C6" s="9" t="s">
        <v>108</v>
      </c>
      <c r="J6" s="13"/>
      <c r="K6" s="13"/>
      <c r="L6" s="158" t="s">
        <v>145</v>
      </c>
      <c r="M6" s="158"/>
      <c r="N6" s="13"/>
      <c r="O6" s="158" t="s">
        <v>146</v>
      </c>
      <c r="P6" s="158"/>
      <c r="Q6" s="13" t="s">
        <v>149</v>
      </c>
      <c r="R6" s="13"/>
      <c r="S6" s="158" t="s">
        <v>147</v>
      </c>
      <c r="T6" s="158"/>
      <c r="U6" s="158"/>
      <c r="V6" s="158"/>
      <c r="W6" s="158"/>
      <c r="X6" s="158" t="s">
        <v>148</v>
      </c>
      <c r="Y6" s="158"/>
      <c r="AA6" s="9">
        <v>2</v>
      </c>
      <c r="AB6" s="20">
        <f t="shared" ref="AB6:AB69" si="0">求节点($Q$8:$Q$14,S$8:S$14,$AA6)</f>
        <v>0.24000000000000021</v>
      </c>
      <c r="AC6" s="20">
        <f t="shared" ref="AC6:AC69" si="1">求节点($Q$8:$Q$14,T$8:T$14,$AA6)</f>
        <v>7.999999999999996E-2</v>
      </c>
      <c r="AD6" s="20">
        <f t="shared" ref="AD6:AD69" si="2">求节点($Q$8:$Q$14,U$8:U$14,$AA6)</f>
        <v>0</v>
      </c>
      <c r="AE6" s="20">
        <f t="shared" ref="AE6:AE69" si="3">求节点($Q$8:$Q$14,V$8:V$14,$AA6)</f>
        <v>0</v>
      </c>
      <c r="AF6" s="20">
        <f t="shared" ref="AF6:AF69" si="4">求节点($Q$8:$Q$14,W$8:W$14,$AA6)</f>
        <v>0</v>
      </c>
    </row>
    <row r="7" spans="2:32" x14ac:dyDescent="0.15">
      <c r="J7" s="13" t="s">
        <v>130</v>
      </c>
      <c r="K7" s="13" t="s">
        <v>129</v>
      </c>
      <c r="L7" s="13" t="s">
        <v>127</v>
      </c>
      <c r="M7" s="13" t="s">
        <v>128</v>
      </c>
      <c r="N7" s="13" t="s">
        <v>129</v>
      </c>
      <c r="O7" s="13" t="s">
        <v>127</v>
      </c>
      <c r="P7" s="13" t="s">
        <v>128</v>
      </c>
      <c r="Q7" s="13" t="s">
        <v>122</v>
      </c>
      <c r="R7" s="13" t="s">
        <v>121</v>
      </c>
      <c r="S7" s="13" t="s">
        <v>115</v>
      </c>
      <c r="T7" s="13" t="s">
        <v>116</v>
      </c>
      <c r="U7" s="13" t="s">
        <v>110</v>
      </c>
      <c r="V7" s="13" t="s">
        <v>118</v>
      </c>
      <c r="W7" s="13" t="s">
        <v>111</v>
      </c>
      <c r="X7" s="13" t="s">
        <v>134</v>
      </c>
      <c r="Y7" s="13" t="s">
        <v>135</v>
      </c>
      <c r="AA7" s="9">
        <v>3</v>
      </c>
      <c r="AB7" s="20">
        <f t="shared" si="0"/>
        <v>0.36000000000000032</v>
      </c>
      <c r="AC7" s="20">
        <f t="shared" si="1"/>
        <v>0.12</v>
      </c>
      <c r="AD7" s="20">
        <f t="shared" si="2"/>
        <v>0</v>
      </c>
      <c r="AE7" s="20">
        <f t="shared" si="3"/>
        <v>0</v>
      </c>
      <c r="AF7" s="20">
        <f t="shared" si="4"/>
        <v>0</v>
      </c>
    </row>
    <row r="8" spans="2:32" x14ac:dyDescent="0.15">
      <c r="J8" s="13" t="s">
        <v>124</v>
      </c>
      <c r="K8" s="13" t="s">
        <v>110</v>
      </c>
      <c r="L8" s="13">
        <v>1</v>
      </c>
      <c r="M8" s="13">
        <v>0</v>
      </c>
      <c r="N8" s="13" t="s">
        <v>111</v>
      </c>
      <c r="O8" s="13">
        <v>0</v>
      </c>
      <c r="P8" s="13">
        <v>0</v>
      </c>
      <c r="Q8" s="13">
        <v>25</v>
      </c>
      <c r="R8" s="13">
        <f>INDEX(节奏总纲!$P:$P,MATCH(Q8,节奏总纲!$O:$O,0))</f>
        <v>4.6568542494923806</v>
      </c>
      <c r="S8" s="13">
        <f t="shared" ref="S8:S14" si="5">L8*C$32</f>
        <v>3</v>
      </c>
      <c r="T8" s="13">
        <f t="shared" ref="T8:T14" si="6">L8*D$32+M8*D$33</f>
        <v>1</v>
      </c>
      <c r="U8" s="13">
        <f t="shared" ref="U8:U14" si="7">M8*E$33+O8*E$34</f>
        <v>0</v>
      </c>
      <c r="V8" s="13">
        <f t="shared" ref="V8:V14" si="8">O8*$F$34+P8*$F$35</f>
        <v>0</v>
      </c>
      <c r="W8" s="13">
        <f t="shared" ref="W8:W14" si="9">P8*$G$35</f>
        <v>0</v>
      </c>
      <c r="X8" s="13">
        <f t="shared" ref="X8:X14" si="10">M8*$H$33</f>
        <v>0</v>
      </c>
      <c r="Y8" s="13">
        <f t="shared" ref="Y8:Y14" si="11">P8*$I$35</f>
        <v>0</v>
      </c>
      <c r="AA8" s="9">
        <v>4</v>
      </c>
      <c r="AB8" s="20">
        <f t="shared" si="0"/>
        <v>0.48</v>
      </c>
      <c r="AC8" s="20">
        <f t="shared" si="1"/>
        <v>0.16000000000000003</v>
      </c>
      <c r="AD8" s="20">
        <f t="shared" si="2"/>
        <v>0</v>
      </c>
      <c r="AE8" s="20">
        <f t="shared" si="3"/>
        <v>0</v>
      </c>
      <c r="AF8" s="20">
        <f t="shared" si="4"/>
        <v>0</v>
      </c>
    </row>
    <row r="9" spans="2:32" x14ac:dyDescent="0.15">
      <c r="D9" s="9" t="s">
        <v>109</v>
      </c>
      <c r="E9" s="9" t="s">
        <v>112</v>
      </c>
      <c r="J9" s="13" t="s">
        <v>123</v>
      </c>
      <c r="K9" s="13" t="s">
        <v>110</v>
      </c>
      <c r="L9" s="13">
        <v>3</v>
      </c>
      <c r="M9" s="13">
        <v>0</v>
      </c>
      <c r="N9" s="13" t="s">
        <v>111</v>
      </c>
      <c r="O9" s="13">
        <v>0</v>
      </c>
      <c r="P9" s="13">
        <v>0</v>
      </c>
      <c r="Q9" s="13">
        <v>34</v>
      </c>
      <c r="R9" s="13">
        <f>INDEX(节奏总纲!$P:$P,MATCH(Q9,节奏总纲!$O:$O,0))</f>
        <v>9.5560632861831518</v>
      </c>
      <c r="S9" s="13">
        <f t="shared" si="5"/>
        <v>9</v>
      </c>
      <c r="T9" s="13">
        <f t="shared" si="6"/>
        <v>3</v>
      </c>
      <c r="U9" s="13">
        <f t="shared" si="7"/>
        <v>0</v>
      </c>
      <c r="V9" s="13">
        <f t="shared" si="8"/>
        <v>0</v>
      </c>
      <c r="W9" s="13">
        <f t="shared" si="9"/>
        <v>0</v>
      </c>
      <c r="X9" s="13">
        <f t="shared" si="10"/>
        <v>0</v>
      </c>
      <c r="Y9" s="13">
        <f t="shared" si="11"/>
        <v>0</v>
      </c>
      <c r="AA9" s="9">
        <v>5</v>
      </c>
      <c r="AB9" s="20">
        <f t="shared" si="0"/>
        <v>0.60000000000000009</v>
      </c>
      <c r="AC9" s="20">
        <f t="shared" si="1"/>
        <v>0.19999999999999996</v>
      </c>
      <c r="AD9" s="20">
        <f t="shared" si="2"/>
        <v>0</v>
      </c>
      <c r="AE9" s="20">
        <f t="shared" si="3"/>
        <v>0</v>
      </c>
      <c r="AF9" s="20">
        <f t="shared" si="4"/>
        <v>0</v>
      </c>
    </row>
    <row r="10" spans="2:32" x14ac:dyDescent="0.15">
      <c r="J10" s="13" t="s">
        <v>125</v>
      </c>
      <c r="K10" s="13" t="s">
        <v>110</v>
      </c>
      <c r="L10" s="13">
        <v>5</v>
      </c>
      <c r="M10" s="13">
        <v>1</v>
      </c>
      <c r="N10" s="13" t="s">
        <v>111</v>
      </c>
      <c r="O10" s="13">
        <v>0</v>
      </c>
      <c r="P10" s="13">
        <v>0</v>
      </c>
      <c r="Q10" s="13">
        <v>40</v>
      </c>
      <c r="R10" s="13">
        <f>INDEX(节奏总纲!$P:$P,MATCH(Q10,节奏总纲!$O:$O,0))</f>
        <v>15</v>
      </c>
      <c r="S10" s="13">
        <f t="shared" si="5"/>
        <v>15</v>
      </c>
      <c r="T10" s="13">
        <f t="shared" si="6"/>
        <v>10</v>
      </c>
      <c r="U10" s="13">
        <f t="shared" si="7"/>
        <v>3</v>
      </c>
      <c r="V10" s="13">
        <f t="shared" si="8"/>
        <v>0</v>
      </c>
      <c r="W10" s="13">
        <f t="shared" si="9"/>
        <v>0</v>
      </c>
      <c r="X10" s="13">
        <f t="shared" si="10"/>
        <v>4</v>
      </c>
      <c r="Y10" s="13">
        <f t="shared" si="11"/>
        <v>0</v>
      </c>
      <c r="AA10" s="9">
        <v>6</v>
      </c>
      <c r="AB10" s="20">
        <f t="shared" si="0"/>
        <v>0.7200000000000002</v>
      </c>
      <c r="AC10" s="20">
        <f t="shared" si="1"/>
        <v>0.24</v>
      </c>
      <c r="AD10" s="20">
        <f t="shared" si="2"/>
        <v>0</v>
      </c>
      <c r="AE10" s="20">
        <f t="shared" si="3"/>
        <v>0</v>
      </c>
      <c r="AF10" s="20">
        <f t="shared" si="4"/>
        <v>0</v>
      </c>
    </row>
    <row r="11" spans="2:32" x14ac:dyDescent="0.15">
      <c r="J11" s="13" t="s">
        <v>126</v>
      </c>
      <c r="K11" s="13" t="s">
        <v>110</v>
      </c>
      <c r="L11" s="13">
        <v>6</v>
      </c>
      <c r="M11" s="13">
        <v>3</v>
      </c>
      <c r="N11" s="13" t="s">
        <v>111</v>
      </c>
      <c r="O11" s="13">
        <v>0</v>
      </c>
      <c r="P11" s="13">
        <v>0</v>
      </c>
      <c r="Q11" s="13">
        <v>48</v>
      </c>
      <c r="R11" s="13">
        <f>INDEX(节奏总纲!$P:$P,MATCH(Q11,节奏总纲!$O:$O,0))</f>
        <v>26.857618025475972</v>
      </c>
      <c r="S11" s="13">
        <f t="shared" si="5"/>
        <v>18</v>
      </c>
      <c r="T11" s="13">
        <f t="shared" si="6"/>
        <v>21</v>
      </c>
      <c r="U11" s="13">
        <f t="shared" si="7"/>
        <v>9</v>
      </c>
      <c r="V11" s="13">
        <f t="shared" si="8"/>
        <v>0</v>
      </c>
      <c r="W11" s="13">
        <f t="shared" si="9"/>
        <v>0</v>
      </c>
      <c r="X11" s="13">
        <f t="shared" si="10"/>
        <v>12</v>
      </c>
      <c r="Y11" s="13">
        <f t="shared" si="11"/>
        <v>0</v>
      </c>
      <c r="AA11" s="9">
        <v>7</v>
      </c>
      <c r="AB11" s="20">
        <f t="shared" si="0"/>
        <v>0.83999999999999986</v>
      </c>
      <c r="AC11" s="20">
        <f t="shared" si="1"/>
        <v>0.28000000000000003</v>
      </c>
      <c r="AD11" s="20">
        <f t="shared" si="2"/>
        <v>0</v>
      </c>
      <c r="AE11" s="20">
        <f t="shared" si="3"/>
        <v>0</v>
      </c>
      <c r="AF11" s="20">
        <f t="shared" si="4"/>
        <v>0</v>
      </c>
    </row>
    <row r="12" spans="2:32" x14ac:dyDescent="0.15">
      <c r="B12" s="9" t="s">
        <v>113</v>
      </c>
      <c r="C12" s="9" t="s">
        <v>110</v>
      </c>
      <c r="J12" s="13" t="s">
        <v>133</v>
      </c>
      <c r="K12" s="13" t="s">
        <v>110</v>
      </c>
      <c r="L12" s="13">
        <v>5</v>
      </c>
      <c r="M12" s="13">
        <v>5</v>
      </c>
      <c r="N12" s="13" t="s">
        <v>111</v>
      </c>
      <c r="O12" s="13">
        <v>0</v>
      </c>
      <c r="P12" s="13">
        <v>0</v>
      </c>
      <c r="Q12" s="13">
        <v>53</v>
      </c>
      <c r="R12" s="13">
        <f>INDEX(节奏总纲!$P:$P,MATCH(Q12,节奏总纲!$O:$O,0))</f>
        <v>38.396621227037308</v>
      </c>
      <c r="S12" s="13">
        <f t="shared" si="5"/>
        <v>15</v>
      </c>
      <c r="T12" s="13">
        <f t="shared" si="6"/>
        <v>30</v>
      </c>
      <c r="U12" s="13">
        <f t="shared" si="7"/>
        <v>15</v>
      </c>
      <c r="V12" s="13">
        <f t="shared" si="8"/>
        <v>0</v>
      </c>
      <c r="W12" s="13">
        <f t="shared" si="9"/>
        <v>0</v>
      </c>
      <c r="X12" s="13">
        <f t="shared" si="10"/>
        <v>20</v>
      </c>
      <c r="Y12" s="13">
        <f t="shared" si="11"/>
        <v>0</v>
      </c>
      <c r="AA12" s="9">
        <v>8</v>
      </c>
      <c r="AB12" s="20">
        <f t="shared" si="0"/>
        <v>0.96</v>
      </c>
      <c r="AC12" s="20">
        <f t="shared" si="1"/>
        <v>0.31999999999999995</v>
      </c>
      <c r="AD12" s="20">
        <f t="shared" si="2"/>
        <v>0</v>
      </c>
      <c r="AE12" s="20">
        <f t="shared" si="3"/>
        <v>0</v>
      </c>
      <c r="AF12" s="20">
        <f t="shared" si="4"/>
        <v>0</v>
      </c>
    </row>
    <row r="13" spans="2:32" x14ac:dyDescent="0.15">
      <c r="C13" s="9" t="s">
        <v>111</v>
      </c>
      <c r="J13" s="13" t="s">
        <v>137</v>
      </c>
      <c r="K13" s="13" t="s">
        <v>110</v>
      </c>
      <c r="L13" s="13">
        <v>6</v>
      </c>
      <c r="M13" s="13">
        <v>6</v>
      </c>
      <c r="N13" s="13" t="s">
        <v>111</v>
      </c>
      <c r="O13" s="13">
        <v>1</v>
      </c>
      <c r="P13" s="13">
        <v>0</v>
      </c>
      <c r="Q13" s="13">
        <v>68</v>
      </c>
      <c r="R13" s="13">
        <f>INDEX(节奏总纲!$P:$P,MATCH(Q13,节奏总纲!$O:$O,0))</f>
        <v>110.43047210190386</v>
      </c>
      <c r="S13" s="13">
        <f t="shared" si="5"/>
        <v>18</v>
      </c>
      <c r="T13" s="13">
        <f t="shared" si="6"/>
        <v>36</v>
      </c>
      <c r="U13" s="13">
        <f t="shared" si="7"/>
        <v>28</v>
      </c>
      <c r="V13" s="13">
        <f t="shared" si="8"/>
        <v>5</v>
      </c>
      <c r="W13" s="13">
        <f t="shared" si="9"/>
        <v>0</v>
      </c>
      <c r="X13" s="13">
        <f t="shared" si="10"/>
        <v>24</v>
      </c>
      <c r="Y13" s="13">
        <f t="shared" si="11"/>
        <v>0</v>
      </c>
      <c r="AA13" s="9">
        <v>9</v>
      </c>
      <c r="AB13" s="20">
        <f t="shared" si="0"/>
        <v>1.08</v>
      </c>
      <c r="AC13" s="20">
        <f t="shared" si="1"/>
        <v>0.36</v>
      </c>
      <c r="AD13" s="20">
        <f t="shared" si="2"/>
        <v>0</v>
      </c>
      <c r="AE13" s="20">
        <f t="shared" si="3"/>
        <v>0</v>
      </c>
      <c r="AF13" s="20">
        <f t="shared" si="4"/>
        <v>0</v>
      </c>
    </row>
    <row r="14" spans="2:32" x14ac:dyDescent="0.15">
      <c r="J14" s="13" t="s">
        <v>138</v>
      </c>
      <c r="K14" s="13" t="s">
        <v>110</v>
      </c>
      <c r="L14" s="13">
        <v>11</v>
      </c>
      <c r="M14" s="13">
        <v>11</v>
      </c>
      <c r="N14" s="13" t="s">
        <v>111</v>
      </c>
      <c r="O14" s="13">
        <v>1</v>
      </c>
      <c r="P14" s="13">
        <v>1</v>
      </c>
      <c r="Q14" s="13">
        <v>84</v>
      </c>
      <c r="R14" s="13">
        <f>INDEX(节奏总纲!$P:$P,MATCH(Q14,节奏总纲!$O:$O,0))</f>
        <v>336.79402515786086</v>
      </c>
      <c r="S14" s="13">
        <f t="shared" si="5"/>
        <v>33</v>
      </c>
      <c r="T14" s="13">
        <f t="shared" si="6"/>
        <v>66</v>
      </c>
      <c r="U14" s="13">
        <f t="shared" si="7"/>
        <v>43</v>
      </c>
      <c r="V14" s="13">
        <f t="shared" si="8"/>
        <v>25</v>
      </c>
      <c r="W14" s="13">
        <f t="shared" si="9"/>
        <v>7</v>
      </c>
      <c r="X14" s="13">
        <f t="shared" si="10"/>
        <v>44</v>
      </c>
      <c r="Y14" s="13">
        <f t="shared" si="11"/>
        <v>4</v>
      </c>
      <c r="AA14" s="9">
        <v>10</v>
      </c>
      <c r="AB14" s="20">
        <f t="shared" si="0"/>
        <v>1.2000000000000002</v>
      </c>
      <c r="AC14" s="20">
        <f t="shared" si="1"/>
        <v>0.4</v>
      </c>
      <c r="AD14" s="20">
        <f t="shared" si="2"/>
        <v>0</v>
      </c>
      <c r="AE14" s="20">
        <f t="shared" si="3"/>
        <v>0</v>
      </c>
      <c r="AF14" s="20">
        <f t="shared" si="4"/>
        <v>0</v>
      </c>
    </row>
    <row r="15" spans="2:32" x14ac:dyDescent="0.15">
      <c r="B15" s="9" t="s">
        <v>120</v>
      </c>
      <c r="C15" s="9">
        <v>6</v>
      </c>
      <c r="AA15" s="9">
        <v>11</v>
      </c>
      <c r="AB15" s="20">
        <f t="shared" si="0"/>
        <v>1.32</v>
      </c>
      <c r="AC15" s="20">
        <f t="shared" si="1"/>
        <v>0.43999999999999995</v>
      </c>
      <c r="AD15" s="20">
        <f t="shared" si="2"/>
        <v>0</v>
      </c>
      <c r="AE15" s="20">
        <f t="shared" si="3"/>
        <v>0</v>
      </c>
      <c r="AF15" s="20">
        <f t="shared" si="4"/>
        <v>0</v>
      </c>
    </row>
    <row r="16" spans="2:32" x14ac:dyDescent="0.15">
      <c r="AA16" s="9">
        <v>12</v>
      </c>
      <c r="AB16" s="20">
        <f t="shared" si="0"/>
        <v>1.44</v>
      </c>
      <c r="AC16" s="20">
        <f t="shared" si="1"/>
        <v>0.48</v>
      </c>
      <c r="AD16" s="20">
        <f t="shared" si="2"/>
        <v>0</v>
      </c>
      <c r="AE16" s="20">
        <f t="shared" si="3"/>
        <v>0</v>
      </c>
      <c r="AF16" s="20">
        <f t="shared" si="4"/>
        <v>0</v>
      </c>
    </row>
    <row r="17" spans="1:32" x14ac:dyDescent="0.15">
      <c r="AA17" s="9">
        <v>13</v>
      </c>
      <c r="AB17" s="20">
        <f t="shared" si="0"/>
        <v>1.56</v>
      </c>
      <c r="AC17" s="20">
        <f t="shared" si="1"/>
        <v>0.52</v>
      </c>
      <c r="AD17" s="20">
        <f t="shared" si="2"/>
        <v>0</v>
      </c>
      <c r="AE17" s="20">
        <f t="shared" si="3"/>
        <v>0</v>
      </c>
      <c r="AF17" s="20">
        <f t="shared" si="4"/>
        <v>0</v>
      </c>
    </row>
    <row r="18" spans="1:32" x14ac:dyDescent="0.15">
      <c r="AA18" s="9">
        <v>14</v>
      </c>
      <c r="AB18" s="20">
        <f t="shared" si="0"/>
        <v>1.6800000000000002</v>
      </c>
      <c r="AC18" s="20">
        <f t="shared" si="1"/>
        <v>0.56000000000000005</v>
      </c>
      <c r="AD18" s="20">
        <f t="shared" si="2"/>
        <v>0</v>
      </c>
      <c r="AE18" s="20">
        <f t="shared" si="3"/>
        <v>0</v>
      </c>
      <c r="AF18" s="20">
        <f t="shared" si="4"/>
        <v>0</v>
      </c>
    </row>
    <row r="19" spans="1:32" x14ac:dyDescent="0.15">
      <c r="AA19" s="9">
        <v>15</v>
      </c>
      <c r="AB19" s="20">
        <f t="shared" si="0"/>
        <v>1.8</v>
      </c>
      <c r="AC19" s="20">
        <f t="shared" si="1"/>
        <v>0.6</v>
      </c>
      <c r="AD19" s="20">
        <f t="shared" si="2"/>
        <v>0</v>
      </c>
      <c r="AE19" s="20">
        <f t="shared" si="3"/>
        <v>0</v>
      </c>
      <c r="AF19" s="20">
        <f t="shared" si="4"/>
        <v>0</v>
      </c>
    </row>
    <row r="20" spans="1:32" x14ac:dyDescent="0.15">
      <c r="AA20" s="9">
        <v>16</v>
      </c>
      <c r="AB20" s="20">
        <f t="shared" si="0"/>
        <v>1.92</v>
      </c>
      <c r="AC20" s="20">
        <f t="shared" si="1"/>
        <v>0.64</v>
      </c>
      <c r="AD20" s="20">
        <f t="shared" si="2"/>
        <v>0</v>
      </c>
      <c r="AE20" s="20">
        <f t="shared" si="3"/>
        <v>0</v>
      </c>
      <c r="AF20" s="20">
        <f t="shared" si="4"/>
        <v>0</v>
      </c>
    </row>
    <row r="21" spans="1:32" x14ac:dyDescent="0.15">
      <c r="AA21" s="9">
        <v>17</v>
      </c>
      <c r="AB21" s="20">
        <f t="shared" si="0"/>
        <v>2.04</v>
      </c>
      <c r="AC21" s="20">
        <f t="shared" si="1"/>
        <v>0.67999999999999994</v>
      </c>
      <c r="AD21" s="20">
        <f t="shared" si="2"/>
        <v>0</v>
      </c>
      <c r="AE21" s="20">
        <f t="shared" si="3"/>
        <v>0</v>
      </c>
      <c r="AF21" s="20">
        <f t="shared" si="4"/>
        <v>0</v>
      </c>
    </row>
    <row r="22" spans="1:32" x14ac:dyDescent="0.15">
      <c r="AA22" s="9">
        <v>18</v>
      </c>
      <c r="AB22" s="20">
        <f t="shared" si="0"/>
        <v>2.16</v>
      </c>
      <c r="AC22" s="20">
        <f t="shared" si="1"/>
        <v>0.72</v>
      </c>
      <c r="AD22" s="20">
        <f t="shared" si="2"/>
        <v>0</v>
      </c>
      <c r="AE22" s="20">
        <f t="shared" si="3"/>
        <v>0</v>
      </c>
      <c r="AF22" s="20">
        <f t="shared" si="4"/>
        <v>0</v>
      </c>
    </row>
    <row r="23" spans="1:32" x14ac:dyDescent="0.15">
      <c r="AA23" s="9">
        <v>19</v>
      </c>
      <c r="AB23" s="20">
        <f t="shared" si="0"/>
        <v>2.2800000000000002</v>
      </c>
      <c r="AC23" s="20">
        <f t="shared" si="1"/>
        <v>0.76</v>
      </c>
      <c r="AD23" s="20">
        <f t="shared" si="2"/>
        <v>0</v>
      </c>
      <c r="AE23" s="20">
        <f t="shared" si="3"/>
        <v>0</v>
      </c>
      <c r="AF23" s="20">
        <f t="shared" si="4"/>
        <v>0</v>
      </c>
    </row>
    <row r="24" spans="1:32" x14ac:dyDescent="0.15">
      <c r="AA24" s="9">
        <v>20</v>
      </c>
      <c r="AB24" s="20">
        <f t="shared" si="0"/>
        <v>2.4</v>
      </c>
      <c r="AC24" s="20">
        <f t="shared" si="1"/>
        <v>0.8</v>
      </c>
      <c r="AD24" s="20">
        <f t="shared" si="2"/>
        <v>0</v>
      </c>
      <c r="AE24" s="20">
        <f t="shared" si="3"/>
        <v>0</v>
      </c>
      <c r="AF24" s="20">
        <f t="shared" si="4"/>
        <v>0</v>
      </c>
    </row>
    <row r="25" spans="1:32" x14ac:dyDescent="0.15">
      <c r="B25" s="13" t="s">
        <v>143</v>
      </c>
      <c r="C25" s="158" t="s">
        <v>144</v>
      </c>
      <c r="D25" s="158"/>
      <c r="E25" s="13" t="s">
        <v>119</v>
      </c>
      <c r="F25" s="158" t="s">
        <v>142</v>
      </c>
      <c r="G25" s="158"/>
      <c r="AA25" s="9">
        <v>21</v>
      </c>
      <c r="AB25" s="20">
        <f t="shared" si="0"/>
        <v>2.52</v>
      </c>
      <c r="AC25" s="20">
        <f t="shared" si="1"/>
        <v>0.84</v>
      </c>
      <c r="AD25" s="20">
        <f t="shared" si="2"/>
        <v>0</v>
      </c>
      <c r="AE25" s="20">
        <f t="shared" si="3"/>
        <v>0</v>
      </c>
      <c r="AF25" s="20">
        <f t="shared" si="4"/>
        <v>0</v>
      </c>
    </row>
    <row r="26" spans="1:32" x14ac:dyDescent="0.15">
      <c r="B26" s="13" t="s">
        <v>114</v>
      </c>
      <c r="C26" s="13" t="s">
        <v>115</v>
      </c>
      <c r="D26" s="13" t="s">
        <v>116</v>
      </c>
      <c r="E26" s="13">
        <v>25</v>
      </c>
      <c r="F26" s="13">
        <v>3</v>
      </c>
      <c r="G26" s="13">
        <v>1</v>
      </c>
      <c r="AA26" s="9">
        <v>22</v>
      </c>
      <c r="AB26" s="20">
        <f t="shared" si="0"/>
        <v>2.64</v>
      </c>
      <c r="AC26" s="20">
        <f t="shared" si="1"/>
        <v>0.88</v>
      </c>
      <c r="AD26" s="20">
        <f t="shared" si="2"/>
        <v>0</v>
      </c>
      <c r="AE26" s="20">
        <f t="shared" si="3"/>
        <v>0</v>
      </c>
      <c r="AF26" s="20">
        <f t="shared" si="4"/>
        <v>0</v>
      </c>
    </row>
    <row r="27" spans="1:32" x14ac:dyDescent="0.15">
      <c r="B27" s="13"/>
      <c r="C27" s="13" t="s">
        <v>116</v>
      </c>
      <c r="D27" s="13" t="s">
        <v>110</v>
      </c>
      <c r="E27" s="13">
        <v>40</v>
      </c>
      <c r="F27" s="13">
        <v>5</v>
      </c>
      <c r="G27" s="13">
        <v>3</v>
      </c>
      <c r="AA27" s="9">
        <v>23</v>
      </c>
      <c r="AB27" s="20">
        <f t="shared" si="0"/>
        <v>2.76</v>
      </c>
      <c r="AC27" s="20">
        <f t="shared" si="1"/>
        <v>0.92</v>
      </c>
      <c r="AD27" s="20">
        <f t="shared" si="2"/>
        <v>0</v>
      </c>
      <c r="AE27" s="20">
        <f t="shared" si="3"/>
        <v>0</v>
      </c>
      <c r="AF27" s="20">
        <f t="shared" si="4"/>
        <v>0</v>
      </c>
    </row>
    <row r="28" spans="1:32" x14ac:dyDescent="0.15">
      <c r="B28" s="13" t="s">
        <v>117</v>
      </c>
      <c r="C28" s="13" t="s">
        <v>110</v>
      </c>
      <c r="D28" s="13" t="s">
        <v>118</v>
      </c>
      <c r="E28" s="13">
        <v>60</v>
      </c>
      <c r="F28" s="13">
        <v>10</v>
      </c>
      <c r="G28" s="13">
        <v>5</v>
      </c>
      <c r="AA28" s="9">
        <v>24</v>
      </c>
      <c r="AB28" s="20">
        <f t="shared" si="0"/>
        <v>2.88</v>
      </c>
      <c r="AC28" s="20">
        <f t="shared" si="1"/>
        <v>0.96</v>
      </c>
      <c r="AD28" s="20">
        <f t="shared" si="2"/>
        <v>0</v>
      </c>
      <c r="AE28" s="20">
        <f t="shared" si="3"/>
        <v>0</v>
      </c>
      <c r="AF28" s="20">
        <f t="shared" si="4"/>
        <v>0</v>
      </c>
    </row>
    <row r="29" spans="1:32" x14ac:dyDescent="0.15">
      <c r="B29" s="13"/>
      <c r="C29" s="13" t="s">
        <v>118</v>
      </c>
      <c r="D29" s="13" t="s">
        <v>111</v>
      </c>
      <c r="E29" s="13">
        <v>75</v>
      </c>
      <c r="F29" s="13">
        <v>20</v>
      </c>
      <c r="G29" s="13">
        <v>7</v>
      </c>
      <c r="AA29" s="9">
        <v>25</v>
      </c>
      <c r="AB29" s="20">
        <f t="shared" si="0"/>
        <v>3</v>
      </c>
      <c r="AC29" s="20">
        <f t="shared" si="1"/>
        <v>1</v>
      </c>
      <c r="AD29" s="20">
        <f t="shared" si="2"/>
        <v>0</v>
      </c>
      <c r="AE29" s="20">
        <f t="shared" si="3"/>
        <v>0</v>
      </c>
      <c r="AF29" s="20">
        <f t="shared" si="4"/>
        <v>0</v>
      </c>
    </row>
    <row r="30" spans="1:32" x14ac:dyDescent="0.15">
      <c r="AA30" s="9">
        <v>26</v>
      </c>
      <c r="AB30" s="20">
        <f t="shared" si="0"/>
        <v>3.6666666666666665</v>
      </c>
      <c r="AC30" s="20">
        <f t="shared" si="1"/>
        <v>1.2222222222222223</v>
      </c>
      <c r="AD30" s="20">
        <f t="shared" si="2"/>
        <v>0</v>
      </c>
      <c r="AE30" s="20">
        <f t="shared" si="3"/>
        <v>0</v>
      </c>
      <c r="AF30" s="20">
        <f t="shared" si="4"/>
        <v>0</v>
      </c>
    </row>
    <row r="31" spans="1:32" x14ac:dyDescent="0.15">
      <c r="A31" s="13" t="s">
        <v>132</v>
      </c>
      <c r="B31" s="13" t="s">
        <v>131</v>
      </c>
      <c r="C31" s="13" t="s">
        <v>115</v>
      </c>
      <c r="D31" s="13" t="s">
        <v>116</v>
      </c>
      <c r="E31" s="13" t="s">
        <v>110</v>
      </c>
      <c r="F31" s="13" t="s">
        <v>118</v>
      </c>
      <c r="G31" s="13" t="s">
        <v>111</v>
      </c>
      <c r="H31" s="13" t="s">
        <v>134</v>
      </c>
      <c r="I31" s="13" t="s">
        <v>135</v>
      </c>
      <c r="AA31" s="9">
        <v>27</v>
      </c>
      <c r="AB31" s="20">
        <f t="shared" si="0"/>
        <v>4.333333333333333</v>
      </c>
      <c r="AC31" s="20">
        <f t="shared" si="1"/>
        <v>1.4444444444444444</v>
      </c>
      <c r="AD31" s="20">
        <f t="shared" si="2"/>
        <v>0</v>
      </c>
      <c r="AE31" s="20">
        <f t="shared" si="3"/>
        <v>0</v>
      </c>
      <c r="AF31" s="20">
        <f t="shared" si="4"/>
        <v>0</v>
      </c>
    </row>
    <row r="32" spans="1:32" x14ac:dyDescent="0.15">
      <c r="A32" s="13" t="s">
        <v>110</v>
      </c>
      <c r="B32" s="13" t="s">
        <v>127</v>
      </c>
      <c r="C32" s="13">
        <v>3</v>
      </c>
      <c r="D32" s="13">
        <v>1</v>
      </c>
      <c r="E32" s="13"/>
      <c r="F32" s="13"/>
      <c r="G32" s="13"/>
      <c r="H32" s="13"/>
      <c r="I32" s="13"/>
      <c r="AA32" s="9">
        <v>28</v>
      </c>
      <c r="AB32" s="20">
        <f t="shared" si="0"/>
        <v>5</v>
      </c>
      <c r="AC32" s="20">
        <f t="shared" si="1"/>
        <v>1.6666666666666665</v>
      </c>
      <c r="AD32" s="20">
        <f t="shared" si="2"/>
        <v>0</v>
      </c>
      <c r="AE32" s="20">
        <f t="shared" si="3"/>
        <v>0</v>
      </c>
      <c r="AF32" s="20">
        <f t="shared" si="4"/>
        <v>0</v>
      </c>
    </row>
    <row r="33" spans="1:32" x14ac:dyDescent="0.15">
      <c r="A33" s="13" t="s">
        <v>110</v>
      </c>
      <c r="B33" s="13" t="s">
        <v>128</v>
      </c>
      <c r="C33" s="13"/>
      <c r="D33" s="13">
        <v>5</v>
      </c>
      <c r="E33" s="13">
        <v>3</v>
      </c>
      <c r="F33" s="13"/>
      <c r="G33" s="13"/>
      <c r="H33" s="13">
        <v>4</v>
      </c>
      <c r="I33" s="13"/>
      <c r="AA33" s="9">
        <v>29</v>
      </c>
      <c r="AB33" s="20">
        <f t="shared" si="0"/>
        <v>5.6666666666666661</v>
      </c>
      <c r="AC33" s="20">
        <f t="shared" si="1"/>
        <v>1.8888888888888888</v>
      </c>
      <c r="AD33" s="20">
        <f t="shared" si="2"/>
        <v>0</v>
      </c>
      <c r="AE33" s="20">
        <f t="shared" si="3"/>
        <v>0</v>
      </c>
      <c r="AF33" s="20">
        <f t="shared" si="4"/>
        <v>0</v>
      </c>
    </row>
    <row r="34" spans="1:32" x14ac:dyDescent="0.15">
      <c r="A34" s="13" t="s">
        <v>111</v>
      </c>
      <c r="B34" s="13" t="s">
        <v>127</v>
      </c>
      <c r="C34" s="13"/>
      <c r="D34" s="13"/>
      <c r="E34" s="13">
        <v>10</v>
      </c>
      <c r="F34" s="13">
        <v>5</v>
      </c>
      <c r="G34" s="13"/>
      <c r="H34" s="13"/>
      <c r="I34" s="13"/>
      <c r="AA34" s="9">
        <v>30</v>
      </c>
      <c r="AB34" s="20">
        <f t="shared" si="0"/>
        <v>6.333333333333333</v>
      </c>
      <c r="AC34" s="20">
        <f t="shared" si="1"/>
        <v>2.1111111111111112</v>
      </c>
      <c r="AD34" s="20">
        <f t="shared" si="2"/>
        <v>0</v>
      </c>
      <c r="AE34" s="20">
        <f t="shared" si="3"/>
        <v>0</v>
      </c>
      <c r="AF34" s="20">
        <f t="shared" si="4"/>
        <v>0</v>
      </c>
    </row>
    <row r="35" spans="1:32" x14ac:dyDescent="0.15">
      <c r="A35" s="13" t="s">
        <v>111</v>
      </c>
      <c r="B35" s="13" t="s">
        <v>128</v>
      </c>
      <c r="C35" s="13"/>
      <c r="D35" s="13"/>
      <c r="E35" s="13"/>
      <c r="F35" s="13">
        <v>20</v>
      </c>
      <c r="G35" s="13">
        <v>7</v>
      </c>
      <c r="H35" s="13"/>
      <c r="I35" s="13">
        <v>4</v>
      </c>
      <c r="AA35" s="9">
        <v>31</v>
      </c>
      <c r="AB35" s="20">
        <f t="shared" si="0"/>
        <v>7</v>
      </c>
      <c r="AC35" s="20">
        <f t="shared" si="1"/>
        <v>2.333333333333333</v>
      </c>
      <c r="AD35" s="20">
        <f t="shared" si="2"/>
        <v>0</v>
      </c>
      <c r="AE35" s="20">
        <f t="shared" si="3"/>
        <v>0</v>
      </c>
      <c r="AF35" s="20">
        <f t="shared" si="4"/>
        <v>0</v>
      </c>
    </row>
    <row r="36" spans="1:32" x14ac:dyDescent="0.15">
      <c r="AA36" s="9">
        <v>32</v>
      </c>
      <c r="AB36" s="20">
        <f t="shared" si="0"/>
        <v>7.6666666666666661</v>
      </c>
      <c r="AC36" s="20">
        <f t="shared" si="1"/>
        <v>2.5555555555555554</v>
      </c>
      <c r="AD36" s="20">
        <f t="shared" si="2"/>
        <v>0</v>
      </c>
      <c r="AE36" s="20">
        <f t="shared" si="3"/>
        <v>0</v>
      </c>
      <c r="AF36" s="20">
        <f t="shared" si="4"/>
        <v>0</v>
      </c>
    </row>
    <row r="37" spans="1:32" x14ac:dyDescent="0.15">
      <c r="AA37" s="9">
        <v>33</v>
      </c>
      <c r="AB37" s="20">
        <f t="shared" si="0"/>
        <v>8.3333333333333321</v>
      </c>
      <c r="AC37" s="20">
        <f t="shared" si="1"/>
        <v>2.7777777777777777</v>
      </c>
      <c r="AD37" s="20">
        <f t="shared" si="2"/>
        <v>0</v>
      </c>
      <c r="AE37" s="20">
        <f t="shared" si="3"/>
        <v>0</v>
      </c>
      <c r="AF37" s="20">
        <f t="shared" si="4"/>
        <v>0</v>
      </c>
    </row>
    <row r="38" spans="1:32" x14ac:dyDescent="0.15">
      <c r="AA38" s="9">
        <v>34</v>
      </c>
      <c r="AB38" s="20">
        <f t="shared" si="0"/>
        <v>9</v>
      </c>
      <c r="AC38" s="20">
        <f t="shared" si="1"/>
        <v>3</v>
      </c>
      <c r="AD38" s="20">
        <f t="shared" si="2"/>
        <v>0</v>
      </c>
      <c r="AE38" s="20">
        <f t="shared" si="3"/>
        <v>0</v>
      </c>
      <c r="AF38" s="20">
        <f t="shared" si="4"/>
        <v>0</v>
      </c>
    </row>
    <row r="39" spans="1:32" x14ac:dyDescent="0.15">
      <c r="AA39" s="9">
        <v>35</v>
      </c>
      <c r="AB39" s="20">
        <f t="shared" si="0"/>
        <v>10</v>
      </c>
      <c r="AC39" s="20">
        <f t="shared" si="1"/>
        <v>4.166666666666667</v>
      </c>
      <c r="AD39" s="20">
        <f t="shared" si="2"/>
        <v>0.5</v>
      </c>
      <c r="AE39" s="20">
        <f t="shared" si="3"/>
        <v>0</v>
      </c>
      <c r="AF39" s="20">
        <f t="shared" si="4"/>
        <v>0</v>
      </c>
    </row>
    <row r="40" spans="1:32" x14ac:dyDescent="0.15">
      <c r="AA40" s="9">
        <v>36</v>
      </c>
      <c r="AB40" s="20">
        <f t="shared" si="0"/>
        <v>11</v>
      </c>
      <c r="AC40" s="20">
        <f t="shared" si="1"/>
        <v>5.3333333333333339</v>
      </c>
      <c r="AD40" s="20">
        <f t="shared" si="2"/>
        <v>1</v>
      </c>
      <c r="AE40" s="20">
        <f t="shared" si="3"/>
        <v>0</v>
      </c>
      <c r="AF40" s="20">
        <f t="shared" si="4"/>
        <v>0</v>
      </c>
    </row>
    <row r="41" spans="1:32" x14ac:dyDescent="0.15">
      <c r="AA41" s="9">
        <v>37</v>
      </c>
      <c r="AB41" s="20">
        <f t="shared" si="0"/>
        <v>12</v>
      </c>
      <c r="AC41" s="20">
        <f t="shared" si="1"/>
        <v>6.5</v>
      </c>
      <c r="AD41" s="20">
        <f t="shared" si="2"/>
        <v>1.5</v>
      </c>
      <c r="AE41" s="20">
        <f t="shared" si="3"/>
        <v>0</v>
      </c>
      <c r="AF41" s="20">
        <f t="shared" si="4"/>
        <v>0</v>
      </c>
    </row>
    <row r="42" spans="1:32" x14ac:dyDescent="0.15">
      <c r="AA42" s="9">
        <v>38</v>
      </c>
      <c r="AB42" s="20">
        <f t="shared" si="0"/>
        <v>13</v>
      </c>
      <c r="AC42" s="20">
        <f t="shared" si="1"/>
        <v>7.666666666666667</v>
      </c>
      <c r="AD42" s="20">
        <f t="shared" si="2"/>
        <v>2</v>
      </c>
      <c r="AE42" s="20">
        <f t="shared" si="3"/>
        <v>0</v>
      </c>
      <c r="AF42" s="20">
        <f t="shared" si="4"/>
        <v>0</v>
      </c>
    </row>
    <row r="43" spans="1:32" x14ac:dyDescent="0.15">
      <c r="AA43" s="9">
        <v>39</v>
      </c>
      <c r="AB43" s="20">
        <f t="shared" si="0"/>
        <v>14</v>
      </c>
      <c r="AC43" s="20">
        <f t="shared" si="1"/>
        <v>8.8333333333333339</v>
      </c>
      <c r="AD43" s="20">
        <f t="shared" si="2"/>
        <v>2.5</v>
      </c>
      <c r="AE43" s="20">
        <f t="shared" si="3"/>
        <v>0</v>
      </c>
      <c r="AF43" s="20">
        <f t="shared" si="4"/>
        <v>0</v>
      </c>
    </row>
    <row r="44" spans="1:32" x14ac:dyDescent="0.15">
      <c r="AA44" s="9">
        <v>40</v>
      </c>
      <c r="AB44" s="20">
        <f t="shared" si="0"/>
        <v>15</v>
      </c>
      <c r="AC44" s="20">
        <f t="shared" si="1"/>
        <v>10</v>
      </c>
      <c r="AD44" s="20">
        <f t="shared" si="2"/>
        <v>3</v>
      </c>
      <c r="AE44" s="20">
        <f t="shared" si="3"/>
        <v>0</v>
      </c>
      <c r="AF44" s="20">
        <f t="shared" si="4"/>
        <v>0</v>
      </c>
    </row>
    <row r="45" spans="1:32" x14ac:dyDescent="0.15">
      <c r="AA45" s="9">
        <v>41</v>
      </c>
      <c r="AB45" s="20">
        <f t="shared" si="0"/>
        <v>15.375</v>
      </c>
      <c r="AC45" s="20">
        <f t="shared" si="1"/>
        <v>11.375</v>
      </c>
      <c r="AD45" s="20">
        <f t="shared" si="2"/>
        <v>3.75</v>
      </c>
      <c r="AE45" s="20">
        <f t="shared" si="3"/>
        <v>0</v>
      </c>
      <c r="AF45" s="20">
        <f t="shared" si="4"/>
        <v>0</v>
      </c>
    </row>
    <row r="46" spans="1:32" x14ac:dyDescent="0.15">
      <c r="AA46" s="9">
        <v>42</v>
      </c>
      <c r="AB46" s="20">
        <f t="shared" si="0"/>
        <v>15.75</v>
      </c>
      <c r="AC46" s="20">
        <f t="shared" si="1"/>
        <v>12.75</v>
      </c>
      <c r="AD46" s="20">
        <f t="shared" si="2"/>
        <v>4.5</v>
      </c>
      <c r="AE46" s="20">
        <f t="shared" si="3"/>
        <v>0</v>
      </c>
      <c r="AF46" s="20">
        <f t="shared" si="4"/>
        <v>0</v>
      </c>
    </row>
    <row r="47" spans="1:32" x14ac:dyDescent="0.15">
      <c r="AA47" s="9">
        <v>43</v>
      </c>
      <c r="AB47" s="20">
        <f t="shared" si="0"/>
        <v>16.125</v>
      </c>
      <c r="AC47" s="20">
        <f t="shared" si="1"/>
        <v>14.125</v>
      </c>
      <c r="AD47" s="20">
        <f t="shared" si="2"/>
        <v>5.25</v>
      </c>
      <c r="AE47" s="20">
        <f t="shared" si="3"/>
        <v>0</v>
      </c>
      <c r="AF47" s="20">
        <f t="shared" si="4"/>
        <v>0</v>
      </c>
    </row>
    <row r="48" spans="1:32" x14ac:dyDescent="0.15">
      <c r="AA48" s="9">
        <v>44</v>
      </c>
      <c r="AB48" s="20">
        <f t="shared" si="0"/>
        <v>16.5</v>
      </c>
      <c r="AC48" s="20">
        <f t="shared" si="1"/>
        <v>15.5</v>
      </c>
      <c r="AD48" s="20">
        <f t="shared" si="2"/>
        <v>6</v>
      </c>
      <c r="AE48" s="20">
        <f t="shared" si="3"/>
        <v>0</v>
      </c>
      <c r="AF48" s="20">
        <f t="shared" si="4"/>
        <v>0</v>
      </c>
    </row>
    <row r="49" spans="26:32" x14ac:dyDescent="0.15">
      <c r="Z49" s="9"/>
      <c r="AA49" s="9">
        <v>45</v>
      </c>
      <c r="AB49" s="20">
        <f t="shared" si="0"/>
        <v>16.875</v>
      </c>
      <c r="AC49" s="20">
        <f t="shared" si="1"/>
        <v>16.875</v>
      </c>
      <c r="AD49" s="20">
        <f t="shared" si="2"/>
        <v>6.75</v>
      </c>
      <c r="AE49" s="20">
        <f t="shared" si="3"/>
        <v>0</v>
      </c>
      <c r="AF49" s="20">
        <f t="shared" si="4"/>
        <v>0</v>
      </c>
    </row>
    <row r="50" spans="26:32" x14ac:dyDescent="0.15">
      <c r="Z50" s="9"/>
      <c r="AA50" s="9">
        <v>46</v>
      </c>
      <c r="AB50" s="20">
        <f t="shared" si="0"/>
        <v>17.25</v>
      </c>
      <c r="AC50" s="20">
        <f t="shared" si="1"/>
        <v>18.25</v>
      </c>
      <c r="AD50" s="20">
        <f t="shared" si="2"/>
        <v>7.5</v>
      </c>
      <c r="AE50" s="20">
        <f t="shared" si="3"/>
        <v>0</v>
      </c>
      <c r="AF50" s="20">
        <f t="shared" si="4"/>
        <v>0</v>
      </c>
    </row>
    <row r="51" spans="26:32" x14ac:dyDescent="0.15">
      <c r="Z51" s="9"/>
      <c r="AA51" s="9">
        <v>47</v>
      </c>
      <c r="AB51" s="20">
        <f t="shared" si="0"/>
        <v>17.625</v>
      </c>
      <c r="AC51" s="20">
        <f t="shared" si="1"/>
        <v>19.625</v>
      </c>
      <c r="AD51" s="20">
        <f t="shared" si="2"/>
        <v>8.25</v>
      </c>
      <c r="AE51" s="20">
        <f t="shared" si="3"/>
        <v>0</v>
      </c>
      <c r="AF51" s="20">
        <f t="shared" si="4"/>
        <v>0</v>
      </c>
    </row>
    <row r="52" spans="26:32" x14ac:dyDescent="0.15">
      <c r="Z52" s="9"/>
      <c r="AA52" s="9">
        <v>48</v>
      </c>
      <c r="AB52" s="20">
        <f t="shared" si="0"/>
        <v>18</v>
      </c>
      <c r="AC52" s="20">
        <f t="shared" si="1"/>
        <v>21</v>
      </c>
      <c r="AD52" s="20">
        <f t="shared" si="2"/>
        <v>9</v>
      </c>
      <c r="AE52" s="20">
        <f t="shared" si="3"/>
        <v>0</v>
      </c>
      <c r="AF52" s="20">
        <f t="shared" si="4"/>
        <v>0</v>
      </c>
    </row>
    <row r="53" spans="26:32" x14ac:dyDescent="0.15">
      <c r="Z53" s="9"/>
      <c r="AA53" s="9">
        <v>49</v>
      </c>
      <c r="AB53" s="20">
        <f t="shared" si="0"/>
        <v>17.399999999999999</v>
      </c>
      <c r="AC53" s="20">
        <f t="shared" si="1"/>
        <v>22.8</v>
      </c>
      <c r="AD53" s="20">
        <f t="shared" si="2"/>
        <v>10.199999999999999</v>
      </c>
      <c r="AE53" s="20">
        <f t="shared" si="3"/>
        <v>0</v>
      </c>
      <c r="AF53" s="20">
        <f t="shared" si="4"/>
        <v>0</v>
      </c>
    </row>
    <row r="54" spans="26:32" x14ac:dyDescent="0.15">
      <c r="Z54" s="9"/>
      <c r="AA54" s="9">
        <v>50</v>
      </c>
      <c r="AB54" s="20">
        <f t="shared" si="0"/>
        <v>16.8</v>
      </c>
      <c r="AC54" s="20">
        <f t="shared" si="1"/>
        <v>24.6</v>
      </c>
      <c r="AD54" s="20">
        <f t="shared" si="2"/>
        <v>11.4</v>
      </c>
      <c r="AE54" s="20">
        <f t="shared" si="3"/>
        <v>0</v>
      </c>
      <c r="AF54" s="20">
        <f t="shared" si="4"/>
        <v>0</v>
      </c>
    </row>
    <row r="55" spans="26:32" x14ac:dyDescent="0.15">
      <c r="Z55" s="9"/>
      <c r="AA55" s="9">
        <v>51</v>
      </c>
      <c r="AB55" s="20">
        <f t="shared" si="0"/>
        <v>16.2</v>
      </c>
      <c r="AC55" s="20">
        <f t="shared" si="1"/>
        <v>26.4</v>
      </c>
      <c r="AD55" s="20">
        <f t="shared" si="2"/>
        <v>12.6</v>
      </c>
      <c r="AE55" s="20">
        <f t="shared" si="3"/>
        <v>0</v>
      </c>
      <c r="AF55" s="20">
        <f t="shared" si="4"/>
        <v>0</v>
      </c>
    </row>
    <row r="56" spans="26:32" x14ac:dyDescent="0.15">
      <c r="Z56" s="9"/>
      <c r="AA56" s="9">
        <v>52</v>
      </c>
      <c r="AB56" s="20">
        <f t="shared" si="0"/>
        <v>15.6</v>
      </c>
      <c r="AC56" s="20">
        <f t="shared" si="1"/>
        <v>28.2</v>
      </c>
      <c r="AD56" s="20">
        <f t="shared" si="2"/>
        <v>13.8</v>
      </c>
      <c r="AE56" s="20">
        <f t="shared" si="3"/>
        <v>0</v>
      </c>
      <c r="AF56" s="20">
        <f t="shared" si="4"/>
        <v>0</v>
      </c>
    </row>
    <row r="57" spans="26:32" x14ac:dyDescent="0.15">
      <c r="Z57" s="9"/>
      <c r="AA57" s="9">
        <v>53</v>
      </c>
      <c r="AB57" s="20">
        <f t="shared" si="0"/>
        <v>15</v>
      </c>
      <c r="AC57" s="20">
        <f t="shared" si="1"/>
        <v>30</v>
      </c>
      <c r="AD57" s="20">
        <f t="shared" si="2"/>
        <v>15</v>
      </c>
      <c r="AE57" s="20">
        <f t="shared" si="3"/>
        <v>0</v>
      </c>
      <c r="AF57" s="20">
        <f t="shared" si="4"/>
        <v>0</v>
      </c>
    </row>
    <row r="58" spans="26:32" x14ac:dyDescent="0.15">
      <c r="Z58" s="9"/>
      <c r="AA58" s="9">
        <v>54</v>
      </c>
      <c r="AB58" s="20">
        <f t="shared" si="0"/>
        <v>15.2</v>
      </c>
      <c r="AC58" s="20">
        <f t="shared" si="1"/>
        <v>30.4</v>
      </c>
      <c r="AD58" s="20">
        <f t="shared" si="2"/>
        <v>15.866666666666667</v>
      </c>
      <c r="AE58" s="20">
        <f t="shared" si="3"/>
        <v>0.33333333333333331</v>
      </c>
      <c r="AF58" s="20">
        <f t="shared" si="4"/>
        <v>0</v>
      </c>
    </row>
    <row r="59" spans="26:32" x14ac:dyDescent="0.15">
      <c r="Z59" s="9"/>
      <c r="AA59" s="9">
        <v>55</v>
      </c>
      <c r="AB59" s="20">
        <f t="shared" si="0"/>
        <v>15.4</v>
      </c>
      <c r="AC59" s="20">
        <f t="shared" si="1"/>
        <v>30.8</v>
      </c>
      <c r="AD59" s="20">
        <f t="shared" si="2"/>
        <v>16.733333333333334</v>
      </c>
      <c r="AE59" s="20">
        <f t="shared" si="3"/>
        <v>0.66666666666666663</v>
      </c>
      <c r="AF59" s="20">
        <f t="shared" si="4"/>
        <v>0</v>
      </c>
    </row>
    <row r="60" spans="26:32" x14ac:dyDescent="0.15">
      <c r="Z60" s="9"/>
      <c r="AA60" s="9">
        <v>56</v>
      </c>
      <c r="AB60" s="20">
        <f t="shared" si="0"/>
        <v>15.6</v>
      </c>
      <c r="AC60" s="20">
        <f t="shared" si="1"/>
        <v>31.2</v>
      </c>
      <c r="AD60" s="20">
        <f t="shared" si="2"/>
        <v>17.600000000000001</v>
      </c>
      <c r="AE60" s="20">
        <f t="shared" si="3"/>
        <v>1</v>
      </c>
      <c r="AF60" s="20">
        <f t="shared" si="4"/>
        <v>0</v>
      </c>
    </row>
    <row r="61" spans="26:32" x14ac:dyDescent="0.15">
      <c r="Z61" s="9"/>
      <c r="AA61" s="9">
        <v>57</v>
      </c>
      <c r="AB61" s="20">
        <f t="shared" si="0"/>
        <v>15.8</v>
      </c>
      <c r="AC61" s="20">
        <f t="shared" si="1"/>
        <v>31.6</v>
      </c>
      <c r="AD61" s="20">
        <f t="shared" si="2"/>
        <v>18.466666666666669</v>
      </c>
      <c r="AE61" s="20">
        <f t="shared" si="3"/>
        <v>1.3333333333333333</v>
      </c>
      <c r="AF61" s="20">
        <f t="shared" si="4"/>
        <v>0</v>
      </c>
    </row>
    <row r="62" spans="26:32" x14ac:dyDescent="0.15">
      <c r="Z62" s="9"/>
      <c r="AA62" s="9">
        <v>58</v>
      </c>
      <c r="AB62" s="20">
        <f t="shared" si="0"/>
        <v>16</v>
      </c>
      <c r="AC62" s="20">
        <f t="shared" si="1"/>
        <v>32</v>
      </c>
      <c r="AD62" s="20">
        <f t="shared" si="2"/>
        <v>19.333333333333336</v>
      </c>
      <c r="AE62" s="20">
        <f t="shared" si="3"/>
        <v>1.6666666666666665</v>
      </c>
      <c r="AF62" s="20">
        <f t="shared" si="4"/>
        <v>0</v>
      </c>
    </row>
    <row r="63" spans="26:32" x14ac:dyDescent="0.15">
      <c r="Z63" s="9"/>
      <c r="AA63" s="9">
        <v>59</v>
      </c>
      <c r="AB63" s="20">
        <f t="shared" si="0"/>
        <v>16.2</v>
      </c>
      <c r="AC63" s="20">
        <f t="shared" si="1"/>
        <v>32.4</v>
      </c>
      <c r="AD63" s="20">
        <f t="shared" si="2"/>
        <v>20.2</v>
      </c>
      <c r="AE63" s="20">
        <f t="shared" si="3"/>
        <v>2</v>
      </c>
      <c r="AF63" s="20">
        <f t="shared" si="4"/>
        <v>0</v>
      </c>
    </row>
    <row r="64" spans="26:32" x14ac:dyDescent="0.15">
      <c r="Z64" s="9"/>
      <c r="AA64" s="9">
        <v>60</v>
      </c>
      <c r="AB64" s="20">
        <f t="shared" si="0"/>
        <v>16.399999999999999</v>
      </c>
      <c r="AC64" s="20">
        <f t="shared" si="1"/>
        <v>32.799999999999997</v>
      </c>
      <c r="AD64" s="20">
        <f t="shared" si="2"/>
        <v>21.066666666666666</v>
      </c>
      <c r="AE64" s="20">
        <f t="shared" si="3"/>
        <v>2.333333333333333</v>
      </c>
      <c r="AF64" s="20">
        <f t="shared" si="4"/>
        <v>0</v>
      </c>
    </row>
    <row r="65" spans="26:32" x14ac:dyDescent="0.15">
      <c r="Z65" s="9"/>
      <c r="AA65" s="9">
        <v>61</v>
      </c>
      <c r="AB65" s="20">
        <f t="shared" si="0"/>
        <v>16.600000000000001</v>
      </c>
      <c r="AC65" s="20">
        <f t="shared" si="1"/>
        <v>33.200000000000003</v>
      </c>
      <c r="AD65" s="20">
        <f t="shared" si="2"/>
        <v>21.933333333333334</v>
      </c>
      <c r="AE65" s="20">
        <f t="shared" si="3"/>
        <v>2.6666666666666665</v>
      </c>
      <c r="AF65" s="20">
        <f t="shared" si="4"/>
        <v>0</v>
      </c>
    </row>
    <row r="66" spans="26:32" x14ac:dyDescent="0.15">
      <c r="Z66" s="9"/>
      <c r="AA66" s="9">
        <v>62</v>
      </c>
      <c r="AB66" s="20">
        <f t="shared" si="0"/>
        <v>16.8</v>
      </c>
      <c r="AC66" s="20">
        <f t="shared" si="1"/>
        <v>33.6</v>
      </c>
      <c r="AD66" s="20">
        <f t="shared" si="2"/>
        <v>22.8</v>
      </c>
      <c r="AE66" s="20">
        <f t="shared" si="3"/>
        <v>3</v>
      </c>
      <c r="AF66" s="20">
        <f t="shared" si="4"/>
        <v>0</v>
      </c>
    </row>
    <row r="67" spans="26:32" x14ac:dyDescent="0.15">
      <c r="Z67" s="9"/>
      <c r="AA67" s="9">
        <v>63</v>
      </c>
      <c r="AB67" s="20">
        <f t="shared" si="0"/>
        <v>17</v>
      </c>
      <c r="AC67" s="20">
        <f t="shared" si="1"/>
        <v>34</v>
      </c>
      <c r="AD67" s="20">
        <f t="shared" si="2"/>
        <v>23.666666666666668</v>
      </c>
      <c r="AE67" s="20">
        <f t="shared" si="3"/>
        <v>3.333333333333333</v>
      </c>
      <c r="AF67" s="20">
        <f t="shared" si="4"/>
        <v>0</v>
      </c>
    </row>
    <row r="68" spans="26:32" x14ac:dyDescent="0.15">
      <c r="Z68" s="9"/>
      <c r="AA68" s="9">
        <v>64</v>
      </c>
      <c r="AB68" s="20">
        <f t="shared" si="0"/>
        <v>17.2</v>
      </c>
      <c r="AC68" s="20">
        <f t="shared" si="1"/>
        <v>34.4</v>
      </c>
      <c r="AD68" s="20">
        <f t="shared" si="2"/>
        <v>24.533333333333331</v>
      </c>
      <c r="AE68" s="20">
        <f t="shared" si="3"/>
        <v>3.6666666666666665</v>
      </c>
      <c r="AF68" s="20">
        <f t="shared" si="4"/>
        <v>0</v>
      </c>
    </row>
    <row r="69" spans="26:32" x14ac:dyDescent="0.15">
      <c r="Z69" s="9"/>
      <c r="AA69" s="9">
        <v>65</v>
      </c>
      <c r="AB69" s="20">
        <f t="shared" si="0"/>
        <v>17.399999999999999</v>
      </c>
      <c r="AC69" s="20">
        <f t="shared" si="1"/>
        <v>34.799999999999997</v>
      </c>
      <c r="AD69" s="20">
        <f t="shared" si="2"/>
        <v>25.4</v>
      </c>
      <c r="AE69" s="20">
        <f t="shared" si="3"/>
        <v>4</v>
      </c>
      <c r="AF69" s="20">
        <f t="shared" si="4"/>
        <v>0</v>
      </c>
    </row>
    <row r="70" spans="26:32" x14ac:dyDescent="0.15">
      <c r="Z70" s="9"/>
      <c r="AA70" s="9">
        <v>66</v>
      </c>
      <c r="AB70" s="20">
        <f t="shared" ref="AB70:AB104" si="12">求节点($Q$8:$Q$14,S$8:S$14,$AA70)</f>
        <v>17.600000000000001</v>
      </c>
      <c r="AC70" s="20">
        <f t="shared" ref="AC70:AC104" si="13">求节点($Q$8:$Q$14,T$8:T$14,$AA70)</f>
        <v>35.200000000000003</v>
      </c>
      <c r="AD70" s="20">
        <f t="shared" ref="AD70:AD104" si="14">求节点($Q$8:$Q$14,U$8:U$14,$AA70)</f>
        <v>26.266666666666666</v>
      </c>
      <c r="AE70" s="20">
        <f t="shared" ref="AE70:AE104" si="15">求节点($Q$8:$Q$14,V$8:V$14,$AA70)</f>
        <v>4.333333333333333</v>
      </c>
      <c r="AF70" s="20">
        <f t="shared" ref="AF70:AF104" si="16">求节点($Q$8:$Q$14,W$8:W$14,$AA70)</f>
        <v>0</v>
      </c>
    </row>
    <row r="71" spans="26:32" x14ac:dyDescent="0.15">
      <c r="Z71" s="9"/>
      <c r="AA71" s="9">
        <v>67</v>
      </c>
      <c r="AB71" s="20">
        <f t="shared" si="12"/>
        <v>17.8</v>
      </c>
      <c r="AC71" s="20">
        <f t="shared" si="13"/>
        <v>35.6</v>
      </c>
      <c r="AD71" s="20">
        <f t="shared" si="14"/>
        <v>27.133333333333333</v>
      </c>
      <c r="AE71" s="20">
        <f t="shared" si="15"/>
        <v>4.6666666666666661</v>
      </c>
      <c r="AF71" s="20">
        <f t="shared" si="16"/>
        <v>0</v>
      </c>
    </row>
    <row r="72" spans="26:32" x14ac:dyDescent="0.15">
      <c r="Z72" s="9"/>
      <c r="AA72" s="9">
        <v>68</v>
      </c>
      <c r="AB72" s="20">
        <f t="shared" si="12"/>
        <v>18</v>
      </c>
      <c r="AC72" s="20">
        <f t="shared" si="13"/>
        <v>36</v>
      </c>
      <c r="AD72" s="20">
        <f t="shared" si="14"/>
        <v>28</v>
      </c>
      <c r="AE72" s="20">
        <f t="shared" si="15"/>
        <v>5</v>
      </c>
      <c r="AF72" s="20">
        <f t="shared" si="16"/>
        <v>0</v>
      </c>
    </row>
    <row r="73" spans="26:32" x14ac:dyDescent="0.15">
      <c r="Z73" s="9"/>
      <c r="AA73" s="9">
        <v>69</v>
      </c>
      <c r="AB73" s="20">
        <f t="shared" si="12"/>
        <v>18.9375</v>
      </c>
      <c r="AC73" s="20">
        <f t="shared" si="13"/>
        <v>37.875</v>
      </c>
      <c r="AD73" s="20">
        <f t="shared" si="14"/>
        <v>28.9375</v>
      </c>
      <c r="AE73" s="20">
        <f t="shared" si="15"/>
        <v>6.25</v>
      </c>
      <c r="AF73" s="20">
        <f t="shared" si="16"/>
        <v>0.4375</v>
      </c>
    </row>
    <row r="74" spans="26:32" x14ac:dyDescent="0.15">
      <c r="Z74" s="9"/>
      <c r="AA74" s="9">
        <v>70</v>
      </c>
      <c r="AB74" s="20">
        <f t="shared" si="12"/>
        <v>19.875</v>
      </c>
      <c r="AC74" s="20">
        <f t="shared" si="13"/>
        <v>39.75</v>
      </c>
      <c r="AD74" s="20">
        <f t="shared" si="14"/>
        <v>29.875</v>
      </c>
      <c r="AE74" s="20">
        <f t="shared" si="15"/>
        <v>7.5</v>
      </c>
      <c r="AF74" s="20">
        <f t="shared" si="16"/>
        <v>0.875</v>
      </c>
    </row>
    <row r="75" spans="26:32" x14ac:dyDescent="0.15">
      <c r="Z75" s="9"/>
      <c r="AA75" s="9">
        <v>71</v>
      </c>
      <c r="AB75" s="20">
        <f t="shared" si="12"/>
        <v>20.8125</v>
      </c>
      <c r="AC75" s="20">
        <f t="shared" si="13"/>
        <v>41.625</v>
      </c>
      <c r="AD75" s="20">
        <f t="shared" si="14"/>
        <v>30.8125</v>
      </c>
      <c r="AE75" s="20">
        <f t="shared" si="15"/>
        <v>8.75</v>
      </c>
      <c r="AF75" s="20">
        <f t="shared" si="16"/>
        <v>1.3125</v>
      </c>
    </row>
    <row r="76" spans="26:32" x14ac:dyDescent="0.15">
      <c r="Z76" s="9"/>
      <c r="AA76" s="9">
        <v>72</v>
      </c>
      <c r="AB76" s="20">
        <f t="shared" si="12"/>
        <v>21.75</v>
      </c>
      <c r="AC76" s="20">
        <f t="shared" si="13"/>
        <v>43.5</v>
      </c>
      <c r="AD76" s="20">
        <f t="shared" si="14"/>
        <v>31.75</v>
      </c>
      <c r="AE76" s="20">
        <f t="shared" si="15"/>
        <v>10</v>
      </c>
      <c r="AF76" s="20">
        <f t="shared" si="16"/>
        <v>1.75</v>
      </c>
    </row>
    <row r="77" spans="26:32" x14ac:dyDescent="0.15">
      <c r="Z77" s="9"/>
      <c r="AA77" s="9">
        <v>73</v>
      </c>
      <c r="AB77" s="20">
        <f t="shared" si="12"/>
        <v>22.6875</v>
      </c>
      <c r="AC77" s="20">
        <f t="shared" si="13"/>
        <v>45.375</v>
      </c>
      <c r="AD77" s="20">
        <f t="shared" si="14"/>
        <v>32.6875</v>
      </c>
      <c r="AE77" s="20">
        <f t="shared" si="15"/>
        <v>11.25</v>
      </c>
      <c r="AF77" s="20">
        <f t="shared" si="16"/>
        <v>2.1875</v>
      </c>
    </row>
    <row r="78" spans="26:32" x14ac:dyDescent="0.15">
      <c r="Z78" s="9"/>
      <c r="AA78" s="9">
        <v>74</v>
      </c>
      <c r="AB78" s="20">
        <f t="shared" si="12"/>
        <v>23.625</v>
      </c>
      <c r="AC78" s="20">
        <f t="shared" si="13"/>
        <v>47.25</v>
      </c>
      <c r="AD78" s="20">
        <f t="shared" si="14"/>
        <v>33.625</v>
      </c>
      <c r="AE78" s="20">
        <f t="shared" si="15"/>
        <v>12.5</v>
      </c>
      <c r="AF78" s="20">
        <f t="shared" si="16"/>
        <v>2.625</v>
      </c>
    </row>
    <row r="79" spans="26:32" x14ac:dyDescent="0.15">
      <c r="Z79" s="9"/>
      <c r="AA79" s="9">
        <v>75</v>
      </c>
      <c r="AB79" s="20">
        <f t="shared" si="12"/>
        <v>24.5625</v>
      </c>
      <c r="AC79" s="20">
        <f t="shared" si="13"/>
        <v>49.125</v>
      </c>
      <c r="AD79" s="20">
        <f t="shared" si="14"/>
        <v>34.5625</v>
      </c>
      <c r="AE79" s="20">
        <f t="shared" si="15"/>
        <v>13.75</v>
      </c>
      <c r="AF79" s="20">
        <f t="shared" si="16"/>
        <v>3.0625</v>
      </c>
    </row>
    <row r="80" spans="26:32" x14ac:dyDescent="0.15">
      <c r="Z80" s="9"/>
      <c r="AA80" s="9">
        <v>76</v>
      </c>
      <c r="AB80" s="20">
        <f t="shared" si="12"/>
        <v>25.5</v>
      </c>
      <c r="AC80" s="20">
        <f t="shared" si="13"/>
        <v>51</v>
      </c>
      <c r="AD80" s="20">
        <f t="shared" si="14"/>
        <v>35.5</v>
      </c>
      <c r="AE80" s="20">
        <f t="shared" si="15"/>
        <v>15</v>
      </c>
      <c r="AF80" s="20">
        <f t="shared" si="16"/>
        <v>3.5</v>
      </c>
    </row>
    <row r="81" spans="26:32" x14ac:dyDescent="0.15">
      <c r="Z81" s="9"/>
      <c r="AA81" s="9">
        <v>77</v>
      </c>
      <c r="AB81" s="20">
        <f t="shared" si="12"/>
        <v>26.4375</v>
      </c>
      <c r="AC81" s="20">
        <f t="shared" si="13"/>
        <v>52.875</v>
      </c>
      <c r="AD81" s="20">
        <f t="shared" si="14"/>
        <v>36.4375</v>
      </c>
      <c r="AE81" s="20">
        <f t="shared" si="15"/>
        <v>16.25</v>
      </c>
      <c r="AF81" s="20">
        <f t="shared" si="16"/>
        <v>3.9375</v>
      </c>
    </row>
    <row r="82" spans="26:32" x14ac:dyDescent="0.15">
      <c r="Z82" s="9"/>
      <c r="AA82" s="9">
        <v>78</v>
      </c>
      <c r="AB82" s="20">
        <f t="shared" si="12"/>
        <v>27.375</v>
      </c>
      <c r="AC82" s="20">
        <f t="shared" si="13"/>
        <v>54.75</v>
      </c>
      <c r="AD82" s="20">
        <f t="shared" si="14"/>
        <v>37.375</v>
      </c>
      <c r="AE82" s="20">
        <f t="shared" si="15"/>
        <v>17.5</v>
      </c>
      <c r="AF82" s="20">
        <f t="shared" si="16"/>
        <v>4.375</v>
      </c>
    </row>
    <row r="83" spans="26:32" x14ac:dyDescent="0.15">
      <c r="Z83" s="9"/>
      <c r="AA83" s="9">
        <v>79</v>
      </c>
      <c r="AB83" s="20">
        <f t="shared" si="12"/>
        <v>28.3125</v>
      </c>
      <c r="AC83" s="20">
        <f t="shared" si="13"/>
        <v>56.625</v>
      </c>
      <c r="AD83" s="20">
        <f t="shared" si="14"/>
        <v>38.3125</v>
      </c>
      <c r="AE83" s="20">
        <f t="shared" si="15"/>
        <v>18.75</v>
      </c>
      <c r="AF83" s="20">
        <f t="shared" si="16"/>
        <v>4.8125</v>
      </c>
    </row>
    <row r="84" spans="26:32" x14ac:dyDescent="0.15">
      <c r="Z84" s="9"/>
      <c r="AA84" s="9">
        <v>80</v>
      </c>
      <c r="AB84" s="20">
        <f t="shared" si="12"/>
        <v>29.25</v>
      </c>
      <c r="AC84" s="20">
        <f t="shared" si="13"/>
        <v>58.5</v>
      </c>
      <c r="AD84" s="20">
        <f t="shared" si="14"/>
        <v>39.25</v>
      </c>
      <c r="AE84" s="20">
        <f t="shared" si="15"/>
        <v>20</v>
      </c>
      <c r="AF84" s="20">
        <f t="shared" si="16"/>
        <v>5.25</v>
      </c>
    </row>
    <row r="85" spans="26:32" x14ac:dyDescent="0.15">
      <c r="Z85" s="9"/>
      <c r="AA85" s="9">
        <v>81</v>
      </c>
      <c r="AB85" s="20">
        <f t="shared" si="12"/>
        <v>30.1875</v>
      </c>
      <c r="AC85" s="20">
        <f t="shared" si="13"/>
        <v>60.375</v>
      </c>
      <c r="AD85" s="20">
        <f t="shared" si="14"/>
        <v>40.1875</v>
      </c>
      <c r="AE85" s="20">
        <f t="shared" si="15"/>
        <v>21.25</v>
      </c>
      <c r="AF85" s="20">
        <f t="shared" si="16"/>
        <v>5.6875</v>
      </c>
    </row>
    <row r="86" spans="26:32" x14ac:dyDescent="0.15">
      <c r="Z86" s="9"/>
      <c r="AA86" s="9">
        <v>82</v>
      </c>
      <c r="AB86" s="20">
        <f t="shared" si="12"/>
        <v>31.125</v>
      </c>
      <c r="AC86" s="20">
        <f t="shared" si="13"/>
        <v>62.25</v>
      </c>
      <c r="AD86" s="20">
        <f t="shared" si="14"/>
        <v>41.125</v>
      </c>
      <c r="AE86" s="20">
        <f t="shared" si="15"/>
        <v>22.5</v>
      </c>
      <c r="AF86" s="20">
        <f t="shared" si="16"/>
        <v>6.125</v>
      </c>
    </row>
    <row r="87" spans="26:32" x14ac:dyDescent="0.15">
      <c r="Z87" s="9"/>
      <c r="AA87" s="9">
        <v>83</v>
      </c>
      <c r="AB87" s="20">
        <f t="shared" si="12"/>
        <v>32.0625</v>
      </c>
      <c r="AC87" s="20">
        <f t="shared" si="13"/>
        <v>64.125</v>
      </c>
      <c r="AD87" s="20">
        <f t="shared" si="14"/>
        <v>42.0625</v>
      </c>
      <c r="AE87" s="20">
        <f t="shared" si="15"/>
        <v>23.75</v>
      </c>
      <c r="AF87" s="20">
        <f t="shared" si="16"/>
        <v>6.5625</v>
      </c>
    </row>
    <row r="88" spans="26:32" x14ac:dyDescent="0.15">
      <c r="Z88" s="9"/>
      <c r="AA88" s="9">
        <v>84</v>
      </c>
      <c r="AB88" s="20">
        <f t="shared" si="12"/>
        <v>33</v>
      </c>
      <c r="AC88" s="20">
        <f t="shared" si="13"/>
        <v>66</v>
      </c>
      <c r="AD88" s="20">
        <f t="shared" si="14"/>
        <v>43</v>
      </c>
      <c r="AE88" s="20">
        <f t="shared" si="15"/>
        <v>25</v>
      </c>
      <c r="AF88" s="20">
        <f t="shared" si="16"/>
        <v>7</v>
      </c>
    </row>
    <row r="89" spans="26:32" x14ac:dyDescent="0.15">
      <c r="Z89" s="9"/>
      <c r="AA89" s="9">
        <v>85</v>
      </c>
      <c r="AB89" s="20">
        <f t="shared" si="12"/>
        <v>33</v>
      </c>
      <c r="AC89" s="20">
        <f t="shared" si="13"/>
        <v>66</v>
      </c>
      <c r="AD89" s="20">
        <f t="shared" si="14"/>
        <v>43</v>
      </c>
      <c r="AE89" s="20">
        <f t="shared" si="15"/>
        <v>25</v>
      </c>
      <c r="AF89" s="20">
        <f t="shared" si="16"/>
        <v>7</v>
      </c>
    </row>
    <row r="90" spans="26:32" x14ac:dyDescent="0.15">
      <c r="Z90" s="9"/>
      <c r="AA90" s="9">
        <v>86</v>
      </c>
      <c r="AB90" s="20">
        <f t="shared" si="12"/>
        <v>33</v>
      </c>
      <c r="AC90" s="20">
        <f t="shared" si="13"/>
        <v>66</v>
      </c>
      <c r="AD90" s="20">
        <f t="shared" si="14"/>
        <v>43</v>
      </c>
      <c r="AE90" s="20">
        <f t="shared" si="15"/>
        <v>25</v>
      </c>
      <c r="AF90" s="20">
        <f t="shared" si="16"/>
        <v>7</v>
      </c>
    </row>
    <row r="91" spans="26:32" x14ac:dyDescent="0.15">
      <c r="Z91" s="9"/>
      <c r="AA91" s="9">
        <v>87</v>
      </c>
      <c r="AB91" s="20">
        <f t="shared" si="12"/>
        <v>33</v>
      </c>
      <c r="AC91" s="20">
        <f t="shared" si="13"/>
        <v>66</v>
      </c>
      <c r="AD91" s="20">
        <f t="shared" si="14"/>
        <v>43</v>
      </c>
      <c r="AE91" s="20">
        <f t="shared" si="15"/>
        <v>25</v>
      </c>
      <c r="AF91" s="20">
        <f t="shared" si="16"/>
        <v>7</v>
      </c>
    </row>
    <row r="92" spans="26:32" x14ac:dyDescent="0.15">
      <c r="Z92" s="9"/>
      <c r="AA92" s="9">
        <v>88</v>
      </c>
      <c r="AB92" s="20">
        <f t="shared" si="12"/>
        <v>33</v>
      </c>
      <c r="AC92" s="20">
        <f t="shared" si="13"/>
        <v>66</v>
      </c>
      <c r="AD92" s="20">
        <f t="shared" si="14"/>
        <v>43</v>
      </c>
      <c r="AE92" s="20">
        <f t="shared" si="15"/>
        <v>25</v>
      </c>
      <c r="AF92" s="20">
        <f t="shared" si="16"/>
        <v>7</v>
      </c>
    </row>
    <row r="93" spans="26:32" x14ac:dyDescent="0.15">
      <c r="Z93" s="9"/>
      <c r="AA93" s="9">
        <v>89</v>
      </c>
      <c r="AB93" s="20">
        <f t="shared" si="12"/>
        <v>33</v>
      </c>
      <c r="AC93" s="20">
        <f t="shared" si="13"/>
        <v>66</v>
      </c>
      <c r="AD93" s="20">
        <f t="shared" si="14"/>
        <v>43</v>
      </c>
      <c r="AE93" s="20">
        <f t="shared" si="15"/>
        <v>25</v>
      </c>
      <c r="AF93" s="20">
        <f t="shared" si="16"/>
        <v>7</v>
      </c>
    </row>
    <row r="94" spans="26:32" x14ac:dyDescent="0.15">
      <c r="Z94" s="9"/>
      <c r="AA94" s="9">
        <v>90</v>
      </c>
      <c r="AB94" s="20">
        <f t="shared" si="12"/>
        <v>33</v>
      </c>
      <c r="AC94" s="20">
        <f t="shared" si="13"/>
        <v>66</v>
      </c>
      <c r="AD94" s="20">
        <f t="shared" si="14"/>
        <v>43</v>
      </c>
      <c r="AE94" s="20">
        <f t="shared" si="15"/>
        <v>25</v>
      </c>
      <c r="AF94" s="20">
        <f t="shared" si="16"/>
        <v>7</v>
      </c>
    </row>
    <row r="95" spans="26:32" x14ac:dyDescent="0.15">
      <c r="Z95" s="9"/>
      <c r="AA95" s="9">
        <v>91</v>
      </c>
      <c r="AB95" s="20">
        <f t="shared" si="12"/>
        <v>33</v>
      </c>
      <c r="AC95" s="20">
        <f t="shared" si="13"/>
        <v>66</v>
      </c>
      <c r="AD95" s="20">
        <f t="shared" si="14"/>
        <v>43</v>
      </c>
      <c r="AE95" s="20">
        <f t="shared" si="15"/>
        <v>25</v>
      </c>
      <c r="AF95" s="20">
        <f t="shared" si="16"/>
        <v>7</v>
      </c>
    </row>
    <row r="96" spans="26:32" x14ac:dyDescent="0.15">
      <c r="Z96" s="9"/>
      <c r="AA96" s="9">
        <v>92</v>
      </c>
      <c r="AB96" s="20">
        <f t="shared" si="12"/>
        <v>33</v>
      </c>
      <c r="AC96" s="20">
        <f t="shared" si="13"/>
        <v>66</v>
      </c>
      <c r="AD96" s="20">
        <f t="shared" si="14"/>
        <v>43</v>
      </c>
      <c r="AE96" s="20">
        <f t="shared" si="15"/>
        <v>25</v>
      </c>
      <c r="AF96" s="20">
        <f t="shared" si="16"/>
        <v>7</v>
      </c>
    </row>
    <row r="97" spans="26:32" x14ac:dyDescent="0.15">
      <c r="Z97" s="9"/>
      <c r="AA97" s="9">
        <v>93</v>
      </c>
      <c r="AB97" s="20">
        <f t="shared" si="12"/>
        <v>33</v>
      </c>
      <c r="AC97" s="20">
        <f t="shared" si="13"/>
        <v>66</v>
      </c>
      <c r="AD97" s="20">
        <f t="shared" si="14"/>
        <v>43</v>
      </c>
      <c r="AE97" s="20">
        <f t="shared" si="15"/>
        <v>25</v>
      </c>
      <c r="AF97" s="20">
        <f t="shared" si="16"/>
        <v>7</v>
      </c>
    </row>
    <row r="98" spans="26:32" x14ac:dyDescent="0.15">
      <c r="Z98" s="9"/>
      <c r="AA98" s="9">
        <v>94</v>
      </c>
      <c r="AB98" s="20">
        <f t="shared" si="12"/>
        <v>33</v>
      </c>
      <c r="AC98" s="20">
        <f t="shared" si="13"/>
        <v>66</v>
      </c>
      <c r="AD98" s="20">
        <f t="shared" si="14"/>
        <v>43</v>
      </c>
      <c r="AE98" s="20">
        <f t="shared" si="15"/>
        <v>25</v>
      </c>
      <c r="AF98" s="20">
        <f t="shared" si="16"/>
        <v>7</v>
      </c>
    </row>
    <row r="99" spans="26:32" x14ac:dyDescent="0.15">
      <c r="Z99" s="9"/>
      <c r="AA99" s="9">
        <v>95</v>
      </c>
      <c r="AB99" s="20">
        <f t="shared" si="12"/>
        <v>33</v>
      </c>
      <c r="AC99" s="20">
        <f t="shared" si="13"/>
        <v>66</v>
      </c>
      <c r="AD99" s="20">
        <f t="shared" si="14"/>
        <v>43</v>
      </c>
      <c r="AE99" s="20">
        <f t="shared" si="15"/>
        <v>25</v>
      </c>
      <c r="AF99" s="20">
        <f t="shared" si="16"/>
        <v>7</v>
      </c>
    </row>
    <row r="100" spans="26:32" x14ac:dyDescent="0.15">
      <c r="Z100" s="9"/>
      <c r="AA100" s="9">
        <v>96</v>
      </c>
      <c r="AB100" s="20">
        <f t="shared" si="12"/>
        <v>33</v>
      </c>
      <c r="AC100" s="20">
        <f t="shared" si="13"/>
        <v>66</v>
      </c>
      <c r="AD100" s="20">
        <f t="shared" si="14"/>
        <v>43</v>
      </c>
      <c r="AE100" s="20">
        <f t="shared" si="15"/>
        <v>25</v>
      </c>
      <c r="AF100" s="20">
        <f t="shared" si="16"/>
        <v>7</v>
      </c>
    </row>
    <row r="101" spans="26:32" x14ac:dyDescent="0.15">
      <c r="Z101" s="9"/>
      <c r="AA101" s="9">
        <v>97</v>
      </c>
      <c r="AB101" s="20">
        <f t="shared" si="12"/>
        <v>33</v>
      </c>
      <c r="AC101" s="20">
        <f t="shared" si="13"/>
        <v>66</v>
      </c>
      <c r="AD101" s="20">
        <f t="shared" si="14"/>
        <v>43</v>
      </c>
      <c r="AE101" s="20">
        <f t="shared" si="15"/>
        <v>25</v>
      </c>
      <c r="AF101" s="20">
        <f t="shared" si="16"/>
        <v>7</v>
      </c>
    </row>
    <row r="102" spans="26:32" x14ac:dyDescent="0.15">
      <c r="Z102" s="9"/>
      <c r="AA102" s="9">
        <v>98</v>
      </c>
      <c r="AB102" s="20">
        <f t="shared" si="12"/>
        <v>33</v>
      </c>
      <c r="AC102" s="20">
        <f t="shared" si="13"/>
        <v>66</v>
      </c>
      <c r="AD102" s="20">
        <f t="shared" si="14"/>
        <v>43</v>
      </c>
      <c r="AE102" s="20">
        <f t="shared" si="15"/>
        <v>25</v>
      </c>
      <c r="AF102" s="20">
        <f t="shared" si="16"/>
        <v>7</v>
      </c>
    </row>
    <row r="103" spans="26:32" x14ac:dyDescent="0.15">
      <c r="Z103" s="9"/>
      <c r="AA103" s="9">
        <v>99</v>
      </c>
      <c r="AB103" s="20">
        <f t="shared" si="12"/>
        <v>33</v>
      </c>
      <c r="AC103" s="20">
        <f t="shared" si="13"/>
        <v>66</v>
      </c>
      <c r="AD103" s="20">
        <f t="shared" si="14"/>
        <v>43</v>
      </c>
      <c r="AE103" s="20">
        <f t="shared" si="15"/>
        <v>25</v>
      </c>
      <c r="AF103" s="20">
        <f t="shared" si="16"/>
        <v>7</v>
      </c>
    </row>
    <row r="104" spans="26:32" x14ac:dyDescent="0.15">
      <c r="Z104" s="9"/>
      <c r="AA104" s="9">
        <v>100</v>
      </c>
      <c r="AB104" s="20">
        <f t="shared" si="12"/>
        <v>33</v>
      </c>
      <c r="AC104" s="20">
        <f t="shared" si="13"/>
        <v>66</v>
      </c>
      <c r="AD104" s="20">
        <f t="shared" si="14"/>
        <v>43</v>
      </c>
      <c r="AE104" s="20">
        <f t="shared" si="15"/>
        <v>25</v>
      </c>
      <c r="AF104" s="20">
        <f t="shared" si="16"/>
        <v>7</v>
      </c>
    </row>
  </sheetData>
  <mergeCells count="7">
    <mergeCell ref="S6:W6"/>
    <mergeCell ref="F25:G25"/>
    <mergeCell ref="AB3:AF3"/>
    <mergeCell ref="C25:D25"/>
    <mergeCell ref="L6:M6"/>
    <mergeCell ref="O6:P6"/>
    <mergeCell ref="X6:Y6"/>
  </mergeCells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B2:AM185"/>
  <sheetViews>
    <sheetView workbookViewId="0">
      <selection activeCell="E10" sqref="E10"/>
    </sheetView>
  </sheetViews>
  <sheetFormatPr defaultRowHeight="11.25" x14ac:dyDescent="0.15"/>
  <cols>
    <col min="1" max="23" width="9" style="1"/>
    <col min="24" max="25" width="9" style="12"/>
    <col min="26" max="16384" width="9" style="1"/>
  </cols>
  <sheetData>
    <row r="2" spans="2:39" x14ac:dyDescent="0.15">
      <c r="J2" s="1" t="s">
        <v>41</v>
      </c>
      <c r="X2" s="1"/>
      <c r="Y2" s="1"/>
    </row>
    <row r="3" spans="2:39" x14ac:dyDescent="0.15">
      <c r="P3" s="1" t="s">
        <v>43</v>
      </c>
      <c r="Q3" s="1" t="s">
        <v>31</v>
      </c>
      <c r="R3" s="1" t="s">
        <v>32</v>
      </c>
      <c r="S3" s="1" t="s">
        <v>33</v>
      </c>
      <c r="T3" s="1" t="s">
        <v>42</v>
      </c>
      <c r="U3" s="1" t="s">
        <v>34</v>
      </c>
      <c r="X3" s="1"/>
      <c r="Y3" s="1"/>
      <c r="AB3" s="1" t="s">
        <v>44</v>
      </c>
      <c r="AC3" s="1" t="s">
        <v>45</v>
      </c>
      <c r="AD3" s="138" t="s">
        <v>46</v>
      </c>
      <c r="AE3" s="138"/>
      <c r="AF3" s="138"/>
      <c r="AG3" s="138"/>
      <c r="AH3" s="1" t="s">
        <v>54</v>
      </c>
      <c r="AJ3" s="1" t="s">
        <v>24</v>
      </c>
      <c r="AK3" s="1" t="s">
        <v>62</v>
      </c>
      <c r="AL3" s="1" t="s">
        <v>72</v>
      </c>
      <c r="AM3" s="1" t="s">
        <v>73</v>
      </c>
    </row>
    <row r="4" spans="2:39" x14ac:dyDescent="0.15">
      <c r="I4" s="1" t="s">
        <v>24</v>
      </c>
      <c r="J4" s="1" t="s">
        <v>25</v>
      </c>
      <c r="K4" s="1" t="s">
        <v>26</v>
      </c>
      <c r="L4" s="1" t="s">
        <v>27</v>
      </c>
      <c r="M4" s="1" t="s">
        <v>28</v>
      </c>
      <c r="N4" s="1" t="s">
        <v>29</v>
      </c>
      <c r="P4" s="1">
        <v>1</v>
      </c>
      <c r="Q4" s="1">
        <f t="shared" ref="Q4:U7" si="0">$P4*C$12</f>
        <v>0</v>
      </c>
      <c r="R4" s="1">
        <f t="shared" si="0"/>
        <v>0</v>
      </c>
      <c r="S4" s="1">
        <f t="shared" si="0"/>
        <v>0</v>
      </c>
      <c r="T4" s="1">
        <f t="shared" si="0"/>
        <v>0</v>
      </c>
      <c r="U4" s="1">
        <f t="shared" si="0"/>
        <v>0</v>
      </c>
      <c r="X4" s="1"/>
      <c r="Y4" s="1"/>
      <c r="AB4" s="1">
        <v>0</v>
      </c>
      <c r="AC4" s="1">
        <v>0</v>
      </c>
      <c r="AH4" s="1">
        <v>0</v>
      </c>
      <c r="AJ4" s="1">
        <v>1</v>
      </c>
      <c r="AK4" s="1">
        <f>求节点($AC$4:$AC$17,$AH$4:$AH$17,AJ4)</f>
        <v>81.25</v>
      </c>
      <c r="AL4" s="1">
        <f>IF(AJ4&lt;=$AC$26,求节点($AC$21:$AC$26,$AH$21:$AH$26,AJ4),$AH$26)</f>
        <v>0.3125</v>
      </c>
      <c r="AM4" s="1">
        <f>AK4+AL4</f>
        <v>81.5625</v>
      </c>
    </row>
    <row r="5" spans="2:39" x14ac:dyDescent="0.15">
      <c r="C5" s="11"/>
      <c r="D5" s="11"/>
      <c r="E5" s="11"/>
      <c r="F5" s="11"/>
      <c r="I5" s="1">
        <v>1</v>
      </c>
      <c r="J5" s="1">
        <f t="shared" ref="J5:J24" si="1">C$7+C$8*$I5</f>
        <v>15</v>
      </c>
      <c r="K5" s="1">
        <f t="shared" ref="K5:K24" si="2">D$7+D$8*$I5</f>
        <v>30</v>
      </c>
      <c r="L5" s="1">
        <f t="shared" ref="L5:L24" si="3">E$7+E$8*$I5</f>
        <v>45</v>
      </c>
      <c r="M5" s="1">
        <f t="shared" ref="M5:M24" si="4">F$7+F$8*$I5</f>
        <v>60</v>
      </c>
      <c r="N5" s="1">
        <f t="shared" ref="N5:N24" si="5">G$7+G$8*$I5</f>
        <v>75</v>
      </c>
      <c r="P5" s="1">
        <v>2</v>
      </c>
      <c r="Q5" s="1">
        <f t="shared" si="0"/>
        <v>0</v>
      </c>
      <c r="R5" s="1">
        <f t="shared" si="0"/>
        <v>0</v>
      </c>
      <c r="S5" s="1">
        <f t="shared" si="0"/>
        <v>0</v>
      </c>
      <c r="T5" s="1">
        <f t="shared" si="0"/>
        <v>0</v>
      </c>
      <c r="U5" s="1">
        <f t="shared" si="0"/>
        <v>0</v>
      </c>
      <c r="X5" s="1"/>
      <c r="Y5" s="1"/>
      <c r="AB5" s="1" t="s">
        <v>7</v>
      </c>
      <c r="AC5" s="1">
        <v>8</v>
      </c>
      <c r="AD5" s="1" t="s">
        <v>33</v>
      </c>
      <c r="AE5" s="1">
        <v>1</v>
      </c>
      <c r="AF5" s="1" t="s">
        <v>32</v>
      </c>
      <c r="AG5" s="1">
        <v>5</v>
      </c>
      <c r="AH5" s="1">
        <f>IFERROR(INDEX($J:$N,MATCH(AC5,$I:$I,0),MATCH(AD5,$J$4:$N$4,0))*AE5+INDEX($J:$N,MATCH(AC5,$I:$I,0),MATCH(AF5,$J$4:$N$4,0))*AG5,INDEX($J:$N,MATCH(AC5,$I:$I,0),MATCH(AD5,$J$4:$N$4,0))*AE5)</f>
        <v>650</v>
      </c>
      <c r="AJ5" s="1">
        <v>2</v>
      </c>
      <c r="AK5" s="1">
        <f t="shared" ref="AK5:AK68" si="6">求节点($AC$4:$AC$17,$AH$4:$AH$17,AJ5)</f>
        <v>162.5</v>
      </c>
      <c r="AL5" s="1">
        <f t="shared" ref="AL5:AL68" si="7">IF(AJ5&lt;=$AC$26,求节点($AC$21:$AC$26,$AH$21:$AH$26,AJ5),$AH$26)</f>
        <v>0.625</v>
      </c>
      <c r="AM5" s="1">
        <f t="shared" ref="AM5:AM68" si="8">AK5+AL5</f>
        <v>163.125</v>
      </c>
    </row>
    <row r="6" spans="2:39" x14ac:dyDescent="0.15">
      <c r="B6" s="1" t="s">
        <v>30</v>
      </c>
      <c r="C6" s="1" t="s">
        <v>31</v>
      </c>
      <c r="D6" s="1" t="s">
        <v>32</v>
      </c>
      <c r="E6" s="1" t="s">
        <v>33</v>
      </c>
      <c r="F6" s="1" t="s">
        <v>28</v>
      </c>
      <c r="G6" s="1" t="s">
        <v>34</v>
      </c>
      <c r="I6" s="1">
        <v>2</v>
      </c>
      <c r="J6" s="1">
        <f t="shared" si="1"/>
        <v>20</v>
      </c>
      <c r="K6" s="1">
        <f t="shared" si="2"/>
        <v>40</v>
      </c>
      <c r="L6" s="1">
        <f t="shared" si="3"/>
        <v>60</v>
      </c>
      <c r="M6" s="1">
        <f t="shared" si="4"/>
        <v>80</v>
      </c>
      <c r="N6" s="1">
        <f t="shared" si="5"/>
        <v>100</v>
      </c>
      <c r="P6" s="1">
        <v>3</v>
      </c>
      <c r="Q6" s="1">
        <f t="shared" si="0"/>
        <v>0</v>
      </c>
      <c r="R6" s="1">
        <f t="shared" si="0"/>
        <v>0</v>
      </c>
      <c r="S6" s="1">
        <f t="shared" si="0"/>
        <v>0</v>
      </c>
      <c r="T6" s="1">
        <f t="shared" si="0"/>
        <v>0</v>
      </c>
      <c r="U6" s="1">
        <f t="shared" si="0"/>
        <v>0</v>
      </c>
      <c r="X6" s="1"/>
      <c r="Y6" s="1"/>
      <c r="AB6" s="1" t="s">
        <v>8</v>
      </c>
      <c r="AC6" s="1">
        <v>12</v>
      </c>
      <c r="AD6" s="1" t="s">
        <v>33</v>
      </c>
      <c r="AE6" s="1">
        <v>3</v>
      </c>
      <c r="AF6" s="1" t="s">
        <v>32</v>
      </c>
      <c r="AG6" s="1">
        <v>3</v>
      </c>
      <c r="AH6" s="1">
        <f t="shared" ref="AH6:AH17" si="9">IFERROR(INDEX($J:$N,MATCH(AC6,$I:$I,0),MATCH(AD6,$J$4:$N$4,0))*AE6+INDEX($J:$N,MATCH(AC6,$I:$I,0),MATCH(AF6,$J$4:$N$4,0))*AG6,INDEX($J:$N,MATCH(AC6,$I:$I,0),MATCH(AD6,$J$4:$N$4,0))*AE6)</f>
        <v>1050</v>
      </c>
      <c r="AJ6" s="1">
        <v>3</v>
      </c>
      <c r="AK6" s="1">
        <f t="shared" si="6"/>
        <v>243.75</v>
      </c>
      <c r="AL6" s="1">
        <f t="shared" si="7"/>
        <v>0.9375</v>
      </c>
      <c r="AM6" s="1">
        <f t="shared" si="8"/>
        <v>244.6875</v>
      </c>
    </row>
    <row r="7" spans="2:39" x14ac:dyDescent="0.15">
      <c r="B7" s="1" t="s">
        <v>35</v>
      </c>
      <c r="C7" s="1">
        <v>10</v>
      </c>
      <c r="D7" s="1">
        <v>20</v>
      </c>
      <c r="E7" s="1">
        <v>30</v>
      </c>
      <c r="F7" s="1">
        <v>40</v>
      </c>
      <c r="G7" s="1">
        <v>50</v>
      </c>
      <c r="I7" s="1">
        <v>3</v>
      </c>
      <c r="J7" s="1">
        <f t="shared" si="1"/>
        <v>25</v>
      </c>
      <c r="K7" s="1">
        <f t="shared" si="2"/>
        <v>50</v>
      </c>
      <c r="L7" s="1">
        <f t="shared" si="3"/>
        <v>75</v>
      </c>
      <c r="M7" s="1">
        <f t="shared" si="4"/>
        <v>100</v>
      </c>
      <c r="N7" s="1">
        <f t="shared" si="5"/>
        <v>125</v>
      </c>
      <c r="P7" s="1">
        <v>4</v>
      </c>
      <c r="Q7" s="1">
        <f t="shared" si="0"/>
        <v>0</v>
      </c>
      <c r="R7" s="1">
        <f t="shared" si="0"/>
        <v>0</v>
      </c>
      <c r="S7" s="1">
        <f t="shared" si="0"/>
        <v>0</v>
      </c>
      <c r="T7" s="1">
        <f t="shared" si="0"/>
        <v>0</v>
      </c>
      <c r="U7" s="1">
        <f t="shared" si="0"/>
        <v>0</v>
      </c>
      <c r="X7" s="1"/>
      <c r="Y7" s="1"/>
      <c r="AB7" s="1" t="s">
        <v>9</v>
      </c>
      <c r="AC7" s="1">
        <v>16</v>
      </c>
      <c r="AD7" s="1" t="s">
        <v>33</v>
      </c>
      <c r="AE7" s="1">
        <v>5</v>
      </c>
      <c r="AF7" s="1" t="s">
        <v>32</v>
      </c>
      <c r="AG7" s="1">
        <v>1</v>
      </c>
      <c r="AH7" s="1">
        <f t="shared" si="9"/>
        <v>1530</v>
      </c>
      <c r="AJ7" s="1">
        <v>4</v>
      </c>
      <c r="AK7" s="1">
        <f t="shared" si="6"/>
        <v>325</v>
      </c>
      <c r="AL7" s="1">
        <f t="shared" si="7"/>
        <v>1.25</v>
      </c>
      <c r="AM7" s="1">
        <f t="shared" si="8"/>
        <v>326.25</v>
      </c>
    </row>
    <row r="8" spans="2:39" x14ac:dyDescent="0.15">
      <c r="B8" s="1" t="s">
        <v>36</v>
      </c>
      <c r="C8" s="1">
        <v>5</v>
      </c>
      <c r="D8" s="1">
        <v>10</v>
      </c>
      <c r="E8" s="1">
        <v>15</v>
      </c>
      <c r="F8" s="1">
        <v>20</v>
      </c>
      <c r="G8" s="1">
        <v>25</v>
      </c>
      <c r="I8" s="1">
        <v>4</v>
      </c>
      <c r="J8" s="1">
        <f t="shared" si="1"/>
        <v>30</v>
      </c>
      <c r="K8" s="1">
        <f t="shared" si="2"/>
        <v>60</v>
      </c>
      <c r="L8" s="1">
        <f t="shared" si="3"/>
        <v>90</v>
      </c>
      <c r="M8" s="1">
        <f t="shared" si="4"/>
        <v>120</v>
      </c>
      <c r="N8" s="1">
        <f t="shared" si="5"/>
        <v>150</v>
      </c>
      <c r="P8" s="1">
        <v>5</v>
      </c>
      <c r="Q8" s="1">
        <f t="shared" ref="Q8:R10" si="10">$P8*C$12</f>
        <v>0</v>
      </c>
      <c r="R8" s="1">
        <f t="shared" si="10"/>
        <v>0</v>
      </c>
      <c r="S8" s="1">
        <v>40</v>
      </c>
      <c r="T8" s="1">
        <f t="shared" ref="T8:U10" si="11">$P8*F$12</f>
        <v>0</v>
      </c>
      <c r="U8" s="1">
        <f t="shared" si="11"/>
        <v>0</v>
      </c>
      <c r="X8" s="1"/>
      <c r="Y8" s="1"/>
      <c r="AB8" s="1" t="s">
        <v>10</v>
      </c>
      <c r="AC8" s="1">
        <v>20</v>
      </c>
      <c r="AD8" s="1" t="s">
        <v>28</v>
      </c>
      <c r="AE8" s="1">
        <v>1</v>
      </c>
      <c r="AF8" s="1" t="s">
        <v>33</v>
      </c>
      <c r="AG8" s="1">
        <v>5</v>
      </c>
      <c r="AH8" s="1">
        <f t="shared" si="9"/>
        <v>2090</v>
      </c>
      <c r="AJ8" s="1">
        <v>5</v>
      </c>
      <c r="AK8" s="1">
        <f t="shared" si="6"/>
        <v>406.25</v>
      </c>
      <c r="AL8" s="1">
        <f t="shared" si="7"/>
        <v>1.5625</v>
      </c>
      <c r="AM8" s="1">
        <f t="shared" si="8"/>
        <v>407.8125</v>
      </c>
    </row>
    <row r="9" spans="2:39" x14ac:dyDescent="0.15">
      <c r="B9" s="1" t="s">
        <v>37</v>
      </c>
      <c r="C9" s="1">
        <v>0</v>
      </c>
      <c r="D9" s="1">
        <v>8</v>
      </c>
      <c r="E9" s="1">
        <v>8</v>
      </c>
      <c r="F9" s="1">
        <v>8</v>
      </c>
      <c r="G9" s="1">
        <v>8</v>
      </c>
      <c r="I9" s="1">
        <v>5</v>
      </c>
      <c r="J9" s="1">
        <f t="shared" si="1"/>
        <v>35</v>
      </c>
      <c r="K9" s="1">
        <f t="shared" si="2"/>
        <v>70</v>
      </c>
      <c r="L9" s="1">
        <f t="shared" si="3"/>
        <v>105</v>
      </c>
      <c r="M9" s="1">
        <f t="shared" si="4"/>
        <v>140</v>
      </c>
      <c r="N9" s="1">
        <f t="shared" si="5"/>
        <v>175</v>
      </c>
      <c r="P9" s="1">
        <v>6</v>
      </c>
      <c r="Q9" s="1">
        <f t="shared" si="10"/>
        <v>0</v>
      </c>
      <c r="R9" s="1">
        <f t="shared" si="10"/>
        <v>0</v>
      </c>
      <c r="S9" s="1">
        <v>40</v>
      </c>
      <c r="T9" s="1">
        <f t="shared" si="11"/>
        <v>0</v>
      </c>
      <c r="U9" s="1">
        <f t="shared" si="11"/>
        <v>0</v>
      </c>
      <c r="X9" s="1"/>
      <c r="Y9" s="1"/>
      <c r="AB9" s="1" t="s">
        <v>20</v>
      </c>
      <c r="AC9" s="1">
        <v>30</v>
      </c>
      <c r="AD9" s="1" t="s">
        <v>28</v>
      </c>
      <c r="AE9" s="1">
        <v>4</v>
      </c>
      <c r="AF9" s="1" t="s">
        <v>33</v>
      </c>
      <c r="AG9" s="1">
        <v>2</v>
      </c>
      <c r="AH9" s="1">
        <f t="shared" si="9"/>
        <v>3520</v>
      </c>
      <c r="AJ9" s="1">
        <v>6</v>
      </c>
      <c r="AK9" s="1">
        <f t="shared" si="6"/>
        <v>487.5</v>
      </c>
      <c r="AL9" s="1">
        <f t="shared" si="7"/>
        <v>1.875</v>
      </c>
      <c r="AM9" s="1">
        <f t="shared" si="8"/>
        <v>489.375</v>
      </c>
    </row>
    <row r="10" spans="2:39" x14ac:dyDescent="0.15">
      <c r="B10" s="1" t="s">
        <v>38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I10" s="1">
        <v>6</v>
      </c>
      <c r="J10" s="1">
        <f t="shared" si="1"/>
        <v>40</v>
      </c>
      <c r="K10" s="1">
        <f t="shared" si="2"/>
        <v>80</v>
      </c>
      <c r="L10" s="1">
        <f t="shared" si="3"/>
        <v>120</v>
      </c>
      <c r="M10" s="1">
        <f t="shared" si="4"/>
        <v>160</v>
      </c>
      <c r="N10" s="1">
        <f t="shared" si="5"/>
        <v>200</v>
      </c>
      <c r="P10" s="1">
        <v>7</v>
      </c>
      <c r="Q10" s="1">
        <f t="shared" si="10"/>
        <v>0</v>
      </c>
      <c r="R10" s="1">
        <f t="shared" si="10"/>
        <v>0</v>
      </c>
      <c r="S10" s="1">
        <v>40</v>
      </c>
      <c r="T10" s="1">
        <f t="shared" si="11"/>
        <v>0</v>
      </c>
      <c r="U10" s="1">
        <f t="shared" si="11"/>
        <v>0</v>
      </c>
      <c r="X10" s="1"/>
      <c r="Y10" s="1"/>
      <c r="AB10" s="1" t="s">
        <v>11</v>
      </c>
      <c r="AC10" s="1">
        <v>35</v>
      </c>
      <c r="AD10" s="1" t="s">
        <v>28</v>
      </c>
      <c r="AE10" s="1">
        <v>6</v>
      </c>
      <c r="AH10" s="1">
        <f t="shared" si="9"/>
        <v>4440</v>
      </c>
      <c r="AJ10" s="1">
        <v>7</v>
      </c>
      <c r="AK10" s="1">
        <f t="shared" si="6"/>
        <v>568.75</v>
      </c>
      <c r="AL10" s="1">
        <f t="shared" si="7"/>
        <v>2.1875</v>
      </c>
      <c r="AM10" s="1">
        <f t="shared" si="8"/>
        <v>570.9375</v>
      </c>
    </row>
    <row r="11" spans="2:39" x14ac:dyDescent="0.15">
      <c r="B11" s="1" t="s">
        <v>39</v>
      </c>
      <c r="C11" s="1">
        <v>2</v>
      </c>
      <c r="D11" s="1">
        <v>3</v>
      </c>
      <c r="E11" s="1">
        <v>4</v>
      </c>
      <c r="F11" s="1">
        <v>5</v>
      </c>
      <c r="G11" s="1">
        <v>7</v>
      </c>
      <c r="I11" s="1">
        <v>7</v>
      </c>
      <c r="J11" s="1">
        <f t="shared" si="1"/>
        <v>45</v>
      </c>
      <c r="K11" s="1">
        <f t="shared" si="2"/>
        <v>90</v>
      </c>
      <c r="L11" s="1">
        <f t="shared" si="3"/>
        <v>135</v>
      </c>
      <c r="M11" s="1">
        <f t="shared" si="4"/>
        <v>180</v>
      </c>
      <c r="N11" s="1">
        <f t="shared" si="5"/>
        <v>225</v>
      </c>
      <c r="X11" s="1"/>
      <c r="Y11" s="1"/>
      <c r="AB11" s="1" t="s">
        <v>58</v>
      </c>
      <c r="AC11" s="1">
        <v>40</v>
      </c>
      <c r="AD11" s="1" t="s">
        <v>28</v>
      </c>
      <c r="AE11" s="1">
        <v>6</v>
      </c>
      <c r="AH11" s="1">
        <f t="shared" si="9"/>
        <v>5040</v>
      </c>
      <c r="AJ11" s="1">
        <v>8</v>
      </c>
      <c r="AK11" s="1">
        <f t="shared" si="6"/>
        <v>650</v>
      </c>
      <c r="AL11" s="1">
        <f t="shared" si="7"/>
        <v>2.5</v>
      </c>
      <c r="AM11" s="1">
        <f t="shared" si="8"/>
        <v>652.5</v>
      </c>
    </row>
    <row r="12" spans="2:39" x14ac:dyDescent="0.15">
      <c r="B12" s="1" t="s">
        <v>40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I12" s="1">
        <v>8</v>
      </c>
      <c r="J12" s="1">
        <f t="shared" si="1"/>
        <v>50</v>
      </c>
      <c r="K12" s="1">
        <f t="shared" si="2"/>
        <v>100</v>
      </c>
      <c r="L12" s="1">
        <f t="shared" si="3"/>
        <v>150</v>
      </c>
      <c r="M12" s="1">
        <f t="shared" si="4"/>
        <v>200</v>
      </c>
      <c r="N12" s="1">
        <f t="shared" si="5"/>
        <v>250</v>
      </c>
      <c r="X12" s="1"/>
      <c r="Y12" s="1"/>
      <c r="AB12" s="1" t="s">
        <v>58</v>
      </c>
      <c r="AC12" s="1">
        <v>50</v>
      </c>
      <c r="AD12" s="1" t="s">
        <v>28</v>
      </c>
      <c r="AE12" s="1">
        <v>6</v>
      </c>
      <c r="AH12" s="1">
        <f t="shared" si="9"/>
        <v>6240</v>
      </c>
      <c r="AJ12" s="1">
        <v>9</v>
      </c>
      <c r="AK12" s="1">
        <f t="shared" si="6"/>
        <v>750</v>
      </c>
      <c r="AL12" s="1">
        <f t="shared" si="7"/>
        <v>2.8125</v>
      </c>
      <c r="AM12" s="1">
        <f t="shared" si="8"/>
        <v>752.8125</v>
      </c>
    </row>
    <row r="13" spans="2:39" x14ac:dyDescent="0.15">
      <c r="I13" s="1">
        <v>9</v>
      </c>
      <c r="J13" s="1">
        <f t="shared" si="1"/>
        <v>55</v>
      </c>
      <c r="K13" s="1">
        <f t="shared" si="2"/>
        <v>110</v>
      </c>
      <c r="L13" s="1">
        <f t="shared" si="3"/>
        <v>165</v>
      </c>
      <c r="M13" s="1">
        <f t="shared" si="4"/>
        <v>220</v>
      </c>
      <c r="N13" s="1">
        <f t="shared" si="5"/>
        <v>275</v>
      </c>
      <c r="X13" s="1"/>
      <c r="Y13" s="1"/>
      <c r="AB13" s="1" t="s">
        <v>58</v>
      </c>
      <c r="AC13" s="1">
        <v>60</v>
      </c>
      <c r="AD13" s="1" t="s">
        <v>28</v>
      </c>
      <c r="AE13" s="1">
        <v>6</v>
      </c>
      <c r="AH13" s="1">
        <f t="shared" si="9"/>
        <v>7440</v>
      </c>
      <c r="AJ13" s="1">
        <v>10</v>
      </c>
      <c r="AK13" s="1">
        <f t="shared" si="6"/>
        <v>850</v>
      </c>
      <c r="AL13" s="1">
        <f t="shared" si="7"/>
        <v>3.125</v>
      </c>
      <c r="AM13" s="1">
        <f t="shared" si="8"/>
        <v>853.125</v>
      </c>
    </row>
    <row r="14" spans="2:39" x14ac:dyDescent="0.15">
      <c r="I14" s="1">
        <v>10</v>
      </c>
      <c r="J14" s="1">
        <f t="shared" si="1"/>
        <v>60</v>
      </c>
      <c r="K14" s="1">
        <f t="shared" si="2"/>
        <v>120</v>
      </c>
      <c r="L14" s="1">
        <f t="shared" si="3"/>
        <v>180</v>
      </c>
      <c r="M14" s="1">
        <f t="shared" si="4"/>
        <v>240</v>
      </c>
      <c r="N14" s="1">
        <f t="shared" si="5"/>
        <v>300</v>
      </c>
      <c r="X14" s="1"/>
      <c r="Y14" s="1"/>
      <c r="AB14" s="1" t="s">
        <v>58</v>
      </c>
      <c r="AC14" s="1">
        <v>70</v>
      </c>
      <c r="AD14" s="1" t="s">
        <v>28</v>
      </c>
      <c r="AE14" s="1">
        <v>6</v>
      </c>
      <c r="AH14" s="1">
        <f t="shared" si="9"/>
        <v>8640</v>
      </c>
      <c r="AJ14" s="1">
        <v>11</v>
      </c>
      <c r="AK14" s="1">
        <f t="shared" si="6"/>
        <v>950</v>
      </c>
      <c r="AL14" s="1">
        <f t="shared" si="7"/>
        <v>3.4375</v>
      </c>
      <c r="AM14" s="1">
        <f t="shared" si="8"/>
        <v>953.4375</v>
      </c>
    </row>
    <row r="15" spans="2:39" x14ac:dyDescent="0.15">
      <c r="I15" s="1">
        <v>11</v>
      </c>
      <c r="J15" s="1">
        <f t="shared" si="1"/>
        <v>65</v>
      </c>
      <c r="K15" s="1">
        <f t="shared" si="2"/>
        <v>130</v>
      </c>
      <c r="L15" s="1">
        <f t="shared" si="3"/>
        <v>195</v>
      </c>
      <c r="M15" s="1">
        <f t="shared" si="4"/>
        <v>260</v>
      </c>
      <c r="N15" s="1">
        <f t="shared" si="5"/>
        <v>325</v>
      </c>
      <c r="X15" s="1"/>
      <c r="Y15" s="1"/>
      <c r="AB15" s="1" t="s">
        <v>58</v>
      </c>
      <c r="AC15" s="1">
        <v>80</v>
      </c>
      <c r="AD15" s="1" t="s">
        <v>28</v>
      </c>
      <c r="AE15" s="1">
        <v>6</v>
      </c>
      <c r="AH15" s="1">
        <f t="shared" si="9"/>
        <v>9840</v>
      </c>
      <c r="AJ15" s="1">
        <v>12</v>
      </c>
      <c r="AK15" s="1">
        <f t="shared" si="6"/>
        <v>1050</v>
      </c>
      <c r="AL15" s="1">
        <f t="shared" si="7"/>
        <v>3.75</v>
      </c>
      <c r="AM15" s="1">
        <f t="shared" si="8"/>
        <v>1053.75</v>
      </c>
    </row>
    <row r="16" spans="2:39" x14ac:dyDescent="0.15">
      <c r="I16" s="1">
        <v>12</v>
      </c>
      <c r="J16" s="1">
        <f t="shared" si="1"/>
        <v>70</v>
      </c>
      <c r="K16" s="1">
        <f t="shared" si="2"/>
        <v>140</v>
      </c>
      <c r="L16" s="1">
        <f t="shared" si="3"/>
        <v>210</v>
      </c>
      <c r="M16" s="1">
        <f t="shared" si="4"/>
        <v>280</v>
      </c>
      <c r="N16" s="1">
        <f t="shared" si="5"/>
        <v>350</v>
      </c>
      <c r="X16" s="1"/>
      <c r="Y16" s="1"/>
      <c r="AB16" s="1" t="s">
        <v>58</v>
      </c>
      <c r="AC16" s="1">
        <v>90</v>
      </c>
      <c r="AD16" s="1" t="s">
        <v>28</v>
      </c>
      <c r="AE16" s="1">
        <v>6</v>
      </c>
      <c r="AH16" s="1">
        <f t="shared" si="9"/>
        <v>11040</v>
      </c>
      <c r="AJ16" s="1">
        <v>13</v>
      </c>
      <c r="AK16" s="1">
        <f t="shared" si="6"/>
        <v>1170</v>
      </c>
      <c r="AL16" s="1">
        <f t="shared" si="7"/>
        <v>4.0625</v>
      </c>
      <c r="AM16" s="1">
        <f t="shared" si="8"/>
        <v>1174.0625</v>
      </c>
    </row>
    <row r="17" spans="9:39" x14ac:dyDescent="0.15">
      <c r="I17" s="1">
        <v>13</v>
      </c>
      <c r="J17" s="1">
        <f t="shared" si="1"/>
        <v>75</v>
      </c>
      <c r="K17" s="1">
        <f t="shared" si="2"/>
        <v>150</v>
      </c>
      <c r="L17" s="1">
        <f t="shared" si="3"/>
        <v>225</v>
      </c>
      <c r="M17" s="1">
        <f t="shared" si="4"/>
        <v>300</v>
      </c>
      <c r="N17" s="1">
        <f t="shared" si="5"/>
        <v>375</v>
      </c>
      <c r="X17" s="1"/>
      <c r="Y17" s="1"/>
      <c r="AB17" s="1" t="s">
        <v>58</v>
      </c>
      <c r="AC17" s="1">
        <v>100</v>
      </c>
      <c r="AD17" s="1" t="s">
        <v>28</v>
      </c>
      <c r="AE17" s="1">
        <v>6</v>
      </c>
      <c r="AH17" s="1">
        <f t="shared" si="9"/>
        <v>12240</v>
      </c>
      <c r="AJ17" s="1">
        <v>14</v>
      </c>
      <c r="AK17" s="1">
        <f t="shared" si="6"/>
        <v>1290</v>
      </c>
      <c r="AL17" s="1">
        <f t="shared" si="7"/>
        <v>4.375</v>
      </c>
      <c r="AM17" s="1">
        <f t="shared" si="8"/>
        <v>1294.375</v>
      </c>
    </row>
    <row r="18" spans="9:39" x14ac:dyDescent="0.15">
      <c r="I18" s="1">
        <v>14</v>
      </c>
      <c r="J18" s="1">
        <f t="shared" si="1"/>
        <v>80</v>
      </c>
      <c r="K18" s="1">
        <f t="shared" si="2"/>
        <v>160</v>
      </c>
      <c r="L18" s="1">
        <f t="shared" si="3"/>
        <v>240</v>
      </c>
      <c r="M18" s="1">
        <f t="shared" si="4"/>
        <v>320</v>
      </c>
      <c r="N18" s="1">
        <f t="shared" si="5"/>
        <v>400</v>
      </c>
      <c r="X18" s="1"/>
      <c r="Y18" s="1"/>
      <c r="AJ18" s="1">
        <v>15</v>
      </c>
      <c r="AK18" s="1">
        <f t="shared" si="6"/>
        <v>1410</v>
      </c>
      <c r="AL18" s="1">
        <f t="shared" si="7"/>
        <v>4.6875</v>
      </c>
      <c r="AM18" s="1">
        <f t="shared" si="8"/>
        <v>1414.6875</v>
      </c>
    </row>
    <row r="19" spans="9:39" x14ac:dyDescent="0.15">
      <c r="I19" s="1">
        <v>15</v>
      </c>
      <c r="J19" s="1">
        <f t="shared" si="1"/>
        <v>85</v>
      </c>
      <c r="K19" s="1">
        <f t="shared" si="2"/>
        <v>170</v>
      </c>
      <c r="L19" s="1">
        <f t="shared" si="3"/>
        <v>255</v>
      </c>
      <c r="M19" s="1">
        <f t="shared" si="4"/>
        <v>340</v>
      </c>
      <c r="N19" s="1">
        <f t="shared" si="5"/>
        <v>425</v>
      </c>
      <c r="X19" s="1"/>
      <c r="Y19" s="1"/>
      <c r="AJ19" s="1">
        <v>16</v>
      </c>
      <c r="AK19" s="1">
        <f t="shared" si="6"/>
        <v>1530</v>
      </c>
      <c r="AL19" s="1">
        <f t="shared" si="7"/>
        <v>5</v>
      </c>
      <c r="AM19" s="1">
        <f t="shared" si="8"/>
        <v>1535</v>
      </c>
    </row>
    <row r="20" spans="9:39" x14ac:dyDescent="0.15">
      <c r="I20" s="1">
        <v>16</v>
      </c>
      <c r="J20" s="1">
        <f t="shared" si="1"/>
        <v>90</v>
      </c>
      <c r="K20" s="1">
        <f t="shared" si="2"/>
        <v>180</v>
      </c>
      <c r="L20" s="1">
        <f t="shared" si="3"/>
        <v>270</v>
      </c>
      <c r="M20" s="1">
        <f t="shared" si="4"/>
        <v>360</v>
      </c>
      <c r="N20" s="1">
        <f t="shared" si="5"/>
        <v>450</v>
      </c>
      <c r="X20" s="1"/>
      <c r="Y20" s="1"/>
      <c r="AB20" s="1" t="s">
        <v>71</v>
      </c>
      <c r="AC20" s="1" t="s">
        <v>45</v>
      </c>
      <c r="AD20" s="138" t="s">
        <v>46</v>
      </c>
      <c r="AE20" s="138"/>
      <c r="AF20" s="138"/>
      <c r="AG20" s="138"/>
      <c r="AH20" s="1" t="s">
        <v>54</v>
      </c>
      <c r="AJ20" s="1">
        <v>17</v>
      </c>
      <c r="AK20" s="1">
        <f t="shared" si="6"/>
        <v>1670</v>
      </c>
      <c r="AL20" s="1">
        <f t="shared" si="7"/>
        <v>5.3125</v>
      </c>
      <c r="AM20" s="1">
        <f t="shared" si="8"/>
        <v>1675.3125</v>
      </c>
    </row>
    <row r="21" spans="9:39" x14ac:dyDescent="0.15">
      <c r="I21" s="1">
        <v>17</v>
      </c>
      <c r="J21" s="1">
        <f t="shared" si="1"/>
        <v>95</v>
      </c>
      <c r="K21" s="1">
        <f t="shared" si="2"/>
        <v>190</v>
      </c>
      <c r="L21" s="1">
        <f t="shared" si="3"/>
        <v>285</v>
      </c>
      <c r="M21" s="1">
        <f t="shared" si="4"/>
        <v>380</v>
      </c>
      <c r="N21" s="1">
        <f t="shared" si="5"/>
        <v>475</v>
      </c>
      <c r="X21" s="1"/>
      <c r="Y21" s="1"/>
      <c r="AB21" s="1">
        <v>0</v>
      </c>
      <c r="AC21" s="1">
        <v>0</v>
      </c>
      <c r="AD21" s="1">
        <v>0</v>
      </c>
      <c r="AE21" s="1">
        <v>0</v>
      </c>
      <c r="AH21" s="1">
        <v>0</v>
      </c>
      <c r="AJ21" s="1">
        <v>18</v>
      </c>
      <c r="AK21" s="1">
        <f t="shared" si="6"/>
        <v>1810</v>
      </c>
      <c r="AL21" s="1">
        <f t="shared" si="7"/>
        <v>5.625</v>
      </c>
      <c r="AM21" s="1">
        <f t="shared" si="8"/>
        <v>1815.625</v>
      </c>
    </row>
    <row r="22" spans="9:39" x14ac:dyDescent="0.15">
      <c r="I22" s="1">
        <v>18</v>
      </c>
      <c r="J22" s="1">
        <f t="shared" si="1"/>
        <v>100</v>
      </c>
      <c r="K22" s="1">
        <f t="shared" si="2"/>
        <v>200</v>
      </c>
      <c r="L22" s="1">
        <f t="shared" si="3"/>
        <v>300</v>
      </c>
      <c r="M22" s="1">
        <f t="shared" si="4"/>
        <v>400</v>
      </c>
      <c r="N22" s="1">
        <f t="shared" si="5"/>
        <v>500</v>
      </c>
      <c r="X22" s="1"/>
      <c r="Y22" s="1"/>
      <c r="AB22" s="1" t="s">
        <v>63</v>
      </c>
      <c r="AC22" s="1">
        <v>32</v>
      </c>
      <c r="AD22" s="1" t="s">
        <v>47</v>
      </c>
      <c r="AE22" s="1">
        <v>1</v>
      </c>
      <c r="AH22" s="1">
        <v>10</v>
      </c>
      <c r="AJ22" s="1">
        <v>19</v>
      </c>
      <c r="AK22" s="1">
        <f t="shared" si="6"/>
        <v>1950</v>
      </c>
      <c r="AL22" s="1">
        <f t="shared" si="7"/>
        <v>5.9375</v>
      </c>
      <c r="AM22" s="1">
        <f t="shared" si="8"/>
        <v>1955.9375</v>
      </c>
    </row>
    <row r="23" spans="9:39" x14ac:dyDescent="0.15">
      <c r="I23" s="1">
        <v>19</v>
      </c>
      <c r="J23" s="1">
        <f t="shared" si="1"/>
        <v>105</v>
      </c>
      <c r="K23" s="1">
        <f t="shared" si="2"/>
        <v>210</v>
      </c>
      <c r="L23" s="1">
        <f t="shared" si="3"/>
        <v>315</v>
      </c>
      <c r="M23" s="1">
        <f t="shared" si="4"/>
        <v>420</v>
      </c>
      <c r="N23" s="1">
        <f t="shared" si="5"/>
        <v>525</v>
      </c>
      <c r="X23" s="1"/>
      <c r="Y23" s="1"/>
      <c r="AB23" s="1" t="s">
        <v>64</v>
      </c>
      <c r="AC23" s="1">
        <v>44</v>
      </c>
      <c r="AD23" s="1" t="s">
        <v>68</v>
      </c>
      <c r="AE23" s="1">
        <v>1</v>
      </c>
      <c r="AH23" s="1">
        <v>20</v>
      </c>
      <c r="AJ23" s="1">
        <v>20</v>
      </c>
      <c r="AK23" s="1">
        <f t="shared" si="6"/>
        <v>2090</v>
      </c>
      <c r="AL23" s="1">
        <f t="shared" si="7"/>
        <v>6.25</v>
      </c>
      <c r="AM23" s="1">
        <f t="shared" si="8"/>
        <v>2096.25</v>
      </c>
    </row>
    <row r="24" spans="9:39" x14ac:dyDescent="0.15">
      <c r="I24" s="1">
        <v>20</v>
      </c>
      <c r="J24" s="1">
        <f t="shared" si="1"/>
        <v>110</v>
      </c>
      <c r="K24" s="1">
        <f t="shared" si="2"/>
        <v>220</v>
      </c>
      <c r="L24" s="1">
        <f t="shared" si="3"/>
        <v>330</v>
      </c>
      <c r="M24" s="1">
        <f t="shared" si="4"/>
        <v>440</v>
      </c>
      <c r="N24" s="1">
        <f t="shared" si="5"/>
        <v>550</v>
      </c>
      <c r="X24" s="1"/>
      <c r="Y24" s="1"/>
      <c r="AB24" s="1" t="s">
        <v>65</v>
      </c>
      <c r="AC24" s="1">
        <v>48</v>
      </c>
      <c r="AD24" s="1" t="s">
        <v>68</v>
      </c>
      <c r="AE24" s="1">
        <v>6</v>
      </c>
      <c r="AH24" s="1">
        <v>120</v>
      </c>
      <c r="AJ24" s="1">
        <v>21</v>
      </c>
      <c r="AK24" s="1">
        <f t="shared" si="6"/>
        <v>2233</v>
      </c>
      <c r="AL24" s="1">
        <f t="shared" si="7"/>
        <v>6.5625</v>
      </c>
      <c r="AM24" s="1">
        <f t="shared" si="8"/>
        <v>2239.5625</v>
      </c>
    </row>
    <row r="25" spans="9:39" x14ac:dyDescent="0.15">
      <c r="I25" s="1">
        <v>21</v>
      </c>
      <c r="K25" s="1">
        <f t="shared" ref="K25:K56" si="12">D$7+D$8*$I25</f>
        <v>230</v>
      </c>
      <c r="L25" s="1">
        <f t="shared" ref="L25:L56" si="13">E$7+E$8*$I25</f>
        <v>345</v>
      </c>
      <c r="M25" s="1">
        <f t="shared" ref="M25:M56" si="14">F$7+F$8*$I25</f>
        <v>460</v>
      </c>
      <c r="N25" s="1">
        <f t="shared" ref="N25:N56" si="15">G$7+G$8*$I25</f>
        <v>575</v>
      </c>
      <c r="X25" s="1"/>
      <c r="Y25" s="1"/>
      <c r="AB25" s="1" t="s">
        <v>66</v>
      </c>
      <c r="AC25" s="1">
        <v>58</v>
      </c>
      <c r="AD25" s="1" t="s">
        <v>69</v>
      </c>
      <c r="AE25" s="1">
        <v>6</v>
      </c>
      <c r="AH25" s="1">
        <v>360</v>
      </c>
      <c r="AJ25" s="1">
        <v>22</v>
      </c>
      <c r="AK25" s="1">
        <f t="shared" si="6"/>
        <v>2376</v>
      </c>
      <c r="AL25" s="1">
        <f t="shared" si="7"/>
        <v>6.875</v>
      </c>
      <c r="AM25" s="1">
        <f t="shared" si="8"/>
        <v>2382.875</v>
      </c>
    </row>
    <row r="26" spans="9:39" x14ac:dyDescent="0.15">
      <c r="I26" s="1">
        <v>22</v>
      </c>
      <c r="K26" s="1">
        <f t="shared" si="12"/>
        <v>240</v>
      </c>
      <c r="L26" s="1">
        <f t="shared" si="13"/>
        <v>360</v>
      </c>
      <c r="M26" s="1">
        <f t="shared" si="14"/>
        <v>480</v>
      </c>
      <c r="N26" s="1">
        <f t="shared" si="15"/>
        <v>600</v>
      </c>
      <c r="X26" s="1"/>
      <c r="Y26" s="1"/>
      <c r="AB26" s="1" t="s">
        <v>67</v>
      </c>
      <c r="AC26" s="1">
        <v>66</v>
      </c>
      <c r="AD26" s="1" t="s">
        <v>70</v>
      </c>
      <c r="AE26" s="1">
        <v>6</v>
      </c>
      <c r="AH26" s="1">
        <v>840</v>
      </c>
      <c r="AJ26" s="1">
        <v>23</v>
      </c>
      <c r="AK26" s="1">
        <f t="shared" si="6"/>
        <v>2519</v>
      </c>
      <c r="AL26" s="1">
        <f t="shared" si="7"/>
        <v>7.1875</v>
      </c>
      <c r="AM26" s="1">
        <f t="shared" si="8"/>
        <v>2526.1875</v>
      </c>
    </row>
    <row r="27" spans="9:39" x14ac:dyDescent="0.15">
      <c r="I27" s="1">
        <v>23</v>
      </c>
      <c r="K27" s="1">
        <f t="shared" si="12"/>
        <v>250</v>
      </c>
      <c r="L27" s="1">
        <f t="shared" si="13"/>
        <v>375</v>
      </c>
      <c r="M27" s="1">
        <f t="shared" si="14"/>
        <v>500</v>
      </c>
      <c r="N27" s="1">
        <f t="shared" si="15"/>
        <v>625</v>
      </c>
      <c r="X27" s="1"/>
      <c r="Y27" s="1"/>
      <c r="AJ27" s="1">
        <v>24</v>
      </c>
      <c r="AK27" s="1">
        <f t="shared" si="6"/>
        <v>2662</v>
      </c>
      <c r="AL27" s="1">
        <f t="shared" si="7"/>
        <v>7.5</v>
      </c>
      <c r="AM27" s="1">
        <f t="shared" si="8"/>
        <v>2669.5</v>
      </c>
    </row>
    <row r="28" spans="9:39" x14ac:dyDescent="0.15">
      <c r="I28" s="1">
        <v>24</v>
      </c>
      <c r="K28" s="1">
        <f t="shared" si="12"/>
        <v>260</v>
      </c>
      <c r="L28" s="1">
        <f t="shared" si="13"/>
        <v>390</v>
      </c>
      <c r="M28" s="1">
        <f t="shared" si="14"/>
        <v>520</v>
      </c>
      <c r="N28" s="1">
        <f t="shared" si="15"/>
        <v>650</v>
      </c>
      <c r="X28" s="1"/>
      <c r="Y28" s="1"/>
      <c r="AJ28" s="1">
        <v>25</v>
      </c>
      <c r="AK28" s="1">
        <f t="shared" si="6"/>
        <v>2805</v>
      </c>
      <c r="AL28" s="1">
        <f t="shared" si="7"/>
        <v>7.8125</v>
      </c>
      <c r="AM28" s="1">
        <f t="shared" si="8"/>
        <v>2812.8125</v>
      </c>
    </row>
    <row r="29" spans="9:39" x14ac:dyDescent="0.15">
      <c r="I29" s="1">
        <v>25</v>
      </c>
      <c r="K29" s="1">
        <f t="shared" si="12"/>
        <v>270</v>
      </c>
      <c r="L29" s="1">
        <f t="shared" si="13"/>
        <v>405</v>
      </c>
      <c r="M29" s="1">
        <f t="shared" si="14"/>
        <v>540</v>
      </c>
      <c r="N29" s="1">
        <f t="shared" si="15"/>
        <v>675</v>
      </c>
      <c r="X29" s="1"/>
      <c r="Y29" s="1"/>
      <c r="AJ29" s="1">
        <v>26</v>
      </c>
      <c r="AK29" s="1">
        <f t="shared" si="6"/>
        <v>2948</v>
      </c>
      <c r="AL29" s="1">
        <f t="shared" si="7"/>
        <v>8.125</v>
      </c>
      <c r="AM29" s="1">
        <f t="shared" si="8"/>
        <v>2956.125</v>
      </c>
    </row>
    <row r="30" spans="9:39" x14ac:dyDescent="0.15">
      <c r="I30" s="1">
        <v>26</v>
      </c>
      <c r="K30" s="1">
        <f t="shared" si="12"/>
        <v>280</v>
      </c>
      <c r="L30" s="1">
        <f t="shared" si="13"/>
        <v>420</v>
      </c>
      <c r="M30" s="1">
        <f t="shared" si="14"/>
        <v>560</v>
      </c>
      <c r="N30" s="1">
        <f t="shared" si="15"/>
        <v>700</v>
      </c>
      <c r="X30" s="1"/>
      <c r="Y30" s="1"/>
      <c r="AJ30" s="1">
        <v>27</v>
      </c>
      <c r="AK30" s="1">
        <f t="shared" si="6"/>
        <v>3091</v>
      </c>
      <c r="AL30" s="1">
        <f t="shared" si="7"/>
        <v>8.4375</v>
      </c>
      <c r="AM30" s="1">
        <f t="shared" si="8"/>
        <v>3099.4375</v>
      </c>
    </row>
    <row r="31" spans="9:39" x14ac:dyDescent="0.15">
      <c r="I31" s="1">
        <v>27</v>
      </c>
      <c r="K31" s="1">
        <f t="shared" si="12"/>
        <v>290</v>
      </c>
      <c r="L31" s="1">
        <f t="shared" si="13"/>
        <v>435</v>
      </c>
      <c r="M31" s="1">
        <f t="shared" si="14"/>
        <v>580</v>
      </c>
      <c r="N31" s="1">
        <f t="shared" si="15"/>
        <v>725</v>
      </c>
      <c r="X31" s="1"/>
      <c r="Y31" s="1"/>
      <c r="AJ31" s="1">
        <v>28</v>
      </c>
      <c r="AK31" s="1">
        <f t="shared" si="6"/>
        <v>3234</v>
      </c>
      <c r="AL31" s="1">
        <f t="shared" si="7"/>
        <v>8.75</v>
      </c>
      <c r="AM31" s="1">
        <f t="shared" si="8"/>
        <v>3242.75</v>
      </c>
    </row>
    <row r="32" spans="9:39" x14ac:dyDescent="0.15">
      <c r="I32" s="1">
        <v>28</v>
      </c>
      <c r="K32" s="1">
        <f t="shared" si="12"/>
        <v>300</v>
      </c>
      <c r="L32" s="1">
        <f t="shared" si="13"/>
        <v>450</v>
      </c>
      <c r="M32" s="1">
        <f t="shared" si="14"/>
        <v>600</v>
      </c>
      <c r="N32" s="1">
        <f t="shared" si="15"/>
        <v>750</v>
      </c>
      <c r="X32" s="1"/>
      <c r="Y32" s="1"/>
      <c r="AJ32" s="1">
        <v>29</v>
      </c>
      <c r="AK32" s="1">
        <f t="shared" si="6"/>
        <v>3377</v>
      </c>
      <c r="AL32" s="1">
        <f t="shared" si="7"/>
        <v>9.0625</v>
      </c>
      <c r="AM32" s="1">
        <f t="shared" si="8"/>
        <v>3386.0625</v>
      </c>
    </row>
    <row r="33" spans="9:39" x14ac:dyDescent="0.15">
      <c r="I33" s="1">
        <v>29</v>
      </c>
      <c r="K33" s="1">
        <f t="shared" si="12"/>
        <v>310</v>
      </c>
      <c r="L33" s="1">
        <f t="shared" si="13"/>
        <v>465</v>
      </c>
      <c r="M33" s="1">
        <f t="shared" si="14"/>
        <v>620</v>
      </c>
      <c r="N33" s="1">
        <f t="shared" si="15"/>
        <v>775</v>
      </c>
      <c r="X33" s="1"/>
      <c r="Y33" s="1"/>
      <c r="AJ33" s="1">
        <v>30</v>
      </c>
      <c r="AK33" s="1">
        <f t="shared" si="6"/>
        <v>3520</v>
      </c>
      <c r="AL33" s="1">
        <f t="shared" si="7"/>
        <v>9.375</v>
      </c>
      <c r="AM33" s="1">
        <f t="shared" si="8"/>
        <v>3529.375</v>
      </c>
    </row>
    <row r="34" spans="9:39" x14ac:dyDescent="0.15">
      <c r="I34" s="1">
        <v>30</v>
      </c>
      <c r="K34" s="1">
        <f t="shared" si="12"/>
        <v>320</v>
      </c>
      <c r="L34" s="1">
        <f t="shared" si="13"/>
        <v>480</v>
      </c>
      <c r="M34" s="1">
        <f t="shared" si="14"/>
        <v>640</v>
      </c>
      <c r="N34" s="1">
        <f t="shared" si="15"/>
        <v>800</v>
      </c>
      <c r="X34" s="1"/>
      <c r="Y34" s="1"/>
      <c r="AJ34" s="1">
        <v>31</v>
      </c>
      <c r="AK34" s="1">
        <f t="shared" si="6"/>
        <v>3704</v>
      </c>
      <c r="AL34" s="1">
        <f t="shared" si="7"/>
        <v>9.6875</v>
      </c>
      <c r="AM34" s="1">
        <f t="shared" si="8"/>
        <v>3713.6875</v>
      </c>
    </row>
    <row r="35" spans="9:39" x14ac:dyDescent="0.15">
      <c r="I35" s="1">
        <v>31</v>
      </c>
      <c r="K35" s="1">
        <f t="shared" si="12"/>
        <v>330</v>
      </c>
      <c r="L35" s="1">
        <f t="shared" si="13"/>
        <v>495</v>
      </c>
      <c r="M35" s="1">
        <f t="shared" si="14"/>
        <v>660</v>
      </c>
      <c r="N35" s="1">
        <f t="shared" si="15"/>
        <v>825</v>
      </c>
      <c r="X35" s="1"/>
      <c r="Y35" s="1"/>
      <c r="AJ35" s="1">
        <v>32</v>
      </c>
      <c r="AK35" s="1">
        <f t="shared" si="6"/>
        <v>3888</v>
      </c>
      <c r="AL35" s="1">
        <f t="shared" si="7"/>
        <v>10</v>
      </c>
      <c r="AM35" s="1">
        <f t="shared" si="8"/>
        <v>3898</v>
      </c>
    </row>
    <row r="36" spans="9:39" x14ac:dyDescent="0.15">
      <c r="I36" s="1">
        <v>32</v>
      </c>
      <c r="K36" s="1">
        <f t="shared" si="12"/>
        <v>340</v>
      </c>
      <c r="L36" s="1">
        <f t="shared" si="13"/>
        <v>510</v>
      </c>
      <c r="M36" s="1">
        <f t="shared" si="14"/>
        <v>680</v>
      </c>
      <c r="N36" s="1">
        <f t="shared" si="15"/>
        <v>850</v>
      </c>
      <c r="X36" s="1"/>
      <c r="Y36" s="1"/>
      <c r="AJ36" s="1">
        <v>33</v>
      </c>
      <c r="AK36" s="1">
        <f t="shared" si="6"/>
        <v>4072</v>
      </c>
      <c r="AL36" s="1">
        <f t="shared" si="7"/>
        <v>10.833333333333334</v>
      </c>
      <c r="AM36" s="1">
        <f t="shared" si="8"/>
        <v>4082.8333333333335</v>
      </c>
    </row>
    <row r="37" spans="9:39" x14ac:dyDescent="0.15">
      <c r="I37" s="1">
        <v>33</v>
      </c>
      <c r="K37" s="1">
        <f t="shared" si="12"/>
        <v>350</v>
      </c>
      <c r="L37" s="1">
        <f t="shared" si="13"/>
        <v>525</v>
      </c>
      <c r="M37" s="1">
        <f t="shared" si="14"/>
        <v>700</v>
      </c>
      <c r="N37" s="1">
        <f t="shared" si="15"/>
        <v>875</v>
      </c>
      <c r="X37" s="1"/>
      <c r="Y37" s="1"/>
      <c r="AJ37" s="1">
        <v>34</v>
      </c>
      <c r="AK37" s="1">
        <f t="shared" si="6"/>
        <v>4256</v>
      </c>
      <c r="AL37" s="1">
        <f t="shared" si="7"/>
        <v>11.666666666666666</v>
      </c>
      <c r="AM37" s="1">
        <f t="shared" si="8"/>
        <v>4267.666666666667</v>
      </c>
    </row>
    <row r="38" spans="9:39" x14ac:dyDescent="0.15">
      <c r="I38" s="1">
        <v>34</v>
      </c>
      <c r="K38" s="1">
        <f t="shared" si="12"/>
        <v>360</v>
      </c>
      <c r="L38" s="1">
        <f t="shared" si="13"/>
        <v>540</v>
      </c>
      <c r="M38" s="1">
        <f t="shared" si="14"/>
        <v>720</v>
      </c>
      <c r="N38" s="1">
        <f t="shared" si="15"/>
        <v>900</v>
      </c>
      <c r="X38" s="1"/>
      <c r="Y38" s="1"/>
      <c r="AJ38" s="1">
        <v>35</v>
      </c>
      <c r="AK38" s="1">
        <f t="shared" si="6"/>
        <v>4440</v>
      </c>
      <c r="AL38" s="1">
        <f t="shared" si="7"/>
        <v>12.5</v>
      </c>
      <c r="AM38" s="1">
        <f t="shared" si="8"/>
        <v>4452.5</v>
      </c>
    </row>
    <row r="39" spans="9:39" x14ac:dyDescent="0.15">
      <c r="I39" s="1">
        <v>35</v>
      </c>
      <c r="K39" s="1">
        <f t="shared" si="12"/>
        <v>370</v>
      </c>
      <c r="L39" s="1">
        <f t="shared" si="13"/>
        <v>555</v>
      </c>
      <c r="M39" s="1">
        <f t="shared" si="14"/>
        <v>740</v>
      </c>
      <c r="N39" s="1">
        <f t="shared" si="15"/>
        <v>925</v>
      </c>
      <c r="X39" s="1"/>
      <c r="Y39" s="1"/>
      <c r="AJ39" s="1">
        <v>36</v>
      </c>
      <c r="AK39" s="1">
        <f t="shared" si="6"/>
        <v>4560</v>
      </c>
      <c r="AL39" s="1">
        <f t="shared" si="7"/>
        <v>13.333333333333334</v>
      </c>
      <c r="AM39" s="1">
        <f t="shared" si="8"/>
        <v>4573.333333333333</v>
      </c>
    </row>
    <row r="40" spans="9:39" x14ac:dyDescent="0.15">
      <c r="I40" s="1">
        <v>36</v>
      </c>
      <c r="K40" s="1">
        <f t="shared" si="12"/>
        <v>380</v>
      </c>
      <c r="L40" s="1">
        <f t="shared" si="13"/>
        <v>570</v>
      </c>
      <c r="M40" s="1">
        <f t="shared" si="14"/>
        <v>760</v>
      </c>
      <c r="N40" s="1">
        <f t="shared" si="15"/>
        <v>950</v>
      </c>
      <c r="X40" s="1"/>
      <c r="Y40" s="1"/>
      <c r="AJ40" s="1">
        <v>37</v>
      </c>
      <c r="AK40" s="1">
        <f t="shared" si="6"/>
        <v>4680</v>
      </c>
      <c r="AL40" s="1">
        <f t="shared" si="7"/>
        <v>14.166666666666668</v>
      </c>
      <c r="AM40" s="1">
        <f t="shared" si="8"/>
        <v>4694.166666666667</v>
      </c>
    </row>
    <row r="41" spans="9:39" x14ac:dyDescent="0.15">
      <c r="I41" s="1">
        <v>37</v>
      </c>
      <c r="K41" s="1">
        <f t="shared" si="12"/>
        <v>390</v>
      </c>
      <c r="L41" s="1">
        <f t="shared" si="13"/>
        <v>585</v>
      </c>
      <c r="M41" s="1">
        <f t="shared" si="14"/>
        <v>780</v>
      </c>
      <c r="N41" s="1">
        <f t="shared" si="15"/>
        <v>975</v>
      </c>
      <c r="X41" s="1"/>
      <c r="Y41" s="1"/>
      <c r="AJ41" s="1">
        <v>38</v>
      </c>
      <c r="AK41" s="1">
        <f t="shared" si="6"/>
        <v>4800</v>
      </c>
      <c r="AL41" s="1">
        <f t="shared" si="7"/>
        <v>15</v>
      </c>
      <c r="AM41" s="1">
        <f t="shared" si="8"/>
        <v>4815</v>
      </c>
    </row>
    <row r="42" spans="9:39" x14ac:dyDescent="0.15">
      <c r="I42" s="1">
        <v>38</v>
      </c>
      <c r="K42" s="1">
        <f t="shared" si="12"/>
        <v>400</v>
      </c>
      <c r="L42" s="1">
        <f t="shared" si="13"/>
        <v>600</v>
      </c>
      <c r="M42" s="1">
        <f t="shared" si="14"/>
        <v>800</v>
      </c>
      <c r="N42" s="1">
        <f t="shared" si="15"/>
        <v>1000</v>
      </c>
      <c r="X42" s="1"/>
      <c r="Y42" s="1"/>
      <c r="AJ42" s="1">
        <v>39</v>
      </c>
      <c r="AK42" s="1">
        <f t="shared" si="6"/>
        <v>4920</v>
      </c>
      <c r="AL42" s="1">
        <f t="shared" si="7"/>
        <v>15.833333333333334</v>
      </c>
      <c r="AM42" s="1">
        <f t="shared" si="8"/>
        <v>4935.833333333333</v>
      </c>
    </row>
    <row r="43" spans="9:39" x14ac:dyDescent="0.15">
      <c r="I43" s="1">
        <v>39</v>
      </c>
      <c r="K43" s="1">
        <f t="shared" si="12"/>
        <v>410</v>
      </c>
      <c r="L43" s="1">
        <f t="shared" si="13"/>
        <v>615</v>
      </c>
      <c r="M43" s="1">
        <f t="shared" si="14"/>
        <v>820</v>
      </c>
      <c r="N43" s="1">
        <f t="shared" si="15"/>
        <v>1025</v>
      </c>
      <c r="X43" s="1"/>
      <c r="Y43" s="1"/>
      <c r="AJ43" s="1">
        <v>40</v>
      </c>
      <c r="AK43" s="1">
        <f t="shared" si="6"/>
        <v>5040</v>
      </c>
      <c r="AL43" s="1">
        <f t="shared" si="7"/>
        <v>16.666666666666668</v>
      </c>
      <c r="AM43" s="1">
        <f t="shared" si="8"/>
        <v>5056.666666666667</v>
      </c>
    </row>
    <row r="44" spans="9:39" x14ac:dyDescent="0.15">
      <c r="I44" s="1">
        <v>40</v>
      </c>
      <c r="K44" s="1">
        <f t="shared" si="12"/>
        <v>420</v>
      </c>
      <c r="L44" s="1">
        <f t="shared" si="13"/>
        <v>630</v>
      </c>
      <c r="M44" s="1">
        <f t="shared" si="14"/>
        <v>840</v>
      </c>
      <c r="N44" s="1">
        <f t="shared" si="15"/>
        <v>1050</v>
      </c>
      <c r="X44" s="1"/>
      <c r="Y44" s="1"/>
      <c r="AJ44" s="1">
        <v>41</v>
      </c>
      <c r="AK44" s="1">
        <f t="shared" si="6"/>
        <v>5160</v>
      </c>
      <c r="AL44" s="1">
        <f t="shared" si="7"/>
        <v>17.5</v>
      </c>
      <c r="AM44" s="1">
        <f t="shared" si="8"/>
        <v>5177.5</v>
      </c>
    </row>
    <row r="45" spans="9:39" x14ac:dyDescent="0.15">
      <c r="I45" s="1">
        <v>41</v>
      </c>
      <c r="K45" s="1">
        <f t="shared" si="12"/>
        <v>430</v>
      </c>
      <c r="L45" s="1">
        <f t="shared" si="13"/>
        <v>645</v>
      </c>
      <c r="M45" s="1">
        <f t="shared" si="14"/>
        <v>860</v>
      </c>
      <c r="N45" s="1">
        <f t="shared" si="15"/>
        <v>1075</v>
      </c>
      <c r="X45" s="1"/>
      <c r="Y45" s="1"/>
      <c r="AJ45" s="1">
        <v>42</v>
      </c>
      <c r="AK45" s="1">
        <f t="shared" si="6"/>
        <v>5280</v>
      </c>
      <c r="AL45" s="1">
        <f t="shared" si="7"/>
        <v>18.333333333333336</v>
      </c>
      <c r="AM45" s="1">
        <f t="shared" si="8"/>
        <v>5298.333333333333</v>
      </c>
    </row>
    <row r="46" spans="9:39" x14ac:dyDescent="0.15">
      <c r="I46" s="1">
        <v>42</v>
      </c>
      <c r="K46" s="1">
        <f t="shared" si="12"/>
        <v>440</v>
      </c>
      <c r="L46" s="1">
        <f t="shared" si="13"/>
        <v>660</v>
      </c>
      <c r="M46" s="1">
        <f t="shared" si="14"/>
        <v>880</v>
      </c>
      <c r="N46" s="1">
        <f t="shared" si="15"/>
        <v>1100</v>
      </c>
      <c r="X46" s="1"/>
      <c r="Y46" s="1"/>
      <c r="AJ46" s="1">
        <v>43</v>
      </c>
      <c r="AK46" s="1">
        <f t="shared" si="6"/>
        <v>5400</v>
      </c>
      <c r="AL46" s="1">
        <f t="shared" si="7"/>
        <v>19.166666666666668</v>
      </c>
      <c r="AM46" s="1">
        <f t="shared" si="8"/>
        <v>5419.166666666667</v>
      </c>
    </row>
    <row r="47" spans="9:39" x14ac:dyDescent="0.15">
      <c r="I47" s="1">
        <v>43</v>
      </c>
      <c r="K47" s="1">
        <f t="shared" si="12"/>
        <v>450</v>
      </c>
      <c r="L47" s="1">
        <f t="shared" si="13"/>
        <v>675</v>
      </c>
      <c r="M47" s="1">
        <f t="shared" si="14"/>
        <v>900</v>
      </c>
      <c r="N47" s="1">
        <f t="shared" si="15"/>
        <v>1125</v>
      </c>
      <c r="X47" s="1"/>
      <c r="Y47" s="1"/>
      <c r="AJ47" s="1">
        <v>44</v>
      </c>
      <c r="AK47" s="1">
        <f t="shared" si="6"/>
        <v>5520</v>
      </c>
      <c r="AL47" s="1">
        <f t="shared" si="7"/>
        <v>20</v>
      </c>
      <c r="AM47" s="1">
        <f t="shared" si="8"/>
        <v>5540</v>
      </c>
    </row>
    <row r="48" spans="9:39" x14ac:dyDescent="0.15">
      <c r="I48" s="1">
        <v>44</v>
      </c>
      <c r="K48" s="1">
        <f t="shared" si="12"/>
        <v>460</v>
      </c>
      <c r="L48" s="1">
        <f t="shared" si="13"/>
        <v>690</v>
      </c>
      <c r="M48" s="1">
        <f t="shared" si="14"/>
        <v>920</v>
      </c>
      <c r="N48" s="1">
        <f t="shared" si="15"/>
        <v>1150</v>
      </c>
      <c r="X48" s="1"/>
      <c r="Y48" s="1"/>
      <c r="AJ48" s="1">
        <v>45</v>
      </c>
      <c r="AK48" s="1">
        <f t="shared" si="6"/>
        <v>5640</v>
      </c>
      <c r="AL48" s="1">
        <f t="shared" si="7"/>
        <v>45</v>
      </c>
      <c r="AM48" s="1">
        <f t="shared" si="8"/>
        <v>5685</v>
      </c>
    </row>
    <row r="49" spans="9:39" x14ac:dyDescent="0.15">
      <c r="I49" s="1">
        <v>45</v>
      </c>
      <c r="K49" s="1">
        <f t="shared" si="12"/>
        <v>470</v>
      </c>
      <c r="L49" s="1">
        <f t="shared" si="13"/>
        <v>705</v>
      </c>
      <c r="M49" s="1">
        <f t="shared" si="14"/>
        <v>940</v>
      </c>
      <c r="N49" s="1">
        <f t="shared" si="15"/>
        <v>1175</v>
      </c>
      <c r="X49" s="1"/>
      <c r="Y49" s="1"/>
      <c r="AJ49" s="1">
        <v>46</v>
      </c>
      <c r="AK49" s="1">
        <f t="shared" si="6"/>
        <v>5760</v>
      </c>
      <c r="AL49" s="1">
        <f t="shared" si="7"/>
        <v>70</v>
      </c>
      <c r="AM49" s="1">
        <f t="shared" si="8"/>
        <v>5830</v>
      </c>
    </row>
    <row r="50" spans="9:39" x14ac:dyDescent="0.15">
      <c r="I50" s="1">
        <v>46</v>
      </c>
      <c r="K50" s="1">
        <f t="shared" si="12"/>
        <v>480</v>
      </c>
      <c r="L50" s="1">
        <f t="shared" si="13"/>
        <v>720</v>
      </c>
      <c r="M50" s="1">
        <f t="shared" si="14"/>
        <v>960</v>
      </c>
      <c r="N50" s="1">
        <f t="shared" si="15"/>
        <v>1200</v>
      </c>
      <c r="X50" s="1"/>
      <c r="Y50" s="1"/>
      <c r="AJ50" s="1">
        <v>47</v>
      </c>
      <c r="AK50" s="1">
        <f t="shared" si="6"/>
        <v>5880</v>
      </c>
      <c r="AL50" s="1">
        <f t="shared" si="7"/>
        <v>95</v>
      </c>
      <c r="AM50" s="1">
        <f t="shared" si="8"/>
        <v>5975</v>
      </c>
    </row>
    <row r="51" spans="9:39" x14ac:dyDescent="0.15">
      <c r="I51" s="1">
        <v>47</v>
      </c>
      <c r="K51" s="1">
        <f t="shared" si="12"/>
        <v>490</v>
      </c>
      <c r="L51" s="1">
        <f t="shared" si="13"/>
        <v>735</v>
      </c>
      <c r="M51" s="1">
        <f t="shared" si="14"/>
        <v>980</v>
      </c>
      <c r="N51" s="1">
        <f t="shared" si="15"/>
        <v>1225</v>
      </c>
      <c r="X51" s="1"/>
      <c r="Y51" s="1"/>
      <c r="AJ51" s="1">
        <v>48</v>
      </c>
      <c r="AK51" s="1">
        <f t="shared" si="6"/>
        <v>6000</v>
      </c>
      <c r="AL51" s="1">
        <f t="shared" si="7"/>
        <v>120</v>
      </c>
      <c r="AM51" s="1">
        <f t="shared" si="8"/>
        <v>6120</v>
      </c>
    </row>
    <row r="52" spans="9:39" x14ac:dyDescent="0.15">
      <c r="I52" s="1">
        <v>48</v>
      </c>
      <c r="K52" s="1">
        <f t="shared" si="12"/>
        <v>500</v>
      </c>
      <c r="L52" s="1">
        <f t="shared" si="13"/>
        <v>750</v>
      </c>
      <c r="M52" s="1">
        <f t="shared" si="14"/>
        <v>1000</v>
      </c>
      <c r="N52" s="1">
        <f t="shared" si="15"/>
        <v>1250</v>
      </c>
      <c r="X52" s="1"/>
      <c r="Y52" s="1"/>
      <c r="AJ52" s="1">
        <v>49</v>
      </c>
      <c r="AK52" s="1">
        <f t="shared" si="6"/>
        <v>6120</v>
      </c>
      <c r="AL52" s="1">
        <f t="shared" si="7"/>
        <v>144</v>
      </c>
      <c r="AM52" s="1">
        <f t="shared" si="8"/>
        <v>6264</v>
      </c>
    </row>
    <row r="53" spans="9:39" x14ac:dyDescent="0.15">
      <c r="I53" s="1">
        <v>49</v>
      </c>
      <c r="K53" s="1">
        <f t="shared" si="12"/>
        <v>510</v>
      </c>
      <c r="L53" s="1">
        <f t="shared" si="13"/>
        <v>765</v>
      </c>
      <c r="M53" s="1">
        <f t="shared" si="14"/>
        <v>1020</v>
      </c>
      <c r="N53" s="1">
        <f t="shared" si="15"/>
        <v>1275</v>
      </c>
      <c r="X53" s="1"/>
      <c r="Y53" s="1"/>
      <c r="AJ53" s="1">
        <v>50</v>
      </c>
      <c r="AK53" s="1">
        <f t="shared" si="6"/>
        <v>6240</v>
      </c>
      <c r="AL53" s="1">
        <f t="shared" si="7"/>
        <v>168</v>
      </c>
      <c r="AM53" s="1">
        <f t="shared" si="8"/>
        <v>6408</v>
      </c>
    </row>
    <row r="54" spans="9:39" x14ac:dyDescent="0.15">
      <c r="I54" s="1">
        <v>50</v>
      </c>
      <c r="K54" s="1">
        <f t="shared" si="12"/>
        <v>520</v>
      </c>
      <c r="L54" s="1">
        <f t="shared" si="13"/>
        <v>780</v>
      </c>
      <c r="M54" s="1">
        <f t="shared" si="14"/>
        <v>1040</v>
      </c>
      <c r="N54" s="1">
        <f t="shared" si="15"/>
        <v>1300</v>
      </c>
      <c r="X54" s="1"/>
      <c r="Y54" s="1"/>
      <c r="AJ54" s="1">
        <v>51</v>
      </c>
      <c r="AK54" s="1">
        <f t="shared" si="6"/>
        <v>6360</v>
      </c>
      <c r="AL54" s="1">
        <f t="shared" si="7"/>
        <v>192</v>
      </c>
      <c r="AM54" s="1">
        <f t="shared" si="8"/>
        <v>6552</v>
      </c>
    </row>
    <row r="55" spans="9:39" x14ac:dyDescent="0.15">
      <c r="I55" s="1">
        <v>51</v>
      </c>
      <c r="K55" s="1">
        <f t="shared" si="12"/>
        <v>530</v>
      </c>
      <c r="L55" s="1">
        <f t="shared" si="13"/>
        <v>795</v>
      </c>
      <c r="M55" s="1">
        <f t="shared" si="14"/>
        <v>1060</v>
      </c>
      <c r="N55" s="1">
        <f t="shared" si="15"/>
        <v>1325</v>
      </c>
      <c r="X55" s="1"/>
      <c r="Y55" s="1"/>
      <c r="AJ55" s="1">
        <v>52</v>
      </c>
      <c r="AK55" s="1">
        <f t="shared" si="6"/>
        <v>6480</v>
      </c>
      <c r="AL55" s="1">
        <f t="shared" si="7"/>
        <v>216</v>
      </c>
      <c r="AM55" s="1">
        <f t="shared" si="8"/>
        <v>6696</v>
      </c>
    </row>
    <row r="56" spans="9:39" x14ac:dyDescent="0.15">
      <c r="I56" s="1">
        <v>52</v>
      </c>
      <c r="K56" s="1">
        <f t="shared" si="12"/>
        <v>540</v>
      </c>
      <c r="L56" s="1">
        <f t="shared" si="13"/>
        <v>810</v>
      </c>
      <c r="M56" s="1">
        <f t="shared" si="14"/>
        <v>1080</v>
      </c>
      <c r="N56" s="1">
        <f t="shared" si="15"/>
        <v>1350</v>
      </c>
      <c r="X56" s="1"/>
      <c r="Y56" s="1"/>
      <c r="AJ56" s="1">
        <v>53</v>
      </c>
      <c r="AK56" s="1">
        <f t="shared" si="6"/>
        <v>6600</v>
      </c>
      <c r="AL56" s="1">
        <f t="shared" si="7"/>
        <v>240</v>
      </c>
      <c r="AM56" s="1">
        <f t="shared" si="8"/>
        <v>6840</v>
      </c>
    </row>
    <row r="57" spans="9:39" x14ac:dyDescent="0.15">
      <c r="I57" s="1">
        <v>53</v>
      </c>
      <c r="K57" s="1">
        <f t="shared" ref="K57:K88" si="16">D$7+D$8*$I57</f>
        <v>550</v>
      </c>
      <c r="L57" s="1">
        <f t="shared" ref="L57:L88" si="17">E$7+E$8*$I57</f>
        <v>825</v>
      </c>
      <c r="M57" s="1">
        <f t="shared" ref="M57:M88" si="18">F$7+F$8*$I57</f>
        <v>1100</v>
      </c>
      <c r="N57" s="1">
        <f t="shared" ref="N57:N88" si="19">G$7+G$8*$I57</f>
        <v>1375</v>
      </c>
      <c r="X57" s="1"/>
      <c r="Y57" s="1"/>
      <c r="AJ57" s="1">
        <v>54</v>
      </c>
      <c r="AK57" s="1">
        <f t="shared" si="6"/>
        <v>6720</v>
      </c>
      <c r="AL57" s="1">
        <f t="shared" si="7"/>
        <v>264</v>
      </c>
      <c r="AM57" s="1">
        <f t="shared" si="8"/>
        <v>6984</v>
      </c>
    </row>
    <row r="58" spans="9:39" x14ac:dyDescent="0.15">
      <c r="I58" s="1">
        <v>54</v>
      </c>
      <c r="K58" s="1">
        <f t="shared" si="16"/>
        <v>560</v>
      </c>
      <c r="L58" s="1">
        <f t="shared" si="17"/>
        <v>840</v>
      </c>
      <c r="M58" s="1">
        <f t="shared" si="18"/>
        <v>1120</v>
      </c>
      <c r="N58" s="1">
        <f t="shared" si="19"/>
        <v>1400</v>
      </c>
      <c r="X58" s="1"/>
      <c r="Y58" s="1"/>
      <c r="AJ58" s="1">
        <v>55</v>
      </c>
      <c r="AK58" s="1">
        <f t="shared" si="6"/>
        <v>6840</v>
      </c>
      <c r="AL58" s="1">
        <f t="shared" si="7"/>
        <v>288</v>
      </c>
      <c r="AM58" s="1">
        <f t="shared" si="8"/>
        <v>7128</v>
      </c>
    </row>
    <row r="59" spans="9:39" x14ac:dyDescent="0.15">
      <c r="I59" s="1">
        <v>55</v>
      </c>
      <c r="K59" s="1">
        <f t="shared" si="16"/>
        <v>570</v>
      </c>
      <c r="L59" s="1">
        <f t="shared" si="17"/>
        <v>855</v>
      </c>
      <c r="M59" s="1">
        <f t="shared" si="18"/>
        <v>1140</v>
      </c>
      <c r="N59" s="1">
        <f t="shared" si="19"/>
        <v>1425</v>
      </c>
      <c r="X59" s="1"/>
      <c r="Y59" s="1"/>
      <c r="AJ59" s="1">
        <v>56</v>
      </c>
      <c r="AK59" s="1">
        <f t="shared" si="6"/>
        <v>6960</v>
      </c>
      <c r="AL59" s="1">
        <f t="shared" si="7"/>
        <v>312</v>
      </c>
      <c r="AM59" s="1">
        <f t="shared" si="8"/>
        <v>7272</v>
      </c>
    </row>
    <row r="60" spans="9:39" x14ac:dyDescent="0.15">
      <c r="I60" s="1">
        <v>56</v>
      </c>
      <c r="K60" s="1">
        <f t="shared" si="16"/>
        <v>580</v>
      </c>
      <c r="L60" s="1">
        <f t="shared" si="17"/>
        <v>870</v>
      </c>
      <c r="M60" s="1">
        <f t="shared" si="18"/>
        <v>1160</v>
      </c>
      <c r="N60" s="1">
        <f t="shared" si="19"/>
        <v>1450</v>
      </c>
      <c r="X60" s="1"/>
      <c r="Y60" s="1"/>
      <c r="AJ60" s="1">
        <v>57</v>
      </c>
      <c r="AK60" s="1">
        <f t="shared" si="6"/>
        <v>7080</v>
      </c>
      <c r="AL60" s="1">
        <f t="shared" si="7"/>
        <v>336</v>
      </c>
      <c r="AM60" s="1">
        <f t="shared" si="8"/>
        <v>7416</v>
      </c>
    </row>
    <row r="61" spans="9:39" x14ac:dyDescent="0.15">
      <c r="I61" s="1">
        <v>57</v>
      </c>
      <c r="K61" s="1">
        <f t="shared" si="16"/>
        <v>590</v>
      </c>
      <c r="L61" s="1">
        <f t="shared" si="17"/>
        <v>885</v>
      </c>
      <c r="M61" s="1">
        <f t="shared" si="18"/>
        <v>1180</v>
      </c>
      <c r="N61" s="1">
        <f t="shared" si="19"/>
        <v>1475</v>
      </c>
      <c r="X61" s="1"/>
      <c r="Y61" s="1"/>
      <c r="AJ61" s="1">
        <v>58</v>
      </c>
      <c r="AK61" s="1">
        <f t="shared" si="6"/>
        <v>7200</v>
      </c>
      <c r="AL61" s="1">
        <f t="shared" si="7"/>
        <v>360</v>
      </c>
      <c r="AM61" s="1">
        <f t="shared" si="8"/>
        <v>7560</v>
      </c>
    </row>
    <row r="62" spans="9:39" x14ac:dyDescent="0.15">
      <c r="I62" s="1">
        <v>58</v>
      </c>
      <c r="K62" s="1">
        <f t="shared" si="16"/>
        <v>600</v>
      </c>
      <c r="L62" s="1">
        <f t="shared" si="17"/>
        <v>900</v>
      </c>
      <c r="M62" s="1">
        <f t="shared" si="18"/>
        <v>1200</v>
      </c>
      <c r="N62" s="1">
        <f t="shared" si="19"/>
        <v>1500</v>
      </c>
      <c r="X62" s="1"/>
      <c r="Y62" s="1"/>
      <c r="AJ62" s="1">
        <v>59</v>
      </c>
      <c r="AK62" s="1">
        <f t="shared" si="6"/>
        <v>7320</v>
      </c>
      <c r="AL62" s="1">
        <f t="shared" si="7"/>
        <v>420</v>
      </c>
      <c r="AM62" s="1">
        <f t="shared" si="8"/>
        <v>7740</v>
      </c>
    </row>
    <row r="63" spans="9:39" x14ac:dyDescent="0.15">
      <c r="I63" s="1">
        <v>59</v>
      </c>
      <c r="K63" s="1">
        <f t="shared" si="16"/>
        <v>610</v>
      </c>
      <c r="L63" s="1">
        <f t="shared" si="17"/>
        <v>915</v>
      </c>
      <c r="M63" s="1">
        <f t="shared" si="18"/>
        <v>1220</v>
      </c>
      <c r="N63" s="1">
        <f t="shared" si="19"/>
        <v>1525</v>
      </c>
      <c r="X63" s="1"/>
      <c r="Y63" s="1"/>
      <c r="AJ63" s="1">
        <v>60</v>
      </c>
      <c r="AK63" s="1">
        <f t="shared" si="6"/>
        <v>7440</v>
      </c>
      <c r="AL63" s="1">
        <f t="shared" si="7"/>
        <v>480</v>
      </c>
      <c r="AM63" s="1">
        <f t="shared" si="8"/>
        <v>7920</v>
      </c>
    </row>
    <row r="64" spans="9:39" x14ac:dyDescent="0.15">
      <c r="I64" s="1">
        <v>60</v>
      </c>
      <c r="K64" s="1">
        <f t="shared" si="16"/>
        <v>620</v>
      </c>
      <c r="L64" s="1">
        <f t="shared" si="17"/>
        <v>930</v>
      </c>
      <c r="M64" s="1">
        <f t="shared" si="18"/>
        <v>1240</v>
      </c>
      <c r="N64" s="1">
        <f t="shared" si="19"/>
        <v>1550</v>
      </c>
      <c r="X64" s="1"/>
      <c r="Y64" s="1"/>
      <c r="AJ64" s="1">
        <v>61</v>
      </c>
      <c r="AK64" s="1">
        <f t="shared" si="6"/>
        <v>7560</v>
      </c>
      <c r="AL64" s="1">
        <f t="shared" si="7"/>
        <v>540</v>
      </c>
      <c r="AM64" s="1">
        <f t="shared" si="8"/>
        <v>8100</v>
      </c>
    </row>
    <row r="65" spans="9:39" x14ac:dyDescent="0.15">
      <c r="I65" s="1">
        <v>61</v>
      </c>
      <c r="K65" s="1">
        <f t="shared" si="16"/>
        <v>630</v>
      </c>
      <c r="L65" s="1">
        <f t="shared" si="17"/>
        <v>945</v>
      </c>
      <c r="M65" s="1">
        <f t="shared" si="18"/>
        <v>1260</v>
      </c>
      <c r="N65" s="1">
        <f t="shared" si="19"/>
        <v>1575</v>
      </c>
      <c r="X65" s="1"/>
      <c r="Y65" s="1"/>
      <c r="AJ65" s="1">
        <v>62</v>
      </c>
      <c r="AK65" s="1">
        <f t="shared" si="6"/>
        <v>7680</v>
      </c>
      <c r="AL65" s="1">
        <f t="shared" si="7"/>
        <v>600</v>
      </c>
      <c r="AM65" s="1">
        <f t="shared" si="8"/>
        <v>8280</v>
      </c>
    </row>
    <row r="66" spans="9:39" x14ac:dyDescent="0.15">
      <c r="I66" s="1">
        <v>62</v>
      </c>
      <c r="K66" s="1">
        <f t="shared" si="16"/>
        <v>640</v>
      </c>
      <c r="L66" s="1">
        <f t="shared" si="17"/>
        <v>960</v>
      </c>
      <c r="M66" s="1">
        <f t="shared" si="18"/>
        <v>1280</v>
      </c>
      <c r="N66" s="1">
        <f t="shared" si="19"/>
        <v>1600</v>
      </c>
      <c r="X66" s="1"/>
      <c r="Y66" s="1"/>
      <c r="AJ66" s="1">
        <v>63</v>
      </c>
      <c r="AK66" s="1">
        <f t="shared" si="6"/>
        <v>7800</v>
      </c>
      <c r="AL66" s="1">
        <f t="shared" si="7"/>
        <v>660</v>
      </c>
      <c r="AM66" s="1">
        <f t="shared" si="8"/>
        <v>8460</v>
      </c>
    </row>
    <row r="67" spans="9:39" x14ac:dyDescent="0.15">
      <c r="I67" s="1">
        <v>63</v>
      </c>
      <c r="K67" s="1">
        <f t="shared" si="16"/>
        <v>650</v>
      </c>
      <c r="L67" s="1">
        <f t="shared" si="17"/>
        <v>975</v>
      </c>
      <c r="M67" s="1">
        <f t="shared" si="18"/>
        <v>1300</v>
      </c>
      <c r="N67" s="1">
        <f t="shared" si="19"/>
        <v>1625</v>
      </c>
      <c r="X67" s="1"/>
      <c r="Y67" s="1"/>
      <c r="AJ67" s="1">
        <v>64</v>
      </c>
      <c r="AK67" s="1">
        <f t="shared" si="6"/>
        <v>7920</v>
      </c>
      <c r="AL67" s="1">
        <f t="shared" si="7"/>
        <v>720</v>
      </c>
      <c r="AM67" s="1">
        <f t="shared" si="8"/>
        <v>8640</v>
      </c>
    </row>
    <row r="68" spans="9:39" x14ac:dyDescent="0.15">
      <c r="I68" s="1">
        <v>64</v>
      </c>
      <c r="K68" s="1">
        <f t="shared" si="16"/>
        <v>660</v>
      </c>
      <c r="L68" s="1">
        <f t="shared" si="17"/>
        <v>990</v>
      </c>
      <c r="M68" s="1">
        <f t="shared" si="18"/>
        <v>1320</v>
      </c>
      <c r="N68" s="1">
        <f t="shared" si="19"/>
        <v>1650</v>
      </c>
      <c r="X68" s="1"/>
      <c r="Y68" s="1"/>
      <c r="AJ68" s="1">
        <v>65</v>
      </c>
      <c r="AK68" s="1">
        <f t="shared" si="6"/>
        <v>8040</v>
      </c>
      <c r="AL68" s="1">
        <f t="shared" si="7"/>
        <v>780</v>
      </c>
      <c r="AM68" s="1">
        <f t="shared" si="8"/>
        <v>8820</v>
      </c>
    </row>
    <row r="69" spans="9:39" x14ac:dyDescent="0.15">
      <c r="I69" s="1">
        <v>65</v>
      </c>
      <c r="K69" s="1">
        <f t="shared" si="16"/>
        <v>670</v>
      </c>
      <c r="L69" s="1">
        <f t="shared" si="17"/>
        <v>1005</v>
      </c>
      <c r="M69" s="1">
        <f t="shared" si="18"/>
        <v>1340</v>
      </c>
      <c r="N69" s="1">
        <f t="shared" si="19"/>
        <v>1675</v>
      </c>
      <c r="X69" s="1"/>
      <c r="Y69" s="1"/>
      <c r="AJ69" s="1">
        <v>66</v>
      </c>
      <c r="AK69" s="1">
        <f t="shared" ref="AK69:AK103" si="20">求节点($AC$4:$AC$17,$AH$4:$AH$17,AJ69)</f>
        <v>8160</v>
      </c>
      <c r="AL69" s="1">
        <f t="shared" ref="AL69:AL103" si="21">IF(AJ69&lt;=$AC$26,求节点($AC$21:$AC$26,$AH$21:$AH$26,AJ69),$AH$26)</f>
        <v>840</v>
      </c>
      <c r="AM69" s="1">
        <f t="shared" ref="AM69:AM103" si="22">AK69+AL69</f>
        <v>9000</v>
      </c>
    </row>
    <row r="70" spans="9:39" x14ac:dyDescent="0.15">
      <c r="I70" s="1">
        <v>66</v>
      </c>
      <c r="K70" s="1">
        <f t="shared" si="16"/>
        <v>680</v>
      </c>
      <c r="L70" s="1">
        <f t="shared" si="17"/>
        <v>1020</v>
      </c>
      <c r="M70" s="1">
        <f t="shared" si="18"/>
        <v>1360</v>
      </c>
      <c r="N70" s="1">
        <f t="shared" si="19"/>
        <v>1700</v>
      </c>
      <c r="X70" s="1"/>
      <c r="Y70" s="1"/>
      <c r="AJ70" s="1">
        <v>67</v>
      </c>
      <c r="AK70" s="1">
        <f t="shared" si="20"/>
        <v>8280</v>
      </c>
      <c r="AL70" s="1">
        <f t="shared" si="21"/>
        <v>840</v>
      </c>
      <c r="AM70" s="1">
        <f t="shared" si="22"/>
        <v>9120</v>
      </c>
    </row>
    <row r="71" spans="9:39" x14ac:dyDescent="0.15">
      <c r="I71" s="1">
        <v>67</v>
      </c>
      <c r="K71" s="1">
        <f t="shared" si="16"/>
        <v>690</v>
      </c>
      <c r="L71" s="1">
        <f t="shared" si="17"/>
        <v>1035</v>
      </c>
      <c r="M71" s="1">
        <f t="shared" si="18"/>
        <v>1380</v>
      </c>
      <c r="N71" s="1">
        <f t="shared" si="19"/>
        <v>1725</v>
      </c>
      <c r="X71" s="1"/>
      <c r="Y71" s="1"/>
      <c r="AJ71" s="1">
        <v>68</v>
      </c>
      <c r="AK71" s="1">
        <f t="shared" si="20"/>
        <v>8400</v>
      </c>
      <c r="AL71" s="1">
        <f t="shared" si="21"/>
        <v>840</v>
      </c>
      <c r="AM71" s="1">
        <f t="shared" si="22"/>
        <v>9240</v>
      </c>
    </row>
    <row r="72" spans="9:39" x14ac:dyDescent="0.15">
      <c r="I72" s="1">
        <v>68</v>
      </c>
      <c r="K72" s="1">
        <f t="shared" si="16"/>
        <v>700</v>
      </c>
      <c r="L72" s="1">
        <f t="shared" si="17"/>
        <v>1050</v>
      </c>
      <c r="M72" s="1">
        <f t="shared" si="18"/>
        <v>1400</v>
      </c>
      <c r="N72" s="1">
        <f t="shared" si="19"/>
        <v>1750</v>
      </c>
      <c r="X72" s="1"/>
      <c r="Y72" s="1"/>
      <c r="AJ72" s="1">
        <v>69</v>
      </c>
      <c r="AK72" s="1">
        <f t="shared" si="20"/>
        <v>8520</v>
      </c>
      <c r="AL72" s="1">
        <f t="shared" si="21"/>
        <v>840</v>
      </c>
      <c r="AM72" s="1">
        <f t="shared" si="22"/>
        <v>9360</v>
      </c>
    </row>
    <row r="73" spans="9:39" x14ac:dyDescent="0.15">
      <c r="I73" s="1">
        <v>69</v>
      </c>
      <c r="K73" s="1">
        <f t="shared" si="16"/>
        <v>710</v>
      </c>
      <c r="L73" s="1">
        <f t="shared" si="17"/>
        <v>1065</v>
      </c>
      <c r="M73" s="1">
        <f t="shared" si="18"/>
        <v>1420</v>
      </c>
      <c r="N73" s="1">
        <f t="shared" si="19"/>
        <v>1775</v>
      </c>
      <c r="X73" s="1"/>
      <c r="Y73" s="1"/>
      <c r="AJ73" s="1">
        <v>70</v>
      </c>
      <c r="AK73" s="1">
        <f t="shared" si="20"/>
        <v>8640</v>
      </c>
      <c r="AL73" s="1">
        <f t="shared" si="21"/>
        <v>840</v>
      </c>
      <c r="AM73" s="1">
        <f t="shared" si="22"/>
        <v>9480</v>
      </c>
    </row>
    <row r="74" spans="9:39" x14ac:dyDescent="0.15">
      <c r="I74" s="1">
        <v>70</v>
      </c>
      <c r="K74" s="1">
        <f t="shared" si="16"/>
        <v>720</v>
      </c>
      <c r="L74" s="1">
        <f t="shared" si="17"/>
        <v>1080</v>
      </c>
      <c r="M74" s="1">
        <f t="shared" si="18"/>
        <v>1440</v>
      </c>
      <c r="N74" s="1">
        <f t="shared" si="19"/>
        <v>1800</v>
      </c>
      <c r="X74" s="1"/>
      <c r="Y74" s="1"/>
      <c r="AJ74" s="1">
        <v>71</v>
      </c>
      <c r="AK74" s="1">
        <f t="shared" si="20"/>
        <v>8760</v>
      </c>
      <c r="AL74" s="1">
        <f t="shared" si="21"/>
        <v>840</v>
      </c>
      <c r="AM74" s="1">
        <f t="shared" si="22"/>
        <v>9600</v>
      </c>
    </row>
    <row r="75" spans="9:39" x14ac:dyDescent="0.15">
      <c r="I75" s="1">
        <v>71</v>
      </c>
      <c r="K75" s="1">
        <f t="shared" si="16"/>
        <v>730</v>
      </c>
      <c r="L75" s="1">
        <f t="shared" si="17"/>
        <v>1095</v>
      </c>
      <c r="M75" s="1">
        <f t="shared" si="18"/>
        <v>1460</v>
      </c>
      <c r="N75" s="1">
        <f t="shared" si="19"/>
        <v>1825</v>
      </c>
      <c r="X75" s="1"/>
      <c r="Y75" s="1"/>
      <c r="AJ75" s="1">
        <v>72</v>
      </c>
      <c r="AK75" s="1">
        <f t="shared" si="20"/>
        <v>8880</v>
      </c>
      <c r="AL75" s="1">
        <f t="shared" si="21"/>
        <v>840</v>
      </c>
      <c r="AM75" s="1">
        <f t="shared" si="22"/>
        <v>9720</v>
      </c>
    </row>
    <row r="76" spans="9:39" x14ac:dyDescent="0.15">
      <c r="I76" s="1">
        <v>72</v>
      </c>
      <c r="K76" s="1">
        <f t="shared" si="16"/>
        <v>740</v>
      </c>
      <c r="L76" s="1">
        <f t="shared" si="17"/>
        <v>1110</v>
      </c>
      <c r="M76" s="1">
        <f t="shared" si="18"/>
        <v>1480</v>
      </c>
      <c r="N76" s="1">
        <f t="shared" si="19"/>
        <v>1850</v>
      </c>
      <c r="X76" s="1"/>
      <c r="Y76" s="1"/>
      <c r="AJ76" s="1">
        <v>73</v>
      </c>
      <c r="AK76" s="1">
        <f t="shared" si="20"/>
        <v>9000</v>
      </c>
      <c r="AL76" s="1">
        <f t="shared" si="21"/>
        <v>840</v>
      </c>
      <c r="AM76" s="1">
        <f t="shared" si="22"/>
        <v>9840</v>
      </c>
    </row>
    <row r="77" spans="9:39" x14ac:dyDescent="0.15">
      <c r="I77" s="1">
        <v>73</v>
      </c>
      <c r="K77" s="1">
        <f t="shared" si="16"/>
        <v>750</v>
      </c>
      <c r="L77" s="1">
        <f t="shared" si="17"/>
        <v>1125</v>
      </c>
      <c r="M77" s="1">
        <f t="shared" si="18"/>
        <v>1500</v>
      </c>
      <c r="N77" s="1">
        <f t="shared" si="19"/>
        <v>1875</v>
      </c>
      <c r="X77" s="1"/>
      <c r="Y77" s="1"/>
      <c r="AJ77" s="1">
        <v>74</v>
      </c>
      <c r="AK77" s="1">
        <f t="shared" si="20"/>
        <v>9120</v>
      </c>
      <c r="AL77" s="1">
        <f t="shared" si="21"/>
        <v>840</v>
      </c>
      <c r="AM77" s="1">
        <f t="shared" si="22"/>
        <v>9960</v>
      </c>
    </row>
    <row r="78" spans="9:39" x14ac:dyDescent="0.15">
      <c r="I78" s="1">
        <v>74</v>
      </c>
      <c r="K78" s="1">
        <f t="shared" si="16"/>
        <v>760</v>
      </c>
      <c r="L78" s="1">
        <f t="shared" si="17"/>
        <v>1140</v>
      </c>
      <c r="M78" s="1">
        <f t="shared" si="18"/>
        <v>1520</v>
      </c>
      <c r="N78" s="1">
        <f t="shared" si="19"/>
        <v>1900</v>
      </c>
      <c r="X78" s="1"/>
      <c r="Y78" s="1"/>
      <c r="AJ78" s="1">
        <v>75</v>
      </c>
      <c r="AK78" s="1">
        <f t="shared" si="20"/>
        <v>9240</v>
      </c>
      <c r="AL78" s="1">
        <f t="shared" si="21"/>
        <v>840</v>
      </c>
      <c r="AM78" s="1">
        <f t="shared" si="22"/>
        <v>10080</v>
      </c>
    </row>
    <row r="79" spans="9:39" x14ac:dyDescent="0.15">
      <c r="I79" s="1">
        <v>75</v>
      </c>
      <c r="K79" s="1">
        <f t="shared" si="16"/>
        <v>770</v>
      </c>
      <c r="L79" s="1">
        <f t="shared" si="17"/>
        <v>1155</v>
      </c>
      <c r="M79" s="1">
        <f t="shared" si="18"/>
        <v>1540</v>
      </c>
      <c r="N79" s="1">
        <f t="shared" si="19"/>
        <v>1925</v>
      </c>
      <c r="X79" s="1"/>
      <c r="Y79" s="1"/>
      <c r="AJ79" s="1">
        <v>76</v>
      </c>
      <c r="AK79" s="1">
        <f t="shared" si="20"/>
        <v>9360</v>
      </c>
      <c r="AL79" s="1">
        <f t="shared" si="21"/>
        <v>840</v>
      </c>
      <c r="AM79" s="1">
        <f t="shared" si="22"/>
        <v>10200</v>
      </c>
    </row>
    <row r="80" spans="9:39" x14ac:dyDescent="0.15">
      <c r="I80" s="1">
        <v>76</v>
      </c>
      <c r="K80" s="1">
        <f t="shared" si="16"/>
        <v>780</v>
      </c>
      <c r="L80" s="1">
        <f t="shared" si="17"/>
        <v>1170</v>
      </c>
      <c r="M80" s="1">
        <f t="shared" si="18"/>
        <v>1560</v>
      </c>
      <c r="N80" s="1">
        <f t="shared" si="19"/>
        <v>1950</v>
      </c>
      <c r="X80" s="1"/>
      <c r="Y80" s="1"/>
      <c r="AJ80" s="1">
        <v>77</v>
      </c>
      <c r="AK80" s="1">
        <f t="shared" si="20"/>
        <v>9480</v>
      </c>
      <c r="AL80" s="1">
        <f t="shared" si="21"/>
        <v>840</v>
      </c>
      <c r="AM80" s="1">
        <f t="shared" si="22"/>
        <v>10320</v>
      </c>
    </row>
    <row r="81" spans="9:39" x14ac:dyDescent="0.15">
      <c r="I81" s="1">
        <v>77</v>
      </c>
      <c r="K81" s="1">
        <f t="shared" si="16"/>
        <v>790</v>
      </c>
      <c r="L81" s="1">
        <f t="shared" si="17"/>
        <v>1185</v>
      </c>
      <c r="M81" s="1">
        <f t="shared" si="18"/>
        <v>1580</v>
      </c>
      <c r="N81" s="1">
        <f t="shared" si="19"/>
        <v>1975</v>
      </c>
      <c r="X81" s="1"/>
      <c r="Y81" s="1"/>
      <c r="AJ81" s="1">
        <v>78</v>
      </c>
      <c r="AK81" s="1">
        <f t="shared" si="20"/>
        <v>9600</v>
      </c>
      <c r="AL81" s="1">
        <f t="shared" si="21"/>
        <v>840</v>
      </c>
      <c r="AM81" s="1">
        <f t="shared" si="22"/>
        <v>10440</v>
      </c>
    </row>
    <row r="82" spans="9:39" x14ac:dyDescent="0.15">
      <c r="I82" s="1">
        <v>78</v>
      </c>
      <c r="K82" s="1">
        <f t="shared" si="16"/>
        <v>800</v>
      </c>
      <c r="L82" s="1">
        <f t="shared" si="17"/>
        <v>1200</v>
      </c>
      <c r="M82" s="1">
        <f t="shared" si="18"/>
        <v>1600</v>
      </c>
      <c r="N82" s="1">
        <f t="shared" si="19"/>
        <v>2000</v>
      </c>
      <c r="X82" s="1"/>
      <c r="Y82" s="1"/>
      <c r="AJ82" s="1">
        <v>79</v>
      </c>
      <c r="AK82" s="1">
        <f t="shared" si="20"/>
        <v>9720</v>
      </c>
      <c r="AL82" s="1">
        <f t="shared" si="21"/>
        <v>840</v>
      </c>
      <c r="AM82" s="1">
        <f t="shared" si="22"/>
        <v>10560</v>
      </c>
    </row>
    <row r="83" spans="9:39" x14ac:dyDescent="0.15">
      <c r="I83" s="1">
        <v>79</v>
      </c>
      <c r="K83" s="1">
        <f t="shared" si="16"/>
        <v>810</v>
      </c>
      <c r="L83" s="1">
        <f t="shared" si="17"/>
        <v>1215</v>
      </c>
      <c r="M83" s="1">
        <f t="shared" si="18"/>
        <v>1620</v>
      </c>
      <c r="N83" s="1">
        <f t="shared" si="19"/>
        <v>2025</v>
      </c>
      <c r="X83" s="1"/>
      <c r="Y83" s="1"/>
      <c r="AJ83" s="1">
        <v>80</v>
      </c>
      <c r="AK83" s="1">
        <f t="shared" si="20"/>
        <v>9840</v>
      </c>
      <c r="AL83" s="1">
        <f t="shared" si="21"/>
        <v>840</v>
      </c>
      <c r="AM83" s="1">
        <f t="shared" si="22"/>
        <v>10680</v>
      </c>
    </row>
    <row r="84" spans="9:39" x14ac:dyDescent="0.15">
      <c r="I84" s="1">
        <v>80</v>
      </c>
      <c r="K84" s="1">
        <f t="shared" si="16"/>
        <v>820</v>
      </c>
      <c r="L84" s="1">
        <f t="shared" si="17"/>
        <v>1230</v>
      </c>
      <c r="M84" s="1">
        <f t="shared" si="18"/>
        <v>1640</v>
      </c>
      <c r="N84" s="1">
        <f t="shared" si="19"/>
        <v>2050</v>
      </c>
      <c r="X84" s="1"/>
      <c r="Y84" s="1"/>
      <c r="AJ84" s="1">
        <v>81</v>
      </c>
      <c r="AK84" s="1">
        <f t="shared" si="20"/>
        <v>9960</v>
      </c>
      <c r="AL84" s="1">
        <f t="shared" si="21"/>
        <v>840</v>
      </c>
      <c r="AM84" s="1">
        <f t="shared" si="22"/>
        <v>10800</v>
      </c>
    </row>
    <row r="85" spans="9:39" x14ac:dyDescent="0.15">
      <c r="I85" s="1">
        <v>81</v>
      </c>
      <c r="K85" s="1">
        <f t="shared" si="16"/>
        <v>830</v>
      </c>
      <c r="L85" s="1">
        <f t="shared" si="17"/>
        <v>1245</v>
      </c>
      <c r="M85" s="1">
        <f t="shared" si="18"/>
        <v>1660</v>
      </c>
      <c r="N85" s="1">
        <f t="shared" si="19"/>
        <v>2075</v>
      </c>
      <c r="X85" s="1"/>
      <c r="Y85" s="1"/>
      <c r="AJ85" s="1">
        <v>82</v>
      </c>
      <c r="AK85" s="1">
        <f t="shared" si="20"/>
        <v>10080</v>
      </c>
      <c r="AL85" s="1">
        <f t="shared" si="21"/>
        <v>840</v>
      </c>
      <c r="AM85" s="1">
        <f t="shared" si="22"/>
        <v>10920</v>
      </c>
    </row>
    <row r="86" spans="9:39" x14ac:dyDescent="0.15">
      <c r="I86" s="1">
        <v>82</v>
      </c>
      <c r="K86" s="1">
        <f t="shared" si="16"/>
        <v>840</v>
      </c>
      <c r="L86" s="1">
        <f t="shared" si="17"/>
        <v>1260</v>
      </c>
      <c r="M86" s="1">
        <f t="shared" si="18"/>
        <v>1680</v>
      </c>
      <c r="N86" s="1">
        <f t="shared" si="19"/>
        <v>2100</v>
      </c>
      <c r="X86" s="1"/>
      <c r="Y86" s="1"/>
      <c r="AJ86" s="1">
        <v>83</v>
      </c>
      <c r="AK86" s="1">
        <f t="shared" si="20"/>
        <v>10200</v>
      </c>
      <c r="AL86" s="1">
        <f t="shared" si="21"/>
        <v>840</v>
      </c>
      <c r="AM86" s="1">
        <f t="shared" si="22"/>
        <v>11040</v>
      </c>
    </row>
    <row r="87" spans="9:39" x14ac:dyDescent="0.15">
      <c r="I87" s="1">
        <v>83</v>
      </c>
      <c r="K87" s="1">
        <f t="shared" si="16"/>
        <v>850</v>
      </c>
      <c r="L87" s="1">
        <f t="shared" si="17"/>
        <v>1275</v>
      </c>
      <c r="M87" s="1">
        <f t="shared" si="18"/>
        <v>1700</v>
      </c>
      <c r="N87" s="1">
        <f t="shared" si="19"/>
        <v>2125</v>
      </c>
      <c r="X87" s="1"/>
      <c r="Y87" s="1"/>
      <c r="AJ87" s="1">
        <v>84</v>
      </c>
      <c r="AK87" s="1">
        <f t="shared" si="20"/>
        <v>10320</v>
      </c>
      <c r="AL87" s="1">
        <f t="shared" si="21"/>
        <v>840</v>
      </c>
      <c r="AM87" s="1">
        <f t="shared" si="22"/>
        <v>11160</v>
      </c>
    </row>
    <row r="88" spans="9:39" x14ac:dyDescent="0.15">
      <c r="I88" s="1">
        <v>84</v>
      </c>
      <c r="K88" s="1">
        <f t="shared" si="16"/>
        <v>860</v>
      </c>
      <c r="L88" s="1">
        <f t="shared" si="17"/>
        <v>1290</v>
      </c>
      <c r="M88" s="1">
        <f t="shared" si="18"/>
        <v>1720</v>
      </c>
      <c r="N88" s="1">
        <f t="shared" si="19"/>
        <v>2150</v>
      </c>
      <c r="X88" s="1"/>
      <c r="Y88" s="1"/>
      <c r="AJ88" s="1">
        <v>85</v>
      </c>
      <c r="AK88" s="1">
        <f t="shared" si="20"/>
        <v>10440</v>
      </c>
      <c r="AL88" s="1">
        <f t="shared" si="21"/>
        <v>840</v>
      </c>
      <c r="AM88" s="1">
        <f t="shared" si="22"/>
        <v>11280</v>
      </c>
    </row>
    <row r="89" spans="9:39" x14ac:dyDescent="0.15">
      <c r="I89" s="1">
        <v>85</v>
      </c>
      <c r="K89" s="1">
        <f t="shared" ref="K89:K104" si="23">D$7+D$8*$I89</f>
        <v>870</v>
      </c>
      <c r="L89" s="1">
        <f t="shared" ref="L89:L104" si="24">E$7+E$8*$I89</f>
        <v>1305</v>
      </c>
      <c r="M89" s="1">
        <f t="shared" ref="M89:M104" si="25">F$7+F$8*$I89</f>
        <v>1740</v>
      </c>
      <c r="N89" s="1">
        <f t="shared" ref="N89:N104" si="26">G$7+G$8*$I89</f>
        <v>2175</v>
      </c>
      <c r="X89" s="1"/>
      <c r="Y89" s="1"/>
      <c r="AJ89" s="1">
        <v>86</v>
      </c>
      <c r="AK89" s="1">
        <f t="shared" si="20"/>
        <v>10560</v>
      </c>
      <c r="AL89" s="1">
        <f t="shared" si="21"/>
        <v>840</v>
      </c>
      <c r="AM89" s="1">
        <f t="shared" si="22"/>
        <v>11400</v>
      </c>
    </row>
    <row r="90" spans="9:39" x14ac:dyDescent="0.15">
      <c r="I90" s="1">
        <v>86</v>
      </c>
      <c r="K90" s="1">
        <f t="shared" si="23"/>
        <v>880</v>
      </c>
      <c r="L90" s="1">
        <f t="shared" si="24"/>
        <v>1320</v>
      </c>
      <c r="M90" s="1">
        <f t="shared" si="25"/>
        <v>1760</v>
      </c>
      <c r="N90" s="1">
        <f t="shared" si="26"/>
        <v>2200</v>
      </c>
      <c r="X90" s="1"/>
      <c r="Y90" s="1"/>
      <c r="AJ90" s="1">
        <v>87</v>
      </c>
      <c r="AK90" s="1">
        <f t="shared" si="20"/>
        <v>10680</v>
      </c>
      <c r="AL90" s="1">
        <f t="shared" si="21"/>
        <v>840</v>
      </c>
      <c r="AM90" s="1">
        <f t="shared" si="22"/>
        <v>11520</v>
      </c>
    </row>
    <row r="91" spans="9:39" x14ac:dyDescent="0.15">
      <c r="I91" s="1">
        <v>87</v>
      </c>
      <c r="K91" s="1">
        <f t="shared" si="23"/>
        <v>890</v>
      </c>
      <c r="L91" s="1">
        <f t="shared" si="24"/>
        <v>1335</v>
      </c>
      <c r="M91" s="1">
        <f t="shared" si="25"/>
        <v>1780</v>
      </c>
      <c r="N91" s="1">
        <f t="shared" si="26"/>
        <v>2225</v>
      </c>
      <c r="X91" s="1"/>
      <c r="Y91" s="1"/>
      <c r="AJ91" s="1">
        <v>88</v>
      </c>
      <c r="AK91" s="1">
        <f t="shared" si="20"/>
        <v>10800</v>
      </c>
      <c r="AL91" s="1">
        <f t="shared" si="21"/>
        <v>840</v>
      </c>
      <c r="AM91" s="1">
        <f t="shared" si="22"/>
        <v>11640</v>
      </c>
    </row>
    <row r="92" spans="9:39" x14ac:dyDescent="0.15">
      <c r="I92" s="1">
        <v>88</v>
      </c>
      <c r="K92" s="1">
        <f t="shared" si="23"/>
        <v>900</v>
      </c>
      <c r="L92" s="1">
        <f t="shared" si="24"/>
        <v>1350</v>
      </c>
      <c r="M92" s="1">
        <f t="shared" si="25"/>
        <v>1800</v>
      </c>
      <c r="N92" s="1">
        <f t="shared" si="26"/>
        <v>2250</v>
      </c>
      <c r="X92" s="1"/>
      <c r="Y92" s="1"/>
      <c r="AJ92" s="1">
        <v>89</v>
      </c>
      <c r="AK92" s="1">
        <f t="shared" si="20"/>
        <v>10920</v>
      </c>
      <c r="AL92" s="1">
        <f t="shared" si="21"/>
        <v>840</v>
      </c>
      <c r="AM92" s="1">
        <f t="shared" si="22"/>
        <v>11760</v>
      </c>
    </row>
    <row r="93" spans="9:39" x14ac:dyDescent="0.15">
      <c r="I93" s="1">
        <v>89</v>
      </c>
      <c r="K93" s="1">
        <f t="shared" si="23"/>
        <v>910</v>
      </c>
      <c r="L93" s="1">
        <f t="shared" si="24"/>
        <v>1365</v>
      </c>
      <c r="M93" s="1">
        <f t="shared" si="25"/>
        <v>1820</v>
      </c>
      <c r="N93" s="1">
        <f t="shared" si="26"/>
        <v>2275</v>
      </c>
      <c r="X93" s="1"/>
      <c r="Y93" s="1"/>
      <c r="AJ93" s="1">
        <v>90</v>
      </c>
      <c r="AK93" s="1">
        <f t="shared" si="20"/>
        <v>11040</v>
      </c>
      <c r="AL93" s="1">
        <f t="shared" si="21"/>
        <v>840</v>
      </c>
      <c r="AM93" s="1">
        <f t="shared" si="22"/>
        <v>11880</v>
      </c>
    </row>
    <row r="94" spans="9:39" x14ac:dyDescent="0.15">
      <c r="I94" s="1">
        <v>90</v>
      </c>
      <c r="K94" s="1">
        <f t="shared" si="23"/>
        <v>920</v>
      </c>
      <c r="L94" s="1">
        <f t="shared" si="24"/>
        <v>1380</v>
      </c>
      <c r="M94" s="1">
        <f t="shared" si="25"/>
        <v>1840</v>
      </c>
      <c r="N94" s="1">
        <f t="shared" si="26"/>
        <v>2300</v>
      </c>
      <c r="X94" s="1"/>
      <c r="Y94" s="1"/>
      <c r="AJ94" s="1">
        <v>91</v>
      </c>
      <c r="AK94" s="1">
        <f t="shared" si="20"/>
        <v>11160</v>
      </c>
      <c r="AL94" s="1">
        <f t="shared" si="21"/>
        <v>840</v>
      </c>
      <c r="AM94" s="1">
        <f t="shared" si="22"/>
        <v>12000</v>
      </c>
    </row>
    <row r="95" spans="9:39" x14ac:dyDescent="0.15">
      <c r="I95" s="1">
        <v>91</v>
      </c>
      <c r="K95" s="1">
        <f t="shared" si="23"/>
        <v>930</v>
      </c>
      <c r="L95" s="1">
        <f t="shared" si="24"/>
        <v>1395</v>
      </c>
      <c r="M95" s="1">
        <f t="shared" si="25"/>
        <v>1860</v>
      </c>
      <c r="N95" s="1">
        <f t="shared" si="26"/>
        <v>2325</v>
      </c>
      <c r="X95" s="1"/>
      <c r="Y95" s="1"/>
      <c r="AJ95" s="1">
        <v>92</v>
      </c>
      <c r="AK95" s="1">
        <f t="shared" si="20"/>
        <v>11280</v>
      </c>
      <c r="AL95" s="1">
        <f t="shared" si="21"/>
        <v>840</v>
      </c>
      <c r="AM95" s="1">
        <f t="shared" si="22"/>
        <v>12120</v>
      </c>
    </row>
    <row r="96" spans="9:39" x14ac:dyDescent="0.15">
      <c r="I96" s="1">
        <v>92</v>
      </c>
      <c r="K96" s="1">
        <f t="shared" si="23"/>
        <v>940</v>
      </c>
      <c r="L96" s="1">
        <f t="shared" si="24"/>
        <v>1410</v>
      </c>
      <c r="M96" s="1">
        <f t="shared" si="25"/>
        <v>1880</v>
      </c>
      <c r="N96" s="1">
        <f t="shared" si="26"/>
        <v>2350</v>
      </c>
      <c r="X96" s="1"/>
      <c r="Y96" s="1"/>
      <c r="AJ96" s="1">
        <v>93</v>
      </c>
      <c r="AK96" s="1">
        <f t="shared" si="20"/>
        <v>11400</v>
      </c>
      <c r="AL96" s="1">
        <f t="shared" si="21"/>
        <v>840</v>
      </c>
      <c r="AM96" s="1">
        <f t="shared" si="22"/>
        <v>12240</v>
      </c>
    </row>
    <row r="97" spans="9:39" x14ac:dyDescent="0.15">
      <c r="I97" s="1">
        <v>93</v>
      </c>
      <c r="K97" s="1">
        <f t="shared" si="23"/>
        <v>950</v>
      </c>
      <c r="L97" s="1">
        <f t="shared" si="24"/>
        <v>1425</v>
      </c>
      <c r="M97" s="1">
        <f t="shared" si="25"/>
        <v>1900</v>
      </c>
      <c r="N97" s="1">
        <f t="shared" si="26"/>
        <v>2375</v>
      </c>
      <c r="X97" s="1"/>
      <c r="Y97" s="1"/>
      <c r="AJ97" s="1">
        <v>94</v>
      </c>
      <c r="AK97" s="1">
        <f t="shared" si="20"/>
        <v>11520</v>
      </c>
      <c r="AL97" s="1">
        <f t="shared" si="21"/>
        <v>840</v>
      </c>
      <c r="AM97" s="1">
        <f t="shared" si="22"/>
        <v>12360</v>
      </c>
    </row>
    <row r="98" spans="9:39" x14ac:dyDescent="0.15">
      <c r="I98" s="1">
        <v>94</v>
      </c>
      <c r="K98" s="1">
        <f t="shared" si="23"/>
        <v>960</v>
      </c>
      <c r="L98" s="1">
        <f t="shared" si="24"/>
        <v>1440</v>
      </c>
      <c r="M98" s="1">
        <f t="shared" si="25"/>
        <v>1920</v>
      </c>
      <c r="N98" s="1">
        <f t="shared" si="26"/>
        <v>2400</v>
      </c>
      <c r="X98" s="1"/>
      <c r="Y98" s="1"/>
      <c r="AJ98" s="1">
        <v>95</v>
      </c>
      <c r="AK98" s="1">
        <f t="shared" si="20"/>
        <v>11640</v>
      </c>
      <c r="AL98" s="1">
        <f t="shared" si="21"/>
        <v>840</v>
      </c>
      <c r="AM98" s="1">
        <f t="shared" si="22"/>
        <v>12480</v>
      </c>
    </row>
    <row r="99" spans="9:39" x14ac:dyDescent="0.15">
      <c r="I99" s="1">
        <v>95</v>
      </c>
      <c r="K99" s="1">
        <f t="shared" si="23"/>
        <v>970</v>
      </c>
      <c r="L99" s="1">
        <f t="shared" si="24"/>
        <v>1455</v>
      </c>
      <c r="M99" s="1">
        <f t="shared" si="25"/>
        <v>1940</v>
      </c>
      <c r="N99" s="1">
        <f t="shared" si="26"/>
        <v>2425</v>
      </c>
      <c r="X99" s="1"/>
      <c r="Y99" s="1"/>
      <c r="AJ99" s="1">
        <v>96</v>
      </c>
      <c r="AK99" s="1">
        <f t="shared" si="20"/>
        <v>11760</v>
      </c>
      <c r="AL99" s="1">
        <f t="shared" si="21"/>
        <v>840</v>
      </c>
      <c r="AM99" s="1">
        <f t="shared" si="22"/>
        <v>12600</v>
      </c>
    </row>
    <row r="100" spans="9:39" x14ac:dyDescent="0.15">
      <c r="I100" s="1">
        <v>96</v>
      </c>
      <c r="K100" s="1">
        <f t="shared" si="23"/>
        <v>980</v>
      </c>
      <c r="L100" s="1">
        <f t="shared" si="24"/>
        <v>1470</v>
      </c>
      <c r="M100" s="1">
        <f t="shared" si="25"/>
        <v>1960</v>
      </c>
      <c r="N100" s="1">
        <f t="shared" si="26"/>
        <v>2450</v>
      </c>
      <c r="X100" s="1"/>
      <c r="Y100" s="1"/>
      <c r="AJ100" s="1">
        <v>97</v>
      </c>
      <c r="AK100" s="1">
        <f t="shared" si="20"/>
        <v>11880</v>
      </c>
      <c r="AL100" s="1">
        <f t="shared" si="21"/>
        <v>840</v>
      </c>
      <c r="AM100" s="1">
        <f t="shared" si="22"/>
        <v>12720</v>
      </c>
    </row>
    <row r="101" spans="9:39" x14ac:dyDescent="0.15">
      <c r="I101" s="1">
        <v>97</v>
      </c>
      <c r="K101" s="1">
        <f t="shared" si="23"/>
        <v>990</v>
      </c>
      <c r="L101" s="1">
        <f t="shared" si="24"/>
        <v>1485</v>
      </c>
      <c r="M101" s="1">
        <f t="shared" si="25"/>
        <v>1980</v>
      </c>
      <c r="N101" s="1">
        <f t="shared" si="26"/>
        <v>2475</v>
      </c>
      <c r="X101" s="1"/>
      <c r="Y101" s="1"/>
      <c r="AJ101" s="1">
        <v>98</v>
      </c>
      <c r="AK101" s="1">
        <f t="shared" si="20"/>
        <v>12000</v>
      </c>
      <c r="AL101" s="1">
        <f t="shared" si="21"/>
        <v>840</v>
      </c>
      <c r="AM101" s="1">
        <f t="shared" si="22"/>
        <v>12840</v>
      </c>
    </row>
    <row r="102" spans="9:39" x14ac:dyDescent="0.15">
      <c r="I102" s="1">
        <v>98</v>
      </c>
      <c r="K102" s="1">
        <f t="shared" si="23"/>
        <v>1000</v>
      </c>
      <c r="L102" s="1">
        <f t="shared" si="24"/>
        <v>1500</v>
      </c>
      <c r="M102" s="1">
        <f t="shared" si="25"/>
        <v>2000</v>
      </c>
      <c r="N102" s="1">
        <f t="shared" si="26"/>
        <v>2500</v>
      </c>
      <c r="X102" s="1"/>
      <c r="Y102" s="1"/>
      <c r="AJ102" s="1">
        <v>99</v>
      </c>
      <c r="AK102" s="1">
        <f t="shared" si="20"/>
        <v>12120</v>
      </c>
      <c r="AL102" s="1">
        <f t="shared" si="21"/>
        <v>840</v>
      </c>
      <c r="AM102" s="1">
        <f t="shared" si="22"/>
        <v>12960</v>
      </c>
    </row>
    <row r="103" spans="9:39" x14ac:dyDescent="0.15">
      <c r="I103" s="1">
        <v>99</v>
      </c>
      <c r="K103" s="1">
        <f t="shared" si="23"/>
        <v>1010</v>
      </c>
      <c r="L103" s="1">
        <f t="shared" si="24"/>
        <v>1515</v>
      </c>
      <c r="M103" s="1">
        <f t="shared" si="25"/>
        <v>2020</v>
      </c>
      <c r="N103" s="1">
        <f t="shared" si="26"/>
        <v>2525</v>
      </c>
      <c r="X103" s="1"/>
      <c r="Y103" s="1"/>
      <c r="AJ103" s="1">
        <v>100</v>
      </c>
      <c r="AK103" s="1">
        <f t="shared" si="20"/>
        <v>12240</v>
      </c>
      <c r="AL103" s="1">
        <f t="shared" si="21"/>
        <v>840</v>
      </c>
      <c r="AM103" s="1">
        <f t="shared" si="22"/>
        <v>13080</v>
      </c>
    </row>
    <row r="104" spans="9:39" x14ac:dyDescent="0.15">
      <c r="I104" s="1">
        <v>100</v>
      </c>
      <c r="K104" s="1">
        <f t="shared" si="23"/>
        <v>1020</v>
      </c>
      <c r="L104" s="1">
        <f t="shared" si="24"/>
        <v>1530</v>
      </c>
      <c r="M104" s="1">
        <f t="shared" si="25"/>
        <v>2040</v>
      </c>
      <c r="N104" s="1">
        <f t="shared" si="26"/>
        <v>2550</v>
      </c>
      <c r="X104" s="1"/>
      <c r="Y104" s="1"/>
    </row>
    <row r="105" spans="9:39" x14ac:dyDescent="0.15">
      <c r="X105" s="1"/>
      <c r="Y105" s="1"/>
    </row>
    <row r="106" spans="9:39" x14ac:dyDescent="0.15">
      <c r="X106" s="1"/>
      <c r="Y106" s="1"/>
    </row>
    <row r="107" spans="9:39" x14ac:dyDescent="0.15">
      <c r="X107" s="1"/>
      <c r="Y107" s="1"/>
    </row>
    <row r="108" spans="9:39" x14ac:dyDescent="0.15">
      <c r="X108" s="1"/>
      <c r="Y108" s="1"/>
    </row>
    <row r="109" spans="9:39" x14ac:dyDescent="0.15">
      <c r="X109" s="1"/>
      <c r="Y109" s="1"/>
    </row>
    <row r="110" spans="9:39" x14ac:dyDescent="0.15">
      <c r="X110" s="1"/>
      <c r="Y110" s="1"/>
    </row>
    <row r="111" spans="9:39" x14ac:dyDescent="0.15">
      <c r="X111" s="1"/>
      <c r="Y111" s="1"/>
    </row>
    <row r="112" spans="9:39" x14ac:dyDescent="0.15">
      <c r="X112" s="1"/>
      <c r="Y112" s="1"/>
    </row>
    <row r="113" s="1" customFormat="1" x14ac:dyDescent="0.15"/>
    <row r="114" s="1" customFormat="1" x14ac:dyDescent="0.15"/>
    <row r="115" s="1" customFormat="1" x14ac:dyDescent="0.15"/>
    <row r="116" s="1" customFormat="1" x14ac:dyDescent="0.15"/>
    <row r="117" s="1" customFormat="1" x14ac:dyDescent="0.15"/>
    <row r="118" s="1" customFormat="1" x14ac:dyDescent="0.15"/>
    <row r="119" s="1" customFormat="1" x14ac:dyDescent="0.15"/>
    <row r="120" s="1" customFormat="1" x14ac:dyDescent="0.15"/>
    <row r="121" s="1" customFormat="1" x14ac:dyDescent="0.15"/>
    <row r="122" s="1" customFormat="1" x14ac:dyDescent="0.15"/>
    <row r="123" s="1" customFormat="1" x14ac:dyDescent="0.15"/>
    <row r="124" s="1" customFormat="1" x14ac:dyDescent="0.15"/>
    <row r="125" s="1" customFormat="1" x14ac:dyDescent="0.15"/>
    <row r="126" s="1" customFormat="1" x14ac:dyDescent="0.15"/>
    <row r="127" s="1" customFormat="1" x14ac:dyDescent="0.15"/>
    <row r="128" s="1" customFormat="1" x14ac:dyDescent="0.15"/>
    <row r="129" s="1" customFormat="1" x14ac:dyDescent="0.15"/>
    <row r="130" s="1" customFormat="1" x14ac:dyDescent="0.15"/>
    <row r="131" s="1" customFormat="1" x14ac:dyDescent="0.15"/>
    <row r="132" s="1" customFormat="1" x14ac:dyDescent="0.15"/>
    <row r="133" s="1" customFormat="1" x14ac:dyDescent="0.15"/>
    <row r="134" s="1" customFormat="1" x14ac:dyDescent="0.15"/>
    <row r="135" s="1" customFormat="1" x14ac:dyDescent="0.15"/>
    <row r="136" s="1" customFormat="1" x14ac:dyDescent="0.15"/>
    <row r="137" s="1" customFormat="1" x14ac:dyDescent="0.15"/>
    <row r="138" s="1" customFormat="1" x14ac:dyDescent="0.15"/>
    <row r="139" s="1" customFormat="1" x14ac:dyDescent="0.15"/>
    <row r="140" s="1" customFormat="1" x14ac:dyDescent="0.15"/>
    <row r="141" s="1" customFormat="1" x14ac:dyDescent="0.15"/>
    <row r="142" s="1" customFormat="1" x14ac:dyDescent="0.15"/>
    <row r="143" s="1" customFormat="1" x14ac:dyDescent="0.15"/>
    <row r="144" s="1" customFormat="1" x14ac:dyDescent="0.15"/>
    <row r="145" s="1" customFormat="1" x14ac:dyDescent="0.15"/>
    <row r="146" s="1" customFormat="1" x14ac:dyDescent="0.15"/>
    <row r="147" s="1" customFormat="1" x14ac:dyDescent="0.15"/>
    <row r="148" s="1" customFormat="1" x14ac:dyDescent="0.15"/>
    <row r="149" s="1" customFormat="1" x14ac:dyDescent="0.15"/>
    <row r="150" s="1" customFormat="1" x14ac:dyDescent="0.15"/>
    <row r="151" s="1" customFormat="1" x14ac:dyDescent="0.15"/>
    <row r="152" s="1" customFormat="1" x14ac:dyDescent="0.15"/>
    <row r="153" s="1" customFormat="1" x14ac:dyDescent="0.15"/>
    <row r="154" s="1" customFormat="1" x14ac:dyDescent="0.15"/>
    <row r="155" s="1" customFormat="1" x14ac:dyDescent="0.15"/>
    <row r="156" s="1" customFormat="1" x14ac:dyDescent="0.15"/>
    <row r="157" s="1" customFormat="1" x14ac:dyDescent="0.15"/>
    <row r="158" s="1" customFormat="1" x14ac:dyDescent="0.15"/>
    <row r="159" s="1" customFormat="1" x14ac:dyDescent="0.15"/>
    <row r="160" s="1" customFormat="1" x14ac:dyDescent="0.15"/>
    <row r="161" s="1" customFormat="1" x14ac:dyDescent="0.15"/>
    <row r="162" s="1" customFormat="1" x14ac:dyDescent="0.15"/>
    <row r="163" s="1" customFormat="1" x14ac:dyDescent="0.15"/>
    <row r="164" s="1" customFormat="1" x14ac:dyDescent="0.15"/>
    <row r="165" s="1" customFormat="1" x14ac:dyDescent="0.15"/>
    <row r="166" s="1" customFormat="1" x14ac:dyDescent="0.15"/>
    <row r="167" s="1" customFormat="1" x14ac:dyDescent="0.15"/>
    <row r="168" s="1" customFormat="1" x14ac:dyDescent="0.15"/>
    <row r="169" s="1" customFormat="1" x14ac:dyDescent="0.15"/>
    <row r="170" s="1" customFormat="1" x14ac:dyDescent="0.15"/>
    <row r="171" s="1" customFormat="1" x14ac:dyDescent="0.15"/>
    <row r="172" s="1" customFormat="1" x14ac:dyDescent="0.15"/>
    <row r="173" s="1" customFormat="1" x14ac:dyDescent="0.15"/>
    <row r="174" s="1" customFormat="1" x14ac:dyDescent="0.15"/>
    <row r="175" s="1" customFormat="1" x14ac:dyDescent="0.15"/>
    <row r="176" s="1" customFormat="1" x14ac:dyDescent="0.15"/>
    <row r="177" s="1" customFormat="1" x14ac:dyDescent="0.15"/>
    <row r="178" s="1" customFormat="1" x14ac:dyDescent="0.15"/>
    <row r="179" s="1" customFormat="1" x14ac:dyDescent="0.15"/>
    <row r="180" s="1" customFormat="1" x14ac:dyDescent="0.15"/>
    <row r="181" s="1" customFormat="1" x14ac:dyDescent="0.15"/>
    <row r="182" s="1" customFormat="1" x14ac:dyDescent="0.15"/>
    <row r="183" s="1" customFormat="1" x14ac:dyDescent="0.15"/>
    <row r="184" s="1" customFormat="1" x14ac:dyDescent="0.15"/>
    <row r="185" s="1" customFormat="1" x14ac:dyDescent="0.15"/>
  </sheetData>
  <mergeCells count="2">
    <mergeCell ref="AD3:AG3"/>
    <mergeCell ref="AD20:AG20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节奏总纲</vt:lpstr>
      <vt:lpstr>其他调用</vt:lpstr>
      <vt:lpstr>设计思路</vt:lpstr>
      <vt:lpstr>基础状态预期</vt:lpstr>
      <vt:lpstr>宝物升星</vt:lpstr>
      <vt:lpstr>宝物鉴赏</vt:lpstr>
      <vt:lpstr>宝物温养</vt:lpstr>
      <vt:lpstr>盗宝贼</vt:lpstr>
      <vt:lpstr>宝物实力</vt:lpstr>
      <vt:lpstr>投放验证</vt:lpstr>
      <vt:lpstr>武将升星（废弃）</vt:lpstr>
      <vt:lpstr>Sheet2</vt:lpstr>
      <vt:lpstr>武将觉醒(废弃）</vt:lpstr>
      <vt:lpstr>属性分配（废弃）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2006-09-16T00:00:00Z</dcterms:created>
  <dcterms:modified xsi:type="dcterms:W3CDTF">2021-07-02T16:39:09Z</dcterms:modified>
</cp:coreProperties>
</file>