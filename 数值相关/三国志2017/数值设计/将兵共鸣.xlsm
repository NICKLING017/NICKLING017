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filterPrivacy="1" codeName="ThisWorkbook" defaultThemeVersion="124226"/>
  <xr:revisionPtr revIDLastSave="0" documentId="13_ncr:1_{094A5BFE-91BA-4F24-A71E-34BD0A191EF2}" xr6:coauthVersionLast="45" xr6:coauthVersionMax="47" xr10:uidLastSave="{00000000-0000-0000-0000-000000000000}"/>
  <bookViews>
    <workbookView xWindow="-120" yWindow="-120" windowWidth="29040" windowHeight="15720" tabRatio="780" activeTab="3" xr2:uid="{00000000-000D-0000-FFFF-FFFF00000000}"/>
  </bookViews>
  <sheets>
    <sheet name="节奏总纲" sheetId="1" r:id="rId1"/>
    <sheet name="其他调用" sheetId="9" r:id="rId2"/>
    <sheet name="设计思路" sheetId="31" r:id="rId3"/>
    <sheet name="武将加成士兵" sheetId="32" r:id="rId4"/>
    <sheet name="士兵加成武将" sheetId="33" r:id="rId5"/>
  </sheets>
  <functionGroups builtInGroupCount="19"/>
  <externalReferences>
    <externalReference r:id="rId6"/>
    <externalReference r:id="rId7"/>
    <externalReference r:id="rId8"/>
    <externalReference r:id="rId9"/>
  </externalReferences>
  <calcPr calcId="191029"/>
</workbook>
</file>

<file path=xl/calcChain.xml><?xml version="1.0" encoding="utf-8"?>
<calcChain xmlns="http://schemas.openxmlformats.org/spreadsheetml/2006/main">
  <c r="Y223" i="9" l="1"/>
  <c r="X223" i="9"/>
  <c r="W223" i="9"/>
  <c r="V223" i="9"/>
  <c r="U223" i="9"/>
  <c r="Y222" i="9"/>
  <c r="X222" i="9"/>
  <c r="W222" i="9"/>
  <c r="V222" i="9"/>
  <c r="U222" i="9"/>
  <c r="Y221" i="9"/>
  <c r="X221" i="9"/>
  <c r="W221" i="9"/>
  <c r="V221" i="9"/>
  <c r="U221" i="9"/>
  <c r="Y220" i="9"/>
  <c r="X220" i="9"/>
  <c r="W220" i="9"/>
  <c r="V220" i="9"/>
  <c r="U220" i="9"/>
  <c r="Y219" i="9"/>
  <c r="X219" i="9"/>
  <c r="W219" i="9"/>
  <c r="V219" i="9"/>
  <c r="U219" i="9"/>
  <c r="Y218" i="9"/>
  <c r="X218" i="9"/>
  <c r="W218" i="9"/>
  <c r="V218" i="9"/>
  <c r="U218" i="9"/>
  <c r="Y217" i="9"/>
  <c r="X217" i="9"/>
  <c r="W217" i="9"/>
  <c r="V217" i="9"/>
  <c r="U217" i="9"/>
  <c r="Y216" i="9"/>
  <c r="X216" i="9"/>
  <c r="W216" i="9"/>
  <c r="V216" i="9"/>
  <c r="U216" i="9"/>
  <c r="Y215" i="9"/>
  <c r="X215" i="9"/>
  <c r="W215" i="9"/>
  <c r="V215" i="9"/>
  <c r="U215" i="9"/>
  <c r="Y214" i="9"/>
  <c r="X214" i="9"/>
  <c r="W214" i="9"/>
  <c r="V214" i="9"/>
  <c r="U214" i="9"/>
  <c r="Y213" i="9"/>
  <c r="X213" i="9"/>
  <c r="W213" i="9"/>
  <c r="V213" i="9"/>
  <c r="U213" i="9"/>
  <c r="Y212" i="9"/>
  <c r="X212" i="9"/>
  <c r="W212" i="9"/>
  <c r="V212" i="9"/>
  <c r="U212" i="9"/>
  <c r="Y211" i="9"/>
  <c r="X211" i="9"/>
  <c r="W211" i="9"/>
  <c r="V211" i="9"/>
  <c r="U211" i="9"/>
  <c r="Y210" i="9"/>
  <c r="X210" i="9"/>
  <c r="W210" i="9"/>
  <c r="V210" i="9"/>
  <c r="U210" i="9"/>
  <c r="Y209" i="9"/>
  <c r="X209" i="9"/>
  <c r="W209" i="9"/>
  <c r="V209" i="9"/>
  <c r="U209" i="9"/>
  <c r="Y208" i="9"/>
  <c r="X208" i="9"/>
  <c r="W208" i="9"/>
  <c r="V208" i="9"/>
  <c r="U208" i="9"/>
  <c r="Y207" i="9"/>
  <c r="X207" i="9"/>
  <c r="W207" i="9"/>
  <c r="V207" i="9"/>
  <c r="U207" i="9"/>
  <c r="Y206" i="9"/>
  <c r="X206" i="9"/>
  <c r="W206" i="9"/>
  <c r="V206" i="9"/>
  <c r="U206" i="9"/>
  <c r="Y205" i="9"/>
  <c r="X205" i="9"/>
  <c r="W205" i="9"/>
  <c r="V205" i="9"/>
  <c r="U205" i="9"/>
  <c r="Y204" i="9"/>
  <c r="X204" i="9"/>
  <c r="W204" i="9"/>
  <c r="V204" i="9"/>
  <c r="U204" i="9"/>
  <c r="Y203" i="9"/>
  <c r="X203" i="9"/>
  <c r="W203" i="9"/>
  <c r="V203" i="9"/>
  <c r="U203" i="9"/>
  <c r="Y202" i="9"/>
  <c r="X202" i="9"/>
  <c r="W202" i="9"/>
  <c r="V202" i="9"/>
  <c r="U202" i="9"/>
  <c r="Y201" i="9"/>
  <c r="X201" i="9"/>
  <c r="W201" i="9"/>
  <c r="V201" i="9"/>
  <c r="U201" i="9"/>
  <c r="Y200" i="9"/>
  <c r="X200" i="9"/>
  <c r="W200" i="9"/>
  <c r="V200" i="9"/>
  <c r="U200" i="9"/>
  <c r="Y199" i="9"/>
  <c r="X199" i="9"/>
  <c r="W199" i="9"/>
  <c r="V199" i="9"/>
  <c r="U199" i="9"/>
  <c r="Y198" i="9"/>
  <c r="X198" i="9"/>
  <c r="W198" i="9"/>
  <c r="V198" i="9"/>
  <c r="U198" i="9"/>
  <c r="Y197" i="9"/>
  <c r="X197" i="9"/>
  <c r="W197" i="9"/>
  <c r="V197" i="9"/>
  <c r="U197" i="9"/>
  <c r="Y196" i="9"/>
  <c r="X196" i="9"/>
  <c r="W196" i="9"/>
  <c r="V196" i="9"/>
  <c r="U196" i="9"/>
  <c r="Y195" i="9"/>
  <c r="X195" i="9"/>
  <c r="W195" i="9"/>
  <c r="V195" i="9"/>
  <c r="U195" i="9"/>
  <c r="Y194" i="9"/>
  <c r="X194" i="9"/>
  <c r="W194" i="9"/>
  <c r="V194" i="9"/>
  <c r="U194" i="9"/>
  <c r="Y193" i="9"/>
  <c r="X193" i="9"/>
  <c r="W193" i="9"/>
  <c r="V193" i="9"/>
  <c r="U193" i="9"/>
  <c r="Y192" i="9"/>
  <c r="X192" i="9"/>
  <c r="W192" i="9"/>
  <c r="V192" i="9"/>
  <c r="U192" i="9"/>
  <c r="Y191" i="9"/>
  <c r="X191" i="9"/>
  <c r="W191" i="9"/>
  <c r="V191" i="9"/>
  <c r="U191" i="9"/>
  <c r="Y190" i="9"/>
  <c r="X190" i="9"/>
  <c r="W190" i="9"/>
  <c r="V190" i="9"/>
  <c r="U190" i="9"/>
  <c r="Y189" i="9"/>
  <c r="X189" i="9"/>
  <c r="W189" i="9"/>
  <c r="V189" i="9"/>
  <c r="U189" i="9"/>
  <c r="Y188" i="9"/>
  <c r="X188" i="9"/>
  <c r="W188" i="9"/>
  <c r="V188" i="9"/>
  <c r="U188" i="9"/>
  <c r="Y187" i="9"/>
  <c r="X187" i="9"/>
  <c r="W187" i="9"/>
  <c r="V187" i="9"/>
  <c r="U187" i="9"/>
  <c r="Y186" i="9"/>
  <c r="X186" i="9"/>
  <c r="W186" i="9"/>
  <c r="V186" i="9"/>
  <c r="U186" i="9"/>
  <c r="Y185" i="9"/>
  <c r="X185" i="9"/>
  <c r="W185" i="9"/>
  <c r="V185" i="9"/>
  <c r="U185" i="9"/>
  <c r="Y178" i="9"/>
  <c r="X178" i="9"/>
  <c r="W178" i="9"/>
  <c r="V178" i="9"/>
  <c r="U178" i="9"/>
  <c r="Y177" i="9"/>
  <c r="X177" i="9"/>
  <c r="W177" i="9"/>
  <c r="V177" i="9"/>
  <c r="U177" i="9"/>
  <c r="Y176" i="9"/>
  <c r="X176" i="9"/>
  <c r="W176" i="9"/>
  <c r="V176" i="9"/>
  <c r="U176" i="9"/>
  <c r="Y175" i="9"/>
  <c r="X175" i="9"/>
  <c r="W175" i="9"/>
  <c r="V175" i="9"/>
  <c r="U175" i="9"/>
  <c r="Y174" i="9"/>
  <c r="X174" i="9"/>
  <c r="W174" i="9"/>
  <c r="V174" i="9"/>
  <c r="U174" i="9"/>
  <c r="Y173" i="9"/>
  <c r="X173" i="9"/>
  <c r="W173" i="9"/>
  <c r="V173" i="9"/>
  <c r="U173" i="9"/>
  <c r="Y172" i="9"/>
  <c r="X172" i="9"/>
  <c r="W172" i="9"/>
  <c r="V172" i="9"/>
  <c r="U172" i="9"/>
  <c r="Y171" i="9"/>
  <c r="X171" i="9"/>
  <c r="W171" i="9"/>
  <c r="V171" i="9"/>
  <c r="U171" i="9"/>
  <c r="Y170" i="9"/>
  <c r="X170" i="9"/>
  <c r="W170" i="9"/>
  <c r="V170" i="9"/>
  <c r="U170" i="9"/>
  <c r="Y169" i="9"/>
  <c r="X169" i="9"/>
  <c r="W169" i="9"/>
  <c r="V169" i="9"/>
  <c r="U169" i="9"/>
  <c r="Y168" i="9"/>
  <c r="X168" i="9"/>
  <c r="W168" i="9"/>
  <c r="V168" i="9"/>
  <c r="U168" i="9"/>
  <c r="Y167" i="9"/>
  <c r="X167" i="9"/>
  <c r="W167" i="9"/>
  <c r="V167" i="9"/>
  <c r="U167" i="9"/>
  <c r="Y166" i="9"/>
  <c r="X166" i="9"/>
  <c r="W166" i="9"/>
  <c r="V166" i="9"/>
  <c r="U166" i="9"/>
  <c r="Y165" i="9"/>
  <c r="X165" i="9"/>
  <c r="W165" i="9"/>
  <c r="V165" i="9"/>
  <c r="U165" i="9"/>
  <c r="Y164" i="9"/>
  <c r="X164" i="9"/>
  <c r="W164" i="9"/>
  <c r="V164" i="9"/>
  <c r="U164" i="9"/>
  <c r="Y163" i="9"/>
  <c r="X163" i="9"/>
  <c r="W163" i="9"/>
  <c r="V163" i="9"/>
  <c r="U163" i="9"/>
  <c r="Y162" i="9"/>
  <c r="X162" i="9"/>
  <c r="W162" i="9"/>
  <c r="V162" i="9"/>
  <c r="U162" i="9"/>
  <c r="Y161" i="9"/>
  <c r="X161" i="9"/>
  <c r="W161" i="9"/>
  <c r="V161" i="9"/>
  <c r="U161" i="9"/>
  <c r="Y160" i="9"/>
  <c r="X160" i="9"/>
  <c r="W160" i="9"/>
  <c r="V160" i="9"/>
  <c r="U160" i="9"/>
  <c r="Y159" i="9"/>
  <c r="X159" i="9"/>
  <c r="W159" i="9"/>
  <c r="V159" i="9"/>
  <c r="U159" i="9"/>
  <c r="Y158" i="9"/>
  <c r="X158" i="9"/>
  <c r="W158" i="9"/>
  <c r="V158" i="9"/>
  <c r="U158" i="9"/>
  <c r="Y157" i="9"/>
  <c r="X157" i="9"/>
  <c r="W157" i="9"/>
  <c r="V157" i="9"/>
  <c r="U157" i="9"/>
  <c r="Y156" i="9"/>
  <c r="X156" i="9"/>
  <c r="W156" i="9"/>
  <c r="V156" i="9"/>
  <c r="U156" i="9"/>
  <c r="Y155" i="9"/>
  <c r="X155" i="9"/>
  <c r="W155" i="9"/>
  <c r="V155" i="9"/>
  <c r="U155" i="9"/>
  <c r="Y154" i="9"/>
  <c r="X154" i="9"/>
  <c r="W154" i="9"/>
  <c r="V154" i="9"/>
  <c r="U154" i="9"/>
  <c r="Y153" i="9"/>
  <c r="X153" i="9"/>
  <c r="W153" i="9"/>
  <c r="V153" i="9"/>
  <c r="U153" i="9"/>
  <c r="Y152" i="9"/>
  <c r="X152" i="9"/>
  <c r="W152" i="9"/>
  <c r="V152" i="9"/>
  <c r="U152" i="9"/>
  <c r="Y151" i="9"/>
  <c r="X151" i="9"/>
  <c r="W151" i="9"/>
  <c r="V151" i="9"/>
  <c r="U151" i="9"/>
  <c r="Y150" i="9"/>
  <c r="X150" i="9"/>
  <c r="W150" i="9"/>
  <c r="V150" i="9"/>
  <c r="U150" i="9"/>
  <c r="Y149" i="9"/>
  <c r="X149" i="9"/>
  <c r="W149" i="9"/>
  <c r="V149" i="9"/>
  <c r="U149" i="9"/>
  <c r="Y148" i="9"/>
  <c r="X148" i="9"/>
  <c r="W148" i="9"/>
  <c r="V148" i="9"/>
  <c r="U148" i="9"/>
  <c r="Y147" i="9"/>
  <c r="X147" i="9"/>
  <c r="W147" i="9"/>
  <c r="V147" i="9"/>
  <c r="U147" i="9"/>
  <c r="Y146" i="9"/>
  <c r="X146" i="9"/>
  <c r="W146" i="9"/>
  <c r="V146" i="9"/>
  <c r="U146" i="9"/>
  <c r="Y145" i="9"/>
  <c r="X145" i="9"/>
  <c r="W145" i="9"/>
  <c r="V145" i="9"/>
  <c r="U145" i="9"/>
  <c r="Y144" i="9"/>
  <c r="X144" i="9"/>
  <c r="W144" i="9"/>
  <c r="V144" i="9"/>
  <c r="U144" i="9"/>
  <c r="Y143" i="9"/>
  <c r="X143" i="9"/>
  <c r="W143" i="9"/>
  <c r="V143" i="9"/>
  <c r="U143" i="9"/>
  <c r="Y142" i="9"/>
  <c r="X142" i="9"/>
  <c r="W142" i="9"/>
  <c r="V142" i="9"/>
  <c r="U142" i="9"/>
  <c r="Y141" i="9"/>
  <c r="X141" i="9"/>
  <c r="W141" i="9"/>
  <c r="V141" i="9"/>
  <c r="U141" i="9"/>
  <c r="Y140" i="9"/>
  <c r="X140" i="9"/>
  <c r="W140" i="9"/>
  <c r="V140" i="9"/>
  <c r="U140" i="9"/>
  <c r="Y133" i="9"/>
  <c r="X133" i="9"/>
  <c r="W133" i="9"/>
  <c r="V133" i="9"/>
  <c r="U133" i="9"/>
  <c r="Y132" i="9"/>
  <c r="X132" i="9"/>
  <c r="W132" i="9"/>
  <c r="V132" i="9"/>
  <c r="U132" i="9"/>
  <c r="Y131" i="9"/>
  <c r="X131" i="9"/>
  <c r="W131" i="9"/>
  <c r="V131" i="9"/>
  <c r="U131" i="9"/>
  <c r="Y130" i="9"/>
  <c r="X130" i="9"/>
  <c r="W130" i="9"/>
  <c r="V130" i="9"/>
  <c r="U130" i="9"/>
  <c r="Y129" i="9"/>
  <c r="X129" i="9"/>
  <c r="W129" i="9"/>
  <c r="V129" i="9"/>
  <c r="U129" i="9"/>
  <c r="Y128" i="9"/>
  <c r="X128" i="9"/>
  <c r="W128" i="9"/>
  <c r="V128" i="9"/>
  <c r="U128" i="9"/>
  <c r="Y127" i="9"/>
  <c r="X127" i="9"/>
  <c r="W127" i="9"/>
  <c r="V127" i="9"/>
  <c r="U127" i="9"/>
  <c r="Y126" i="9"/>
  <c r="X126" i="9"/>
  <c r="W126" i="9"/>
  <c r="V126" i="9"/>
  <c r="U126" i="9"/>
  <c r="Y125" i="9"/>
  <c r="X125" i="9"/>
  <c r="W125" i="9"/>
  <c r="V125" i="9"/>
  <c r="U125" i="9"/>
  <c r="Y124" i="9"/>
  <c r="X124" i="9"/>
  <c r="W124" i="9"/>
  <c r="V124" i="9"/>
  <c r="U124" i="9"/>
  <c r="Y123" i="9"/>
  <c r="X123" i="9"/>
  <c r="W123" i="9"/>
  <c r="V123" i="9"/>
  <c r="U123" i="9"/>
  <c r="Y122" i="9"/>
  <c r="X122" i="9"/>
  <c r="W122" i="9"/>
  <c r="V122" i="9"/>
  <c r="U122" i="9"/>
  <c r="Y121" i="9"/>
  <c r="X121" i="9"/>
  <c r="W121" i="9"/>
  <c r="V121" i="9"/>
  <c r="U121" i="9"/>
  <c r="Y120" i="9"/>
  <c r="X120" i="9"/>
  <c r="W120" i="9"/>
  <c r="V120" i="9"/>
  <c r="U120" i="9"/>
  <c r="Y119" i="9"/>
  <c r="X119" i="9"/>
  <c r="W119" i="9"/>
  <c r="V119" i="9"/>
  <c r="U119" i="9"/>
  <c r="Y118" i="9"/>
  <c r="X118" i="9"/>
  <c r="W118" i="9"/>
  <c r="V118" i="9"/>
  <c r="U118" i="9"/>
  <c r="Y117" i="9"/>
  <c r="X117" i="9"/>
  <c r="W117" i="9"/>
  <c r="V117" i="9"/>
  <c r="U117" i="9"/>
  <c r="Y116" i="9"/>
  <c r="X116" i="9"/>
  <c r="W116" i="9"/>
  <c r="V116" i="9"/>
  <c r="U116" i="9"/>
  <c r="Y115" i="9"/>
  <c r="X115" i="9"/>
  <c r="W115" i="9"/>
  <c r="V115" i="9"/>
  <c r="U115" i="9"/>
  <c r="Y114" i="9"/>
  <c r="X114" i="9"/>
  <c r="W114" i="9"/>
  <c r="V114" i="9"/>
  <c r="U114" i="9"/>
  <c r="Y113" i="9"/>
  <c r="X113" i="9"/>
  <c r="W113" i="9"/>
  <c r="V113" i="9"/>
  <c r="U113" i="9"/>
  <c r="Y112" i="9"/>
  <c r="X112" i="9"/>
  <c r="W112" i="9"/>
  <c r="V112" i="9"/>
  <c r="U112" i="9"/>
  <c r="Y111" i="9"/>
  <c r="X111" i="9"/>
  <c r="W111" i="9"/>
  <c r="V111" i="9"/>
  <c r="U111" i="9"/>
  <c r="Y110" i="9"/>
  <c r="X110" i="9"/>
  <c r="W110" i="9"/>
  <c r="V110" i="9"/>
  <c r="U110" i="9"/>
  <c r="Y109" i="9"/>
  <c r="X109" i="9"/>
  <c r="W109" i="9"/>
  <c r="V109" i="9"/>
  <c r="U109" i="9"/>
  <c r="Y108" i="9"/>
  <c r="X108" i="9"/>
  <c r="W108" i="9"/>
  <c r="V108" i="9"/>
  <c r="U108" i="9"/>
  <c r="Y107" i="9"/>
  <c r="X107" i="9"/>
  <c r="W107" i="9"/>
  <c r="V107" i="9"/>
  <c r="U107" i="9"/>
  <c r="Y106" i="9"/>
  <c r="X106" i="9"/>
  <c r="W106" i="9"/>
  <c r="V106" i="9"/>
  <c r="U106" i="9"/>
  <c r="Y105" i="9"/>
  <c r="X105" i="9"/>
  <c r="W105" i="9"/>
  <c r="V105" i="9"/>
  <c r="U105" i="9"/>
  <c r="Y104" i="9"/>
  <c r="X104" i="9"/>
  <c r="W104" i="9"/>
  <c r="V104" i="9"/>
  <c r="U104" i="9"/>
  <c r="Y103" i="9"/>
  <c r="X103" i="9"/>
  <c r="W103" i="9"/>
  <c r="V103" i="9"/>
  <c r="U103" i="9"/>
  <c r="Y102" i="9"/>
  <c r="X102" i="9"/>
  <c r="W102" i="9"/>
  <c r="V102" i="9"/>
  <c r="U102" i="9"/>
  <c r="Y101" i="9"/>
  <c r="X101" i="9"/>
  <c r="W101" i="9"/>
  <c r="V101" i="9"/>
  <c r="U101" i="9"/>
  <c r="Y100" i="9"/>
  <c r="X100" i="9"/>
  <c r="W100" i="9"/>
  <c r="V100" i="9"/>
  <c r="U100" i="9"/>
  <c r="Y99" i="9"/>
  <c r="X99" i="9"/>
  <c r="W99" i="9"/>
  <c r="V99" i="9"/>
  <c r="U99" i="9"/>
  <c r="Y98" i="9"/>
  <c r="X98" i="9"/>
  <c r="W98" i="9"/>
  <c r="V98" i="9"/>
  <c r="U98" i="9"/>
  <c r="Y97" i="9"/>
  <c r="X97" i="9"/>
  <c r="W97" i="9"/>
  <c r="V97" i="9"/>
  <c r="U97" i="9"/>
  <c r="Y96" i="9"/>
  <c r="X96" i="9"/>
  <c r="W96" i="9"/>
  <c r="V96" i="9"/>
  <c r="U96" i="9"/>
  <c r="Y95" i="9"/>
  <c r="X95" i="9"/>
  <c r="W95" i="9"/>
  <c r="V95" i="9"/>
  <c r="U95" i="9"/>
  <c r="Y88" i="9"/>
  <c r="X88" i="9"/>
  <c r="W88" i="9"/>
  <c r="V88" i="9"/>
  <c r="U88" i="9"/>
  <c r="Y87" i="9"/>
  <c r="X87" i="9"/>
  <c r="W87" i="9"/>
  <c r="V87" i="9"/>
  <c r="U87" i="9"/>
  <c r="Y86" i="9"/>
  <c r="X86" i="9"/>
  <c r="W86" i="9"/>
  <c r="V86" i="9"/>
  <c r="U86" i="9"/>
  <c r="Y85" i="9"/>
  <c r="X85" i="9"/>
  <c r="W85" i="9"/>
  <c r="V85" i="9"/>
  <c r="U85" i="9"/>
  <c r="Y84" i="9"/>
  <c r="X84" i="9"/>
  <c r="W84" i="9"/>
  <c r="V84" i="9"/>
  <c r="U84" i="9"/>
  <c r="Y83" i="9"/>
  <c r="X83" i="9"/>
  <c r="W83" i="9"/>
  <c r="V83" i="9"/>
  <c r="U83" i="9"/>
  <c r="Y82" i="9"/>
  <c r="X82" i="9"/>
  <c r="W82" i="9"/>
  <c r="V82" i="9"/>
  <c r="U82" i="9"/>
  <c r="Y81" i="9"/>
  <c r="X81" i="9"/>
  <c r="W81" i="9"/>
  <c r="V81" i="9"/>
  <c r="U81" i="9"/>
  <c r="Y80" i="9"/>
  <c r="X80" i="9"/>
  <c r="W80" i="9"/>
  <c r="V80" i="9"/>
  <c r="U80" i="9"/>
  <c r="Y79" i="9"/>
  <c r="X79" i="9"/>
  <c r="W79" i="9"/>
  <c r="V79" i="9"/>
  <c r="U79" i="9"/>
  <c r="Y78" i="9"/>
  <c r="X78" i="9"/>
  <c r="W78" i="9"/>
  <c r="V78" i="9"/>
  <c r="U78" i="9"/>
  <c r="Y77" i="9"/>
  <c r="X77" i="9"/>
  <c r="W77" i="9"/>
  <c r="V77" i="9"/>
  <c r="U77" i="9"/>
  <c r="Y76" i="9"/>
  <c r="X76" i="9"/>
  <c r="W76" i="9"/>
  <c r="V76" i="9"/>
  <c r="U76" i="9"/>
  <c r="Y75" i="9"/>
  <c r="X75" i="9"/>
  <c r="W75" i="9"/>
  <c r="V75" i="9"/>
  <c r="U75" i="9"/>
  <c r="Y74" i="9"/>
  <c r="X74" i="9"/>
  <c r="W74" i="9"/>
  <c r="V74" i="9"/>
  <c r="U74" i="9"/>
  <c r="Y73" i="9"/>
  <c r="X73" i="9"/>
  <c r="W73" i="9"/>
  <c r="V73" i="9"/>
  <c r="U73" i="9"/>
  <c r="Y72" i="9"/>
  <c r="X72" i="9"/>
  <c r="W72" i="9"/>
  <c r="V72" i="9"/>
  <c r="U72" i="9"/>
  <c r="Y71" i="9"/>
  <c r="X71" i="9"/>
  <c r="W71" i="9"/>
  <c r="V71" i="9"/>
  <c r="U71" i="9"/>
  <c r="Y70" i="9"/>
  <c r="X70" i="9"/>
  <c r="W70" i="9"/>
  <c r="V70" i="9"/>
  <c r="U70" i="9"/>
  <c r="Y69" i="9"/>
  <c r="X69" i="9"/>
  <c r="W69" i="9"/>
  <c r="V69" i="9"/>
  <c r="U69" i="9"/>
  <c r="Y68" i="9"/>
  <c r="X68" i="9"/>
  <c r="W68" i="9"/>
  <c r="V68" i="9"/>
  <c r="U68" i="9"/>
  <c r="Y67" i="9"/>
  <c r="X67" i="9"/>
  <c r="W67" i="9"/>
  <c r="V67" i="9"/>
  <c r="U67" i="9"/>
  <c r="Y66" i="9"/>
  <c r="X66" i="9"/>
  <c r="W66" i="9"/>
  <c r="V66" i="9"/>
  <c r="U66" i="9"/>
  <c r="Y65" i="9"/>
  <c r="X65" i="9"/>
  <c r="W65" i="9"/>
  <c r="V65" i="9"/>
  <c r="U65" i="9"/>
  <c r="Y64" i="9"/>
  <c r="X64" i="9"/>
  <c r="W64" i="9"/>
  <c r="V64" i="9"/>
  <c r="U64" i="9"/>
  <c r="Y63" i="9"/>
  <c r="X63" i="9"/>
  <c r="W63" i="9"/>
  <c r="V63" i="9"/>
  <c r="U63" i="9"/>
  <c r="Y62" i="9"/>
  <c r="X62" i="9"/>
  <c r="W62" i="9"/>
  <c r="V62" i="9"/>
  <c r="U62" i="9"/>
  <c r="Y61" i="9"/>
  <c r="X61" i="9"/>
  <c r="W61" i="9"/>
  <c r="V61" i="9"/>
  <c r="U61" i="9"/>
  <c r="Y60" i="9"/>
  <c r="X60" i="9"/>
  <c r="W60" i="9"/>
  <c r="V60" i="9"/>
  <c r="U60" i="9"/>
  <c r="Y59" i="9"/>
  <c r="X59" i="9"/>
  <c r="W59" i="9"/>
  <c r="V59" i="9"/>
  <c r="U59" i="9"/>
  <c r="Y58" i="9"/>
  <c r="X58" i="9"/>
  <c r="W58" i="9"/>
  <c r="V58" i="9"/>
  <c r="U58" i="9"/>
  <c r="Y57" i="9"/>
  <c r="X57" i="9"/>
  <c r="W57" i="9"/>
  <c r="V57" i="9"/>
  <c r="U57" i="9"/>
  <c r="Y56" i="9"/>
  <c r="X56" i="9"/>
  <c r="W56" i="9"/>
  <c r="V56" i="9"/>
  <c r="U56" i="9"/>
  <c r="Y55" i="9"/>
  <c r="X55" i="9"/>
  <c r="W55" i="9"/>
  <c r="V55" i="9"/>
  <c r="U55" i="9"/>
  <c r="Y54" i="9"/>
  <c r="X54" i="9"/>
  <c r="W54" i="9"/>
  <c r="V54" i="9"/>
  <c r="U54" i="9"/>
  <c r="Y53" i="9"/>
  <c r="X53" i="9"/>
  <c r="W53" i="9"/>
  <c r="V53" i="9"/>
  <c r="U53" i="9"/>
  <c r="Y52" i="9"/>
  <c r="X52" i="9"/>
  <c r="W52" i="9"/>
  <c r="V52" i="9"/>
  <c r="U52" i="9"/>
  <c r="Y51" i="9"/>
  <c r="X51" i="9"/>
  <c r="W51" i="9"/>
  <c r="V51" i="9"/>
  <c r="U51" i="9"/>
  <c r="Y50" i="9"/>
  <c r="X50" i="9"/>
  <c r="W50" i="9"/>
  <c r="V50" i="9"/>
  <c r="U50" i="9"/>
  <c r="U6" i="9"/>
  <c r="V6" i="9"/>
  <c r="W6" i="9"/>
  <c r="X6" i="9"/>
  <c r="Y6" i="9"/>
  <c r="U7" i="9"/>
  <c r="V7" i="9"/>
  <c r="W7" i="9"/>
  <c r="X7" i="9"/>
  <c r="Y7" i="9"/>
  <c r="U8" i="9"/>
  <c r="V8" i="9"/>
  <c r="W8" i="9"/>
  <c r="X8" i="9"/>
  <c r="Y8" i="9"/>
  <c r="U9" i="9"/>
  <c r="V9" i="9"/>
  <c r="W9" i="9"/>
  <c r="X9" i="9"/>
  <c r="Y9" i="9"/>
  <c r="U10" i="9"/>
  <c r="V10" i="9"/>
  <c r="W10" i="9"/>
  <c r="X10" i="9"/>
  <c r="Y10" i="9"/>
  <c r="U11" i="9"/>
  <c r="V11" i="9"/>
  <c r="W11" i="9"/>
  <c r="X11" i="9"/>
  <c r="Y11" i="9"/>
  <c r="U12" i="9"/>
  <c r="V12" i="9"/>
  <c r="W12" i="9"/>
  <c r="X12" i="9"/>
  <c r="Y12" i="9"/>
  <c r="U13" i="9"/>
  <c r="V13" i="9"/>
  <c r="W13" i="9"/>
  <c r="X13" i="9"/>
  <c r="Y13" i="9"/>
  <c r="U14" i="9"/>
  <c r="V14" i="9"/>
  <c r="W14" i="9"/>
  <c r="X14" i="9"/>
  <c r="Y14" i="9"/>
  <c r="U15" i="9"/>
  <c r="V15" i="9"/>
  <c r="W15" i="9"/>
  <c r="X15" i="9"/>
  <c r="Y15" i="9"/>
  <c r="U16" i="9"/>
  <c r="V16" i="9"/>
  <c r="W16" i="9"/>
  <c r="X16" i="9"/>
  <c r="Y16" i="9"/>
  <c r="U17" i="9"/>
  <c r="V17" i="9"/>
  <c r="W17" i="9"/>
  <c r="X17" i="9"/>
  <c r="Y17" i="9"/>
  <c r="U18" i="9"/>
  <c r="V18" i="9"/>
  <c r="W18" i="9"/>
  <c r="X18" i="9"/>
  <c r="Y18" i="9"/>
  <c r="U19" i="9"/>
  <c r="V19" i="9"/>
  <c r="W19" i="9"/>
  <c r="X19" i="9"/>
  <c r="Y19" i="9"/>
  <c r="U20" i="9"/>
  <c r="V20" i="9"/>
  <c r="W20" i="9"/>
  <c r="X20" i="9"/>
  <c r="Y20" i="9"/>
  <c r="U21" i="9"/>
  <c r="V21" i="9"/>
  <c r="W21" i="9"/>
  <c r="X21" i="9"/>
  <c r="Y21" i="9"/>
  <c r="U22" i="9"/>
  <c r="V22" i="9"/>
  <c r="W22" i="9"/>
  <c r="X22" i="9"/>
  <c r="Y22" i="9"/>
  <c r="U23" i="9"/>
  <c r="V23" i="9"/>
  <c r="W23" i="9"/>
  <c r="X23" i="9"/>
  <c r="Y23" i="9"/>
  <c r="U24" i="9"/>
  <c r="V24" i="9"/>
  <c r="W24" i="9"/>
  <c r="X24" i="9"/>
  <c r="Y24" i="9"/>
  <c r="U25" i="9"/>
  <c r="V25" i="9"/>
  <c r="W25" i="9"/>
  <c r="X25" i="9"/>
  <c r="Y25" i="9"/>
  <c r="U26" i="9"/>
  <c r="V26" i="9"/>
  <c r="W26" i="9"/>
  <c r="X26" i="9"/>
  <c r="Y26" i="9"/>
  <c r="U27" i="9"/>
  <c r="V27" i="9"/>
  <c r="W27" i="9"/>
  <c r="X27" i="9"/>
  <c r="Y27" i="9"/>
  <c r="U28" i="9"/>
  <c r="V28" i="9"/>
  <c r="W28" i="9"/>
  <c r="X28" i="9"/>
  <c r="Y28" i="9"/>
  <c r="U29" i="9"/>
  <c r="V29" i="9"/>
  <c r="W29" i="9"/>
  <c r="X29" i="9"/>
  <c r="Y29" i="9"/>
  <c r="U30" i="9"/>
  <c r="V30" i="9"/>
  <c r="W30" i="9"/>
  <c r="X30" i="9"/>
  <c r="Y30" i="9"/>
  <c r="U31" i="9"/>
  <c r="V31" i="9"/>
  <c r="W31" i="9"/>
  <c r="X31" i="9"/>
  <c r="Y31" i="9"/>
  <c r="U32" i="9"/>
  <c r="V32" i="9"/>
  <c r="W32" i="9"/>
  <c r="X32" i="9"/>
  <c r="Y32" i="9"/>
  <c r="U33" i="9"/>
  <c r="V33" i="9"/>
  <c r="W33" i="9"/>
  <c r="X33" i="9"/>
  <c r="Y33" i="9"/>
  <c r="U34" i="9"/>
  <c r="V34" i="9"/>
  <c r="W34" i="9"/>
  <c r="X34" i="9"/>
  <c r="Y34" i="9"/>
  <c r="U35" i="9"/>
  <c r="V35" i="9"/>
  <c r="W35" i="9"/>
  <c r="X35" i="9"/>
  <c r="Y35" i="9"/>
  <c r="U36" i="9"/>
  <c r="V36" i="9"/>
  <c r="W36" i="9"/>
  <c r="X36" i="9"/>
  <c r="Y36" i="9"/>
  <c r="U37" i="9"/>
  <c r="V37" i="9"/>
  <c r="W37" i="9"/>
  <c r="X37" i="9"/>
  <c r="Y37" i="9"/>
  <c r="U38" i="9"/>
  <c r="V38" i="9"/>
  <c r="W38" i="9"/>
  <c r="X38" i="9"/>
  <c r="Y38" i="9"/>
  <c r="U39" i="9"/>
  <c r="V39" i="9"/>
  <c r="W39" i="9"/>
  <c r="X39" i="9"/>
  <c r="Y39" i="9"/>
  <c r="U40" i="9"/>
  <c r="V40" i="9"/>
  <c r="W40" i="9"/>
  <c r="X40" i="9"/>
  <c r="Y40" i="9"/>
  <c r="U41" i="9"/>
  <c r="V41" i="9"/>
  <c r="W41" i="9"/>
  <c r="X41" i="9"/>
  <c r="Y41" i="9"/>
  <c r="U42" i="9"/>
  <c r="V42" i="9"/>
  <c r="W42" i="9"/>
  <c r="X42" i="9"/>
  <c r="Y42" i="9"/>
  <c r="U43" i="9"/>
  <c r="V43" i="9"/>
  <c r="W43" i="9"/>
  <c r="X43" i="9"/>
  <c r="Y43" i="9"/>
  <c r="V5" i="9"/>
  <c r="W5" i="9"/>
  <c r="X5" i="9"/>
  <c r="Y5" i="9"/>
  <c r="U5" i="9"/>
  <c r="S70" i="32"/>
  <c r="R70" i="32"/>
  <c r="Q70" i="32"/>
  <c r="S56" i="32"/>
  <c r="R56" i="32"/>
  <c r="Q56" i="32"/>
  <c r="S42" i="32"/>
  <c r="R42" i="32"/>
  <c r="Q42" i="32"/>
  <c r="S28" i="32"/>
  <c r="R28" i="32"/>
  <c r="Q28" i="32"/>
  <c r="Q14" i="32"/>
  <c r="R14" i="32"/>
  <c r="S14" i="32"/>
  <c r="Z5" i="9"/>
  <c r="AA5" i="9"/>
  <c r="AB5" i="9"/>
  <c r="AC5" i="9"/>
  <c r="AD5" i="9"/>
  <c r="AC6" i="9"/>
  <c r="AC7" i="9"/>
  <c r="AC8" i="9"/>
  <c r="AC9" i="9"/>
  <c r="AC10" i="9"/>
  <c r="AD10" i="9"/>
  <c r="AD9" i="9" s="1"/>
  <c r="AD8" i="9" s="1"/>
  <c r="AD7" i="9" s="1"/>
  <c r="AD6" i="9" s="1"/>
  <c r="AC11" i="9"/>
  <c r="AD11" i="9"/>
  <c r="AC12" i="9"/>
  <c r="AD12" i="9"/>
  <c r="AC13" i="9"/>
  <c r="AD13" i="9"/>
  <c r="AC14" i="9"/>
  <c r="AD14" i="9"/>
  <c r="AC15" i="9"/>
  <c r="AD15" i="9"/>
  <c r="AC16" i="9"/>
  <c r="AD16" i="9"/>
  <c r="AC17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C42" i="9"/>
  <c r="AC41" i="9" s="1"/>
  <c r="AC40" i="9" s="1"/>
  <c r="AC39" i="9" s="1"/>
  <c r="AC38" i="9" s="1"/>
  <c r="AC37" i="9" s="1"/>
  <c r="AC36" i="9" s="1"/>
  <c r="AC35" i="9" s="1"/>
  <c r="AC34" i="9" s="1"/>
  <c r="AC33" i="9" s="1"/>
  <c r="AC32" i="9" s="1"/>
  <c r="AC31" i="9" s="1"/>
  <c r="AC30" i="9" s="1"/>
  <c r="AC29" i="9" s="1"/>
  <c r="AC28" i="9" s="1"/>
  <c r="AC27" i="9" s="1"/>
  <c r="AC26" i="9" s="1"/>
  <c r="AC25" i="9" s="1"/>
  <c r="AC24" i="9" s="1"/>
  <c r="AC23" i="9" s="1"/>
  <c r="AC22" i="9" s="1"/>
  <c r="AC21" i="9" s="1"/>
  <c r="AC20" i="9" s="1"/>
  <c r="AC19" i="9" s="1"/>
  <c r="AC18" i="9" s="1"/>
  <c r="AD42" i="9"/>
  <c r="Z43" i="9"/>
  <c r="Z42" i="9" s="1"/>
  <c r="Z41" i="9" s="1"/>
  <c r="Z40" i="9" s="1"/>
  <c r="Z39" i="9" s="1"/>
  <c r="Z38" i="9" s="1"/>
  <c r="Z37" i="9" s="1"/>
  <c r="Z36" i="9" s="1"/>
  <c r="Z35" i="9" s="1"/>
  <c r="Z34" i="9" s="1"/>
  <c r="Z33" i="9" s="1"/>
  <c r="Z32" i="9" s="1"/>
  <c r="Z31" i="9" s="1"/>
  <c r="Z30" i="9" s="1"/>
  <c r="Z29" i="9" s="1"/>
  <c r="Z28" i="9" s="1"/>
  <c r="Z27" i="9" s="1"/>
  <c r="Z26" i="9" s="1"/>
  <c r="Z25" i="9" s="1"/>
  <c r="Z24" i="9" s="1"/>
  <c r="Z23" i="9" s="1"/>
  <c r="Z22" i="9" s="1"/>
  <c r="Z21" i="9" s="1"/>
  <c r="Z20" i="9" s="1"/>
  <c r="Z19" i="9" s="1"/>
  <c r="Z18" i="9" s="1"/>
  <c r="Z17" i="9" s="1"/>
  <c r="Z16" i="9" s="1"/>
  <c r="Z15" i="9" s="1"/>
  <c r="Z14" i="9" s="1"/>
  <c r="Z13" i="9" s="1"/>
  <c r="Z12" i="9" s="1"/>
  <c r="Z11" i="9" s="1"/>
  <c r="Z10" i="9" s="1"/>
  <c r="Z9" i="9" s="1"/>
  <c r="Z8" i="9" s="1"/>
  <c r="Z7" i="9" s="1"/>
  <c r="Z6" i="9" s="1"/>
  <c r="AA43" i="9"/>
  <c r="AA42" i="9" s="1"/>
  <c r="AA41" i="9" s="1"/>
  <c r="AA40" i="9" s="1"/>
  <c r="AA39" i="9" s="1"/>
  <c r="AA38" i="9" s="1"/>
  <c r="AA37" i="9" s="1"/>
  <c r="AA36" i="9" s="1"/>
  <c r="AA35" i="9" s="1"/>
  <c r="AA34" i="9" s="1"/>
  <c r="AA33" i="9" s="1"/>
  <c r="AA32" i="9" s="1"/>
  <c r="AA31" i="9" s="1"/>
  <c r="AA30" i="9" s="1"/>
  <c r="AA29" i="9" s="1"/>
  <c r="AA28" i="9" s="1"/>
  <c r="AA27" i="9" s="1"/>
  <c r="AA26" i="9" s="1"/>
  <c r="AA25" i="9" s="1"/>
  <c r="AA24" i="9" s="1"/>
  <c r="AA23" i="9" s="1"/>
  <c r="AA22" i="9" s="1"/>
  <c r="AA21" i="9" s="1"/>
  <c r="AA20" i="9" s="1"/>
  <c r="AA19" i="9" s="1"/>
  <c r="AA18" i="9" s="1"/>
  <c r="AA17" i="9" s="1"/>
  <c r="AA16" i="9" s="1"/>
  <c r="AA15" i="9" s="1"/>
  <c r="AA14" i="9" s="1"/>
  <c r="AA13" i="9" s="1"/>
  <c r="AA12" i="9" s="1"/>
  <c r="AA11" i="9" s="1"/>
  <c r="AA10" i="9" s="1"/>
  <c r="AA9" i="9" s="1"/>
  <c r="AA8" i="9" s="1"/>
  <c r="AA7" i="9" s="1"/>
  <c r="AA6" i="9" s="1"/>
  <c r="AB43" i="9"/>
  <c r="AB42" i="9" s="1"/>
  <c r="AB41" i="9" s="1"/>
  <c r="AB40" i="9" s="1"/>
  <c r="AB39" i="9" s="1"/>
  <c r="AB38" i="9" s="1"/>
  <c r="AB37" i="9" s="1"/>
  <c r="AB36" i="9" s="1"/>
  <c r="AB35" i="9" s="1"/>
  <c r="AB34" i="9" s="1"/>
  <c r="AB33" i="9" s="1"/>
  <c r="AB32" i="9" s="1"/>
  <c r="AB31" i="9" s="1"/>
  <c r="AB30" i="9" s="1"/>
  <c r="AB29" i="9" s="1"/>
  <c r="AB28" i="9" s="1"/>
  <c r="AB27" i="9" s="1"/>
  <c r="AB26" i="9" s="1"/>
  <c r="AB25" i="9" s="1"/>
  <c r="AB24" i="9" s="1"/>
  <c r="AB23" i="9" s="1"/>
  <c r="AB22" i="9" s="1"/>
  <c r="AB21" i="9" s="1"/>
  <c r="AB20" i="9" s="1"/>
  <c r="AB19" i="9" s="1"/>
  <c r="AB18" i="9" s="1"/>
  <c r="AB17" i="9" s="1"/>
  <c r="AB16" i="9" s="1"/>
  <c r="AB15" i="9" s="1"/>
  <c r="AB14" i="9" s="1"/>
  <c r="AB13" i="9" s="1"/>
  <c r="AB12" i="9" s="1"/>
  <c r="AB11" i="9" s="1"/>
  <c r="AB10" i="9" s="1"/>
  <c r="AB9" i="9" s="1"/>
  <c r="AB8" i="9" s="1"/>
  <c r="AB7" i="9" s="1"/>
  <c r="AB6" i="9" s="1"/>
  <c r="AC43" i="9"/>
  <c r="AD43" i="9"/>
  <c r="AB7" i="32"/>
  <c r="AB19" i="32"/>
  <c r="AB31" i="32"/>
  <c r="AB43" i="32"/>
  <c r="AB55" i="32"/>
  <c r="AB67" i="32"/>
  <c r="AB79" i="32"/>
  <c r="AB91" i="32"/>
  <c r="AB103" i="32"/>
  <c r="AB115" i="32"/>
  <c r="AB127" i="32"/>
  <c r="AB139" i="32"/>
  <c r="AB151" i="32"/>
  <c r="AB163" i="32"/>
  <c r="AB141" i="32"/>
  <c r="AB8" i="32"/>
  <c r="AB20" i="32"/>
  <c r="AB32" i="32"/>
  <c r="AB44" i="32"/>
  <c r="AB56" i="32"/>
  <c r="AB68" i="32"/>
  <c r="AB80" i="32"/>
  <c r="AB92" i="32"/>
  <c r="AB104" i="32"/>
  <c r="AB116" i="32"/>
  <c r="AB128" i="32"/>
  <c r="AB140" i="32"/>
  <c r="AB152" i="32"/>
  <c r="AB164" i="32"/>
  <c r="AB165" i="32"/>
  <c r="AB9" i="32"/>
  <c r="AB21" i="32"/>
  <c r="AB33" i="32"/>
  <c r="AB45" i="32"/>
  <c r="AB57" i="32"/>
  <c r="AB69" i="32"/>
  <c r="AB81" i="32"/>
  <c r="AB93" i="32"/>
  <c r="AB105" i="32"/>
  <c r="AB117" i="32"/>
  <c r="AB129" i="32"/>
  <c r="AB153" i="32"/>
  <c r="AB10" i="32"/>
  <c r="AB22" i="32"/>
  <c r="AB34" i="32"/>
  <c r="AB46" i="32"/>
  <c r="AB58" i="32"/>
  <c r="AB70" i="32"/>
  <c r="AB82" i="32"/>
  <c r="AB94" i="32"/>
  <c r="AB106" i="32"/>
  <c r="AB118" i="32"/>
  <c r="AB130" i="32"/>
  <c r="AB142" i="32"/>
  <c r="AB154" i="32"/>
  <c r="AB114" i="32"/>
  <c r="AB11" i="32"/>
  <c r="AB23" i="32"/>
  <c r="AB35" i="32"/>
  <c r="AB47" i="32"/>
  <c r="AB59" i="32"/>
  <c r="AB71" i="32"/>
  <c r="AB83" i="32"/>
  <c r="AB95" i="32"/>
  <c r="AB107" i="32"/>
  <c r="AB119" i="32"/>
  <c r="AB131" i="32"/>
  <c r="AB143" i="32"/>
  <c r="AB155" i="32"/>
  <c r="AB102" i="32"/>
  <c r="AB12" i="32"/>
  <c r="AB24" i="32"/>
  <c r="AB36" i="32"/>
  <c r="AB48" i="32"/>
  <c r="AB60" i="32"/>
  <c r="AB72" i="32"/>
  <c r="AB84" i="32"/>
  <c r="AB96" i="32"/>
  <c r="AB108" i="32"/>
  <c r="AB120" i="32"/>
  <c r="AB132" i="32"/>
  <c r="AB144" i="32"/>
  <c r="AB156" i="32"/>
  <c r="AB145" i="32"/>
  <c r="AB148" i="32"/>
  <c r="AB13" i="32"/>
  <c r="AB25" i="32"/>
  <c r="AB37" i="32"/>
  <c r="AB49" i="32"/>
  <c r="AB61" i="32"/>
  <c r="AB73" i="32"/>
  <c r="AB85" i="32"/>
  <c r="AB97" i="32"/>
  <c r="AB109" i="32"/>
  <c r="AB121" i="32"/>
  <c r="AB133" i="32"/>
  <c r="AB157" i="32"/>
  <c r="AB160" i="32"/>
  <c r="AB162" i="32"/>
  <c r="AB14" i="32"/>
  <c r="AB26" i="32"/>
  <c r="AB38" i="32"/>
  <c r="AB50" i="32"/>
  <c r="AB62" i="32"/>
  <c r="AB74" i="32"/>
  <c r="AB86" i="32"/>
  <c r="AB98" i="32"/>
  <c r="AB110" i="32"/>
  <c r="AB122" i="32"/>
  <c r="AB134" i="32"/>
  <c r="AB146" i="32"/>
  <c r="AB158" i="32"/>
  <c r="AB147" i="32"/>
  <c r="AB126" i="32"/>
  <c r="AB15" i="32"/>
  <c r="AB27" i="32"/>
  <c r="AB39" i="32"/>
  <c r="AB51" i="32"/>
  <c r="AB63" i="32"/>
  <c r="AB75" i="32"/>
  <c r="AB87" i="32"/>
  <c r="AB99" i="32"/>
  <c r="AB111" i="32"/>
  <c r="AB123" i="32"/>
  <c r="AB135" i="32"/>
  <c r="AB159" i="32"/>
  <c r="AB136" i="32"/>
  <c r="AB138" i="32"/>
  <c r="AB16" i="32"/>
  <c r="AB28" i="32"/>
  <c r="AB40" i="32"/>
  <c r="AB52" i="32"/>
  <c r="AB64" i="32"/>
  <c r="AB76" i="32"/>
  <c r="AB88" i="32"/>
  <c r="AB100" i="32"/>
  <c r="AB112" i="32"/>
  <c r="AB124" i="32"/>
  <c r="AB150" i="32"/>
  <c r="AB17" i="32"/>
  <c r="AB29" i="32"/>
  <c r="AB41" i="32"/>
  <c r="AB53" i="32"/>
  <c r="AB65" i="32"/>
  <c r="AB77" i="32"/>
  <c r="AB89" i="32"/>
  <c r="AB101" i="32"/>
  <c r="AB113" i="32"/>
  <c r="AB125" i="32"/>
  <c r="AB137" i="32"/>
  <c r="AB149" i="32"/>
  <c r="AB161" i="32"/>
  <c r="AB18" i="32"/>
  <c r="AB30" i="32"/>
  <c r="AB42" i="32"/>
  <c r="AB54" i="32"/>
  <c r="AB66" i="32"/>
  <c r="AB78" i="32"/>
  <c r="AB90" i="32"/>
  <c r="AB6" i="32"/>
  <c r="AA7" i="32"/>
  <c r="AA19" i="32"/>
  <c r="AA31" i="32"/>
  <c r="AA43" i="32"/>
  <c r="AA55" i="32"/>
  <c r="AA67" i="32"/>
  <c r="AA79" i="32"/>
  <c r="AA91" i="32"/>
  <c r="AA103" i="32"/>
  <c r="AA115" i="32"/>
  <c r="AA127" i="32"/>
  <c r="AA139" i="32"/>
  <c r="AA151" i="32"/>
  <c r="AA163" i="32"/>
  <c r="AA138" i="32"/>
  <c r="AA8" i="32"/>
  <c r="AA20" i="32"/>
  <c r="AA32" i="32"/>
  <c r="AA44" i="32"/>
  <c r="AA56" i="32"/>
  <c r="AA68" i="32"/>
  <c r="AA80" i="32"/>
  <c r="AA92" i="32"/>
  <c r="AA104" i="32"/>
  <c r="AA116" i="32"/>
  <c r="AA128" i="32"/>
  <c r="AA140" i="32"/>
  <c r="AA152" i="32"/>
  <c r="AA164" i="32"/>
  <c r="AA126" i="32"/>
  <c r="AA9" i="32"/>
  <c r="AA21" i="32"/>
  <c r="AA33" i="32"/>
  <c r="AA45" i="32"/>
  <c r="AA57" i="32"/>
  <c r="AA69" i="32"/>
  <c r="AA81" i="32"/>
  <c r="AA93" i="32"/>
  <c r="AA105" i="32"/>
  <c r="AA117" i="32"/>
  <c r="AA129" i="32"/>
  <c r="AA141" i="32"/>
  <c r="AA153" i="32"/>
  <c r="AA165" i="32"/>
  <c r="AA114" i="32"/>
  <c r="AA10" i="32"/>
  <c r="AA22" i="32"/>
  <c r="AA34" i="32"/>
  <c r="AA46" i="32"/>
  <c r="AA58" i="32"/>
  <c r="AA70" i="32"/>
  <c r="AA82" i="32"/>
  <c r="AA94" i="32"/>
  <c r="AA106" i="32"/>
  <c r="AA118" i="32"/>
  <c r="AA130" i="32"/>
  <c r="AA142" i="32"/>
  <c r="AA154" i="32"/>
  <c r="AA66" i="32"/>
  <c r="AA11" i="32"/>
  <c r="AA23" i="32"/>
  <c r="AA35" i="32"/>
  <c r="AA47" i="32"/>
  <c r="AA59" i="32"/>
  <c r="AA71" i="32"/>
  <c r="AA83" i="32"/>
  <c r="AA95" i="32"/>
  <c r="AA107" i="32"/>
  <c r="AA119" i="32"/>
  <c r="AA131" i="32"/>
  <c r="AA143" i="32"/>
  <c r="AA155" i="32"/>
  <c r="AA90" i="32"/>
  <c r="AA12" i="32"/>
  <c r="AA24" i="32"/>
  <c r="AA36" i="32"/>
  <c r="AA48" i="32"/>
  <c r="AA60" i="32"/>
  <c r="AA72" i="32"/>
  <c r="AA84" i="32"/>
  <c r="AA96" i="32"/>
  <c r="AA108" i="32"/>
  <c r="AA120" i="32"/>
  <c r="AA132" i="32"/>
  <c r="AA144" i="32"/>
  <c r="AA156" i="32"/>
  <c r="AA102" i="32"/>
  <c r="AA13" i="32"/>
  <c r="AA25" i="32"/>
  <c r="AA37" i="32"/>
  <c r="AA49" i="32"/>
  <c r="AA61" i="32"/>
  <c r="AA73" i="32"/>
  <c r="AA85" i="32"/>
  <c r="AA97" i="32"/>
  <c r="AA109" i="32"/>
  <c r="AA121" i="32"/>
  <c r="AA133" i="32"/>
  <c r="AA145" i="32"/>
  <c r="AA157" i="32"/>
  <c r="AA54" i="32"/>
  <c r="AA14" i="32"/>
  <c r="AA26" i="32"/>
  <c r="AA38" i="32"/>
  <c r="AA50" i="32"/>
  <c r="AA62" i="32"/>
  <c r="AA74" i="32"/>
  <c r="AA86" i="32"/>
  <c r="AA98" i="32"/>
  <c r="AA110" i="32"/>
  <c r="AA122" i="32"/>
  <c r="AA134" i="32"/>
  <c r="AA146" i="32"/>
  <c r="AA158" i="32"/>
  <c r="AA30" i="32"/>
  <c r="AA162" i="32"/>
  <c r="AA15" i="32"/>
  <c r="AA27" i="32"/>
  <c r="AA39" i="32"/>
  <c r="AA51" i="32"/>
  <c r="AA63" i="32"/>
  <c r="AA75" i="32"/>
  <c r="AA87" i="32"/>
  <c r="AA99" i="32"/>
  <c r="AA111" i="32"/>
  <c r="AA123" i="32"/>
  <c r="AA135" i="32"/>
  <c r="AA147" i="32"/>
  <c r="AA159" i="32"/>
  <c r="AA42" i="32"/>
  <c r="AA150" i="32"/>
  <c r="AA16" i="32"/>
  <c r="AA28" i="32"/>
  <c r="AA40" i="32"/>
  <c r="AA52" i="32"/>
  <c r="AA64" i="32"/>
  <c r="AA76" i="32"/>
  <c r="AA88" i="32"/>
  <c r="AA100" i="32"/>
  <c r="AA112" i="32"/>
  <c r="AA124" i="32"/>
  <c r="AA136" i="32"/>
  <c r="AA148" i="32"/>
  <c r="AA160" i="32"/>
  <c r="AA18" i="32"/>
  <c r="AA17" i="32"/>
  <c r="AA29" i="32"/>
  <c r="AA41" i="32"/>
  <c r="AA53" i="32"/>
  <c r="AA65" i="32"/>
  <c r="AA77" i="32"/>
  <c r="AA89" i="32"/>
  <c r="AA101" i="32"/>
  <c r="AA113" i="32"/>
  <c r="AA125" i="32"/>
  <c r="AA137" i="32"/>
  <c r="AA149" i="32"/>
  <c r="AA161" i="32"/>
  <c r="AA78" i="32"/>
  <c r="AA6" i="32"/>
  <c r="Z7" i="32"/>
  <c r="Z19" i="32"/>
  <c r="Z31" i="32"/>
  <c r="Z43" i="32"/>
  <c r="Z55" i="32"/>
  <c r="Z67" i="32"/>
  <c r="Z79" i="32"/>
  <c r="Z91" i="32"/>
  <c r="Z103" i="32"/>
  <c r="Z115" i="32"/>
  <c r="Z127" i="32"/>
  <c r="Z139" i="32"/>
  <c r="Z151" i="32"/>
  <c r="Z163" i="32"/>
  <c r="Z112" i="32"/>
  <c r="Z66" i="32"/>
  <c r="Z8" i="32"/>
  <c r="Z20" i="32"/>
  <c r="Z32" i="32"/>
  <c r="Z44" i="32"/>
  <c r="Z56" i="32"/>
  <c r="Z68" i="32"/>
  <c r="Z80" i="32"/>
  <c r="Z92" i="32"/>
  <c r="Z104" i="32"/>
  <c r="Z116" i="32"/>
  <c r="Z128" i="32"/>
  <c r="Z140" i="32"/>
  <c r="Z152" i="32"/>
  <c r="Z164" i="32"/>
  <c r="Z88" i="32"/>
  <c r="Z160" i="32"/>
  <c r="Z138" i="32"/>
  <c r="Z9" i="32"/>
  <c r="Z21" i="32"/>
  <c r="Z33" i="32"/>
  <c r="Z45" i="32"/>
  <c r="Z57" i="32"/>
  <c r="Z69" i="32"/>
  <c r="Z81" i="32"/>
  <c r="Z93" i="32"/>
  <c r="Z105" i="32"/>
  <c r="Z117" i="32"/>
  <c r="Z129" i="32"/>
  <c r="Z141" i="32"/>
  <c r="Z153" i="32"/>
  <c r="Z165" i="32"/>
  <c r="Z100" i="32"/>
  <c r="Z102" i="32"/>
  <c r="Z10" i="32"/>
  <c r="Z22" i="32"/>
  <c r="Z34" i="32"/>
  <c r="Z46" i="32"/>
  <c r="Z58" i="32"/>
  <c r="Z70" i="32"/>
  <c r="Z82" i="32"/>
  <c r="Z94" i="32"/>
  <c r="Z106" i="32"/>
  <c r="Z118" i="32"/>
  <c r="Z130" i="32"/>
  <c r="Z142" i="32"/>
  <c r="Z154" i="32"/>
  <c r="Z76" i="32"/>
  <c r="Z114" i="32"/>
  <c r="Z11" i="32"/>
  <c r="Z23" i="32"/>
  <c r="Z35" i="32"/>
  <c r="Z47" i="32"/>
  <c r="Z59" i="32"/>
  <c r="Z71" i="32"/>
  <c r="Z83" i="32"/>
  <c r="Z95" i="32"/>
  <c r="Z107" i="32"/>
  <c r="Z119" i="32"/>
  <c r="Z131" i="32"/>
  <c r="Z143" i="32"/>
  <c r="Z155" i="32"/>
  <c r="Z64" i="32"/>
  <c r="Z148" i="32"/>
  <c r="Z12" i="32"/>
  <c r="Z24" i="32"/>
  <c r="Z36" i="32"/>
  <c r="Z48" i="32"/>
  <c r="Z60" i="32"/>
  <c r="Z72" i="32"/>
  <c r="Z84" i="32"/>
  <c r="Z96" i="32"/>
  <c r="Z108" i="32"/>
  <c r="Z120" i="32"/>
  <c r="Z132" i="32"/>
  <c r="Z144" i="32"/>
  <c r="Z156" i="32"/>
  <c r="Z52" i="32"/>
  <c r="Z126" i="32"/>
  <c r="Z13" i="32"/>
  <c r="Z25" i="32"/>
  <c r="Z37" i="32"/>
  <c r="Z49" i="32"/>
  <c r="Z61" i="32"/>
  <c r="Z73" i="32"/>
  <c r="Z85" i="32"/>
  <c r="Z97" i="32"/>
  <c r="Z109" i="32"/>
  <c r="Z121" i="32"/>
  <c r="Z133" i="32"/>
  <c r="Z145" i="32"/>
  <c r="Z157" i="32"/>
  <c r="Z40" i="32"/>
  <c r="Z124" i="32"/>
  <c r="Z150" i="32"/>
  <c r="Z14" i="32"/>
  <c r="Z26" i="32"/>
  <c r="Z38" i="32"/>
  <c r="Z50" i="32"/>
  <c r="Z62" i="32"/>
  <c r="Z74" i="32"/>
  <c r="Z86" i="32"/>
  <c r="Z98" i="32"/>
  <c r="Z110" i="32"/>
  <c r="Z122" i="32"/>
  <c r="Z134" i="32"/>
  <c r="Z146" i="32"/>
  <c r="Z158" i="32"/>
  <c r="Z28" i="32"/>
  <c r="Z78" i="32"/>
  <c r="Z15" i="32"/>
  <c r="Z27" i="32"/>
  <c r="Z39" i="32"/>
  <c r="Z51" i="32"/>
  <c r="Z63" i="32"/>
  <c r="Z75" i="32"/>
  <c r="Z87" i="32"/>
  <c r="Z99" i="32"/>
  <c r="Z111" i="32"/>
  <c r="Z123" i="32"/>
  <c r="Z135" i="32"/>
  <c r="Z147" i="32"/>
  <c r="Z159" i="32"/>
  <c r="Z16" i="32"/>
  <c r="Z136" i="32"/>
  <c r="Z90" i="32"/>
  <c r="Z17" i="32"/>
  <c r="Z29" i="32"/>
  <c r="Z41" i="32"/>
  <c r="Z53" i="32"/>
  <c r="Z65" i="32"/>
  <c r="Z77" i="32"/>
  <c r="Z89" i="32"/>
  <c r="Z101" i="32"/>
  <c r="Z113" i="32"/>
  <c r="Z125" i="32"/>
  <c r="Z137" i="32"/>
  <c r="Z149" i="32"/>
  <c r="Z161" i="32"/>
  <c r="Z18" i="32"/>
  <c r="Z30" i="32"/>
  <c r="Z42" i="32"/>
  <c r="Z54" i="32"/>
  <c r="Z162" i="32"/>
  <c r="Z6" i="32"/>
  <c r="Y7" i="32"/>
  <c r="Y19" i="32"/>
  <c r="Y31" i="32"/>
  <c r="Y43" i="32"/>
  <c r="Y55" i="32"/>
  <c r="Y67" i="32"/>
  <c r="Y79" i="32"/>
  <c r="Y91" i="32"/>
  <c r="Y103" i="32"/>
  <c r="Y115" i="32"/>
  <c r="Y127" i="32"/>
  <c r="Y139" i="32"/>
  <c r="Y151" i="32"/>
  <c r="Y163" i="32"/>
  <c r="Y150" i="32"/>
  <c r="Y8" i="32"/>
  <c r="Y20" i="32"/>
  <c r="Y32" i="32"/>
  <c r="Y44" i="32"/>
  <c r="Y56" i="32"/>
  <c r="Y68" i="32"/>
  <c r="Y80" i="32"/>
  <c r="Y92" i="32"/>
  <c r="Y104" i="32"/>
  <c r="Y116" i="32"/>
  <c r="Y128" i="32"/>
  <c r="Y140" i="32"/>
  <c r="Y152" i="32"/>
  <c r="Y164" i="32"/>
  <c r="Y162" i="32"/>
  <c r="Y9" i="32"/>
  <c r="Y21" i="32"/>
  <c r="Y33" i="32"/>
  <c r="Y45" i="32"/>
  <c r="Y57" i="32"/>
  <c r="Y69" i="32"/>
  <c r="Y81" i="32"/>
  <c r="Y93" i="32"/>
  <c r="Y105" i="32"/>
  <c r="Y117" i="32"/>
  <c r="Y129" i="32"/>
  <c r="Y141" i="32"/>
  <c r="Y153" i="32"/>
  <c r="Y165" i="32"/>
  <c r="Y66" i="32"/>
  <c r="Y10" i="32"/>
  <c r="Y22" i="32"/>
  <c r="Y34" i="32"/>
  <c r="Y46" i="32"/>
  <c r="Y58" i="32"/>
  <c r="Y70" i="32"/>
  <c r="Y82" i="32"/>
  <c r="Y94" i="32"/>
  <c r="Y106" i="32"/>
  <c r="Y118" i="32"/>
  <c r="Y130" i="32"/>
  <c r="Y142" i="32"/>
  <c r="Y154" i="32"/>
  <c r="Y126" i="32"/>
  <c r="Y11" i="32"/>
  <c r="Y23" i="32"/>
  <c r="Y35" i="32"/>
  <c r="Y47" i="32"/>
  <c r="Y59" i="32"/>
  <c r="Y71" i="32"/>
  <c r="Y83" i="32"/>
  <c r="Y95" i="32"/>
  <c r="Y107" i="32"/>
  <c r="Y119" i="32"/>
  <c r="Y131" i="32"/>
  <c r="Y143" i="32"/>
  <c r="Y155" i="32"/>
  <c r="Y78" i="32"/>
  <c r="Y12" i="32"/>
  <c r="Y24" i="32"/>
  <c r="Y36" i="32"/>
  <c r="Y48" i="32"/>
  <c r="Y60" i="32"/>
  <c r="Y72" i="32"/>
  <c r="Y84" i="32"/>
  <c r="Y96" i="32"/>
  <c r="Y108" i="32"/>
  <c r="Y120" i="32"/>
  <c r="Y132" i="32"/>
  <c r="Y144" i="32"/>
  <c r="Y156" i="32"/>
  <c r="Y114" i="32"/>
  <c r="Y13" i="32"/>
  <c r="Y25" i="32"/>
  <c r="Y37" i="32"/>
  <c r="Y49" i="32"/>
  <c r="Y61" i="32"/>
  <c r="Y73" i="32"/>
  <c r="Y85" i="32"/>
  <c r="Y97" i="32"/>
  <c r="Y109" i="32"/>
  <c r="Y121" i="32"/>
  <c r="Y133" i="32"/>
  <c r="Y145" i="32"/>
  <c r="Y157" i="32"/>
  <c r="Y102" i="32"/>
  <c r="Y14" i="32"/>
  <c r="Y26" i="32"/>
  <c r="Y38" i="32"/>
  <c r="Y50" i="32"/>
  <c r="Y62" i="32"/>
  <c r="Y74" i="32"/>
  <c r="Y86" i="32"/>
  <c r="Y98" i="32"/>
  <c r="Y110" i="32"/>
  <c r="Y122" i="32"/>
  <c r="Y134" i="32"/>
  <c r="Y146" i="32"/>
  <c r="Y158" i="32"/>
  <c r="Y138" i="32"/>
  <c r="Y15" i="32"/>
  <c r="Y27" i="32"/>
  <c r="Y39" i="32"/>
  <c r="Y51" i="32"/>
  <c r="Y63" i="32"/>
  <c r="Y75" i="32"/>
  <c r="Y87" i="32"/>
  <c r="Y99" i="32"/>
  <c r="Y111" i="32"/>
  <c r="Y123" i="32"/>
  <c r="Y135" i="32"/>
  <c r="Y147" i="32"/>
  <c r="Y159" i="32"/>
  <c r="Y54" i="32"/>
  <c r="Y16" i="32"/>
  <c r="Y28" i="32"/>
  <c r="Y40" i="32"/>
  <c r="Y52" i="32"/>
  <c r="Y64" i="32"/>
  <c r="Y76" i="32"/>
  <c r="Y88" i="32"/>
  <c r="Y100" i="32"/>
  <c r="Y112" i="32"/>
  <c r="Y124" i="32"/>
  <c r="Y136" i="32"/>
  <c r="Y148" i="32"/>
  <c r="Y160" i="32"/>
  <c r="Y90" i="32"/>
  <c r="Y17" i="32"/>
  <c r="Y29" i="32"/>
  <c r="Y41" i="32"/>
  <c r="Y53" i="32"/>
  <c r="Y65" i="32"/>
  <c r="Y77" i="32"/>
  <c r="Y89" i="32"/>
  <c r="Y101" i="32"/>
  <c r="Y113" i="32"/>
  <c r="Y125" i="32"/>
  <c r="Y137" i="32"/>
  <c r="Y149" i="32"/>
  <c r="Y161" i="32"/>
  <c r="Y18" i="32"/>
  <c r="Y30" i="32"/>
  <c r="Y42" i="32"/>
  <c r="Y6" i="32"/>
  <c r="X7" i="32"/>
  <c r="X19" i="32"/>
  <c r="X31" i="32"/>
  <c r="X43" i="32"/>
  <c r="X55" i="32"/>
  <c r="X67" i="32"/>
  <c r="X79" i="32"/>
  <c r="X91" i="32"/>
  <c r="X103" i="32"/>
  <c r="X115" i="32"/>
  <c r="X127" i="32"/>
  <c r="X139" i="32"/>
  <c r="X151" i="32"/>
  <c r="X163" i="32"/>
  <c r="X8" i="32"/>
  <c r="X20" i="32"/>
  <c r="X32" i="32"/>
  <c r="X44" i="32"/>
  <c r="X56" i="32"/>
  <c r="X68" i="32"/>
  <c r="X80" i="32"/>
  <c r="X92" i="32"/>
  <c r="X104" i="32"/>
  <c r="X116" i="32"/>
  <c r="X128" i="32"/>
  <c r="X140" i="32"/>
  <c r="X152" i="32"/>
  <c r="X164" i="32"/>
  <c r="X9" i="32"/>
  <c r="X21" i="32"/>
  <c r="X33" i="32"/>
  <c r="X45" i="32"/>
  <c r="X57" i="32"/>
  <c r="X69" i="32"/>
  <c r="X81" i="32"/>
  <c r="X93" i="32"/>
  <c r="X105" i="32"/>
  <c r="X117" i="32"/>
  <c r="X129" i="32"/>
  <c r="X141" i="32"/>
  <c r="X153" i="32"/>
  <c r="X165" i="32"/>
  <c r="X10" i="32"/>
  <c r="X22" i="32"/>
  <c r="X34" i="32"/>
  <c r="X46" i="32"/>
  <c r="X58" i="32"/>
  <c r="X70" i="32"/>
  <c r="X82" i="32"/>
  <c r="X94" i="32"/>
  <c r="X106" i="32"/>
  <c r="X118" i="32"/>
  <c r="X130" i="32"/>
  <c r="X142" i="32"/>
  <c r="X154" i="32"/>
  <c r="X11" i="32"/>
  <c r="X23" i="32"/>
  <c r="X35" i="32"/>
  <c r="X47" i="32"/>
  <c r="X59" i="32"/>
  <c r="X71" i="32"/>
  <c r="X83" i="32"/>
  <c r="X95" i="32"/>
  <c r="X107" i="32"/>
  <c r="X119" i="32"/>
  <c r="X131" i="32"/>
  <c r="X143" i="32"/>
  <c r="X155" i="32"/>
  <c r="X37" i="32"/>
  <c r="X61" i="32"/>
  <c r="X97" i="32"/>
  <c r="X133" i="32"/>
  <c r="X122" i="32"/>
  <c r="X158" i="32"/>
  <c r="X12" i="32"/>
  <c r="X24" i="32"/>
  <c r="X36" i="32"/>
  <c r="X48" i="32"/>
  <c r="X60" i="32"/>
  <c r="X72" i="32"/>
  <c r="X84" i="32"/>
  <c r="X96" i="32"/>
  <c r="X108" i="32"/>
  <c r="X120" i="32"/>
  <c r="X132" i="32"/>
  <c r="X144" i="32"/>
  <c r="X156" i="32"/>
  <c r="X25" i="32"/>
  <c r="X73" i="32"/>
  <c r="X109" i="32"/>
  <c r="X145" i="32"/>
  <c r="X110" i="32"/>
  <c r="X13" i="32"/>
  <c r="X49" i="32"/>
  <c r="X85" i="32"/>
  <c r="X121" i="32"/>
  <c r="X157" i="32"/>
  <c r="X134" i="32"/>
  <c r="X14" i="32"/>
  <c r="X26" i="32"/>
  <c r="X38" i="32"/>
  <c r="X50" i="32"/>
  <c r="X62" i="32"/>
  <c r="X74" i="32"/>
  <c r="X86" i="32"/>
  <c r="X98" i="32"/>
  <c r="X146" i="32"/>
  <c r="X15" i="32"/>
  <c r="X27" i="32"/>
  <c r="X39" i="32"/>
  <c r="X51" i="32"/>
  <c r="X63" i="32"/>
  <c r="X75" i="32"/>
  <c r="X87" i="32"/>
  <c r="X99" i="32"/>
  <c r="X111" i="32"/>
  <c r="X123" i="32"/>
  <c r="X135" i="32"/>
  <c r="X147" i="32"/>
  <c r="X159" i="32"/>
  <c r="X16" i="32"/>
  <c r="X28" i="32"/>
  <c r="X40" i="32"/>
  <c r="X52" i="32"/>
  <c r="X64" i="32"/>
  <c r="X76" i="32"/>
  <c r="X88" i="32"/>
  <c r="X100" i="32"/>
  <c r="X112" i="32"/>
  <c r="X124" i="32"/>
  <c r="X136" i="32"/>
  <c r="X148" i="32"/>
  <c r="X160" i="32"/>
  <c r="X17" i="32"/>
  <c r="X29" i="32"/>
  <c r="X41" i="32"/>
  <c r="X53" i="32"/>
  <c r="X65" i="32"/>
  <c r="X77" i="32"/>
  <c r="X89" i="32"/>
  <c r="X101" i="32"/>
  <c r="X113" i="32"/>
  <c r="X125" i="32"/>
  <c r="X137" i="32"/>
  <c r="X149" i="32"/>
  <c r="X161" i="32"/>
  <c r="X18" i="32"/>
  <c r="X30" i="32"/>
  <c r="X42" i="32"/>
  <c r="X54" i="32"/>
  <c r="X66" i="32"/>
  <c r="X78" i="32"/>
  <c r="X90" i="32"/>
  <c r="X102" i="32"/>
  <c r="X114" i="32"/>
  <c r="X126" i="32"/>
  <c r="X138" i="32"/>
  <c r="X150" i="32"/>
  <c r="X162" i="32"/>
  <c r="X6" i="32"/>
  <c r="S69" i="32"/>
  <c r="S66" i="32"/>
  <c r="S63" i="32"/>
  <c r="Q63" i="32"/>
  <c r="S62" i="32"/>
  <c r="R62" i="32"/>
  <c r="Q62" i="32"/>
  <c r="R69" i="32"/>
  <c r="R66" i="32"/>
  <c r="R63" i="32"/>
  <c r="Q66" i="32"/>
  <c r="S68" i="32"/>
  <c r="S65" i="32"/>
  <c r="R68" i="32"/>
  <c r="R65" i="32"/>
  <c r="R67" i="32"/>
  <c r="Q69" i="32"/>
  <c r="Q65" i="32"/>
  <c r="S67" i="32"/>
  <c r="Q64" i="32"/>
  <c r="Q67" i="32"/>
  <c r="Q68" i="32"/>
  <c r="S64" i="32"/>
  <c r="R64" i="32"/>
  <c r="S55" i="32"/>
  <c r="S52" i="32"/>
  <c r="S49" i="32"/>
  <c r="R55" i="32"/>
  <c r="R52" i="32"/>
  <c r="R49" i="32"/>
  <c r="R54" i="32"/>
  <c r="R48" i="32"/>
  <c r="R53" i="32"/>
  <c r="Q55" i="32"/>
  <c r="Q52" i="32"/>
  <c r="Q49" i="32"/>
  <c r="S54" i="32"/>
  <c r="S51" i="32"/>
  <c r="S48" i="32"/>
  <c r="R51" i="32"/>
  <c r="R50" i="32"/>
  <c r="Q53" i="32"/>
  <c r="Q50" i="32"/>
  <c r="Q54" i="32"/>
  <c r="Q51" i="32"/>
  <c r="Q48" i="32"/>
  <c r="S53" i="32"/>
  <c r="S50" i="32"/>
  <c r="S39" i="32"/>
  <c r="Q36" i="32"/>
  <c r="S41" i="32"/>
  <c r="R41" i="32"/>
  <c r="R38" i="32"/>
  <c r="R35" i="32"/>
  <c r="Q41" i="32"/>
  <c r="Q38" i="32"/>
  <c r="Q35" i="32"/>
  <c r="S40" i="32"/>
  <c r="S37" i="32"/>
  <c r="S34" i="32"/>
  <c r="R40" i="32"/>
  <c r="R37" i="32"/>
  <c r="R34" i="32"/>
  <c r="Q40" i="32"/>
  <c r="Q37" i="32"/>
  <c r="Q34" i="32"/>
  <c r="S36" i="32"/>
  <c r="R39" i="32"/>
  <c r="S38" i="32"/>
  <c r="R36" i="32"/>
  <c r="Q39" i="32"/>
  <c r="S35" i="32"/>
  <c r="Q25" i="32"/>
  <c r="Q22" i="32"/>
  <c r="S27" i="32"/>
  <c r="S24" i="32"/>
  <c r="R27" i="32"/>
  <c r="R24" i="32"/>
  <c r="R21" i="32"/>
  <c r="R23" i="32"/>
  <c r="Q20" i="32"/>
  <c r="R25" i="32"/>
  <c r="Q27" i="32"/>
  <c r="Q24" i="32"/>
  <c r="Q21" i="32"/>
  <c r="R26" i="32"/>
  <c r="Q23" i="32"/>
  <c r="S22" i="32"/>
  <c r="S21" i="32"/>
  <c r="Q26" i="32"/>
  <c r="S26" i="32"/>
  <c r="S23" i="32"/>
  <c r="S20" i="32"/>
  <c r="R20" i="32"/>
  <c r="S25" i="32"/>
  <c r="R22" i="32"/>
  <c r="W118" i="33"/>
  <c r="AA146" i="33"/>
  <c r="AA103" i="33"/>
  <c r="Z132" i="33"/>
  <c r="Y161" i="33"/>
  <c r="Y118" i="33"/>
  <c r="X147" i="33"/>
  <c r="AA118" i="33"/>
  <c r="Z147" i="33"/>
  <c r="Y95" i="33"/>
  <c r="X124" i="33"/>
  <c r="W153" i="33"/>
  <c r="AA88" i="33"/>
  <c r="Y138" i="33"/>
  <c r="Y98" i="33"/>
  <c r="W148" i="33"/>
  <c r="Z119" i="33"/>
  <c r="X128" i="33"/>
  <c r="AA99" i="33"/>
  <c r="AA148" i="33"/>
  <c r="AA136" i="33"/>
  <c r="W96" i="33"/>
  <c r="Z145" i="33"/>
  <c r="X117" i="33"/>
  <c r="X143" i="33"/>
  <c r="X98" i="33"/>
  <c r="AA138" i="33"/>
  <c r="X156" i="33"/>
  <c r="Y158" i="33"/>
  <c r="X146" i="33"/>
  <c r="Z91" i="33"/>
  <c r="Y120" i="33"/>
  <c r="X149" i="33"/>
  <c r="X106" i="33"/>
  <c r="W135" i="33"/>
  <c r="AA163" i="33"/>
  <c r="AA120" i="33"/>
  <c r="Z149" i="33"/>
  <c r="Y92" i="33"/>
  <c r="X121" i="33"/>
  <c r="W150" i="33"/>
  <c r="AA97" i="33"/>
  <c r="Z126" i="33"/>
  <c r="Y155" i="33"/>
  <c r="X93" i="33"/>
  <c r="Z142" i="33"/>
  <c r="AA102" i="33"/>
  <c r="X152" i="33"/>
  <c r="AA123" i="33"/>
  <c r="W132" i="33"/>
  <c r="Y103" i="33"/>
  <c r="X153" i="33"/>
  <c r="Y145" i="33"/>
  <c r="Y100" i="33"/>
  <c r="AA149" i="33"/>
  <c r="Y121" i="33"/>
  <c r="X151" i="33"/>
  <c r="AA93" i="33"/>
  <c r="Y114" i="33"/>
  <c r="Y147" i="33"/>
  <c r="Z118" i="33"/>
  <c r="AA164" i="33"/>
  <c r="Z154" i="33"/>
  <c r="W94" i="33"/>
  <c r="AA122" i="33"/>
  <c r="Z151" i="33"/>
  <c r="Z108" i="33"/>
  <c r="Y137" i="33"/>
  <c r="Y94" i="33"/>
  <c r="X123" i="33"/>
  <c r="W152" i="33"/>
  <c r="AA94" i="33"/>
  <c r="Z123" i="33"/>
  <c r="Y152" i="33"/>
  <c r="X100" i="33"/>
  <c r="W129" i="33"/>
  <c r="AA157" i="33"/>
  <c r="Y97" i="33"/>
  <c r="Y146" i="33"/>
  <c r="W107" i="33"/>
  <c r="W156" i="33"/>
  <c r="Y127" i="33"/>
  <c r="Y136" i="33"/>
  <c r="AA107" i="33"/>
  <c r="Y157" i="33"/>
  <c r="W149" i="33"/>
  <c r="Z104" i="33"/>
  <c r="Z153" i="33"/>
  <c r="W125" i="33"/>
  <c r="AA159" i="33"/>
  <c r="Y110" i="33"/>
  <c r="AA126" i="33"/>
  <c r="Z155" i="33"/>
  <c r="W131" i="33"/>
  <c r="Z105" i="33"/>
  <c r="Z106" i="33"/>
  <c r="AA162" i="33"/>
  <c r="Y96" i="33"/>
  <c r="X125" i="33"/>
  <c r="W154" i="33"/>
  <c r="W111" i="33"/>
  <c r="AA139" i="33"/>
  <c r="AA96" i="33"/>
  <c r="Z125" i="33"/>
  <c r="Y154" i="33"/>
  <c r="X97" i="33"/>
  <c r="W126" i="33"/>
  <c r="AA154" i="33"/>
  <c r="Z102" i="33"/>
  <c r="Y131" i="33"/>
  <c r="X160" i="33"/>
  <c r="W101" i="33"/>
  <c r="AA150" i="33"/>
  <c r="Z110" i="33"/>
  <c r="Y160" i="33"/>
  <c r="Z140" i="33"/>
  <c r="W112" i="33"/>
  <c r="W161" i="33"/>
  <c r="Z157" i="33"/>
  <c r="X108" i="33"/>
  <c r="W158" i="33"/>
  <c r="Y129" i="33"/>
  <c r="Y162" i="33"/>
  <c r="Z122" i="33"/>
  <c r="X138" i="33"/>
  <c r="Y163" i="33"/>
  <c r="X150" i="33"/>
  <c r="X140" i="33"/>
  <c r="Z121" i="33"/>
  <c r="X114" i="33"/>
  <c r="AA98" i="33"/>
  <c r="Z127" i="33"/>
  <c r="Y156" i="33"/>
  <c r="Y113" i="33"/>
  <c r="X142" i="33"/>
  <c r="X99" i="33"/>
  <c r="W128" i="33"/>
  <c r="AA156" i="33"/>
  <c r="Z99" i="33"/>
  <c r="Y128" i="33"/>
  <c r="X157" i="33"/>
  <c r="W105" i="33"/>
  <c r="AA133" i="33"/>
  <c r="Z162" i="33"/>
  <c r="Y105" i="33"/>
  <c r="W155" i="33"/>
  <c r="W115" i="33"/>
  <c r="Z164" i="33"/>
  <c r="X95" i="33"/>
  <c r="X144" i="33"/>
  <c r="X116" i="33"/>
  <c r="Y165" i="33"/>
  <c r="Y91" i="33"/>
  <c r="Z112" i="33"/>
  <c r="X162" i="33"/>
  <c r="Z133" i="33"/>
  <c r="Z134" i="33"/>
  <c r="Z146" i="33"/>
  <c r="Z165" i="33"/>
  <c r="X158" i="33"/>
  <c r="AA131" i="33"/>
  <c r="W136" i="33"/>
  <c r="X101" i="33"/>
  <c r="W130" i="33"/>
  <c r="AA158" i="33"/>
  <c r="AA115" i="33"/>
  <c r="Z144" i="33"/>
  <c r="Z101" i="33"/>
  <c r="Y130" i="33"/>
  <c r="X159" i="33"/>
  <c r="W102" i="33"/>
  <c r="AA130" i="33"/>
  <c r="Z159" i="33"/>
  <c r="Y107" i="33"/>
  <c r="X136" i="33"/>
  <c r="W165" i="33"/>
  <c r="Z109" i="33"/>
  <c r="Z158" i="33"/>
  <c r="X119" i="33"/>
  <c r="AA90" i="33"/>
  <c r="Y99" i="33"/>
  <c r="Z148" i="33"/>
  <c r="W120" i="33"/>
  <c r="AA95" i="33"/>
  <c r="Y112" i="33"/>
  <c r="AA116" i="33"/>
  <c r="AA165" i="33"/>
  <c r="AA137" i="33"/>
  <c r="Z93" i="33"/>
  <c r="W144" i="33"/>
  <c r="X155" i="33"/>
  <c r="X102" i="33"/>
  <c r="W146" i="33"/>
  <c r="Y135" i="33"/>
  <c r="W143" i="33"/>
  <c r="Z103" i="33"/>
  <c r="Y132" i="33"/>
  <c r="X161" i="33"/>
  <c r="X118" i="33"/>
  <c r="W147" i="33"/>
  <c r="W104" i="33"/>
  <c r="AA132" i="33"/>
  <c r="Z161" i="33"/>
  <c r="Y104" i="33"/>
  <c r="X133" i="33"/>
  <c r="W162" i="33"/>
  <c r="AA109" i="33"/>
  <c r="Z138" i="33"/>
  <c r="AA113" i="33"/>
  <c r="W163" i="33"/>
  <c r="Y123" i="33"/>
  <c r="W95" i="33"/>
  <c r="X103" i="33"/>
  <c r="AA152" i="33"/>
  <c r="Y124" i="33"/>
  <c r="W100" i="33"/>
  <c r="Z124" i="33"/>
  <c r="W121" i="33"/>
  <c r="Z92" i="33"/>
  <c r="Z141" i="33"/>
  <c r="X110" i="33"/>
  <c r="Z152" i="33"/>
  <c r="X163" i="33"/>
  <c r="Y117" i="33"/>
  <c r="AA89" i="33"/>
  <c r="W151" i="33"/>
  <c r="W106" i="33"/>
  <c r="AA134" i="33"/>
  <c r="Z163" i="33"/>
  <c r="AA91" i="33"/>
  <c r="Z120" i="33"/>
  <c r="Y149" i="33"/>
  <c r="Y106" i="33"/>
  <c r="X135" i="33"/>
  <c r="W164" i="33"/>
  <c r="AA106" i="33"/>
  <c r="Z135" i="33"/>
  <c r="Y164" i="33"/>
  <c r="X112" i="33"/>
  <c r="W141" i="33"/>
  <c r="AA92" i="33"/>
  <c r="Z117" i="33"/>
  <c r="X127" i="33"/>
  <c r="Z98" i="33"/>
  <c r="Z107" i="33"/>
  <c r="W157" i="33"/>
  <c r="Z128" i="33"/>
  <c r="X104" i="33"/>
  <c r="W133" i="33"/>
  <c r="AA124" i="33"/>
  <c r="X96" i="33"/>
  <c r="Y122" i="33"/>
  <c r="Z160" i="33"/>
  <c r="AA101" i="33"/>
  <c r="Z129" i="33"/>
  <c r="Y102" i="33"/>
  <c r="AA105" i="33"/>
  <c r="Y159" i="33"/>
  <c r="Y108" i="33"/>
  <c r="X137" i="33"/>
  <c r="X94" i="33"/>
  <c r="W123" i="33"/>
  <c r="AA151" i="33"/>
  <c r="AA108" i="33"/>
  <c r="Z137" i="33"/>
  <c r="X109" i="33"/>
  <c r="W138" i="33"/>
  <c r="Z114" i="33"/>
  <c r="Y143" i="33"/>
  <c r="W97" i="33"/>
  <c r="W122" i="33"/>
  <c r="Z131" i="33"/>
  <c r="W103" i="33"/>
  <c r="AA111" i="33"/>
  <c r="AA160" i="33"/>
  <c r="X132" i="33"/>
  <c r="W108" i="33"/>
  <c r="X141" i="33"/>
  <c r="X129" i="33"/>
  <c r="Z100" i="33"/>
  <c r="Y93" i="33"/>
  <c r="Y134" i="33"/>
  <c r="AA153" i="33"/>
  <c r="W139" i="33"/>
  <c r="AA117" i="33"/>
  <c r="W119" i="33"/>
  <c r="AA125" i="33"/>
  <c r="AA110" i="33"/>
  <c r="Z139" i="33"/>
  <c r="Z96" i="33"/>
  <c r="Y125" i="33"/>
  <c r="X154" i="33"/>
  <c r="X111" i="33"/>
  <c r="W140" i="33"/>
  <c r="Z111" i="33"/>
  <c r="Y140" i="33"/>
  <c r="W117" i="33"/>
  <c r="AA145" i="33"/>
  <c r="AA100" i="33"/>
  <c r="X126" i="33"/>
  <c r="AA135" i="33"/>
  <c r="X107" i="33"/>
  <c r="Y115" i="33"/>
  <c r="X165" i="33"/>
  <c r="Z136" i="33"/>
  <c r="Z116" i="33"/>
  <c r="Y153" i="33"/>
  <c r="Y133" i="33"/>
  <c r="AA104" i="33"/>
  <c r="W110" i="33"/>
  <c r="Z143" i="33"/>
  <c r="Z97" i="33"/>
  <c r="AA147" i="33"/>
  <c r="Z130" i="33"/>
  <c r="X131" i="33"/>
  <c r="X113" i="33"/>
  <c r="W142" i="33"/>
  <c r="W99" i="33"/>
  <c r="AA127" i="33"/>
  <c r="Z156" i="33"/>
  <c r="Z113" i="33"/>
  <c r="Y142" i="33"/>
  <c r="W114" i="33"/>
  <c r="AA142" i="33"/>
  <c r="Z90" i="33"/>
  <c r="Y119" i="33"/>
  <c r="X148" i="33"/>
  <c r="X105" i="33"/>
  <c r="AA129" i="33"/>
  <c r="Y139" i="33"/>
  <c r="Y111" i="33"/>
  <c r="AA119" i="33"/>
  <c r="AA140" i="33"/>
  <c r="X120" i="33"/>
  <c r="AA161" i="33"/>
  <c r="W137" i="33"/>
  <c r="W109" i="33"/>
  <c r="X122" i="33"/>
  <c r="Y151" i="33"/>
  <c r="W113" i="33"/>
  <c r="AA114" i="33"/>
  <c r="AA155" i="33"/>
  <c r="X139" i="33"/>
  <c r="AA141" i="33"/>
  <c r="W98" i="33"/>
  <c r="Z115" i="33"/>
  <c r="Y144" i="33"/>
  <c r="Y101" i="33"/>
  <c r="X130" i="33"/>
  <c r="W159" i="33"/>
  <c r="W116" i="33"/>
  <c r="AA144" i="33"/>
  <c r="Y116" i="33"/>
  <c r="X145" i="33"/>
  <c r="W93" i="33"/>
  <c r="AA121" i="33"/>
  <c r="Z150" i="33"/>
  <c r="Y109" i="33"/>
  <c r="X134" i="33"/>
  <c r="Z94" i="33"/>
  <c r="AA143" i="33"/>
  <c r="X115" i="33"/>
  <c r="W124" i="33"/>
  <c r="Z95" i="33"/>
  <c r="W145" i="33"/>
  <c r="AA128" i="33"/>
  <c r="X92" i="33"/>
  <c r="Y141" i="33"/>
  <c r="AA112" i="33"/>
  <c r="W134" i="33"/>
  <c r="W160" i="33"/>
  <c r="W127" i="33"/>
  <c r="X164" i="33"/>
  <c r="Y148" i="33"/>
  <c r="Y150" i="33"/>
  <c r="Y126" i="33"/>
  <c r="AE136" i="32" l="1"/>
  <c r="AF114" i="32"/>
  <c r="AI162" i="32"/>
  <c r="AH154" i="32"/>
  <c r="AF146" i="32"/>
  <c r="AG126" i="32"/>
  <c r="AE98" i="32"/>
  <c r="AI125" i="32"/>
  <c r="AG159" i="32"/>
  <c r="AE151" i="32"/>
  <c r="AE143" i="32"/>
  <c r="AI131" i="32"/>
  <c r="AH121" i="32"/>
  <c r="AH106" i="32"/>
  <c r="AG158" i="32"/>
  <c r="AG150" i="32"/>
  <c r="AI141" i="32"/>
  <c r="AF131" i="32"/>
  <c r="AE119" i="32"/>
  <c r="AI105" i="32"/>
  <c r="AI89" i="32"/>
  <c r="AG135" i="32"/>
  <c r="AF158" i="32"/>
  <c r="AF140" i="32"/>
  <c r="AH105" i="32"/>
  <c r="AI164" i="32"/>
  <c r="AF156" i="32"/>
  <c r="AG148" i="32"/>
  <c r="AF139" i="32"/>
  <c r="AH130" i="32"/>
  <c r="AI117" i="32"/>
  <c r="AG102" i="32"/>
  <c r="AE146" i="32"/>
  <c r="AH165" i="32"/>
  <c r="AF150" i="32"/>
  <c r="AE131" i="32"/>
  <c r="AH118" i="32"/>
  <c r="AF164" i="32"/>
  <c r="AI155" i="32"/>
  <c r="AI147" i="32"/>
  <c r="AE139" i="32"/>
  <c r="AH129" i="32"/>
  <c r="AG117" i="32"/>
  <c r="AF102" i="32"/>
  <c r="AG163" i="32"/>
  <c r="AH155" i="32"/>
  <c r="AG147" i="32"/>
  <c r="AI138" i="32"/>
  <c r="AE127" i="32"/>
  <c r="AI114" i="32"/>
  <c r="AI153" i="32"/>
  <c r="AI101" i="32"/>
  <c r="AF163" i="32"/>
  <c r="AF155" i="32"/>
  <c r="AH146" i="32"/>
  <c r="AF138" i="32"/>
  <c r="AI126" i="32"/>
  <c r="AG114" i="32"/>
  <c r="AF98" i="32"/>
  <c r="AE113" i="32"/>
  <c r="AH97" i="32"/>
  <c r="AH160" i="32"/>
  <c r="AH152" i="32"/>
  <c r="AE144" i="32"/>
  <c r="AH134" i="32"/>
  <c r="AH122" i="32"/>
  <c r="AG110" i="32"/>
  <c r="AI93" i="32"/>
  <c r="AE160" i="32"/>
  <c r="AG151" i="32"/>
  <c r="AH143" i="32"/>
  <c r="AG134" i="32"/>
  <c r="AG122" i="32"/>
  <c r="AF110" i="32"/>
  <c r="AH93" i="32"/>
  <c r="AG162" i="32"/>
  <c r="AI159" i="32"/>
  <c r="AF151" i="32"/>
  <c r="AF143" i="32"/>
  <c r="AE134" i="32"/>
  <c r="AF122" i="32"/>
  <c r="AE110" i="32"/>
  <c r="AG93" i="32"/>
  <c r="AH141" i="32"/>
  <c r="AI137" i="32"/>
  <c r="AH133" i="32"/>
  <c r="AG129" i="32"/>
  <c r="AE125" i="32"/>
  <c r="AG121" i="32"/>
  <c r="AF117" i="32"/>
  <c r="AI112" i="32"/>
  <c r="AE109" i="32"/>
  <c r="AI104" i="32"/>
  <c r="AH100" i="32"/>
  <c r="AF96" i="32"/>
  <c r="AH92" i="32"/>
  <c r="AI165" i="32"/>
  <c r="AF162" i="32"/>
  <c r="AE158" i="32"/>
  <c r="AH153" i="32"/>
  <c r="AI149" i="32"/>
  <c r="AH145" i="32"/>
  <c r="AG141" i="32"/>
  <c r="AE137" i="32"/>
  <c r="AG133" i="32"/>
  <c r="AF129" i="32"/>
  <c r="AI124" i="32"/>
  <c r="AE121" i="32"/>
  <c r="AI116" i="32"/>
  <c r="AH112" i="32"/>
  <c r="AF108" i="32"/>
  <c r="AH104" i="32"/>
  <c r="AG100" i="32"/>
  <c r="AE96" i="32"/>
  <c r="AF92" i="32"/>
  <c r="AI161" i="32"/>
  <c r="AG153" i="32"/>
  <c r="AF141" i="32"/>
  <c r="AE133" i="32"/>
  <c r="AH124" i="32"/>
  <c r="AG112" i="32"/>
  <c r="AH157" i="32"/>
  <c r="AE149" i="32"/>
  <c r="AG145" i="32"/>
  <c r="AI136" i="32"/>
  <c r="AI128" i="32"/>
  <c r="AF120" i="32"/>
  <c r="AH116" i="32"/>
  <c r="AE108" i="32"/>
  <c r="AF104" i="32"/>
  <c r="AE100" i="32"/>
  <c r="AI95" i="32"/>
  <c r="AG91" i="32"/>
  <c r="AG165" i="32"/>
  <c r="AE161" i="32"/>
  <c r="AG157" i="32"/>
  <c r="AF153" i="32"/>
  <c r="AI148" i="32"/>
  <c r="AE145" i="32"/>
  <c r="AI140" i="32"/>
  <c r="AH136" i="32"/>
  <c r="AF132" i="32"/>
  <c r="AH128" i="32"/>
  <c r="AG124" i="32"/>
  <c r="AE120" i="32"/>
  <c r="AF116" i="32"/>
  <c r="AE112" i="32"/>
  <c r="AI107" i="32"/>
  <c r="AG103" i="32"/>
  <c r="AI99" i="32"/>
  <c r="AH95" i="32"/>
  <c r="AF165" i="32"/>
  <c r="AI160" i="32"/>
  <c r="AE157" i="32"/>
  <c r="AI152" i="32"/>
  <c r="AH148" i="32"/>
  <c r="AF144" i="32"/>
  <c r="AH140" i="32"/>
  <c r="AG136" i="32"/>
  <c r="AE132" i="32"/>
  <c r="AF128" i="32"/>
  <c r="AE124" i="32"/>
  <c r="AI119" i="32"/>
  <c r="AG115" i="32"/>
  <c r="AI111" i="32"/>
  <c r="AH107" i="32"/>
  <c r="AF103" i="32"/>
  <c r="AG99" i="32"/>
  <c r="AF95" i="32"/>
  <c r="AG127" i="32"/>
  <c r="AI123" i="32"/>
  <c r="AH119" i="32"/>
  <c r="AF115" i="32"/>
  <c r="AG111" i="32"/>
  <c r="AF107" i="32"/>
  <c r="AE103" i="32"/>
  <c r="AH98" i="32"/>
  <c r="AE95" i="32"/>
  <c r="AI90" i="32"/>
  <c r="AH164" i="32"/>
  <c r="AG160" i="32"/>
  <c r="AE156" i="32"/>
  <c r="AF152" i="32"/>
  <c r="AE148" i="32"/>
  <c r="AI143" i="32"/>
  <c r="AG139" i="32"/>
  <c r="AI135" i="32"/>
  <c r="AH131" i="32"/>
  <c r="AF127" i="32"/>
  <c r="AG123" i="32"/>
  <c r="AF119" i="32"/>
  <c r="AE115" i="32"/>
  <c r="AH110" i="32"/>
  <c r="AE107" i="32"/>
  <c r="AI102" i="32"/>
  <c r="AG98" i="32"/>
  <c r="AH94" i="32"/>
  <c r="AE163" i="32"/>
  <c r="AH158" i="32"/>
  <c r="AE155" i="32"/>
  <c r="AI150" i="32"/>
  <c r="AG146" i="32"/>
  <c r="AH142" i="32"/>
  <c r="AG138" i="32"/>
  <c r="AF134" i="32"/>
  <c r="AI129" i="32"/>
  <c r="AF126" i="32"/>
  <c r="AE122" i="32"/>
  <c r="AH117" i="32"/>
  <c r="AI113" i="32"/>
  <c r="AH109" i="32"/>
  <c r="AG105" i="32"/>
  <c r="AE101" i="32"/>
  <c r="AG97" i="32"/>
  <c r="AF93" i="32"/>
  <c r="AI88" i="32"/>
  <c r="AG109" i="32"/>
  <c r="AF105" i="32"/>
  <c r="AI100" i="32"/>
  <c r="AE97" i="32"/>
  <c r="AI92" i="32"/>
  <c r="AE165" i="32"/>
  <c r="AH162" i="32"/>
  <c r="AF160" i="32"/>
  <c r="AI157" i="32"/>
  <c r="AG155" i="32"/>
  <c r="AE153" i="32"/>
  <c r="AH150" i="32"/>
  <c r="AF148" i="32"/>
  <c r="AI145" i="32"/>
  <c r="AG143" i="32"/>
  <c r="AE141" i="32"/>
  <c r="AH138" i="32"/>
  <c r="AF136" i="32"/>
  <c r="AI133" i="32"/>
  <c r="AG131" i="32"/>
  <c r="AE129" i="32"/>
  <c r="AH126" i="32"/>
  <c r="AF124" i="32"/>
  <c r="AI121" i="32"/>
  <c r="AG119" i="32"/>
  <c r="AE117" i="32"/>
  <c r="AH114" i="32"/>
  <c r="AF112" i="32"/>
  <c r="AI109" i="32"/>
  <c r="AG107" i="32"/>
  <c r="AE105" i="32"/>
  <c r="AH102" i="32"/>
  <c r="AF100" i="32"/>
  <c r="AI97" i="32"/>
  <c r="AG95" i="32"/>
  <c r="AE93" i="32"/>
  <c r="AH90" i="32"/>
  <c r="AG164" i="32"/>
  <c r="AE162" i="32"/>
  <c r="AH159" i="32"/>
  <c r="AF157" i="32"/>
  <c r="AI154" i="32"/>
  <c r="AG152" i="32"/>
  <c r="AE150" i="32"/>
  <c r="AH147" i="32"/>
  <c r="AF145" i="32"/>
  <c r="AI142" i="32"/>
  <c r="AG140" i="32"/>
  <c r="AE138" i="32"/>
  <c r="AH135" i="32"/>
  <c r="AF133" i="32"/>
  <c r="AI130" i="32"/>
  <c r="AG128" i="32"/>
  <c r="AE126" i="32"/>
  <c r="AH123" i="32"/>
  <c r="AF121" i="32"/>
  <c r="AI118" i="32"/>
  <c r="AG116" i="32"/>
  <c r="AE114" i="32"/>
  <c r="AH111" i="32"/>
  <c r="AF109" i="32"/>
  <c r="AI106" i="32"/>
  <c r="AG104" i="32"/>
  <c r="AE102" i="32"/>
  <c r="AH99" i="32"/>
  <c r="AF97" i="32"/>
  <c r="AI94" i="32"/>
  <c r="AG92" i="32"/>
  <c r="AE164" i="32"/>
  <c r="AH161" i="32"/>
  <c r="AF159" i="32"/>
  <c r="AI156" i="32"/>
  <c r="AG154" i="32"/>
  <c r="AE152" i="32"/>
  <c r="AH149" i="32"/>
  <c r="AF147" i="32"/>
  <c r="AI144" i="32"/>
  <c r="AG142" i="32"/>
  <c r="AE140" i="32"/>
  <c r="AH137" i="32"/>
  <c r="AF135" i="32"/>
  <c r="AI132" i="32"/>
  <c r="AG130" i="32"/>
  <c r="AE128" i="32"/>
  <c r="AH125" i="32"/>
  <c r="AF123" i="32"/>
  <c r="AI120" i="32"/>
  <c r="AG118" i="32"/>
  <c r="AE116" i="32"/>
  <c r="AH113" i="32"/>
  <c r="AF111" i="32"/>
  <c r="AI108" i="32"/>
  <c r="AG106" i="32"/>
  <c r="AE104" i="32"/>
  <c r="AH101" i="32"/>
  <c r="AF99" i="32"/>
  <c r="AI96" i="32"/>
  <c r="AG94" i="32"/>
  <c r="AI163" i="32"/>
  <c r="AG161" i="32"/>
  <c r="AE159" i="32"/>
  <c r="AH156" i="32"/>
  <c r="AF154" i="32"/>
  <c r="AI151" i="32"/>
  <c r="AG149" i="32"/>
  <c r="AE147" i="32"/>
  <c r="AH144" i="32"/>
  <c r="AF142" i="32"/>
  <c r="AI139" i="32"/>
  <c r="AG137" i="32"/>
  <c r="AE135" i="32"/>
  <c r="AH132" i="32"/>
  <c r="AF130" i="32"/>
  <c r="AI127" i="32"/>
  <c r="AG125" i="32"/>
  <c r="AE123" i="32"/>
  <c r="AH120" i="32"/>
  <c r="AF118" i="32"/>
  <c r="AI115" i="32"/>
  <c r="AG113" i="32"/>
  <c r="AE111" i="32"/>
  <c r="AH108" i="32"/>
  <c r="AF106" i="32"/>
  <c r="AI103" i="32"/>
  <c r="AG101" i="32"/>
  <c r="AE99" i="32"/>
  <c r="AH96" i="32"/>
  <c r="AF94" i="32"/>
  <c r="AI91" i="32"/>
  <c r="AH163" i="32"/>
  <c r="AF161" i="32"/>
  <c r="AI158" i="32"/>
  <c r="AG156" i="32"/>
  <c r="AE154" i="32"/>
  <c r="AH151" i="32"/>
  <c r="AF149" i="32"/>
  <c r="AI146" i="32"/>
  <c r="AG144" i="32"/>
  <c r="AE142" i="32"/>
  <c r="AH139" i="32"/>
  <c r="AF137" i="32"/>
  <c r="AI134" i="32"/>
  <c r="AG132" i="32"/>
  <c r="AE130" i="32"/>
  <c r="AH127" i="32"/>
  <c r="AF125" i="32"/>
  <c r="AI122" i="32"/>
  <c r="AG120" i="32"/>
  <c r="AE118" i="32"/>
  <c r="AH115" i="32"/>
  <c r="AF113" i="32"/>
  <c r="AI110" i="32"/>
  <c r="AG108" i="32"/>
  <c r="AE106" i="32"/>
  <c r="AH103" i="32"/>
  <c r="AF101" i="32"/>
  <c r="AI98" i="32"/>
  <c r="AG96" i="32"/>
  <c r="AE94" i="32"/>
  <c r="AH91" i="32"/>
  <c r="T43" i="9"/>
  <c r="T88" i="9"/>
  <c r="T133" i="9"/>
  <c r="T178" i="9"/>
  <c r="T223" i="9"/>
  <c r="AD223" i="9"/>
  <c r="AC223" i="9"/>
  <c r="AC222" i="9" s="1"/>
  <c r="AC221" i="9" s="1"/>
  <c r="AC220" i="9" s="1"/>
  <c r="AC219" i="9" s="1"/>
  <c r="AC218" i="9" s="1"/>
  <c r="AC217" i="9" s="1"/>
  <c r="AC216" i="9" s="1"/>
  <c r="AC215" i="9" s="1"/>
  <c r="AC214" i="9" s="1"/>
  <c r="AC213" i="9" s="1"/>
  <c r="AC212" i="9" s="1"/>
  <c r="AC211" i="9" s="1"/>
  <c r="AC210" i="9" s="1"/>
  <c r="AC209" i="9" s="1"/>
  <c r="AC208" i="9" s="1"/>
  <c r="AC207" i="9" s="1"/>
  <c r="AC206" i="9" s="1"/>
  <c r="AC205" i="9" s="1"/>
  <c r="AC204" i="9" s="1"/>
  <c r="AC203" i="9" s="1"/>
  <c r="AC202" i="9" s="1"/>
  <c r="AC201" i="9" s="1"/>
  <c r="AC200" i="9" s="1"/>
  <c r="AC199" i="9" s="1"/>
  <c r="AC198" i="9" s="1"/>
  <c r="AB223" i="9"/>
  <c r="AA223" i="9"/>
  <c r="Z223" i="9"/>
  <c r="Z222" i="9" s="1"/>
  <c r="Z221" i="9" s="1"/>
  <c r="Z220" i="9" s="1"/>
  <c r="Z219" i="9" s="1"/>
  <c r="Z218" i="9" s="1"/>
  <c r="Z217" i="9" s="1"/>
  <c r="Z216" i="9" s="1"/>
  <c r="Z215" i="9" s="1"/>
  <c r="Z214" i="9" s="1"/>
  <c r="Z213" i="9" s="1"/>
  <c r="Z212" i="9" s="1"/>
  <c r="Z211" i="9" s="1"/>
  <c r="Z210" i="9" s="1"/>
  <c r="Z209" i="9" s="1"/>
  <c r="Z208" i="9" s="1"/>
  <c r="Z207" i="9" s="1"/>
  <c r="Z206" i="9" s="1"/>
  <c r="Z205" i="9" s="1"/>
  <c r="Z204" i="9" s="1"/>
  <c r="Z203" i="9" s="1"/>
  <c r="Z202" i="9" s="1"/>
  <c r="Z201" i="9" s="1"/>
  <c r="Z200" i="9" s="1"/>
  <c r="Z199" i="9" s="1"/>
  <c r="Z198" i="9" s="1"/>
  <c r="Z197" i="9" s="1"/>
  <c r="Z196" i="9" s="1"/>
  <c r="Z195" i="9" s="1"/>
  <c r="Z194" i="9" s="1"/>
  <c r="Z193" i="9" s="1"/>
  <c r="Z192" i="9" s="1"/>
  <c r="Z191" i="9" s="1"/>
  <c r="Z190" i="9" s="1"/>
  <c r="Z189" i="9" s="1"/>
  <c r="Z188" i="9" s="1"/>
  <c r="Z187" i="9" s="1"/>
  <c r="Z186" i="9" s="1"/>
  <c r="Z185" i="9" s="1"/>
  <c r="AD222" i="9"/>
  <c r="AB222" i="9"/>
  <c r="AA222" i="9"/>
  <c r="AD221" i="9"/>
  <c r="AB221" i="9"/>
  <c r="AB220" i="9" s="1"/>
  <c r="AB219" i="9" s="1"/>
  <c r="AB218" i="9" s="1"/>
  <c r="AB217" i="9" s="1"/>
  <c r="AB216" i="9" s="1"/>
  <c r="AB215" i="9" s="1"/>
  <c r="AB214" i="9" s="1"/>
  <c r="AB213" i="9" s="1"/>
  <c r="AB212" i="9" s="1"/>
  <c r="AB211" i="9" s="1"/>
  <c r="AB210" i="9" s="1"/>
  <c r="AB209" i="9" s="1"/>
  <c r="AB208" i="9" s="1"/>
  <c r="AB207" i="9" s="1"/>
  <c r="AB206" i="9" s="1"/>
  <c r="AB205" i="9" s="1"/>
  <c r="AB204" i="9" s="1"/>
  <c r="AB203" i="9" s="1"/>
  <c r="AB202" i="9" s="1"/>
  <c r="AB201" i="9" s="1"/>
  <c r="AB200" i="9" s="1"/>
  <c r="AB199" i="9" s="1"/>
  <c r="AB198" i="9" s="1"/>
  <c r="AB197" i="9" s="1"/>
  <c r="AB196" i="9" s="1"/>
  <c r="AB195" i="9" s="1"/>
  <c r="AB194" i="9" s="1"/>
  <c r="AB193" i="9" s="1"/>
  <c r="AB192" i="9" s="1"/>
  <c r="AB191" i="9" s="1"/>
  <c r="AB190" i="9" s="1"/>
  <c r="AB189" i="9" s="1"/>
  <c r="AB188" i="9" s="1"/>
  <c r="AB187" i="9" s="1"/>
  <c r="AB186" i="9" s="1"/>
  <c r="AB185" i="9" s="1"/>
  <c r="AA221" i="9"/>
  <c r="AA220" i="9" s="1"/>
  <c r="AA219" i="9" s="1"/>
  <c r="AA218" i="9" s="1"/>
  <c r="AA217" i="9" s="1"/>
  <c r="AA216" i="9" s="1"/>
  <c r="AA215" i="9" s="1"/>
  <c r="AA214" i="9" s="1"/>
  <c r="AA213" i="9" s="1"/>
  <c r="AA212" i="9" s="1"/>
  <c r="AA211" i="9" s="1"/>
  <c r="AA210" i="9" s="1"/>
  <c r="AA209" i="9" s="1"/>
  <c r="AA208" i="9" s="1"/>
  <c r="AA207" i="9" s="1"/>
  <c r="AA206" i="9" s="1"/>
  <c r="AA205" i="9" s="1"/>
  <c r="AA204" i="9" s="1"/>
  <c r="AA203" i="9" s="1"/>
  <c r="AA202" i="9" s="1"/>
  <c r="AA201" i="9" s="1"/>
  <c r="AA200" i="9" s="1"/>
  <c r="AA199" i="9" s="1"/>
  <c r="AA198" i="9" s="1"/>
  <c r="AA197" i="9" s="1"/>
  <c r="AA196" i="9" s="1"/>
  <c r="AA195" i="9" s="1"/>
  <c r="AA194" i="9" s="1"/>
  <c r="AA193" i="9" s="1"/>
  <c r="AA192" i="9" s="1"/>
  <c r="AA191" i="9" s="1"/>
  <c r="AA190" i="9" s="1"/>
  <c r="AA189" i="9" s="1"/>
  <c r="AA188" i="9" s="1"/>
  <c r="AA187" i="9" s="1"/>
  <c r="AA186" i="9" s="1"/>
  <c r="AA185" i="9" s="1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C197" i="9"/>
  <c r="AD196" i="9"/>
  <c r="AC196" i="9"/>
  <c r="AD195" i="9"/>
  <c r="AC195" i="9"/>
  <c r="AD194" i="9"/>
  <c r="AC194" i="9"/>
  <c r="AD193" i="9"/>
  <c r="AC193" i="9"/>
  <c r="AD192" i="9"/>
  <c r="AD191" i="9" s="1"/>
  <c r="AD190" i="9" s="1"/>
  <c r="AD189" i="9" s="1"/>
  <c r="AD188" i="9" s="1"/>
  <c r="AD187" i="9" s="1"/>
  <c r="AD186" i="9" s="1"/>
  <c r="AD185" i="9" s="1"/>
  <c r="AC192" i="9"/>
  <c r="AC191" i="9"/>
  <c r="AC190" i="9"/>
  <c r="AC189" i="9"/>
  <c r="AC188" i="9"/>
  <c r="AC187" i="9"/>
  <c r="AC186" i="9"/>
  <c r="AC185" i="9"/>
  <c r="AD178" i="9"/>
  <c r="AC178" i="9"/>
  <c r="AC177" i="9" s="1"/>
  <c r="AC176" i="9" s="1"/>
  <c r="AC175" i="9" s="1"/>
  <c r="AC174" i="9" s="1"/>
  <c r="AC173" i="9" s="1"/>
  <c r="AC172" i="9" s="1"/>
  <c r="AC171" i="9" s="1"/>
  <c r="AC170" i="9" s="1"/>
  <c r="AC169" i="9" s="1"/>
  <c r="AC168" i="9" s="1"/>
  <c r="AC167" i="9" s="1"/>
  <c r="AC166" i="9" s="1"/>
  <c r="AC165" i="9" s="1"/>
  <c r="AC164" i="9" s="1"/>
  <c r="AC163" i="9" s="1"/>
  <c r="AC162" i="9" s="1"/>
  <c r="AC161" i="9" s="1"/>
  <c r="AC160" i="9" s="1"/>
  <c r="AC159" i="9" s="1"/>
  <c r="AC158" i="9" s="1"/>
  <c r="AC157" i="9" s="1"/>
  <c r="AC156" i="9" s="1"/>
  <c r="AC155" i="9" s="1"/>
  <c r="AC154" i="9" s="1"/>
  <c r="AC153" i="9" s="1"/>
  <c r="AB178" i="9"/>
  <c r="AA178" i="9"/>
  <c r="AA177" i="9" s="1"/>
  <c r="AA176" i="9" s="1"/>
  <c r="AA175" i="9" s="1"/>
  <c r="AA174" i="9" s="1"/>
  <c r="AA173" i="9" s="1"/>
  <c r="AA172" i="9" s="1"/>
  <c r="AA171" i="9" s="1"/>
  <c r="AA170" i="9" s="1"/>
  <c r="AA169" i="9" s="1"/>
  <c r="AA168" i="9" s="1"/>
  <c r="AA167" i="9" s="1"/>
  <c r="AA166" i="9" s="1"/>
  <c r="AA165" i="9" s="1"/>
  <c r="AA164" i="9" s="1"/>
  <c r="AA163" i="9" s="1"/>
  <c r="AA162" i="9" s="1"/>
  <c r="AA161" i="9" s="1"/>
  <c r="AA160" i="9" s="1"/>
  <c r="AA159" i="9" s="1"/>
  <c r="AA158" i="9" s="1"/>
  <c r="AA157" i="9" s="1"/>
  <c r="AA156" i="9" s="1"/>
  <c r="AA155" i="9" s="1"/>
  <c r="AA154" i="9" s="1"/>
  <c r="AA153" i="9" s="1"/>
  <c r="AA152" i="9" s="1"/>
  <c r="AA151" i="9" s="1"/>
  <c r="AA150" i="9" s="1"/>
  <c r="AA149" i="9" s="1"/>
  <c r="AA148" i="9" s="1"/>
  <c r="AA147" i="9" s="1"/>
  <c r="AA146" i="9" s="1"/>
  <c r="AA145" i="9" s="1"/>
  <c r="AA144" i="9" s="1"/>
  <c r="AA143" i="9" s="1"/>
  <c r="AA142" i="9" s="1"/>
  <c r="AA141" i="9" s="1"/>
  <c r="AA140" i="9" s="1"/>
  <c r="Z178" i="9"/>
  <c r="AD177" i="9"/>
  <c r="AB177" i="9"/>
  <c r="AB176" i="9" s="1"/>
  <c r="AB175" i="9" s="1"/>
  <c r="AB174" i="9" s="1"/>
  <c r="AB173" i="9" s="1"/>
  <c r="AB172" i="9" s="1"/>
  <c r="AB171" i="9" s="1"/>
  <c r="AB170" i="9" s="1"/>
  <c r="AB169" i="9" s="1"/>
  <c r="AB168" i="9" s="1"/>
  <c r="AB167" i="9" s="1"/>
  <c r="AB166" i="9" s="1"/>
  <c r="AB165" i="9" s="1"/>
  <c r="AB164" i="9" s="1"/>
  <c r="AB163" i="9" s="1"/>
  <c r="AB162" i="9" s="1"/>
  <c r="AB161" i="9" s="1"/>
  <c r="AB160" i="9" s="1"/>
  <c r="AB159" i="9" s="1"/>
  <c r="AB158" i="9" s="1"/>
  <c r="AB157" i="9" s="1"/>
  <c r="AB156" i="9" s="1"/>
  <c r="AB155" i="9" s="1"/>
  <c r="AB154" i="9" s="1"/>
  <c r="AB153" i="9" s="1"/>
  <c r="AB152" i="9" s="1"/>
  <c r="AB151" i="9" s="1"/>
  <c r="AB150" i="9" s="1"/>
  <c r="AB149" i="9" s="1"/>
  <c r="AB148" i="9" s="1"/>
  <c r="AB147" i="9" s="1"/>
  <c r="AB146" i="9" s="1"/>
  <c r="AB145" i="9" s="1"/>
  <c r="AB144" i="9" s="1"/>
  <c r="AB143" i="9" s="1"/>
  <c r="AB142" i="9" s="1"/>
  <c r="AB141" i="9" s="1"/>
  <c r="AB140" i="9" s="1"/>
  <c r="Z177" i="9"/>
  <c r="Z176" i="9" s="1"/>
  <c r="Z175" i="9" s="1"/>
  <c r="Z174" i="9" s="1"/>
  <c r="Z173" i="9" s="1"/>
  <c r="Z172" i="9" s="1"/>
  <c r="Z171" i="9" s="1"/>
  <c r="Z170" i="9" s="1"/>
  <c r="Z169" i="9" s="1"/>
  <c r="Z168" i="9" s="1"/>
  <c r="Z167" i="9" s="1"/>
  <c r="Z166" i="9" s="1"/>
  <c r="Z165" i="9" s="1"/>
  <c r="Z164" i="9" s="1"/>
  <c r="Z163" i="9" s="1"/>
  <c r="Z162" i="9" s="1"/>
  <c r="Z161" i="9" s="1"/>
  <c r="Z160" i="9" s="1"/>
  <c r="Z159" i="9" s="1"/>
  <c r="Z158" i="9" s="1"/>
  <c r="Z157" i="9" s="1"/>
  <c r="Z156" i="9" s="1"/>
  <c r="Z155" i="9" s="1"/>
  <c r="Z154" i="9" s="1"/>
  <c r="Z153" i="9" s="1"/>
  <c r="Z152" i="9" s="1"/>
  <c r="Z151" i="9" s="1"/>
  <c r="Z150" i="9" s="1"/>
  <c r="Z149" i="9" s="1"/>
  <c r="Z148" i="9" s="1"/>
  <c r="Z147" i="9" s="1"/>
  <c r="Z146" i="9" s="1"/>
  <c r="Z145" i="9" s="1"/>
  <c r="Z144" i="9" s="1"/>
  <c r="Z143" i="9" s="1"/>
  <c r="Z142" i="9" s="1"/>
  <c r="Z141" i="9" s="1"/>
  <c r="Z140" i="9" s="1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C152" i="9"/>
  <c r="AD151" i="9"/>
  <c r="AC151" i="9"/>
  <c r="AD150" i="9"/>
  <c r="AC150" i="9"/>
  <c r="AD149" i="9"/>
  <c r="AC149" i="9"/>
  <c r="AD148" i="9"/>
  <c r="AC148" i="9"/>
  <c r="AD147" i="9"/>
  <c r="AD146" i="9" s="1"/>
  <c r="AD145" i="9" s="1"/>
  <c r="AD144" i="9" s="1"/>
  <c r="AD143" i="9" s="1"/>
  <c r="AD142" i="9" s="1"/>
  <c r="AD141" i="9" s="1"/>
  <c r="AD140" i="9" s="1"/>
  <c r="AC147" i="9"/>
  <c r="AC146" i="9"/>
  <c r="AC145" i="9"/>
  <c r="AC144" i="9"/>
  <c r="AC143" i="9"/>
  <c r="AC142" i="9"/>
  <c r="AC141" i="9"/>
  <c r="AC140" i="9"/>
  <c r="AD133" i="9"/>
  <c r="AC133" i="9"/>
  <c r="AC132" i="9" s="1"/>
  <c r="AC131" i="9" s="1"/>
  <c r="AC130" i="9" s="1"/>
  <c r="AC129" i="9" s="1"/>
  <c r="AC128" i="9" s="1"/>
  <c r="AC127" i="9" s="1"/>
  <c r="AC126" i="9" s="1"/>
  <c r="AC125" i="9" s="1"/>
  <c r="AC124" i="9" s="1"/>
  <c r="AC123" i="9" s="1"/>
  <c r="AC122" i="9" s="1"/>
  <c r="AC121" i="9" s="1"/>
  <c r="AC120" i="9" s="1"/>
  <c r="AC119" i="9" s="1"/>
  <c r="AC118" i="9" s="1"/>
  <c r="AC117" i="9" s="1"/>
  <c r="AC116" i="9" s="1"/>
  <c r="AC115" i="9" s="1"/>
  <c r="AC114" i="9" s="1"/>
  <c r="AC113" i="9" s="1"/>
  <c r="AC112" i="9" s="1"/>
  <c r="AC111" i="9" s="1"/>
  <c r="AC110" i="9" s="1"/>
  <c r="AC109" i="9" s="1"/>
  <c r="AC108" i="9" s="1"/>
  <c r="AB133" i="9"/>
  <c r="AA133" i="9"/>
  <c r="Z133" i="9"/>
  <c r="AD132" i="9"/>
  <c r="AB132" i="9"/>
  <c r="AA132" i="9"/>
  <c r="Z132" i="9"/>
  <c r="Z131" i="9" s="1"/>
  <c r="Z130" i="9" s="1"/>
  <c r="Z129" i="9" s="1"/>
  <c r="Z128" i="9" s="1"/>
  <c r="Z127" i="9" s="1"/>
  <c r="Z126" i="9" s="1"/>
  <c r="Z125" i="9" s="1"/>
  <c r="Z124" i="9" s="1"/>
  <c r="Z123" i="9" s="1"/>
  <c r="Z122" i="9" s="1"/>
  <c r="Z121" i="9" s="1"/>
  <c r="Z120" i="9" s="1"/>
  <c r="Z119" i="9" s="1"/>
  <c r="Z118" i="9" s="1"/>
  <c r="Z117" i="9" s="1"/>
  <c r="Z116" i="9" s="1"/>
  <c r="Z115" i="9" s="1"/>
  <c r="Z114" i="9" s="1"/>
  <c r="Z113" i="9" s="1"/>
  <c r="Z112" i="9" s="1"/>
  <c r="Z111" i="9" s="1"/>
  <c r="Z110" i="9" s="1"/>
  <c r="Z109" i="9" s="1"/>
  <c r="Z108" i="9" s="1"/>
  <c r="Z107" i="9" s="1"/>
  <c r="Z106" i="9" s="1"/>
  <c r="Z105" i="9" s="1"/>
  <c r="Z104" i="9" s="1"/>
  <c r="Z103" i="9" s="1"/>
  <c r="Z102" i="9" s="1"/>
  <c r="Z101" i="9" s="1"/>
  <c r="Z100" i="9" s="1"/>
  <c r="Z99" i="9" s="1"/>
  <c r="Z98" i="9" s="1"/>
  <c r="Z97" i="9" s="1"/>
  <c r="Z96" i="9" s="1"/>
  <c r="Z95" i="9" s="1"/>
  <c r="AD131" i="9"/>
  <c r="AB131" i="9"/>
  <c r="AB130" i="9" s="1"/>
  <c r="AB129" i="9" s="1"/>
  <c r="AB128" i="9" s="1"/>
  <c r="AB127" i="9" s="1"/>
  <c r="AB126" i="9" s="1"/>
  <c r="AB125" i="9" s="1"/>
  <c r="AB124" i="9" s="1"/>
  <c r="AB123" i="9" s="1"/>
  <c r="AB122" i="9" s="1"/>
  <c r="AB121" i="9" s="1"/>
  <c r="AB120" i="9" s="1"/>
  <c r="AB119" i="9" s="1"/>
  <c r="AB118" i="9" s="1"/>
  <c r="AB117" i="9" s="1"/>
  <c r="AB116" i="9" s="1"/>
  <c r="AB115" i="9" s="1"/>
  <c r="AB114" i="9" s="1"/>
  <c r="AB113" i="9" s="1"/>
  <c r="AB112" i="9" s="1"/>
  <c r="AB111" i="9" s="1"/>
  <c r="AB110" i="9" s="1"/>
  <c r="AB109" i="9" s="1"/>
  <c r="AB108" i="9" s="1"/>
  <c r="AB107" i="9" s="1"/>
  <c r="AB106" i="9" s="1"/>
  <c r="AB105" i="9" s="1"/>
  <c r="AB104" i="9" s="1"/>
  <c r="AB103" i="9" s="1"/>
  <c r="AB102" i="9" s="1"/>
  <c r="AB101" i="9" s="1"/>
  <c r="AB100" i="9" s="1"/>
  <c r="AB99" i="9" s="1"/>
  <c r="AB98" i="9" s="1"/>
  <c r="AB97" i="9" s="1"/>
  <c r="AB96" i="9" s="1"/>
  <c r="AA131" i="9"/>
  <c r="AA130" i="9" s="1"/>
  <c r="AA129" i="9" s="1"/>
  <c r="AA128" i="9" s="1"/>
  <c r="AA127" i="9" s="1"/>
  <c r="AA126" i="9" s="1"/>
  <c r="AA125" i="9" s="1"/>
  <c r="AA124" i="9" s="1"/>
  <c r="AA123" i="9" s="1"/>
  <c r="AA122" i="9" s="1"/>
  <c r="AA121" i="9" s="1"/>
  <c r="AA120" i="9" s="1"/>
  <c r="AA119" i="9" s="1"/>
  <c r="AA118" i="9" s="1"/>
  <c r="AA117" i="9" s="1"/>
  <c r="AA116" i="9" s="1"/>
  <c r="AA115" i="9" s="1"/>
  <c r="AA114" i="9" s="1"/>
  <c r="AA113" i="9" s="1"/>
  <c r="AA112" i="9" s="1"/>
  <c r="AA111" i="9" s="1"/>
  <c r="AA110" i="9" s="1"/>
  <c r="AA109" i="9" s="1"/>
  <c r="AA108" i="9" s="1"/>
  <c r="AA107" i="9" s="1"/>
  <c r="AA106" i="9" s="1"/>
  <c r="AA105" i="9" s="1"/>
  <c r="AA104" i="9" s="1"/>
  <c r="AA103" i="9" s="1"/>
  <c r="AA102" i="9" s="1"/>
  <c r="AA101" i="9" s="1"/>
  <c r="AA100" i="9" s="1"/>
  <c r="AA99" i="9" s="1"/>
  <c r="AA98" i="9" s="1"/>
  <c r="AA97" i="9" s="1"/>
  <c r="AA96" i="9" s="1"/>
  <c r="AA95" i="9" s="1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C107" i="9"/>
  <c r="AD106" i="9"/>
  <c r="AC106" i="9"/>
  <c r="AD105" i="9"/>
  <c r="AC105" i="9"/>
  <c r="AD104" i="9"/>
  <c r="AC104" i="9"/>
  <c r="AD103" i="9"/>
  <c r="AC103" i="9"/>
  <c r="AD102" i="9"/>
  <c r="AD101" i="9" s="1"/>
  <c r="AD100" i="9" s="1"/>
  <c r="AD99" i="9" s="1"/>
  <c r="AD98" i="9" s="1"/>
  <c r="AD97" i="9" s="1"/>
  <c r="AD96" i="9" s="1"/>
  <c r="AD95" i="9" s="1"/>
  <c r="AC102" i="9"/>
  <c r="AC101" i="9"/>
  <c r="AC100" i="9"/>
  <c r="AC99" i="9"/>
  <c r="AC98" i="9"/>
  <c r="AC97" i="9"/>
  <c r="AC96" i="9"/>
  <c r="AC95" i="9"/>
  <c r="AB95" i="9"/>
  <c r="AD88" i="9"/>
  <c r="AC88" i="9"/>
  <c r="AC87" i="9" s="1"/>
  <c r="AC86" i="9" s="1"/>
  <c r="AC85" i="9" s="1"/>
  <c r="AC84" i="9" s="1"/>
  <c r="AC83" i="9" s="1"/>
  <c r="AC82" i="9" s="1"/>
  <c r="AC81" i="9" s="1"/>
  <c r="AC80" i="9" s="1"/>
  <c r="AC79" i="9" s="1"/>
  <c r="AC78" i="9" s="1"/>
  <c r="AC77" i="9" s="1"/>
  <c r="AC76" i="9" s="1"/>
  <c r="AC75" i="9" s="1"/>
  <c r="AC74" i="9" s="1"/>
  <c r="AC73" i="9" s="1"/>
  <c r="AC72" i="9" s="1"/>
  <c r="AC71" i="9" s="1"/>
  <c r="AC70" i="9" s="1"/>
  <c r="AC69" i="9" s="1"/>
  <c r="AC68" i="9" s="1"/>
  <c r="AC67" i="9" s="1"/>
  <c r="AC66" i="9" s="1"/>
  <c r="AC65" i="9" s="1"/>
  <c r="AC64" i="9" s="1"/>
  <c r="AC63" i="9" s="1"/>
  <c r="AB88" i="9"/>
  <c r="AA88" i="9"/>
  <c r="Z88" i="9"/>
  <c r="AD87" i="9"/>
  <c r="AB87" i="9"/>
  <c r="AA87" i="9"/>
  <c r="Z87" i="9"/>
  <c r="Z86" i="9" s="1"/>
  <c r="Z85" i="9" s="1"/>
  <c r="Z84" i="9" s="1"/>
  <c r="Z83" i="9" s="1"/>
  <c r="Z82" i="9" s="1"/>
  <c r="Z81" i="9" s="1"/>
  <c r="Z80" i="9" s="1"/>
  <c r="Z79" i="9" s="1"/>
  <c r="Z78" i="9" s="1"/>
  <c r="Z77" i="9" s="1"/>
  <c r="Z76" i="9" s="1"/>
  <c r="Z75" i="9" s="1"/>
  <c r="Z74" i="9" s="1"/>
  <c r="Z73" i="9" s="1"/>
  <c r="Z72" i="9" s="1"/>
  <c r="Z71" i="9" s="1"/>
  <c r="Z70" i="9" s="1"/>
  <c r="Z69" i="9" s="1"/>
  <c r="Z68" i="9" s="1"/>
  <c r="Z67" i="9" s="1"/>
  <c r="Z66" i="9" s="1"/>
  <c r="Z65" i="9" s="1"/>
  <c r="Z64" i="9" s="1"/>
  <c r="Z63" i="9" s="1"/>
  <c r="Z62" i="9" s="1"/>
  <c r="Z61" i="9" s="1"/>
  <c r="Z60" i="9" s="1"/>
  <c r="Z59" i="9" s="1"/>
  <c r="Z58" i="9" s="1"/>
  <c r="Z57" i="9" s="1"/>
  <c r="Z56" i="9" s="1"/>
  <c r="Z55" i="9" s="1"/>
  <c r="Z54" i="9" s="1"/>
  <c r="Z53" i="9" s="1"/>
  <c r="Z52" i="9" s="1"/>
  <c r="Z51" i="9" s="1"/>
  <c r="Z50" i="9" s="1"/>
  <c r="AD86" i="9"/>
  <c r="AB86" i="9"/>
  <c r="AB85" i="9" s="1"/>
  <c r="AB84" i="9" s="1"/>
  <c r="AB83" i="9" s="1"/>
  <c r="AB82" i="9" s="1"/>
  <c r="AB81" i="9" s="1"/>
  <c r="AB80" i="9" s="1"/>
  <c r="AB79" i="9" s="1"/>
  <c r="AB78" i="9" s="1"/>
  <c r="AB77" i="9" s="1"/>
  <c r="AB76" i="9" s="1"/>
  <c r="AB75" i="9" s="1"/>
  <c r="AB74" i="9" s="1"/>
  <c r="AB73" i="9" s="1"/>
  <c r="AB72" i="9" s="1"/>
  <c r="AB71" i="9" s="1"/>
  <c r="AB70" i="9" s="1"/>
  <c r="AB69" i="9" s="1"/>
  <c r="AB68" i="9" s="1"/>
  <c r="AB67" i="9" s="1"/>
  <c r="AB66" i="9" s="1"/>
  <c r="AB65" i="9" s="1"/>
  <c r="AB64" i="9" s="1"/>
  <c r="AB63" i="9" s="1"/>
  <c r="AB62" i="9" s="1"/>
  <c r="AB61" i="9" s="1"/>
  <c r="AB60" i="9" s="1"/>
  <c r="AB59" i="9" s="1"/>
  <c r="AB58" i="9" s="1"/>
  <c r="AB57" i="9" s="1"/>
  <c r="AB56" i="9" s="1"/>
  <c r="AB55" i="9" s="1"/>
  <c r="AB54" i="9" s="1"/>
  <c r="AB53" i="9" s="1"/>
  <c r="AB52" i="9" s="1"/>
  <c r="AB51" i="9" s="1"/>
  <c r="AA86" i="9"/>
  <c r="AA85" i="9" s="1"/>
  <c r="AA84" i="9" s="1"/>
  <c r="AA83" i="9" s="1"/>
  <c r="AA82" i="9" s="1"/>
  <c r="AA81" i="9" s="1"/>
  <c r="AA80" i="9" s="1"/>
  <c r="AA79" i="9" s="1"/>
  <c r="AA78" i="9" s="1"/>
  <c r="AA77" i="9" s="1"/>
  <c r="AA76" i="9" s="1"/>
  <c r="AA75" i="9" s="1"/>
  <c r="AA74" i="9" s="1"/>
  <c r="AA73" i="9" s="1"/>
  <c r="AA72" i="9" s="1"/>
  <c r="AA71" i="9" s="1"/>
  <c r="AA70" i="9" s="1"/>
  <c r="AA69" i="9" s="1"/>
  <c r="AA68" i="9" s="1"/>
  <c r="AA67" i="9" s="1"/>
  <c r="AA66" i="9" s="1"/>
  <c r="AA65" i="9" s="1"/>
  <c r="AA64" i="9" s="1"/>
  <c r="AA63" i="9" s="1"/>
  <c r="AA62" i="9" s="1"/>
  <c r="AA61" i="9" s="1"/>
  <c r="AA60" i="9" s="1"/>
  <c r="AA59" i="9" s="1"/>
  <c r="AA58" i="9" s="1"/>
  <c r="AA57" i="9" s="1"/>
  <c r="AA56" i="9" s="1"/>
  <c r="AA55" i="9" s="1"/>
  <c r="AA54" i="9" s="1"/>
  <c r="AA53" i="9" s="1"/>
  <c r="AA52" i="9" s="1"/>
  <c r="AA51" i="9" s="1"/>
  <c r="AA50" i="9" s="1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C62" i="9"/>
  <c r="AD61" i="9"/>
  <c r="AC61" i="9"/>
  <c r="AD60" i="9"/>
  <c r="AC60" i="9"/>
  <c r="AD59" i="9"/>
  <c r="AC59" i="9"/>
  <c r="AD58" i="9"/>
  <c r="AC58" i="9"/>
  <c r="AD57" i="9"/>
  <c r="AD56" i="9" s="1"/>
  <c r="AD55" i="9" s="1"/>
  <c r="AD54" i="9" s="1"/>
  <c r="AD53" i="9" s="1"/>
  <c r="AD52" i="9" s="1"/>
  <c r="AD51" i="9" s="1"/>
  <c r="AD50" i="9" s="1"/>
  <c r="AC57" i="9"/>
  <c r="AC56" i="9"/>
  <c r="AC55" i="9"/>
  <c r="AC54" i="9"/>
  <c r="AC53" i="9"/>
  <c r="AC52" i="9"/>
  <c r="AC51" i="9"/>
  <c r="AC50" i="9"/>
  <c r="AB50" i="9"/>
  <c r="S223" i="9" l="1"/>
  <c r="T222" i="9"/>
  <c r="S222" i="9"/>
  <c r="T221" i="9"/>
  <c r="S221" i="9"/>
  <c r="T220" i="9"/>
  <c r="S220" i="9"/>
  <c r="T219" i="9"/>
  <c r="S219" i="9"/>
  <c r="T218" i="9"/>
  <c r="S218" i="9"/>
  <c r="T217" i="9"/>
  <c r="S217" i="9"/>
  <c r="T216" i="9"/>
  <c r="S216" i="9"/>
  <c r="T215" i="9"/>
  <c r="S215" i="9"/>
  <c r="T214" i="9"/>
  <c r="S214" i="9"/>
  <c r="T213" i="9"/>
  <c r="S213" i="9"/>
  <c r="T212" i="9"/>
  <c r="S212" i="9"/>
  <c r="T211" i="9"/>
  <c r="S211" i="9"/>
  <c r="T210" i="9"/>
  <c r="S210" i="9"/>
  <c r="T209" i="9"/>
  <c r="S209" i="9"/>
  <c r="T208" i="9"/>
  <c r="S208" i="9"/>
  <c r="T207" i="9"/>
  <c r="S207" i="9"/>
  <c r="T206" i="9"/>
  <c r="S206" i="9"/>
  <c r="T205" i="9"/>
  <c r="S205" i="9"/>
  <c r="T204" i="9"/>
  <c r="S204" i="9"/>
  <c r="T203" i="9"/>
  <c r="S203" i="9"/>
  <c r="T202" i="9"/>
  <c r="S202" i="9"/>
  <c r="T201" i="9"/>
  <c r="S201" i="9"/>
  <c r="T200" i="9"/>
  <c r="S200" i="9"/>
  <c r="T199" i="9"/>
  <c r="S199" i="9"/>
  <c r="T198" i="9"/>
  <c r="S198" i="9"/>
  <c r="T197" i="9"/>
  <c r="S197" i="9"/>
  <c r="T196" i="9"/>
  <c r="S196" i="9"/>
  <c r="T195" i="9"/>
  <c r="S195" i="9"/>
  <c r="T194" i="9"/>
  <c r="S194" i="9"/>
  <c r="T193" i="9"/>
  <c r="S193" i="9"/>
  <c r="T192" i="9"/>
  <c r="S192" i="9"/>
  <c r="T191" i="9"/>
  <c r="S191" i="9"/>
  <c r="T190" i="9"/>
  <c r="S190" i="9"/>
  <c r="T189" i="9"/>
  <c r="S189" i="9"/>
  <c r="T188" i="9"/>
  <c r="S188" i="9"/>
  <c r="T187" i="9"/>
  <c r="S187" i="9"/>
  <c r="T186" i="9"/>
  <c r="S186" i="9"/>
  <c r="T185" i="9"/>
  <c r="S185" i="9"/>
  <c r="S178" i="9"/>
  <c r="T177" i="9"/>
  <c r="S177" i="9"/>
  <c r="T176" i="9"/>
  <c r="S176" i="9"/>
  <c r="T175" i="9"/>
  <c r="S175" i="9"/>
  <c r="T174" i="9"/>
  <c r="S174" i="9"/>
  <c r="T173" i="9"/>
  <c r="S173" i="9"/>
  <c r="T172" i="9"/>
  <c r="S172" i="9"/>
  <c r="T171" i="9"/>
  <c r="S171" i="9"/>
  <c r="T170" i="9"/>
  <c r="S170" i="9"/>
  <c r="T169" i="9"/>
  <c r="S169" i="9"/>
  <c r="T168" i="9"/>
  <c r="S168" i="9"/>
  <c r="T167" i="9"/>
  <c r="S167" i="9"/>
  <c r="T166" i="9"/>
  <c r="S166" i="9"/>
  <c r="T165" i="9"/>
  <c r="S165" i="9"/>
  <c r="T164" i="9"/>
  <c r="S164" i="9"/>
  <c r="T163" i="9"/>
  <c r="S163" i="9"/>
  <c r="T162" i="9"/>
  <c r="S162" i="9"/>
  <c r="T161" i="9"/>
  <c r="S161" i="9"/>
  <c r="T160" i="9"/>
  <c r="S160" i="9"/>
  <c r="T159" i="9"/>
  <c r="S159" i="9"/>
  <c r="T158" i="9"/>
  <c r="S158" i="9"/>
  <c r="T157" i="9"/>
  <c r="S157" i="9"/>
  <c r="T156" i="9"/>
  <c r="S156" i="9"/>
  <c r="T155" i="9"/>
  <c r="S155" i="9"/>
  <c r="T154" i="9"/>
  <c r="S154" i="9"/>
  <c r="T153" i="9"/>
  <c r="S153" i="9"/>
  <c r="T152" i="9"/>
  <c r="S152" i="9"/>
  <c r="T151" i="9"/>
  <c r="S151" i="9"/>
  <c r="T150" i="9"/>
  <c r="S150" i="9"/>
  <c r="T149" i="9"/>
  <c r="S149" i="9"/>
  <c r="T148" i="9"/>
  <c r="S148" i="9"/>
  <c r="T147" i="9"/>
  <c r="S147" i="9"/>
  <c r="T146" i="9"/>
  <c r="S146" i="9"/>
  <c r="T145" i="9"/>
  <c r="S145" i="9"/>
  <c r="T144" i="9"/>
  <c r="S144" i="9"/>
  <c r="T143" i="9"/>
  <c r="S143" i="9"/>
  <c r="T142" i="9"/>
  <c r="S142" i="9"/>
  <c r="T141" i="9"/>
  <c r="S141" i="9"/>
  <c r="T140" i="9"/>
  <c r="S140" i="9"/>
  <c r="S133" i="9"/>
  <c r="T132" i="9"/>
  <c r="S132" i="9"/>
  <c r="T131" i="9"/>
  <c r="S131" i="9"/>
  <c r="T130" i="9"/>
  <c r="S130" i="9"/>
  <c r="T129" i="9"/>
  <c r="S129" i="9"/>
  <c r="T128" i="9"/>
  <c r="S128" i="9"/>
  <c r="T127" i="9"/>
  <c r="S127" i="9"/>
  <c r="T126" i="9"/>
  <c r="S126" i="9"/>
  <c r="T125" i="9"/>
  <c r="S125" i="9"/>
  <c r="T124" i="9"/>
  <c r="S124" i="9"/>
  <c r="T123" i="9"/>
  <c r="S123" i="9"/>
  <c r="T122" i="9"/>
  <c r="S122" i="9"/>
  <c r="T121" i="9"/>
  <c r="S121" i="9"/>
  <c r="T120" i="9"/>
  <c r="S120" i="9"/>
  <c r="T119" i="9"/>
  <c r="S119" i="9"/>
  <c r="T118" i="9"/>
  <c r="S118" i="9"/>
  <c r="T117" i="9"/>
  <c r="S117" i="9"/>
  <c r="T116" i="9"/>
  <c r="S116" i="9"/>
  <c r="T115" i="9"/>
  <c r="S115" i="9"/>
  <c r="T114" i="9"/>
  <c r="S114" i="9"/>
  <c r="T113" i="9"/>
  <c r="S113" i="9"/>
  <c r="T112" i="9"/>
  <c r="S112" i="9"/>
  <c r="T111" i="9"/>
  <c r="S111" i="9"/>
  <c r="T110" i="9"/>
  <c r="S110" i="9"/>
  <c r="T109" i="9"/>
  <c r="S109" i="9"/>
  <c r="T108" i="9"/>
  <c r="S108" i="9"/>
  <c r="T107" i="9"/>
  <c r="S107" i="9"/>
  <c r="T106" i="9"/>
  <c r="S106" i="9"/>
  <c r="T105" i="9"/>
  <c r="S105" i="9"/>
  <c r="T104" i="9"/>
  <c r="S104" i="9"/>
  <c r="T103" i="9"/>
  <c r="S103" i="9"/>
  <c r="T102" i="9"/>
  <c r="S102" i="9"/>
  <c r="T101" i="9"/>
  <c r="S101" i="9"/>
  <c r="T100" i="9"/>
  <c r="S100" i="9"/>
  <c r="T99" i="9"/>
  <c r="S99" i="9"/>
  <c r="T98" i="9"/>
  <c r="S98" i="9"/>
  <c r="T97" i="9"/>
  <c r="S97" i="9"/>
  <c r="T96" i="9"/>
  <c r="S96" i="9"/>
  <c r="T95" i="9"/>
  <c r="S95" i="9"/>
  <c r="S88" i="9"/>
  <c r="T87" i="9"/>
  <c r="S87" i="9"/>
  <c r="T86" i="9"/>
  <c r="S86" i="9"/>
  <c r="T85" i="9"/>
  <c r="S85" i="9"/>
  <c r="T84" i="9"/>
  <c r="S84" i="9"/>
  <c r="T83" i="9"/>
  <c r="S83" i="9"/>
  <c r="T82" i="9"/>
  <c r="S82" i="9"/>
  <c r="T81" i="9"/>
  <c r="S81" i="9"/>
  <c r="T80" i="9"/>
  <c r="S80" i="9"/>
  <c r="T79" i="9"/>
  <c r="S79" i="9"/>
  <c r="T78" i="9"/>
  <c r="S78" i="9"/>
  <c r="T77" i="9"/>
  <c r="S77" i="9"/>
  <c r="T76" i="9"/>
  <c r="S76" i="9"/>
  <c r="T75" i="9"/>
  <c r="S75" i="9"/>
  <c r="T74" i="9"/>
  <c r="S74" i="9"/>
  <c r="T73" i="9"/>
  <c r="S73" i="9"/>
  <c r="T72" i="9"/>
  <c r="S72" i="9"/>
  <c r="T71" i="9"/>
  <c r="S71" i="9"/>
  <c r="T70" i="9"/>
  <c r="S70" i="9"/>
  <c r="T69" i="9"/>
  <c r="S69" i="9"/>
  <c r="T68" i="9"/>
  <c r="S68" i="9"/>
  <c r="T67" i="9"/>
  <c r="S67" i="9"/>
  <c r="T66" i="9"/>
  <c r="S66" i="9"/>
  <c r="T65" i="9"/>
  <c r="S65" i="9"/>
  <c r="T64" i="9"/>
  <c r="S64" i="9"/>
  <c r="T63" i="9"/>
  <c r="S63" i="9"/>
  <c r="T62" i="9"/>
  <c r="S62" i="9"/>
  <c r="T61" i="9"/>
  <c r="S61" i="9"/>
  <c r="T60" i="9"/>
  <c r="S60" i="9"/>
  <c r="T59" i="9"/>
  <c r="S59" i="9"/>
  <c r="T58" i="9"/>
  <c r="S58" i="9"/>
  <c r="T57" i="9"/>
  <c r="S57" i="9"/>
  <c r="T56" i="9"/>
  <c r="S56" i="9"/>
  <c r="T55" i="9"/>
  <c r="S55" i="9"/>
  <c r="T54" i="9"/>
  <c r="S54" i="9"/>
  <c r="T53" i="9"/>
  <c r="S53" i="9"/>
  <c r="T52" i="9"/>
  <c r="S52" i="9"/>
  <c r="T51" i="9"/>
  <c r="S51" i="9"/>
  <c r="T50" i="9"/>
  <c r="S50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S13" i="9"/>
  <c r="T13" i="9"/>
  <c r="S14" i="9"/>
  <c r="T14" i="9"/>
  <c r="S15" i="9"/>
  <c r="T15" i="9"/>
  <c r="S16" i="9"/>
  <c r="T16" i="9"/>
  <c r="S17" i="9"/>
  <c r="T17" i="9"/>
  <c r="S18" i="9"/>
  <c r="T18" i="9"/>
  <c r="S19" i="9"/>
  <c r="T19" i="9"/>
  <c r="S20" i="9"/>
  <c r="T20" i="9"/>
  <c r="S21" i="9"/>
  <c r="T21" i="9"/>
  <c r="S22" i="9"/>
  <c r="T22" i="9"/>
  <c r="S23" i="9"/>
  <c r="T23" i="9"/>
  <c r="S24" i="9"/>
  <c r="T24" i="9"/>
  <c r="S25" i="9"/>
  <c r="T25" i="9"/>
  <c r="S26" i="9"/>
  <c r="T26" i="9"/>
  <c r="S27" i="9"/>
  <c r="T27" i="9"/>
  <c r="S28" i="9"/>
  <c r="T28" i="9"/>
  <c r="S29" i="9"/>
  <c r="T29" i="9"/>
  <c r="S30" i="9"/>
  <c r="T30" i="9"/>
  <c r="S31" i="9"/>
  <c r="T31" i="9"/>
  <c r="S32" i="9"/>
  <c r="T32" i="9"/>
  <c r="S33" i="9"/>
  <c r="T33" i="9"/>
  <c r="S34" i="9"/>
  <c r="T34" i="9"/>
  <c r="S35" i="9"/>
  <c r="T35" i="9"/>
  <c r="S36" i="9"/>
  <c r="T36" i="9"/>
  <c r="S37" i="9"/>
  <c r="T37" i="9"/>
  <c r="S38" i="9"/>
  <c r="T38" i="9"/>
  <c r="S39" i="9"/>
  <c r="T39" i="9"/>
  <c r="S40" i="9"/>
  <c r="T40" i="9"/>
  <c r="S41" i="9"/>
  <c r="T41" i="9"/>
  <c r="S42" i="9"/>
  <c r="T42" i="9"/>
  <c r="S43" i="9"/>
  <c r="T5" i="9"/>
  <c r="S5" i="9"/>
  <c r="O6" i="33" l="1"/>
  <c r="K11" i="33"/>
  <c r="D7" i="33"/>
  <c r="E7" i="33"/>
  <c r="F7" i="33"/>
  <c r="G7" i="33"/>
  <c r="H7" i="33"/>
  <c r="D8" i="33"/>
  <c r="E8" i="33"/>
  <c r="F8" i="33"/>
  <c r="G8" i="33"/>
  <c r="H8" i="33"/>
  <c r="D9" i="33"/>
  <c r="E9" i="33"/>
  <c r="F9" i="33"/>
  <c r="G9" i="33"/>
  <c r="H9" i="33"/>
  <c r="D10" i="33"/>
  <c r="E10" i="33"/>
  <c r="F10" i="33"/>
  <c r="G10" i="33"/>
  <c r="H10" i="33"/>
  <c r="D11" i="33"/>
  <c r="E11" i="33"/>
  <c r="F11" i="33"/>
  <c r="G11" i="33"/>
  <c r="H11" i="33"/>
  <c r="E6" i="33"/>
  <c r="F6" i="33"/>
  <c r="G6" i="33"/>
  <c r="H6" i="33"/>
  <c r="D6" i="33"/>
  <c r="I6" i="33"/>
  <c r="I7" i="33"/>
  <c r="I8" i="33"/>
  <c r="I9" i="33"/>
  <c r="I10" i="33"/>
  <c r="I11" i="33"/>
  <c r="J7" i="33" l="1"/>
  <c r="J8" i="33"/>
  <c r="J9" i="33"/>
  <c r="J10" i="33"/>
  <c r="J11" i="33"/>
  <c r="J6" i="33"/>
  <c r="P9" i="33" l="1"/>
  <c r="Q9" i="33"/>
  <c r="S9" i="33"/>
  <c r="R9" i="33"/>
  <c r="O9" i="33"/>
  <c r="R11" i="33"/>
  <c r="S11" i="33"/>
  <c r="P11" i="33"/>
  <c r="Q11" i="33"/>
  <c r="O11" i="33"/>
  <c r="R8" i="33"/>
  <c r="O8" i="33"/>
  <c r="P8" i="33"/>
  <c r="Q8" i="33"/>
  <c r="S8" i="33"/>
  <c r="R10" i="33"/>
  <c r="O10" i="33"/>
  <c r="S10" i="33"/>
  <c r="P10" i="33"/>
  <c r="Q10" i="33"/>
  <c r="O7" i="33"/>
  <c r="S7" i="33"/>
  <c r="P7" i="33"/>
  <c r="Q7" i="33"/>
  <c r="R7" i="33"/>
  <c r="R6" i="33"/>
  <c r="P6" i="33"/>
  <c r="Q6" i="33"/>
  <c r="S6" i="33"/>
  <c r="D23" i="32"/>
  <c r="Z81" i="33"/>
  <c r="Y74" i="33"/>
  <c r="W85" i="33"/>
  <c r="Z87" i="33"/>
  <c r="X87" i="33"/>
  <c r="Z72" i="33"/>
  <c r="AA86" i="33"/>
  <c r="W88" i="33"/>
  <c r="X91" i="33"/>
  <c r="Z70" i="33"/>
  <c r="Y90" i="33"/>
  <c r="AA80" i="33"/>
  <c r="X85" i="33"/>
  <c r="AA84" i="33"/>
  <c r="Y84" i="33"/>
  <c r="Y81" i="33"/>
  <c r="Y85" i="33"/>
  <c r="AA83" i="33"/>
  <c r="Y87" i="33"/>
  <c r="X86" i="33"/>
  <c r="Z73" i="33"/>
  <c r="Z76" i="33"/>
  <c r="X88" i="33"/>
  <c r="AA82" i="33"/>
  <c r="Y82" i="33"/>
  <c r="AA67" i="33"/>
  <c r="W82" i="33"/>
  <c r="X81" i="33"/>
  <c r="Y79" i="33"/>
  <c r="X83" i="33"/>
  <c r="AA81" i="33"/>
  <c r="X72" i="33"/>
  <c r="AA85" i="33"/>
  <c r="Y80" i="33"/>
  <c r="W80" i="33"/>
  <c r="Z79" i="33"/>
  <c r="AA76" i="33"/>
  <c r="AA75" i="33"/>
  <c r="W79" i="33"/>
  <c r="X78" i="33"/>
  <c r="Z68" i="33"/>
  <c r="Y83" i="33"/>
  <c r="W78" i="33"/>
  <c r="Z77" i="33"/>
  <c r="X77" i="33"/>
  <c r="W86" i="33"/>
  <c r="Z71" i="33"/>
  <c r="Z74" i="33"/>
  <c r="W74" i="33"/>
  <c r="Z88" i="33"/>
  <c r="W81" i="33"/>
  <c r="Z75" i="33"/>
  <c r="X75" i="33"/>
  <c r="Y89" i="33"/>
  <c r="AA74" i="33"/>
  <c r="Y88" i="33"/>
  <c r="Z69" i="33"/>
  <c r="X84" i="33"/>
  <c r="Z78" i="33"/>
  <c r="X73" i="33"/>
  <c r="AA72" i="33"/>
  <c r="W87" i="33"/>
  <c r="Y72" i="33"/>
  <c r="Z85" i="33"/>
  <c r="W77" i="33"/>
  <c r="W84" i="33"/>
  <c r="Z83" i="33"/>
  <c r="Y86" i="33"/>
  <c r="Z80" i="33"/>
  <c r="X76" i="33"/>
  <c r="AA70" i="33"/>
  <c r="Y70" i="33"/>
  <c r="Z84" i="33"/>
  <c r="X80" i="33"/>
  <c r="AA87" i="33"/>
  <c r="W91" i="33"/>
  <c r="Z82" i="33"/>
  <c r="W73" i="33"/>
  <c r="Y76" i="33"/>
  <c r="AA73" i="33"/>
  <c r="X82" i="33"/>
  <c r="W76" i="33"/>
  <c r="X79" i="33"/>
  <c r="Z86" i="33"/>
  <c r="Y78" i="33"/>
  <c r="AA68" i="33"/>
  <c r="W72" i="33"/>
  <c r="Y71" i="33"/>
  <c r="AA79" i="33"/>
  <c r="X90" i="33"/>
  <c r="AA71" i="33"/>
  <c r="Y75" i="33"/>
  <c r="W83" i="33"/>
  <c r="X74" i="33"/>
  <c r="W92" i="33"/>
  <c r="Y77" i="33"/>
  <c r="W89" i="33"/>
  <c r="AA77" i="33"/>
  <c r="X71" i="33"/>
  <c r="AA78" i="33"/>
  <c r="AA69" i="33"/>
  <c r="Y73" i="33"/>
  <c r="W90" i="33"/>
  <c r="Z89" i="33"/>
  <c r="W75" i="33"/>
  <c r="X89" i="33"/>
  <c r="AA63" i="33"/>
  <c r="W67" i="33"/>
  <c r="X66" i="33"/>
  <c r="X69" i="33"/>
  <c r="Z56" i="33"/>
  <c r="AA59" i="33"/>
  <c r="X64" i="33"/>
  <c r="AA58" i="33"/>
  <c r="Y58" i="33"/>
  <c r="W58" i="33"/>
  <c r="Z59" i="33"/>
  <c r="Z62" i="33"/>
  <c r="W62" i="33"/>
  <c r="AA64" i="33"/>
  <c r="Y52" i="33"/>
  <c r="Y55" i="33"/>
  <c r="AA61" i="33"/>
  <c r="Y56" i="33"/>
  <c r="W56" i="33"/>
  <c r="X70" i="33"/>
  <c r="Z55" i="33"/>
  <c r="X55" i="33"/>
  <c r="W59" i="33"/>
  <c r="Y66" i="33"/>
  <c r="Z57" i="33"/>
  <c r="W61" i="33"/>
  <c r="AA51" i="33"/>
  <c r="Y59" i="33"/>
  <c r="W54" i="33"/>
  <c r="Z53" i="33"/>
  <c r="X53" i="33"/>
  <c r="Y51" i="33"/>
  <c r="AA54" i="33"/>
  <c r="X62" i="33"/>
  <c r="AA53" i="33"/>
  <c r="Y69" i="33"/>
  <c r="AA56" i="33"/>
  <c r="AA45" i="33"/>
  <c r="W57" i="33"/>
  <c r="Z51" i="33"/>
  <c r="X51" i="33"/>
  <c r="Y65" i="33"/>
  <c r="AA50" i="33"/>
  <c r="X50" i="33"/>
  <c r="Y50" i="33"/>
  <c r="AA57" i="33"/>
  <c r="Y49" i="33"/>
  <c r="W65" i="33"/>
  <c r="Z52" i="33"/>
  <c r="Z54" i="33"/>
  <c r="X49" i="33"/>
  <c r="AA48" i="33"/>
  <c r="W63" i="33"/>
  <c r="Y48" i="33"/>
  <c r="AA47" i="33"/>
  <c r="AA44" i="33"/>
  <c r="X54" i="33"/>
  <c r="Y61" i="33"/>
  <c r="Z47" i="33"/>
  <c r="Y64" i="33"/>
  <c r="X52" i="33"/>
  <c r="AA46" i="33"/>
  <c r="Z60" i="33"/>
  <c r="X67" i="33"/>
  <c r="W71" i="33"/>
  <c r="Z49" i="33"/>
  <c r="X57" i="33"/>
  <c r="W60" i="33"/>
  <c r="AA49" i="33"/>
  <c r="X58" i="33"/>
  <c r="Y63" i="33"/>
  <c r="AA66" i="33"/>
  <c r="AA65" i="33"/>
  <c r="AA52" i="33"/>
  <c r="X56" i="33"/>
  <c r="Y47" i="33"/>
  <c r="AA55" i="33"/>
  <c r="W70" i="33"/>
  <c r="X59" i="33"/>
  <c r="Y62" i="33"/>
  <c r="Z61" i="33"/>
  <c r="W52" i="33"/>
  <c r="Y68" i="33"/>
  <c r="W68" i="33"/>
  <c r="Y53" i="33"/>
  <c r="Z67" i="33"/>
  <c r="W55" i="33"/>
  <c r="Z58" i="33"/>
  <c r="Y57" i="33"/>
  <c r="W66" i="33"/>
  <c r="Z65" i="33"/>
  <c r="W51" i="33"/>
  <c r="X65" i="33"/>
  <c r="Z50" i="33"/>
  <c r="Y54" i="33"/>
  <c r="W53" i="33"/>
  <c r="Z64" i="33"/>
  <c r="X68" i="33"/>
  <c r="W69" i="33"/>
  <c r="Z63" i="33"/>
  <c r="X63" i="33"/>
  <c r="Z48" i="33"/>
  <c r="AA62" i="33"/>
  <c r="Y67" i="33"/>
  <c r="W50" i="33"/>
  <c r="X60" i="33"/>
  <c r="W64" i="33"/>
  <c r="Z66" i="33"/>
  <c r="X61" i="33"/>
  <c r="Z46" i="33"/>
  <c r="AA60" i="33"/>
  <c r="Y60" i="33"/>
  <c r="X33" i="33"/>
  <c r="Z44" i="33"/>
  <c r="AA42" i="33"/>
  <c r="Y35" i="33"/>
  <c r="Z37" i="33"/>
  <c r="W30" i="33"/>
  <c r="X44" i="33"/>
  <c r="Z29" i="33"/>
  <c r="AA43" i="33"/>
  <c r="X29" i="33"/>
  <c r="AA33" i="33"/>
  <c r="AA40" i="33"/>
  <c r="Z28" i="33"/>
  <c r="Y28" i="33"/>
  <c r="W33" i="33"/>
  <c r="X35" i="33"/>
  <c r="X42" i="33"/>
  <c r="Z27" i="33"/>
  <c r="AA41" i="33"/>
  <c r="X27" i="33"/>
  <c r="Y41" i="33"/>
  <c r="AA26" i="33"/>
  <c r="Y31" i="33"/>
  <c r="Y38" i="33"/>
  <c r="X26" i="33"/>
  <c r="X47" i="33"/>
  <c r="Z30" i="33"/>
  <c r="AA32" i="33"/>
  <c r="AA39" i="33"/>
  <c r="X25" i="33"/>
  <c r="Y39" i="33"/>
  <c r="AA24" i="33"/>
  <c r="W39" i="33"/>
  <c r="Y24" i="33"/>
  <c r="W29" i="33"/>
  <c r="W36" i="33"/>
  <c r="AA23" i="33"/>
  <c r="Y40" i="33"/>
  <c r="X28" i="33"/>
  <c r="Y30" i="33"/>
  <c r="Y37" i="33"/>
  <c r="AA22" i="33"/>
  <c r="W37" i="33"/>
  <c r="Y22" i="33"/>
  <c r="Z36" i="33"/>
  <c r="Z26" i="33"/>
  <c r="Z33" i="33"/>
  <c r="Z45" i="33"/>
  <c r="W38" i="33"/>
  <c r="AA25" i="33"/>
  <c r="W28" i="33"/>
  <c r="W35" i="33"/>
  <c r="Z34" i="33"/>
  <c r="X34" i="33"/>
  <c r="X24" i="33"/>
  <c r="X31" i="33"/>
  <c r="Z35" i="33"/>
  <c r="X43" i="33"/>
  <c r="Y23" i="33"/>
  <c r="Z25" i="33"/>
  <c r="Z32" i="33"/>
  <c r="X32" i="33"/>
  <c r="Y46" i="33"/>
  <c r="AA31" i="33"/>
  <c r="W46" i="33"/>
  <c r="AA21" i="33"/>
  <c r="AA28" i="33"/>
  <c r="Y45" i="33"/>
  <c r="AA30" i="33"/>
  <c r="Z23" i="33"/>
  <c r="W41" i="33"/>
  <c r="X23" i="33"/>
  <c r="X30" i="33"/>
  <c r="Y44" i="33"/>
  <c r="AA29" i="33"/>
  <c r="W44" i="33"/>
  <c r="Y29" i="33"/>
  <c r="Z43" i="33"/>
  <c r="Y26" i="33"/>
  <c r="W43" i="33"/>
  <c r="Y43" i="33"/>
  <c r="AA20" i="33"/>
  <c r="AA27" i="33"/>
  <c r="W42" i="33"/>
  <c r="Y27" i="33"/>
  <c r="Z41" i="33"/>
  <c r="W27" i="33"/>
  <c r="X41" i="33"/>
  <c r="W24" i="33"/>
  <c r="Z40" i="33"/>
  <c r="W26" i="33"/>
  <c r="W48" i="33"/>
  <c r="W45" i="33"/>
  <c r="Y25" i="33"/>
  <c r="Z39" i="33"/>
  <c r="W25" i="33"/>
  <c r="X39" i="33"/>
  <c r="Z24" i="33"/>
  <c r="AA38" i="33"/>
  <c r="Z21" i="33"/>
  <c r="X38" i="33"/>
  <c r="Y42" i="33"/>
  <c r="W47" i="33"/>
  <c r="Z42" i="33"/>
  <c r="X37" i="33"/>
  <c r="Z22" i="33"/>
  <c r="AA36" i="33"/>
  <c r="Y36" i="33"/>
  <c r="AA35" i="33"/>
  <c r="W40" i="33"/>
  <c r="X40" i="33"/>
  <c r="AA34" i="33"/>
  <c r="W49" i="33"/>
  <c r="Y34" i="33"/>
  <c r="W34" i="33"/>
  <c r="Z38" i="33"/>
  <c r="Y33" i="33"/>
  <c r="X45" i="33"/>
  <c r="X48" i="33"/>
  <c r="AA37" i="33"/>
  <c r="Y32" i="33"/>
  <c r="W32" i="33"/>
  <c r="X46" i="33"/>
  <c r="Z31" i="33"/>
  <c r="X36" i="33"/>
  <c r="W31" i="33"/>
  <c r="AA8" i="33"/>
  <c r="AA15" i="33"/>
  <c r="Y15" i="33"/>
  <c r="W15" i="33"/>
  <c r="W12" i="33"/>
  <c r="X21" i="33"/>
  <c r="Y13" i="33"/>
  <c r="W13" i="33"/>
  <c r="Z12" i="33"/>
  <c r="Z9" i="33"/>
  <c r="W6" i="33"/>
  <c r="W11" i="33"/>
  <c r="Z10" i="33"/>
  <c r="X10" i="33"/>
  <c r="X7" i="33"/>
  <c r="AA6" i="33"/>
  <c r="Z8" i="33"/>
  <c r="X8" i="33"/>
  <c r="AA7" i="33"/>
  <c r="W22" i="33"/>
  <c r="Y21" i="33"/>
  <c r="Z6" i="33"/>
  <c r="W14" i="33"/>
  <c r="Y20" i="33"/>
  <c r="W20" i="33"/>
  <c r="Z19" i="33"/>
  <c r="W19" i="33"/>
  <c r="Y6" i="33"/>
  <c r="X9" i="33"/>
  <c r="W18" i="33"/>
  <c r="Z17" i="33"/>
  <c r="X17" i="33"/>
  <c r="Z16" i="33"/>
  <c r="X6" i="33"/>
  <c r="W21" i="33"/>
  <c r="Z15" i="33"/>
  <c r="X15" i="33"/>
  <c r="AA14" i="33"/>
  <c r="Y19" i="33"/>
  <c r="X14" i="33"/>
  <c r="Y16" i="33"/>
  <c r="Z18" i="33"/>
  <c r="X13" i="33"/>
  <c r="AA12" i="33"/>
  <c r="Y12" i="33"/>
  <c r="W17" i="33"/>
  <c r="AA11" i="33"/>
  <c r="X16" i="33"/>
  <c r="Y18" i="33"/>
  <c r="AA10" i="33"/>
  <c r="Y10" i="33"/>
  <c r="W10" i="33"/>
  <c r="Z14" i="33"/>
  <c r="Y9" i="33"/>
  <c r="AA13" i="33"/>
  <c r="W16" i="33"/>
  <c r="W23" i="33"/>
  <c r="Y8" i="33"/>
  <c r="W8" i="33"/>
  <c r="X22" i="33"/>
  <c r="Z7" i="33"/>
  <c r="X12" i="33"/>
  <c r="X19" i="33"/>
  <c r="W7" i="33"/>
  <c r="AA18" i="33"/>
  <c r="Y11" i="33"/>
  <c r="Z13" i="33"/>
  <c r="Z20" i="33"/>
  <c r="X20" i="33"/>
  <c r="AA19" i="33"/>
  <c r="AA9" i="33"/>
  <c r="AA16" i="33"/>
  <c r="Z11" i="33"/>
  <c r="W9" i="33"/>
  <c r="X11" i="33"/>
  <c r="X18" i="33"/>
  <c r="AA17" i="33"/>
  <c r="Y17" i="33"/>
  <c r="Y7" i="33"/>
  <c r="Y14" i="33"/>
  <c r="AF89" i="32" l="1"/>
  <c r="AE75" i="32"/>
  <c r="AH89" i="32"/>
  <c r="AE90" i="32"/>
  <c r="AG73" i="32"/>
  <c r="AI69" i="32"/>
  <c r="AI78" i="32"/>
  <c r="AF71" i="32"/>
  <c r="AI77" i="32"/>
  <c r="AE89" i="32"/>
  <c r="AG77" i="32"/>
  <c r="AE92" i="32"/>
  <c r="AF74" i="32"/>
  <c r="AE83" i="32"/>
  <c r="AG75" i="32"/>
  <c r="AI71" i="32"/>
  <c r="AF90" i="32"/>
  <c r="AI79" i="32"/>
  <c r="AG71" i="32"/>
  <c r="AE72" i="32"/>
  <c r="AI68" i="32"/>
  <c r="AG78" i="32"/>
  <c r="AH86" i="32"/>
  <c r="AF79" i="32"/>
  <c r="AE76" i="32"/>
  <c r="AF82" i="32"/>
  <c r="AI73" i="32"/>
  <c r="AG76" i="32"/>
  <c r="AE73" i="32"/>
  <c r="AH82" i="32"/>
  <c r="AE91" i="32"/>
  <c r="AI87" i="32"/>
  <c r="AF80" i="32"/>
  <c r="AH84" i="32"/>
  <c r="AG70" i="32"/>
  <c r="AI70" i="32"/>
  <c r="AF76" i="32"/>
  <c r="AH80" i="32"/>
  <c r="AG86" i="32"/>
  <c r="AH83" i="32"/>
  <c r="AE84" i="32"/>
  <c r="AE77" i="32"/>
  <c r="AH85" i="32"/>
  <c r="AG72" i="32"/>
  <c r="AE87" i="32"/>
  <c r="AI72" i="32"/>
  <c r="AF73" i="32"/>
  <c r="AH78" i="32"/>
  <c r="AF84" i="32"/>
  <c r="AH69" i="32"/>
  <c r="AG88" i="32"/>
  <c r="AI74" i="32"/>
  <c r="AG89" i="32"/>
  <c r="AF75" i="32"/>
  <c r="AH75" i="32"/>
  <c r="AE81" i="32"/>
  <c r="AH88" i="32"/>
  <c r="AE74" i="32"/>
  <c r="AH74" i="32"/>
  <c r="AH71" i="32"/>
  <c r="AE86" i="32"/>
  <c r="AF77" i="32"/>
  <c r="AH77" i="32"/>
  <c r="AE78" i="32"/>
  <c r="AG83" i="32"/>
  <c r="AH68" i="32"/>
  <c r="AF78" i="32"/>
  <c r="AE79" i="32"/>
  <c r="AI75" i="32"/>
  <c r="AI76" i="32"/>
  <c r="AH79" i="32"/>
  <c r="AE80" i="32"/>
  <c r="AG80" i="32"/>
  <c r="AI85" i="32"/>
  <c r="AF72" i="32"/>
  <c r="AI81" i="32"/>
  <c r="AF83" i="32"/>
  <c r="AG79" i="32"/>
  <c r="AF81" i="32"/>
  <c r="AE82" i="32"/>
  <c r="AI67" i="32"/>
  <c r="AG82" i="32"/>
  <c r="AI82" i="32"/>
  <c r="AF88" i="32"/>
  <c r="AH76" i="32"/>
  <c r="AH73" i="32"/>
  <c r="AF86" i="32"/>
  <c r="AG87" i="32"/>
  <c r="AI83" i="32"/>
  <c r="AG85" i="32"/>
  <c r="AG81" i="32"/>
  <c r="AG84" i="32"/>
  <c r="AI84" i="32"/>
  <c r="AF85" i="32"/>
  <c r="AI80" i="32"/>
  <c r="AG90" i="32"/>
  <c r="AH70" i="32"/>
  <c r="AF91" i="32"/>
  <c r="AE88" i="32"/>
  <c r="AI86" i="32"/>
  <c r="AH72" i="32"/>
  <c r="AF87" i="32"/>
  <c r="AH87" i="32"/>
  <c r="AE85" i="32"/>
  <c r="AG74" i="32"/>
  <c r="AH81" i="32"/>
  <c r="AG60" i="32"/>
  <c r="AI60" i="32"/>
  <c r="AH46" i="32"/>
  <c r="AF61" i="32"/>
  <c r="AH66" i="32"/>
  <c r="AE64" i="32"/>
  <c r="AF60" i="32"/>
  <c r="AE50" i="32"/>
  <c r="AG67" i="32"/>
  <c r="AI62" i="32"/>
  <c r="AH48" i="32"/>
  <c r="AF63" i="32"/>
  <c r="AH63" i="32"/>
  <c r="AE69" i="32"/>
  <c r="AF68" i="32"/>
  <c r="AH64" i="32"/>
  <c r="AE53" i="32"/>
  <c r="AG54" i="32"/>
  <c r="AH50" i="32"/>
  <c r="AF65" i="32"/>
  <c r="AE51" i="32"/>
  <c r="AH65" i="32"/>
  <c r="AE66" i="32"/>
  <c r="AG57" i="32"/>
  <c r="AH58" i="32"/>
  <c r="AE55" i="32"/>
  <c r="AH67" i="32"/>
  <c r="AG53" i="32"/>
  <c r="AE68" i="32"/>
  <c r="AG68" i="32"/>
  <c r="AE52" i="32"/>
  <c r="AH61" i="32"/>
  <c r="AG62" i="32"/>
  <c r="AF59" i="32"/>
  <c r="AE70" i="32"/>
  <c r="AI55" i="32"/>
  <c r="AG47" i="32"/>
  <c r="AF56" i="32"/>
  <c r="AI52" i="32"/>
  <c r="AI65" i="32"/>
  <c r="AI66" i="32"/>
  <c r="AG63" i="32"/>
  <c r="AF58" i="32"/>
  <c r="AI49" i="32"/>
  <c r="AE60" i="32"/>
  <c r="AF57" i="32"/>
  <c r="AH49" i="32"/>
  <c r="AE71" i="32"/>
  <c r="AF67" i="32"/>
  <c r="AH60" i="32"/>
  <c r="AI46" i="32"/>
  <c r="AF52" i="32"/>
  <c r="AG64" i="32"/>
  <c r="AH47" i="32"/>
  <c r="AG61" i="32"/>
  <c r="AF54" i="32"/>
  <c r="AI44" i="32"/>
  <c r="AI47" i="32"/>
  <c r="AG48" i="32"/>
  <c r="AE63" i="32"/>
  <c r="AI48" i="32"/>
  <c r="AF49" i="32"/>
  <c r="AH54" i="32"/>
  <c r="AH52" i="32"/>
  <c r="AE65" i="32"/>
  <c r="AG49" i="32"/>
  <c r="AI57" i="32"/>
  <c r="AG50" i="32"/>
  <c r="AF50" i="32"/>
  <c r="AI50" i="32"/>
  <c r="AG65" i="32"/>
  <c r="AF51" i="32"/>
  <c r="AH51" i="32"/>
  <c r="AE57" i="32"/>
  <c r="AI45" i="32"/>
  <c r="AI56" i="32"/>
  <c r="AG69" i="32"/>
  <c r="AI53" i="32"/>
  <c r="AF62" i="32"/>
  <c r="AI54" i="32"/>
  <c r="AG51" i="32"/>
  <c r="AF53" i="32"/>
  <c r="AH53" i="32"/>
  <c r="AE54" i="32"/>
  <c r="AG59" i="32"/>
  <c r="AI51" i="32"/>
  <c r="AE61" i="32"/>
  <c r="AH57" i="32"/>
  <c r="AG66" i="32"/>
  <c r="AE59" i="32"/>
  <c r="AF55" i="32"/>
  <c r="AH55" i="32"/>
  <c r="AF70" i="32"/>
  <c r="AE56" i="32"/>
  <c r="AG56" i="32"/>
  <c r="AI61" i="32"/>
  <c r="AG55" i="32"/>
  <c r="AG52" i="32"/>
  <c r="AI64" i="32"/>
  <c r="AE62" i="32"/>
  <c r="AH62" i="32"/>
  <c r="AH59" i="32"/>
  <c r="AE58" i="32"/>
  <c r="AG58" i="32"/>
  <c r="AI58" i="32"/>
  <c r="AF64" i="32"/>
  <c r="AI59" i="32"/>
  <c r="AH56" i="32"/>
  <c r="AF69" i="32"/>
  <c r="AF66" i="32"/>
  <c r="AE67" i="32"/>
  <c r="AI63" i="32"/>
  <c r="AE31" i="32"/>
  <c r="AF36" i="32"/>
  <c r="AH31" i="32"/>
  <c r="AF46" i="32"/>
  <c r="AE32" i="32"/>
  <c r="AG32" i="32"/>
  <c r="AI37" i="32"/>
  <c r="AF48" i="32"/>
  <c r="AF45" i="32"/>
  <c r="AG33" i="32"/>
  <c r="AH38" i="32"/>
  <c r="AE34" i="32"/>
  <c r="AG34" i="32"/>
  <c r="AE49" i="32"/>
  <c r="AI34" i="32"/>
  <c r="AF40" i="32"/>
  <c r="AE40" i="32"/>
  <c r="AI35" i="32"/>
  <c r="AG36" i="32"/>
  <c r="AI36" i="32"/>
  <c r="AH22" i="32"/>
  <c r="AF37" i="32"/>
  <c r="AH42" i="32"/>
  <c r="AE47" i="32"/>
  <c r="AG42" i="32"/>
  <c r="AF38" i="32"/>
  <c r="AH21" i="32"/>
  <c r="AI38" i="32"/>
  <c r="AH24" i="32"/>
  <c r="AF39" i="32"/>
  <c r="AE25" i="32"/>
  <c r="AH39" i="32"/>
  <c r="AG25" i="32"/>
  <c r="AE45" i="32"/>
  <c r="AE48" i="32"/>
  <c r="AE26" i="32"/>
  <c r="AH40" i="32"/>
  <c r="AE24" i="32"/>
  <c r="AF41" i="32"/>
  <c r="AE27" i="32"/>
  <c r="AH41" i="32"/>
  <c r="AG27" i="32"/>
  <c r="AE42" i="32"/>
  <c r="AI27" i="32"/>
  <c r="AI20" i="32"/>
  <c r="AG43" i="32"/>
  <c r="AE43" i="32"/>
  <c r="AG26" i="32"/>
  <c r="AH43" i="32"/>
  <c r="AG29" i="32"/>
  <c r="AE44" i="32"/>
  <c r="AI29" i="32"/>
  <c r="AG44" i="32"/>
  <c r="AF30" i="32"/>
  <c r="AF23" i="32"/>
  <c r="AE41" i="32"/>
  <c r="AH23" i="32"/>
  <c r="AI30" i="32"/>
  <c r="AG45" i="32"/>
  <c r="AI28" i="32"/>
  <c r="AI21" i="32"/>
  <c r="AE46" i="32"/>
  <c r="AI31" i="32"/>
  <c r="AG46" i="32"/>
  <c r="AF32" i="32"/>
  <c r="AH32" i="32"/>
  <c r="AH25" i="32"/>
  <c r="AG23" i="32"/>
  <c r="AF43" i="32"/>
  <c r="AH35" i="32"/>
  <c r="AF31" i="32"/>
  <c r="AF24" i="32"/>
  <c r="AF34" i="32"/>
  <c r="AH34" i="32"/>
  <c r="AE35" i="32"/>
  <c r="AE28" i="32"/>
  <c r="AI25" i="32"/>
  <c r="AE38" i="32"/>
  <c r="AH45" i="32"/>
  <c r="AH33" i="32"/>
  <c r="AH26" i="32"/>
  <c r="AH36" i="32"/>
  <c r="AG22" i="32"/>
  <c r="AE37" i="32"/>
  <c r="AI22" i="32"/>
  <c r="AG37" i="32"/>
  <c r="AG30" i="32"/>
  <c r="AF28" i="32"/>
  <c r="AG40" i="32"/>
  <c r="AI23" i="32"/>
  <c r="AE36" i="32"/>
  <c r="AE29" i="32"/>
  <c r="AG24" i="32"/>
  <c r="AE39" i="32"/>
  <c r="AI24" i="32"/>
  <c r="AG39" i="32"/>
  <c r="AF25" i="32"/>
  <c r="AI39" i="32"/>
  <c r="AI32" i="32"/>
  <c r="AH30" i="32"/>
  <c r="AF47" i="32"/>
  <c r="AF26" i="32"/>
  <c r="AG38" i="32"/>
  <c r="AG31" i="32"/>
  <c r="AI26" i="32"/>
  <c r="AG41" i="32"/>
  <c r="AF27" i="32"/>
  <c r="AI41" i="32"/>
  <c r="AH27" i="32"/>
  <c r="AF42" i="32"/>
  <c r="AF35" i="32"/>
  <c r="AE33" i="32"/>
  <c r="AG28" i="32"/>
  <c r="AH28" i="32"/>
  <c r="AI40" i="32"/>
  <c r="AI33" i="32"/>
  <c r="AF29" i="32"/>
  <c r="AI43" i="32"/>
  <c r="AH29" i="32"/>
  <c r="AF44" i="32"/>
  <c r="AE30" i="32"/>
  <c r="AH37" i="32"/>
  <c r="AG35" i="32"/>
  <c r="AI42" i="32"/>
  <c r="AH44" i="32"/>
  <c r="AF33" i="32"/>
  <c r="AG14" i="32"/>
  <c r="AG7" i="32"/>
  <c r="AG17" i="32"/>
  <c r="AI17" i="32"/>
  <c r="AF18" i="32"/>
  <c r="AF11" i="32"/>
  <c r="AE9" i="32"/>
  <c r="AH11" i="32"/>
  <c r="AI16" i="32"/>
  <c r="AI9" i="32"/>
  <c r="AI19" i="32"/>
  <c r="AF20" i="32"/>
  <c r="AH20" i="32"/>
  <c r="AH13" i="32"/>
  <c r="AG11" i="32"/>
  <c r="AI18" i="32"/>
  <c r="AE7" i="32"/>
  <c r="AF19" i="32"/>
  <c r="AF12" i="32"/>
  <c r="AH7" i="32"/>
  <c r="AF22" i="32"/>
  <c r="AE8" i="32"/>
  <c r="AG8" i="32"/>
  <c r="AE23" i="32"/>
  <c r="AE16" i="32"/>
  <c r="AI13" i="32"/>
  <c r="AG9" i="32"/>
  <c r="AH14" i="32"/>
  <c r="AE10" i="32"/>
  <c r="AG10" i="32"/>
  <c r="AI10" i="32"/>
  <c r="AG18" i="32"/>
  <c r="AF16" i="32"/>
  <c r="AI11" i="32"/>
  <c r="AE17" i="32"/>
  <c r="AG12" i="32"/>
  <c r="AI12" i="32"/>
  <c r="AF13" i="32"/>
  <c r="AH18" i="32"/>
  <c r="AG16" i="32"/>
  <c r="AF14" i="32"/>
  <c r="AG19" i="32"/>
  <c r="AI14" i="32"/>
  <c r="AF15" i="32"/>
  <c r="AH15" i="32"/>
  <c r="AE21" i="32"/>
  <c r="AF6" i="32"/>
  <c r="AH16" i="32"/>
  <c r="AF17" i="32"/>
  <c r="AH17" i="32"/>
  <c r="AE18" i="32"/>
  <c r="AF9" i="32"/>
  <c r="AG6" i="32"/>
  <c r="AE19" i="32"/>
  <c r="AH19" i="32"/>
  <c r="AE20" i="32"/>
  <c r="AG20" i="32"/>
  <c r="AE14" i="32"/>
  <c r="AH6" i="32"/>
  <c r="AG21" i="32"/>
  <c r="AE22" i="32"/>
  <c r="AI7" i="32"/>
  <c r="AF8" i="32"/>
  <c r="AH8" i="32"/>
  <c r="AI6" i="32"/>
  <c r="AF7" i="32"/>
  <c r="AF10" i="32"/>
  <c r="AH10" i="32"/>
  <c r="AE11" i="32"/>
  <c r="AE6" i="32"/>
  <c r="AH9" i="32"/>
  <c r="AH12" i="32"/>
  <c r="AE13" i="32"/>
  <c r="AG13" i="32"/>
  <c r="AF21" i="32"/>
  <c r="AE12" i="32"/>
  <c r="AE15" i="32"/>
  <c r="AG15" i="32"/>
  <c r="AI15" i="32"/>
  <c r="AI8" i="32"/>
  <c r="H7" i="32"/>
  <c r="H21" i="32" s="1"/>
  <c r="J9" i="32"/>
  <c r="J23" i="32" s="1"/>
  <c r="L11" i="32"/>
  <c r="L25" i="32" s="1"/>
  <c r="I14" i="32"/>
  <c r="I28" i="32" s="1"/>
  <c r="I7" i="32"/>
  <c r="I21" i="32" s="1"/>
  <c r="H12" i="32"/>
  <c r="H26" i="32" s="1"/>
  <c r="J14" i="32"/>
  <c r="J28" i="32" s="1"/>
  <c r="L9" i="32"/>
  <c r="L23" i="32" s="1"/>
  <c r="K9" i="32"/>
  <c r="K23" i="32" s="1"/>
  <c r="K7" i="32"/>
  <c r="K21" i="32" s="1"/>
  <c r="L7" i="32"/>
  <c r="L21" i="32" s="1"/>
  <c r="I10" i="32"/>
  <c r="I24" i="32" s="1"/>
  <c r="K12" i="32"/>
  <c r="K26" i="32" s="1"/>
  <c r="I6" i="32"/>
  <c r="I20" i="32" s="1"/>
  <c r="J8" i="32"/>
  <c r="J22" i="32" s="1"/>
  <c r="K8" i="32"/>
  <c r="K22" i="32" s="1"/>
  <c r="H6" i="32"/>
  <c r="H20" i="32" s="1"/>
  <c r="K11" i="32"/>
  <c r="K25" i="32" s="1"/>
  <c r="K14" i="32"/>
  <c r="K28" i="32" s="1"/>
  <c r="H8" i="32"/>
  <c r="H22" i="32" s="1"/>
  <c r="J10" i="32"/>
  <c r="J24" i="32" s="1"/>
  <c r="L12" i="32"/>
  <c r="L26" i="32" s="1"/>
  <c r="J6" i="32"/>
  <c r="J20" i="32" s="1"/>
  <c r="L6" i="32"/>
  <c r="L20" i="32" s="1"/>
  <c r="J13" i="32"/>
  <c r="J27" i="32" s="1"/>
  <c r="L13" i="32"/>
  <c r="L27" i="32" s="1"/>
  <c r="H14" i="32"/>
  <c r="H28" i="32" s="1"/>
  <c r="J12" i="32"/>
  <c r="J26" i="32" s="1"/>
  <c r="I8" i="32"/>
  <c r="I22" i="32" s="1"/>
  <c r="K10" i="32"/>
  <c r="K24" i="32" s="1"/>
  <c r="H13" i="32"/>
  <c r="H27" i="32" s="1"/>
  <c r="K6" i="32"/>
  <c r="K20" i="32" s="1"/>
  <c r="L10" i="32"/>
  <c r="L24" i="32" s="1"/>
  <c r="H11" i="32"/>
  <c r="H25" i="32" s="1"/>
  <c r="I9" i="32"/>
  <c r="I23" i="32" s="1"/>
  <c r="I12" i="32"/>
  <c r="I26" i="32" s="1"/>
  <c r="I13" i="32"/>
  <c r="I27" i="32" s="1"/>
  <c r="H10" i="32"/>
  <c r="H24" i="32" s="1"/>
  <c r="L8" i="32"/>
  <c r="L22" i="32" s="1"/>
  <c r="I11" i="32"/>
  <c r="I25" i="32" s="1"/>
  <c r="K13" i="32"/>
  <c r="K27" i="32" s="1"/>
  <c r="H9" i="32"/>
  <c r="H23" i="32" s="1"/>
  <c r="J11" i="32"/>
  <c r="J25" i="32" s="1"/>
  <c r="J7" i="32"/>
  <c r="J21" i="32" s="1"/>
  <c r="L14" i="32"/>
  <c r="L28" i="32" s="1"/>
  <c r="L5" i="9" l="1"/>
  <c r="M5" i="9"/>
  <c r="N5" i="9"/>
  <c r="O5" i="9"/>
  <c r="P5" i="9"/>
  <c r="L6" i="9"/>
  <c r="M6" i="9"/>
  <c r="N6" i="9"/>
  <c r="O6" i="9"/>
  <c r="P6" i="9"/>
  <c r="L7" i="9"/>
  <c r="M7" i="9"/>
  <c r="N7" i="9"/>
  <c r="O7" i="9"/>
  <c r="P7" i="9"/>
  <c r="L8" i="9"/>
  <c r="M8" i="9"/>
  <c r="N8" i="9"/>
  <c r="O8" i="9"/>
  <c r="P8" i="9"/>
  <c r="L9" i="9"/>
  <c r="M9" i="9"/>
  <c r="N9" i="9"/>
  <c r="O9" i="9"/>
  <c r="P9" i="9"/>
  <c r="L10" i="9"/>
  <c r="M10" i="9"/>
  <c r="N10" i="9"/>
  <c r="O10" i="9"/>
  <c r="P10" i="9"/>
  <c r="L11" i="9"/>
  <c r="M11" i="9"/>
  <c r="N11" i="9"/>
  <c r="O11" i="9"/>
  <c r="P11" i="9"/>
  <c r="L12" i="9"/>
  <c r="M12" i="9"/>
  <c r="N12" i="9"/>
  <c r="O12" i="9"/>
  <c r="P12" i="9"/>
  <c r="L13" i="9"/>
  <c r="M13" i="9"/>
  <c r="N13" i="9"/>
  <c r="O13" i="9"/>
  <c r="P13" i="9"/>
  <c r="L14" i="9"/>
  <c r="M14" i="9"/>
  <c r="N14" i="9"/>
  <c r="O14" i="9"/>
  <c r="P14" i="9"/>
  <c r="L15" i="9"/>
  <c r="M15" i="9"/>
  <c r="N15" i="9"/>
  <c r="O15" i="9"/>
  <c r="P15" i="9"/>
  <c r="M4" i="9"/>
  <c r="N4" i="9"/>
  <c r="O4" i="9"/>
  <c r="P4" i="9"/>
  <c r="L4" i="9"/>
  <c r="AA71" i="1" l="1"/>
  <c r="AB71" i="1"/>
  <c r="AC71" i="1"/>
  <c r="AD71" i="1"/>
  <c r="AE71" i="1"/>
  <c r="AH71" i="1"/>
  <c r="AI71" i="1"/>
  <c r="AJ71" i="1"/>
  <c r="AK71" i="1"/>
  <c r="AL71" i="1"/>
  <c r="AA72" i="1"/>
  <c r="AB72" i="1"/>
  <c r="AC72" i="1"/>
  <c r="AD72" i="1"/>
  <c r="AE72" i="1"/>
  <c r="AH72" i="1"/>
  <c r="AI72" i="1"/>
  <c r="AJ72" i="1"/>
  <c r="AK72" i="1"/>
  <c r="AL72" i="1"/>
  <c r="AA73" i="1"/>
  <c r="AB73" i="1"/>
  <c r="AC73" i="1"/>
  <c r="AD73" i="1"/>
  <c r="AE73" i="1"/>
  <c r="AH73" i="1"/>
  <c r="AI73" i="1"/>
  <c r="AJ73" i="1"/>
  <c r="AK73" i="1"/>
  <c r="AL73" i="1"/>
  <c r="AA74" i="1"/>
  <c r="AB74" i="1"/>
  <c r="AC74" i="1"/>
  <c r="AD74" i="1"/>
  <c r="AE74" i="1"/>
  <c r="AH74" i="1"/>
  <c r="AI74" i="1"/>
  <c r="AJ74" i="1"/>
  <c r="AK74" i="1"/>
  <c r="AL74" i="1"/>
  <c r="AA75" i="1"/>
  <c r="AB75" i="1"/>
  <c r="AC75" i="1"/>
  <c r="AD75" i="1"/>
  <c r="AE75" i="1"/>
  <c r="AH75" i="1"/>
  <c r="AI75" i="1"/>
  <c r="AJ75" i="1"/>
  <c r="AK75" i="1"/>
  <c r="AL75" i="1"/>
  <c r="AA76" i="1"/>
  <c r="AB76" i="1"/>
  <c r="AC76" i="1"/>
  <c r="AD76" i="1"/>
  <c r="AE76" i="1"/>
  <c r="AH76" i="1"/>
  <c r="AI76" i="1"/>
  <c r="AJ76" i="1"/>
  <c r="AK76" i="1"/>
  <c r="AL76" i="1"/>
  <c r="AA77" i="1"/>
  <c r="AB77" i="1"/>
  <c r="AC77" i="1"/>
  <c r="AD77" i="1"/>
  <c r="AE77" i="1"/>
  <c r="AH77" i="1"/>
  <c r="AI77" i="1"/>
  <c r="AJ77" i="1"/>
  <c r="AK77" i="1"/>
  <c r="AL77" i="1"/>
  <c r="AA78" i="1"/>
  <c r="AB78" i="1"/>
  <c r="AC78" i="1"/>
  <c r="AD78" i="1"/>
  <c r="AE78" i="1"/>
  <c r="AH78" i="1"/>
  <c r="AI78" i="1"/>
  <c r="AJ78" i="1"/>
  <c r="AK78" i="1"/>
  <c r="AL78" i="1"/>
  <c r="AA79" i="1"/>
  <c r="AB79" i="1"/>
  <c r="AC79" i="1"/>
  <c r="AD79" i="1"/>
  <c r="AE79" i="1"/>
  <c r="AH79" i="1"/>
  <c r="AI79" i="1"/>
  <c r="AJ79" i="1"/>
  <c r="AK79" i="1"/>
  <c r="AL79" i="1"/>
  <c r="AA80" i="1"/>
  <c r="AB80" i="1"/>
  <c r="AC80" i="1"/>
  <c r="AD80" i="1"/>
  <c r="AE80" i="1"/>
  <c r="AH80" i="1"/>
  <c r="AI80" i="1"/>
  <c r="AJ80" i="1"/>
  <c r="AK80" i="1"/>
  <c r="AL80" i="1"/>
  <c r="AA81" i="1"/>
  <c r="AB81" i="1"/>
  <c r="AC81" i="1"/>
  <c r="AD81" i="1"/>
  <c r="AE81" i="1"/>
  <c r="AH81" i="1"/>
  <c r="AI81" i="1"/>
  <c r="AJ81" i="1"/>
  <c r="AK81" i="1"/>
  <c r="AL81" i="1"/>
  <c r="AA82" i="1"/>
  <c r="AB82" i="1"/>
  <c r="AC82" i="1"/>
  <c r="AD82" i="1"/>
  <c r="AE82" i="1"/>
  <c r="AH82" i="1"/>
  <c r="AI82" i="1"/>
  <c r="AJ82" i="1"/>
  <c r="AK82" i="1"/>
  <c r="AL82" i="1"/>
  <c r="AA83" i="1"/>
  <c r="AB83" i="1"/>
  <c r="AC83" i="1"/>
  <c r="AD83" i="1"/>
  <c r="AE83" i="1"/>
  <c r="AH83" i="1"/>
  <c r="AI83" i="1"/>
  <c r="AJ83" i="1"/>
  <c r="AK83" i="1"/>
  <c r="AL83" i="1"/>
  <c r="AA54" i="1"/>
  <c r="AB54" i="1"/>
  <c r="AC54" i="1"/>
  <c r="AD54" i="1"/>
  <c r="AE54" i="1"/>
  <c r="AH54" i="1"/>
  <c r="AI54" i="1"/>
  <c r="AJ54" i="1"/>
  <c r="AK54" i="1"/>
  <c r="AL54" i="1"/>
  <c r="AA55" i="1"/>
  <c r="AB55" i="1"/>
  <c r="AC55" i="1"/>
  <c r="AD55" i="1"/>
  <c r="AE55" i="1"/>
  <c r="AH55" i="1"/>
  <c r="AI55" i="1"/>
  <c r="AJ55" i="1"/>
  <c r="AK55" i="1"/>
  <c r="AL55" i="1"/>
  <c r="AA56" i="1"/>
  <c r="AB56" i="1"/>
  <c r="AC56" i="1"/>
  <c r="AD56" i="1"/>
  <c r="AE56" i="1"/>
  <c r="AH56" i="1"/>
  <c r="AI56" i="1"/>
  <c r="AJ56" i="1"/>
  <c r="AK56" i="1"/>
  <c r="AL56" i="1"/>
  <c r="AA57" i="1"/>
  <c r="AB57" i="1"/>
  <c r="AC57" i="1"/>
  <c r="AD57" i="1"/>
  <c r="AE57" i="1"/>
  <c r="AH57" i="1"/>
  <c r="AI57" i="1"/>
  <c r="AJ57" i="1"/>
  <c r="AK57" i="1"/>
  <c r="AL57" i="1"/>
  <c r="AA58" i="1"/>
  <c r="AB58" i="1"/>
  <c r="AC58" i="1"/>
  <c r="AD58" i="1"/>
  <c r="AE58" i="1"/>
  <c r="AH58" i="1"/>
  <c r="AI58" i="1"/>
  <c r="AJ58" i="1"/>
  <c r="AK58" i="1"/>
  <c r="AL58" i="1"/>
  <c r="AA59" i="1"/>
  <c r="AB59" i="1"/>
  <c r="AC59" i="1"/>
  <c r="AD59" i="1"/>
  <c r="AE59" i="1"/>
  <c r="AH59" i="1"/>
  <c r="AI59" i="1"/>
  <c r="AJ59" i="1"/>
  <c r="AK59" i="1"/>
  <c r="AL59" i="1"/>
  <c r="AA60" i="1"/>
  <c r="AB60" i="1"/>
  <c r="AC60" i="1"/>
  <c r="AD60" i="1"/>
  <c r="AE60" i="1"/>
  <c r="AH60" i="1"/>
  <c r="AI60" i="1"/>
  <c r="AJ60" i="1"/>
  <c r="AK60" i="1"/>
  <c r="AL60" i="1"/>
  <c r="AA61" i="1"/>
  <c r="AB61" i="1"/>
  <c r="AC61" i="1"/>
  <c r="AD61" i="1"/>
  <c r="AE61" i="1"/>
  <c r="AH61" i="1"/>
  <c r="AI61" i="1"/>
  <c r="AJ61" i="1"/>
  <c r="AK61" i="1"/>
  <c r="AL61" i="1"/>
  <c r="AA62" i="1"/>
  <c r="AB62" i="1"/>
  <c r="AC62" i="1"/>
  <c r="AD62" i="1"/>
  <c r="AE62" i="1"/>
  <c r="AH62" i="1"/>
  <c r="AI62" i="1"/>
  <c r="AJ62" i="1"/>
  <c r="AK62" i="1"/>
  <c r="AL62" i="1"/>
  <c r="AA63" i="1"/>
  <c r="AB63" i="1"/>
  <c r="AC63" i="1"/>
  <c r="AD63" i="1"/>
  <c r="AE63" i="1"/>
  <c r="AH63" i="1"/>
  <c r="AI63" i="1"/>
  <c r="AJ63" i="1"/>
  <c r="AK63" i="1"/>
  <c r="AL63" i="1"/>
  <c r="AA64" i="1"/>
  <c r="AB64" i="1"/>
  <c r="AC64" i="1"/>
  <c r="AD64" i="1"/>
  <c r="AE64" i="1"/>
  <c r="AH64" i="1"/>
  <c r="AI64" i="1"/>
  <c r="AJ64" i="1"/>
  <c r="AK64" i="1"/>
  <c r="AL64" i="1"/>
  <c r="AA65" i="1"/>
  <c r="AB65" i="1"/>
  <c r="AC65" i="1"/>
  <c r="AD65" i="1"/>
  <c r="AE65" i="1"/>
  <c r="AH65" i="1"/>
  <c r="AI65" i="1"/>
  <c r="AJ65" i="1"/>
  <c r="AK65" i="1"/>
  <c r="AL65" i="1"/>
  <c r="AA66" i="1"/>
  <c r="AB66" i="1"/>
  <c r="AC66" i="1"/>
  <c r="AD66" i="1"/>
  <c r="AE66" i="1"/>
  <c r="AH66" i="1"/>
  <c r="AI66" i="1"/>
  <c r="AJ66" i="1"/>
  <c r="AK66" i="1"/>
  <c r="AL66" i="1"/>
  <c r="AA67" i="1"/>
  <c r="AB67" i="1"/>
  <c r="AC67" i="1"/>
  <c r="AD67" i="1"/>
  <c r="AE67" i="1"/>
  <c r="AH67" i="1"/>
  <c r="AI67" i="1"/>
  <c r="AJ67" i="1"/>
  <c r="AK67" i="1"/>
  <c r="AL67" i="1"/>
  <c r="AA68" i="1"/>
  <c r="AB68" i="1"/>
  <c r="AC68" i="1"/>
  <c r="AD68" i="1"/>
  <c r="AE68" i="1"/>
  <c r="AH68" i="1"/>
  <c r="AI68" i="1"/>
  <c r="AJ68" i="1"/>
  <c r="AK68" i="1"/>
  <c r="AL68" i="1"/>
  <c r="AA69" i="1"/>
  <c r="AB69" i="1"/>
  <c r="AC69" i="1"/>
  <c r="AD69" i="1"/>
  <c r="AE69" i="1"/>
  <c r="AH69" i="1"/>
  <c r="AI69" i="1"/>
  <c r="AJ69" i="1"/>
  <c r="AK69" i="1"/>
  <c r="AL69" i="1"/>
  <c r="AA70" i="1"/>
  <c r="AB70" i="1"/>
  <c r="AC70" i="1"/>
  <c r="AD70" i="1"/>
  <c r="AE70" i="1"/>
  <c r="AH70" i="1"/>
  <c r="AI70" i="1"/>
  <c r="AJ70" i="1"/>
  <c r="AK70" i="1"/>
  <c r="AL70" i="1"/>
  <c r="B154" i="1"/>
  <c r="D154" i="1"/>
  <c r="E154" i="1"/>
  <c r="F154" i="1"/>
  <c r="G154" i="1"/>
  <c r="H154" i="1"/>
  <c r="K154" i="1"/>
  <c r="L154" i="1"/>
  <c r="M154" i="1"/>
  <c r="N154" i="1"/>
  <c r="O154" i="1"/>
  <c r="B155" i="1"/>
  <c r="D155" i="1"/>
  <c r="E155" i="1"/>
  <c r="F155" i="1"/>
  <c r="G155" i="1"/>
  <c r="H155" i="1"/>
  <c r="K155" i="1"/>
  <c r="L155" i="1"/>
  <c r="M155" i="1"/>
  <c r="N155" i="1"/>
  <c r="O155" i="1"/>
  <c r="B156" i="1"/>
  <c r="D156" i="1"/>
  <c r="E156" i="1"/>
  <c r="F156" i="1"/>
  <c r="G156" i="1"/>
  <c r="H156" i="1"/>
  <c r="K156" i="1"/>
  <c r="L156" i="1"/>
  <c r="M156" i="1"/>
  <c r="N156" i="1"/>
  <c r="O156" i="1"/>
  <c r="B157" i="1"/>
  <c r="D157" i="1"/>
  <c r="E157" i="1"/>
  <c r="F157" i="1"/>
  <c r="G157" i="1"/>
  <c r="H157" i="1"/>
  <c r="K157" i="1"/>
  <c r="L157" i="1"/>
  <c r="M157" i="1"/>
  <c r="N157" i="1"/>
  <c r="O157" i="1"/>
  <c r="B158" i="1"/>
  <c r="D158" i="1"/>
  <c r="E158" i="1"/>
  <c r="F158" i="1"/>
  <c r="G158" i="1"/>
  <c r="H158" i="1"/>
  <c r="K158" i="1"/>
  <c r="L158" i="1"/>
  <c r="M158" i="1"/>
  <c r="N158" i="1"/>
  <c r="O158" i="1"/>
  <c r="B159" i="1"/>
  <c r="D159" i="1"/>
  <c r="E159" i="1"/>
  <c r="F159" i="1"/>
  <c r="G159" i="1"/>
  <c r="H159" i="1"/>
  <c r="K159" i="1"/>
  <c r="L159" i="1"/>
  <c r="M159" i="1"/>
  <c r="N159" i="1"/>
  <c r="O159" i="1"/>
  <c r="B160" i="1"/>
  <c r="D160" i="1"/>
  <c r="E160" i="1"/>
  <c r="F160" i="1"/>
  <c r="G160" i="1"/>
  <c r="H160" i="1"/>
  <c r="K160" i="1"/>
  <c r="L160" i="1"/>
  <c r="M160" i="1"/>
  <c r="N160" i="1"/>
  <c r="O160" i="1"/>
  <c r="B161" i="1"/>
  <c r="D161" i="1"/>
  <c r="E161" i="1"/>
  <c r="F161" i="1"/>
  <c r="G161" i="1"/>
  <c r="H161" i="1"/>
  <c r="K161" i="1"/>
  <c r="L161" i="1"/>
  <c r="M161" i="1"/>
  <c r="N161" i="1"/>
  <c r="O161" i="1"/>
  <c r="B162" i="1"/>
  <c r="D162" i="1"/>
  <c r="E162" i="1"/>
  <c r="F162" i="1"/>
  <c r="G162" i="1"/>
  <c r="H162" i="1"/>
  <c r="K162" i="1"/>
  <c r="L162" i="1"/>
  <c r="M162" i="1"/>
  <c r="N162" i="1"/>
  <c r="O162" i="1"/>
  <c r="B163" i="1"/>
  <c r="D163" i="1"/>
  <c r="E163" i="1"/>
  <c r="F163" i="1"/>
  <c r="G163" i="1"/>
  <c r="H163" i="1"/>
  <c r="K163" i="1"/>
  <c r="L163" i="1"/>
  <c r="M163" i="1"/>
  <c r="N163" i="1"/>
  <c r="O163" i="1"/>
  <c r="B140" i="1"/>
  <c r="D140" i="1"/>
  <c r="E140" i="1"/>
  <c r="F140" i="1"/>
  <c r="G140" i="1"/>
  <c r="H140" i="1"/>
  <c r="K140" i="1"/>
  <c r="L140" i="1"/>
  <c r="M140" i="1"/>
  <c r="N140" i="1"/>
  <c r="O140" i="1"/>
  <c r="B141" i="1"/>
  <c r="D141" i="1"/>
  <c r="E141" i="1"/>
  <c r="F141" i="1"/>
  <c r="G141" i="1"/>
  <c r="H141" i="1"/>
  <c r="K141" i="1"/>
  <c r="L141" i="1"/>
  <c r="M141" i="1"/>
  <c r="N141" i="1"/>
  <c r="O141" i="1"/>
  <c r="B142" i="1"/>
  <c r="D142" i="1"/>
  <c r="E142" i="1"/>
  <c r="F142" i="1"/>
  <c r="G142" i="1"/>
  <c r="H142" i="1"/>
  <c r="K142" i="1"/>
  <c r="L142" i="1"/>
  <c r="M142" i="1"/>
  <c r="N142" i="1"/>
  <c r="O142" i="1"/>
  <c r="B143" i="1"/>
  <c r="D143" i="1"/>
  <c r="E143" i="1"/>
  <c r="F143" i="1"/>
  <c r="G143" i="1"/>
  <c r="H143" i="1"/>
  <c r="K143" i="1"/>
  <c r="L143" i="1"/>
  <c r="M143" i="1"/>
  <c r="N143" i="1"/>
  <c r="O143" i="1"/>
  <c r="B144" i="1"/>
  <c r="D144" i="1"/>
  <c r="E144" i="1"/>
  <c r="F144" i="1"/>
  <c r="G144" i="1"/>
  <c r="H144" i="1"/>
  <c r="K144" i="1"/>
  <c r="L144" i="1"/>
  <c r="M144" i="1"/>
  <c r="N144" i="1"/>
  <c r="O144" i="1"/>
  <c r="B145" i="1"/>
  <c r="D145" i="1"/>
  <c r="E145" i="1"/>
  <c r="F145" i="1"/>
  <c r="G145" i="1"/>
  <c r="H145" i="1"/>
  <c r="K145" i="1"/>
  <c r="L145" i="1"/>
  <c r="M145" i="1"/>
  <c r="N145" i="1"/>
  <c r="O145" i="1"/>
  <c r="B146" i="1"/>
  <c r="D146" i="1"/>
  <c r="E146" i="1"/>
  <c r="F146" i="1"/>
  <c r="G146" i="1"/>
  <c r="H146" i="1"/>
  <c r="K146" i="1"/>
  <c r="L146" i="1"/>
  <c r="M146" i="1"/>
  <c r="N146" i="1"/>
  <c r="O146" i="1"/>
  <c r="B147" i="1"/>
  <c r="D147" i="1"/>
  <c r="E147" i="1"/>
  <c r="F147" i="1"/>
  <c r="G147" i="1"/>
  <c r="H147" i="1"/>
  <c r="K147" i="1"/>
  <c r="L147" i="1"/>
  <c r="M147" i="1"/>
  <c r="N147" i="1"/>
  <c r="O147" i="1"/>
  <c r="B148" i="1"/>
  <c r="D148" i="1"/>
  <c r="E148" i="1"/>
  <c r="F148" i="1"/>
  <c r="G148" i="1"/>
  <c r="H148" i="1"/>
  <c r="K148" i="1"/>
  <c r="L148" i="1"/>
  <c r="M148" i="1"/>
  <c r="N148" i="1"/>
  <c r="O148" i="1"/>
  <c r="B149" i="1"/>
  <c r="D149" i="1"/>
  <c r="E149" i="1"/>
  <c r="F149" i="1"/>
  <c r="G149" i="1"/>
  <c r="H149" i="1"/>
  <c r="K149" i="1"/>
  <c r="L149" i="1"/>
  <c r="M149" i="1"/>
  <c r="N149" i="1"/>
  <c r="O149" i="1"/>
  <c r="B150" i="1"/>
  <c r="D150" i="1"/>
  <c r="E150" i="1"/>
  <c r="F150" i="1"/>
  <c r="G150" i="1"/>
  <c r="H150" i="1"/>
  <c r="K150" i="1"/>
  <c r="L150" i="1"/>
  <c r="M150" i="1"/>
  <c r="N150" i="1"/>
  <c r="O150" i="1"/>
  <c r="B151" i="1"/>
  <c r="D151" i="1"/>
  <c r="E151" i="1"/>
  <c r="F151" i="1"/>
  <c r="G151" i="1"/>
  <c r="H151" i="1"/>
  <c r="K151" i="1"/>
  <c r="L151" i="1"/>
  <c r="M151" i="1"/>
  <c r="N151" i="1"/>
  <c r="O151" i="1"/>
  <c r="B152" i="1"/>
  <c r="D152" i="1"/>
  <c r="E152" i="1"/>
  <c r="F152" i="1"/>
  <c r="G152" i="1"/>
  <c r="H152" i="1"/>
  <c r="K152" i="1"/>
  <c r="L152" i="1"/>
  <c r="M152" i="1"/>
  <c r="N152" i="1"/>
  <c r="O152" i="1"/>
  <c r="B153" i="1"/>
  <c r="D153" i="1"/>
  <c r="E153" i="1"/>
  <c r="F153" i="1"/>
  <c r="G153" i="1"/>
  <c r="H153" i="1"/>
  <c r="K153" i="1"/>
  <c r="L153" i="1"/>
  <c r="M153" i="1"/>
  <c r="N153" i="1"/>
  <c r="O153" i="1"/>
  <c r="B114" i="1"/>
  <c r="D114" i="1"/>
  <c r="E114" i="1"/>
  <c r="F114" i="1"/>
  <c r="G114" i="1"/>
  <c r="H114" i="1"/>
  <c r="K114" i="1"/>
  <c r="L114" i="1"/>
  <c r="M114" i="1"/>
  <c r="N114" i="1"/>
  <c r="O114" i="1"/>
  <c r="B115" i="1"/>
  <c r="D115" i="1"/>
  <c r="E115" i="1"/>
  <c r="F115" i="1"/>
  <c r="G115" i="1"/>
  <c r="H115" i="1"/>
  <c r="K115" i="1"/>
  <c r="L115" i="1"/>
  <c r="M115" i="1"/>
  <c r="N115" i="1"/>
  <c r="O115" i="1"/>
  <c r="B116" i="1"/>
  <c r="D116" i="1"/>
  <c r="E116" i="1"/>
  <c r="F116" i="1"/>
  <c r="G116" i="1"/>
  <c r="H116" i="1"/>
  <c r="K116" i="1"/>
  <c r="L116" i="1"/>
  <c r="M116" i="1"/>
  <c r="N116" i="1"/>
  <c r="O116" i="1"/>
  <c r="B117" i="1"/>
  <c r="D117" i="1"/>
  <c r="E117" i="1"/>
  <c r="F117" i="1"/>
  <c r="G117" i="1"/>
  <c r="H117" i="1"/>
  <c r="K117" i="1"/>
  <c r="L117" i="1"/>
  <c r="M117" i="1"/>
  <c r="N117" i="1"/>
  <c r="O117" i="1"/>
  <c r="B118" i="1"/>
  <c r="D118" i="1"/>
  <c r="E118" i="1"/>
  <c r="F118" i="1"/>
  <c r="G118" i="1"/>
  <c r="H118" i="1"/>
  <c r="K118" i="1"/>
  <c r="L118" i="1"/>
  <c r="M118" i="1"/>
  <c r="N118" i="1"/>
  <c r="O118" i="1"/>
  <c r="B119" i="1"/>
  <c r="D119" i="1"/>
  <c r="E119" i="1"/>
  <c r="F119" i="1"/>
  <c r="G119" i="1"/>
  <c r="H119" i="1"/>
  <c r="K119" i="1"/>
  <c r="L119" i="1"/>
  <c r="M119" i="1"/>
  <c r="N119" i="1"/>
  <c r="O119" i="1"/>
  <c r="B120" i="1"/>
  <c r="D120" i="1"/>
  <c r="E120" i="1"/>
  <c r="F120" i="1"/>
  <c r="G120" i="1"/>
  <c r="H120" i="1"/>
  <c r="K120" i="1"/>
  <c r="L120" i="1"/>
  <c r="M120" i="1"/>
  <c r="N120" i="1"/>
  <c r="O120" i="1"/>
  <c r="B121" i="1"/>
  <c r="D121" i="1"/>
  <c r="E121" i="1"/>
  <c r="F121" i="1"/>
  <c r="G121" i="1"/>
  <c r="H121" i="1"/>
  <c r="K121" i="1"/>
  <c r="L121" i="1"/>
  <c r="M121" i="1"/>
  <c r="N121" i="1"/>
  <c r="O121" i="1"/>
  <c r="B122" i="1"/>
  <c r="D122" i="1"/>
  <c r="E122" i="1"/>
  <c r="F122" i="1"/>
  <c r="G122" i="1"/>
  <c r="H122" i="1"/>
  <c r="K122" i="1"/>
  <c r="L122" i="1"/>
  <c r="M122" i="1"/>
  <c r="N122" i="1"/>
  <c r="O122" i="1"/>
  <c r="B123" i="1"/>
  <c r="D123" i="1"/>
  <c r="E123" i="1"/>
  <c r="F123" i="1"/>
  <c r="G123" i="1"/>
  <c r="H123" i="1"/>
  <c r="K123" i="1"/>
  <c r="L123" i="1"/>
  <c r="M123" i="1"/>
  <c r="N123" i="1"/>
  <c r="O123" i="1"/>
  <c r="B124" i="1"/>
  <c r="D124" i="1"/>
  <c r="E124" i="1"/>
  <c r="F124" i="1"/>
  <c r="G124" i="1"/>
  <c r="H124" i="1"/>
  <c r="K124" i="1"/>
  <c r="L124" i="1"/>
  <c r="M124" i="1"/>
  <c r="N124" i="1"/>
  <c r="O124" i="1"/>
  <c r="B125" i="1"/>
  <c r="D125" i="1"/>
  <c r="E125" i="1"/>
  <c r="F125" i="1"/>
  <c r="G125" i="1"/>
  <c r="H125" i="1"/>
  <c r="K125" i="1"/>
  <c r="L125" i="1"/>
  <c r="M125" i="1"/>
  <c r="N125" i="1"/>
  <c r="O125" i="1"/>
  <c r="B126" i="1"/>
  <c r="D126" i="1"/>
  <c r="E126" i="1"/>
  <c r="F126" i="1"/>
  <c r="G126" i="1"/>
  <c r="H126" i="1"/>
  <c r="K126" i="1"/>
  <c r="L126" i="1"/>
  <c r="M126" i="1"/>
  <c r="N126" i="1"/>
  <c r="O126" i="1"/>
  <c r="B127" i="1"/>
  <c r="D127" i="1"/>
  <c r="E127" i="1"/>
  <c r="F127" i="1"/>
  <c r="G127" i="1"/>
  <c r="H127" i="1"/>
  <c r="K127" i="1"/>
  <c r="L127" i="1"/>
  <c r="M127" i="1"/>
  <c r="N127" i="1"/>
  <c r="O127" i="1"/>
  <c r="B128" i="1"/>
  <c r="D128" i="1"/>
  <c r="E128" i="1"/>
  <c r="F128" i="1"/>
  <c r="G128" i="1"/>
  <c r="H128" i="1"/>
  <c r="K128" i="1"/>
  <c r="L128" i="1"/>
  <c r="M128" i="1"/>
  <c r="N128" i="1"/>
  <c r="O128" i="1"/>
  <c r="B129" i="1"/>
  <c r="D129" i="1"/>
  <c r="E129" i="1"/>
  <c r="F129" i="1"/>
  <c r="G129" i="1"/>
  <c r="H129" i="1"/>
  <c r="K129" i="1"/>
  <c r="L129" i="1"/>
  <c r="M129" i="1"/>
  <c r="N129" i="1"/>
  <c r="O129" i="1"/>
  <c r="B130" i="1"/>
  <c r="D130" i="1"/>
  <c r="E130" i="1"/>
  <c r="F130" i="1"/>
  <c r="G130" i="1"/>
  <c r="H130" i="1"/>
  <c r="K130" i="1"/>
  <c r="L130" i="1"/>
  <c r="M130" i="1"/>
  <c r="N130" i="1"/>
  <c r="O130" i="1"/>
  <c r="B131" i="1"/>
  <c r="D131" i="1"/>
  <c r="E131" i="1"/>
  <c r="F131" i="1"/>
  <c r="G131" i="1"/>
  <c r="H131" i="1"/>
  <c r="K131" i="1"/>
  <c r="L131" i="1"/>
  <c r="M131" i="1"/>
  <c r="N131" i="1"/>
  <c r="O131" i="1"/>
  <c r="B132" i="1"/>
  <c r="D132" i="1"/>
  <c r="E132" i="1"/>
  <c r="F132" i="1"/>
  <c r="G132" i="1"/>
  <c r="H132" i="1"/>
  <c r="K132" i="1"/>
  <c r="L132" i="1"/>
  <c r="M132" i="1"/>
  <c r="N132" i="1"/>
  <c r="O132" i="1"/>
  <c r="B133" i="1"/>
  <c r="D133" i="1"/>
  <c r="E133" i="1"/>
  <c r="F133" i="1"/>
  <c r="G133" i="1"/>
  <c r="H133" i="1"/>
  <c r="K133" i="1"/>
  <c r="L133" i="1"/>
  <c r="M133" i="1"/>
  <c r="N133" i="1"/>
  <c r="O133" i="1"/>
  <c r="B134" i="1"/>
  <c r="D134" i="1"/>
  <c r="E134" i="1"/>
  <c r="F134" i="1"/>
  <c r="G134" i="1"/>
  <c r="H134" i="1"/>
  <c r="K134" i="1"/>
  <c r="L134" i="1"/>
  <c r="M134" i="1"/>
  <c r="N134" i="1"/>
  <c r="O134" i="1"/>
  <c r="B135" i="1"/>
  <c r="D135" i="1"/>
  <c r="E135" i="1"/>
  <c r="F135" i="1"/>
  <c r="G135" i="1"/>
  <c r="H135" i="1"/>
  <c r="K135" i="1"/>
  <c r="L135" i="1"/>
  <c r="M135" i="1"/>
  <c r="N135" i="1"/>
  <c r="O135" i="1"/>
  <c r="B136" i="1"/>
  <c r="D136" i="1"/>
  <c r="E136" i="1"/>
  <c r="F136" i="1"/>
  <c r="G136" i="1"/>
  <c r="H136" i="1"/>
  <c r="K136" i="1"/>
  <c r="L136" i="1"/>
  <c r="M136" i="1"/>
  <c r="N136" i="1"/>
  <c r="O136" i="1"/>
  <c r="B137" i="1"/>
  <c r="D137" i="1"/>
  <c r="E137" i="1"/>
  <c r="F137" i="1"/>
  <c r="G137" i="1"/>
  <c r="H137" i="1"/>
  <c r="K137" i="1"/>
  <c r="L137" i="1"/>
  <c r="M137" i="1"/>
  <c r="N137" i="1"/>
  <c r="O137" i="1"/>
  <c r="B138" i="1"/>
  <c r="D138" i="1"/>
  <c r="E138" i="1"/>
  <c r="F138" i="1"/>
  <c r="G138" i="1"/>
  <c r="H138" i="1"/>
  <c r="K138" i="1"/>
  <c r="L138" i="1"/>
  <c r="M138" i="1"/>
  <c r="N138" i="1"/>
  <c r="O138" i="1"/>
  <c r="B139" i="1"/>
  <c r="D139" i="1"/>
  <c r="E139" i="1"/>
  <c r="F139" i="1"/>
  <c r="G139" i="1"/>
  <c r="H139" i="1"/>
  <c r="K139" i="1"/>
  <c r="L139" i="1"/>
  <c r="M139" i="1"/>
  <c r="N139" i="1"/>
  <c r="O139" i="1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3" i="1"/>
  <c r="AO5" i="1" l="1"/>
  <c r="AP5" i="1"/>
  <c r="AQ5" i="1"/>
  <c r="AR5" i="1"/>
  <c r="AS5" i="1"/>
  <c r="AO6" i="1"/>
  <c r="AP6" i="1"/>
  <c r="AQ6" i="1"/>
  <c r="AR6" i="1"/>
  <c r="AS6" i="1"/>
  <c r="AO7" i="1"/>
  <c r="AP7" i="1"/>
  <c r="AQ7" i="1"/>
  <c r="AR7" i="1"/>
  <c r="AS7" i="1"/>
  <c r="AO8" i="1"/>
  <c r="AP8" i="1"/>
  <c r="AQ8" i="1"/>
  <c r="AR8" i="1"/>
  <c r="AS8" i="1"/>
  <c r="AO9" i="1"/>
  <c r="AP9" i="1"/>
  <c r="AQ9" i="1"/>
  <c r="AR9" i="1"/>
  <c r="AS9" i="1"/>
  <c r="AO10" i="1"/>
  <c r="AP10" i="1"/>
  <c r="AQ10" i="1"/>
  <c r="AR10" i="1"/>
  <c r="AS10" i="1"/>
  <c r="AO11" i="1"/>
  <c r="AP11" i="1"/>
  <c r="AQ11" i="1"/>
  <c r="AR11" i="1"/>
  <c r="AS11" i="1"/>
  <c r="AO12" i="1"/>
  <c r="AP12" i="1"/>
  <c r="AQ12" i="1"/>
  <c r="AR12" i="1"/>
  <c r="AS12" i="1"/>
  <c r="AO13" i="1"/>
  <c r="AP13" i="1"/>
  <c r="AQ13" i="1"/>
  <c r="AR13" i="1"/>
  <c r="AS13" i="1"/>
  <c r="AO14" i="1"/>
  <c r="AP14" i="1"/>
  <c r="AQ14" i="1"/>
  <c r="AR14" i="1"/>
  <c r="AS14" i="1"/>
  <c r="AO15" i="1"/>
  <c r="AP15" i="1"/>
  <c r="AQ15" i="1"/>
  <c r="AR15" i="1"/>
  <c r="AS15" i="1"/>
  <c r="AO16" i="1"/>
  <c r="AP16" i="1"/>
  <c r="AQ16" i="1"/>
  <c r="AR16" i="1"/>
  <c r="AS16" i="1"/>
  <c r="AO17" i="1"/>
  <c r="AP17" i="1"/>
  <c r="AQ17" i="1"/>
  <c r="AR17" i="1"/>
  <c r="AS17" i="1"/>
  <c r="AO18" i="1"/>
  <c r="AP18" i="1"/>
  <c r="AQ18" i="1"/>
  <c r="AR18" i="1"/>
  <c r="AS18" i="1"/>
  <c r="AO19" i="1"/>
  <c r="AP19" i="1"/>
  <c r="AQ19" i="1"/>
  <c r="AR19" i="1"/>
  <c r="AS19" i="1"/>
  <c r="AO20" i="1"/>
  <c r="AP20" i="1"/>
  <c r="AQ20" i="1"/>
  <c r="AR20" i="1"/>
  <c r="AS20" i="1"/>
  <c r="AO21" i="1"/>
  <c r="AP21" i="1"/>
  <c r="AQ21" i="1"/>
  <c r="AR21" i="1"/>
  <c r="AS21" i="1"/>
  <c r="AO22" i="1"/>
  <c r="AP22" i="1"/>
  <c r="AQ22" i="1"/>
  <c r="AR22" i="1"/>
  <c r="AS22" i="1"/>
  <c r="AO23" i="1"/>
  <c r="AP23" i="1"/>
  <c r="AQ23" i="1"/>
  <c r="AR23" i="1"/>
  <c r="AS23" i="1"/>
  <c r="AO24" i="1"/>
  <c r="AP24" i="1"/>
  <c r="AQ24" i="1"/>
  <c r="AR24" i="1"/>
  <c r="AS24" i="1"/>
  <c r="AO25" i="1"/>
  <c r="AP25" i="1"/>
  <c r="AQ25" i="1"/>
  <c r="AR25" i="1"/>
  <c r="AS25" i="1"/>
  <c r="AO26" i="1"/>
  <c r="AP26" i="1"/>
  <c r="AQ26" i="1"/>
  <c r="AR26" i="1"/>
  <c r="AS26" i="1"/>
  <c r="AO27" i="1"/>
  <c r="AP27" i="1"/>
  <c r="AQ27" i="1"/>
  <c r="AR27" i="1"/>
  <c r="AS27" i="1"/>
  <c r="AO28" i="1"/>
  <c r="AP28" i="1"/>
  <c r="AQ28" i="1"/>
  <c r="AR28" i="1"/>
  <c r="AS28" i="1"/>
  <c r="AO29" i="1"/>
  <c r="AP29" i="1"/>
  <c r="AQ29" i="1"/>
  <c r="AR29" i="1"/>
  <c r="AS29" i="1"/>
  <c r="AO30" i="1"/>
  <c r="AP30" i="1"/>
  <c r="AQ30" i="1"/>
  <c r="AR30" i="1"/>
  <c r="AS30" i="1"/>
  <c r="AO31" i="1"/>
  <c r="AP31" i="1"/>
  <c r="AQ31" i="1"/>
  <c r="AR31" i="1"/>
  <c r="AS31" i="1"/>
  <c r="AO32" i="1"/>
  <c r="AP32" i="1"/>
  <c r="AQ32" i="1"/>
  <c r="AR32" i="1"/>
  <c r="AS32" i="1"/>
  <c r="AO33" i="1"/>
  <c r="AP33" i="1"/>
  <c r="AQ33" i="1"/>
  <c r="AR33" i="1"/>
  <c r="AS33" i="1"/>
  <c r="AO34" i="1"/>
  <c r="AP34" i="1"/>
  <c r="AQ34" i="1"/>
  <c r="AR34" i="1"/>
  <c r="AS34" i="1"/>
  <c r="AO35" i="1"/>
  <c r="AP35" i="1"/>
  <c r="AQ35" i="1"/>
  <c r="AR35" i="1"/>
  <c r="AS35" i="1"/>
  <c r="AO36" i="1"/>
  <c r="AP36" i="1"/>
  <c r="AQ36" i="1"/>
  <c r="AR36" i="1"/>
  <c r="AS36" i="1"/>
  <c r="AO37" i="1"/>
  <c r="AP37" i="1"/>
  <c r="AQ37" i="1"/>
  <c r="AR37" i="1"/>
  <c r="AS37" i="1"/>
  <c r="AO38" i="1"/>
  <c r="AP38" i="1"/>
  <c r="AQ38" i="1"/>
  <c r="AR38" i="1"/>
  <c r="AS38" i="1"/>
  <c r="AO39" i="1"/>
  <c r="AP39" i="1"/>
  <c r="AQ39" i="1"/>
  <c r="AR39" i="1"/>
  <c r="AS39" i="1"/>
  <c r="AO40" i="1"/>
  <c r="AP40" i="1"/>
  <c r="AQ40" i="1"/>
  <c r="AR40" i="1"/>
  <c r="AS40" i="1"/>
  <c r="AO41" i="1"/>
  <c r="AP41" i="1"/>
  <c r="AQ41" i="1"/>
  <c r="AR41" i="1"/>
  <c r="AS41" i="1"/>
  <c r="AO42" i="1"/>
  <c r="AP42" i="1"/>
  <c r="AQ42" i="1"/>
  <c r="AR42" i="1"/>
  <c r="AS42" i="1"/>
  <c r="AO43" i="1"/>
  <c r="AP43" i="1"/>
  <c r="AQ43" i="1"/>
  <c r="AR43" i="1"/>
  <c r="AS43" i="1"/>
  <c r="AO44" i="1"/>
  <c r="AP44" i="1"/>
  <c r="AQ44" i="1"/>
  <c r="AR44" i="1"/>
  <c r="AS44" i="1"/>
  <c r="AO45" i="1"/>
  <c r="AP45" i="1"/>
  <c r="AQ45" i="1"/>
  <c r="AR45" i="1"/>
  <c r="AS45" i="1"/>
  <c r="AO46" i="1"/>
  <c r="AP46" i="1"/>
  <c r="AQ46" i="1"/>
  <c r="AR46" i="1"/>
  <c r="AS46" i="1"/>
  <c r="AO47" i="1"/>
  <c r="AP47" i="1"/>
  <c r="AQ47" i="1"/>
  <c r="AR47" i="1"/>
  <c r="AS47" i="1"/>
  <c r="AO48" i="1"/>
  <c r="AP48" i="1"/>
  <c r="AQ48" i="1"/>
  <c r="AR48" i="1"/>
  <c r="AS48" i="1"/>
  <c r="AO49" i="1"/>
  <c r="AP49" i="1"/>
  <c r="AQ49" i="1"/>
  <c r="AR49" i="1"/>
  <c r="AS49" i="1"/>
  <c r="AO50" i="1"/>
  <c r="AP50" i="1"/>
  <c r="AQ50" i="1"/>
  <c r="AR50" i="1"/>
  <c r="AS50" i="1"/>
  <c r="AO51" i="1"/>
  <c r="AP51" i="1"/>
  <c r="AQ51" i="1"/>
  <c r="AR51" i="1"/>
  <c r="AS51" i="1"/>
  <c r="AO52" i="1"/>
  <c r="AP52" i="1"/>
  <c r="AQ52" i="1"/>
  <c r="AR52" i="1"/>
  <c r="AS52" i="1"/>
  <c r="AO53" i="1"/>
  <c r="AP53" i="1"/>
  <c r="AQ53" i="1"/>
  <c r="AR53" i="1"/>
  <c r="AS53" i="1"/>
  <c r="AO54" i="1"/>
  <c r="AP54" i="1"/>
  <c r="AQ54" i="1"/>
  <c r="AR54" i="1"/>
  <c r="AS54" i="1"/>
  <c r="AO55" i="1"/>
  <c r="AP55" i="1"/>
  <c r="AQ55" i="1"/>
  <c r="AR55" i="1"/>
  <c r="AS55" i="1"/>
  <c r="AO56" i="1"/>
  <c r="AP56" i="1"/>
  <c r="AQ56" i="1"/>
  <c r="AR56" i="1"/>
  <c r="AS56" i="1"/>
  <c r="AO57" i="1"/>
  <c r="AP57" i="1"/>
  <c r="AQ57" i="1"/>
  <c r="AR57" i="1"/>
  <c r="AS57" i="1"/>
  <c r="AO58" i="1"/>
  <c r="AP58" i="1"/>
  <c r="AQ58" i="1"/>
  <c r="AR58" i="1"/>
  <c r="AS58" i="1"/>
  <c r="AO59" i="1"/>
  <c r="AP59" i="1"/>
  <c r="AQ59" i="1"/>
  <c r="AR59" i="1"/>
  <c r="AS59" i="1"/>
  <c r="AO60" i="1"/>
  <c r="AP60" i="1"/>
  <c r="AQ60" i="1"/>
  <c r="AR60" i="1"/>
  <c r="AS60" i="1"/>
  <c r="AO61" i="1"/>
  <c r="AP61" i="1"/>
  <c r="AQ61" i="1"/>
  <c r="AR61" i="1"/>
  <c r="AS61" i="1"/>
  <c r="AO62" i="1"/>
  <c r="AP62" i="1"/>
  <c r="AQ62" i="1"/>
  <c r="AR62" i="1"/>
  <c r="AS62" i="1"/>
  <c r="AO63" i="1"/>
  <c r="AP63" i="1"/>
  <c r="AQ63" i="1"/>
  <c r="AR63" i="1"/>
  <c r="AS63" i="1"/>
  <c r="AO64" i="1"/>
  <c r="AP64" i="1"/>
  <c r="AQ64" i="1"/>
  <c r="AR64" i="1"/>
  <c r="AS64" i="1"/>
  <c r="AO65" i="1"/>
  <c r="AP65" i="1"/>
  <c r="AQ65" i="1"/>
  <c r="AR65" i="1"/>
  <c r="AS65" i="1"/>
  <c r="AO66" i="1"/>
  <c r="AP66" i="1"/>
  <c r="AQ66" i="1"/>
  <c r="AR66" i="1"/>
  <c r="AS66" i="1"/>
  <c r="AO67" i="1"/>
  <c r="AP67" i="1"/>
  <c r="AQ67" i="1"/>
  <c r="AR67" i="1"/>
  <c r="AS67" i="1"/>
  <c r="AO68" i="1"/>
  <c r="AP68" i="1"/>
  <c r="AQ68" i="1"/>
  <c r="AR68" i="1"/>
  <c r="AS68" i="1"/>
  <c r="AO69" i="1"/>
  <c r="AP69" i="1"/>
  <c r="AQ69" i="1"/>
  <c r="AR69" i="1"/>
  <c r="AS69" i="1"/>
  <c r="AO70" i="1"/>
  <c r="AP70" i="1"/>
  <c r="AQ70" i="1"/>
  <c r="AR70" i="1"/>
  <c r="AS70" i="1"/>
  <c r="AO71" i="1"/>
  <c r="AP71" i="1"/>
  <c r="AQ71" i="1"/>
  <c r="AR71" i="1"/>
  <c r="AS71" i="1"/>
  <c r="AO72" i="1"/>
  <c r="AP72" i="1"/>
  <c r="AQ72" i="1"/>
  <c r="AR72" i="1"/>
  <c r="AS72" i="1"/>
  <c r="AO73" i="1"/>
  <c r="AP73" i="1"/>
  <c r="AQ73" i="1"/>
  <c r="AR73" i="1"/>
  <c r="AS73" i="1"/>
  <c r="AO74" i="1"/>
  <c r="AP74" i="1"/>
  <c r="AQ74" i="1"/>
  <c r="AR74" i="1"/>
  <c r="AS74" i="1"/>
  <c r="AO75" i="1"/>
  <c r="AP75" i="1"/>
  <c r="AQ75" i="1"/>
  <c r="AR75" i="1"/>
  <c r="AS75" i="1"/>
  <c r="AO76" i="1"/>
  <c r="AP76" i="1"/>
  <c r="AQ76" i="1"/>
  <c r="AR76" i="1"/>
  <c r="AS76" i="1"/>
  <c r="AO77" i="1"/>
  <c r="AP77" i="1"/>
  <c r="AQ77" i="1"/>
  <c r="AR77" i="1"/>
  <c r="AS77" i="1"/>
  <c r="AO78" i="1"/>
  <c r="AP78" i="1"/>
  <c r="AQ78" i="1"/>
  <c r="AR78" i="1"/>
  <c r="AS78" i="1"/>
  <c r="AO79" i="1"/>
  <c r="AP79" i="1"/>
  <c r="AQ79" i="1"/>
  <c r="AR79" i="1"/>
  <c r="AS79" i="1"/>
  <c r="AO80" i="1"/>
  <c r="AP80" i="1"/>
  <c r="AQ80" i="1"/>
  <c r="AR80" i="1"/>
  <c r="AS80" i="1"/>
  <c r="AO81" i="1"/>
  <c r="AP81" i="1"/>
  <c r="AQ81" i="1"/>
  <c r="AR81" i="1"/>
  <c r="AS81" i="1"/>
  <c r="AO82" i="1"/>
  <c r="AP82" i="1"/>
  <c r="AQ82" i="1"/>
  <c r="AR82" i="1"/>
  <c r="AS82" i="1"/>
  <c r="AO83" i="1"/>
  <c r="AP83" i="1"/>
  <c r="AQ83" i="1"/>
  <c r="AR83" i="1"/>
  <c r="AS83" i="1"/>
  <c r="AO84" i="1"/>
  <c r="AP84" i="1"/>
  <c r="AQ84" i="1"/>
  <c r="AR84" i="1"/>
  <c r="AS84" i="1"/>
  <c r="AO85" i="1"/>
  <c r="AP85" i="1"/>
  <c r="AQ85" i="1"/>
  <c r="AR85" i="1"/>
  <c r="AS85" i="1"/>
  <c r="AO86" i="1"/>
  <c r="AP86" i="1"/>
  <c r="AQ86" i="1"/>
  <c r="AR86" i="1"/>
  <c r="AS86" i="1"/>
  <c r="AO87" i="1"/>
  <c r="AP87" i="1"/>
  <c r="AQ87" i="1"/>
  <c r="AR87" i="1"/>
  <c r="AS87" i="1"/>
  <c r="AO88" i="1"/>
  <c r="AP88" i="1"/>
  <c r="AQ88" i="1"/>
  <c r="AR88" i="1"/>
  <c r="AS88" i="1"/>
  <c r="AO89" i="1"/>
  <c r="AP89" i="1"/>
  <c r="AQ89" i="1"/>
  <c r="AR89" i="1"/>
  <c r="AS89" i="1"/>
  <c r="AO90" i="1"/>
  <c r="AP90" i="1"/>
  <c r="AQ90" i="1"/>
  <c r="AR90" i="1"/>
  <c r="AS90" i="1"/>
  <c r="AO91" i="1"/>
  <c r="AP91" i="1"/>
  <c r="AQ91" i="1"/>
  <c r="AR91" i="1"/>
  <c r="AS91" i="1"/>
  <c r="AO92" i="1"/>
  <c r="AP92" i="1"/>
  <c r="AQ92" i="1"/>
  <c r="AR92" i="1"/>
  <c r="AS92" i="1"/>
  <c r="AO93" i="1"/>
  <c r="AP93" i="1"/>
  <c r="AQ93" i="1"/>
  <c r="AR93" i="1"/>
  <c r="AS93" i="1"/>
  <c r="AO94" i="1"/>
  <c r="AP94" i="1"/>
  <c r="AQ94" i="1"/>
  <c r="AR94" i="1"/>
  <c r="AS94" i="1"/>
  <c r="AO95" i="1"/>
  <c r="AP95" i="1"/>
  <c r="AQ95" i="1"/>
  <c r="AR95" i="1"/>
  <c r="AS95" i="1"/>
  <c r="AO96" i="1"/>
  <c r="AP96" i="1"/>
  <c r="AQ96" i="1"/>
  <c r="AR96" i="1"/>
  <c r="AS96" i="1"/>
  <c r="AO97" i="1"/>
  <c r="AP97" i="1"/>
  <c r="AQ97" i="1"/>
  <c r="AR97" i="1"/>
  <c r="AS97" i="1"/>
  <c r="AO98" i="1"/>
  <c r="AP98" i="1"/>
  <c r="AQ98" i="1"/>
  <c r="AR98" i="1"/>
  <c r="AS98" i="1"/>
  <c r="AO99" i="1"/>
  <c r="AP99" i="1"/>
  <c r="AQ99" i="1"/>
  <c r="AR99" i="1"/>
  <c r="AS99" i="1"/>
  <c r="AO100" i="1"/>
  <c r="AP100" i="1"/>
  <c r="AQ100" i="1"/>
  <c r="AR100" i="1"/>
  <c r="AS100" i="1"/>
  <c r="AO101" i="1"/>
  <c r="AP101" i="1"/>
  <c r="AQ101" i="1"/>
  <c r="AR101" i="1"/>
  <c r="AS101" i="1"/>
  <c r="AO102" i="1"/>
  <c r="AP102" i="1"/>
  <c r="AQ102" i="1"/>
  <c r="AR102" i="1"/>
  <c r="AS102" i="1"/>
  <c r="AO103" i="1"/>
  <c r="AP103" i="1"/>
  <c r="AQ103" i="1"/>
  <c r="AR103" i="1"/>
  <c r="AS103" i="1"/>
  <c r="AO104" i="1"/>
  <c r="AP104" i="1"/>
  <c r="AQ104" i="1"/>
  <c r="AR104" i="1"/>
  <c r="AS104" i="1"/>
  <c r="AO105" i="1"/>
  <c r="AP105" i="1"/>
  <c r="AQ105" i="1"/>
  <c r="AR105" i="1"/>
  <c r="AS105" i="1"/>
  <c r="AO106" i="1"/>
  <c r="AP106" i="1"/>
  <c r="AQ106" i="1"/>
  <c r="AR106" i="1"/>
  <c r="AS106" i="1"/>
  <c r="AO107" i="1"/>
  <c r="AP107" i="1"/>
  <c r="AQ107" i="1"/>
  <c r="AR107" i="1"/>
  <c r="AS107" i="1"/>
  <c r="AO108" i="1"/>
  <c r="AP108" i="1"/>
  <c r="AQ108" i="1"/>
  <c r="AR108" i="1"/>
  <c r="AS108" i="1"/>
  <c r="AO109" i="1"/>
  <c r="AP109" i="1"/>
  <c r="AQ109" i="1"/>
  <c r="AR109" i="1"/>
  <c r="AS109" i="1"/>
  <c r="AO110" i="1"/>
  <c r="AP110" i="1"/>
  <c r="AQ110" i="1"/>
  <c r="AR110" i="1"/>
  <c r="AS110" i="1"/>
  <c r="AO111" i="1"/>
  <c r="AP111" i="1"/>
  <c r="AQ111" i="1"/>
  <c r="AR111" i="1"/>
  <c r="AS111" i="1"/>
  <c r="AO112" i="1"/>
  <c r="AP112" i="1"/>
  <c r="AQ112" i="1"/>
  <c r="AR112" i="1"/>
  <c r="AS112" i="1"/>
  <c r="AO113" i="1"/>
  <c r="AP113" i="1"/>
  <c r="AQ113" i="1"/>
  <c r="AR113" i="1"/>
  <c r="AS113" i="1"/>
  <c r="AO114" i="1"/>
  <c r="AP114" i="1"/>
  <c r="AQ114" i="1"/>
  <c r="AR114" i="1"/>
  <c r="AS114" i="1"/>
  <c r="AO115" i="1"/>
  <c r="AP115" i="1"/>
  <c r="AQ115" i="1"/>
  <c r="AR115" i="1"/>
  <c r="AS115" i="1"/>
  <c r="AO116" i="1"/>
  <c r="AP116" i="1"/>
  <c r="AQ116" i="1"/>
  <c r="AR116" i="1"/>
  <c r="AS116" i="1"/>
  <c r="AO117" i="1"/>
  <c r="AP117" i="1"/>
  <c r="AQ117" i="1"/>
  <c r="AR117" i="1"/>
  <c r="AS117" i="1"/>
  <c r="AO118" i="1"/>
  <c r="AP118" i="1"/>
  <c r="AQ118" i="1"/>
  <c r="AR118" i="1"/>
  <c r="AS118" i="1"/>
  <c r="AO119" i="1"/>
  <c r="AP119" i="1"/>
  <c r="AQ119" i="1"/>
  <c r="AR119" i="1"/>
  <c r="AS119" i="1"/>
  <c r="AO120" i="1"/>
  <c r="AP120" i="1"/>
  <c r="AQ120" i="1"/>
  <c r="AR120" i="1"/>
  <c r="AS120" i="1"/>
  <c r="AO121" i="1"/>
  <c r="AP121" i="1"/>
  <c r="AQ121" i="1"/>
  <c r="AR121" i="1"/>
  <c r="AS121" i="1"/>
  <c r="AO122" i="1"/>
  <c r="AP122" i="1"/>
  <c r="AQ122" i="1"/>
  <c r="AR122" i="1"/>
  <c r="AS122" i="1"/>
  <c r="AO123" i="1"/>
  <c r="AP123" i="1"/>
  <c r="AQ123" i="1"/>
  <c r="AR123" i="1"/>
  <c r="AS123" i="1"/>
  <c r="AO124" i="1"/>
  <c r="AP124" i="1"/>
  <c r="AQ124" i="1"/>
  <c r="AR124" i="1"/>
  <c r="AS124" i="1"/>
  <c r="AO125" i="1"/>
  <c r="AP125" i="1"/>
  <c r="AQ125" i="1"/>
  <c r="AR125" i="1"/>
  <c r="AS125" i="1"/>
  <c r="AO126" i="1"/>
  <c r="AP126" i="1"/>
  <c r="AQ126" i="1"/>
  <c r="AR126" i="1"/>
  <c r="AS126" i="1"/>
  <c r="AO127" i="1"/>
  <c r="AP127" i="1"/>
  <c r="AQ127" i="1"/>
  <c r="AR127" i="1"/>
  <c r="AS127" i="1"/>
  <c r="AO128" i="1"/>
  <c r="AP128" i="1"/>
  <c r="AQ128" i="1"/>
  <c r="AR128" i="1"/>
  <c r="AS128" i="1"/>
  <c r="AO129" i="1"/>
  <c r="AP129" i="1"/>
  <c r="AQ129" i="1"/>
  <c r="AR129" i="1"/>
  <c r="AS129" i="1"/>
  <c r="AO130" i="1"/>
  <c r="AP130" i="1"/>
  <c r="AQ130" i="1"/>
  <c r="AR130" i="1"/>
  <c r="AS130" i="1"/>
  <c r="AO131" i="1"/>
  <c r="AP131" i="1"/>
  <c r="AQ131" i="1"/>
  <c r="AR131" i="1"/>
  <c r="AS131" i="1"/>
  <c r="AO132" i="1"/>
  <c r="AP132" i="1"/>
  <c r="AQ132" i="1"/>
  <c r="AR132" i="1"/>
  <c r="AS132" i="1"/>
  <c r="AO133" i="1"/>
  <c r="AP133" i="1"/>
  <c r="AQ133" i="1"/>
  <c r="AR133" i="1"/>
  <c r="AS133" i="1"/>
  <c r="AO134" i="1"/>
  <c r="AP134" i="1"/>
  <c r="AQ134" i="1"/>
  <c r="AR134" i="1"/>
  <c r="AS134" i="1"/>
  <c r="AO135" i="1"/>
  <c r="AP135" i="1"/>
  <c r="AQ135" i="1"/>
  <c r="AR135" i="1"/>
  <c r="AS135" i="1"/>
  <c r="AO136" i="1"/>
  <c r="AP136" i="1"/>
  <c r="AQ136" i="1"/>
  <c r="AR136" i="1"/>
  <c r="AS136" i="1"/>
  <c r="AO137" i="1"/>
  <c r="AP137" i="1"/>
  <c r="AQ137" i="1"/>
  <c r="AR137" i="1"/>
  <c r="AS137" i="1"/>
  <c r="AO138" i="1"/>
  <c r="AP138" i="1"/>
  <c r="AQ138" i="1"/>
  <c r="AR138" i="1"/>
  <c r="AS138" i="1"/>
  <c r="AO139" i="1"/>
  <c r="AP139" i="1"/>
  <c r="AQ139" i="1"/>
  <c r="AR139" i="1"/>
  <c r="AS139" i="1"/>
  <c r="AO140" i="1"/>
  <c r="AP140" i="1"/>
  <c r="AQ140" i="1"/>
  <c r="AR140" i="1"/>
  <c r="AS140" i="1"/>
  <c r="AO141" i="1"/>
  <c r="AP141" i="1"/>
  <c r="AQ141" i="1"/>
  <c r="AR141" i="1"/>
  <c r="AS141" i="1"/>
  <c r="AO142" i="1"/>
  <c r="AP142" i="1"/>
  <c r="AQ142" i="1"/>
  <c r="AR142" i="1"/>
  <c r="AS142" i="1"/>
  <c r="AO143" i="1"/>
  <c r="AP143" i="1"/>
  <c r="AQ143" i="1"/>
  <c r="AR143" i="1"/>
  <c r="AS143" i="1"/>
  <c r="AO144" i="1"/>
  <c r="AP144" i="1"/>
  <c r="AQ144" i="1"/>
  <c r="AR144" i="1"/>
  <c r="AS144" i="1"/>
  <c r="AO145" i="1"/>
  <c r="AP145" i="1"/>
  <c r="AQ145" i="1"/>
  <c r="AR145" i="1"/>
  <c r="AS145" i="1"/>
  <c r="AO146" i="1"/>
  <c r="AP146" i="1"/>
  <c r="AQ146" i="1"/>
  <c r="AR146" i="1"/>
  <c r="AS146" i="1"/>
  <c r="AO147" i="1"/>
  <c r="AP147" i="1"/>
  <c r="AQ147" i="1"/>
  <c r="AR147" i="1"/>
  <c r="AS147" i="1"/>
  <c r="AO148" i="1"/>
  <c r="AP148" i="1"/>
  <c r="AQ148" i="1"/>
  <c r="AR148" i="1"/>
  <c r="AS148" i="1"/>
  <c r="AO149" i="1"/>
  <c r="AP149" i="1"/>
  <c r="AQ149" i="1"/>
  <c r="AR149" i="1"/>
  <c r="AS149" i="1"/>
  <c r="AO150" i="1"/>
  <c r="AP150" i="1"/>
  <c r="AQ150" i="1"/>
  <c r="AR150" i="1"/>
  <c r="AS150" i="1"/>
  <c r="AO151" i="1"/>
  <c r="AP151" i="1"/>
  <c r="AQ151" i="1"/>
  <c r="AR151" i="1"/>
  <c r="AS151" i="1"/>
  <c r="AO152" i="1"/>
  <c r="AP152" i="1"/>
  <c r="AQ152" i="1"/>
  <c r="AR152" i="1"/>
  <c r="AS152" i="1"/>
  <c r="AO153" i="1"/>
  <c r="AP153" i="1"/>
  <c r="AQ153" i="1"/>
  <c r="AR153" i="1"/>
  <c r="AS153" i="1"/>
  <c r="AO154" i="1"/>
  <c r="AP154" i="1"/>
  <c r="AQ154" i="1"/>
  <c r="AR154" i="1"/>
  <c r="AS154" i="1"/>
  <c r="AO155" i="1"/>
  <c r="AP155" i="1"/>
  <c r="AQ155" i="1"/>
  <c r="AR155" i="1"/>
  <c r="AS155" i="1"/>
  <c r="AO156" i="1"/>
  <c r="AP156" i="1"/>
  <c r="AQ156" i="1"/>
  <c r="AR156" i="1"/>
  <c r="AS156" i="1"/>
  <c r="AO157" i="1"/>
  <c r="AP157" i="1"/>
  <c r="AQ157" i="1"/>
  <c r="AR157" i="1"/>
  <c r="AS157" i="1"/>
  <c r="AO158" i="1"/>
  <c r="AP158" i="1"/>
  <c r="AQ158" i="1"/>
  <c r="AR158" i="1"/>
  <c r="AS158" i="1"/>
  <c r="AO159" i="1"/>
  <c r="AP159" i="1"/>
  <c r="AQ159" i="1"/>
  <c r="AR159" i="1"/>
  <c r="AS159" i="1"/>
  <c r="AO160" i="1"/>
  <c r="AP160" i="1"/>
  <c r="AQ160" i="1"/>
  <c r="AR160" i="1"/>
  <c r="AS160" i="1"/>
  <c r="AO161" i="1"/>
  <c r="AP161" i="1"/>
  <c r="AQ161" i="1"/>
  <c r="AR161" i="1"/>
  <c r="AS161" i="1"/>
  <c r="AO162" i="1"/>
  <c r="AP162" i="1"/>
  <c r="AQ162" i="1"/>
  <c r="AR162" i="1"/>
  <c r="AS162" i="1"/>
  <c r="AO163" i="1"/>
  <c r="AP163" i="1"/>
  <c r="AQ163" i="1"/>
  <c r="AR163" i="1"/>
  <c r="AS163" i="1"/>
  <c r="AO164" i="1"/>
  <c r="AP164" i="1"/>
  <c r="AQ164" i="1"/>
  <c r="AR164" i="1"/>
  <c r="AS164" i="1"/>
  <c r="AO165" i="1"/>
  <c r="AP165" i="1"/>
  <c r="AQ165" i="1"/>
  <c r="AR165" i="1"/>
  <c r="AS165" i="1"/>
  <c r="AO166" i="1"/>
  <c r="AP166" i="1"/>
  <c r="AQ166" i="1"/>
  <c r="AR166" i="1"/>
  <c r="AS166" i="1"/>
  <c r="AO167" i="1"/>
  <c r="AP167" i="1"/>
  <c r="AQ167" i="1"/>
  <c r="AR167" i="1"/>
  <c r="AS167" i="1"/>
  <c r="AO168" i="1"/>
  <c r="AP168" i="1"/>
  <c r="AQ168" i="1"/>
  <c r="AR168" i="1"/>
  <c r="AS168" i="1"/>
  <c r="AO169" i="1"/>
  <c r="AP169" i="1"/>
  <c r="AQ169" i="1"/>
  <c r="AR169" i="1"/>
  <c r="AS169" i="1"/>
  <c r="AO170" i="1"/>
  <c r="AP170" i="1"/>
  <c r="AQ170" i="1"/>
  <c r="AR170" i="1"/>
  <c r="AS170" i="1"/>
  <c r="AO171" i="1"/>
  <c r="AP171" i="1"/>
  <c r="AQ171" i="1"/>
  <c r="AR171" i="1"/>
  <c r="AS171" i="1"/>
  <c r="AO172" i="1"/>
  <c r="AP172" i="1"/>
  <c r="AQ172" i="1"/>
  <c r="AR172" i="1"/>
  <c r="AS172" i="1"/>
  <c r="AO173" i="1"/>
  <c r="AP173" i="1"/>
  <c r="AQ173" i="1"/>
  <c r="AR173" i="1"/>
  <c r="AS173" i="1"/>
  <c r="AO174" i="1"/>
  <c r="AP174" i="1"/>
  <c r="AQ174" i="1"/>
  <c r="AR174" i="1"/>
  <c r="AS174" i="1"/>
  <c r="AO175" i="1"/>
  <c r="AP175" i="1"/>
  <c r="AQ175" i="1"/>
  <c r="AR175" i="1"/>
  <c r="AS175" i="1"/>
  <c r="AO176" i="1"/>
  <c r="AP176" i="1"/>
  <c r="AQ176" i="1"/>
  <c r="AR176" i="1"/>
  <c r="AS176" i="1"/>
  <c r="AO177" i="1"/>
  <c r="AP177" i="1"/>
  <c r="AQ177" i="1"/>
  <c r="AR177" i="1"/>
  <c r="AS177" i="1"/>
  <c r="AO178" i="1"/>
  <c r="AP178" i="1"/>
  <c r="AQ178" i="1"/>
  <c r="AR178" i="1"/>
  <c r="AS178" i="1"/>
  <c r="AO179" i="1"/>
  <c r="AP179" i="1"/>
  <c r="AQ179" i="1"/>
  <c r="AR179" i="1"/>
  <c r="AS179" i="1"/>
  <c r="AO180" i="1"/>
  <c r="AP180" i="1"/>
  <c r="AQ180" i="1"/>
  <c r="AR180" i="1"/>
  <c r="AS180" i="1"/>
  <c r="AO181" i="1"/>
  <c r="AP181" i="1"/>
  <c r="AQ181" i="1"/>
  <c r="AR181" i="1"/>
  <c r="AS181" i="1"/>
  <c r="AO182" i="1"/>
  <c r="AP182" i="1"/>
  <c r="AQ182" i="1"/>
  <c r="AR182" i="1"/>
  <c r="AS182" i="1"/>
  <c r="AO183" i="1"/>
  <c r="AP183" i="1"/>
  <c r="AQ183" i="1"/>
  <c r="AR183" i="1"/>
  <c r="AS183" i="1"/>
  <c r="AO184" i="1"/>
  <c r="AP184" i="1"/>
  <c r="AQ184" i="1"/>
  <c r="AR184" i="1"/>
  <c r="AS184" i="1"/>
  <c r="AO185" i="1"/>
  <c r="AP185" i="1"/>
  <c r="AQ185" i="1"/>
  <c r="AR185" i="1"/>
  <c r="AS185" i="1"/>
  <c r="AO186" i="1"/>
  <c r="AP186" i="1"/>
  <c r="AQ186" i="1"/>
  <c r="AR186" i="1"/>
  <c r="AS186" i="1"/>
  <c r="AO187" i="1"/>
  <c r="AP187" i="1"/>
  <c r="AQ187" i="1"/>
  <c r="AR187" i="1"/>
  <c r="AS187" i="1"/>
  <c r="AO188" i="1"/>
  <c r="AP188" i="1"/>
  <c r="AQ188" i="1"/>
  <c r="AR188" i="1"/>
  <c r="AS188" i="1"/>
  <c r="AO189" i="1"/>
  <c r="AP189" i="1"/>
  <c r="AQ189" i="1"/>
  <c r="AR189" i="1"/>
  <c r="AS189" i="1"/>
  <c r="AO190" i="1"/>
  <c r="AP190" i="1"/>
  <c r="AQ190" i="1"/>
  <c r="AR190" i="1"/>
  <c r="AS190" i="1"/>
  <c r="AO191" i="1"/>
  <c r="AP191" i="1"/>
  <c r="AQ191" i="1"/>
  <c r="AR191" i="1"/>
  <c r="AS191" i="1"/>
  <c r="AO192" i="1"/>
  <c r="AP192" i="1"/>
  <c r="AQ192" i="1"/>
  <c r="AR192" i="1"/>
  <c r="AS192" i="1"/>
  <c r="AO193" i="1"/>
  <c r="AP193" i="1"/>
  <c r="AQ193" i="1"/>
  <c r="AR193" i="1"/>
  <c r="AS193" i="1"/>
  <c r="AO194" i="1"/>
  <c r="AP194" i="1"/>
  <c r="AQ194" i="1"/>
  <c r="AR194" i="1"/>
  <c r="AS194" i="1"/>
  <c r="AO195" i="1"/>
  <c r="AP195" i="1"/>
  <c r="AQ195" i="1"/>
  <c r="AR195" i="1"/>
  <c r="AS195" i="1"/>
  <c r="AO196" i="1"/>
  <c r="AP196" i="1"/>
  <c r="AQ196" i="1"/>
  <c r="AR196" i="1"/>
  <c r="AS196" i="1"/>
  <c r="AO197" i="1"/>
  <c r="AP197" i="1"/>
  <c r="AQ197" i="1"/>
  <c r="AR197" i="1"/>
  <c r="AS197" i="1"/>
  <c r="AO198" i="1"/>
  <c r="AP198" i="1"/>
  <c r="AQ198" i="1"/>
  <c r="AR198" i="1"/>
  <c r="AS198" i="1"/>
  <c r="AO199" i="1"/>
  <c r="AP199" i="1"/>
  <c r="AQ199" i="1"/>
  <c r="AR199" i="1"/>
  <c r="AS199" i="1"/>
  <c r="AO200" i="1"/>
  <c r="AP200" i="1"/>
  <c r="AQ200" i="1"/>
  <c r="AR200" i="1"/>
  <c r="AS200" i="1"/>
  <c r="AO201" i="1"/>
  <c r="AP201" i="1"/>
  <c r="AQ201" i="1"/>
  <c r="AR201" i="1"/>
  <c r="AS201" i="1"/>
  <c r="AO202" i="1"/>
  <c r="AP202" i="1"/>
  <c r="AQ202" i="1"/>
  <c r="AR202" i="1"/>
  <c r="AS202" i="1"/>
  <c r="AO203" i="1"/>
  <c r="AP203" i="1"/>
  <c r="AQ203" i="1"/>
  <c r="AR203" i="1"/>
  <c r="AS203" i="1"/>
  <c r="AO204" i="1"/>
  <c r="AP204" i="1"/>
  <c r="AQ204" i="1"/>
  <c r="AR204" i="1"/>
  <c r="AS204" i="1"/>
  <c r="AO205" i="1"/>
  <c r="AP205" i="1"/>
  <c r="AQ205" i="1"/>
  <c r="AR205" i="1"/>
  <c r="AS205" i="1"/>
  <c r="AO206" i="1"/>
  <c r="AP206" i="1"/>
  <c r="AQ206" i="1"/>
  <c r="AR206" i="1"/>
  <c r="AS206" i="1"/>
  <c r="AO207" i="1"/>
  <c r="AP207" i="1"/>
  <c r="AQ207" i="1"/>
  <c r="AR207" i="1"/>
  <c r="AS207" i="1"/>
  <c r="AO208" i="1"/>
  <c r="AP208" i="1"/>
  <c r="AQ208" i="1"/>
  <c r="AR208" i="1"/>
  <c r="AS208" i="1"/>
  <c r="AO209" i="1"/>
  <c r="AP209" i="1"/>
  <c r="AQ209" i="1"/>
  <c r="AR209" i="1"/>
  <c r="AS209" i="1"/>
  <c r="AO210" i="1"/>
  <c r="AP210" i="1"/>
  <c r="AQ210" i="1"/>
  <c r="AR210" i="1"/>
  <c r="AS210" i="1"/>
  <c r="AO211" i="1"/>
  <c r="AP211" i="1"/>
  <c r="AQ211" i="1"/>
  <c r="AR211" i="1"/>
  <c r="AS211" i="1"/>
  <c r="AO212" i="1"/>
  <c r="AP212" i="1"/>
  <c r="AQ212" i="1"/>
  <c r="AR212" i="1"/>
  <c r="AS212" i="1"/>
  <c r="AO213" i="1"/>
  <c r="AP213" i="1"/>
  <c r="AQ213" i="1"/>
  <c r="AR213" i="1"/>
  <c r="AS213" i="1"/>
  <c r="AO214" i="1"/>
  <c r="AP214" i="1"/>
  <c r="AQ214" i="1"/>
  <c r="AR214" i="1"/>
  <c r="AS214" i="1"/>
  <c r="AO215" i="1"/>
  <c r="AP215" i="1"/>
  <c r="AQ215" i="1"/>
  <c r="AR215" i="1"/>
  <c r="AS215" i="1"/>
  <c r="AO216" i="1"/>
  <c r="AP216" i="1"/>
  <c r="AQ216" i="1"/>
  <c r="AR216" i="1"/>
  <c r="AS216" i="1"/>
  <c r="AO217" i="1"/>
  <c r="AP217" i="1"/>
  <c r="AQ217" i="1"/>
  <c r="AR217" i="1"/>
  <c r="AS217" i="1"/>
  <c r="AO218" i="1"/>
  <c r="AP218" i="1"/>
  <c r="AQ218" i="1"/>
  <c r="AR218" i="1"/>
  <c r="AS218" i="1"/>
  <c r="AO219" i="1"/>
  <c r="AP219" i="1"/>
  <c r="AQ219" i="1"/>
  <c r="AR219" i="1"/>
  <c r="AS219" i="1"/>
  <c r="AO220" i="1"/>
  <c r="AP220" i="1"/>
  <c r="AQ220" i="1"/>
  <c r="AR220" i="1"/>
  <c r="AS220" i="1"/>
  <c r="AO221" i="1"/>
  <c r="AP221" i="1"/>
  <c r="AQ221" i="1"/>
  <c r="AR221" i="1"/>
  <c r="AS221" i="1"/>
  <c r="AO222" i="1"/>
  <c r="AP222" i="1"/>
  <c r="AQ222" i="1"/>
  <c r="AR222" i="1"/>
  <c r="AS222" i="1"/>
  <c r="AO223" i="1"/>
  <c r="AP223" i="1"/>
  <c r="AQ223" i="1"/>
  <c r="AR223" i="1"/>
  <c r="AS223" i="1"/>
  <c r="AO224" i="1"/>
  <c r="AP224" i="1"/>
  <c r="AQ224" i="1"/>
  <c r="AR224" i="1"/>
  <c r="AS224" i="1"/>
  <c r="AO225" i="1"/>
  <c r="AP225" i="1"/>
  <c r="AQ225" i="1"/>
  <c r="AR225" i="1"/>
  <c r="AS225" i="1"/>
  <c r="AO226" i="1"/>
  <c r="AP226" i="1"/>
  <c r="AQ226" i="1"/>
  <c r="AR226" i="1"/>
  <c r="AS226" i="1"/>
  <c r="AO227" i="1"/>
  <c r="AP227" i="1"/>
  <c r="AQ227" i="1"/>
  <c r="AR227" i="1"/>
  <c r="AS227" i="1"/>
  <c r="AO228" i="1"/>
  <c r="AP228" i="1"/>
  <c r="AQ228" i="1"/>
  <c r="AR228" i="1"/>
  <c r="AS228" i="1"/>
  <c r="AO229" i="1"/>
  <c r="AP229" i="1"/>
  <c r="AQ229" i="1"/>
  <c r="AR229" i="1"/>
  <c r="AS229" i="1"/>
  <c r="AO230" i="1"/>
  <c r="AP230" i="1"/>
  <c r="AQ230" i="1"/>
  <c r="AR230" i="1"/>
  <c r="AS230" i="1"/>
  <c r="AO231" i="1"/>
  <c r="AP231" i="1"/>
  <c r="AQ231" i="1"/>
  <c r="AR231" i="1"/>
  <c r="AS231" i="1"/>
  <c r="AO232" i="1"/>
  <c r="AP232" i="1"/>
  <c r="AQ232" i="1"/>
  <c r="AR232" i="1"/>
  <c r="AS232" i="1"/>
  <c r="AO233" i="1"/>
  <c r="AP233" i="1"/>
  <c r="AQ233" i="1"/>
  <c r="AR233" i="1"/>
  <c r="AS233" i="1"/>
  <c r="AO234" i="1"/>
  <c r="AP234" i="1"/>
  <c r="AQ234" i="1"/>
  <c r="AR234" i="1"/>
  <c r="AS234" i="1"/>
  <c r="AO235" i="1"/>
  <c r="AP235" i="1"/>
  <c r="AQ235" i="1"/>
  <c r="AR235" i="1"/>
  <c r="AS235" i="1"/>
  <c r="AO236" i="1"/>
  <c r="AP236" i="1"/>
  <c r="AQ236" i="1"/>
  <c r="AR236" i="1"/>
  <c r="AS236" i="1"/>
  <c r="AO237" i="1"/>
  <c r="AP237" i="1"/>
  <c r="AQ237" i="1"/>
  <c r="AR237" i="1"/>
  <c r="AS237" i="1"/>
  <c r="AO238" i="1"/>
  <c r="AP238" i="1"/>
  <c r="AQ238" i="1"/>
  <c r="AR238" i="1"/>
  <c r="AS238" i="1"/>
  <c r="AO239" i="1"/>
  <c r="AP239" i="1"/>
  <c r="AQ239" i="1"/>
  <c r="AR239" i="1"/>
  <c r="AS239" i="1"/>
  <c r="AO240" i="1"/>
  <c r="AP240" i="1"/>
  <c r="AQ240" i="1"/>
  <c r="AR240" i="1"/>
  <c r="AS240" i="1"/>
  <c r="AO241" i="1"/>
  <c r="AP241" i="1"/>
  <c r="AQ241" i="1"/>
  <c r="AR241" i="1"/>
  <c r="AS241" i="1"/>
  <c r="AO242" i="1"/>
  <c r="AP242" i="1"/>
  <c r="AQ242" i="1"/>
  <c r="AR242" i="1"/>
  <c r="AS242" i="1"/>
  <c r="AO243" i="1"/>
  <c r="AP243" i="1"/>
  <c r="AQ243" i="1"/>
  <c r="AR243" i="1"/>
  <c r="AS243" i="1"/>
  <c r="AO244" i="1"/>
  <c r="AP244" i="1"/>
  <c r="AQ244" i="1"/>
  <c r="AR244" i="1"/>
  <c r="AS244" i="1"/>
  <c r="AO245" i="1"/>
  <c r="AP245" i="1"/>
  <c r="AQ245" i="1"/>
  <c r="AR245" i="1"/>
  <c r="AS245" i="1"/>
  <c r="AO246" i="1"/>
  <c r="AP246" i="1"/>
  <c r="AQ246" i="1"/>
  <c r="AR246" i="1"/>
  <c r="AS246" i="1"/>
  <c r="AO247" i="1"/>
  <c r="AP247" i="1"/>
  <c r="AQ247" i="1"/>
  <c r="AR247" i="1"/>
  <c r="AS247" i="1"/>
  <c r="AO248" i="1"/>
  <c r="AP248" i="1"/>
  <c r="AQ248" i="1"/>
  <c r="AR248" i="1"/>
  <c r="AS248" i="1"/>
  <c r="AO249" i="1"/>
  <c r="AP249" i="1"/>
  <c r="AQ249" i="1"/>
  <c r="AR249" i="1"/>
  <c r="AS249" i="1"/>
  <c r="AO250" i="1"/>
  <c r="AP250" i="1"/>
  <c r="AQ250" i="1"/>
  <c r="AR250" i="1"/>
  <c r="AS250" i="1"/>
  <c r="AO251" i="1"/>
  <c r="AP251" i="1"/>
  <c r="AQ251" i="1"/>
  <c r="AR251" i="1"/>
  <c r="AS251" i="1"/>
  <c r="AO252" i="1"/>
  <c r="AP252" i="1"/>
  <c r="AQ252" i="1"/>
  <c r="AR252" i="1"/>
  <c r="AS252" i="1"/>
  <c r="AO253" i="1"/>
  <c r="AP253" i="1"/>
  <c r="AQ253" i="1"/>
  <c r="AR253" i="1"/>
  <c r="AS253" i="1"/>
  <c r="AO254" i="1"/>
  <c r="AP254" i="1"/>
  <c r="AQ254" i="1"/>
  <c r="AR254" i="1"/>
  <c r="AS254" i="1"/>
  <c r="AO255" i="1"/>
  <c r="AP255" i="1"/>
  <c r="AQ255" i="1"/>
  <c r="AR255" i="1"/>
  <c r="AS255" i="1"/>
  <c r="AO256" i="1"/>
  <c r="AP256" i="1"/>
  <c r="AQ256" i="1"/>
  <c r="AR256" i="1"/>
  <c r="AS256" i="1"/>
  <c r="AO257" i="1"/>
  <c r="AP257" i="1"/>
  <c r="AQ257" i="1"/>
  <c r="AR257" i="1"/>
  <c r="AS257" i="1"/>
  <c r="AO258" i="1"/>
  <c r="AP258" i="1"/>
  <c r="AQ258" i="1"/>
  <c r="AR258" i="1"/>
  <c r="AS258" i="1"/>
  <c r="AO259" i="1"/>
  <c r="AP259" i="1"/>
  <c r="AQ259" i="1"/>
  <c r="AR259" i="1"/>
  <c r="AS259" i="1"/>
  <c r="AO260" i="1"/>
  <c r="AP260" i="1"/>
  <c r="AQ260" i="1"/>
  <c r="AR260" i="1"/>
  <c r="AS260" i="1"/>
  <c r="AO261" i="1"/>
  <c r="AP261" i="1"/>
  <c r="AQ261" i="1"/>
  <c r="AR261" i="1"/>
  <c r="AS261" i="1"/>
  <c r="AO262" i="1"/>
  <c r="AP262" i="1"/>
  <c r="AQ262" i="1"/>
  <c r="AR262" i="1"/>
  <c r="AS262" i="1"/>
  <c r="AO263" i="1"/>
  <c r="AP263" i="1"/>
  <c r="AQ263" i="1"/>
  <c r="AR263" i="1"/>
  <c r="AS263" i="1"/>
  <c r="AO264" i="1"/>
  <c r="AP264" i="1"/>
  <c r="AQ264" i="1"/>
  <c r="AR264" i="1"/>
  <c r="AS264" i="1"/>
  <c r="AO265" i="1"/>
  <c r="AP265" i="1"/>
  <c r="AQ265" i="1"/>
  <c r="AR265" i="1"/>
  <c r="AS265" i="1"/>
  <c r="AO266" i="1"/>
  <c r="AP266" i="1"/>
  <c r="AQ266" i="1"/>
  <c r="AR266" i="1"/>
  <c r="AS266" i="1"/>
  <c r="AO267" i="1"/>
  <c r="AP267" i="1"/>
  <c r="AQ267" i="1"/>
  <c r="AR267" i="1"/>
  <c r="AS267" i="1"/>
  <c r="AO268" i="1"/>
  <c r="AP268" i="1"/>
  <c r="AQ268" i="1"/>
  <c r="AR268" i="1"/>
  <c r="AS268" i="1"/>
  <c r="AO269" i="1"/>
  <c r="AP269" i="1"/>
  <c r="AQ269" i="1"/>
  <c r="AR269" i="1"/>
  <c r="AS269" i="1"/>
  <c r="AO270" i="1"/>
  <c r="AP270" i="1"/>
  <c r="AQ270" i="1"/>
  <c r="AR270" i="1"/>
  <c r="AS270" i="1"/>
  <c r="AO271" i="1"/>
  <c r="AP271" i="1"/>
  <c r="AQ271" i="1"/>
  <c r="AR271" i="1"/>
  <c r="AS271" i="1"/>
  <c r="AO272" i="1"/>
  <c r="AP272" i="1"/>
  <c r="AQ272" i="1"/>
  <c r="AR272" i="1"/>
  <c r="AS272" i="1"/>
  <c r="AO273" i="1"/>
  <c r="AP273" i="1"/>
  <c r="AQ273" i="1"/>
  <c r="AR273" i="1"/>
  <c r="AS273" i="1"/>
  <c r="AO274" i="1"/>
  <c r="AP274" i="1"/>
  <c r="AQ274" i="1"/>
  <c r="AR274" i="1"/>
  <c r="AS274" i="1"/>
  <c r="AO275" i="1"/>
  <c r="AP275" i="1"/>
  <c r="AQ275" i="1"/>
  <c r="AR275" i="1"/>
  <c r="AS275" i="1"/>
  <c r="AO276" i="1"/>
  <c r="AP276" i="1"/>
  <c r="AQ276" i="1"/>
  <c r="AR276" i="1"/>
  <c r="AS276" i="1"/>
  <c r="AO277" i="1"/>
  <c r="AP277" i="1"/>
  <c r="AQ277" i="1"/>
  <c r="AR277" i="1"/>
  <c r="AS277" i="1"/>
  <c r="AO278" i="1"/>
  <c r="AP278" i="1"/>
  <c r="AQ278" i="1"/>
  <c r="AR278" i="1"/>
  <c r="AS278" i="1"/>
  <c r="AO279" i="1"/>
  <c r="AP279" i="1"/>
  <c r="AQ279" i="1"/>
  <c r="AR279" i="1"/>
  <c r="AS279" i="1"/>
  <c r="AO280" i="1"/>
  <c r="AP280" i="1"/>
  <c r="AQ280" i="1"/>
  <c r="AR280" i="1"/>
  <c r="AS280" i="1"/>
  <c r="AO281" i="1"/>
  <c r="AP281" i="1"/>
  <c r="AQ281" i="1"/>
  <c r="AR281" i="1"/>
  <c r="AS281" i="1"/>
  <c r="AO282" i="1"/>
  <c r="AP282" i="1"/>
  <c r="AQ282" i="1"/>
  <c r="AR282" i="1"/>
  <c r="AS282" i="1"/>
  <c r="AO283" i="1"/>
  <c r="AP283" i="1"/>
  <c r="AQ283" i="1"/>
  <c r="AR283" i="1"/>
  <c r="AS283" i="1"/>
  <c r="AO284" i="1"/>
  <c r="AP284" i="1"/>
  <c r="AQ284" i="1"/>
  <c r="AR284" i="1"/>
  <c r="AS284" i="1"/>
  <c r="AO285" i="1"/>
  <c r="AP285" i="1"/>
  <c r="AQ285" i="1"/>
  <c r="AR285" i="1"/>
  <c r="AS285" i="1"/>
  <c r="AO286" i="1"/>
  <c r="AP286" i="1"/>
  <c r="AQ286" i="1"/>
  <c r="AR286" i="1"/>
  <c r="AS286" i="1"/>
  <c r="AO287" i="1"/>
  <c r="AP287" i="1"/>
  <c r="AQ287" i="1"/>
  <c r="AR287" i="1"/>
  <c r="AS287" i="1"/>
  <c r="AO288" i="1"/>
  <c r="AP288" i="1"/>
  <c r="AQ288" i="1"/>
  <c r="AR288" i="1"/>
  <c r="AS288" i="1"/>
  <c r="AO289" i="1"/>
  <c r="AP289" i="1"/>
  <c r="AQ289" i="1"/>
  <c r="AR289" i="1"/>
  <c r="AS289" i="1"/>
  <c r="AO290" i="1"/>
  <c r="AP290" i="1"/>
  <c r="AQ290" i="1"/>
  <c r="AR290" i="1"/>
  <c r="AS290" i="1"/>
  <c r="AO291" i="1"/>
  <c r="AP291" i="1"/>
  <c r="AQ291" i="1"/>
  <c r="AR291" i="1"/>
  <c r="AS291" i="1"/>
  <c r="AO292" i="1"/>
  <c r="AP292" i="1"/>
  <c r="AQ292" i="1"/>
  <c r="AR292" i="1"/>
  <c r="AS292" i="1"/>
  <c r="AO293" i="1"/>
  <c r="AP293" i="1"/>
  <c r="AQ293" i="1"/>
  <c r="AR293" i="1"/>
  <c r="AS293" i="1"/>
  <c r="AO294" i="1"/>
  <c r="AP294" i="1"/>
  <c r="AQ294" i="1"/>
  <c r="AR294" i="1"/>
  <c r="AS294" i="1"/>
  <c r="AO295" i="1"/>
  <c r="AP295" i="1"/>
  <c r="AQ295" i="1"/>
  <c r="AR295" i="1"/>
  <c r="AS295" i="1"/>
  <c r="AO296" i="1"/>
  <c r="AP296" i="1"/>
  <c r="AQ296" i="1"/>
  <c r="AR296" i="1"/>
  <c r="AS296" i="1"/>
  <c r="AO297" i="1"/>
  <c r="AP297" i="1"/>
  <c r="AQ297" i="1"/>
  <c r="AR297" i="1"/>
  <c r="AS297" i="1"/>
  <c r="AO298" i="1"/>
  <c r="AP298" i="1"/>
  <c r="AQ298" i="1"/>
  <c r="AR298" i="1"/>
  <c r="AS298" i="1"/>
  <c r="AO299" i="1"/>
  <c r="AP299" i="1"/>
  <c r="AQ299" i="1"/>
  <c r="AR299" i="1"/>
  <c r="AS299" i="1"/>
  <c r="AO300" i="1"/>
  <c r="AP300" i="1"/>
  <c r="AQ300" i="1"/>
  <c r="AR300" i="1"/>
  <c r="AS300" i="1"/>
  <c r="AO301" i="1"/>
  <c r="AP301" i="1"/>
  <c r="AQ301" i="1"/>
  <c r="AR301" i="1"/>
  <c r="AS301" i="1"/>
  <c r="AO302" i="1"/>
  <c r="AP302" i="1"/>
  <c r="AQ302" i="1"/>
  <c r="AR302" i="1"/>
  <c r="AS302" i="1"/>
  <c r="AO303" i="1"/>
  <c r="AP303" i="1"/>
  <c r="AQ303" i="1"/>
  <c r="AR303" i="1"/>
  <c r="AS303" i="1"/>
  <c r="AO304" i="1"/>
  <c r="AP304" i="1"/>
  <c r="AQ304" i="1"/>
  <c r="AR304" i="1"/>
  <c r="AS304" i="1"/>
  <c r="AO305" i="1"/>
  <c r="AP305" i="1"/>
  <c r="AQ305" i="1"/>
  <c r="AR305" i="1"/>
  <c r="AS305" i="1"/>
  <c r="AO306" i="1"/>
  <c r="AP306" i="1"/>
  <c r="AQ306" i="1"/>
  <c r="AR306" i="1"/>
  <c r="AS306" i="1"/>
  <c r="AO307" i="1"/>
  <c r="AP307" i="1"/>
  <c r="AQ307" i="1"/>
  <c r="AR307" i="1"/>
  <c r="AS307" i="1"/>
  <c r="AO308" i="1"/>
  <c r="AP308" i="1"/>
  <c r="AQ308" i="1"/>
  <c r="AR308" i="1"/>
  <c r="AS308" i="1"/>
  <c r="AO309" i="1"/>
  <c r="AP309" i="1"/>
  <c r="AQ309" i="1"/>
  <c r="AR309" i="1"/>
  <c r="AS309" i="1"/>
  <c r="AO310" i="1"/>
  <c r="AP310" i="1"/>
  <c r="AQ310" i="1"/>
  <c r="AR310" i="1"/>
  <c r="AS310" i="1"/>
  <c r="AO311" i="1"/>
  <c r="AP311" i="1"/>
  <c r="AQ311" i="1"/>
  <c r="AR311" i="1"/>
  <c r="AS311" i="1"/>
  <c r="AO312" i="1"/>
  <c r="AP312" i="1"/>
  <c r="AQ312" i="1"/>
  <c r="AR312" i="1"/>
  <c r="AS312" i="1"/>
  <c r="AO313" i="1"/>
  <c r="AP313" i="1"/>
  <c r="AQ313" i="1"/>
  <c r="AR313" i="1"/>
  <c r="AS313" i="1"/>
  <c r="AO314" i="1"/>
  <c r="AP314" i="1"/>
  <c r="AQ314" i="1"/>
  <c r="AR314" i="1"/>
  <c r="AS314" i="1"/>
  <c r="AO315" i="1"/>
  <c r="AP315" i="1"/>
  <c r="AQ315" i="1"/>
  <c r="AR315" i="1"/>
  <c r="AS315" i="1"/>
  <c r="AO316" i="1"/>
  <c r="AP316" i="1"/>
  <c r="AQ316" i="1"/>
  <c r="AR316" i="1"/>
  <c r="AS316" i="1"/>
  <c r="AO317" i="1"/>
  <c r="AP317" i="1"/>
  <c r="AQ317" i="1"/>
  <c r="AR317" i="1"/>
  <c r="AS317" i="1"/>
  <c r="AO318" i="1"/>
  <c r="AP318" i="1"/>
  <c r="AQ318" i="1"/>
  <c r="AR318" i="1"/>
  <c r="AS318" i="1"/>
  <c r="AO319" i="1"/>
  <c r="AP319" i="1"/>
  <c r="AQ319" i="1"/>
  <c r="AR319" i="1"/>
  <c r="AS319" i="1"/>
  <c r="AO320" i="1"/>
  <c r="AP320" i="1"/>
  <c r="AQ320" i="1"/>
  <c r="AR320" i="1"/>
  <c r="AS320" i="1"/>
  <c r="AO321" i="1"/>
  <c r="AP321" i="1"/>
  <c r="AQ321" i="1"/>
  <c r="AR321" i="1"/>
  <c r="AS321" i="1"/>
  <c r="AO322" i="1"/>
  <c r="AP322" i="1"/>
  <c r="AQ322" i="1"/>
  <c r="AR322" i="1"/>
  <c r="AS322" i="1"/>
  <c r="AO323" i="1"/>
  <c r="AP323" i="1"/>
  <c r="AQ323" i="1"/>
  <c r="AR323" i="1"/>
  <c r="AS323" i="1"/>
  <c r="AO324" i="1"/>
  <c r="AP324" i="1"/>
  <c r="AQ324" i="1"/>
  <c r="AR324" i="1"/>
  <c r="AS324" i="1"/>
  <c r="AO325" i="1"/>
  <c r="AP325" i="1"/>
  <c r="AQ325" i="1"/>
  <c r="AR325" i="1"/>
  <c r="AS325" i="1"/>
  <c r="AO326" i="1"/>
  <c r="AP326" i="1"/>
  <c r="AQ326" i="1"/>
  <c r="AR326" i="1"/>
  <c r="AS326" i="1"/>
  <c r="AO327" i="1"/>
  <c r="AP327" i="1"/>
  <c r="AQ327" i="1"/>
  <c r="AR327" i="1"/>
  <c r="AS327" i="1"/>
  <c r="AO328" i="1"/>
  <c r="AP328" i="1"/>
  <c r="AQ328" i="1"/>
  <c r="AR328" i="1"/>
  <c r="AS328" i="1"/>
  <c r="AO329" i="1"/>
  <c r="AP329" i="1"/>
  <c r="AQ329" i="1"/>
  <c r="AR329" i="1"/>
  <c r="AS329" i="1"/>
  <c r="AO330" i="1"/>
  <c r="AP330" i="1"/>
  <c r="AQ330" i="1"/>
  <c r="AR330" i="1"/>
  <c r="AS330" i="1"/>
  <c r="AO331" i="1"/>
  <c r="AP331" i="1"/>
  <c r="AQ331" i="1"/>
  <c r="AR331" i="1"/>
  <c r="AS331" i="1"/>
  <c r="AO332" i="1"/>
  <c r="AP332" i="1"/>
  <c r="AQ332" i="1"/>
  <c r="AR332" i="1"/>
  <c r="AS332" i="1"/>
  <c r="AO333" i="1"/>
  <c r="AP333" i="1"/>
  <c r="AQ333" i="1"/>
  <c r="AR333" i="1"/>
  <c r="AS333" i="1"/>
  <c r="AO334" i="1"/>
  <c r="AP334" i="1"/>
  <c r="AQ334" i="1"/>
  <c r="AR334" i="1"/>
  <c r="AS334" i="1"/>
  <c r="AO335" i="1"/>
  <c r="AP335" i="1"/>
  <c r="AQ335" i="1"/>
  <c r="AR335" i="1"/>
  <c r="AS335" i="1"/>
  <c r="AO336" i="1"/>
  <c r="AP336" i="1"/>
  <c r="AQ336" i="1"/>
  <c r="AR336" i="1"/>
  <c r="AS336" i="1"/>
  <c r="AO337" i="1"/>
  <c r="AP337" i="1"/>
  <c r="AQ337" i="1"/>
  <c r="AR337" i="1"/>
  <c r="AS337" i="1"/>
  <c r="AO338" i="1"/>
  <c r="AP338" i="1"/>
  <c r="AQ338" i="1"/>
  <c r="AR338" i="1"/>
  <c r="AS338" i="1"/>
  <c r="AO339" i="1"/>
  <c r="AP339" i="1"/>
  <c r="AQ339" i="1"/>
  <c r="AR339" i="1"/>
  <c r="AS339" i="1"/>
  <c r="AO340" i="1"/>
  <c r="AP340" i="1"/>
  <c r="AQ340" i="1"/>
  <c r="AR340" i="1"/>
  <c r="AS340" i="1"/>
  <c r="AO341" i="1"/>
  <c r="AP341" i="1"/>
  <c r="AQ341" i="1"/>
  <c r="AR341" i="1"/>
  <c r="AS341" i="1"/>
  <c r="AO342" i="1"/>
  <c r="AP342" i="1"/>
  <c r="AQ342" i="1"/>
  <c r="AR342" i="1"/>
  <c r="AS342" i="1"/>
  <c r="AO343" i="1"/>
  <c r="AP343" i="1"/>
  <c r="AQ343" i="1"/>
  <c r="AR343" i="1"/>
  <c r="AS343" i="1"/>
  <c r="AO344" i="1"/>
  <c r="AP344" i="1"/>
  <c r="AQ344" i="1"/>
  <c r="AR344" i="1"/>
  <c r="AS344" i="1"/>
  <c r="AO345" i="1"/>
  <c r="AP345" i="1"/>
  <c r="AQ345" i="1"/>
  <c r="AR345" i="1"/>
  <c r="AS345" i="1"/>
  <c r="AO346" i="1"/>
  <c r="AP346" i="1"/>
  <c r="AQ346" i="1"/>
  <c r="AR346" i="1"/>
  <c r="AS346" i="1"/>
  <c r="AO347" i="1"/>
  <c r="AP347" i="1"/>
  <c r="AQ347" i="1"/>
  <c r="AR347" i="1"/>
  <c r="AS347" i="1"/>
  <c r="AO348" i="1"/>
  <c r="AP348" i="1"/>
  <c r="AQ348" i="1"/>
  <c r="AR348" i="1"/>
  <c r="AS348" i="1"/>
  <c r="AO349" i="1"/>
  <c r="AP349" i="1"/>
  <c r="AQ349" i="1"/>
  <c r="AR349" i="1"/>
  <c r="AS349" i="1"/>
  <c r="AO350" i="1"/>
  <c r="AP350" i="1"/>
  <c r="AQ350" i="1"/>
  <c r="AR350" i="1"/>
  <c r="AS350" i="1"/>
  <c r="AO351" i="1"/>
  <c r="AP351" i="1"/>
  <c r="AQ351" i="1"/>
  <c r="AR351" i="1"/>
  <c r="AS351" i="1"/>
  <c r="AO352" i="1"/>
  <c r="AP352" i="1"/>
  <c r="AQ352" i="1"/>
  <c r="AR352" i="1"/>
  <c r="AS352" i="1"/>
  <c r="AO353" i="1"/>
  <c r="AP353" i="1"/>
  <c r="AQ353" i="1"/>
  <c r="AR353" i="1"/>
  <c r="AS353" i="1"/>
  <c r="AO354" i="1"/>
  <c r="AP354" i="1"/>
  <c r="AQ354" i="1"/>
  <c r="AR354" i="1"/>
  <c r="AS354" i="1"/>
  <c r="AO355" i="1"/>
  <c r="AP355" i="1"/>
  <c r="AQ355" i="1"/>
  <c r="AR355" i="1"/>
  <c r="AS355" i="1"/>
  <c r="AO356" i="1"/>
  <c r="AP356" i="1"/>
  <c r="AQ356" i="1"/>
  <c r="AR356" i="1"/>
  <c r="AS356" i="1"/>
  <c r="AO357" i="1"/>
  <c r="AP357" i="1"/>
  <c r="AQ357" i="1"/>
  <c r="AR357" i="1"/>
  <c r="AS357" i="1"/>
  <c r="AO358" i="1"/>
  <c r="AP358" i="1"/>
  <c r="AQ358" i="1"/>
  <c r="AR358" i="1"/>
  <c r="AS358" i="1"/>
  <c r="AO359" i="1"/>
  <c r="AP359" i="1"/>
  <c r="AQ359" i="1"/>
  <c r="AR359" i="1"/>
  <c r="AS359" i="1"/>
  <c r="AO360" i="1"/>
  <c r="AP360" i="1"/>
  <c r="AQ360" i="1"/>
  <c r="AR360" i="1"/>
  <c r="AS360" i="1"/>
  <c r="AO361" i="1"/>
  <c r="AP361" i="1"/>
  <c r="AQ361" i="1"/>
  <c r="AR361" i="1"/>
  <c r="AS361" i="1"/>
  <c r="AO362" i="1"/>
  <c r="AP362" i="1"/>
  <c r="AQ362" i="1"/>
  <c r="AR362" i="1"/>
  <c r="AS362" i="1"/>
  <c r="AO363" i="1"/>
  <c r="AP363" i="1"/>
  <c r="AQ363" i="1"/>
  <c r="AR363" i="1"/>
  <c r="AS363" i="1"/>
  <c r="AS4" i="1"/>
  <c r="AR4" i="1"/>
  <c r="AQ4" i="1"/>
  <c r="AP4" i="1"/>
  <c r="AO4" i="1"/>
  <c r="AH5" i="1"/>
  <c r="AI5" i="1"/>
  <c r="AJ5" i="1"/>
  <c r="AK5" i="1"/>
  <c r="AL5" i="1"/>
  <c r="AH6" i="1"/>
  <c r="AI6" i="1"/>
  <c r="AJ6" i="1"/>
  <c r="AK6" i="1"/>
  <c r="AL6" i="1"/>
  <c r="AH7" i="1"/>
  <c r="AI7" i="1"/>
  <c r="AJ7" i="1"/>
  <c r="AK7" i="1"/>
  <c r="AL7" i="1"/>
  <c r="AH8" i="1"/>
  <c r="AI8" i="1"/>
  <c r="AJ8" i="1"/>
  <c r="AK8" i="1"/>
  <c r="AL8" i="1"/>
  <c r="AH9" i="1"/>
  <c r="AI9" i="1"/>
  <c r="AJ9" i="1"/>
  <c r="AK9" i="1"/>
  <c r="AL9" i="1"/>
  <c r="AH10" i="1"/>
  <c r="AI10" i="1"/>
  <c r="AJ10" i="1"/>
  <c r="AK10" i="1"/>
  <c r="AL10" i="1"/>
  <c r="AH11" i="1"/>
  <c r="AI11" i="1"/>
  <c r="AJ11" i="1"/>
  <c r="AK11" i="1"/>
  <c r="AL11" i="1"/>
  <c r="AH12" i="1"/>
  <c r="AI12" i="1"/>
  <c r="AJ12" i="1"/>
  <c r="AK12" i="1"/>
  <c r="AL12" i="1"/>
  <c r="AH13" i="1"/>
  <c r="AI13" i="1"/>
  <c r="AJ13" i="1"/>
  <c r="AK13" i="1"/>
  <c r="AL13" i="1"/>
  <c r="AH14" i="1"/>
  <c r="AI14" i="1"/>
  <c r="AJ14" i="1"/>
  <c r="AK14" i="1"/>
  <c r="AL14" i="1"/>
  <c r="AH15" i="1"/>
  <c r="AI15" i="1"/>
  <c r="AJ15" i="1"/>
  <c r="AK15" i="1"/>
  <c r="AL15" i="1"/>
  <c r="AH16" i="1"/>
  <c r="AI16" i="1"/>
  <c r="AJ16" i="1"/>
  <c r="AK16" i="1"/>
  <c r="AL16" i="1"/>
  <c r="AH17" i="1"/>
  <c r="AI17" i="1"/>
  <c r="AJ17" i="1"/>
  <c r="AK17" i="1"/>
  <c r="AL17" i="1"/>
  <c r="AH18" i="1"/>
  <c r="AI18" i="1"/>
  <c r="AJ18" i="1"/>
  <c r="AK18" i="1"/>
  <c r="AL18" i="1"/>
  <c r="AH19" i="1"/>
  <c r="AI19" i="1"/>
  <c r="AJ19" i="1"/>
  <c r="AK19" i="1"/>
  <c r="AL19" i="1"/>
  <c r="AH20" i="1"/>
  <c r="AI20" i="1"/>
  <c r="AJ20" i="1"/>
  <c r="AK20" i="1"/>
  <c r="AL20" i="1"/>
  <c r="AH21" i="1"/>
  <c r="AI21" i="1"/>
  <c r="AJ21" i="1"/>
  <c r="AK21" i="1"/>
  <c r="AL21" i="1"/>
  <c r="AH22" i="1"/>
  <c r="AI22" i="1"/>
  <c r="AJ22" i="1"/>
  <c r="AK22" i="1"/>
  <c r="AL22" i="1"/>
  <c r="AH23" i="1"/>
  <c r="AI23" i="1"/>
  <c r="AJ23" i="1"/>
  <c r="AK23" i="1"/>
  <c r="AL23" i="1"/>
  <c r="AH24" i="1"/>
  <c r="AI24" i="1"/>
  <c r="AJ24" i="1"/>
  <c r="AK24" i="1"/>
  <c r="AL24" i="1"/>
  <c r="AH25" i="1"/>
  <c r="AI25" i="1"/>
  <c r="AJ25" i="1"/>
  <c r="AK25" i="1"/>
  <c r="AL25" i="1"/>
  <c r="AH26" i="1"/>
  <c r="AI26" i="1"/>
  <c r="AJ26" i="1"/>
  <c r="AK26" i="1"/>
  <c r="AL26" i="1"/>
  <c r="AH27" i="1"/>
  <c r="AI27" i="1"/>
  <c r="AJ27" i="1"/>
  <c r="AK27" i="1"/>
  <c r="AL27" i="1"/>
  <c r="AH28" i="1"/>
  <c r="AI28" i="1"/>
  <c r="AJ28" i="1"/>
  <c r="AK28" i="1"/>
  <c r="AL28" i="1"/>
  <c r="AH29" i="1"/>
  <c r="AI29" i="1"/>
  <c r="AJ29" i="1"/>
  <c r="AK29" i="1"/>
  <c r="AL29" i="1"/>
  <c r="AH30" i="1"/>
  <c r="AI30" i="1"/>
  <c r="AJ30" i="1"/>
  <c r="AK30" i="1"/>
  <c r="AL30" i="1"/>
  <c r="AH31" i="1"/>
  <c r="AI31" i="1"/>
  <c r="AJ31" i="1"/>
  <c r="AK31" i="1"/>
  <c r="AL31" i="1"/>
  <c r="AH32" i="1"/>
  <c r="AI32" i="1"/>
  <c r="AJ32" i="1"/>
  <c r="AK32" i="1"/>
  <c r="AL32" i="1"/>
  <c r="AH33" i="1"/>
  <c r="AI33" i="1"/>
  <c r="AJ33" i="1"/>
  <c r="AK33" i="1"/>
  <c r="AL33" i="1"/>
  <c r="AH34" i="1"/>
  <c r="AI34" i="1"/>
  <c r="AJ34" i="1"/>
  <c r="AK34" i="1"/>
  <c r="AL34" i="1"/>
  <c r="AH35" i="1"/>
  <c r="AI35" i="1"/>
  <c r="AJ35" i="1"/>
  <c r="AK35" i="1"/>
  <c r="AL35" i="1"/>
  <c r="AH36" i="1"/>
  <c r="AI36" i="1"/>
  <c r="AJ36" i="1"/>
  <c r="AK36" i="1"/>
  <c r="AL36" i="1"/>
  <c r="AH37" i="1"/>
  <c r="AI37" i="1"/>
  <c r="AJ37" i="1"/>
  <c r="AK37" i="1"/>
  <c r="AL37" i="1"/>
  <c r="AH38" i="1"/>
  <c r="AI38" i="1"/>
  <c r="AJ38" i="1"/>
  <c r="AK38" i="1"/>
  <c r="AL38" i="1"/>
  <c r="AH39" i="1"/>
  <c r="AI39" i="1"/>
  <c r="AJ39" i="1"/>
  <c r="AK39" i="1"/>
  <c r="AL39" i="1"/>
  <c r="AH40" i="1"/>
  <c r="AI40" i="1"/>
  <c r="AJ40" i="1"/>
  <c r="AK40" i="1"/>
  <c r="AL40" i="1"/>
  <c r="AH41" i="1"/>
  <c r="AI41" i="1"/>
  <c r="AJ41" i="1"/>
  <c r="AK41" i="1"/>
  <c r="AL41" i="1"/>
  <c r="AH42" i="1"/>
  <c r="AI42" i="1"/>
  <c r="AJ42" i="1"/>
  <c r="AK42" i="1"/>
  <c r="AL42" i="1"/>
  <c r="AH43" i="1"/>
  <c r="AI43" i="1"/>
  <c r="AJ43" i="1"/>
  <c r="AK43" i="1"/>
  <c r="AL43" i="1"/>
  <c r="AH44" i="1"/>
  <c r="AI44" i="1"/>
  <c r="AJ44" i="1"/>
  <c r="AK44" i="1"/>
  <c r="AL44" i="1"/>
  <c r="AH45" i="1"/>
  <c r="AI45" i="1"/>
  <c r="AJ45" i="1"/>
  <c r="AK45" i="1"/>
  <c r="AL45" i="1"/>
  <c r="AH46" i="1"/>
  <c r="AI46" i="1"/>
  <c r="AJ46" i="1"/>
  <c r="AK46" i="1"/>
  <c r="AL46" i="1"/>
  <c r="AH47" i="1"/>
  <c r="AI47" i="1"/>
  <c r="AJ47" i="1"/>
  <c r="AK47" i="1"/>
  <c r="AL47" i="1"/>
  <c r="AH48" i="1"/>
  <c r="AI48" i="1"/>
  <c r="AJ48" i="1"/>
  <c r="AK48" i="1"/>
  <c r="AL48" i="1"/>
  <c r="AH49" i="1"/>
  <c r="AI49" i="1"/>
  <c r="AJ49" i="1"/>
  <c r="AK49" i="1"/>
  <c r="AL49" i="1"/>
  <c r="AH50" i="1"/>
  <c r="AI50" i="1"/>
  <c r="AJ50" i="1"/>
  <c r="AK50" i="1"/>
  <c r="AL50" i="1"/>
  <c r="AH51" i="1"/>
  <c r="AI51" i="1"/>
  <c r="AJ51" i="1"/>
  <c r="AK51" i="1"/>
  <c r="AL51" i="1"/>
  <c r="AH52" i="1"/>
  <c r="AI52" i="1"/>
  <c r="AJ52" i="1"/>
  <c r="AK52" i="1"/>
  <c r="AL52" i="1"/>
  <c r="AH53" i="1"/>
  <c r="AI53" i="1"/>
  <c r="AJ53" i="1"/>
  <c r="AK53" i="1"/>
  <c r="AL53" i="1"/>
  <c r="AL4" i="1"/>
  <c r="AK4" i="1"/>
  <c r="AJ4" i="1"/>
  <c r="AI4" i="1"/>
  <c r="AH4" i="1"/>
  <c r="AA5" i="1"/>
  <c r="AB5" i="1"/>
  <c r="AC5" i="1"/>
  <c r="AD5" i="1"/>
  <c r="AE5" i="1"/>
  <c r="AA6" i="1"/>
  <c r="AB6" i="1"/>
  <c r="AC6" i="1"/>
  <c r="AD6" i="1"/>
  <c r="AE6" i="1"/>
  <c r="AA7" i="1"/>
  <c r="AB7" i="1"/>
  <c r="AC7" i="1"/>
  <c r="AD7" i="1"/>
  <c r="AE7" i="1"/>
  <c r="AA8" i="1"/>
  <c r="AB8" i="1"/>
  <c r="AC8" i="1"/>
  <c r="AD8" i="1"/>
  <c r="AE8" i="1"/>
  <c r="AA9" i="1"/>
  <c r="AB9" i="1"/>
  <c r="AC9" i="1"/>
  <c r="AD9" i="1"/>
  <c r="AE9" i="1"/>
  <c r="AA10" i="1"/>
  <c r="AB10" i="1"/>
  <c r="AC10" i="1"/>
  <c r="AD10" i="1"/>
  <c r="AE10" i="1"/>
  <c r="AA11" i="1"/>
  <c r="AB11" i="1"/>
  <c r="AC11" i="1"/>
  <c r="AD11" i="1"/>
  <c r="AE11" i="1"/>
  <c r="AA12" i="1"/>
  <c r="AB12" i="1"/>
  <c r="AC12" i="1"/>
  <c r="AD12" i="1"/>
  <c r="AE12" i="1"/>
  <c r="AA13" i="1"/>
  <c r="AB13" i="1"/>
  <c r="AC13" i="1"/>
  <c r="AD13" i="1"/>
  <c r="AE13" i="1"/>
  <c r="AA14" i="1"/>
  <c r="AB14" i="1"/>
  <c r="AC14" i="1"/>
  <c r="AD14" i="1"/>
  <c r="AE14" i="1"/>
  <c r="AA15" i="1"/>
  <c r="AB15" i="1"/>
  <c r="AC15" i="1"/>
  <c r="AD15" i="1"/>
  <c r="AE15" i="1"/>
  <c r="AA16" i="1"/>
  <c r="AB16" i="1"/>
  <c r="AC16" i="1"/>
  <c r="AD16" i="1"/>
  <c r="AE16" i="1"/>
  <c r="AA17" i="1"/>
  <c r="AB17" i="1"/>
  <c r="AC17" i="1"/>
  <c r="AD17" i="1"/>
  <c r="AE17" i="1"/>
  <c r="AA18" i="1"/>
  <c r="AB18" i="1"/>
  <c r="AC18" i="1"/>
  <c r="AD18" i="1"/>
  <c r="AE18" i="1"/>
  <c r="AA19" i="1"/>
  <c r="AB19" i="1"/>
  <c r="AC19" i="1"/>
  <c r="AD19" i="1"/>
  <c r="AE19" i="1"/>
  <c r="AA20" i="1"/>
  <c r="AB20" i="1"/>
  <c r="AC20" i="1"/>
  <c r="AD20" i="1"/>
  <c r="AE20" i="1"/>
  <c r="AA21" i="1"/>
  <c r="AB21" i="1"/>
  <c r="AC21" i="1"/>
  <c r="AD21" i="1"/>
  <c r="AE21" i="1"/>
  <c r="AA22" i="1"/>
  <c r="AB22" i="1"/>
  <c r="AC22" i="1"/>
  <c r="AD22" i="1"/>
  <c r="AE22" i="1"/>
  <c r="AA23" i="1"/>
  <c r="AB23" i="1"/>
  <c r="AC23" i="1"/>
  <c r="AD23" i="1"/>
  <c r="AE23" i="1"/>
  <c r="AA24" i="1"/>
  <c r="AB24" i="1"/>
  <c r="AC24" i="1"/>
  <c r="AD24" i="1"/>
  <c r="AE24" i="1"/>
  <c r="AA25" i="1"/>
  <c r="AB25" i="1"/>
  <c r="AC25" i="1"/>
  <c r="AD25" i="1"/>
  <c r="AE25" i="1"/>
  <c r="AA26" i="1"/>
  <c r="AB26" i="1"/>
  <c r="AC26" i="1"/>
  <c r="AD26" i="1"/>
  <c r="AE26" i="1"/>
  <c r="AA27" i="1"/>
  <c r="AB27" i="1"/>
  <c r="AC27" i="1"/>
  <c r="AD27" i="1"/>
  <c r="AE27" i="1"/>
  <c r="AA28" i="1"/>
  <c r="AB28" i="1"/>
  <c r="AC28" i="1"/>
  <c r="AD28" i="1"/>
  <c r="AE28" i="1"/>
  <c r="AA29" i="1"/>
  <c r="AB29" i="1"/>
  <c r="AC29" i="1"/>
  <c r="AD29" i="1"/>
  <c r="AE29" i="1"/>
  <c r="AA30" i="1"/>
  <c r="AB30" i="1"/>
  <c r="AC30" i="1"/>
  <c r="AD30" i="1"/>
  <c r="AE30" i="1"/>
  <c r="AA31" i="1"/>
  <c r="AB31" i="1"/>
  <c r="AC31" i="1"/>
  <c r="AD31" i="1"/>
  <c r="AE31" i="1"/>
  <c r="AA32" i="1"/>
  <c r="AB32" i="1"/>
  <c r="AC32" i="1"/>
  <c r="AD32" i="1"/>
  <c r="AE32" i="1"/>
  <c r="AA33" i="1"/>
  <c r="AB33" i="1"/>
  <c r="AC33" i="1"/>
  <c r="AD33" i="1"/>
  <c r="AE33" i="1"/>
  <c r="AA34" i="1"/>
  <c r="AB34" i="1"/>
  <c r="AC34" i="1"/>
  <c r="AD34" i="1"/>
  <c r="AE34" i="1"/>
  <c r="AA35" i="1"/>
  <c r="AB35" i="1"/>
  <c r="AC35" i="1"/>
  <c r="AD35" i="1"/>
  <c r="AE35" i="1"/>
  <c r="AA36" i="1"/>
  <c r="AB36" i="1"/>
  <c r="AC36" i="1"/>
  <c r="AD36" i="1"/>
  <c r="AE36" i="1"/>
  <c r="AA37" i="1"/>
  <c r="AB37" i="1"/>
  <c r="AC37" i="1"/>
  <c r="AD37" i="1"/>
  <c r="AE37" i="1"/>
  <c r="AA38" i="1"/>
  <c r="AB38" i="1"/>
  <c r="AC38" i="1"/>
  <c r="AD38" i="1"/>
  <c r="AE38" i="1"/>
  <c r="AA39" i="1"/>
  <c r="AB39" i="1"/>
  <c r="AC39" i="1"/>
  <c r="AD39" i="1"/>
  <c r="AE39" i="1"/>
  <c r="AA40" i="1"/>
  <c r="AB40" i="1"/>
  <c r="AC40" i="1"/>
  <c r="AD40" i="1"/>
  <c r="AE40" i="1"/>
  <c r="AA41" i="1"/>
  <c r="AB41" i="1"/>
  <c r="AC41" i="1"/>
  <c r="AD41" i="1"/>
  <c r="AE41" i="1"/>
  <c r="AA42" i="1"/>
  <c r="AB42" i="1"/>
  <c r="AC42" i="1"/>
  <c r="AD42" i="1"/>
  <c r="AE42" i="1"/>
  <c r="AA43" i="1"/>
  <c r="AB43" i="1"/>
  <c r="AC43" i="1"/>
  <c r="AD43" i="1"/>
  <c r="AE43" i="1"/>
  <c r="AA44" i="1"/>
  <c r="AB44" i="1"/>
  <c r="AC44" i="1"/>
  <c r="AD44" i="1"/>
  <c r="AE44" i="1"/>
  <c r="AA45" i="1"/>
  <c r="AB45" i="1"/>
  <c r="AC45" i="1"/>
  <c r="AD45" i="1"/>
  <c r="AE45" i="1"/>
  <c r="AA46" i="1"/>
  <c r="AB46" i="1"/>
  <c r="AC46" i="1"/>
  <c r="AD46" i="1"/>
  <c r="AE46" i="1"/>
  <c r="AA47" i="1"/>
  <c r="AB47" i="1"/>
  <c r="AC47" i="1"/>
  <c r="AD47" i="1"/>
  <c r="AE47" i="1"/>
  <c r="AA48" i="1"/>
  <c r="AB48" i="1"/>
  <c r="AC48" i="1"/>
  <c r="AD48" i="1"/>
  <c r="AE48" i="1"/>
  <c r="AA49" i="1"/>
  <c r="AB49" i="1"/>
  <c r="AC49" i="1"/>
  <c r="AD49" i="1"/>
  <c r="AE49" i="1"/>
  <c r="AA50" i="1"/>
  <c r="AB50" i="1"/>
  <c r="AC50" i="1"/>
  <c r="AD50" i="1"/>
  <c r="AE50" i="1"/>
  <c r="AA51" i="1"/>
  <c r="AB51" i="1"/>
  <c r="AC51" i="1"/>
  <c r="AD51" i="1"/>
  <c r="AE51" i="1"/>
  <c r="AA52" i="1"/>
  <c r="AB52" i="1"/>
  <c r="AC52" i="1"/>
  <c r="AD52" i="1"/>
  <c r="AE52" i="1"/>
  <c r="AA53" i="1"/>
  <c r="AB53" i="1"/>
  <c r="AC53" i="1"/>
  <c r="AD53" i="1"/>
  <c r="AE53" i="1"/>
  <c r="AE4" i="1"/>
  <c r="AD4" i="1"/>
  <c r="AC4" i="1"/>
  <c r="AB4" i="1"/>
  <c r="AA4" i="1"/>
  <c r="E105" i="1" l="1"/>
  <c r="G106" i="1"/>
  <c r="D107" i="1"/>
  <c r="F108" i="1"/>
  <c r="D110" i="1"/>
  <c r="H111" i="1"/>
  <c r="G112" i="1"/>
  <c r="F92" i="1" l="1"/>
  <c r="D56" i="1"/>
  <c r="E26" i="1"/>
  <c r="D67" i="1"/>
  <c r="H7" i="1"/>
  <c r="F97" i="1"/>
  <c r="D43" i="1"/>
  <c r="E102" i="1"/>
  <c r="G90" i="1"/>
  <c r="D84" i="1"/>
  <c r="D78" i="1"/>
  <c r="G66" i="1"/>
  <c r="D54" i="1"/>
  <c r="E42" i="1"/>
  <c r="F30" i="1"/>
  <c r="E24" i="1"/>
  <c r="G18" i="1"/>
  <c r="G12" i="1"/>
  <c r="D6" i="1"/>
  <c r="E86" i="1"/>
  <c r="F62" i="1"/>
  <c r="D38" i="1"/>
  <c r="F14" i="1"/>
  <c r="H36" i="1"/>
  <c r="E73" i="1"/>
  <c r="H13" i="1"/>
  <c r="F18" i="1"/>
  <c r="F67" i="1"/>
  <c r="D113" i="1"/>
  <c r="H101" i="1"/>
  <c r="E89" i="1"/>
  <c r="F77" i="1"/>
  <c r="F65" i="1"/>
  <c r="E59" i="1"/>
  <c r="G53" i="1"/>
  <c r="D41" i="1"/>
  <c r="H29" i="1"/>
  <c r="H23" i="1"/>
  <c r="F17" i="1"/>
  <c r="G5" i="1"/>
  <c r="E90" i="1"/>
  <c r="E74" i="1"/>
  <c r="G50" i="1"/>
  <c r="D32" i="1"/>
  <c r="E8" i="1"/>
  <c r="D97" i="1"/>
  <c r="H61" i="1"/>
  <c r="E43" i="1"/>
  <c r="E30" i="1"/>
  <c r="E100" i="1"/>
  <c r="D94" i="1"/>
  <c r="E88" i="1"/>
  <c r="H82" i="1"/>
  <c r="F76" i="1"/>
  <c r="D70" i="1"/>
  <c r="H64" i="1"/>
  <c r="E58" i="1"/>
  <c r="F52" i="1"/>
  <c r="F46" i="1"/>
  <c r="E40" i="1"/>
  <c r="G34" i="1"/>
  <c r="G28" i="1"/>
  <c r="D22" i="1"/>
  <c r="D16" i="1"/>
  <c r="E10" i="1"/>
  <c r="H98" i="1"/>
  <c r="G68" i="1"/>
  <c r="F44" i="1"/>
  <c r="H20" i="1"/>
  <c r="E19" i="1"/>
  <c r="D91" i="1"/>
  <c r="F49" i="1"/>
  <c r="D19" i="1"/>
  <c r="F78" i="1"/>
  <c r="F93" i="1"/>
  <c r="G87" i="1"/>
  <c r="D81" i="1"/>
  <c r="E75" i="1"/>
  <c r="G69" i="1"/>
  <c r="D51" i="1"/>
  <c r="H45" i="1"/>
  <c r="H39" i="1"/>
  <c r="F33" i="1"/>
  <c r="F111" i="1"/>
  <c r="F110" i="1"/>
  <c r="F109" i="1"/>
  <c r="E109" i="1"/>
  <c r="H109" i="1"/>
  <c r="H106" i="1"/>
  <c r="E106" i="1"/>
  <c r="G110" i="1"/>
  <c r="D106" i="1"/>
  <c r="H110" i="1"/>
  <c r="G108" i="1"/>
  <c r="G105" i="1"/>
  <c r="F106" i="1"/>
  <c r="L74" i="1"/>
  <c r="L75" i="1"/>
  <c r="L59" i="1"/>
  <c r="L43" i="1"/>
  <c r="M18" i="1"/>
  <c r="M78" i="1"/>
  <c r="K82" i="1"/>
  <c r="L90" i="1"/>
  <c r="E107" i="1"/>
  <c r="E111" i="1"/>
  <c r="H107" i="1"/>
  <c r="D111" i="1"/>
  <c r="M93" i="1"/>
  <c r="L89" i="1"/>
  <c r="M77" i="1"/>
  <c r="N69" i="1"/>
  <c r="G107" i="1"/>
  <c r="G111" i="1"/>
  <c r="K84" i="1"/>
  <c r="M76" i="1"/>
  <c r="E104" i="1"/>
  <c r="H104" i="1"/>
  <c r="H105" i="1"/>
  <c r="D105" i="1"/>
  <c r="E112" i="1"/>
  <c r="H112" i="1"/>
  <c r="F112" i="1"/>
  <c r="D108" i="1"/>
  <c r="E108" i="1"/>
  <c r="H108" i="1"/>
  <c r="G104" i="1"/>
  <c r="D104" i="1"/>
  <c r="F104" i="1"/>
  <c r="D112" i="1"/>
  <c r="F105" i="1"/>
  <c r="G109" i="1"/>
  <c r="D109" i="1"/>
  <c r="G84" i="1" l="1"/>
  <c r="H75" i="1"/>
  <c r="G81" i="1"/>
  <c r="D93" i="1"/>
  <c r="E56" i="1"/>
  <c r="D92" i="1"/>
  <c r="D61" i="1"/>
  <c r="D12" i="1"/>
  <c r="G24" i="1"/>
  <c r="H72" i="1"/>
  <c r="E39" i="1"/>
  <c r="E47" i="1"/>
  <c r="H53" i="1"/>
  <c r="F86" i="1"/>
  <c r="D66" i="1"/>
  <c r="F5" i="1"/>
  <c r="F34" i="1"/>
  <c r="G42" i="1"/>
  <c r="G85" i="1"/>
  <c r="E11" i="1"/>
  <c r="F31" i="1"/>
  <c r="H71" i="1"/>
  <c r="H14" i="1"/>
  <c r="E5" i="1"/>
  <c r="E18" i="1"/>
  <c r="E65" i="1"/>
  <c r="G93" i="1"/>
  <c r="G73" i="1"/>
  <c r="D53" i="1"/>
  <c r="H56" i="1"/>
  <c r="G64" i="1"/>
  <c r="E76" i="1"/>
  <c r="F84" i="1"/>
  <c r="F96" i="1"/>
  <c r="G19" i="1"/>
  <c r="E81" i="1"/>
  <c r="F41" i="1"/>
  <c r="E93" i="1"/>
  <c r="F53" i="1"/>
  <c r="E29" i="1"/>
  <c r="H9" i="1"/>
  <c r="D8" i="1"/>
  <c r="F16" i="1"/>
  <c r="G20" i="1"/>
  <c r="E28" i="1"/>
  <c r="H32" i="1"/>
  <c r="D40" i="1"/>
  <c r="F48" i="1"/>
  <c r="F56" i="1"/>
  <c r="D72" i="1"/>
  <c r="D96" i="1"/>
  <c r="F28" i="1"/>
  <c r="H87" i="1"/>
  <c r="D59" i="1"/>
  <c r="E35" i="1"/>
  <c r="G11" i="1"/>
  <c r="E95" i="1"/>
  <c r="H67" i="1"/>
  <c r="F43" i="1"/>
  <c r="D15" i="1"/>
  <c r="F95" i="1"/>
  <c r="E71" i="1"/>
  <c r="G47" i="1"/>
  <c r="H19" i="1"/>
  <c r="H10" i="1"/>
  <c r="E41" i="1"/>
  <c r="F102" i="1"/>
  <c r="E82" i="1"/>
  <c r="G62" i="1"/>
  <c r="F42" i="1"/>
  <c r="E22" i="1"/>
  <c r="H6" i="1"/>
  <c r="F37" i="1"/>
  <c r="F75" i="1"/>
  <c r="F66" i="1"/>
  <c r="H30" i="1"/>
  <c r="G4" i="1"/>
  <c r="F74" i="1"/>
  <c r="E34" i="1"/>
  <c r="G9" i="1"/>
  <c r="H85" i="1"/>
  <c r="H73" i="1"/>
  <c r="E15" i="1"/>
  <c r="H35" i="1"/>
  <c r="G63" i="1"/>
  <c r="D79" i="1"/>
  <c r="G95" i="1"/>
  <c r="G44" i="1"/>
  <c r="D45" i="1"/>
  <c r="G82" i="1"/>
  <c r="F12" i="1"/>
  <c r="D4" i="1"/>
  <c r="H113" i="1"/>
  <c r="D49" i="1"/>
  <c r="F29" i="1"/>
  <c r="F20" i="1"/>
  <c r="G56" i="1"/>
  <c r="H84" i="1"/>
  <c r="D63" i="1"/>
  <c r="G23" i="1"/>
  <c r="D23" i="1"/>
  <c r="G46" i="1"/>
  <c r="D57" i="1"/>
  <c r="H55" i="1"/>
  <c r="F69" i="1"/>
  <c r="G6" i="1"/>
  <c r="E49" i="1"/>
  <c r="F89" i="1"/>
  <c r="D69" i="1"/>
  <c r="G49" i="1"/>
  <c r="H100" i="1"/>
  <c r="D48" i="1"/>
  <c r="F60" i="1"/>
  <c r="H68" i="1"/>
  <c r="D76" i="1"/>
  <c r="D88" i="1"/>
  <c r="H96" i="1"/>
  <c r="E99" i="1"/>
  <c r="E113" i="1"/>
  <c r="F73" i="1"/>
  <c r="E33" i="1"/>
  <c r="D85" i="1"/>
  <c r="H49" i="1"/>
  <c r="H25" i="1"/>
  <c r="D5" i="1"/>
  <c r="F8" i="1"/>
  <c r="G16" i="1"/>
  <c r="E20" i="1"/>
  <c r="H28" i="1"/>
  <c r="D36" i="1"/>
  <c r="F40" i="1"/>
  <c r="E48" i="1"/>
  <c r="H60" i="1"/>
  <c r="G72" i="1"/>
  <c r="G96" i="1"/>
  <c r="H83" i="1"/>
  <c r="D55" i="1"/>
  <c r="E31" i="1"/>
  <c r="G7" i="1"/>
  <c r="E91" i="1"/>
  <c r="H63" i="1"/>
  <c r="F39" i="1"/>
  <c r="D11" i="1"/>
  <c r="F91" i="1"/>
  <c r="E67" i="1"/>
  <c r="G43" i="1"/>
  <c r="H15" i="1"/>
  <c r="L19" i="1"/>
  <c r="F90" i="1"/>
  <c r="D33" i="1"/>
  <c r="E98" i="1"/>
  <c r="H78" i="1"/>
  <c r="F58" i="1"/>
  <c r="E38" i="1"/>
  <c r="H22" i="1"/>
  <c r="D101" i="1"/>
  <c r="H33" i="1"/>
  <c r="G59" i="1"/>
  <c r="D98" i="1"/>
  <c r="H62" i="1"/>
  <c r="G22" i="1"/>
  <c r="E66" i="1"/>
  <c r="D30" i="1"/>
  <c r="D9" i="1"/>
  <c r="G29" i="1"/>
  <c r="E97" i="1"/>
  <c r="F15" i="1"/>
  <c r="D35" i="1"/>
  <c r="F63" i="1"/>
  <c r="H79" i="1"/>
  <c r="H95" i="1"/>
  <c r="D100" i="1"/>
  <c r="H4" i="1"/>
  <c r="H90" i="1"/>
  <c r="H57" i="1"/>
  <c r="H40" i="1"/>
  <c r="H99" i="1"/>
  <c r="E9" i="1"/>
  <c r="E53" i="1"/>
  <c r="G74" i="1"/>
  <c r="F38" i="1"/>
  <c r="D58" i="1"/>
  <c r="E85" i="1"/>
  <c r="G65" i="1"/>
  <c r="F45" i="1"/>
  <c r="G92" i="1"/>
  <c r="G48" i="1"/>
  <c r="G60" i="1"/>
  <c r="D68" i="1"/>
  <c r="F80" i="1"/>
  <c r="G88" i="1"/>
  <c r="E96" i="1"/>
  <c r="E83" i="1"/>
  <c r="H69" i="1"/>
  <c r="E17" i="1"/>
  <c r="F81" i="1"/>
  <c r="G41" i="1"/>
  <c r="D21" i="1"/>
  <c r="G8" i="1"/>
  <c r="E16" i="1"/>
  <c r="H24" i="1"/>
  <c r="D28" i="1"/>
  <c r="F36" i="1"/>
  <c r="G40" i="1"/>
  <c r="H48" i="1"/>
  <c r="D60" i="1"/>
  <c r="D80" i="1"/>
  <c r="D103" i="1"/>
  <c r="E79" i="1"/>
  <c r="H51" i="1"/>
  <c r="F27" i="1"/>
  <c r="E87" i="1"/>
  <c r="H59" i="1"/>
  <c r="F35" i="1"/>
  <c r="D7" i="1"/>
  <c r="F87" i="1"/>
  <c r="E63" i="1"/>
  <c r="G39" i="1"/>
  <c r="H11" i="1"/>
  <c r="H74" i="1"/>
  <c r="D89" i="1"/>
  <c r="F25" i="1"/>
  <c r="F4" i="1"/>
  <c r="H94" i="1"/>
  <c r="D74" i="1"/>
  <c r="E54" i="1"/>
  <c r="H38" i="1"/>
  <c r="D18" i="1"/>
  <c r="H89" i="1"/>
  <c r="G25" i="1"/>
  <c r="D39" i="1"/>
  <c r="F94" i="1"/>
  <c r="G54" i="1"/>
  <c r="E14" i="1"/>
  <c r="G98" i="1"/>
  <c r="D62" i="1"/>
  <c r="F22" i="1"/>
  <c r="F21" i="1"/>
  <c r="H37" i="1"/>
  <c r="H5" i="1"/>
  <c r="G45" i="1"/>
  <c r="H27" i="1"/>
  <c r="D47" i="1"/>
  <c r="D83" i="1"/>
  <c r="G99" i="1"/>
  <c r="E110" i="1"/>
  <c r="E62" i="1"/>
  <c r="G94" i="1"/>
  <c r="D82" i="1"/>
  <c r="H46" i="1"/>
  <c r="G77" i="1"/>
  <c r="F64" i="1"/>
  <c r="H76" i="1"/>
  <c r="G89" i="1"/>
  <c r="E13" i="1"/>
  <c r="D44" i="1"/>
  <c r="D71" i="1"/>
  <c r="E103" i="1"/>
  <c r="G102" i="1"/>
  <c r="E6" i="1"/>
  <c r="G91" i="1"/>
  <c r="F9" i="1"/>
  <c r="G103" i="1"/>
  <c r="G38" i="1"/>
  <c r="D87" i="1"/>
  <c r="H34" i="1"/>
  <c r="G113" i="1"/>
  <c r="E101" i="1"/>
  <c r="H81" i="1"/>
  <c r="F61" i="1"/>
  <c r="E45" i="1"/>
  <c r="E84" i="1"/>
  <c r="H52" i="1"/>
  <c r="E60" i="1"/>
  <c r="F72" i="1"/>
  <c r="H80" i="1"/>
  <c r="H92" i="1"/>
  <c r="G100" i="1"/>
  <c r="G67" i="1"/>
  <c r="F101" i="1"/>
  <c r="G61" i="1"/>
  <c r="F113" i="1"/>
  <c r="D73" i="1"/>
  <c r="D37" i="1"/>
  <c r="G17" i="1"/>
  <c r="E12" i="1"/>
  <c r="H16" i="1"/>
  <c r="D24" i="1"/>
  <c r="F32" i="1"/>
  <c r="G36" i="1"/>
  <c r="E44" i="1"/>
  <c r="E52" i="1"/>
  <c r="F68" i="1"/>
  <c r="G80" i="1"/>
  <c r="D99" i="1"/>
  <c r="G75" i="1"/>
  <c r="H47" i="1"/>
  <c r="F23" i="1"/>
  <c r="F79" i="1"/>
  <c r="E55" i="1"/>
  <c r="G31" i="1"/>
  <c r="G83" i="1"/>
  <c r="F59" i="1"/>
  <c r="D31" i="1"/>
  <c r="E7" i="1"/>
  <c r="H58" i="1"/>
  <c r="H77" i="1"/>
  <c r="H21" i="1"/>
  <c r="D90" i="1"/>
  <c r="E70" i="1"/>
  <c r="H54" i="1"/>
  <c r="D34" i="1"/>
  <c r="G14" i="1"/>
  <c r="E77" i="1"/>
  <c r="E21" i="1"/>
  <c r="E23" i="1"/>
  <c r="H86" i="1"/>
  <c r="E46" i="1"/>
  <c r="D10" i="1"/>
  <c r="E94" i="1"/>
  <c r="F54" i="1"/>
  <c r="H18" i="1"/>
  <c r="G21" i="1"/>
  <c r="E37" i="1"/>
  <c r="F57" i="1"/>
  <c r="D17" i="1"/>
  <c r="E27" i="1"/>
  <c r="F47" i="1"/>
  <c r="F83" i="1"/>
  <c r="F99" i="1"/>
  <c r="E50" i="1"/>
  <c r="D102" i="1"/>
  <c r="H17" i="1"/>
  <c r="D46" i="1"/>
  <c r="G58" i="1"/>
  <c r="F70" i="1"/>
  <c r="H102" i="1"/>
  <c r="G35" i="1"/>
  <c r="G101" i="1"/>
  <c r="H8" i="1"/>
  <c r="E32" i="1"/>
  <c r="F88" i="1"/>
  <c r="H91" i="1"/>
  <c r="G15" i="1"/>
  <c r="F51" i="1"/>
  <c r="H26" i="1"/>
  <c r="F26" i="1"/>
  <c r="F82" i="1"/>
  <c r="D25" i="1"/>
  <c r="D29" i="1"/>
  <c r="G97" i="1"/>
  <c r="H97" i="1"/>
  <c r="D77" i="1"/>
  <c r="E61" i="1"/>
  <c r="H41" i="1"/>
  <c r="D52" i="1"/>
  <c r="D64" i="1"/>
  <c r="E72" i="1"/>
  <c r="E80" i="1"/>
  <c r="E92" i="1"/>
  <c r="F100" i="1"/>
  <c r="G51" i="1"/>
  <c r="H93" i="1"/>
  <c r="E57" i="1"/>
  <c r="E69" i="1"/>
  <c r="G33" i="1"/>
  <c r="F13" i="1"/>
  <c r="H12" i="1"/>
  <c r="D20" i="1"/>
  <c r="F24" i="1"/>
  <c r="G32" i="1"/>
  <c r="E36" i="1"/>
  <c r="H44" i="1"/>
  <c r="G52" i="1"/>
  <c r="E68" i="1"/>
  <c r="H88" i="1"/>
  <c r="E64" i="1"/>
  <c r="D95" i="1"/>
  <c r="G71" i="1"/>
  <c r="H43" i="1"/>
  <c r="F19" i="1"/>
  <c r="H103" i="1"/>
  <c r="D75" i="1"/>
  <c r="E51" i="1"/>
  <c r="G27" i="1"/>
  <c r="G79" i="1"/>
  <c r="F55" i="1"/>
  <c r="D27" i="1"/>
  <c r="H42" i="1"/>
  <c r="D65" i="1"/>
  <c r="G13" i="1"/>
  <c r="G86" i="1"/>
  <c r="H70" i="1"/>
  <c r="D50" i="1"/>
  <c r="G30" i="1"/>
  <c r="F10" i="1"/>
  <c r="H65" i="1"/>
  <c r="D13" i="1"/>
  <c r="F107" i="1"/>
  <c r="F7" i="1"/>
  <c r="G78" i="1"/>
  <c r="D42" i="1"/>
  <c r="D86" i="1"/>
  <c r="H50" i="1"/>
  <c r="G10" i="1"/>
  <c r="E25" i="1"/>
  <c r="G37" i="1"/>
  <c r="G57" i="1"/>
  <c r="F85" i="1"/>
  <c r="F11" i="1"/>
  <c r="H31" i="1"/>
  <c r="G55" i="1"/>
  <c r="F71" i="1"/>
  <c r="F103" i="1"/>
  <c r="F98" i="1"/>
  <c r="E4" i="1"/>
  <c r="D14" i="1"/>
  <c r="F50" i="1"/>
  <c r="G26" i="1"/>
  <c r="D26" i="1"/>
  <c r="G70" i="1"/>
  <c r="G76" i="1"/>
  <c r="E78" i="1"/>
  <c r="F6" i="1"/>
  <c r="H66" i="1"/>
  <c r="O46" i="1"/>
  <c r="K46" i="1"/>
  <c r="K79" i="1"/>
  <c r="O37" i="1"/>
  <c r="O14" i="1"/>
  <c r="N70" i="1"/>
  <c r="N54" i="1"/>
  <c r="N44" i="1"/>
  <c r="M70" i="1"/>
  <c r="K39" i="1"/>
  <c r="O36" i="1"/>
  <c r="N46" i="1"/>
  <c r="O110" i="1"/>
  <c r="M108" i="1"/>
  <c r="O35" i="1"/>
  <c r="L5" i="1"/>
  <c r="L78" i="1"/>
  <c r="K14" i="1"/>
  <c r="M98" i="1"/>
  <c r="N45" i="1"/>
  <c r="N99" i="1"/>
  <c r="M50" i="1"/>
  <c r="K30" i="1"/>
  <c r="O38" i="1"/>
  <c r="M12" i="1"/>
  <c r="M31" i="1"/>
  <c r="K17" i="1"/>
  <c r="L110" i="1"/>
  <c r="M38" i="1"/>
  <c r="M15" i="1"/>
  <c r="N95" i="1"/>
  <c r="M44" i="1"/>
  <c r="K16" i="1"/>
  <c r="N63" i="1"/>
  <c r="M34" i="1"/>
  <c r="L25" i="1"/>
  <c r="N29" i="1"/>
  <c r="K83" i="1"/>
  <c r="O23" i="1"/>
  <c r="K58" i="1"/>
  <c r="L27" i="1"/>
  <c r="O39" i="1"/>
  <c r="O90" i="1"/>
  <c r="N59" i="1"/>
  <c r="O34" i="1"/>
  <c r="M47" i="1"/>
  <c r="M109" i="1"/>
  <c r="M58" i="1"/>
  <c r="L106" i="1"/>
  <c r="N87" i="1"/>
  <c r="K51" i="1"/>
  <c r="L4" i="1"/>
  <c r="O22" i="1"/>
  <c r="K57" i="1"/>
  <c r="M111" i="1"/>
  <c r="L6" i="1"/>
  <c r="M63" i="1"/>
  <c r="M6" i="1"/>
  <c r="K47" i="1"/>
  <c r="O31" i="1"/>
  <c r="M11" i="1"/>
  <c r="M71" i="1"/>
  <c r="M103" i="1"/>
  <c r="O30" i="1"/>
  <c r="N58" i="1"/>
  <c r="O21" i="1"/>
  <c r="O74" i="1"/>
  <c r="N38" i="1"/>
  <c r="N55" i="1"/>
  <c r="K4" i="1"/>
  <c r="O62" i="1"/>
  <c r="N103" i="1"/>
  <c r="M86" i="1"/>
  <c r="K10" i="1"/>
  <c r="L98" i="1"/>
  <c r="L42" i="1"/>
  <c r="N105" i="1"/>
  <c r="L105" i="1"/>
  <c r="M67" i="1"/>
  <c r="O109" i="1"/>
  <c r="N10" i="1"/>
  <c r="M92" i="1"/>
  <c r="M107" i="1"/>
  <c r="N13" i="1"/>
  <c r="L26" i="1"/>
  <c r="L41" i="1"/>
  <c r="N110" i="1"/>
  <c r="O111" i="1"/>
  <c r="K43" i="1"/>
  <c r="O106" i="1"/>
  <c r="M26" i="1"/>
  <c r="N91" i="1"/>
  <c r="K98" i="1"/>
  <c r="L38" i="1"/>
  <c r="K102" i="1"/>
  <c r="L24" i="1"/>
  <c r="L23" i="1"/>
  <c r="N86" i="1"/>
  <c r="K91" i="1"/>
  <c r="K66" i="1"/>
  <c r="N112" i="1"/>
  <c r="K90" i="1"/>
  <c r="L22" i="1"/>
  <c r="L88" i="1"/>
  <c r="N108" i="1"/>
  <c r="K56" i="1"/>
  <c r="O78" i="1"/>
  <c r="O54" i="1"/>
  <c r="N14" i="1"/>
  <c r="K101" i="1"/>
  <c r="O18" i="1"/>
  <c r="M110" i="1"/>
  <c r="K26" i="1"/>
  <c r="K67" i="1"/>
  <c r="K34" i="1"/>
  <c r="N30" i="1"/>
  <c r="L11" i="1"/>
  <c r="K35" i="1"/>
  <c r="O55" i="1"/>
  <c r="O79" i="1"/>
  <c r="M99" i="1"/>
  <c r="O86" i="1"/>
  <c r="K42" i="1"/>
  <c r="K87" i="1"/>
  <c r="K106" i="1"/>
  <c r="M22" i="1"/>
  <c r="O5" i="1"/>
  <c r="O53" i="1"/>
  <c r="M54" i="1"/>
  <c r="M21" i="1"/>
  <c r="K25" i="1"/>
  <c r="N37" i="1"/>
  <c r="L53" i="1"/>
  <c r="K94" i="1"/>
  <c r="K70" i="1"/>
  <c r="K89" i="1"/>
  <c r="L40" i="1"/>
  <c r="M75" i="1"/>
  <c r="M7" i="1"/>
  <c r="M94" i="1"/>
  <c r="M66" i="1"/>
  <c r="L15" i="1"/>
  <c r="O101" i="1"/>
  <c r="L73" i="1"/>
  <c r="M85" i="1"/>
  <c r="L97" i="1"/>
  <c r="L82" i="1"/>
  <c r="L58" i="1"/>
  <c r="M82" i="1"/>
  <c r="K45" i="1"/>
  <c r="N12" i="1"/>
  <c r="K78" i="1"/>
  <c r="K54" i="1"/>
  <c r="O70" i="1"/>
  <c r="L70" i="1"/>
  <c r="L30" i="1"/>
  <c r="N25" i="1"/>
  <c r="K107" i="1"/>
  <c r="O95" i="1"/>
  <c r="O71" i="1"/>
  <c r="L54" i="1"/>
  <c r="K19" i="1"/>
  <c r="K18" i="1"/>
  <c r="O7" i="1"/>
  <c r="O6" i="1"/>
  <c r="O66" i="1"/>
  <c r="O65" i="1"/>
  <c r="N26" i="1"/>
  <c r="N68" i="1"/>
  <c r="N90" i="1"/>
  <c r="K86" i="1"/>
  <c r="K38" i="1"/>
  <c r="L14" i="1"/>
  <c r="K41" i="1"/>
  <c r="K97" i="1"/>
  <c r="K100" i="1"/>
  <c r="O27" i="1"/>
  <c r="K33" i="1"/>
  <c r="L9" i="1"/>
  <c r="L10" i="1"/>
  <c r="M83" i="1"/>
  <c r="M10" i="1"/>
  <c r="N22" i="1"/>
  <c r="N106" i="1"/>
  <c r="L8" i="1"/>
  <c r="N4" i="1"/>
  <c r="N5" i="1"/>
  <c r="M5" i="1"/>
  <c r="M4" i="1"/>
  <c r="N81" i="1"/>
  <c r="O113" i="1"/>
  <c r="L101" i="1"/>
  <c r="M89" i="1"/>
  <c r="N77" i="1"/>
  <c r="M61" i="1"/>
  <c r="N49" i="1"/>
  <c r="K112" i="1"/>
  <c r="L84" i="1"/>
  <c r="N48" i="1"/>
  <c r="O56" i="1"/>
  <c r="K64" i="1"/>
  <c r="K68" i="1"/>
  <c r="L76" i="1"/>
  <c r="L80" i="1"/>
  <c r="N88" i="1"/>
  <c r="M96" i="1"/>
  <c r="M100" i="1"/>
  <c r="L108" i="1"/>
  <c r="L112" i="1"/>
  <c r="L99" i="1"/>
  <c r="N35" i="1"/>
  <c r="M101" i="1"/>
  <c r="M73" i="1"/>
  <c r="K49" i="1"/>
  <c r="N101" i="1"/>
  <c r="K73" i="1"/>
  <c r="O49" i="1"/>
  <c r="M29" i="1"/>
  <c r="N17" i="1"/>
  <c r="K5" i="1"/>
  <c r="K8" i="1"/>
  <c r="O12" i="1"/>
  <c r="L16" i="1"/>
  <c r="N20" i="1"/>
  <c r="M24" i="1"/>
  <c r="K28" i="1"/>
  <c r="O32" i="1"/>
  <c r="L36" i="1"/>
  <c r="N40" i="1"/>
  <c r="M48" i="1"/>
  <c r="N52" i="1"/>
  <c r="K60" i="1"/>
  <c r="K72" i="1"/>
  <c r="O88" i="1"/>
  <c r="K103" i="1"/>
  <c r="O87" i="1"/>
  <c r="N71" i="1"/>
  <c r="O51" i="1"/>
  <c r="L35" i="1"/>
  <c r="M19" i="1"/>
  <c r="N102" i="1"/>
  <c r="K50" i="1"/>
  <c r="O89" i="1"/>
  <c r="K111" i="1"/>
  <c r="L95" i="1"/>
  <c r="K75" i="1"/>
  <c r="O59" i="1"/>
  <c r="M43" i="1"/>
  <c r="N27" i="1"/>
  <c r="K7" i="1"/>
  <c r="L107" i="1"/>
  <c r="M87" i="1"/>
  <c r="L71" i="1"/>
  <c r="M55" i="1"/>
  <c r="N39" i="1"/>
  <c r="O19" i="1"/>
  <c r="L109" i="1"/>
  <c r="M97" i="1"/>
  <c r="L37" i="1"/>
  <c r="K29" i="1"/>
  <c r="M106" i="1"/>
  <c r="M90" i="1"/>
  <c r="N66" i="1"/>
  <c r="M62" i="1"/>
  <c r="O42" i="1"/>
  <c r="O77" i="1"/>
  <c r="K65" i="1"/>
  <c r="L65" i="1"/>
  <c r="K109" i="1"/>
  <c r="O97" i="1"/>
  <c r="L85" i="1"/>
  <c r="N73" i="1"/>
  <c r="L61" i="1"/>
  <c r="M45" i="1"/>
  <c r="M104" i="1"/>
  <c r="O52" i="1"/>
  <c r="M60" i="1"/>
  <c r="M64" i="1"/>
  <c r="M72" i="1"/>
  <c r="K76" i="1"/>
  <c r="N84" i="1"/>
  <c r="O92" i="1"/>
  <c r="O96" i="1"/>
  <c r="K104" i="1"/>
  <c r="K108" i="1"/>
  <c r="L83" i="1"/>
  <c r="N19" i="1"/>
  <c r="O93" i="1"/>
  <c r="O69" i="1"/>
  <c r="M41" i="1"/>
  <c r="L93" i="1"/>
  <c r="L69" i="1"/>
  <c r="N41" i="1"/>
  <c r="L29" i="1"/>
  <c r="M13" i="1"/>
  <c r="M8" i="1"/>
  <c r="K12" i="1"/>
  <c r="O16" i="1"/>
  <c r="L20" i="1"/>
  <c r="N24" i="1"/>
  <c r="M32" i="1"/>
  <c r="K36" i="1"/>
  <c r="O40" i="1"/>
  <c r="L44" i="1"/>
  <c r="L48" i="1"/>
  <c r="N56" i="1"/>
  <c r="M68" i="1"/>
  <c r="N72" i="1"/>
  <c r="M88" i="1"/>
  <c r="O84" i="1"/>
  <c r="L100" i="1"/>
  <c r="K99" i="1"/>
  <c r="O83" i="1"/>
  <c r="K63" i="1"/>
  <c r="O47" i="1"/>
  <c r="L31" i="1"/>
  <c r="N15" i="1"/>
  <c r="K74" i="1"/>
  <c r="O33" i="1"/>
  <c r="N21" i="1"/>
  <c r="N53" i="1"/>
  <c r="O107" i="1"/>
  <c r="L91" i="1"/>
  <c r="K71" i="1"/>
  <c r="L55" i="1"/>
  <c r="M39" i="1"/>
  <c r="N23" i="1"/>
  <c r="L94" i="1"/>
  <c r="M74" i="1"/>
  <c r="N42" i="1"/>
  <c r="L103" i="1"/>
  <c r="N83" i="1"/>
  <c r="L67" i="1"/>
  <c r="M51" i="1"/>
  <c r="K31" i="1"/>
  <c r="O15" i="1"/>
  <c r="N74" i="1"/>
  <c r="N57" i="1"/>
  <c r="K32" i="1"/>
  <c r="N113" i="1"/>
  <c r="L49" i="1"/>
  <c r="N109" i="1"/>
  <c r="K93" i="1"/>
  <c r="O81" i="1"/>
  <c r="K69" i="1"/>
  <c r="O57" i="1"/>
  <c r="L45" i="1"/>
  <c r="O100" i="1"/>
  <c r="K52" i="1"/>
  <c r="N60" i="1"/>
  <c r="N64" i="1"/>
  <c r="L72" i="1"/>
  <c r="M80" i="1"/>
  <c r="M84" i="1"/>
  <c r="L92" i="1"/>
  <c r="L96" i="1"/>
  <c r="N104" i="1"/>
  <c r="M112" i="1"/>
  <c r="N67" i="1"/>
  <c r="L113" i="1"/>
  <c r="N89" i="1"/>
  <c r="N61" i="1"/>
  <c r="L33" i="1"/>
  <c r="M113" i="1"/>
  <c r="K85" i="1"/>
  <c r="K61" i="1"/>
  <c r="K37" i="1"/>
  <c r="O25" i="1"/>
  <c r="L13" i="1"/>
  <c r="N8" i="1"/>
  <c r="M16" i="1"/>
  <c r="K20" i="1"/>
  <c r="O24" i="1"/>
  <c r="L28" i="1"/>
  <c r="N32" i="1"/>
  <c r="M36" i="1"/>
  <c r="K40" i="1"/>
  <c r="O44" i="1"/>
  <c r="O48" i="1"/>
  <c r="M56" i="1"/>
  <c r="L68" i="1"/>
  <c r="K80" i="1"/>
  <c r="K96" i="1"/>
  <c r="O104" i="1"/>
  <c r="M28" i="1"/>
  <c r="N28" i="1"/>
  <c r="N111" i="1"/>
  <c r="K95" i="1"/>
  <c r="L79" i="1"/>
  <c r="K59" i="1"/>
  <c r="O43" i="1"/>
  <c r="M27" i="1"/>
  <c r="N11" i="1"/>
  <c r="O94" i="1"/>
  <c r="M37" i="1"/>
  <c r="O20" i="1"/>
  <c r="M17" i="1"/>
  <c r="M33" i="1"/>
  <c r="M49" i="1"/>
  <c r="M65" i="1"/>
  <c r="O103" i="1"/>
  <c r="L87" i="1"/>
  <c r="O67" i="1"/>
  <c r="L51" i="1"/>
  <c r="M35" i="1"/>
  <c r="K15" i="1"/>
  <c r="K62" i="1"/>
  <c r="M57" i="1"/>
  <c r="M9" i="1"/>
  <c r="M95" i="1"/>
  <c r="N79" i="1"/>
  <c r="L63" i="1"/>
  <c r="N47" i="1"/>
  <c r="K27" i="1"/>
  <c r="O11" i="1"/>
  <c r="L62" i="1"/>
  <c r="M69" i="1"/>
  <c r="K110" i="1"/>
  <c r="O98" i="1"/>
  <c r="O82" i="1"/>
  <c r="N50" i="1"/>
  <c r="M46" i="1"/>
  <c r="M25" i="1"/>
  <c r="M52" i="1"/>
  <c r="N97" i="1"/>
  <c r="M105" i="1"/>
  <c r="N93" i="1"/>
  <c r="K77" i="1"/>
  <c r="N65" i="1"/>
  <c r="K53" i="1"/>
  <c r="O41" i="1"/>
  <c r="N92" i="1"/>
  <c r="K48" i="1"/>
  <c r="L56" i="1"/>
  <c r="L60" i="1"/>
  <c r="O68" i="1"/>
  <c r="O76" i="1"/>
  <c r="O80" i="1"/>
  <c r="K88" i="1"/>
  <c r="K92" i="1"/>
  <c r="N100" i="1"/>
  <c r="O108" i="1"/>
  <c r="O112" i="1"/>
  <c r="N51" i="1"/>
  <c r="K105" i="1"/>
  <c r="L81" i="1"/>
  <c r="L57" i="1"/>
  <c r="L17" i="1"/>
  <c r="O105" i="1"/>
  <c r="M81" i="1"/>
  <c r="M53" i="1"/>
  <c r="N33" i="1"/>
  <c r="K21" i="1"/>
  <c r="O9" i="1"/>
  <c r="O8" i="1"/>
  <c r="L12" i="1"/>
  <c r="N16" i="1"/>
  <c r="M20" i="1"/>
  <c r="K24" i="1"/>
  <c r="O28" i="1"/>
  <c r="L32" i="1"/>
  <c r="N36" i="1"/>
  <c r="M40" i="1"/>
  <c r="K44" i="1"/>
  <c r="L52" i="1"/>
  <c r="O60" i="1"/>
  <c r="O72" i="1"/>
  <c r="N80" i="1"/>
  <c r="N96" i="1"/>
  <c r="L104" i="1"/>
  <c r="L64" i="1"/>
  <c r="N107" i="1"/>
  <c r="O91" i="1"/>
  <c r="N75" i="1"/>
  <c r="K55" i="1"/>
  <c r="L39" i="1"/>
  <c r="M23" i="1"/>
  <c r="N7" i="1"/>
  <c r="M102" i="1"/>
  <c r="N62" i="1"/>
  <c r="M42" i="1"/>
  <c r="L77" i="1"/>
  <c r="L21" i="1"/>
  <c r="K13" i="1"/>
  <c r="K9" i="1"/>
  <c r="O13" i="1"/>
  <c r="O29" i="1"/>
  <c r="O45" i="1"/>
  <c r="O61" i="1"/>
  <c r="K81" i="1"/>
  <c r="O85" i="1"/>
  <c r="K113" i="1"/>
  <c r="O99" i="1"/>
  <c r="M79" i="1"/>
  <c r="O63" i="1"/>
  <c r="L47" i="1"/>
  <c r="N31" i="1"/>
  <c r="K11" i="1"/>
  <c r="N98" i="1"/>
  <c r="N82" i="1"/>
  <c r="L66" i="1"/>
  <c r="L50" i="1"/>
  <c r="O50" i="1"/>
  <c r="L34" i="1"/>
  <c r="L18" i="1"/>
  <c r="O73" i="1"/>
  <c r="N76" i="1"/>
  <c r="L111" i="1"/>
  <c r="M91" i="1"/>
  <c r="O75" i="1"/>
  <c r="M59" i="1"/>
  <c r="N43" i="1"/>
  <c r="K23" i="1"/>
  <c r="L7" i="1"/>
  <c r="N94" i="1"/>
  <c r="N78" i="1"/>
  <c r="L46" i="1"/>
  <c r="N85" i="1"/>
  <c r="O17" i="1"/>
  <c r="N9" i="1"/>
  <c r="L102" i="1"/>
  <c r="L86" i="1"/>
  <c r="O58" i="1"/>
  <c r="N34" i="1"/>
  <c r="M30" i="1"/>
  <c r="O26" i="1"/>
  <c r="K22" i="1"/>
  <c r="N18" i="1"/>
  <c r="M14" i="1"/>
  <c r="O10" i="1"/>
  <c r="K6" i="1"/>
  <c r="O64" i="1" l="1"/>
  <c r="O4" i="1"/>
  <c r="O102" i="1"/>
  <c r="N6" i="1"/>
  <c r="V291" i="1" l="1"/>
  <c r="V289" i="1"/>
  <c r="U156" i="1"/>
  <c r="V87" i="1"/>
  <c r="T53" i="1"/>
  <c r="R278" i="1"/>
  <c r="S54" i="1"/>
  <c r="S35" i="1"/>
  <c r="R44" i="1"/>
  <c r="U339" i="1"/>
  <c r="U195" i="1"/>
  <c r="R268" i="1"/>
  <c r="U283" i="1"/>
  <c r="U172" i="1"/>
  <c r="R143" i="1"/>
  <c r="U65" i="1"/>
  <c r="R199" i="1"/>
  <c r="S181" i="1"/>
  <c r="T13" i="1"/>
  <c r="U295" i="1"/>
  <c r="U81" i="1"/>
  <c r="V274" i="1"/>
  <c r="S115" i="1"/>
  <c r="S56" i="1"/>
  <c r="T55" i="1"/>
  <c r="V220" i="1"/>
  <c r="T202" i="1"/>
  <c r="V86" i="1"/>
  <c r="S316" i="1"/>
  <c r="S137" i="1"/>
  <c r="R336" i="1"/>
  <c r="V335" i="1"/>
  <c r="V197" i="1"/>
  <c r="T184" i="1"/>
  <c r="R86" i="1"/>
  <c r="T335" i="1"/>
  <c r="U39" i="1"/>
  <c r="V212" i="1"/>
  <c r="V133" i="1"/>
  <c r="T227" i="1"/>
  <c r="U84" i="1"/>
  <c r="V80" i="1"/>
  <c r="U175" i="1"/>
  <c r="U328" i="1"/>
  <c r="R22" i="1"/>
  <c r="U332" i="1"/>
  <c r="S99" i="1"/>
  <c r="R62" i="1"/>
  <c r="R291" i="1"/>
  <c r="U7" i="1"/>
  <c r="R117" i="1"/>
  <c r="T327" i="1"/>
  <c r="U144" i="1"/>
  <c r="V271" i="1"/>
  <c r="R164" i="1"/>
  <c r="R35" i="1"/>
  <c r="T251" i="1"/>
  <c r="V213" i="1"/>
  <c r="S64" i="1"/>
  <c r="U273" i="1"/>
  <c r="R191" i="1"/>
  <c r="T98" i="1"/>
  <c r="V247" i="1"/>
  <c r="R226" i="1"/>
  <c r="S12" i="1"/>
  <c r="S251" i="1"/>
  <c r="V115" i="1"/>
  <c r="U286" i="1"/>
  <c r="T142" i="1"/>
  <c r="T132" i="1"/>
  <c r="U292" i="1"/>
  <c r="R310" i="1"/>
  <c r="U61" i="1"/>
  <c r="V269" i="1"/>
  <c r="S293" i="1"/>
  <c r="R287" i="1"/>
  <c r="U290" i="1"/>
  <c r="U56" i="1"/>
  <c r="R295" i="1"/>
  <c r="R100" i="1"/>
  <c r="S108" i="1"/>
  <c r="V248" i="1"/>
  <c r="V339" i="1"/>
  <c r="U63" i="1"/>
  <c r="U333" i="1"/>
  <c r="R10" i="1"/>
  <c r="R29" i="1"/>
  <c r="R109" i="1"/>
  <c r="T338" i="1"/>
  <c r="S142" i="1"/>
  <c r="V15" i="1"/>
  <c r="V102" i="1"/>
  <c r="T243" i="1"/>
  <c r="T248" i="1"/>
  <c r="S70" i="1"/>
  <c r="T157" i="1"/>
  <c r="S72" i="1"/>
  <c r="R347" i="1"/>
  <c r="S320" i="1"/>
  <c r="T213" i="1"/>
  <c r="S13" i="1"/>
  <c r="T195" i="1"/>
  <c r="V47" i="1"/>
  <c r="U316" i="1"/>
  <c r="U157" i="1"/>
  <c r="V52" i="1"/>
  <c r="S203" i="1"/>
  <c r="U359" i="1"/>
  <c r="V208" i="1"/>
  <c r="U185" i="1"/>
  <c r="S262" i="1"/>
  <c r="V352" i="1"/>
  <c r="V191" i="1"/>
  <c r="U104" i="1"/>
  <c r="T310" i="1"/>
  <c r="S355" i="1"/>
  <c r="V167" i="1"/>
  <c r="S71" i="1"/>
  <c r="U89" i="1"/>
  <c r="V327" i="1"/>
  <c r="U135" i="1"/>
  <c r="V192" i="1"/>
  <c r="U242" i="1"/>
  <c r="T78" i="1"/>
  <c r="T176" i="1"/>
  <c r="V89" i="1"/>
  <c r="T50" i="1"/>
  <c r="T252" i="1"/>
  <c r="V296" i="1"/>
  <c r="U230" i="1"/>
  <c r="S311" i="1"/>
  <c r="R323" i="1"/>
  <c r="S334" i="1"/>
  <c r="U301" i="1"/>
  <c r="U255" i="1"/>
  <c r="T216" i="1"/>
  <c r="R328" i="1"/>
  <c r="R225" i="1"/>
  <c r="T295" i="1"/>
  <c r="U33" i="1"/>
  <c r="V175" i="1"/>
  <c r="S127" i="1"/>
  <c r="U100" i="1"/>
  <c r="V149" i="1"/>
  <c r="V110" i="1"/>
  <c r="R282" i="1"/>
  <c r="U193" i="1"/>
  <c r="V311" i="1"/>
  <c r="S162" i="1"/>
  <c r="U212" i="1"/>
  <c r="R222" i="1"/>
  <c r="R208" i="1"/>
  <c r="U132" i="1"/>
  <c r="R27" i="1"/>
  <c r="S207" i="1"/>
  <c r="V302" i="1"/>
  <c r="R277" i="1"/>
  <c r="U313" i="1"/>
  <c r="V105" i="1"/>
  <c r="T245" i="1"/>
  <c r="S152" i="1"/>
  <c r="S261" i="1"/>
  <c r="U102" i="1"/>
  <c r="U228" i="1"/>
  <c r="T234" i="1"/>
  <c r="U263" i="1"/>
  <c r="V341" i="1"/>
  <c r="R49" i="1"/>
  <c r="U248" i="1"/>
  <c r="U351" i="1"/>
  <c r="V132" i="1"/>
  <c r="S138" i="1"/>
  <c r="V314" i="1"/>
  <c r="R203" i="1"/>
  <c r="V24" i="1"/>
  <c r="S139" i="1"/>
  <c r="U225" i="1"/>
  <c r="T106" i="1"/>
  <c r="R52" i="1"/>
  <c r="S36" i="1"/>
  <c r="U237" i="1"/>
  <c r="V96" i="1"/>
  <c r="S363" i="1"/>
  <c r="U232" i="1"/>
  <c r="T351" i="1"/>
  <c r="R26" i="1"/>
  <c r="U314" i="1"/>
  <c r="T185" i="1"/>
  <c r="U20" i="1"/>
  <c r="S248" i="1"/>
  <c r="S332" i="1"/>
  <c r="R178" i="1"/>
  <c r="T309" i="1"/>
  <c r="V277" i="1"/>
  <c r="R215" i="1"/>
  <c r="S194" i="1"/>
  <c r="U13" i="1"/>
  <c r="U64" i="1"/>
  <c r="V337" i="1"/>
  <c r="S285" i="1"/>
  <c r="U334" i="1"/>
  <c r="S220" i="1"/>
  <c r="U214" i="1"/>
  <c r="V255" i="1"/>
  <c r="T271" i="1"/>
  <c r="U21" i="1"/>
  <c r="V362" i="1"/>
  <c r="T289" i="1"/>
  <c r="T316" i="1"/>
  <c r="S346" i="1"/>
  <c r="R309" i="1"/>
  <c r="V201" i="1"/>
  <c r="U121" i="1"/>
  <c r="S183" i="1"/>
  <c r="S192" i="1"/>
  <c r="V304" i="1"/>
  <c r="S258" i="1"/>
  <c r="R317" i="1"/>
  <c r="U47" i="1"/>
  <c r="R220" i="1"/>
  <c r="R137" i="1"/>
  <c r="R308" i="1"/>
  <c r="V145" i="1"/>
  <c r="S303" i="1"/>
  <c r="T178" i="1"/>
  <c r="S107" i="1"/>
  <c r="R16" i="1"/>
  <c r="U326" i="1"/>
  <c r="T51" i="1"/>
  <c r="V223" i="1"/>
  <c r="V328" i="1"/>
  <c r="S244" i="1"/>
  <c r="R238" i="1"/>
  <c r="S189" i="1"/>
  <c r="V90" i="1"/>
  <c r="V112" i="1"/>
  <c r="V14" i="1"/>
  <c r="T266" i="1"/>
  <c r="U348" i="1"/>
  <c r="V43" i="1"/>
  <c r="U310" i="1"/>
  <c r="U106" i="1"/>
  <c r="U4" i="1"/>
  <c r="R31" i="1"/>
  <c r="V31" i="1"/>
  <c r="R36" i="1"/>
  <c r="T121" i="1"/>
  <c r="R187" i="1"/>
  <c r="S167" i="1"/>
  <c r="T239" i="1"/>
  <c r="V49" i="1"/>
  <c r="U265" i="1"/>
  <c r="R15" i="1"/>
  <c r="V81" i="1"/>
  <c r="S151" i="1"/>
  <c r="T308" i="1"/>
  <c r="R147" i="1"/>
  <c r="U282" i="1"/>
  <c r="U151" i="1"/>
  <c r="V301" i="1"/>
  <c r="T223" i="1"/>
  <c r="T26" i="1"/>
  <c r="U165" i="1"/>
  <c r="R228" i="1"/>
  <c r="S256" i="1"/>
  <c r="V265" i="1"/>
  <c r="T25" i="1"/>
  <c r="T166" i="1"/>
  <c r="V343" i="1"/>
  <c r="V270" i="1"/>
  <c r="V210" i="1"/>
  <c r="V273" i="1"/>
  <c r="V30" i="1"/>
  <c r="R124" i="1"/>
  <c r="R94" i="1"/>
  <c r="T82" i="1"/>
  <c r="U307" i="1"/>
  <c r="V204" i="1"/>
  <c r="R357" i="1"/>
  <c r="R43" i="1"/>
  <c r="S260" i="1"/>
  <c r="V303" i="1"/>
  <c r="R363" i="1"/>
  <c r="R313" i="1"/>
  <c r="S193" i="1"/>
  <c r="S121" i="1"/>
  <c r="R106" i="1"/>
  <c r="R354" i="1"/>
  <c r="V55" i="1"/>
  <c r="V134" i="1"/>
  <c r="V6" i="1"/>
  <c r="T303" i="1"/>
  <c r="T329" i="1"/>
  <c r="S6" i="1"/>
  <c r="V219" i="1"/>
  <c r="R42" i="1"/>
  <c r="T80" i="1"/>
  <c r="U269" i="1"/>
  <c r="T358" i="1"/>
  <c r="S190" i="1"/>
  <c r="S42" i="1"/>
  <c r="R249" i="1"/>
  <c r="R200" i="1"/>
  <c r="V258" i="1"/>
  <c r="R165" i="1"/>
  <c r="R85" i="1"/>
  <c r="V353" i="1"/>
  <c r="R14" i="1"/>
  <c r="U356" i="1"/>
  <c r="T210" i="1"/>
  <c r="V45" i="1"/>
  <c r="U298" i="1"/>
  <c r="R45" i="1"/>
  <c r="U45" i="1"/>
  <c r="V141" i="1"/>
  <c r="S187" i="1"/>
  <c r="V92" i="1"/>
  <c r="V33" i="1"/>
  <c r="V250" i="1"/>
  <c r="V254" i="1"/>
  <c r="R23" i="1"/>
  <c r="S200" i="1"/>
  <c r="S298" i="1"/>
  <c r="U138" i="1"/>
  <c r="U86" i="1"/>
  <c r="V347" i="1"/>
  <c r="S75" i="1"/>
  <c r="S87" i="1"/>
  <c r="S326" i="1"/>
  <c r="S281" i="1"/>
  <c r="V331" i="1"/>
  <c r="V4" i="1"/>
  <c r="U205" i="1"/>
  <c r="R144" i="1"/>
  <c r="S201" i="1"/>
  <c r="U345" i="1"/>
  <c r="T356" i="1"/>
  <c r="T171" i="1"/>
  <c r="V203" i="1"/>
  <c r="S29" i="1"/>
  <c r="R119" i="1"/>
  <c r="T48" i="1"/>
  <c r="V168" i="1"/>
  <c r="U338" i="1"/>
  <c r="V185" i="1"/>
  <c r="T320" i="1"/>
  <c r="T261" i="1"/>
  <c r="R170" i="1"/>
  <c r="V155" i="1"/>
  <c r="U349" i="1"/>
  <c r="V181" i="1"/>
  <c r="R223" i="1"/>
  <c r="T123" i="1"/>
  <c r="R297" i="1"/>
  <c r="T135" i="1"/>
  <c r="R171" i="1"/>
  <c r="S111" i="1"/>
  <c r="U181" i="1"/>
  <c r="R250" i="1"/>
  <c r="R275" i="1"/>
  <c r="V156" i="1"/>
  <c r="U148" i="1"/>
  <c r="V95" i="1"/>
  <c r="R311" i="1"/>
  <c r="T361" i="1"/>
  <c r="U288" i="1"/>
  <c r="R64" i="1"/>
  <c r="T153" i="1"/>
  <c r="R174" i="1"/>
  <c r="S212" i="1"/>
  <c r="S65" i="1"/>
  <c r="T127" i="1"/>
  <c r="S25" i="1"/>
  <c r="R358" i="1"/>
  <c r="U258" i="1"/>
  <c r="R296" i="1"/>
  <c r="R181" i="1"/>
  <c r="T60" i="1"/>
  <c r="S102" i="1"/>
  <c r="R305" i="1"/>
  <c r="V177" i="1"/>
  <c r="R247" i="1"/>
  <c r="T105" i="1"/>
  <c r="U133" i="1"/>
  <c r="V324" i="1"/>
  <c r="T177" i="1"/>
  <c r="U216" i="1"/>
  <c r="R111" i="1"/>
  <c r="S28" i="1"/>
  <c r="T140" i="1"/>
  <c r="S276" i="1"/>
  <c r="R51" i="1"/>
  <c r="R176" i="1"/>
  <c r="U37" i="1"/>
  <c r="R136" i="1"/>
  <c r="V135" i="1"/>
  <c r="U294" i="1"/>
  <c r="U226" i="1"/>
  <c r="S141" i="1"/>
  <c r="U280" i="1"/>
  <c r="S148" i="1"/>
  <c r="U29" i="1"/>
  <c r="T250" i="1"/>
  <c r="U101" i="1"/>
  <c r="U210" i="1"/>
  <c r="T38" i="1"/>
  <c r="R184" i="1"/>
  <c r="S227" i="1"/>
  <c r="V361" i="1"/>
  <c r="V200" i="1"/>
  <c r="V139" i="1"/>
  <c r="S254" i="1"/>
  <c r="V21" i="1"/>
  <c r="T253" i="1"/>
  <c r="T149" i="1"/>
  <c r="R333" i="1"/>
  <c r="U335" i="1"/>
  <c r="R259" i="1"/>
  <c r="S21" i="1"/>
  <c r="S247" i="1"/>
  <c r="U363" i="1"/>
  <c r="V174" i="1"/>
  <c r="S83" i="1"/>
  <c r="T288" i="1"/>
  <c r="R125" i="1"/>
  <c r="S348" i="1"/>
  <c r="S325" i="1"/>
  <c r="U353" i="1"/>
  <c r="U179" i="1"/>
  <c r="R156" i="1"/>
  <c r="S294" i="1"/>
  <c r="V263" i="1"/>
  <c r="T256" i="1"/>
  <c r="S124" i="1"/>
  <c r="T340" i="1"/>
  <c r="U304" i="1"/>
  <c r="T209" i="1"/>
  <c r="V360" i="1"/>
  <c r="V295" i="1"/>
  <c r="T7" i="1"/>
  <c r="S168" i="1"/>
  <c r="T229" i="1"/>
  <c r="T54" i="1"/>
  <c r="S329" i="1"/>
  <c r="V189" i="1"/>
  <c r="U158" i="1"/>
  <c r="S122" i="1"/>
  <c r="R118" i="1"/>
  <c r="S150" i="1"/>
  <c r="S57" i="1"/>
  <c r="R87" i="1"/>
  <c r="U27" i="1"/>
  <c r="U139" i="1"/>
  <c r="S296" i="1"/>
  <c r="R33" i="1"/>
  <c r="T321" i="1"/>
  <c r="T262" i="1"/>
  <c r="S134" i="1"/>
  <c r="U91" i="1"/>
  <c r="U308" i="1"/>
  <c r="T204" i="1"/>
  <c r="U83" i="1"/>
  <c r="V171" i="1"/>
  <c r="R186" i="1"/>
  <c r="S140" i="1"/>
  <c r="U336" i="1"/>
  <c r="U107" i="1"/>
  <c r="V106" i="1"/>
  <c r="V237" i="1"/>
  <c r="R298" i="1"/>
  <c r="T259" i="1"/>
  <c r="T130" i="1"/>
  <c r="R255" i="1"/>
  <c r="U180" i="1"/>
  <c r="U159" i="1"/>
  <c r="U174" i="1"/>
  <c r="S359" i="1"/>
  <c r="T9" i="1"/>
  <c r="T249" i="1"/>
  <c r="U112" i="1"/>
  <c r="V68" i="1"/>
  <c r="T179" i="1"/>
  <c r="U126" i="1"/>
  <c r="U166" i="1"/>
  <c r="T306" i="1"/>
  <c r="S34" i="1"/>
  <c r="T290" i="1"/>
  <c r="R24" i="1"/>
  <c r="R257" i="1"/>
  <c r="S132" i="1"/>
  <c r="S93" i="1"/>
  <c r="U90" i="1"/>
  <c r="T28" i="1"/>
  <c r="V25" i="1"/>
  <c r="S297" i="1"/>
  <c r="R314" i="1"/>
  <c r="T118" i="1"/>
  <c r="U41" i="1"/>
  <c r="V51" i="1"/>
  <c r="T162" i="1"/>
  <c r="V243" i="1"/>
  <c r="S318" i="1"/>
  <c r="S86" i="1"/>
  <c r="R235" i="1"/>
  <c r="V231" i="1"/>
  <c r="U177" i="1"/>
  <c r="U346" i="1"/>
  <c r="U362" i="1"/>
  <c r="V60" i="1"/>
  <c r="V99" i="1"/>
  <c r="R335" i="1"/>
  <c r="U127" i="1"/>
  <c r="T23" i="1"/>
  <c r="T333" i="1"/>
  <c r="R32" i="1"/>
  <c r="R179" i="1"/>
  <c r="S202" i="1"/>
  <c r="V85" i="1"/>
  <c r="T173" i="1"/>
  <c r="V78" i="1"/>
  <c r="T221" i="1"/>
  <c r="T156" i="1"/>
  <c r="V46" i="1"/>
  <c r="R244" i="1"/>
  <c r="U188" i="1"/>
  <c r="U11" i="1"/>
  <c r="S265" i="1"/>
  <c r="T152" i="1"/>
  <c r="S80" i="1"/>
  <c r="S98" i="1"/>
  <c r="R149" i="1"/>
  <c r="S221" i="1"/>
  <c r="U88" i="1"/>
  <c r="R72" i="1"/>
  <c r="S360" i="1"/>
  <c r="T109" i="1"/>
  <c r="S81" i="1"/>
  <c r="V83" i="1"/>
  <c r="V107" i="1"/>
  <c r="T63" i="1"/>
  <c r="R315" i="1"/>
  <c r="S241" i="1"/>
  <c r="V18" i="1"/>
  <c r="R214" i="1"/>
  <c r="V350" i="1"/>
  <c r="U8" i="1"/>
  <c r="S16" i="1"/>
  <c r="U6" i="1"/>
  <c r="T272" i="1"/>
  <c r="T39" i="1"/>
  <c r="V198" i="1"/>
  <c r="R210" i="1"/>
  <c r="T84" i="1"/>
  <c r="U224" i="1"/>
  <c r="U347" i="1"/>
  <c r="U46" i="1"/>
  <c r="S47" i="1"/>
  <c r="U305" i="1"/>
  <c r="R337" i="1"/>
  <c r="R352" i="1"/>
  <c r="S73" i="1"/>
  <c r="U142" i="1"/>
  <c r="T141" i="1"/>
  <c r="U73" i="1"/>
  <c r="S175" i="1"/>
  <c r="T233" i="1"/>
  <c r="T315" i="1"/>
  <c r="R81" i="1"/>
  <c r="S76" i="1"/>
  <c r="T199" i="1"/>
  <c r="T220" i="1"/>
  <c r="V172" i="1"/>
  <c r="S243" i="1"/>
  <c r="R234" i="1"/>
  <c r="S230" i="1"/>
  <c r="S224" i="1"/>
  <c r="V119" i="1"/>
  <c r="R267" i="1"/>
  <c r="V125" i="1"/>
  <c r="R129" i="1"/>
  <c r="S104" i="1"/>
  <c r="V249" i="1"/>
  <c r="V91" i="1"/>
  <c r="U36" i="1"/>
  <c r="U15" i="1"/>
  <c r="S288" i="1"/>
  <c r="U322" i="1"/>
  <c r="R8" i="1"/>
  <c r="U30" i="1"/>
  <c r="U190" i="1"/>
  <c r="R39" i="1"/>
  <c r="T312" i="1"/>
  <c r="R9" i="1"/>
  <c r="U231" i="1"/>
  <c r="S351" i="1"/>
  <c r="T126" i="1"/>
  <c r="R66" i="1"/>
  <c r="S357" i="1"/>
  <c r="U360" i="1"/>
  <c r="V312" i="1"/>
  <c r="S159" i="1"/>
  <c r="S22" i="1"/>
  <c r="T61" i="1"/>
  <c r="S286" i="1"/>
  <c r="T133" i="1"/>
  <c r="V345" i="1"/>
  <c r="V176" i="1"/>
  <c r="R92" i="1"/>
  <c r="T224" i="1"/>
  <c r="T238" i="1"/>
  <c r="R162" i="1"/>
  <c r="T337" i="1"/>
  <c r="U122" i="1"/>
  <c r="R330" i="1"/>
  <c r="V282" i="1"/>
  <c r="T285" i="1"/>
  <c r="V151" i="1"/>
  <c r="S160" i="1"/>
  <c r="S216" i="1"/>
  <c r="T124" i="1"/>
  <c r="U213" i="1"/>
  <c r="U251" i="1"/>
  <c r="R261" i="1"/>
  <c r="V16" i="1"/>
  <c r="R256" i="1"/>
  <c r="S246" i="1"/>
  <c r="U319" i="1"/>
  <c r="R150" i="1"/>
  <c r="V79" i="1"/>
  <c r="U243" i="1"/>
  <c r="V199" i="1"/>
  <c r="R324" i="1"/>
  <c r="V276" i="1"/>
  <c r="U324" i="1"/>
  <c r="T222" i="1"/>
  <c r="T103" i="1"/>
  <c r="S174" i="1"/>
  <c r="V320" i="1"/>
  <c r="R133" i="1"/>
  <c r="V104" i="1"/>
  <c r="T168" i="1"/>
  <c r="S312" i="1"/>
  <c r="R61" i="1"/>
  <c r="U97" i="1"/>
  <c r="R76" i="1"/>
  <c r="T273" i="1"/>
  <c r="V259" i="1"/>
  <c r="R190" i="1"/>
  <c r="U150" i="1"/>
  <c r="S344" i="1"/>
  <c r="R272" i="1"/>
  <c r="V317" i="1"/>
  <c r="S231" i="1"/>
  <c r="U80" i="1"/>
  <c r="R60" i="1"/>
  <c r="V121" i="1"/>
  <c r="R198" i="1"/>
  <c r="S157" i="1"/>
  <c r="V39" i="1"/>
  <c r="S345" i="1"/>
  <c r="T301" i="1"/>
  <c r="U261" i="1"/>
  <c r="U119" i="1"/>
  <c r="S324" i="1"/>
  <c r="T147" i="1"/>
  <c r="S170" i="1"/>
  <c r="T4" i="1"/>
  <c r="R344" i="1"/>
  <c r="T347" i="1"/>
  <c r="R348" i="1"/>
  <c r="V66" i="1"/>
  <c r="S196" i="1"/>
  <c r="R341" i="1"/>
  <c r="S163" i="1"/>
  <c r="V285" i="1"/>
  <c r="U55" i="1"/>
  <c r="T307" i="1"/>
  <c r="S82" i="1"/>
  <c r="U296" i="1"/>
  <c r="U233" i="1"/>
  <c r="T275" i="1"/>
  <c r="V158" i="1"/>
  <c r="V19" i="1"/>
  <c r="R270" i="1"/>
  <c r="S319" i="1"/>
  <c r="T24" i="1"/>
  <c r="T79" i="1"/>
  <c r="S301" i="1"/>
  <c r="U317" i="1"/>
  <c r="R17" i="1"/>
  <c r="R361" i="1"/>
  <c r="T237" i="1"/>
  <c r="R195" i="1"/>
  <c r="R294" i="1"/>
  <c r="V129" i="1"/>
  <c r="V202" i="1"/>
  <c r="U297" i="1"/>
  <c r="R334" i="1"/>
  <c r="T317" i="1"/>
  <c r="S123" i="1"/>
  <c r="R301" i="1"/>
  <c r="U32" i="1"/>
  <c r="T257" i="1"/>
  <c r="R69" i="1"/>
  <c r="T318" i="1"/>
  <c r="S226" i="1"/>
  <c r="S225" i="1"/>
  <c r="R312" i="1"/>
  <c r="V29" i="1"/>
  <c r="S169" i="1"/>
  <c r="T144" i="1"/>
  <c r="U272" i="1"/>
  <c r="S27" i="1"/>
  <c r="S172" i="1"/>
  <c r="S354" i="1"/>
  <c r="R252" i="1"/>
  <c r="U53" i="1"/>
  <c r="V183" i="1"/>
  <c r="R159" i="1"/>
  <c r="V153" i="1"/>
  <c r="V246" i="1"/>
  <c r="S343" i="1"/>
  <c r="V216" i="1"/>
  <c r="R153" i="1"/>
  <c r="R112" i="1"/>
  <c r="S30" i="1"/>
  <c r="U123" i="1"/>
  <c r="V334" i="1"/>
  <c r="U19" i="1"/>
  <c r="V72" i="1"/>
  <c r="R115" i="1"/>
  <c r="T174" i="1"/>
  <c r="T170" i="1"/>
  <c r="R300" i="1"/>
  <c r="U184" i="1"/>
  <c r="U276" i="1"/>
  <c r="R38" i="1"/>
  <c r="V293" i="1"/>
  <c r="R338" i="1"/>
  <c r="S74" i="1"/>
  <c r="R304" i="1"/>
  <c r="T42" i="1"/>
  <c r="U120" i="1"/>
  <c r="V40" i="1"/>
  <c r="U187" i="1"/>
  <c r="V306" i="1"/>
  <c r="U146" i="1"/>
  <c r="V61" i="1"/>
  <c r="R241" i="1"/>
  <c r="S84" i="1"/>
  <c r="U219" i="1"/>
  <c r="U198" i="1"/>
  <c r="U69" i="1"/>
  <c r="S279" i="1"/>
  <c r="S238" i="1"/>
  <c r="T150" i="1"/>
  <c r="T203" i="1"/>
  <c r="T268" i="1"/>
  <c r="R303" i="1"/>
  <c r="R103" i="1"/>
  <c r="R55" i="1"/>
  <c r="V340" i="1"/>
  <c r="S51" i="1"/>
  <c r="V279" i="1"/>
  <c r="T64" i="1"/>
  <c r="R319" i="1"/>
  <c r="U267" i="1"/>
  <c r="S100" i="1"/>
  <c r="V222" i="1"/>
  <c r="T160" i="1"/>
  <c r="U337" i="1"/>
  <c r="R20" i="1"/>
  <c r="V233" i="1"/>
  <c r="R243" i="1"/>
  <c r="R172" i="1"/>
  <c r="S130" i="1"/>
  <c r="T345" i="1"/>
  <c r="S90" i="1"/>
  <c r="V333" i="1"/>
  <c r="T104" i="1"/>
  <c r="R145" i="1"/>
  <c r="V32" i="1"/>
  <c r="U136" i="1"/>
  <c r="U291" i="1"/>
  <c r="U357" i="1"/>
  <c r="R246" i="1"/>
  <c r="V148" i="1"/>
  <c r="U343" i="1"/>
  <c r="V150" i="1"/>
  <c r="V173" i="1"/>
  <c r="V38" i="1"/>
  <c r="U76" i="1"/>
  <c r="U293" i="1"/>
  <c r="U196" i="1"/>
  <c r="U111" i="1"/>
  <c r="S144" i="1"/>
  <c r="V169" i="1"/>
  <c r="S48" i="1"/>
  <c r="V358" i="1"/>
  <c r="T76" i="1"/>
  <c r="T52" i="1"/>
  <c r="U241" i="1"/>
  <c r="V268" i="1"/>
  <c r="S199" i="1"/>
  <c r="S68" i="1"/>
  <c r="S128" i="1"/>
  <c r="R239" i="1"/>
  <c r="U275" i="1"/>
  <c r="U92" i="1"/>
  <c r="T319" i="1"/>
  <c r="T56" i="1"/>
  <c r="S333" i="1"/>
  <c r="R151" i="1"/>
  <c r="R126" i="1"/>
  <c r="V194" i="1"/>
  <c r="R113" i="1"/>
  <c r="V127" i="1"/>
  <c r="T43" i="1"/>
  <c r="U270" i="1"/>
  <c r="T36" i="1"/>
  <c r="R342" i="1"/>
  <c r="R253" i="1"/>
  <c r="V166" i="1"/>
  <c r="T323" i="1"/>
  <c r="U31" i="1"/>
  <c r="R288" i="1"/>
  <c r="U281" i="1"/>
  <c r="T115" i="1"/>
  <c r="U176" i="1"/>
  <c r="S270" i="1"/>
  <c r="T108" i="1"/>
  <c r="T291" i="1"/>
  <c r="T311" i="1"/>
  <c r="T284" i="1"/>
  <c r="S219" i="1"/>
  <c r="T276" i="1"/>
  <c r="T8" i="1"/>
  <c r="T120" i="1"/>
  <c r="U16" i="1"/>
  <c r="S156" i="1"/>
  <c r="R90" i="1"/>
  <c r="R227" i="1"/>
  <c r="U10" i="1"/>
  <c r="V143" i="1"/>
  <c r="U18" i="1"/>
  <c r="V7" i="1"/>
  <c r="T331" i="1"/>
  <c r="S20" i="1"/>
  <c r="U109" i="1"/>
  <c r="U17" i="1"/>
  <c r="R325" i="1"/>
  <c r="U34" i="1"/>
  <c r="S103" i="1"/>
  <c r="V50" i="1"/>
  <c r="V187" i="1"/>
  <c r="V162" i="1"/>
  <c r="U49" i="1"/>
  <c r="U208" i="1"/>
  <c r="T302" i="1"/>
  <c r="S252" i="1"/>
  <c r="T269" i="1"/>
  <c r="V218" i="1"/>
  <c r="T336" i="1"/>
  <c r="T326" i="1"/>
  <c r="V56" i="1"/>
  <c r="U60" i="1"/>
  <c r="R56" i="1"/>
  <c r="S180" i="1"/>
  <c r="U57" i="1"/>
  <c r="R286" i="1"/>
  <c r="V188" i="1"/>
  <c r="U113" i="1"/>
  <c r="T71" i="1"/>
  <c r="T175" i="1"/>
  <c r="R206" i="1"/>
  <c r="U154" i="1"/>
  <c r="T81" i="1"/>
  <c r="T66" i="1"/>
  <c r="R332" i="1"/>
  <c r="U134" i="1"/>
  <c r="U182" i="1"/>
  <c r="V266" i="1"/>
  <c r="R224" i="1"/>
  <c r="U321" i="1"/>
  <c r="U161" i="1"/>
  <c r="U164" i="1"/>
  <c r="S39" i="1"/>
  <c r="V355" i="1"/>
  <c r="V300" i="1"/>
  <c r="R139" i="1"/>
  <c r="T215" i="1"/>
  <c r="V239" i="1"/>
  <c r="S299" i="1"/>
  <c r="T352" i="1"/>
  <c r="S249" i="1"/>
  <c r="T151" i="1"/>
  <c r="V349" i="1"/>
  <c r="T232" i="1"/>
  <c r="R77" i="1"/>
  <c r="R213" i="1"/>
  <c r="S18" i="1"/>
  <c r="U77" i="1"/>
  <c r="U68" i="1"/>
  <c r="V308" i="1"/>
  <c r="T325" i="1"/>
  <c r="U170" i="1"/>
  <c r="R37" i="1"/>
  <c r="R258" i="1"/>
  <c r="R306" i="1"/>
  <c r="U218" i="1"/>
  <c r="R93" i="1"/>
  <c r="T16" i="1"/>
  <c r="R320" i="1"/>
  <c r="V256" i="1"/>
  <c r="V113" i="1"/>
  <c r="U329" i="1"/>
  <c r="U330" i="1"/>
  <c r="U145" i="1"/>
  <c r="S289" i="1"/>
  <c r="T154" i="1"/>
  <c r="S176" i="1"/>
  <c r="V241" i="1"/>
  <c r="R71" i="1"/>
  <c r="R78" i="1"/>
  <c r="V82" i="1"/>
  <c r="V42" i="1"/>
  <c r="R169" i="1"/>
  <c r="S211" i="1"/>
  <c r="V229" i="1"/>
  <c r="S15" i="1"/>
  <c r="S155" i="1"/>
  <c r="U266" i="1"/>
  <c r="R260" i="1"/>
  <c r="V98" i="1"/>
  <c r="V179" i="1"/>
  <c r="R158" i="1"/>
  <c r="S305" i="1"/>
  <c r="T196" i="1"/>
  <c r="T186" i="1"/>
  <c r="U253" i="1"/>
  <c r="S143" i="1"/>
  <c r="S114" i="1"/>
  <c r="T246" i="1"/>
  <c r="U62" i="1"/>
  <c r="U124" i="1"/>
  <c r="U235" i="1"/>
  <c r="U167" i="1"/>
  <c r="R345" i="1"/>
  <c r="T282" i="1"/>
  <c r="R40" i="1"/>
  <c r="S26" i="1"/>
  <c r="T148" i="1"/>
  <c r="U110" i="1"/>
  <c r="S177" i="1"/>
  <c r="S269" i="1"/>
  <c r="U38" i="1"/>
  <c r="U114" i="1"/>
  <c r="V354" i="1"/>
  <c r="U14" i="1"/>
  <c r="S263" i="1"/>
  <c r="S164" i="1"/>
  <c r="U238" i="1"/>
  <c r="U192" i="1"/>
  <c r="V261" i="1"/>
  <c r="R211" i="1"/>
  <c r="T27" i="1"/>
  <c r="R67" i="1"/>
  <c r="T73" i="1"/>
  <c r="U236" i="1"/>
  <c r="U217" i="1"/>
  <c r="V342" i="1"/>
  <c r="U239" i="1"/>
  <c r="U254" i="1"/>
  <c r="T47" i="1"/>
  <c r="S232" i="1"/>
  <c r="R80" i="1"/>
  <c r="S52" i="1"/>
  <c r="S208" i="1"/>
  <c r="S10" i="1"/>
  <c r="U206" i="1"/>
  <c r="V8" i="1"/>
  <c r="T40" i="1"/>
  <c r="R240" i="1"/>
  <c r="R96" i="1"/>
  <c r="S234" i="1"/>
  <c r="U70" i="1"/>
  <c r="T341" i="1"/>
  <c r="T57" i="1"/>
  <c r="S358" i="1"/>
  <c r="R193" i="1"/>
  <c r="V224" i="1"/>
  <c r="T354" i="1"/>
  <c r="R302" i="1"/>
  <c r="U234" i="1"/>
  <c r="S223" i="1"/>
  <c r="U82" i="1"/>
  <c r="R97" i="1"/>
  <c r="V67" i="1"/>
  <c r="T44" i="1"/>
  <c r="T346" i="1"/>
  <c r="V321" i="1"/>
  <c r="T206" i="1"/>
  <c r="T75" i="1"/>
  <c r="S240" i="1"/>
  <c r="S292" i="1"/>
  <c r="S287" i="1"/>
  <c r="S101" i="1"/>
  <c r="V37" i="1"/>
  <c r="T17" i="1"/>
  <c r="V253" i="1"/>
  <c r="T280" i="1"/>
  <c r="S46" i="1"/>
  <c r="S197" i="1"/>
  <c r="U105" i="1"/>
  <c r="R121" i="1"/>
  <c r="V28" i="1"/>
  <c r="U203" i="1"/>
  <c r="R316" i="1"/>
  <c r="S113" i="1"/>
  <c r="R28" i="1"/>
  <c r="U94" i="1"/>
  <c r="V305" i="1"/>
  <c r="S309" i="1"/>
  <c r="T330" i="1"/>
  <c r="R327" i="1"/>
  <c r="S110" i="1"/>
  <c r="U116" i="1"/>
  <c r="R201" i="1"/>
  <c r="T101" i="1"/>
  <c r="R108" i="1"/>
  <c r="S257" i="1"/>
  <c r="V238" i="1"/>
  <c r="S182" i="1"/>
  <c r="T343" i="1"/>
  <c r="T182" i="1"/>
  <c r="S119" i="1"/>
  <c r="U186" i="1"/>
  <c r="V54" i="1"/>
  <c r="S337" i="1"/>
  <c r="V287" i="1"/>
  <c r="S250" i="1"/>
  <c r="T247" i="1"/>
  <c r="U331" i="1"/>
  <c r="S278" i="1"/>
  <c r="R161" i="1"/>
  <c r="U183" i="1"/>
  <c r="R47" i="1"/>
  <c r="S50" i="1"/>
  <c r="T70" i="1"/>
  <c r="U75" i="1"/>
  <c r="R204" i="1"/>
  <c r="T155" i="1"/>
  <c r="U229" i="1"/>
  <c r="S339" i="1"/>
  <c r="U306" i="1"/>
  <c r="V59" i="1"/>
  <c r="S38" i="1"/>
  <c r="R318" i="1"/>
  <c r="U318" i="1"/>
  <c r="T95" i="1"/>
  <c r="U171" i="1"/>
  <c r="V58" i="1"/>
  <c r="U289" i="1"/>
  <c r="R349" i="1"/>
  <c r="S274" i="1"/>
  <c r="U12" i="1"/>
  <c r="V48" i="1"/>
  <c r="S321" i="1"/>
  <c r="V186" i="1"/>
  <c r="S165" i="1"/>
  <c r="T201" i="1"/>
  <c r="T100" i="1"/>
  <c r="T332" i="1"/>
  <c r="S198" i="1"/>
  <c r="T59" i="1"/>
  <c r="R207" i="1"/>
  <c r="T305" i="1"/>
  <c r="R70" i="1"/>
  <c r="U48" i="1"/>
  <c r="V344" i="1"/>
  <c r="S24" i="1"/>
  <c r="S209" i="1"/>
  <c r="S283" i="1"/>
  <c r="U202" i="1"/>
  <c r="U312" i="1"/>
  <c r="U211" i="1"/>
  <c r="T207" i="1"/>
  <c r="R263" i="1"/>
  <c r="V136" i="1"/>
  <c r="U117" i="1"/>
  <c r="T65" i="1"/>
  <c r="S78" i="1"/>
  <c r="U78" i="1"/>
  <c r="S135" i="1"/>
  <c r="V316" i="1"/>
  <c r="S43" i="1"/>
  <c r="T86" i="1"/>
  <c r="R219" i="1"/>
  <c r="S55" i="1"/>
  <c r="R192" i="1"/>
  <c r="T33" i="1"/>
  <c r="U118" i="1"/>
  <c r="R281" i="1"/>
  <c r="T88" i="1"/>
  <c r="R322" i="1"/>
  <c r="S341" i="1"/>
  <c r="T349" i="1"/>
  <c r="S336" i="1"/>
  <c r="R116" i="1"/>
  <c r="V245" i="1"/>
  <c r="T217" i="1"/>
  <c r="V182" i="1"/>
  <c r="R120" i="1"/>
  <c r="S310" i="1"/>
  <c r="V124" i="1"/>
  <c r="S317" i="1"/>
  <c r="R242" i="1"/>
  <c r="R289" i="1"/>
  <c r="S323" i="1"/>
  <c r="R276" i="1"/>
  <c r="T187" i="1"/>
  <c r="U128" i="1"/>
  <c r="V130" i="1"/>
  <c r="T260" i="1"/>
  <c r="S352" i="1"/>
  <c r="R122" i="1"/>
  <c r="V281" i="1"/>
  <c r="T29" i="1"/>
  <c r="T362" i="1"/>
  <c r="T89" i="1"/>
  <c r="U115" i="1"/>
  <c r="R7" i="1"/>
  <c r="R88" i="1"/>
  <c r="S60" i="1"/>
  <c r="T214" i="1"/>
  <c r="T58" i="1"/>
  <c r="R50" i="1"/>
  <c r="V351" i="1"/>
  <c r="V146" i="1"/>
  <c r="T11" i="1"/>
  <c r="U137" i="1"/>
  <c r="V144" i="1"/>
  <c r="U354" i="1"/>
  <c r="S112" i="1"/>
  <c r="V207" i="1"/>
  <c r="U361" i="1"/>
  <c r="S178" i="1"/>
  <c r="S280" i="1"/>
  <c r="R59" i="1"/>
  <c r="T102" i="1"/>
  <c r="R236" i="1"/>
  <c r="R284" i="1"/>
  <c r="U194" i="1"/>
  <c r="R355" i="1"/>
  <c r="V240" i="1"/>
  <c r="R65" i="1"/>
  <c r="T37" i="1"/>
  <c r="T277" i="1"/>
  <c r="V214" i="1"/>
  <c r="S33" i="1"/>
  <c r="T159" i="1"/>
  <c r="V165" i="1"/>
  <c r="S126" i="1"/>
  <c r="T91" i="1"/>
  <c r="S4" i="1"/>
  <c r="S158" i="1"/>
  <c r="R329" i="1"/>
  <c r="U285" i="1"/>
  <c r="R264" i="1"/>
  <c r="S307" i="1"/>
  <c r="U244" i="1"/>
  <c r="S67" i="1"/>
  <c r="V298" i="1"/>
  <c r="S304" i="1"/>
  <c r="S185" i="1"/>
  <c r="V73" i="1"/>
  <c r="U350" i="1"/>
  <c r="S302" i="1"/>
  <c r="U259" i="1"/>
  <c r="U240" i="1"/>
  <c r="T357" i="1"/>
  <c r="R343" i="1"/>
  <c r="S282" i="1"/>
  <c r="S335" i="1"/>
  <c r="T194" i="1"/>
  <c r="U340" i="1"/>
  <c r="T131" i="1"/>
  <c r="U153" i="1"/>
  <c r="V26" i="1"/>
  <c r="S106" i="1"/>
  <c r="R254" i="1"/>
  <c r="S105" i="1"/>
  <c r="V329" i="1"/>
  <c r="T180" i="1"/>
  <c r="R360" i="1"/>
  <c r="S88" i="1"/>
  <c r="U59" i="1"/>
  <c r="T143" i="1"/>
  <c r="V138" i="1"/>
  <c r="S356" i="1"/>
  <c r="R180" i="1"/>
  <c r="U28" i="1"/>
  <c r="T107" i="1"/>
  <c r="S97" i="1"/>
  <c r="T270" i="1"/>
  <c r="R362" i="1"/>
  <c r="U257" i="1"/>
  <c r="T161" i="1"/>
  <c r="V330" i="1"/>
  <c r="V251" i="1"/>
  <c r="U279" i="1"/>
  <c r="V84" i="1"/>
  <c r="V111" i="1"/>
  <c r="S245" i="1"/>
  <c r="R209" i="1"/>
  <c r="S186" i="1"/>
  <c r="R265" i="1"/>
  <c r="S149" i="1"/>
  <c r="V10" i="1"/>
  <c r="T228" i="1"/>
  <c r="V346" i="1"/>
  <c r="R217" i="1"/>
  <c r="S89" i="1"/>
  <c r="T286" i="1"/>
  <c r="S66" i="1"/>
  <c r="U131" i="1"/>
  <c r="U162" i="1"/>
  <c r="T172" i="1"/>
  <c r="R54" i="1"/>
  <c r="S342" i="1"/>
  <c r="U66" i="1"/>
  <c r="R123" i="1"/>
  <c r="S362" i="1"/>
  <c r="S37" i="1"/>
  <c r="T198" i="1"/>
  <c r="R110" i="1"/>
  <c r="U141" i="1"/>
  <c r="U299" i="1"/>
  <c r="R340" i="1"/>
  <c r="S61" i="1"/>
  <c r="V5" i="1"/>
  <c r="R12" i="1"/>
  <c r="V64" i="1"/>
  <c r="V348" i="1"/>
  <c r="T189" i="1"/>
  <c r="V228" i="1"/>
  <c r="U204" i="1"/>
  <c r="R41" i="1"/>
  <c r="V244" i="1"/>
  <c r="T225" i="1"/>
  <c r="T205" i="1"/>
  <c r="V230" i="1"/>
  <c r="R188" i="1"/>
  <c r="R83" i="1"/>
  <c r="U220" i="1"/>
  <c r="S300" i="1"/>
  <c r="U130" i="1"/>
  <c r="R135" i="1"/>
  <c r="T30" i="1"/>
  <c r="V103" i="1"/>
  <c r="U303" i="1"/>
  <c r="V294" i="1"/>
  <c r="T200" i="1"/>
  <c r="R30" i="1"/>
  <c r="T263" i="1"/>
  <c r="V88" i="1"/>
  <c r="V336" i="1"/>
  <c r="V35" i="1"/>
  <c r="U42" i="1"/>
  <c r="T299" i="1"/>
  <c r="U277" i="1"/>
  <c r="R58" i="1"/>
  <c r="R131" i="1"/>
  <c r="R248" i="1"/>
  <c r="U26" i="1"/>
  <c r="R128" i="1"/>
  <c r="R160" i="1"/>
  <c r="V209" i="1"/>
  <c r="V195" i="1"/>
  <c r="T12" i="1"/>
  <c r="T117" i="1"/>
  <c r="V217" i="1"/>
  <c r="R134" i="1"/>
  <c r="R283" i="1"/>
  <c r="U355" i="1"/>
  <c r="V310" i="1"/>
  <c r="R25" i="1"/>
  <c r="R75" i="1"/>
  <c r="R4" i="1"/>
  <c r="S129" i="1"/>
  <c r="S161" i="1"/>
  <c r="U173" i="1"/>
  <c r="V235" i="1"/>
  <c r="V131" i="1"/>
  <c r="V22" i="1"/>
  <c r="S328" i="1"/>
  <c r="R48" i="1"/>
  <c r="V74" i="1"/>
  <c r="V262" i="1"/>
  <c r="T230" i="1"/>
  <c r="V57" i="1"/>
  <c r="R237" i="1"/>
  <c r="S95" i="1"/>
  <c r="S215" i="1"/>
  <c r="U358" i="1"/>
  <c r="S242" i="1"/>
  <c r="R13" i="1"/>
  <c r="R130" i="1"/>
  <c r="R74" i="1"/>
  <c r="T114" i="1"/>
  <c r="T304" i="1"/>
  <c r="S295" i="1"/>
  <c r="T74" i="1"/>
  <c r="U344" i="1"/>
  <c r="R346" i="1"/>
  <c r="U152" i="1"/>
  <c r="V100" i="1"/>
  <c r="S361" i="1"/>
  <c r="T67" i="1"/>
  <c r="T281" i="1"/>
  <c r="T46" i="1"/>
  <c r="T146" i="1"/>
  <c r="R321" i="1"/>
  <c r="U96" i="1"/>
  <c r="T296" i="1"/>
  <c r="U252" i="1"/>
  <c r="T264" i="1"/>
  <c r="V123" i="1"/>
  <c r="S45" i="1"/>
  <c r="S147" i="1"/>
  <c r="T322" i="1"/>
  <c r="T99" i="1"/>
  <c r="S31" i="1"/>
  <c r="V23" i="1"/>
  <c r="V109" i="1"/>
  <c r="U249" i="1"/>
  <c r="T19" i="1"/>
  <c r="V160" i="1"/>
  <c r="U222" i="1"/>
  <c r="S253" i="1"/>
  <c r="S59" i="1"/>
  <c r="S210" i="1"/>
  <c r="V221" i="1"/>
  <c r="S259" i="1"/>
  <c r="S131" i="1"/>
  <c r="V275" i="1"/>
  <c r="U215" i="1"/>
  <c r="R185" i="1"/>
  <c r="S233" i="1"/>
  <c r="U22" i="1"/>
  <c r="U207" i="1"/>
  <c r="U342" i="1"/>
  <c r="R152" i="1"/>
  <c r="T334" i="1"/>
  <c r="V36" i="1"/>
  <c r="T77" i="1"/>
  <c r="R183" i="1"/>
  <c r="R326" i="1"/>
  <c r="T235" i="1"/>
  <c r="U98" i="1"/>
  <c r="U9" i="1"/>
  <c r="V65" i="1"/>
  <c r="U209" i="1"/>
  <c r="T32" i="1"/>
  <c r="V159" i="1"/>
  <c r="T169" i="1"/>
  <c r="T258" i="1"/>
  <c r="T128" i="1"/>
  <c r="V164" i="1"/>
  <c r="U256" i="1"/>
  <c r="V225" i="1"/>
  <c r="U25" i="1"/>
  <c r="V147" i="1"/>
  <c r="V236" i="1"/>
  <c r="V142" i="1"/>
  <c r="S313" i="1"/>
  <c r="S217" i="1"/>
  <c r="R6" i="1"/>
  <c r="S213" i="1"/>
  <c r="R68" i="1"/>
  <c r="V9" i="1"/>
  <c r="T212" i="1"/>
  <c r="R356" i="1"/>
  <c r="R82" i="1"/>
  <c r="R73" i="1"/>
  <c r="T353" i="1"/>
  <c r="T298" i="1"/>
  <c r="R79" i="1"/>
  <c r="T35" i="1"/>
  <c r="U309" i="1"/>
  <c r="U325" i="1"/>
  <c r="V326" i="1"/>
  <c r="T190" i="1"/>
  <c r="R202" i="1"/>
  <c r="S236" i="1"/>
  <c r="S125" i="1"/>
  <c r="V17" i="1"/>
  <c r="U35" i="1"/>
  <c r="R157" i="1"/>
  <c r="T359" i="1"/>
  <c r="R114" i="1"/>
  <c r="S166" i="1"/>
  <c r="S331" i="1"/>
  <c r="V290" i="1"/>
  <c r="S267" i="1"/>
  <c r="V227" i="1"/>
  <c r="R104" i="1"/>
  <c r="S77" i="1"/>
  <c r="U199" i="1"/>
  <c r="T193" i="1"/>
  <c r="T294" i="1"/>
  <c r="U160" i="1"/>
  <c r="R127" i="1"/>
  <c r="R339" i="1"/>
  <c r="U168" i="1"/>
  <c r="T255" i="1"/>
  <c r="U169" i="1"/>
  <c r="V257" i="1"/>
  <c r="S58" i="1"/>
  <c r="V356" i="1"/>
  <c r="S347" i="1"/>
  <c r="V101" i="1"/>
  <c r="T110" i="1"/>
  <c r="T167" i="1"/>
  <c r="R221" i="1"/>
  <c r="V122" i="1"/>
  <c r="U149" i="1"/>
  <c r="R98" i="1"/>
  <c r="U341" i="1"/>
  <c r="R19" i="1"/>
  <c r="R141" i="1"/>
  <c r="S19" i="1"/>
  <c r="V196" i="1"/>
  <c r="T342" i="1"/>
  <c r="T21" i="1"/>
  <c r="T192" i="1"/>
  <c r="V338" i="1"/>
  <c r="S40" i="1"/>
  <c r="V205" i="1"/>
  <c r="T158" i="1"/>
  <c r="T314" i="1"/>
  <c r="T328" i="1"/>
  <c r="R230" i="1"/>
  <c r="V118" i="1"/>
  <c r="S291" i="1"/>
  <c r="S136" i="1"/>
  <c r="U129" i="1"/>
  <c r="S32" i="1"/>
  <c r="T226" i="1"/>
  <c r="T31" i="1"/>
  <c r="U323" i="1"/>
  <c r="S49" i="1"/>
  <c r="V97" i="1"/>
  <c r="U320" i="1"/>
  <c r="S63" i="1"/>
  <c r="R194" i="1"/>
  <c r="V283" i="1"/>
  <c r="U200" i="1"/>
  <c r="R53" i="1"/>
  <c r="V140" i="1"/>
  <c r="U108" i="1"/>
  <c r="R307" i="1"/>
  <c r="T324" i="1"/>
  <c r="V44" i="1"/>
  <c r="T111" i="1"/>
  <c r="U271" i="1"/>
  <c r="S91" i="1"/>
  <c r="R351" i="1"/>
  <c r="T49" i="1"/>
  <c r="U58" i="1"/>
  <c r="T211" i="1"/>
  <c r="V359" i="1"/>
  <c r="S235" i="1"/>
  <c r="R273" i="1"/>
  <c r="T90" i="1"/>
  <c r="V206" i="1"/>
  <c r="V71" i="1"/>
  <c r="V63" i="1"/>
  <c r="V242" i="1"/>
  <c r="S214" i="1"/>
  <c r="V318" i="1"/>
  <c r="V323" i="1"/>
  <c r="U143" i="1"/>
  <c r="S255" i="1"/>
  <c r="T145" i="1"/>
  <c r="R101" i="1"/>
  <c r="R155" i="1"/>
  <c r="U54" i="1"/>
  <c r="T45" i="1"/>
  <c r="S133" i="1"/>
  <c r="U71" i="1"/>
  <c r="T188" i="1"/>
  <c r="R229" i="1"/>
  <c r="S184" i="1"/>
  <c r="V272" i="1"/>
  <c r="S153" i="1"/>
  <c r="V116" i="1"/>
  <c r="R11" i="1"/>
  <c r="S340" i="1"/>
  <c r="V108" i="1"/>
  <c r="U99" i="1"/>
  <c r="U191" i="1"/>
  <c r="T138" i="1"/>
  <c r="S96" i="1"/>
  <c r="S239" i="1"/>
  <c r="R168" i="1"/>
  <c r="S118" i="1"/>
  <c r="V234" i="1"/>
  <c r="T92" i="1"/>
  <c r="S14" i="1"/>
  <c r="V114" i="1"/>
  <c r="U287" i="1"/>
  <c r="V120" i="1"/>
  <c r="U327" i="1"/>
  <c r="V215" i="1"/>
  <c r="V332" i="1"/>
  <c r="S191" i="1"/>
  <c r="S92" i="1"/>
  <c r="V325" i="1"/>
  <c r="U95" i="1"/>
  <c r="R292" i="1"/>
  <c r="U262" i="1"/>
  <c r="T68" i="1"/>
  <c r="V322" i="1"/>
  <c r="V163" i="1"/>
  <c r="T363" i="1"/>
  <c r="V267" i="1"/>
  <c r="V264" i="1"/>
  <c r="U260" i="1"/>
  <c r="R251" i="1"/>
  <c r="T137" i="1"/>
  <c r="S23" i="1"/>
  <c r="T119" i="1"/>
  <c r="V226" i="1"/>
  <c r="R262" i="1"/>
  <c r="R285" i="1"/>
  <c r="V154" i="1"/>
  <c r="U72" i="1"/>
  <c r="T350" i="1"/>
  <c r="U67" i="1"/>
  <c r="S218" i="1"/>
  <c r="T113" i="1"/>
  <c r="V252" i="1"/>
  <c r="R350" i="1"/>
  <c r="U197" i="1"/>
  <c r="V27" i="1"/>
  <c r="S350" i="1"/>
  <c r="U163" i="1"/>
  <c r="S85" i="1"/>
  <c r="S273" i="1"/>
  <c r="R177" i="1"/>
  <c r="R132" i="1"/>
  <c r="T274" i="1"/>
  <c r="T85" i="1"/>
  <c r="R138" i="1"/>
  <c r="R57" i="1"/>
  <c r="R293" i="1"/>
  <c r="U125" i="1"/>
  <c r="U227" i="1"/>
  <c r="S275" i="1"/>
  <c r="T339" i="1"/>
  <c r="T240" i="1"/>
  <c r="V278" i="1"/>
  <c r="R146" i="1"/>
  <c r="S41" i="1"/>
  <c r="T300" i="1"/>
  <c r="T122" i="1"/>
  <c r="V53" i="1"/>
  <c r="S146" i="1"/>
  <c r="R274" i="1"/>
  <c r="V77" i="1"/>
  <c r="S116" i="1"/>
  <c r="T241" i="1"/>
  <c r="T34" i="1"/>
  <c r="V232" i="1"/>
  <c r="T267" i="1"/>
  <c r="S228" i="1"/>
  <c r="S330" i="1"/>
  <c r="T181" i="1"/>
  <c r="S277" i="1"/>
  <c r="S205" i="1"/>
  <c r="V292" i="1"/>
  <c r="S290" i="1"/>
  <c r="V180" i="1"/>
  <c r="T313" i="1"/>
  <c r="T14" i="1"/>
  <c r="R148" i="1"/>
  <c r="T134" i="1"/>
  <c r="S109" i="1"/>
  <c r="T293" i="1"/>
  <c r="S188" i="1"/>
  <c r="S94" i="1"/>
  <c r="U250" i="1"/>
  <c r="T242" i="1"/>
  <c r="U140" i="1"/>
  <c r="V286" i="1"/>
  <c r="U264" i="1"/>
  <c r="U274" i="1"/>
  <c r="R245" i="1"/>
  <c r="S314" i="1"/>
  <c r="U315" i="1"/>
  <c r="T97" i="1"/>
  <c r="S322" i="1"/>
  <c r="R205" i="1"/>
  <c r="T278" i="1"/>
  <c r="T287" i="1"/>
  <c r="U178" i="1"/>
  <c r="V288" i="1"/>
  <c r="U245" i="1"/>
  <c r="R280" i="1"/>
  <c r="U85" i="1"/>
  <c r="T236" i="1"/>
  <c r="V76" i="1"/>
  <c r="V152" i="1"/>
  <c r="U300" i="1"/>
  <c r="S8" i="1"/>
  <c r="T231" i="1"/>
  <c r="R290" i="1"/>
  <c r="T208" i="1"/>
  <c r="V357" i="1"/>
  <c r="S53" i="1"/>
  <c r="V170" i="1"/>
  <c r="V178" i="1"/>
  <c r="S264" i="1"/>
  <c r="R212" i="1"/>
  <c r="S284" i="1"/>
  <c r="R196" i="1"/>
  <c r="R34" i="1"/>
  <c r="V315" i="1"/>
  <c r="T41" i="1"/>
  <c r="R21" i="1"/>
  <c r="U79" i="1"/>
  <c r="V93" i="1"/>
  <c r="S308" i="1"/>
  <c r="T283" i="1"/>
  <c r="U352" i="1"/>
  <c r="V137" i="1"/>
  <c r="T254" i="1"/>
  <c r="T191" i="1"/>
  <c r="U23" i="1"/>
  <c r="U278" i="1"/>
  <c r="S145" i="1"/>
  <c r="S154" i="1"/>
  <c r="T112" i="1"/>
  <c r="T219" i="1"/>
  <c r="V297" i="1"/>
  <c r="U50" i="1"/>
  <c r="S206" i="1"/>
  <c r="V117" i="1"/>
  <c r="S271" i="1"/>
  <c r="R91" i="1"/>
  <c r="T116" i="1"/>
  <c r="S173" i="1"/>
  <c r="R84" i="1"/>
  <c r="R232" i="1"/>
  <c r="R140" i="1"/>
  <c r="U223" i="1"/>
  <c r="S120" i="1"/>
  <c r="R331" i="1"/>
  <c r="R189" i="1"/>
  <c r="R216" i="1"/>
  <c r="T164" i="1"/>
  <c r="U93" i="1"/>
  <c r="S195" i="1"/>
  <c r="V319" i="1"/>
  <c r="R107" i="1"/>
  <c r="R353" i="1"/>
  <c r="U51" i="1"/>
  <c r="S268" i="1"/>
  <c r="V69" i="1"/>
  <c r="T344" i="1"/>
  <c r="T348" i="1"/>
  <c r="V20" i="1"/>
  <c r="V11" i="1"/>
  <c r="R154" i="1"/>
  <c r="R359" i="1"/>
  <c r="T22" i="1"/>
  <c r="V313" i="1"/>
  <c r="V13" i="1"/>
  <c r="T355" i="1"/>
  <c r="S229" i="1"/>
  <c r="V307" i="1"/>
  <c r="V280" i="1"/>
  <c r="R95" i="1"/>
  <c r="U311" i="1"/>
  <c r="R299" i="1"/>
  <c r="T136" i="1"/>
  <c r="T279" i="1"/>
  <c r="V284" i="1"/>
  <c r="V12" i="1"/>
  <c r="V184" i="1"/>
  <c r="T163" i="1"/>
  <c r="T125" i="1"/>
  <c r="R269" i="1"/>
  <c r="S306" i="1"/>
  <c r="T20" i="1"/>
  <c r="R89" i="1"/>
  <c r="R175" i="1"/>
  <c r="V75" i="1"/>
  <c r="S327" i="1"/>
  <c r="S79" i="1"/>
  <c r="S44" i="1"/>
  <c r="S272" i="1"/>
  <c r="T165" i="1"/>
  <c r="S7" i="1"/>
  <c r="S9" i="1"/>
  <c r="S117" i="1"/>
  <c r="R266" i="1"/>
  <c r="R105" i="1"/>
  <c r="R102" i="1"/>
  <c r="S353" i="1"/>
  <c r="S171" i="1"/>
  <c r="U87" i="1"/>
  <c r="U247" i="1"/>
  <c r="U268" i="1"/>
  <c r="S5" i="1"/>
  <c r="T360" i="1"/>
  <c r="S338" i="1"/>
  <c r="T69" i="1"/>
  <c r="T83" i="1"/>
  <c r="U44" i="1"/>
  <c r="T129" i="1"/>
  <c r="R163" i="1"/>
  <c r="V70" i="1"/>
  <c r="S69" i="1"/>
  <c r="S11" i="1"/>
  <c r="R197" i="1"/>
  <c r="V211" i="1"/>
  <c r="R18" i="1"/>
  <c r="R173" i="1"/>
  <c r="T93" i="1"/>
  <c r="T139" i="1"/>
  <c r="U284" i="1"/>
  <c r="S315" i="1"/>
  <c r="U201" i="1"/>
  <c r="V161" i="1"/>
  <c r="T72" i="1"/>
  <c r="U103" i="1"/>
  <c r="T96" i="1"/>
  <c r="T62" i="1"/>
  <c r="R231" i="1"/>
  <c r="U147" i="1"/>
  <c r="R167" i="1"/>
  <c r="S204" i="1"/>
  <c r="T18" i="1"/>
  <c r="S266" i="1"/>
  <c r="R46" i="1"/>
  <c r="S179" i="1"/>
  <c r="R182" i="1"/>
  <c r="T265" i="1"/>
  <c r="T197" i="1"/>
  <c r="V157" i="1"/>
  <c r="U43" i="1"/>
  <c r="T292" i="1"/>
  <c r="R218" i="1"/>
  <c r="T218" i="1"/>
  <c r="V128" i="1"/>
  <c r="U5" i="1"/>
  <c r="R271" i="1"/>
  <c r="S222" i="1"/>
  <c r="U221" i="1"/>
  <c r="U52" i="1"/>
  <c r="U302" i="1"/>
  <c r="V193" i="1"/>
  <c r="T94" i="1"/>
  <c r="S62" i="1"/>
  <c r="T244" i="1"/>
  <c r="S349" i="1"/>
  <c r="U40" i="1"/>
  <c r="T297" i="1"/>
  <c r="R233" i="1"/>
  <c r="T6" i="1"/>
  <c r="U246" i="1"/>
  <c r="T183" i="1"/>
  <c r="T5" i="1"/>
  <c r="U189" i="1"/>
  <c r="T87" i="1"/>
  <c r="T15" i="1"/>
  <c r="V62" i="1"/>
  <c r="S17" i="1"/>
  <c r="R142" i="1"/>
  <c r="R279" i="1"/>
  <c r="V190" i="1"/>
  <c r="U24" i="1"/>
  <c r="R166" i="1"/>
  <c r="V126" i="1"/>
  <c r="R63" i="1"/>
  <c r="V260" i="1"/>
  <c r="T10" i="1"/>
  <c r="S237" i="1"/>
  <c r="V363" i="1"/>
  <c r="V41" i="1"/>
  <c r="V309" i="1"/>
  <c r="V94" i="1"/>
  <c r="V34" i="1"/>
  <c r="V299" i="1"/>
  <c r="R5" i="1"/>
  <c r="U74" i="1"/>
  <c r="R99" i="1"/>
  <c r="U155" i="1"/>
  <c r="H62" i="9" l="1"/>
  <c r="G62" i="9"/>
  <c r="E61" i="9"/>
  <c r="G60" i="9"/>
  <c r="G57" i="9"/>
  <c r="G55" i="9"/>
  <c r="E55" i="9"/>
  <c r="G54" i="9"/>
  <c r="G52" i="9"/>
  <c r="G48" i="9"/>
  <c r="G46" i="9"/>
  <c r="G45" i="9"/>
  <c r="F43" i="9"/>
  <c r="G42" i="9"/>
  <c r="H40" i="9"/>
  <c r="G40" i="9"/>
  <c r="H39" i="9"/>
  <c r="E39" i="9"/>
  <c r="G38" i="9"/>
  <c r="H36" i="9"/>
  <c r="E30" i="9"/>
  <c r="H29" i="9"/>
  <c r="H28" i="9"/>
  <c r="E28" i="9"/>
  <c r="E27" i="9"/>
  <c r="H25" i="9"/>
  <c r="H24" i="9"/>
  <c r="E23" i="9"/>
  <c r="F22" i="9"/>
  <c r="F19" i="9"/>
  <c r="E19" i="9"/>
  <c r="E17" i="9"/>
  <c r="F16" i="9"/>
  <c r="E16" i="9"/>
  <c r="F15" i="9"/>
  <c r="E15" i="9"/>
  <c r="F21" i="9" l="1"/>
  <c r="G61" i="9"/>
  <c r="F18" i="9"/>
  <c r="E22" i="9"/>
  <c r="E54" i="9"/>
  <c r="F32" i="9"/>
  <c r="F40" i="9"/>
  <c r="E44" i="9"/>
  <c r="F51" i="9"/>
  <c r="F58" i="9"/>
  <c r="F59" i="9"/>
  <c r="F4" i="9"/>
  <c r="D46" i="9"/>
  <c r="G19" i="9"/>
  <c r="G20" i="9"/>
  <c r="G21" i="9"/>
  <c r="F28" i="9"/>
  <c r="H32" i="9"/>
  <c r="D36" i="9"/>
  <c r="F33" i="9"/>
  <c r="H42" i="9"/>
  <c r="G43" i="9"/>
  <c r="F46" i="9"/>
  <c r="F47" i="9"/>
  <c r="H50" i="9"/>
  <c r="F54" i="9"/>
  <c r="H58" i="9"/>
  <c r="H61" i="9"/>
  <c r="H17" i="9"/>
  <c r="H19" i="9"/>
  <c r="G26" i="9"/>
  <c r="G27" i="9"/>
  <c r="G28" i="9"/>
  <c r="G29" i="9"/>
  <c r="G30" i="9"/>
  <c r="G31" i="9"/>
  <c r="F34" i="9"/>
  <c r="F36" i="9"/>
  <c r="F37" i="9"/>
  <c r="E4" i="9"/>
  <c r="E51" i="9"/>
  <c r="G4" i="9"/>
  <c r="H4" i="9"/>
  <c r="D19" i="9"/>
  <c r="D22" i="9"/>
  <c r="H30" i="9"/>
  <c r="H31" i="9"/>
  <c r="E33" i="9"/>
  <c r="G35" i="9"/>
  <c r="G37" i="9"/>
  <c r="D60" i="9"/>
  <c r="H44" i="9"/>
  <c r="H45" i="9"/>
  <c r="H46" i="9"/>
  <c r="H47" i="9"/>
  <c r="H49" i="9"/>
  <c r="E52" i="9"/>
  <c r="G23" i="9"/>
  <c r="E29" i="9"/>
  <c r="E31" i="9"/>
  <c r="E56" i="9"/>
  <c r="H33" i="9"/>
  <c r="E36" i="9"/>
  <c r="E37" i="9"/>
  <c r="E45" i="9"/>
  <c r="E47" i="9"/>
  <c r="E25" i="9"/>
  <c r="F14" i="9"/>
  <c r="F17" i="9"/>
  <c r="F20" i="9"/>
  <c r="H23" i="9"/>
  <c r="G32" i="9"/>
  <c r="E35" i="9"/>
  <c r="F38" i="9"/>
  <c r="F39" i="9"/>
  <c r="F41" i="9"/>
  <c r="F42" i="9"/>
  <c r="E46" i="9"/>
  <c r="E48" i="9"/>
  <c r="E49" i="9"/>
  <c r="F50" i="9"/>
  <c r="F52" i="9"/>
  <c r="F53" i="9"/>
  <c r="F57" i="9"/>
  <c r="F60" i="9"/>
  <c r="F61" i="9"/>
  <c r="G14" i="9"/>
  <c r="G15" i="9"/>
  <c r="G16" i="9"/>
  <c r="G17" i="9"/>
  <c r="G18" i="9"/>
  <c r="G22" i="9"/>
  <c r="F26" i="9"/>
  <c r="F27" i="9"/>
  <c r="F29" i="9"/>
  <c r="F30" i="9"/>
  <c r="F31" i="9"/>
  <c r="G39" i="9"/>
  <c r="G41" i="9"/>
  <c r="G50" i="9"/>
  <c r="G51" i="9"/>
  <c r="G58" i="9"/>
  <c r="G59" i="9"/>
  <c r="G53" i="9"/>
  <c r="H14" i="9"/>
  <c r="H15" i="9"/>
  <c r="H16" i="9"/>
  <c r="H18" i="9"/>
  <c r="H20" i="9"/>
  <c r="H21" i="9"/>
  <c r="H22" i="9"/>
  <c r="F23" i="9"/>
  <c r="F35" i="9"/>
  <c r="H38" i="9"/>
  <c r="H41" i="9"/>
  <c r="F44" i="9"/>
  <c r="F45" i="9"/>
  <c r="F48" i="9"/>
  <c r="F49" i="9"/>
  <c r="H51" i="9"/>
  <c r="H52" i="9"/>
  <c r="F55" i="9"/>
  <c r="F56" i="9"/>
  <c r="H57" i="9"/>
  <c r="H59" i="9"/>
  <c r="H60" i="9"/>
  <c r="F24" i="9"/>
  <c r="F25" i="9"/>
  <c r="H26" i="9"/>
  <c r="H27" i="9"/>
  <c r="G34" i="9"/>
  <c r="G36" i="9"/>
  <c r="G44" i="9"/>
  <c r="G47" i="9"/>
  <c r="G49" i="9"/>
  <c r="G56" i="9"/>
  <c r="E41" i="9"/>
  <c r="E42" i="9"/>
  <c r="E58" i="9"/>
  <c r="E59" i="9"/>
  <c r="E18" i="9"/>
  <c r="E20" i="9"/>
  <c r="E21" i="9"/>
  <c r="G24" i="9"/>
  <c r="G25" i="9"/>
  <c r="G33" i="9"/>
  <c r="H34" i="9"/>
  <c r="H35" i="9"/>
  <c r="H37" i="9"/>
  <c r="E40" i="9"/>
  <c r="H43" i="9"/>
  <c r="H48" i="9"/>
  <c r="H53" i="9"/>
  <c r="H54" i="9"/>
  <c r="H55" i="9"/>
  <c r="H56" i="9"/>
  <c r="E60" i="9"/>
  <c r="F62" i="9"/>
  <c r="F5" i="9"/>
  <c r="G5" i="9"/>
  <c r="H5" i="9"/>
  <c r="E32" i="9"/>
  <c r="D39" i="9" l="1"/>
  <c r="D41" i="9"/>
  <c r="D58" i="9"/>
  <c r="D48" i="9"/>
  <c r="D40" i="9"/>
  <c r="D56" i="9"/>
  <c r="D20" i="9"/>
  <c r="E14" i="9"/>
  <c r="G6" i="9"/>
  <c r="E38" i="9"/>
  <c r="E57" i="9"/>
  <c r="E50" i="9"/>
  <c r="E43" i="9"/>
  <c r="E34" i="9"/>
  <c r="E26" i="9"/>
  <c r="E62" i="9"/>
  <c r="D54" i="9"/>
  <c r="E53" i="9"/>
  <c r="D17" i="9"/>
  <c r="E24" i="9"/>
  <c r="H6" i="9"/>
  <c r="G7" i="9"/>
  <c r="D45" i="9" l="1"/>
  <c r="D23" i="9"/>
  <c r="D49" i="9"/>
  <c r="D18" i="9"/>
  <c r="D33" i="9"/>
  <c r="D51" i="9"/>
  <c r="D27" i="9"/>
  <c r="D59" i="9"/>
  <c r="D52" i="9"/>
  <c r="D44" i="9"/>
  <c r="D47" i="9"/>
  <c r="D42" i="9"/>
  <c r="D37" i="9"/>
  <c r="D55" i="9"/>
  <c r="D26" i="9"/>
  <c r="D29" i="9"/>
  <c r="D28" i="9"/>
  <c r="E5" i="9"/>
  <c r="D25" i="9"/>
  <c r="F6" i="9"/>
  <c r="G8" i="9"/>
  <c r="H7" i="9"/>
  <c r="D32" i="9" l="1"/>
  <c r="D57" i="9"/>
  <c r="D53" i="9"/>
  <c r="D4" i="9"/>
  <c r="D35" i="9"/>
  <c r="D15" i="9"/>
  <c r="D38" i="9"/>
  <c r="D14" i="9"/>
  <c r="D43" i="9"/>
  <c r="D24" i="9"/>
  <c r="D62" i="9"/>
  <c r="D30" i="9"/>
  <c r="D50" i="9"/>
  <c r="D34" i="9"/>
  <c r="D16" i="9"/>
  <c r="D21" i="9"/>
  <c r="F7" i="9"/>
  <c r="E6" i="9"/>
  <c r="D5" i="9" l="1"/>
  <c r="D61" i="9"/>
  <c r="D31" i="9"/>
  <c r="H8" i="9"/>
  <c r="G9" i="9"/>
  <c r="F8" i="9"/>
  <c r="E7" i="9"/>
  <c r="D6" i="9" l="1"/>
  <c r="H9" i="9"/>
  <c r="E8" i="9"/>
  <c r="F9" i="9"/>
  <c r="G10" i="9"/>
  <c r="D7" i="9" l="1"/>
  <c r="H10" i="9"/>
  <c r="F10" i="9"/>
  <c r="G11" i="9"/>
  <c r="E9" i="9"/>
  <c r="D8" i="9" l="1"/>
  <c r="E10" i="9"/>
  <c r="H11" i="9"/>
  <c r="F11" i="9"/>
  <c r="G12" i="9"/>
  <c r="D9" i="9" l="1"/>
  <c r="G13" i="9"/>
  <c r="F12" i="9"/>
  <c r="H12" i="9"/>
  <c r="E11" i="9"/>
  <c r="D10" i="9" l="1"/>
  <c r="F13" i="9"/>
  <c r="D11" i="9"/>
  <c r="H13" i="9"/>
  <c r="E12" i="9"/>
  <c r="D12" i="9" l="1"/>
  <c r="E13" i="9"/>
  <c r="D13" i="9" l="1"/>
  <c r="E65" i="9" l="1"/>
  <c r="E64" i="9"/>
  <c r="E68" i="9"/>
  <c r="E71" i="9"/>
  <c r="H70" i="9"/>
  <c r="H64" i="9" l="1"/>
  <c r="H67" i="9"/>
  <c r="E137" i="9"/>
  <c r="E138" i="9"/>
  <c r="E129" i="9"/>
  <c r="E69" i="9"/>
  <c r="E66" i="9"/>
  <c r="E114" i="9"/>
  <c r="E95" i="9"/>
  <c r="H68" i="9"/>
  <c r="E63" i="9"/>
  <c r="E161" i="9"/>
  <c r="E67" i="9"/>
  <c r="E72" i="9"/>
  <c r="E162" i="9"/>
  <c r="H69" i="9"/>
  <c r="E70" i="9"/>
  <c r="E131" i="9"/>
  <c r="E125" i="9"/>
  <c r="E157" i="9"/>
  <c r="E148" i="9"/>
  <c r="E130" i="9"/>
  <c r="E158" i="9"/>
  <c r="H65" i="9"/>
  <c r="H66" i="9"/>
  <c r="E146" i="9"/>
  <c r="H71" i="9"/>
  <c r="E105" i="9"/>
  <c r="H72" i="9"/>
  <c r="H63" i="9"/>
  <c r="E150" i="9" l="1"/>
  <c r="E113" i="9"/>
  <c r="E111" i="9"/>
  <c r="E106" i="9"/>
  <c r="E139" i="9"/>
  <c r="E140" i="9"/>
  <c r="E155" i="9"/>
  <c r="G63" i="9"/>
  <c r="E90" i="9"/>
  <c r="E93" i="9"/>
  <c r="E115" i="9"/>
  <c r="E127" i="9"/>
  <c r="E110" i="9"/>
  <c r="E107" i="9"/>
  <c r="G64" i="9"/>
  <c r="E122" i="9"/>
  <c r="E134" i="9"/>
  <c r="E147" i="9"/>
  <c r="E89" i="9"/>
  <c r="E116" i="9"/>
  <c r="E142" i="9"/>
  <c r="E100" i="9"/>
  <c r="E97" i="9"/>
  <c r="E126" i="9"/>
  <c r="E119" i="9"/>
  <c r="E160" i="9"/>
  <c r="E103" i="9"/>
  <c r="E141" i="9"/>
  <c r="E120" i="9"/>
  <c r="E104" i="9"/>
  <c r="E91" i="9"/>
  <c r="E132" i="9"/>
  <c r="E112" i="9"/>
  <c r="E81" i="9"/>
  <c r="G67" i="9"/>
  <c r="G71" i="9"/>
  <c r="E101" i="9"/>
  <c r="E151" i="9"/>
  <c r="E108" i="9"/>
  <c r="E80" i="9"/>
  <c r="E124" i="9"/>
  <c r="E109" i="9"/>
  <c r="E149" i="9"/>
  <c r="E85" i="9"/>
  <c r="E159" i="9"/>
  <c r="E83" i="9"/>
  <c r="E78" i="9"/>
  <c r="E143" i="9"/>
  <c r="E77" i="9"/>
  <c r="E135" i="9"/>
  <c r="E121" i="9"/>
  <c r="H155" i="9"/>
  <c r="G66" i="9"/>
  <c r="E82" i="9"/>
  <c r="E88" i="9"/>
  <c r="E86" i="9"/>
  <c r="E84" i="9"/>
  <c r="E136" i="9"/>
  <c r="E76" i="9"/>
  <c r="E156" i="9"/>
  <c r="E99" i="9"/>
  <c r="E128" i="9"/>
  <c r="H143" i="9"/>
  <c r="H159" i="9"/>
  <c r="E98" i="9"/>
  <c r="E117" i="9"/>
  <c r="E79" i="9"/>
  <c r="E145" i="9"/>
  <c r="E94" i="9"/>
  <c r="E118" i="9"/>
  <c r="E96" i="9"/>
  <c r="E154" i="9"/>
  <c r="H158" i="9"/>
  <c r="E87" i="9"/>
  <c r="E92" i="9"/>
  <c r="E153" i="9"/>
  <c r="E123" i="9"/>
  <c r="E163" i="9"/>
  <c r="E144" i="9"/>
  <c r="E133" i="9"/>
  <c r="E152" i="9"/>
  <c r="E102" i="9"/>
  <c r="H130" i="9"/>
  <c r="G65" i="9"/>
  <c r="G68" i="9"/>
  <c r="G70" i="9" l="1"/>
  <c r="H145" i="9"/>
  <c r="H140" i="9"/>
  <c r="G69" i="9"/>
  <c r="H133" i="9"/>
  <c r="G123" i="9"/>
  <c r="H157" i="9"/>
  <c r="H162" i="9"/>
  <c r="H163" i="9"/>
  <c r="H142" i="9"/>
  <c r="E73" i="9"/>
  <c r="H138" i="9"/>
  <c r="H125" i="9"/>
  <c r="H148" i="9"/>
  <c r="H151" i="9"/>
  <c r="H136" i="9"/>
  <c r="H134" i="9"/>
  <c r="E74" i="9"/>
  <c r="G127" i="9"/>
  <c r="H127" i="9"/>
  <c r="H126" i="9"/>
  <c r="H154" i="9"/>
  <c r="H149" i="9"/>
  <c r="H153" i="9"/>
  <c r="H135" i="9"/>
  <c r="H139" i="9"/>
  <c r="H161" i="9"/>
  <c r="H124" i="9"/>
  <c r="H160" i="9"/>
  <c r="G122" i="9"/>
  <c r="H150" i="9"/>
  <c r="H129" i="9"/>
  <c r="H152" i="9"/>
  <c r="E75" i="9"/>
  <c r="H141" i="9"/>
  <c r="H131" i="9"/>
  <c r="H137" i="9"/>
  <c r="H144" i="9"/>
  <c r="G141" i="9"/>
  <c r="H146" i="9"/>
  <c r="H156" i="9"/>
  <c r="H132" i="9"/>
  <c r="G124" i="9"/>
  <c r="H147" i="9"/>
  <c r="H128" i="9"/>
  <c r="G72" i="9"/>
  <c r="G74" i="9"/>
  <c r="G82" i="9"/>
  <c r="G133" i="9" l="1"/>
  <c r="G130" i="9"/>
  <c r="G105" i="9"/>
  <c r="G145" i="9"/>
  <c r="G146" i="9"/>
  <c r="G84" i="9"/>
  <c r="G90" i="9"/>
  <c r="G147" i="9"/>
  <c r="G101" i="9"/>
  <c r="G94" i="9"/>
  <c r="G139" i="9"/>
  <c r="G73" i="9"/>
  <c r="G135" i="9"/>
  <c r="G117" i="9"/>
  <c r="G155" i="9"/>
  <c r="G80" i="9"/>
  <c r="G152" i="9"/>
  <c r="H122" i="9"/>
  <c r="G113" i="9"/>
  <c r="G107" i="9"/>
  <c r="G162" i="9"/>
  <c r="G83" i="9"/>
  <c r="H116" i="9"/>
  <c r="G142" i="9"/>
  <c r="G100" i="9"/>
  <c r="G112" i="9"/>
  <c r="G156" i="9"/>
  <c r="H101" i="9"/>
  <c r="G109" i="9"/>
  <c r="H120" i="9"/>
  <c r="H118" i="9"/>
  <c r="G96" i="9"/>
  <c r="G144" i="9"/>
  <c r="G160" i="9"/>
  <c r="G89" i="9"/>
  <c r="G85" i="9"/>
  <c r="H107" i="9"/>
  <c r="G88" i="9"/>
  <c r="G102" i="9"/>
  <c r="G92" i="9"/>
  <c r="G125" i="9"/>
  <c r="G91" i="9"/>
  <c r="G103" i="9"/>
  <c r="G121" i="9"/>
  <c r="G157" i="9"/>
  <c r="G97" i="9"/>
  <c r="H105" i="9"/>
  <c r="H123" i="9"/>
  <c r="G78" i="9"/>
  <c r="G150" i="9"/>
  <c r="G87" i="9"/>
  <c r="G110" i="9"/>
  <c r="G161" i="9"/>
  <c r="G99" i="9"/>
  <c r="H121" i="9"/>
  <c r="G119" i="9"/>
  <c r="G131" i="9"/>
  <c r="G111" i="9"/>
  <c r="G151" i="9"/>
  <c r="G132" i="9"/>
  <c r="G104" i="9"/>
  <c r="G149" i="9"/>
  <c r="H109" i="9"/>
  <c r="G148" i="9"/>
  <c r="H96" i="9"/>
  <c r="G75" i="9"/>
  <c r="G114" i="9"/>
  <c r="G77" i="9"/>
  <c r="H97" i="9"/>
  <c r="G118" i="9"/>
  <c r="G134" i="9"/>
  <c r="G143" i="9"/>
  <c r="G158" i="9"/>
  <c r="G128" i="9"/>
  <c r="G106" i="9"/>
  <c r="G126" i="9"/>
  <c r="G140" i="9"/>
  <c r="H104" i="9"/>
  <c r="G136" i="9"/>
  <c r="H108" i="9"/>
  <c r="G137" i="9"/>
  <c r="G95" i="9"/>
  <c r="H114" i="9"/>
  <c r="H115" i="9"/>
  <c r="G159" i="9"/>
  <c r="G153" i="9"/>
  <c r="G120" i="9"/>
  <c r="G116" i="9"/>
  <c r="G154" i="9"/>
  <c r="G115" i="9"/>
  <c r="G76" i="9"/>
  <c r="H117" i="9"/>
  <c r="G86" i="9"/>
  <c r="G163" i="9"/>
  <c r="G138" i="9"/>
  <c r="G93" i="9"/>
  <c r="G79" i="9"/>
  <c r="G108" i="9"/>
  <c r="G98" i="9"/>
  <c r="G129" i="9"/>
  <c r="G81" i="9"/>
  <c r="H112" i="9"/>
  <c r="H89" i="9" l="1"/>
  <c r="H103" i="9"/>
  <c r="H111" i="9"/>
  <c r="H106" i="9"/>
  <c r="H84" i="9"/>
  <c r="H85" i="9"/>
  <c r="H86" i="9"/>
  <c r="H99" i="9"/>
  <c r="H87" i="9"/>
  <c r="H119" i="9"/>
  <c r="H76" i="9"/>
  <c r="H88" i="9"/>
  <c r="H110" i="9"/>
  <c r="H78" i="9"/>
  <c r="H90" i="9"/>
  <c r="H82" i="9"/>
  <c r="H80" i="9"/>
  <c r="H83" i="9"/>
  <c r="H98" i="9"/>
  <c r="H113" i="9"/>
  <c r="H92" i="9"/>
  <c r="H94" i="9"/>
  <c r="H75" i="9"/>
  <c r="H100" i="9"/>
  <c r="H73" i="9"/>
  <c r="H81" i="9"/>
  <c r="H91" i="9"/>
  <c r="H102" i="9"/>
  <c r="H74" i="9"/>
  <c r="H79" i="9"/>
  <c r="H77" i="9"/>
  <c r="H95" i="9"/>
  <c r="H93" i="9"/>
  <c r="D67" i="9" l="1"/>
  <c r="D63" i="9"/>
  <c r="D72" i="9"/>
  <c r="D156" i="9" l="1"/>
  <c r="D81" i="9"/>
  <c r="D66" i="9"/>
  <c r="D153" i="9"/>
  <c r="D139" i="9"/>
  <c r="D149" i="9"/>
  <c r="D110" i="9"/>
  <c r="D105" i="9"/>
  <c r="D121" i="9"/>
  <c r="D116" i="9"/>
  <c r="D82" i="9"/>
  <c r="D92" i="9"/>
  <c r="D162" i="9"/>
  <c r="D70" i="9"/>
  <c r="D152" i="9"/>
  <c r="D100" i="9"/>
  <c r="D119" i="9"/>
  <c r="D90" i="9"/>
  <c r="D135" i="9"/>
  <c r="D89" i="9"/>
  <c r="D140" i="9"/>
  <c r="D134" i="9"/>
  <c r="D146" i="9"/>
  <c r="D94" i="9"/>
  <c r="D163" i="9"/>
  <c r="D88" i="9"/>
  <c r="D157" i="9"/>
  <c r="D130" i="9"/>
  <c r="D97" i="9"/>
  <c r="D104" i="9"/>
  <c r="D91" i="9"/>
  <c r="D77" i="9"/>
  <c r="D158" i="9"/>
  <c r="D141" i="9"/>
  <c r="D83" i="9"/>
  <c r="D155" i="9"/>
  <c r="D87" i="9"/>
  <c r="D78" i="9"/>
  <c r="D80" i="9"/>
  <c r="D68" i="9" l="1"/>
  <c r="D69" i="9"/>
  <c r="D160" i="9"/>
  <c r="D148" i="9"/>
  <c r="D161" i="9"/>
  <c r="D111" i="9"/>
  <c r="D73" i="9"/>
  <c r="D117" i="9"/>
  <c r="D98" i="9"/>
  <c r="D126" i="9"/>
  <c r="D65" i="9" l="1"/>
  <c r="D129" i="9"/>
  <c r="D142" i="9"/>
  <c r="D150" i="9"/>
  <c r="D120" i="9"/>
  <c r="D103" i="9"/>
  <c r="D64" i="9"/>
  <c r="D151" i="9"/>
  <c r="D108" i="9"/>
  <c r="D127" i="9"/>
  <c r="D85" i="9"/>
  <c r="D74" i="9"/>
  <c r="D147" i="9"/>
  <c r="D143" i="9"/>
  <c r="D86" i="9"/>
  <c r="D84" i="9"/>
  <c r="D133" i="9"/>
  <c r="D112" i="9"/>
  <c r="D124" i="9"/>
  <c r="D75" i="9"/>
  <c r="D138" i="9"/>
  <c r="D154" i="9"/>
  <c r="D96" i="9"/>
  <c r="D79" i="9"/>
  <c r="D115" i="9"/>
  <c r="D107" i="9"/>
  <c r="D114" i="9"/>
  <c r="D102" i="9"/>
  <c r="D76" i="9"/>
  <c r="D137" i="9"/>
  <c r="D125" i="9"/>
  <c r="D136" i="9"/>
  <c r="D131" i="9"/>
  <c r="D128" i="9"/>
  <c r="D113" i="9"/>
  <c r="D118" i="9"/>
  <c r="D123" i="9"/>
  <c r="D106" i="9"/>
  <c r="D144" i="9"/>
  <c r="D93" i="9"/>
  <c r="D95" i="9"/>
  <c r="D109" i="9"/>
  <c r="D101" i="9"/>
  <c r="D159" i="9"/>
  <c r="D132" i="9"/>
  <c r="D122" i="9"/>
  <c r="D145" i="9"/>
  <c r="D71" i="9"/>
  <c r="D99" i="9"/>
  <c r="F65" i="9" l="1"/>
  <c r="F71" i="9" l="1"/>
  <c r="F72" i="9"/>
  <c r="F112" i="9"/>
  <c r="F159" i="9"/>
  <c r="F115" i="9"/>
  <c r="F134" i="9"/>
  <c r="F126" i="9"/>
  <c r="F68" i="9"/>
  <c r="F161" i="9"/>
  <c r="F129" i="9"/>
  <c r="F158" i="9"/>
  <c r="F80" i="9"/>
  <c r="F66" i="9"/>
  <c r="F156" i="9"/>
  <c r="F155" i="9"/>
  <c r="F79" i="9"/>
  <c r="F70" i="9"/>
  <c r="F143" i="9"/>
  <c r="F139" i="9"/>
  <c r="F67" i="9"/>
  <c r="F141" i="9"/>
  <c r="F162" i="9"/>
  <c r="F128" i="9"/>
  <c r="F124" i="9"/>
  <c r="F130" i="9"/>
  <c r="F117" i="9"/>
  <c r="F64" i="9"/>
  <c r="F69" i="9"/>
  <c r="F152" i="9"/>
  <c r="F120" i="9"/>
  <c r="F153" i="9"/>
  <c r="F127" i="9"/>
  <c r="F63" i="9"/>
  <c r="F111" i="9" l="1"/>
  <c r="F146" i="9"/>
  <c r="F136" i="9"/>
  <c r="F132" i="9"/>
  <c r="F145" i="9"/>
  <c r="F154" i="9"/>
  <c r="F123" i="9"/>
  <c r="F150" i="9"/>
  <c r="F133" i="9"/>
  <c r="F138" i="9"/>
  <c r="F114" i="9"/>
  <c r="F116" i="9"/>
  <c r="F144" i="9"/>
  <c r="F148" i="9"/>
  <c r="F122" i="9"/>
  <c r="F118" i="9"/>
  <c r="F95" i="9"/>
  <c r="F90" i="9"/>
  <c r="F149" i="9"/>
  <c r="F100" i="9"/>
  <c r="F85" i="9"/>
  <c r="F107" i="9"/>
  <c r="F105" i="9"/>
  <c r="F98" i="9"/>
  <c r="F82" i="9"/>
  <c r="F131" i="9"/>
  <c r="F93" i="9"/>
  <c r="F81" i="9"/>
  <c r="F125" i="9"/>
  <c r="F101" i="9"/>
  <c r="F86" i="9"/>
  <c r="F92" i="9"/>
  <c r="F83" i="9"/>
  <c r="F102" i="9"/>
  <c r="F121" i="9"/>
  <c r="F163" i="9"/>
  <c r="F157" i="9"/>
  <c r="F137" i="9"/>
  <c r="F142" i="9"/>
  <c r="F110" i="9"/>
  <c r="F84" i="9"/>
  <c r="F119" i="9"/>
  <c r="F91" i="9"/>
  <c r="F87" i="9"/>
  <c r="F103" i="9"/>
  <c r="F109" i="9"/>
  <c r="F113" i="9"/>
  <c r="F160" i="9"/>
  <c r="F88" i="9"/>
  <c r="F108" i="9"/>
  <c r="F147" i="9"/>
  <c r="F94" i="9"/>
  <c r="F140" i="9"/>
  <c r="F89" i="9"/>
  <c r="F99" i="9"/>
  <c r="F151" i="9"/>
  <c r="F97" i="9"/>
  <c r="F106" i="9"/>
  <c r="F104" i="9"/>
  <c r="F96" i="9"/>
  <c r="F135" i="9"/>
  <c r="F75" i="9" l="1"/>
  <c r="F73" i="9"/>
  <c r="F77" i="9"/>
  <c r="F74" i="9"/>
  <c r="F78" i="9"/>
  <c r="F76" i="9"/>
  <c r="Q13" i="32"/>
  <c r="Q12" i="32"/>
  <c r="Q11" i="32"/>
  <c r="Q10" i="32"/>
  <c r="Q9" i="32"/>
  <c r="Q8" i="32"/>
  <c r="Q7" i="32"/>
  <c r="Q6" i="32"/>
  <c r="S13" i="32"/>
  <c r="S12" i="32"/>
  <c r="S11" i="32"/>
  <c r="S10" i="32"/>
  <c r="S9" i="32"/>
  <c r="S8" i="32"/>
  <c r="S7" i="32"/>
  <c r="S6" i="32"/>
  <c r="R13" i="32"/>
  <c r="R12" i="32"/>
  <c r="R11" i="32"/>
  <c r="R10" i="32"/>
  <c r="R9" i="32"/>
  <c r="R8" i="32"/>
  <c r="R7" i="32"/>
  <c r="R6" i="32"/>
</calcChain>
</file>

<file path=xl/sharedStrings.xml><?xml version="1.0" encoding="utf-8"?>
<sst xmlns="http://schemas.openxmlformats.org/spreadsheetml/2006/main" count="196" uniqueCount="69">
  <si>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</si>
  <si>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</si>
  <si>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</si>
  <si>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</si>
  <si>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</si>
  <si>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</si>
  <si>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天数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</si>
  <si>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</si>
  <si>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</si>
  <si>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</si>
  <si>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</si>
  <si>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小r</t>
    <phoneticPr fontId="1" type="noConversion"/>
  </si>
  <si>
    <t>大r</t>
    <phoneticPr fontId="1" type="noConversion"/>
  </si>
  <si>
    <t>中r</t>
    <phoneticPr fontId="1" type="noConversion"/>
  </si>
  <si>
    <t>大r</t>
    <phoneticPr fontId="1" type="noConversion"/>
  </si>
  <si>
    <t>天数</t>
    <phoneticPr fontId="1" type="noConversion"/>
  </si>
  <si>
    <t>超r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</si>
  <si>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</si>
  <si>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</si>
  <si>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</si>
  <si>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</si>
  <si>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玩家阶段队伍实力</t>
    <phoneticPr fontId="1" type="noConversion"/>
  </si>
  <si>
    <t>档位</t>
    <phoneticPr fontId="1" type="noConversion"/>
  </si>
  <si>
    <t>常规</t>
  </si>
  <si>
    <t>节日</t>
  </si>
  <si>
    <t>推送</t>
  </si>
  <si>
    <t>限量</t>
  </si>
  <si>
    <t>礼包返利比</t>
    <phoneticPr fontId="1" type="noConversion"/>
  </si>
  <si>
    <t>设计思路：</t>
    <phoneticPr fontId="1" type="noConversion"/>
  </si>
  <si>
    <t>1、为了增强武将士兵之间的联系，避免单将作战或单兵作战过于突出的情况</t>
    <phoneticPr fontId="1" type="noConversion"/>
  </si>
  <si>
    <t>2、武将的资质、星级会为士兵贡献攻血加成，士兵的剩余兵力、阶位会为武将贡献攻血加成</t>
    <phoneticPr fontId="1" type="noConversion"/>
  </si>
  <si>
    <t>3、为了避免直接改变属性的生硬，该效果由修改战斗公式实现</t>
    <phoneticPr fontId="1" type="noConversion"/>
  </si>
  <si>
    <t>武将资质</t>
    <phoneticPr fontId="1" type="noConversion"/>
  </si>
  <si>
    <t>武将星级</t>
    <phoneticPr fontId="1" type="noConversion"/>
  </si>
  <si>
    <t>士兵阶位</t>
    <phoneticPr fontId="1" type="noConversion"/>
  </si>
  <si>
    <t>士兵数量</t>
    <phoneticPr fontId="1" type="noConversion"/>
  </si>
  <si>
    <t>→</t>
    <phoneticPr fontId="1" type="noConversion"/>
  </si>
  <si>
    <t>4、属性定义：所有属性皆为阵容属性</t>
    <phoneticPr fontId="1" type="noConversion"/>
  </si>
  <si>
    <t>提升士兵攻血加成</t>
  </si>
  <si>
    <t>提升武将攻血加成</t>
  </si>
  <si>
    <t>累计消耗同名卡</t>
    <phoneticPr fontId="1" type="noConversion"/>
  </si>
  <si>
    <t>单卡价值</t>
    <phoneticPr fontId="1" type="noConversion"/>
  </si>
  <si>
    <t>武将资质对应系数优化</t>
    <phoneticPr fontId="1" type="noConversion"/>
  </si>
  <si>
    <t>手动美化武将资质对应系数</t>
    <phoneticPr fontId="1" type="noConversion"/>
  </si>
  <si>
    <t>上阵资源消耗</t>
    <phoneticPr fontId="1" type="noConversion"/>
  </si>
  <si>
    <t>武将资质对应价值系数</t>
    <phoneticPr fontId="1" type="noConversion"/>
  </si>
  <si>
    <t>资源消耗比例</t>
    <phoneticPr fontId="1" type="noConversion"/>
  </si>
  <si>
    <t>系数优化</t>
    <phoneticPr fontId="1" type="noConversion"/>
  </si>
  <si>
    <t>士兵初始兵力/总兵力对应系数</t>
    <phoneticPr fontId="1" type="noConversion"/>
  </si>
  <si>
    <t>定义等级</t>
    <phoneticPr fontId="1" type="noConversion"/>
  </si>
  <si>
    <t>武将攻血加成系数</t>
    <phoneticPr fontId="1" type="noConversion"/>
  </si>
  <si>
    <t>士兵攻血加成系数</t>
    <phoneticPr fontId="1" type="noConversion"/>
  </si>
  <si>
    <t>阶位对应等级</t>
    <phoneticPr fontId="1" type="noConversion"/>
  </si>
  <si>
    <t>非r武将资质对应各星级达成等级</t>
    <phoneticPr fontId="1" type="noConversion"/>
  </si>
  <si>
    <t>非r完成预估</t>
    <phoneticPr fontId="1" type="noConversion"/>
  </si>
  <si>
    <t>完成天数</t>
    <phoneticPr fontId="1" type="noConversion"/>
  </si>
  <si>
    <t>对应定义等级</t>
  </si>
  <si>
    <t>小r完成预估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</si>
  <si>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</si>
  <si>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</si>
  <si>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</si>
  <si>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上阵武将星级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</si>
  <si>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</si>
  <si>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</si>
  <si>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</si>
  <si>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</si>
  <si>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橙+</t>
  </si>
  <si>
    <t>上阵武将数量</t>
    <phoneticPr fontId="1" type="noConversion"/>
  </si>
  <si>
    <t>士兵/武将攻血加成系数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</si>
</sst>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_);[Red]\(0\)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3">
    <cellStyle name="常规" xfId="0" builtinId="0"/>
    <cellStyle name="常规 2" xfId="1" xr:uid="{00000000-0005-0000-0000-000002000000}"/>
    <cellStyle name="超链接 2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20184;&#36153;&#31036;&#21253;&#35774;&#35745;&#65288;&#24120;&#35268;&#31036;&#21253;&#6528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  <sheetName val="功能-分享和问卷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C6">
            <v>4138.8491835815348</v>
          </cell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  <cell r="BF5">
            <v>22716</v>
          </cell>
          <cell r="BG5">
            <v>22782</v>
          </cell>
          <cell r="BH5">
            <v>22866</v>
          </cell>
          <cell r="BI5">
            <v>22956</v>
          </cell>
          <cell r="BJ5">
            <v>23034</v>
          </cell>
        </row>
        <row r="6">
          <cell r="BF6">
            <v>27276</v>
          </cell>
          <cell r="BG6">
            <v>27450</v>
          </cell>
          <cell r="BH6">
            <v>27714</v>
          </cell>
          <cell r="BI6">
            <v>28086</v>
          </cell>
          <cell r="BJ6">
            <v>28314</v>
          </cell>
        </row>
        <row r="7">
          <cell r="BF7">
            <v>31857</v>
          </cell>
          <cell r="BG7">
            <v>32166</v>
          </cell>
          <cell r="BH7">
            <v>32676</v>
          </cell>
          <cell r="BI7">
            <v>33426</v>
          </cell>
          <cell r="BJ7">
            <v>33876</v>
          </cell>
        </row>
        <row r="8">
          <cell r="BF8">
            <v>42955.5</v>
          </cell>
          <cell r="BG8">
            <v>43515.5</v>
          </cell>
          <cell r="BH8">
            <v>44464</v>
          </cell>
          <cell r="BI8">
            <v>45860.5</v>
          </cell>
          <cell r="BJ8">
            <v>46704</v>
          </cell>
        </row>
        <row r="9">
          <cell r="BF9">
            <v>56256</v>
          </cell>
          <cell r="BG9">
            <v>57168</v>
          </cell>
          <cell r="BH9">
            <v>58724</v>
          </cell>
          <cell r="BI9">
            <v>61028</v>
          </cell>
          <cell r="BJ9">
            <v>62428</v>
          </cell>
        </row>
        <row r="10">
          <cell r="BF10">
            <v>63984</v>
          </cell>
          <cell r="BG10">
            <v>65212</v>
          </cell>
          <cell r="BH10">
            <v>67324</v>
          </cell>
          <cell r="BI10">
            <v>70456</v>
          </cell>
          <cell r="BJ10">
            <v>72368</v>
          </cell>
        </row>
        <row r="11">
          <cell r="BF11">
            <v>72304</v>
          </cell>
          <cell r="BG11">
            <v>73888</v>
          </cell>
          <cell r="BH11">
            <v>76652</v>
          </cell>
          <cell r="BI11">
            <v>80644</v>
          </cell>
          <cell r="BJ11">
            <v>82920</v>
          </cell>
        </row>
        <row r="12">
          <cell r="BF12">
            <v>81240</v>
          </cell>
          <cell r="BG12">
            <v>83092</v>
          </cell>
          <cell r="BH12">
            <v>86368</v>
          </cell>
          <cell r="BI12">
            <v>91236</v>
          </cell>
          <cell r="BJ12">
            <v>94124</v>
          </cell>
        </row>
        <row r="13">
          <cell r="BF13">
            <v>99413.6</v>
          </cell>
          <cell r="BG13">
            <v>101864.40000000001</v>
          </cell>
          <cell r="BH13">
            <v>106304</v>
          </cell>
          <cell r="BI13">
            <v>112882.00000000001</v>
          </cell>
          <cell r="BJ13">
            <v>116820</v>
          </cell>
        </row>
        <row r="14">
          <cell r="BF14">
            <v>120374.39999999999</v>
          </cell>
          <cell r="BG14">
            <v>123321.59999999999</v>
          </cell>
          <cell r="BH14">
            <v>129148.79999999999</v>
          </cell>
          <cell r="BI14">
            <v>137803.20000000001</v>
          </cell>
          <cell r="BJ14">
            <v>143035.20000000001</v>
          </cell>
        </row>
        <row r="15">
          <cell r="BF15">
            <v>139575</v>
          </cell>
          <cell r="BG15">
            <v>143025</v>
          </cell>
          <cell r="BH15">
            <v>149780</v>
          </cell>
          <cell r="BI15">
            <v>160330</v>
          </cell>
          <cell r="BJ15">
            <v>166520</v>
          </cell>
        </row>
        <row r="16">
          <cell r="BF16">
            <v>151335</v>
          </cell>
          <cell r="BG16">
            <v>155545</v>
          </cell>
          <cell r="BH16">
            <v>162445</v>
          </cell>
          <cell r="BI16">
            <v>174130</v>
          </cell>
          <cell r="BJ16">
            <v>181420</v>
          </cell>
        </row>
        <row r="17">
          <cell r="BF17">
            <v>163705</v>
          </cell>
          <cell r="BG17">
            <v>168280</v>
          </cell>
          <cell r="BH17">
            <v>176240</v>
          </cell>
          <cell r="BI17">
            <v>188405</v>
          </cell>
          <cell r="BJ17">
            <v>196955</v>
          </cell>
        </row>
        <row r="18">
          <cell r="BF18">
            <v>176570</v>
          </cell>
          <cell r="BG18">
            <v>181520</v>
          </cell>
          <cell r="BH18">
            <v>189810</v>
          </cell>
          <cell r="BI18">
            <v>203045</v>
          </cell>
          <cell r="BJ18">
            <v>212530</v>
          </cell>
        </row>
        <row r="19">
          <cell r="BF19">
            <v>189960</v>
          </cell>
          <cell r="BG19">
            <v>195240</v>
          </cell>
          <cell r="BH19">
            <v>204085</v>
          </cell>
          <cell r="BI19">
            <v>218170</v>
          </cell>
          <cell r="BJ19">
            <v>229965</v>
          </cell>
        </row>
        <row r="20">
          <cell r="BF20">
            <v>216112.8</v>
          </cell>
          <cell r="BG20">
            <v>222080.59999999998</v>
          </cell>
          <cell r="BH20">
            <v>231901.5</v>
          </cell>
          <cell r="BI20">
            <v>249656.5</v>
          </cell>
          <cell r="BJ20">
            <v>262482.5</v>
          </cell>
        </row>
        <row r="21">
          <cell r="BF21">
            <v>244473.59999999998</v>
          </cell>
          <cell r="BG21">
            <v>251126.39999999997</v>
          </cell>
          <cell r="BH21">
            <v>263060</v>
          </cell>
          <cell r="BI21">
            <v>282436</v>
          </cell>
          <cell r="BJ21">
            <v>297242.39999999997</v>
          </cell>
        </row>
        <row r="22">
          <cell r="BF22">
            <v>275299.90000000002</v>
          </cell>
          <cell r="BG22">
            <v>283831.30000000005</v>
          </cell>
          <cell r="BH22">
            <v>296427.80000000005</v>
          </cell>
          <cell r="BI22">
            <v>318216.5</v>
          </cell>
          <cell r="BJ22">
            <v>335249.80000000005</v>
          </cell>
        </row>
        <row r="23">
          <cell r="BF23">
            <v>299772</v>
          </cell>
          <cell r="BG23">
            <v>308118</v>
          </cell>
          <cell r="BH23">
            <v>321666</v>
          </cell>
          <cell r="BI23">
            <v>345120</v>
          </cell>
          <cell r="BJ23">
            <v>364074</v>
          </cell>
        </row>
        <row r="24">
          <cell r="BF24">
            <v>319686</v>
          </cell>
          <cell r="BG24">
            <v>327474</v>
          </cell>
          <cell r="BH24">
            <v>341910</v>
          </cell>
          <cell r="BI24">
            <v>365976</v>
          </cell>
          <cell r="BJ24">
            <v>386118</v>
          </cell>
        </row>
        <row r="25">
          <cell r="BF25">
            <v>339636</v>
          </cell>
          <cell r="BG25">
            <v>348258</v>
          </cell>
          <cell r="BH25">
            <v>363978</v>
          </cell>
          <cell r="BI25">
            <v>389910</v>
          </cell>
          <cell r="BJ25">
            <v>411870</v>
          </cell>
        </row>
        <row r="26">
          <cell r="BF26">
            <v>360222</v>
          </cell>
          <cell r="BG26">
            <v>369666</v>
          </cell>
          <cell r="BH26">
            <v>386538</v>
          </cell>
          <cell r="BI26">
            <v>414318</v>
          </cell>
          <cell r="BJ26">
            <v>439956</v>
          </cell>
        </row>
        <row r="27">
          <cell r="BF27">
            <v>381264</v>
          </cell>
          <cell r="BG27">
            <v>391674</v>
          </cell>
          <cell r="BH27">
            <v>409326</v>
          </cell>
          <cell r="BI27">
            <v>439428</v>
          </cell>
          <cell r="BJ27">
            <v>468192</v>
          </cell>
        </row>
        <row r="28">
          <cell r="BF28">
            <v>402726</v>
          </cell>
          <cell r="BG28">
            <v>414024</v>
          </cell>
          <cell r="BH28">
            <v>433044</v>
          </cell>
          <cell r="BI28">
            <v>466230</v>
          </cell>
          <cell r="BJ28">
            <v>497856</v>
          </cell>
        </row>
        <row r="29">
          <cell r="BF29">
            <v>424542</v>
          </cell>
          <cell r="BG29">
            <v>436890</v>
          </cell>
          <cell r="BH29">
            <v>458004</v>
          </cell>
          <cell r="BI29">
            <v>494154</v>
          </cell>
          <cell r="BJ29">
            <v>528090</v>
          </cell>
        </row>
        <row r="30">
          <cell r="BF30">
            <v>446916</v>
          </cell>
          <cell r="BG30">
            <v>460956</v>
          </cell>
          <cell r="BH30">
            <v>484104</v>
          </cell>
          <cell r="BI30">
            <v>522564</v>
          </cell>
          <cell r="BJ30">
            <v>559548</v>
          </cell>
        </row>
        <row r="31">
          <cell r="BF31">
            <v>470418</v>
          </cell>
          <cell r="BG31">
            <v>486222</v>
          </cell>
          <cell r="BH31">
            <v>510864</v>
          </cell>
          <cell r="BI31">
            <v>552060</v>
          </cell>
          <cell r="BJ31">
            <v>591858</v>
          </cell>
        </row>
        <row r="32">
          <cell r="BF32">
            <v>495072</v>
          </cell>
          <cell r="BG32">
            <v>513486</v>
          </cell>
          <cell r="BH32">
            <v>540870</v>
          </cell>
          <cell r="BI32">
            <v>592788</v>
          </cell>
          <cell r="BJ32">
            <v>639876</v>
          </cell>
        </row>
        <row r="33">
          <cell r="BF33">
            <v>524136</v>
          </cell>
          <cell r="BG33">
            <v>546504</v>
          </cell>
          <cell r="BH33">
            <v>580836</v>
          </cell>
          <cell r="BI33">
            <v>641064</v>
          </cell>
          <cell r="BJ33">
            <v>692844</v>
          </cell>
        </row>
        <row r="34">
          <cell r="BF34">
            <v>554232</v>
          </cell>
          <cell r="BG34">
            <v>580752</v>
          </cell>
          <cell r="BH34">
            <v>622416</v>
          </cell>
          <cell r="BI34">
            <v>691548</v>
          </cell>
          <cell r="BJ34">
            <v>748668</v>
          </cell>
        </row>
        <row r="35">
          <cell r="BF35">
            <v>590184</v>
          </cell>
          <cell r="BG35">
            <v>621192</v>
          </cell>
          <cell r="BH35">
            <v>671202</v>
          </cell>
          <cell r="BI35">
            <v>750420</v>
          </cell>
          <cell r="BJ35">
            <v>813120</v>
          </cell>
        </row>
        <row r="36">
          <cell r="BF36">
            <v>627360</v>
          </cell>
          <cell r="BG36">
            <v>663546</v>
          </cell>
          <cell r="BH36">
            <v>722364</v>
          </cell>
          <cell r="BI36">
            <v>812550</v>
          </cell>
          <cell r="BJ36">
            <v>881466</v>
          </cell>
        </row>
        <row r="37">
          <cell r="BF37">
            <v>666216</v>
          </cell>
          <cell r="BG37">
            <v>707448</v>
          </cell>
          <cell r="BH37">
            <v>776118</v>
          </cell>
          <cell r="BI37">
            <v>878016</v>
          </cell>
          <cell r="BJ37">
            <v>952974</v>
          </cell>
        </row>
        <row r="38">
          <cell r="BF38">
            <v>706434</v>
          </cell>
          <cell r="BG38">
            <v>753570</v>
          </cell>
          <cell r="BH38">
            <v>832476</v>
          </cell>
          <cell r="BI38">
            <v>942594</v>
          </cell>
          <cell r="BJ38">
            <v>1019580</v>
          </cell>
        </row>
        <row r="39">
          <cell r="BF39">
            <v>752082</v>
          </cell>
          <cell r="BG39">
            <v>802908</v>
          </cell>
          <cell r="BH39">
            <v>883836</v>
          </cell>
          <cell r="BI39">
            <v>1000482</v>
          </cell>
          <cell r="BJ39">
            <v>1082262</v>
          </cell>
        </row>
        <row r="40">
          <cell r="BF40">
            <v>804888</v>
          </cell>
          <cell r="BG40">
            <v>855180</v>
          </cell>
          <cell r="BH40">
            <v>934506</v>
          </cell>
          <cell r="BI40">
            <v>1060482</v>
          </cell>
          <cell r="BJ40">
            <v>1146834</v>
          </cell>
        </row>
        <row r="41">
          <cell r="BF41">
            <v>860058</v>
          </cell>
          <cell r="BG41">
            <v>909258</v>
          </cell>
          <cell r="BH41">
            <v>987078</v>
          </cell>
          <cell r="BI41">
            <v>1121976</v>
          </cell>
          <cell r="BJ41">
            <v>1214364</v>
          </cell>
        </row>
        <row r="42">
          <cell r="BF42">
            <v>917460</v>
          </cell>
          <cell r="BG42">
            <v>965472</v>
          </cell>
          <cell r="BH42">
            <v>1041144</v>
          </cell>
          <cell r="BI42">
            <v>1185966</v>
          </cell>
          <cell r="BJ42">
            <v>1284528</v>
          </cell>
        </row>
        <row r="43">
          <cell r="BF43">
            <v>977358</v>
          </cell>
          <cell r="BG43">
            <v>1023654</v>
          </cell>
          <cell r="BH43">
            <v>1097184</v>
          </cell>
          <cell r="BI43">
            <v>1252716</v>
          </cell>
          <cell r="BJ43">
            <v>1357716</v>
          </cell>
        </row>
        <row r="44">
          <cell r="BF44">
            <v>1039956</v>
          </cell>
          <cell r="BG44">
            <v>1080510</v>
          </cell>
          <cell r="BH44">
            <v>1154922</v>
          </cell>
          <cell r="BI44">
            <v>1323294</v>
          </cell>
          <cell r="BJ44">
            <v>1434768</v>
          </cell>
        </row>
        <row r="45">
          <cell r="BF45">
            <v>1083990</v>
          </cell>
          <cell r="BG45">
            <v>1123992</v>
          </cell>
          <cell r="BH45">
            <v>1204488</v>
          </cell>
          <cell r="BI45">
            <v>1386138</v>
          </cell>
          <cell r="BJ45">
            <v>1504656</v>
          </cell>
        </row>
        <row r="46">
          <cell r="BF46">
            <v>1129710</v>
          </cell>
          <cell r="BG46">
            <v>1169460</v>
          </cell>
          <cell r="BH46">
            <v>1255398</v>
          </cell>
          <cell r="BI46">
            <v>1451814</v>
          </cell>
          <cell r="BJ46">
            <v>1576116</v>
          </cell>
        </row>
        <row r="47">
          <cell r="BF47">
            <v>1177194</v>
          </cell>
          <cell r="BG47">
            <v>1218108</v>
          </cell>
          <cell r="BH47">
            <v>1307406</v>
          </cell>
          <cell r="BI47">
            <v>1519506</v>
          </cell>
          <cell r="BJ47">
            <v>1651386</v>
          </cell>
        </row>
        <row r="48">
          <cell r="BF48">
            <v>1226382</v>
          </cell>
          <cell r="BG48">
            <v>1268790</v>
          </cell>
          <cell r="BH48">
            <v>1362888</v>
          </cell>
          <cell r="BI48">
            <v>1591950</v>
          </cell>
          <cell r="BJ48">
            <v>1727340</v>
          </cell>
        </row>
        <row r="49">
          <cell r="BF49">
            <v>1276404</v>
          </cell>
          <cell r="BG49">
            <v>1322472</v>
          </cell>
          <cell r="BH49">
            <v>1422756</v>
          </cell>
          <cell r="BI49">
            <v>1665660</v>
          </cell>
          <cell r="BJ49">
            <v>1805226</v>
          </cell>
        </row>
        <row r="50">
          <cell r="BF50">
            <v>1328442</v>
          </cell>
          <cell r="BG50">
            <v>1377858</v>
          </cell>
          <cell r="BH50">
            <v>1486728</v>
          </cell>
          <cell r="BI50">
            <v>1738350</v>
          </cell>
          <cell r="BJ50">
            <v>1884918</v>
          </cell>
        </row>
        <row r="51">
          <cell r="BF51">
            <v>1382172</v>
          </cell>
          <cell r="BG51">
            <v>1435038</v>
          </cell>
          <cell r="BH51">
            <v>1550148</v>
          </cell>
          <cell r="BI51">
            <v>1813302</v>
          </cell>
          <cell r="BJ51">
            <v>1966938</v>
          </cell>
        </row>
        <row r="52">
          <cell r="BF52">
            <v>1438056</v>
          </cell>
          <cell r="BG52">
            <v>1492830</v>
          </cell>
          <cell r="BH52">
            <v>1614942</v>
          </cell>
          <cell r="BI52">
            <v>1889850</v>
          </cell>
          <cell r="BJ52">
            <v>2051340</v>
          </cell>
        </row>
        <row r="53">
          <cell r="BF53">
            <v>1495404</v>
          </cell>
          <cell r="BG53">
            <v>1550610</v>
          </cell>
          <cell r="BH53">
            <v>1681242</v>
          </cell>
          <cell r="BI53">
            <v>1994556</v>
          </cell>
          <cell r="BJ53">
            <v>2137476</v>
          </cell>
        </row>
        <row r="54">
          <cell r="BF54">
            <v>1554810</v>
          </cell>
          <cell r="BG54">
            <v>1615872</v>
          </cell>
          <cell r="BH54">
            <v>1791768</v>
          </cell>
          <cell r="BI54">
            <v>2076912</v>
          </cell>
          <cell r="BJ54">
            <v>2226168</v>
          </cell>
        </row>
        <row r="55">
          <cell r="BF55">
            <v>1630014</v>
          </cell>
          <cell r="BG55">
            <v>1694178</v>
          </cell>
          <cell r="BH55">
            <v>1928148</v>
          </cell>
          <cell r="BI55">
            <v>2182542</v>
          </cell>
          <cell r="BJ55">
            <v>2346540</v>
          </cell>
        </row>
        <row r="56">
          <cell r="BF56">
            <v>1707486</v>
          </cell>
          <cell r="BG56">
            <v>1776780</v>
          </cell>
          <cell r="BH56">
            <v>2069394</v>
          </cell>
          <cell r="BI56">
            <v>2292270</v>
          </cell>
          <cell r="BJ56">
            <v>2471412</v>
          </cell>
        </row>
        <row r="57">
          <cell r="BF57">
            <v>1787772</v>
          </cell>
          <cell r="BG57">
            <v>1862490</v>
          </cell>
          <cell r="BH57">
            <v>2216058</v>
          </cell>
          <cell r="BI57">
            <v>2407830</v>
          </cell>
          <cell r="BJ57">
            <v>2599458</v>
          </cell>
        </row>
        <row r="58">
          <cell r="BF58">
            <v>1872696</v>
          </cell>
          <cell r="BG58">
            <v>1955484</v>
          </cell>
          <cell r="BH58">
            <v>2303316</v>
          </cell>
          <cell r="BI58">
            <v>2537130</v>
          </cell>
          <cell r="BJ58">
            <v>2730582</v>
          </cell>
        </row>
        <row r="59">
          <cell r="BF59">
            <v>1963668</v>
          </cell>
          <cell r="BG59">
            <v>2052402</v>
          </cell>
          <cell r="BH59">
            <v>2378004</v>
          </cell>
          <cell r="BI59">
            <v>2670438</v>
          </cell>
          <cell r="BJ59">
            <v>2867016</v>
          </cell>
        </row>
        <row r="60">
          <cell r="BF60">
            <v>2059608</v>
          </cell>
          <cell r="BG60">
            <v>2152062</v>
          </cell>
          <cell r="BH60">
            <v>2454306</v>
          </cell>
          <cell r="BI60">
            <v>2808192</v>
          </cell>
          <cell r="BJ60">
            <v>3007662</v>
          </cell>
        </row>
        <row r="61">
          <cell r="BF61">
            <v>2158614</v>
          </cell>
          <cell r="BG61">
            <v>2255322</v>
          </cell>
          <cell r="BH61">
            <v>2532810</v>
          </cell>
          <cell r="BI61">
            <v>2951220</v>
          </cell>
          <cell r="BJ61">
            <v>3153324</v>
          </cell>
        </row>
        <row r="62">
          <cell r="BF62">
            <v>2261250</v>
          </cell>
          <cell r="BG62">
            <v>2361006</v>
          </cell>
          <cell r="BH62">
            <v>2614206</v>
          </cell>
          <cell r="BI62">
            <v>3100434</v>
          </cell>
          <cell r="BJ62">
            <v>3395928</v>
          </cell>
        </row>
        <row r="63">
          <cell r="BF63">
            <v>2366742</v>
          </cell>
          <cell r="BG63">
            <v>2470260</v>
          </cell>
          <cell r="BH63">
            <v>2698734</v>
          </cell>
          <cell r="BI63">
            <v>3257340</v>
          </cell>
          <cell r="BJ63">
            <v>3562044</v>
          </cell>
        </row>
        <row r="64">
          <cell r="BF64">
            <v>2490414</v>
          </cell>
          <cell r="BG64">
            <v>2630544</v>
          </cell>
          <cell r="BH64">
            <v>2868030</v>
          </cell>
          <cell r="BI64">
            <v>3475218</v>
          </cell>
          <cell r="BJ64">
            <v>3796824</v>
          </cell>
        </row>
        <row r="65">
          <cell r="BF65">
            <v>2642196</v>
          </cell>
          <cell r="BG65">
            <v>2823774</v>
          </cell>
          <cell r="BH65">
            <v>3085332</v>
          </cell>
          <cell r="BI65">
            <v>3732240</v>
          </cell>
          <cell r="BJ65">
            <v>4058118</v>
          </cell>
        </row>
        <row r="66">
          <cell r="BF66">
            <v>2800536</v>
          </cell>
          <cell r="BG66">
            <v>3022926</v>
          </cell>
          <cell r="BH66">
            <v>3313938</v>
          </cell>
          <cell r="BI66">
            <v>4001838</v>
          </cell>
          <cell r="BJ66">
            <v>4331904</v>
          </cell>
        </row>
        <row r="67">
          <cell r="BF67">
            <v>2964798</v>
          </cell>
          <cell r="BG67">
            <v>3231210</v>
          </cell>
          <cell r="BH67">
            <v>3553128</v>
          </cell>
          <cell r="BI67">
            <v>4285242</v>
          </cell>
          <cell r="BJ67">
            <v>4617648</v>
          </cell>
        </row>
        <row r="68">
          <cell r="BF68">
            <v>3136764</v>
          </cell>
          <cell r="BG68">
            <v>3447708</v>
          </cell>
          <cell r="BH68">
            <v>3805398</v>
          </cell>
          <cell r="BI68">
            <v>4581732</v>
          </cell>
          <cell r="BJ68">
            <v>4913484</v>
          </cell>
        </row>
        <row r="69">
          <cell r="BF69">
            <v>3316092</v>
          </cell>
          <cell r="BG69">
            <v>3676338</v>
          </cell>
          <cell r="BH69">
            <v>4072902</v>
          </cell>
          <cell r="BI69">
            <v>4884288</v>
          </cell>
          <cell r="BJ69">
            <v>5212716</v>
          </cell>
        </row>
        <row r="70">
          <cell r="BF70">
            <v>3489840</v>
          </cell>
          <cell r="BG70">
            <v>3907932</v>
          </cell>
          <cell r="BH70">
            <v>4345710</v>
          </cell>
          <cell r="BI70">
            <v>5184936</v>
          </cell>
          <cell r="BJ70">
            <v>5526288</v>
          </cell>
        </row>
        <row r="71">
          <cell r="BF71">
            <v>3669258</v>
          </cell>
          <cell r="BG71">
            <v>4149894</v>
          </cell>
          <cell r="BH71">
            <v>4624320</v>
          </cell>
          <cell r="BI71">
            <v>5500842</v>
          </cell>
          <cell r="BJ71">
            <v>5860674</v>
          </cell>
        </row>
        <row r="72">
          <cell r="BF72">
            <v>3853356</v>
          </cell>
          <cell r="BG72">
            <v>4399938</v>
          </cell>
          <cell r="BH72">
            <v>4913328</v>
          </cell>
          <cell r="BI72">
            <v>5844066</v>
          </cell>
          <cell r="BJ72">
            <v>6220290</v>
          </cell>
        </row>
        <row r="73">
          <cell r="BF73">
            <v>4043166</v>
          </cell>
          <cell r="BG73">
            <v>4658892</v>
          </cell>
          <cell r="BH73">
            <v>5224170</v>
          </cell>
          <cell r="BI73">
            <v>6195210</v>
          </cell>
          <cell r="BJ73">
            <v>6597648</v>
          </cell>
        </row>
        <row r="74">
          <cell r="BF74">
            <v>4260048</v>
          </cell>
          <cell r="BG74">
            <v>4960356</v>
          </cell>
          <cell r="BH74">
            <v>5670456</v>
          </cell>
          <cell r="BI74">
            <v>6767100</v>
          </cell>
          <cell r="BJ74">
            <v>7085184</v>
          </cell>
        </row>
        <row r="75">
          <cell r="BF75">
            <v>4510182</v>
          </cell>
          <cell r="BG75">
            <v>5254344</v>
          </cell>
          <cell r="BH75">
            <v>5976282</v>
          </cell>
          <cell r="BI75">
            <v>7156476</v>
          </cell>
          <cell r="BJ75">
            <v>7512150</v>
          </cell>
        </row>
        <row r="76">
          <cell r="BF76">
            <v>4781742</v>
          </cell>
          <cell r="BG76">
            <v>5563848</v>
          </cell>
          <cell r="BH76">
            <v>6295554</v>
          </cell>
          <cell r="BI76">
            <v>7571568</v>
          </cell>
          <cell r="BJ76">
            <v>7977000</v>
          </cell>
        </row>
        <row r="77">
          <cell r="BF77">
            <v>5070846</v>
          </cell>
          <cell r="BG77">
            <v>5879160</v>
          </cell>
          <cell r="BH77">
            <v>6644778</v>
          </cell>
          <cell r="BI77">
            <v>8077662</v>
          </cell>
          <cell r="BJ77">
            <v>8507952</v>
          </cell>
        </row>
        <row r="78">
          <cell r="BF78">
            <v>5375628</v>
          </cell>
          <cell r="BG78">
            <v>6209016</v>
          </cell>
          <cell r="BH78">
            <v>7020798</v>
          </cell>
          <cell r="BI78">
            <v>8618682</v>
          </cell>
          <cell r="BJ78">
            <v>9108474</v>
          </cell>
        </row>
        <row r="79">
          <cell r="BF79">
            <v>5699256</v>
          </cell>
          <cell r="BG79">
            <v>6577158</v>
          </cell>
          <cell r="BH79">
            <v>7429542</v>
          </cell>
          <cell r="BI79">
            <v>9191712</v>
          </cell>
          <cell r="BJ79">
            <v>9743712</v>
          </cell>
        </row>
        <row r="80">
          <cell r="BF80">
            <v>6075402</v>
          </cell>
          <cell r="BG80">
            <v>6981126</v>
          </cell>
          <cell r="BH80">
            <v>7883688</v>
          </cell>
          <cell r="BI80">
            <v>9796842</v>
          </cell>
          <cell r="BJ80">
            <v>10449306</v>
          </cell>
        </row>
        <row r="81">
          <cell r="BF81">
            <v>6475530</v>
          </cell>
          <cell r="BG81">
            <v>7407126</v>
          </cell>
          <cell r="BH81">
            <v>8366514</v>
          </cell>
          <cell r="BI81">
            <v>10424136</v>
          </cell>
          <cell r="BJ81">
            <v>11183118</v>
          </cell>
        </row>
        <row r="82">
          <cell r="BF82">
            <v>6837246</v>
          </cell>
          <cell r="BG82">
            <v>7815510</v>
          </cell>
          <cell r="BH82">
            <v>8852100</v>
          </cell>
          <cell r="BI82">
            <v>11092050</v>
          </cell>
          <cell r="BJ82">
            <v>11898732</v>
          </cell>
        </row>
        <row r="83">
          <cell r="BF83">
            <v>7206294</v>
          </cell>
          <cell r="BG83">
            <v>8283150</v>
          </cell>
          <cell r="BH83">
            <v>9352434</v>
          </cell>
          <cell r="BI83">
            <v>11790144</v>
          </cell>
          <cell r="BJ83">
            <v>12651816</v>
          </cell>
        </row>
        <row r="84">
          <cell r="BF84">
            <v>7591818</v>
          </cell>
          <cell r="BG84">
            <v>8793300</v>
          </cell>
          <cell r="BH84">
            <v>9867750</v>
          </cell>
          <cell r="BI84">
            <v>12527832</v>
          </cell>
          <cell r="BJ84">
            <v>13460526</v>
          </cell>
        </row>
        <row r="85">
          <cell r="BF85">
            <v>7998912</v>
          </cell>
          <cell r="BG85">
            <v>9374640</v>
          </cell>
          <cell r="BH85">
            <v>10450206</v>
          </cell>
          <cell r="BI85">
            <v>13491456</v>
          </cell>
          <cell r="BJ85">
            <v>14500794</v>
          </cell>
        </row>
        <row r="86">
          <cell r="BF86">
            <v>8473962</v>
          </cell>
          <cell r="BG86">
            <v>9940014</v>
          </cell>
          <cell r="BH86">
            <v>11067426</v>
          </cell>
          <cell r="BI86">
            <v>14520438</v>
          </cell>
          <cell r="BJ86">
            <v>15569310</v>
          </cell>
        </row>
        <row r="87">
          <cell r="BF87">
            <v>8962314</v>
          </cell>
          <cell r="BG87">
            <v>10490964</v>
          </cell>
          <cell r="BH87">
            <v>11759286</v>
          </cell>
          <cell r="BI87">
            <v>15579732</v>
          </cell>
          <cell r="BJ87">
            <v>16522008</v>
          </cell>
        </row>
        <row r="88">
          <cell r="BF88">
            <v>9470388</v>
          </cell>
          <cell r="BG88">
            <v>11081778</v>
          </cell>
          <cell r="BH88">
            <v>12496626</v>
          </cell>
          <cell r="BI88">
            <v>16675014</v>
          </cell>
          <cell r="BJ88">
            <v>17589486</v>
          </cell>
        </row>
        <row r="89">
          <cell r="BF89">
            <v>9947994</v>
          </cell>
          <cell r="BG89">
            <v>11742942</v>
          </cell>
          <cell r="BH89">
            <v>13311852</v>
          </cell>
          <cell r="BI89">
            <v>17662194</v>
          </cell>
          <cell r="BJ89">
            <v>18698364</v>
          </cell>
        </row>
        <row r="90">
          <cell r="BF90">
            <v>10503738</v>
          </cell>
          <cell r="BG90">
            <v>12486912</v>
          </cell>
          <cell r="BH90">
            <v>14185926</v>
          </cell>
          <cell r="BI90">
            <v>18664938</v>
          </cell>
          <cell r="BJ90">
            <v>19665288</v>
          </cell>
        </row>
        <row r="91">
          <cell r="BF91">
            <v>11122080</v>
          </cell>
          <cell r="BG91">
            <v>13262310</v>
          </cell>
          <cell r="BH91">
            <v>15057924</v>
          </cell>
          <cell r="BI91">
            <v>19678122</v>
          </cell>
          <cell r="BJ91">
            <v>20700282</v>
          </cell>
        </row>
        <row r="92">
          <cell r="BF92">
            <v>11679168</v>
          </cell>
          <cell r="BG92">
            <v>14063940</v>
          </cell>
          <cell r="BH92">
            <v>15989436</v>
          </cell>
          <cell r="BI92">
            <v>20694960</v>
          </cell>
          <cell r="BJ92">
            <v>21716076</v>
          </cell>
        </row>
        <row r="93">
          <cell r="BF93">
            <v>12159522</v>
          </cell>
          <cell r="BG93">
            <v>14800722</v>
          </cell>
          <cell r="BH93">
            <v>16941942</v>
          </cell>
          <cell r="BI93">
            <v>21744762</v>
          </cell>
          <cell r="BJ93">
            <v>22696080</v>
          </cell>
        </row>
        <row r="94">
          <cell r="BF94">
            <v>12616074</v>
          </cell>
          <cell r="BG94">
            <v>15503874</v>
          </cell>
          <cell r="BH94">
            <v>18005070</v>
          </cell>
          <cell r="BI94">
            <v>22780392</v>
          </cell>
          <cell r="BJ94">
            <v>23732160</v>
          </cell>
        </row>
        <row r="95">
          <cell r="BF95">
            <v>13100052</v>
          </cell>
          <cell r="BG95">
            <v>16326048</v>
          </cell>
          <cell r="BH95">
            <v>18893484</v>
          </cell>
          <cell r="BI95">
            <v>23760276</v>
          </cell>
          <cell r="BJ95">
            <v>24821616</v>
          </cell>
        </row>
        <row r="96">
          <cell r="BF96">
            <v>13656246</v>
          </cell>
          <cell r="BG96">
            <v>17131674</v>
          </cell>
          <cell r="BH96">
            <v>19715808</v>
          </cell>
          <cell r="BI96">
            <v>24802782</v>
          </cell>
          <cell r="BJ96">
            <v>25859334</v>
          </cell>
        </row>
        <row r="97">
          <cell r="BF97">
            <v>14197410</v>
          </cell>
          <cell r="BG97">
            <v>17953662</v>
          </cell>
          <cell r="BH97">
            <v>20587878</v>
          </cell>
          <cell r="BI97">
            <v>25890600</v>
          </cell>
          <cell r="BJ97">
            <v>26910522</v>
          </cell>
        </row>
        <row r="98">
          <cell r="BF98">
            <v>14731860</v>
          </cell>
          <cell r="BG98">
            <v>18714858</v>
          </cell>
          <cell r="BH98">
            <v>21530886</v>
          </cell>
          <cell r="BI98">
            <v>26996544</v>
          </cell>
          <cell r="BJ98">
            <v>27983832</v>
          </cell>
        </row>
        <row r="99">
          <cell r="BF99">
            <v>15294642</v>
          </cell>
          <cell r="BG99">
            <v>19516122</v>
          </cell>
          <cell r="BH99">
            <v>22450212</v>
          </cell>
          <cell r="BI99">
            <v>27991794</v>
          </cell>
          <cell r="BJ99">
            <v>29108670</v>
          </cell>
        </row>
        <row r="100">
          <cell r="BF100">
            <v>15897222</v>
          </cell>
          <cell r="BG100">
            <v>20473518</v>
          </cell>
          <cell r="BH100">
            <v>23320272</v>
          </cell>
          <cell r="BI100">
            <v>29063004</v>
          </cell>
          <cell r="BJ100">
            <v>30279324</v>
          </cell>
        </row>
        <row r="101">
          <cell r="BF101">
            <v>16567974</v>
          </cell>
          <cell r="BG101">
            <v>21220404</v>
          </cell>
          <cell r="BH101">
            <v>24256206</v>
          </cell>
          <cell r="BI101">
            <v>30195174</v>
          </cell>
          <cell r="BJ101">
            <v>31511208</v>
          </cell>
        </row>
        <row r="102">
          <cell r="BF102">
            <v>17170146</v>
          </cell>
          <cell r="BG102">
            <v>21927630</v>
          </cell>
          <cell r="BH102">
            <v>25229964</v>
          </cell>
          <cell r="BI102">
            <v>31332024</v>
          </cell>
          <cell r="BJ102">
            <v>32779164</v>
          </cell>
        </row>
        <row r="103">
          <cell r="BF103">
            <v>17823042</v>
          </cell>
          <cell r="BG103">
            <v>22660758</v>
          </cell>
          <cell r="BH103">
            <v>26231892</v>
          </cell>
          <cell r="BI103">
            <v>32496552</v>
          </cell>
          <cell r="BJ103">
            <v>33886782</v>
          </cell>
        </row>
        <row r="104">
          <cell r="BF104">
            <v>18506772</v>
          </cell>
          <cell r="BG104">
            <v>23414310</v>
          </cell>
          <cell r="BH104">
            <v>27260196</v>
          </cell>
          <cell r="BI104">
            <v>33675408</v>
          </cell>
          <cell r="BJ104">
            <v>35022594</v>
          </cell>
        </row>
        <row r="105">
          <cell r="BF105">
            <v>19252938</v>
          </cell>
          <cell r="BG105">
            <v>24234468</v>
          </cell>
          <cell r="BH105">
            <v>28194312</v>
          </cell>
          <cell r="BI105">
            <v>34514820</v>
          </cell>
          <cell r="BJ105">
            <v>35839044</v>
          </cell>
        </row>
        <row r="106">
          <cell r="BF106">
            <v>19991094</v>
          </cell>
          <cell r="BG106">
            <v>25076274</v>
          </cell>
          <cell r="BH106">
            <v>29140740</v>
          </cell>
          <cell r="BI106">
            <v>35381760</v>
          </cell>
          <cell r="BJ106">
            <v>36679266</v>
          </cell>
        </row>
        <row r="107">
          <cell r="BF107">
            <v>20752038</v>
          </cell>
          <cell r="BG107">
            <v>25941888</v>
          </cell>
          <cell r="BH107">
            <v>30129378</v>
          </cell>
          <cell r="BI107">
            <v>36282246</v>
          </cell>
          <cell r="BJ107">
            <v>37557378</v>
          </cell>
        </row>
        <row r="108">
          <cell r="BF108">
            <v>21533604</v>
          </cell>
          <cell r="BG108">
            <v>26774538</v>
          </cell>
          <cell r="BH108">
            <v>31162236</v>
          </cell>
          <cell r="BI108">
            <v>37234152</v>
          </cell>
          <cell r="BJ108">
            <v>38464338</v>
          </cell>
        </row>
        <row r="109">
          <cell r="BF109">
            <v>22276314</v>
          </cell>
          <cell r="BG109">
            <v>27616176</v>
          </cell>
          <cell r="BH109">
            <v>32235042</v>
          </cell>
          <cell r="BI109">
            <v>38197164</v>
          </cell>
          <cell r="BJ109">
            <v>39410628</v>
          </cell>
        </row>
        <row r="110">
          <cell r="BF110">
            <v>23036070</v>
          </cell>
          <cell r="BG110">
            <v>28512012</v>
          </cell>
          <cell r="BH110">
            <v>33223680</v>
          </cell>
          <cell r="BI110">
            <v>39214986</v>
          </cell>
          <cell r="BJ110">
            <v>40279830</v>
          </cell>
        </row>
        <row r="111">
          <cell r="BF111">
            <v>23827356</v>
          </cell>
          <cell r="BG111">
            <v>29425776</v>
          </cell>
          <cell r="BH111">
            <v>34163082</v>
          </cell>
          <cell r="BI111">
            <v>40194282</v>
          </cell>
          <cell r="BJ111">
            <v>41139438</v>
          </cell>
        </row>
        <row r="112">
          <cell r="BF112">
            <v>24582768</v>
          </cell>
          <cell r="BG112">
            <v>30363228</v>
          </cell>
          <cell r="BH112">
            <v>35070582</v>
          </cell>
          <cell r="BI112">
            <v>41114910</v>
          </cell>
          <cell r="BJ112">
            <v>41999040</v>
          </cell>
        </row>
        <row r="113">
          <cell r="BF113">
            <v>25313802</v>
          </cell>
          <cell r="BG113">
            <v>31301478</v>
          </cell>
          <cell r="BH113">
            <v>36008808</v>
          </cell>
          <cell r="BI113">
            <v>42045108</v>
          </cell>
          <cell r="BJ113">
            <v>42882372</v>
          </cell>
        </row>
        <row r="114">
          <cell r="BF114">
            <v>26049816</v>
          </cell>
          <cell r="BG114">
            <v>32270460</v>
          </cell>
          <cell r="BH114">
            <v>36973272</v>
          </cell>
          <cell r="BI114">
            <v>43013550</v>
          </cell>
          <cell r="BJ114">
            <v>43850544</v>
          </cell>
        </row>
        <row r="115">
          <cell r="BF115">
            <v>26923824</v>
          </cell>
          <cell r="BG115">
            <v>33246702</v>
          </cell>
          <cell r="BH115">
            <v>37993992</v>
          </cell>
          <cell r="BI115">
            <v>43952730</v>
          </cell>
          <cell r="BJ115">
            <v>44833722</v>
          </cell>
        </row>
        <row r="116">
          <cell r="BF116">
            <v>27815082</v>
          </cell>
          <cell r="BG116">
            <v>34246032</v>
          </cell>
          <cell r="BH116">
            <v>39081354</v>
          </cell>
          <cell r="BI116">
            <v>44931522</v>
          </cell>
          <cell r="BJ116">
            <v>45808692</v>
          </cell>
        </row>
        <row r="117">
          <cell r="BF117">
            <v>28734972</v>
          </cell>
          <cell r="BG117">
            <v>35312970</v>
          </cell>
          <cell r="BH117">
            <v>40222434</v>
          </cell>
          <cell r="BI117">
            <v>45914280</v>
          </cell>
          <cell r="BJ117">
            <v>46805844</v>
          </cell>
        </row>
        <row r="118">
          <cell r="BF118">
            <v>29720820</v>
          </cell>
          <cell r="BG118">
            <v>36429468</v>
          </cell>
          <cell r="BH118">
            <v>41373456</v>
          </cell>
          <cell r="BI118">
            <v>46911804</v>
          </cell>
          <cell r="BJ118">
            <v>47819280</v>
          </cell>
        </row>
        <row r="119">
          <cell r="BF119">
            <v>30733320</v>
          </cell>
          <cell r="BG119">
            <v>37551636</v>
          </cell>
          <cell r="BH119">
            <v>42542544</v>
          </cell>
          <cell r="BI119">
            <v>47926926</v>
          </cell>
          <cell r="BJ119">
            <v>48856398</v>
          </cell>
        </row>
        <row r="120">
          <cell r="BF120">
            <v>31750446</v>
          </cell>
          <cell r="BG120">
            <v>38555172</v>
          </cell>
          <cell r="BH120">
            <v>43753650</v>
          </cell>
          <cell r="BI120">
            <v>48960150</v>
          </cell>
          <cell r="BJ120">
            <v>49905690</v>
          </cell>
        </row>
        <row r="121">
          <cell r="BF121">
            <v>32776254</v>
          </cell>
          <cell r="BG121">
            <v>39572286</v>
          </cell>
          <cell r="BH121">
            <v>44937444</v>
          </cell>
          <cell r="BI121">
            <v>49962888</v>
          </cell>
          <cell r="BJ121">
            <v>50936640</v>
          </cell>
        </row>
        <row r="122">
          <cell r="BF122">
            <v>33828222</v>
          </cell>
          <cell r="BG122">
            <v>40599006</v>
          </cell>
          <cell r="BH122">
            <v>46154676</v>
          </cell>
          <cell r="BI122">
            <v>50978514</v>
          </cell>
          <cell r="BJ122">
            <v>51970404</v>
          </cell>
        </row>
        <row r="123">
          <cell r="BF123">
            <v>34908366</v>
          </cell>
          <cell r="BG123">
            <v>41653224</v>
          </cell>
          <cell r="BH123">
            <v>47391414</v>
          </cell>
          <cell r="BI123">
            <v>52016652</v>
          </cell>
          <cell r="BJ123">
            <v>53002092</v>
          </cell>
        </row>
        <row r="124">
          <cell r="BF124">
            <v>36017922</v>
          </cell>
          <cell r="BG124">
            <v>42725610</v>
          </cell>
          <cell r="BH124">
            <v>48657816</v>
          </cell>
          <cell r="BI124">
            <v>53046354</v>
          </cell>
          <cell r="BJ124">
            <v>54060498</v>
          </cell>
        </row>
        <row r="125">
          <cell r="BF125">
            <v>37002204</v>
          </cell>
          <cell r="BG125">
            <v>43765122</v>
          </cell>
          <cell r="BH125">
            <v>49847604</v>
          </cell>
          <cell r="BI125">
            <v>54105162</v>
          </cell>
          <cell r="BJ125">
            <v>55130538</v>
          </cell>
        </row>
        <row r="126">
          <cell r="BF126">
            <v>38008968</v>
          </cell>
          <cell r="BG126">
            <v>44814594</v>
          </cell>
          <cell r="BH126">
            <v>51081696</v>
          </cell>
          <cell r="BI126">
            <v>55178130</v>
          </cell>
          <cell r="BJ126">
            <v>56215740</v>
          </cell>
        </row>
        <row r="127">
          <cell r="BF127">
            <v>39003354</v>
          </cell>
          <cell r="BG127">
            <v>45907158</v>
          </cell>
          <cell r="BH127">
            <v>52342254</v>
          </cell>
          <cell r="BI127">
            <v>56290146</v>
          </cell>
          <cell r="BJ127">
            <v>57299976</v>
          </cell>
        </row>
        <row r="128">
          <cell r="BF128">
            <v>40014336</v>
          </cell>
          <cell r="BG128">
            <v>47018916</v>
          </cell>
          <cell r="BH128">
            <v>53630706</v>
          </cell>
          <cell r="BI128">
            <v>57369606</v>
          </cell>
          <cell r="BJ128">
            <v>58393974</v>
          </cell>
        </row>
        <row r="129">
          <cell r="BF129">
            <v>41040822</v>
          </cell>
          <cell r="BG129">
            <v>48139596</v>
          </cell>
          <cell r="BH129">
            <v>54900438</v>
          </cell>
          <cell r="BI129">
            <v>58463418</v>
          </cell>
          <cell r="BJ129">
            <v>59462364</v>
          </cell>
        </row>
        <row r="130">
          <cell r="BF130">
            <v>42090096</v>
          </cell>
          <cell r="BG130">
            <v>49184340</v>
          </cell>
          <cell r="BH130">
            <v>56132442</v>
          </cell>
          <cell r="BI130">
            <v>59484066</v>
          </cell>
          <cell r="BJ130">
            <v>60499716</v>
          </cell>
        </row>
        <row r="131">
          <cell r="BF131">
            <v>43152864</v>
          </cell>
          <cell r="BG131">
            <v>50258622</v>
          </cell>
          <cell r="BH131">
            <v>57361332</v>
          </cell>
          <cell r="BI131">
            <v>60520260</v>
          </cell>
          <cell r="BJ131">
            <v>61552422</v>
          </cell>
        </row>
        <row r="132">
          <cell r="BF132">
            <v>44250168</v>
          </cell>
          <cell r="BG132">
            <v>51330948</v>
          </cell>
          <cell r="BH132">
            <v>58618800</v>
          </cell>
          <cell r="BI132">
            <v>61575516</v>
          </cell>
          <cell r="BJ132">
            <v>62631204</v>
          </cell>
        </row>
        <row r="133">
          <cell r="BF133">
            <v>45358890</v>
          </cell>
          <cell r="BG133">
            <v>52445892</v>
          </cell>
          <cell r="BH133">
            <v>59921280</v>
          </cell>
          <cell r="BI133">
            <v>62675856</v>
          </cell>
          <cell r="BJ133">
            <v>63747906</v>
          </cell>
        </row>
        <row r="134">
          <cell r="BF134">
            <v>46502736</v>
          </cell>
          <cell r="BG134">
            <v>53579772</v>
          </cell>
          <cell r="BH134">
            <v>61255326</v>
          </cell>
          <cell r="BI134">
            <v>63797202</v>
          </cell>
          <cell r="BJ134">
            <v>64883658</v>
          </cell>
        </row>
        <row r="135">
          <cell r="BF135">
            <v>47627226</v>
          </cell>
          <cell r="BG135">
            <v>54818400</v>
          </cell>
          <cell r="BH135">
            <v>62410368</v>
          </cell>
          <cell r="BI135">
            <v>64932024</v>
          </cell>
          <cell r="BJ135">
            <v>65975178</v>
          </cell>
        </row>
        <row r="136">
          <cell r="BF136">
            <v>48783966</v>
          </cell>
          <cell r="BG136">
            <v>56079516</v>
          </cell>
          <cell r="BH136">
            <v>63588834</v>
          </cell>
          <cell r="BI136">
            <v>66028164</v>
          </cell>
          <cell r="BJ136">
            <v>67000548</v>
          </cell>
        </row>
        <row r="137">
          <cell r="BF137">
            <v>49956942</v>
          </cell>
          <cell r="BG137">
            <v>57369486</v>
          </cell>
          <cell r="BH137">
            <v>64722318</v>
          </cell>
          <cell r="BI137">
            <v>67050018</v>
          </cell>
          <cell r="BJ137">
            <v>68042988</v>
          </cell>
        </row>
        <row r="138">
          <cell r="BF138">
            <v>51160452</v>
          </cell>
          <cell r="BG138">
            <v>58620756</v>
          </cell>
          <cell r="BH138">
            <v>65796990</v>
          </cell>
          <cell r="BI138">
            <v>68097480</v>
          </cell>
          <cell r="BJ138">
            <v>69092844</v>
          </cell>
        </row>
        <row r="139">
          <cell r="BF139">
            <v>52321428</v>
          </cell>
          <cell r="BG139">
            <v>59849754</v>
          </cell>
          <cell r="BH139">
            <v>66909720</v>
          </cell>
          <cell r="BI139">
            <v>69161376</v>
          </cell>
          <cell r="BJ139">
            <v>70185852</v>
          </cell>
        </row>
        <row r="140">
          <cell r="BF140">
            <v>53424132</v>
          </cell>
          <cell r="BG140">
            <v>61164660</v>
          </cell>
          <cell r="BH140">
            <v>68099028</v>
          </cell>
          <cell r="BI140">
            <v>70319790</v>
          </cell>
          <cell r="BJ140">
            <v>71338614</v>
          </cell>
        </row>
        <row r="141">
          <cell r="BF141">
            <v>54544188</v>
          </cell>
          <cell r="BG141">
            <v>62500152</v>
          </cell>
          <cell r="BH141">
            <v>69309144</v>
          </cell>
          <cell r="BI141">
            <v>71471448</v>
          </cell>
          <cell r="BJ141">
            <v>72510960</v>
          </cell>
        </row>
        <row r="142">
          <cell r="BF142">
            <v>55684854</v>
          </cell>
          <cell r="BG142">
            <v>63862974</v>
          </cell>
          <cell r="BH142">
            <v>70521954</v>
          </cell>
          <cell r="BI142">
            <v>72645078</v>
          </cell>
          <cell r="BJ142">
            <v>73660146</v>
          </cell>
        </row>
        <row r="143">
          <cell r="BF143">
            <v>56846382</v>
          </cell>
          <cell r="BG143">
            <v>65243964</v>
          </cell>
          <cell r="BH143">
            <v>71760234</v>
          </cell>
          <cell r="BI143">
            <v>73796994</v>
          </cell>
          <cell r="BJ143">
            <v>74845578</v>
          </cell>
        </row>
        <row r="144">
          <cell r="BF144">
            <v>58026048</v>
          </cell>
          <cell r="BG144">
            <v>66653022</v>
          </cell>
          <cell r="BH144">
            <v>72982314</v>
          </cell>
          <cell r="BI144">
            <v>74980842</v>
          </cell>
          <cell r="BJ144">
            <v>76106532</v>
          </cell>
        </row>
        <row r="145">
          <cell r="BF145">
            <v>59207712</v>
          </cell>
          <cell r="BG145">
            <v>68030802</v>
          </cell>
          <cell r="BH145">
            <v>74247138</v>
          </cell>
          <cell r="BI145">
            <v>76264980</v>
          </cell>
          <cell r="BJ145">
            <v>77425500</v>
          </cell>
        </row>
        <row r="146">
          <cell r="BF146">
            <v>60404046</v>
          </cell>
          <cell r="BG146">
            <v>69458388</v>
          </cell>
          <cell r="BH146">
            <v>75598494</v>
          </cell>
          <cell r="BI146">
            <v>77597262</v>
          </cell>
          <cell r="BJ146">
            <v>78777054</v>
          </cell>
        </row>
        <row r="147">
          <cell r="BF147">
            <v>61643514</v>
          </cell>
          <cell r="BG147">
            <v>70916670</v>
          </cell>
          <cell r="BH147">
            <v>76982052</v>
          </cell>
          <cell r="BI147">
            <v>78946452</v>
          </cell>
          <cell r="BJ147">
            <v>80161932</v>
          </cell>
        </row>
        <row r="148">
          <cell r="BF148">
            <v>62923578</v>
          </cell>
          <cell r="BG148">
            <v>72436602</v>
          </cell>
          <cell r="BH148">
            <v>78377814</v>
          </cell>
          <cell r="BI148">
            <v>80324262</v>
          </cell>
          <cell r="BJ148">
            <v>81537624</v>
          </cell>
        </row>
        <row r="149">
          <cell r="BF149">
            <v>64236936</v>
          </cell>
          <cell r="BG149">
            <v>73976298</v>
          </cell>
          <cell r="BH149">
            <v>79808718</v>
          </cell>
          <cell r="BI149">
            <v>81698334</v>
          </cell>
          <cell r="BJ149">
            <v>82926462</v>
          </cell>
        </row>
        <row r="150">
          <cell r="BF150">
            <v>65561028</v>
          </cell>
          <cell r="BG150">
            <v>75554136</v>
          </cell>
          <cell r="BH150">
            <v>81231456</v>
          </cell>
          <cell r="BI150">
            <v>83081244</v>
          </cell>
          <cell r="BJ150">
            <v>84332826</v>
          </cell>
        </row>
        <row r="151">
          <cell r="BF151">
            <v>66922524</v>
          </cell>
          <cell r="BG151">
            <v>77133216</v>
          </cell>
          <cell r="BH151">
            <v>82674714</v>
          </cell>
          <cell r="BI151">
            <v>84483024</v>
          </cell>
          <cell r="BJ151">
            <v>85766646</v>
          </cell>
        </row>
        <row r="152">
          <cell r="BF152">
            <v>68291448</v>
          </cell>
          <cell r="BG152">
            <v>78765414</v>
          </cell>
          <cell r="BH152">
            <v>84163860</v>
          </cell>
          <cell r="BI152">
            <v>85932822</v>
          </cell>
          <cell r="BJ152">
            <v>87224178</v>
          </cell>
        </row>
        <row r="153">
          <cell r="BF153">
            <v>69700770</v>
          </cell>
          <cell r="BG153">
            <v>80429268</v>
          </cell>
          <cell r="BH153">
            <v>85684278</v>
          </cell>
          <cell r="BI153">
            <v>87402738</v>
          </cell>
          <cell r="BJ153">
            <v>88743072</v>
          </cell>
        </row>
        <row r="154">
          <cell r="BF154">
            <v>71068494</v>
          </cell>
          <cell r="BG154">
            <v>82077498</v>
          </cell>
          <cell r="BH154">
            <v>87225186</v>
          </cell>
          <cell r="BI154">
            <v>88944828</v>
          </cell>
          <cell r="BJ154">
            <v>90510666</v>
          </cell>
        </row>
        <row r="155">
          <cell r="BF155">
            <v>72431904</v>
          </cell>
          <cell r="BG155">
            <v>83506566</v>
          </cell>
          <cell r="BH155">
            <v>88634460</v>
          </cell>
          <cell r="BI155">
            <v>90571038</v>
          </cell>
          <cell r="BJ155">
            <v>92272992</v>
          </cell>
        </row>
        <row r="156">
          <cell r="BF156">
            <v>73805280</v>
          </cell>
          <cell r="BG156">
            <v>84958302</v>
          </cell>
          <cell r="BH156">
            <v>90185028</v>
          </cell>
          <cell r="BI156">
            <v>92220450</v>
          </cell>
          <cell r="BJ156">
            <v>93141078</v>
          </cell>
        </row>
        <row r="157">
          <cell r="BF157">
            <v>75275982</v>
          </cell>
          <cell r="BG157">
            <v>86536560</v>
          </cell>
          <cell r="BH157">
            <v>91781490</v>
          </cell>
          <cell r="BI157">
            <v>93098634</v>
          </cell>
          <cell r="BJ157">
            <v>93739848</v>
          </cell>
        </row>
        <row r="158">
          <cell r="BF158">
            <v>76763100</v>
          </cell>
          <cell r="BG158">
            <v>88137198</v>
          </cell>
          <cell r="BH158">
            <v>92634120</v>
          </cell>
          <cell r="BI158">
            <v>93695208</v>
          </cell>
          <cell r="BJ158">
            <v>93862482</v>
          </cell>
        </row>
        <row r="159">
          <cell r="BF159">
            <v>78283638</v>
          </cell>
          <cell r="BG159">
            <v>89430822</v>
          </cell>
          <cell r="BH159">
            <v>93224682</v>
          </cell>
          <cell r="BI159">
            <v>93840378</v>
          </cell>
          <cell r="BJ159">
            <v>93943086</v>
          </cell>
        </row>
        <row r="160">
          <cell r="BF160">
            <v>79355910</v>
          </cell>
          <cell r="BG160">
            <v>90331476</v>
          </cell>
          <cell r="BH160">
            <v>93380550</v>
          </cell>
          <cell r="BI160">
            <v>93920352</v>
          </cell>
          <cell r="BJ160">
            <v>94023702</v>
          </cell>
        </row>
        <row r="161">
          <cell r="BF161">
            <v>80171352</v>
          </cell>
          <cell r="BG161">
            <v>91035978</v>
          </cell>
          <cell r="BH161">
            <v>93459918</v>
          </cell>
          <cell r="BI161">
            <v>94000338</v>
          </cell>
          <cell r="BJ161">
            <v>94104342</v>
          </cell>
        </row>
        <row r="162">
          <cell r="BF162">
            <v>80713668</v>
          </cell>
          <cell r="BG162">
            <v>91464654</v>
          </cell>
          <cell r="BH162">
            <v>93539298</v>
          </cell>
          <cell r="BI162">
            <v>94080354</v>
          </cell>
          <cell r="BJ162">
            <v>94184994</v>
          </cell>
        </row>
        <row r="163">
          <cell r="BF163">
            <v>81105744</v>
          </cell>
          <cell r="BG163">
            <v>91748052</v>
          </cell>
          <cell r="BH163">
            <v>93618702</v>
          </cell>
          <cell r="BI163">
            <v>94160388</v>
          </cell>
          <cell r="BJ163">
            <v>94265676</v>
          </cell>
        </row>
        <row r="164">
          <cell r="BF164">
            <v>81498114</v>
          </cell>
          <cell r="BG164">
            <v>92031654</v>
          </cell>
          <cell r="BH164">
            <v>93698106</v>
          </cell>
          <cell r="BI164">
            <v>94240416</v>
          </cell>
          <cell r="BJ164">
            <v>94346352</v>
          </cell>
        </row>
      </sheetData>
      <sheetData sheetId="12"/>
      <sheetData sheetId="13">
        <row r="6">
          <cell r="T6">
            <v>0</v>
          </cell>
        </row>
      </sheetData>
      <sheetData sheetId="14">
        <row r="6">
          <cell r="C6">
            <v>564548.58024637587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8101.9050392976797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5.2604099605989205E-3</v>
          </cell>
        </row>
      </sheetData>
      <sheetData sheetId="23">
        <row r="4">
          <cell r="L4">
            <v>6.7499719449199054E-6</v>
          </cell>
        </row>
      </sheetData>
      <sheetData sheetId="24">
        <row r="4">
          <cell r="K4">
            <v>1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J5">
            <v>1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数据引用"/>
      <sheetName val="道具投放节奏"/>
      <sheetName val="首充"/>
      <sheetName val="直购礼包"/>
      <sheetName val="直购礼包（开服2个月后）"/>
      <sheetName val="直购礼包2.0"/>
      <sheetName val="3赛季直购礼包"/>
      <sheetName val="线上130追加活动直购"/>
      <sheetName val="每日特惠"/>
      <sheetName val="月卡"/>
      <sheetName val="特权卡"/>
      <sheetName val="军团馈赠"/>
      <sheetName val="军团馈赠2.0"/>
      <sheetName val="循环礼包折算（港澳台）"/>
      <sheetName val="礼包可购买上限（港澳台）"/>
      <sheetName val="Sheet1"/>
    </sheetNames>
    <sheetDataSet>
      <sheetData sheetId="0"/>
      <sheetData sheetId="1">
        <row r="7">
          <cell r="AH7">
            <v>1</v>
          </cell>
          <cell r="AI7">
            <v>8</v>
          </cell>
          <cell r="AJ7">
            <v>14</v>
          </cell>
          <cell r="AK7">
            <v>14</v>
          </cell>
          <cell r="AL7">
            <v>14</v>
          </cell>
        </row>
        <row r="8">
          <cell r="AH8">
            <v>3</v>
          </cell>
          <cell r="AI8">
            <v>7</v>
          </cell>
          <cell r="AJ8">
            <v>12</v>
          </cell>
          <cell r="AK8">
            <v>12</v>
          </cell>
          <cell r="AL8">
            <v>12</v>
          </cell>
        </row>
        <row r="9">
          <cell r="AH9">
            <v>6</v>
          </cell>
          <cell r="AI9">
            <v>6</v>
          </cell>
          <cell r="AJ9">
            <v>9.5</v>
          </cell>
          <cell r="AK9">
            <v>9.5</v>
          </cell>
          <cell r="AL9">
            <v>9.5</v>
          </cell>
        </row>
        <row r="10">
          <cell r="AH10">
            <v>12</v>
          </cell>
          <cell r="AI10">
            <v>5.6</v>
          </cell>
          <cell r="AJ10">
            <v>8.9</v>
          </cell>
          <cell r="AK10">
            <v>8.9</v>
          </cell>
          <cell r="AL10">
            <v>8.9</v>
          </cell>
        </row>
        <row r="11">
          <cell r="AH11">
            <v>18</v>
          </cell>
          <cell r="AI11">
            <v>5.2</v>
          </cell>
          <cell r="AJ11">
            <v>8.25</v>
          </cell>
          <cell r="AK11">
            <v>8.25</v>
          </cell>
          <cell r="AL11">
            <v>8.25</v>
          </cell>
        </row>
        <row r="12">
          <cell r="AH12">
            <v>30</v>
          </cell>
          <cell r="AI12">
            <v>4.4000000000000004</v>
          </cell>
          <cell r="AJ12">
            <v>7</v>
          </cell>
          <cell r="AK12">
            <v>7</v>
          </cell>
          <cell r="AL12">
            <v>7</v>
          </cell>
        </row>
        <row r="13">
          <cell r="AH13">
            <v>68</v>
          </cell>
          <cell r="AI13">
            <v>3.9000000000000004</v>
          </cell>
          <cell r="AJ13">
            <v>6.25</v>
          </cell>
          <cell r="AK13">
            <v>6.25</v>
          </cell>
          <cell r="AL13">
            <v>6.25</v>
          </cell>
        </row>
        <row r="14">
          <cell r="AH14">
            <v>98</v>
          </cell>
          <cell r="AI14">
            <v>3.4</v>
          </cell>
          <cell r="AJ14">
            <v>5.5</v>
          </cell>
          <cell r="AK14">
            <v>5.5</v>
          </cell>
          <cell r="AL14">
            <v>5.5</v>
          </cell>
        </row>
        <row r="15">
          <cell r="AH15">
            <v>128</v>
          </cell>
          <cell r="AI15">
            <v>2.9</v>
          </cell>
          <cell r="AJ15">
            <v>4.8</v>
          </cell>
          <cell r="AK15">
            <v>4.8</v>
          </cell>
          <cell r="AL15">
            <v>4.8</v>
          </cell>
        </row>
        <row r="16">
          <cell r="AH16">
            <v>198</v>
          </cell>
          <cell r="AI16">
            <v>2.8</v>
          </cell>
          <cell r="AJ16">
            <v>4.5</v>
          </cell>
          <cell r="AK16">
            <v>4.5</v>
          </cell>
          <cell r="AL16">
            <v>4.5</v>
          </cell>
        </row>
        <row r="17">
          <cell r="AH17">
            <v>328</v>
          </cell>
          <cell r="AI17">
            <v>2.6</v>
          </cell>
          <cell r="AJ17">
            <v>4.25</v>
          </cell>
          <cell r="AK17">
            <v>4.25</v>
          </cell>
          <cell r="AL17">
            <v>4.25</v>
          </cell>
        </row>
        <row r="18">
          <cell r="AH18">
            <v>648</v>
          </cell>
          <cell r="AI18">
            <v>2.4</v>
          </cell>
          <cell r="AJ18">
            <v>4</v>
          </cell>
          <cell r="AK18">
            <v>4</v>
          </cell>
          <cell r="AL18">
            <v>4</v>
          </cell>
        </row>
      </sheetData>
      <sheetData sheetId="2"/>
      <sheetData sheetId="3"/>
      <sheetData sheetId="4">
        <row r="4">
          <cell r="I4">
            <v>128</v>
          </cell>
        </row>
      </sheetData>
      <sheetData sheetId="5">
        <row r="20">
          <cell r="AC20">
            <v>30</v>
          </cell>
        </row>
      </sheetData>
      <sheetData sheetId="6">
        <row r="4">
          <cell r="AX4">
            <v>128</v>
          </cell>
        </row>
      </sheetData>
      <sheetData sheetId="7">
        <row r="4">
          <cell r="L4">
            <v>128</v>
          </cell>
        </row>
      </sheetData>
      <sheetData sheetId="8">
        <row r="4">
          <cell r="I4">
            <v>648</v>
          </cell>
        </row>
      </sheetData>
      <sheetData sheetId="9">
        <row r="4">
          <cell r="H4">
            <v>1</v>
          </cell>
        </row>
      </sheetData>
      <sheetData sheetId="10">
        <row r="4">
          <cell r="H4">
            <v>18</v>
          </cell>
        </row>
      </sheetData>
      <sheetData sheetId="11"/>
      <sheetData sheetId="12"/>
      <sheetData sheetId="13">
        <row r="4">
          <cell r="P4" t="str">
            <v>黄金</v>
          </cell>
        </row>
      </sheetData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</sheetNames>
    <sheetDataSet>
      <sheetData sheetId="0"/>
      <sheetData sheetId="1" refreshError="1"/>
      <sheetData sheetId="2">
        <row r="17">
          <cell r="C17">
            <v>1</v>
          </cell>
          <cell r="D17">
            <v>10</v>
          </cell>
          <cell r="H17">
            <v>2</v>
          </cell>
          <cell r="I17">
            <v>4</v>
          </cell>
          <cell r="M17">
            <v>0.43623504450335049</v>
          </cell>
          <cell r="N17">
            <v>0</v>
          </cell>
        </row>
        <row r="18">
          <cell r="C18">
            <v>3</v>
          </cell>
          <cell r="D18">
            <v>20</v>
          </cell>
          <cell r="I18">
            <v>6</v>
          </cell>
          <cell r="N18">
            <v>0</v>
          </cell>
        </row>
        <row r="19">
          <cell r="C19">
            <v>6</v>
          </cell>
          <cell r="D19">
            <v>28.071211008105138</v>
          </cell>
          <cell r="I19">
            <v>6</v>
          </cell>
          <cell r="N19">
            <v>4.7045651841869152E-2</v>
          </cell>
        </row>
        <row r="20">
          <cell r="C20">
            <v>10</v>
          </cell>
          <cell r="D20">
            <v>34.585942742481357</v>
          </cell>
          <cell r="I20">
            <v>6</v>
          </cell>
          <cell r="N20">
            <v>0.43977415772159079</v>
          </cell>
        </row>
        <row r="21">
          <cell r="C21">
            <v>15</v>
          </cell>
          <cell r="D21">
            <v>40</v>
          </cell>
          <cell r="I21">
            <v>6</v>
          </cell>
          <cell r="N21">
            <v>0.8551154668875014</v>
          </cell>
        </row>
        <row r="22">
          <cell r="C22">
            <v>20</v>
          </cell>
          <cell r="D22">
            <v>43.920692243099523</v>
          </cell>
          <cell r="I22">
            <v>6</v>
          </cell>
          <cell r="N22">
            <v>1.2619829796568007</v>
          </cell>
        </row>
        <row r="23">
          <cell r="C23">
            <v>30</v>
          </cell>
          <cell r="D23">
            <v>49.533352307096472</v>
          </cell>
          <cell r="I23">
            <v>6</v>
          </cell>
          <cell r="N23">
            <v>1.9888569327398566</v>
          </cell>
        </row>
        <row r="24">
          <cell r="C24">
            <v>40</v>
          </cell>
          <cell r="D24">
            <v>53.567039423670657</v>
          </cell>
          <cell r="I24">
            <v>5</v>
          </cell>
          <cell r="J24">
            <v>1</v>
          </cell>
          <cell r="N24">
            <v>2.6684648357611023</v>
          </cell>
          <cell r="O24">
            <v>0</v>
          </cell>
        </row>
        <row r="25">
          <cell r="C25">
            <v>60</v>
          </cell>
          <cell r="D25">
            <v>59.300028460644697</v>
          </cell>
          <cell r="I25">
            <v>4</v>
          </cell>
          <cell r="J25">
            <v>2</v>
          </cell>
          <cell r="N25">
            <v>3.3339039024093222</v>
          </cell>
          <cell r="O25">
            <v>0.52656349948043157</v>
          </cell>
        </row>
        <row r="26">
          <cell r="C26">
            <v>90</v>
          </cell>
          <cell r="D26">
            <v>65.075479910097457</v>
          </cell>
          <cell r="I26">
            <v>3</v>
          </cell>
          <cell r="J26">
            <v>3</v>
          </cell>
          <cell r="N26">
            <v>3.6966112348502564</v>
          </cell>
          <cell r="O26">
            <v>2.1885912509308629</v>
          </cell>
        </row>
        <row r="27">
          <cell r="C27">
            <v>120</v>
          </cell>
          <cell r="D27">
            <v>69.18336653741882</v>
          </cell>
          <cell r="I27">
            <v>2</v>
          </cell>
          <cell r="J27">
            <v>4</v>
          </cell>
          <cell r="N27">
            <v>3.978844251174479</v>
          </cell>
          <cell r="O27">
            <v>2.4797565893731432</v>
          </cell>
        </row>
        <row r="28">
          <cell r="C28">
            <v>150</v>
          </cell>
          <cell r="D28">
            <v>72.375871759353331</v>
          </cell>
          <cell r="I28">
            <v>1</v>
          </cell>
          <cell r="J28">
            <v>5</v>
          </cell>
          <cell r="N28">
            <v>4.2558384119749606</v>
          </cell>
          <cell r="O28">
            <v>2.626340601127763</v>
          </cell>
        </row>
        <row r="29">
          <cell r="C29">
            <v>180</v>
          </cell>
          <cell r="D29">
            <v>74.998404927577795</v>
          </cell>
          <cell r="I29">
            <v>0.5</v>
          </cell>
          <cell r="J29">
            <v>5.5</v>
          </cell>
          <cell r="N29">
            <v>4.5246098820410872</v>
          </cell>
          <cell r="O29">
            <v>3.0112488593102924</v>
          </cell>
        </row>
        <row r="30">
          <cell r="C30">
            <v>220</v>
          </cell>
          <cell r="D30">
            <v>77.875308029777003</v>
          </cell>
          <cell r="J30">
            <v>6</v>
          </cell>
          <cell r="O30">
            <v>3.4030429372377271</v>
          </cell>
        </row>
        <row r="31">
          <cell r="C31">
            <v>260</v>
          </cell>
          <cell r="D31">
            <v>80.272123558064706</v>
          </cell>
          <cell r="J31">
            <v>6</v>
          </cell>
          <cell r="O31">
            <v>3.9296944372122797</v>
          </cell>
        </row>
        <row r="32">
          <cell r="C32">
            <v>300</v>
          </cell>
          <cell r="D32">
            <v>82.328492296001457</v>
          </cell>
          <cell r="J32">
            <v>6</v>
          </cell>
          <cell r="O32">
            <v>4.4592653995492668</v>
          </cell>
        </row>
        <row r="33">
          <cell r="C33">
            <v>340</v>
          </cell>
          <cell r="D33">
            <v>84.132234338875293</v>
          </cell>
          <cell r="J33">
            <v>6</v>
          </cell>
          <cell r="O33">
            <v>4.9598473167480783</v>
          </cell>
        </row>
        <row r="34">
          <cell r="C34">
            <v>400</v>
          </cell>
          <cell r="D34">
            <v>86.465948248806328</v>
          </cell>
          <cell r="J34">
            <v>6</v>
          </cell>
          <cell r="O34">
            <v>5.4010357087932102</v>
          </cell>
        </row>
        <row r="35">
          <cell r="C35">
            <v>520</v>
          </cell>
          <cell r="D35">
            <v>90.244911202258237</v>
          </cell>
          <cell r="J35">
            <v>6</v>
          </cell>
          <cell r="O35">
            <v>6.0289722383316526</v>
          </cell>
        </row>
        <row r="36">
          <cell r="C36">
            <v>640</v>
          </cell>
          <cell r="D36">
            <v>93.235489905456092</v>
          </cell>
          <cell r="J36">
            <v>6</v>
          </cell>
          <cell r="O36">
            <v>6.4951236311719809</v>
          </cell>
        </row>
        <row r="37">
          <cell r="C37">
            <v>820</v>
          </cell>
          <cell r="D37">
            <v>96.807063977001675</v>
          </cell>
          <cell r="J37">
            <v>6</v>
          </cell>
          <cell r="O37">
            <v>6.9889086609311235</v>
          </cell>
        </row>
        <row r="38">
          <cell r="C38">
            <v>1060</v>
          </cell>
          <cell r="D38">
            <v>100.50342858241972</v>
          </cell>
          <cell r="J38">
            <v>6</v>
          </cell>
          <cell r="O38">
            <v>7.3404766417816241</v>
          </cell>
        </row>
        <row r="39">
          <cell r="C39">
            <v>1360</v>
          </cell>
          <cell r="D39">
            <v>104.10129967499306</v>
          </cell>
          <cell r="J39">
            <v>6</v>
          </cell>
          <cell r="O39">
            <v>7.7764141371298576</v>
          </cell>
        </row>
        <row r="40">
          <cell r="C40">
            <v>1720</v>
          </cell>
          <cell r="D40">
            <v>107.48165553683219</v>
          </cell>
          <cell r="J40">
            <v>6</v>
          </cell>
          <cell r="O40">
            <v>8</v>
          </cell>
        </row>
        <row r="41">
          <cell r="C41">
            <v>2200</v>
          </cell>
          <cell r="D41">
            <v>111.03813549320469</v>
          </cell>
          <cell r="J41">
            <v>6</v>
          </cell>
          <cell r="O41">
            <v>8</v>
          </cell>
        </row>
        <row r="42">
          <cell r="C42">
            <v>2800</v>
          </cell>
          <cell r="D42">
            <v>114.50860608277577</v>
          </cell>
          <cell r="J42">
            <v>6</v>
          </cell>
          <cell r="O42">
            <v>8</v>
          </cell>
        </row>
        <row r="43">
          <cell r="C43">
            <v>3580</v>
          </cell>
          <cell r="D43">
            <v>118.05948896247369</v>
          </cell>
          <cell r="J43">
            <v>6</v>
          </cell>
          <cell r="O43">
            <v>8</v>
          </cell>
        </row>
        <row r="44">
          <cell r="C44">
            <v>4540</v>
          </cell>
          <cell r="D44">
            <v>121.47928719052189</v>
          </cell>
          <cell r="J44">
            <v>6</v>
          </cell>
          <cell r="O44">
            <v>8</v>
          </cell>
        </row>
        <row r="45">
          <cell r="C45">
            <v>5800</v>
          </cell>
          <cell r="D45">
            <v>125.02015904129435</v>
          </cell>
          <cell r="J45">
            <v>6</v>
          </cell>
          <cell r="O45">
            <v>8</v>
          </cell>
        </row>
        <row r="46">
          <cell r="C46">
            <v>7420</v>
          </cell>
          <cell r="D46">
            <v>128.56549059889721</v>
          </cell>
          <cell r="J46">
            <v>6</v>
          </cell>
          <cell r="O46">
            <v>8</v>
          </cell>
        </row>
        <row r="47">
          <cell r="C47">
            <v>9460</v>
          </cell>
          <cell r="D47">
            <v>132.07530828871487</v>
          </cell>
          <cell r="J47">
            <v>6</v>
          </cell>
          <cell r="O47">
            <v>8</v>
          </cell>
        </row>
        <row r="48">
          <cell r="C48">
            <v>12040</v>
          </cell>
          <cell r="D48">
            <v>135.54811255008914</v>
          </cell>
          <cell r="J48">
            <v>6</v>
          </cell>
          <cell r="O48">
            <v>8</v>
          </cell>
        </row>
        <row r="49">
          <cell r="C49">
            <v>15340</v>
          </cell>
          <cell r="D49">
            <v>139.0493876099641</v>
          </cell>
          <cell r="J49">
            <v>6</v>
          </cell>
          <cell r="O49">
            <v>8</v>
          </cell>
        </row>
        <row r="50">
          <cell r="C50">
            <v>19540</v>
          </cell>
          <cell r="D50">
            <v>142.53355653582128</v>
          </cell>
          <cell r="J50">
            <v>6</v>
          </cell>
          <cell r="O50">
            <v>8</v>
          </cell>
        </row>
        <row r="51">
          <cell r="C51">
            <v>24880</v>
          </cell>
          <cell r="D51">
            <v>146.02664953963369</v>
          </cell>
          <cell r="J51">
            <v>6</v>
          </cell>
          <cell r="O51">
            <v>8</v>
          </cell>
        </row>
        <row r="52">
          <cell r="C52">
            <v>31720</v>
          </cell>
          <cell r="D52">
            <v>149.52287096243165</v>
          </cell>
          <cell r="J52">
            <v>6</v>
          </cell>
          <cell r="O52">
            <v>8</v>
          </cell>
        </row>
        <row r="53">
          <cell r="C53">
            <v>40420</v>
          </cell>
          <cell r="D53">
            <v>153.02723536432757</v>
          </cell>
          <cell r="J53">
            <v>6</v>
          </cell>
          <cell r="O53">
            <v>8</v>
          </cell>
        </row>
        <row r="54">
          <cell r="C54">
            <v>51520</v>
          </cell>
          <cell r="D54">
            <v>156.52008914974525</v>
          </cell>
          <cell r="J54">
            <v>6</v>
          </cell>
          <cell r="O54">
            <v>8</v>
          </cell>
        </row>
        <row r="55">
          <cell r="C55">
            <v>65500</v>
          </cell>
          <cell r="D55">
            <v>159.99202506384199</v>
          </cell>
          <cell r="J55">
            <v>6</v>
          </cell>
          <cell r="O55">
            <v>8</v>
          </cell>
        </row>
        <row r="62">
          <cell r="C62">
            <v>0.85</v>
          </cell>
          <cell r="D62">
            <v>9.9592453074578113</v>
          </cell>
          <cell r="H62">
            <v>2</v>
          </cell>
          <cell r="I62">
            <v>4</v>
          </cell>
          <cell r="M62">
            <v>0.60153846226280661</v>
          </cell>
          <cell r="N62">
            <v>0</v>
          </cell>
        </row>
        <row r="63">
          <cell r="C63">
            <v>2.5499999999999998</v>
          </cell>
          <cell r="D63">
            <v>19.766822802328868</v>
          </cell>
          <cell r="I63">
            <v>6</v>
          </cell>
          <cell r="N63">
            <v>0</v>
          </cell>
        </row>
        <row r="64">
          <cell r="C64">
            <v>5.0999999999999996</v>
          </cell>
          <cell r="D64">
            <v>27.773265580596355</v>
          </cell>
          <cell r="I64">
            <v>6</v>
          </cell>
          <cell r="N64">
            <v>0.19267669652269426</v>
          </cell>
        </row>
        <row r="65">
          <cell r="C65">
            <v>8.5</v>
          </cell>
          <cell r="D65">
            <v>34.250806171891597</v>
          </cell>
          <cell r="I65">
            <v>6</v>
          </cell>
          <cell r="N65">
            <v>0.70232068556910843</v>
          </cell>
        </row>
        <row r="66">
          <cell r="C66">
            <v>12.75</v>
          </cell>
          <cell r="D66">
            <v>39.661158518499626</v>
          </cell>
          <cell r="I66">
            <v>6</v>
          </cell>
          <cell r="N66">
            <v>1.1883428916839716</v>
          </cell>
        </row>
        <row r="67">
          <cell r="C67">
            <v>17</v>
          </cell>
          <cell r="D67">
            <v>43.535389560453282</v>
          </cell>
          <cell r="I67">
            <v>6</v>
          </cell>
          <cell r="N67">
            <v>1.653959520897577</v>
          </cell>
        </row>
        <row r="68">
          <cell r="C68">
            <v>25.5</v>
          </cell>
          <cell r="D68">
            <v>49.178590903134719</v>
          </cell>
          <cell r="I68">
            <v>6</v>
          </cell>
          <cell r="N68">
            <v>2.4741487993894928</v>
          </cell>
        </row>
        <row r="69">
          <cell r="C69">
            <v>34</v>
          </cell>
          <cell r="D69">
            <v>53.226994578658328</v>
          </cell>
          <cell r="I69">
            <v>5</v>
          </cell>
          <cell r="J69">
            <v>1</v>
          </cell>
          <cell r="N69">
            <v>3.1142606863941475</v>
          </cell>
          <cell r="O69">
            <v>0</v>
          </cell>
        </row>
        <row r="70">
          <cell r="C70">
            <v>51</v>
          </cell>
          <cell r="D70">
            <v>59.016342740868758</v>
          </cell>
          <cell r="I70">
            <v>4</v>
          </cell>
          <cell r="J70">
            <v>2</v>
          </cell>
          <cell r="N70">
            <v>3.6754923015801979</v>
          </cell>
          <cell r="O70">
            <v>0.78513108697634304</v>
          </cell>
        </row>
        <row r="71">
          <cell r="C71">
            <v>76.5</v>
          </cell>
          <cell r="D71">
            <v>64.781009552500748</v>
          </cell>
          <cell r="I71">
            <v>3</v>
          </cell>
          <cell r="J71">
            <v>3</v>
          </cell>
          <cell r="N71">
            <v>4.0641300960881974</v>
          </cell>
          <cell r="O71">
            <v>2.7539032199724485</v>
          </cell>
        </row>
        <row r="72">
          <cell r="C72">
            <v>102</v>
          </cell>
          <cell r="D72">
            <v>68.923431594456531</v>
          </cell>
          <cell r="I72">
            <v>2</v>
          </cell>
          <cell r="J72">
            <v>4</v>
          </cell>
          <cell r="N72">
            <v>4.4087554283024417</v>
          </cell>
          <cell r="O72">
            <v>3.2215195092916113</v>
          </cell>
        </row>
        <row r="73">
          <cell r="C73">
            <v>127.5</v>
          </cell>
          <cell r="D73">
            <v>72.103942950990486</v>
          </cell>
          <cell r="I73">
            <v>1</v>
          </cell>
          <cell r="J73">
            <v>5</v>
          </cell>
          <cell r="N73">
            <v>4.7104647364651591</v>
          </cell>
          <cell r="O73">
            <v>3.3131022510032468</v>
          </cell>
        </row>
        <row r="74">
          <cell r="C74">
            <v>153</v>
          </cell>
          <cell r="D74">
            <v>74.74003809013405</v>
          </cell>
          <cell r="I74">
            <v>0.5</v>
          </cell>
          <cell r="J74">
            <v>5.5</v>
          </cell>
          <cell r="N74">
            <v>5.0010869039450361</v>
          </cell>
          <cell r="O74">
            <v>3.5642696938186416</v>
          </cell>
        </row>
        <row r="75">
          <cell r="C75">
            <v>187</v>
          </cell>
          <cell r="D75">
            <v>77.609642525433856</v>
          </cell>
          <cell r="J75">
            <v>6</v>
          </cell>
          <cell r="O75">
            <v>3.943805617628612</v>
          </cell>
        </row>
        <row r="76">
          <cell r="C76">
            <v>221</v>
          </cell>
          <cell r="D76">
            <v>79.994335665275713</v>
          </cell>
          <cell r="J76">
            <v>6</v>
          </cell>
          <cell r="O76">
            <v>4.5790528363518757</v>
          </cell>
        </row>
        <row r="77">
          <cell r="C77">
            <v>255</v>
          </cell>
          <cell r="D77">
            <v>82.100546804797787</v>
          </cell>
          <cell r="J77">
            <v>6</v>
          </cell>
          <cell r="O77">
            <v>5.1459428419746001</v>
          </cell>
        </row>
        <row r="78">
          <cell r="C78">
            <v>289</v>
          </cell>
          <cell r="D78">
            <v>83.885420957389968</v>
          </cell>
          <cell r="J78">
            <v>6</v>
          </cell>
          <cell r="O78">
            <v>5.551758238011117</v>
          </cell>
        </row>
        <row r="79">
          <cell r="C79">
            <v>340</v>
          </cell>
          <cell r="D79">
            <v>86.247032860782397</v>
          </cell>
          <cell r="J79">
            <v>6</v>
          </cell>
          <cell r="O79">
            <v>6.1535692191017892</v>
          </cell>
        </row>
        <row r="80">
          <cell r="C80">
            <v>442</v>
          </cell>
          <cell r="D80">
            <v>90.122782504866933</v>
          </cell>
          <cell r="J80">
            <v>6</v>
          </cell>
          <cell r="O80">
            <v>7.1446025137701881</v>
          </cell>
        </row>
        <row r="81">
          <cell r="C81">
            <v>544</v>
          </cell>
          <cell r="D81">
            <v>93.149045658279036</v>
          </cell>
          <cell r="J81">
            <v>6</v>
          </cell>
          <cell r="O81">
            <v>7.7118886473333328</v>
          </cell>
        </row>
        <row r="82">
          <cell r="C82">
            <v>697</v>
          </cell>
          <cell r="D82">
            <v>96.770480813454071</v>
          </cell>
          <cell r="J82">
            <v>6</v>
          </cell>
          <cell r="O82">
            <v>8</v>
          </cell>
        </row>
        <row r="83">
          <cell r="C83">
            <v>901</v>
          </cell>
          <cell r="D83">
            <v>100.40175326279811</v>
          </cell>
          <cell r="J83">
            <v>6</v>
          </cell>
          <cell r="O83">
            <v>8</v>
          </cell>
        </row>
        <row r="84">
          <cell r="C84">
            <v>1156</v>
          </cell>
          <cell r="D84">
            <v>104.06236366727887</v>
          </cell>
          <cell r="J84">
            <v>6</v>
          </cell>
          <cell r="O84">
            <v>8</v>
          </cell>
        </row>
        <row r="85">
          <cell r="C85">
            <v>1462</v>
          </cell>
          <cell r="D85">
            <v>107.42257994053838</v>
          </cell>
          <cell r="J85">
            <v>6</v>
          </cell>
          <cell r="O85">
            <v>8</v>
          </cell>
        </row>
        <row r="86">
          <cell r="C86">
            <v>1870</v>
          </cell>
          <cell r="D86">
            <v>111.00691759243479</v>
          </cell>
          <cell r="J86">
            <v>6</v>
          </cell>
          <cell r="O86">
            <v>8</v>
          </cell>
        </row>
        <row r="87">
          <cell r="C87">
            <v>2380</v>
          </cell>
          <cell r="D87">
            <v>114.47614359759058</v>
          </cell>
          <cell r="J87">
            <v>6</v>
          </cell>
          <cell r="O87">
            <v>8</v>
          </cell>
        </row>
        <row r="88">
          <cell r="C88">
            <v>3043</v>
          </cell>
          <cell r="D88">
            <v>118.05724034557241</v>
          </cell>
          <cell r="J88">
            <v>6</v>
          </cell>
          <cell r="O88">
            <v>8</v>
          </cell>
        </row>
        <row r="89">
          <cell r="C89">
            <v>3859</v>
          </cell>
          <cell r="D89">
            <v>121.49411884885473</v>
          </cell>
          <cell r="J89">
            <v>6</v>
          </cell>
          <cell r="O89">
            <v>8</v>
          </cell>
        </row>
        <row r="90">
          <cell r="C90">
            <v>4930</v>
          </cell>
          <cell r="D90">
            <v>125.03100311549058</v>
          </cell>
          <cell r="J90">
            <v>6</v>
          </cell>
          <cell r="O90">
            <v>8</v>
          </cell>
        </row>
        <row r="91">
          <cell r="C91">
            <v>6307</v>
          </cell>
          <cell r="D91">
            <v>128.62542789463421</v>
          </cell>
          <cell r="J91">
            <v>6</v>
          </cell>
          <cell r="O91">
            <v>8</v>
          </cell>
        </row>
        <row r="92">
          <cell r="C92">
            <v>8041</v>
          </cell>
          <cell r="D92">
            <v>132.09902390525281</v>
          </cell>
          <cell r="J92">
            <v>6</v>
          </cell>
          <cell r="O92">
            <v>8</v>
          </cell>
        </row>
        <row r="93">
          <cell r="C93">
            <v>10234</v>
          </cell>
          <cell r="D93">
            <v>135.61521761503846</v>
          </cell>
          <cell r="J93">
            <v>6</v>
          </cell>
          <cell r="O93">
            <v>8</v>
          </cell>
        </row>
        <row r="94">
          <cell r="C94">
            <v>13039</v>
          </cell>
          <cell r="D94">
            <v>139.08794136138388</v>
          </cell>
          <cell r="J94">
            <v>6</v>
          </cell>
          <cell r="O94">
            <v>8</v>
          </cell>
        </row>
        <row r="95">
          <cell r="C95">
            <v>16609</v>
          </cell>
          <cell r="D95">
            <v>142.60670974426387</v>
          </cell>
          <cell r="J95">
            <v>6</v>
          </cell>
          <cell r="O95">
            <v>8</v>
          </cell>
        </row>
        <row r="96">
          <cell r="C96">
            <v>21148</v>
          </cell>
          <cell r="D96">
            <v>146.07830147206653</v>
          </cell>
          <cell r="J96">
            <v>6</v>
          </cell>
          <cell r="O96">
            <v>8</v>
          </cell>
        </row>
        <row r="97">
          <cell r="C97">
            <v>26962</v>
          </cell>
          <cell r="D97">
            <v>149.61701338734093</v>
          </cell>
          <cell r="J97">
            <v>6</v>
          </cell>
          <cell r="O97">
            <v>8</v>
          </cell>
        </row>
        <row r="98">
          <cell r="C98">
            <v>34357</v>
          </cell>
          <cell r="D98">
            <v>153.01012120353457</v>
          </cell>
          <cell r="J98">
            <v>6</v>
          </cell>
          <cell r="O98">
            <v>8</v>
          </cell>
        </row>
        <row r="99">
          <cell r="C99">
            <v>43792</v>
          </cell>
          <cell r="D99">
            <v>154.95970315183646</v>
          </cell>
          <cell r="J99">
            <v>6</v>
          </cell>
          <cell r="O99">
            <v>8</v>
          </cell>
        </row>
        <row r="100">
          <cell r="C100">
            <v>55675</v>
          </cell>
          <cell r="D100">
            <v>157.63974470288184</v>
          </cell>
          <cell r="J100">
            <v>6</v>
          </cell>
          <cell r="O100">
            <v>8</v>
          </cell>
        </row>
        <row r="107">
          <cell r="C107">
            <v>0.7</v>
          </cell>
          <cell r="D107">
            <v>10.099965341977441</v>
          </cell>
          <cell r="H107">
            <v>2</v>
          </cell>
          <cell r="I107">
            <v>4</v>
          </cell>
          <cell r="M107">
            <v>1.0326149957378159</v>
          </cell>
          <cell r="N107">
            <v>0</v>
          </cell>
        </row>
        <row r="108">
          <cell r="C108">
            <v>2.0999999999999996</v>
          </cell>
          <cell r="D108">
            <v>19.800198258084681</v>
          </cell>
          <cell r="I108">
            <v>6</v>
          </cell>
          <cell r="N108">
            <v>0</v>
          </cell>
        </row>
        <row r="109">
          <cell r="C109">
            <v>4.1999999999999993</v>
          </cell>
          <cell r="D109">
            <v>27.769105021676069</v>
          </cell>
          <cell r="I109">
            <v>6</v>
          </cell>
          <cell r="N109">
            <v>0.50487719990469726</v>
          </cell>
        </row>
        <row r="110">
          <cell r="C110">
            <v>7</v>
          </cell>
          <cell r="D110">
            <v>34.192155176139416</v>
          </cell>
          <cell r="I110">
            <v>6</v>
          </cell>
          <cell r="N110">
            <v>1.2365341482786838</v>
          </cell>
        </row>
        <row r="111">
          <cell r="C111">
            <v>10.5</v>
          </cell>
          <cell r="D111">
            <v>39.631851677253941</v>
          </cell>
          <cell r="I111">
            <v>6</v>
          </cell>
          <cell r="N111">
            <v>1.9019352566302885</v>
          </cell>
        </row>
        <row r="112">
          <cell r="C112">
            <v>14</v>
          </cell>
          <cell r="D112">
            <v>43.484929789964411</v>
          </cell>
          <cell r="I112">
            <v>6</v>
          </cell>
          <cell r="N112">
            <v>2.5436151871782715</v>
          </cell>
        </row>
        <row r="113">
          <cell r="C113">
            <v>21</v>
          </cell>
          <cell r="D113">
            <v>49.18886033229559</v>
          </cell>
          <cell r="I113">
            <v>6</v>
          </cell>
          <cell r="N113">
            <v>3.3045105408802526</v>
          </cell>
        </row>
        <row r="114">
          <cell r="C114">
            <v>28</v>
          </cell>
          <cell r="D114">
            <v>53.212684955585161</v>
          </cell>
          <cell r="I114">
            <v>5</v>
          </cell>
          <cell r="J114">
            <v>1</v>
          </cell>
          <cell r="N114">
            <v>3.7809358891243576</v>
          </cell>
          <cell r="O114">
            <v>0</v>
          </cell>
        </row>
        <row r="115">
          <cell r="C115">
            <v>42</v>
          </cell>
          <cell r="D115">
            <v>59.09095196730258</v>
          </cell>
          <cell r="I115">
            <v>4</v>
          </cell>
          <cell r="J115">
            <v>2</v>
          </cell>
          <cell r="N115">
            <v>4.4981936992670777</v>
          </cell>
          <cell r="O115">
            <v>1.0433467237278569</v>
          </cell>
        </row>
        <row r="116">
          <cell r="C116">
            <v>62.999999999999993</v>
          </cell>
          <cell r="D116">
            <v>64.819145630244321</v>
          </cell>
          <cell r="I116">
            <v>3</v>
          </cell>
          <cell r="J116">
            <v>3</v>
          </cell>
          <cell r="N116">
            <v>4.9699331003486034</v>
          </cell>
          <cell r="O116">
            <v>3.1674499453884692</v>
          </cell>
        </row>
        <row r="117">
          <cell r="C117">
            <v>84</v>
          </cell>
          <cell r="D117">
            <v>69.01697485309198</v>
          </cell>
          <cell r="I117">
            <v>2</v>
          </cell>
          <cell r="J117">
            <v>4</v>
          </cell>
          <cell r="N117">
            <v>5.2834892943641778</v>
          </cell>
          <cell r="O117">
            <v>3.6930773774846344</v>
          </cell>
        </row>
        <row r="118">
          <cell r="C118">
            <v>105</v>
          </cell>
          <cell r="D118">
            <v>72.23150684883845</v>
          </cell>
          <cell r="I118">
            <v>1</v>
          </cell>
          <cell r="J118">
            <v>5</v>
          </cell>
          <cell r="N118">
            <v>5.5494928387544045</v>
          </cell>
          <cell r="O118">
            <v>3.8789741301339893</v>
          </cell>
        </row>
        <row r="119">
          <cell r="C119">
            <v>125.99999999999999</v>
          </cell>
          <cell r="D119">
            <v>74.840792411391348</v>
          </cell>
          <cell r="I119">
            <v>0.5</v>
          </cell>
          <cell r="J119">
            <v>5.5</v>
          </cell>
          <cell r="N119">
            <v>5.7932570276018689</v>
          </cell>
          <cell r="O119">
            <v>4.2061459833252215</v>
          </cell>
        </row>
        <row r="120">
          <cell r="C120">
            <v>154</v>
          </cell>
          <cell r="D120">
            <v>77.697893604818219</v>
          </cell>
          <cell r="J120">
            <v>6</v>
          </cell>
          <cell r="O120">
            <v>4.6655437804667841</v>
          </cell>
        </row>
        <row r="121">
          <cell r="C121">
            <v>182</v>
          </cell>
          <cell r="D121">
            <v>80.134867890916794</v>
          </cell>
          <cell r="J121">
            <v>6</v>
          </cell>
          <cell r="O121">
            <v>5.2364976406316144</v>
          </cell>
        </row>
        <row r="122">
          <cell r="C122">
            <v>210</v>
          </cell>
          <cell r="D122">
            <v>82.238672852681816</v>
          </cell>
          <cell r="J122">
            <v>6</v>
          </cell>
          <cell r="O122">
            <v>5.7481389093589303</v>
          </cell>
        </row>
        <row r="123">
          <cell r="C123">
            <v>237.99999999999997</v>
          </cell>
          <cell r="D123">
            <v>84.043767921022209</v>
          </cell>
          <cell r="J123">
            <v>6</v>
          </cell>
          <cell r="O123">
            <v>6.2348727916122204</v>
          </cell>
        </row>
        <row r="124">
          <cell r="C124">
            <v>280</v>
          </cell>
          <cell r="D124">
            <v>86.385105215793828</v>
          </cell>
          <cell r="J124">
            <v>6</v>
          </cell>
          <cell r="O124">
            <v>6.9567357183278178</v>
          </cell>
        </row>
        <row r="125">
          <cell r="C125">
            <v>364</v>
          </cell>
          <cell r="D125">
            <v>90.406191748048585</v>
          </cell>
          <cell r="J125">
            <v>6</v>
          </cell>
          <cell r="O125">
            <v>7.9800670580097339</v>
          </cell>
        </row>
        <row r="126">
          <cell r="C126">
            <v>448</v>
          </cell>
          <cell r="D126">
            <v>93.471491811086082</v>
          </cell>
          <cell r="J126">
            <v>6</v>
          </cell>
          <cell r="O126">
            <v>8</v>
          </cell>
        </row>
        <row r="127">
          <cell r="C127">
            <v>574</v>
          </cell>
          <cell r="D127">
            <v>97.107381566993553</v>
          </cell>
          <cell r="J127">
            <v>6</v>
          </cell>
          <cell r="O127">
            <v>8</v>
          </cell>
        </row>
        <row r="128">
          <cell r="C128">
            <v>742</v>
          </cell>
          <cell r="D128">
            <v>100.71243145193914</v>
          </cell>
          <cell r="J128">
            <v>6</v>
          </cell>
          <cell r="O128">
            <v>8</v>
          </cell>
        </row>
        <row r="129">
          <cell r="C129">
            <v>951.99999999999989</v>
          </cell>
          <cell r="D129">
            <v>104.39233713204413</v>
          </cell>
          <cell r="J129">
            <v>6</v>
          </cell>
          <cell r="O129">
            <v>8</v>
          </cell>
        </row>
        <row r="130">
          <cell r="C130">
            <v>1204</v>
          </cell>
          <cell r="D130">
            <v>107.81562240612369</v>
          </cell>
          <cell r="J130">
            <v>6</v>
          </cell>
          <cell r="O130">
            <v>8</v>
          </cell>
        </row>
        <row r="131">
          <cell r="C131">
            <v>1540</v>
          </cell>
          <cell r="D131">
            <v>111.36292001894914</v>
          </cell>
          <cell r="J131">
            <v>6</v>
          </cell>
          <cell r="O131">
            <v>8</v>
          </cell>
        </row>
        <row r="132">
          <cell r="C132">
            <v>1959.9999999999998</v>
          </cell>
          <cell r="D132">
            <v>114.91934497223426</v>
          </cell>
          <cell r="J132">
            <v>6</v>
          </cell>
          <cell r="O132">
            <v>8</v>
          </cell>
        </row>
        <row r="133">
          <cell r="C133">
            <v>2506</v>
          </cell>
          <cell r="D133">
            <v>118.44741987029688</v>
          </cell>
          <cell r="J133">
            <v>6</v>
          </cell>
          <cell r="O133">
            <v>8</v>
          </cell>
        </row>
        <row r="134">
          <cell r="C134">
            <v>3178</v>
          </cell>
          <cell r="D134">
            <v>121.97211685892326</v>
          </cell>
          <cell r="J134">
            <v>6</v>
          </cell>
          <cell r="O134">
            <v>8</v>
          </cell>
        </row>
        <row r="135">
          <cell r="C135">
            <v>4059.9999999999995</v>
          </cell>
          <cell r="D135">
            <v>125.41953077529134</v>
          </cell>
          <cell r="J135">
            <v>6</v>
          </cell>
          <cell r="O135">
            <v>8</v>
          </cell>
        </row>
        <row r="136">
          <cell r="C136">
            <v>5194</v>
          </cell>
          <cell r="D136">
            <v>129.09045404756728</v>
          </cell>
          <cell r="J136">
            <v>6</v>
          </cell>
          <cell r="O136">
            <v>8</v>
          </cell>
        </row>
        <row r="137">
          <cell r="C137">
            <v>6622</v>
          </cell>
          <cell r="D137">
            <v>132.53488795708068</v>
          </cell>
          <cell r="J137">
            <v>6</v>
          </cell>
          <cell r="O137">
            <v>8</v>
          </cell>
        </row>
        <row r="138">
          <cell r="C138">
            <v>8428</v>
          </cell>
          <cell r="D138">
            <v>136.07141427598387</v>
          </cell>
          <cell r="J138">
            <v>6</v>
          </cell>
          <cell r="O138">
            <v>8</v>
          </cell>
        </row>
        <row r="139">
          <cell r="C139">
            <v>10738</v>
          </cell>
          <cell r="D139">
            <v>139.56936219880694</v>
          </cell>
          <cell r="J139">
            <v>6</v>
          </cell>
          <cell r="O139">
            <v>8</v>
          </cell>
        </row>
        <row r="140">
          <cell r="C140">
            <v>13678</v>
          </cell>
          <cell r="D140">
            <v>143.08413721822018</v>
          </cell>
          <cell r="J140">
            <v>6</v>
          </cell>
          <cell r="O140">
            <v>8</v>
          </cell>
        </row>
        <row r="141">
          <cell r="C141">
            <v>17416</v>
          </cell>
          <cell r="D141">
            <v>146.62302564097175</v>
          </cell>
          <cell r="J141">
            <v>6</v>
          </cell>
          <cell r="O141">
            <v>8</v>
          </cell>
        </row>
        <row r="142">
          <cell r="C142">
            <v>22204</v>
          </cell>
          <cell r="D142">
            <v>150.12999034316616</v>
          </cell>
          <cell r="J142">
            <v>6</v>
          </cell>
          <cell r="O142">
            <v>8</v>
          </cell>
        </row>
        <row r="143">
          <cell r="C143">
            <v>28294</v>
          </cell>
          <cell r="D143">
            <v>153.11600330857166</v>
          </cell>
          <cell r="J143">
            <v>6</v>
          </cell>
          <cell r="O143">
            <v>8</v>
          </cell>
        </row>
        <row r="144">
          <cell r="C144">
            <v>36064</v>
          </cell>
          <cell r="D144">
            <v>154.20294442048996</v>
          </cell>
          <cell r="J144">
            <v>6</v>
          </cell>
          <cell r="O144">
            <v>8</v>
          </cell>
        </row>
        <row r="145">
          <cell r="C145">
            <v>45850</v>
          </cell>
          <cell r="D145">
            <v>155.2512378743358</v>
          </cell>
          <cell r="J145">
            <v>6</v>
          </cell>
          <cell r="O145">
            <v>8</v>
          </cell>
        </row>
        <row r="152">
          <cell r="C152">
            <v>0.5</v>
          </cell>
          <cell r="D152">
            <v>10.00263241450434</v>
          </cell>
          <cell r="I152">
            <v>6</v>
          </cell>
          <cell r="N152">
            <v>0</v>
          </cell>
        </row>
        <row r="153">
          <cell r="C153">
            <v>1.5</v>
          </cell>
          <cell r="D153">
            <v>19.43005414991557</v>
          </cell>
          <cell r="I153">
            <v>6</v>
          </cell>
          <cell r="N153">
            <v>0.2881216723694302</v>
          </cell>
        </row>
        <row r="154">
          <cell r="C154">
            <v>3</v>
          </cell>
          <cell r="D154">
            <v>27.324610510337703</v>
          </cell>
          <cell r="I154">
            <v>6</v>
          </cell>
          <cell r="N154">
            <v>1.1562389193142368</v>
          </cell>
        </row>
        <row r="155">
          <cell r="C155">
            <v>5</v>
          </cell>
          <cell r="D155">
            <v>33.672145166817529</v>
          </cell>
          <cell r="I155">
            <v>6</v>
          </cell>
          <cell r="N155">
            <v>2.2705780229974541</v>
          </cell>
        </row>
        <row r="156">
          <cell r="C156">
            <v>7.5</v>
          </cell>
          <cell r="D156">
            <v>39.138098927718012</v>
          </cell>
          <cell r="I156">
            <v>6</v>
          </cell>
          <cell r="N156">
            <v>3.3016174378919372</v>
          </cell>
        </row>
        <row r="157">
          <cell r="C157">
            <v>10</v>
          </cell>
          <cell r="D157">
            <v>42.970748198558951</v>
          </cell>
          <cell r="I157">
            <v>6</v>
          </cell>
          <cell r="N157">
            <v>3.9013933796273426</v>
          </cell>
        </row>
        <row r="158">
          <cell r="C158">
            <v>15</v>
          </cell>
          <cell r="D158">
            <v>48.731413734867289</v>
          </cell>
          <cell r="I158">
            <v>6</v>
          </cell>
          <cell r="N158">
            <v>4.9339480100489519</v>
          </cell>
        </row>
        <row r="159">
          <cell r="C159">
            <v>20</v>
          </cell>
          <cell r="D159">
            <v>52.769987980532711</v>
          </cell>
          <cell r="I159">
            <v>5</v>
          </cell>
          <cell r="J159">
            <v>1</v>
          </cell>
          <cell r="N159">
            <v>5.5130796727785496</v>
          </cell>
          <cell r="O159">
            <v>0.4961190038417973</v>
          </cell>
        </row>
        <row r="160">
          <cell r="C160">
            <v>30</v>
          </cell>
          <cell r="D160">
            <v>58.701446767877648</v>
          </cell>
          <cell r="I160">
            <v>4</v>
          </cell>
          <cell r="J160">
            <v>2</v>
          </cell>
          <cell r="N160">
            <v>6.3050759788193709</v>
          </cell>
          <cell r="O160">
            <v>2.0144863309688246</v>
          </cell>
        </row>
        <row r="161">
          <cell r="C161">
            <v>45</v>
          </cell>
          <cell r="D161">
            <v>64.399012521055653</v>
          </cell>
          <cell r="I161">
            <v>3</v>
          </cell>
          <cell r="J161">
            <v>3</v>
          </cell>
          <cell r="N161">
            <v>6.8212092060373228</v>
          </cell>
          <cell r="O161">
            <v>4.2863004907422919</v>
          </cell>
        </row>
        <row r="162">
          <cell r="C162">
            <v>60</v>
          </cell>
          <cell r="D162">
            <v>68.627579426319684</v>
          </cell>
          <cell r="I162">
            <v>2</v>
          </cell>
          <cell r="J162">
            <v>4</v>
          </cell>
          <cell r="N162">
            <v>7.2386458819816148</v>
          </cell>
          <cell r="O162">
            <v>5.0713442011257754</v>
          </cell>
        </row>
        <row r="163">
          <cell r="C163">
            <v>75</v>
          </cell>
          <cell r="D163">
            <v>71.882008108111634</v>
          </cell>
          <cell r="I163">
            <v>1</v>
          </cell>
          <cell r="J163">
            <v>5</v>
          </cell>
          <cell r="N163">
            <v>7.5985625950208622</v>
          </cell>
          <cell r="O163">
            <v>5.3668625164453632</v>
          </cell>
        </row>
        <row r="164">
          <cell r="C164">
            <v>90</v>
          </cell>
          <cell r="D164">
            <v>74.493385467679886</v>
          </cell>
          <cell r="I164">
            <v>0.5</v>
          </cell>
          <cell r="J164">
            <v>5.5</v>
          </cell>
          <cell r="N164">
            <v>7.9381183123196752</v>
          </cell>
          <cell r="O164">
            <v>5.8102569844324226</v>
          </cell>
        </row>
        <row r="165">
          <cell r="C165">
            <v>110</v>
          </cell>
          <cell r="D165">
            <v>77.332919927503724</v>
          </cell>
          <cell r="J165">
            <v>6</v>
          </cell>
          <cell r="O165">
            <v>6.3496907222445262</v>
          </cell>
        </row>
        <row r="166">
          <cell r="C166">
            <v>130</v>
          </cell>
          <cell r="D166">
            <v>79.813360188853366</v>
          </cell>
          <cell r="J166">
            <v>6</v>
          </cell>
          <cell r="O166">
            <v>7.0939455011047023</v>
          </cell>
        </row>
        <row r="167">
          <cell r="C167">
            <v>150</v>
          </cell>
          <cell r="D167">
            <v>81.919202803497143</v>
          </cell>
          <cell r="J167">
            <v>6</v>
          </cell>
          <cell r="O167">
            <v>7.6811033029454014</v>
          </cell>
        </row>
        <row r="168">
          <cell r="C168">
            <v>170</v>
          </cell>
          <cell r="D168">
            <v>83.738783536778797</v>
          </cell>
          <cell r="J168">
            <v>6</v>
          </cell>
          <cell r="O168">
            <v>8</v>
          </cell>
        </row>
        <row r="169">
          <cell r="C169">
            <v>200</v>
          </cell>
          <cell r="D169">
            <v>86.045919706798657</v>
          </cell>
          <cell r="J169">
            <v>6</v>
          </cell>
          <cell r="O169">
            <v>8</v>
          </cell>
        </row>
        <row r="170">
          <cell r="C170">
            <v>260</v>
          </cell>
          <cell r="D170">
            <v>90.288435080379244</v>
          </cell>
          <cell r="J170">
            <v>6</v>
          </cell>
          <cell r="O170">
            <v>8</v>
          </cell>
        </row>
        <row r="171">
          <cell r="C171">
            <v>320</v>
          </cell>
          <cell r="D171">
            <v>93.400072017025948</v>
          </cell>
          <cell r="J171">
            <v>6</v>
          </cell>
          <cell r="O171">
            <v>8</v>
          </cell>
        </row>
        <row r="172">
          <cell r="C172">
            <v>410</v>
          </cell>
          <cell r="D172">
            <v>97.006001686863456</v>
          </cell>
          <cell r="J172">
            <v>6</v>
          </cell>
          <cell r="O172">
            <v>8</v>
          </cell>
        </row>
        <row r="173">
          <cell r="C173">
            <v>530</v>
          </cell>
          <cell r="D173">
            <v>100.64473135315967</v>
          </cell>
          <cell r="J173">
            <v>6</v>
          </cell>
          <cell r="O173">
            <v>8</v>
          </cell>
        </row>
        <row r="174">
          <cell r="C174">
            <v>680</v>
          </cell>
          <cell r="D174">
            <v>104.30731379164318</v>
          </cell>
          <cell r="J174">
            <v>6</v>
          </cell>
          <cell r="O174">
            <v>8</v>
          </cell>
        </row>
        <row r="175">
          <cell r="C175">
            <v>860</v>
          </cell>
          <cell r="D175">
            <v>107.78950972208385</v>
          </cell>
          <cell r="J175">
            <v>6</v>
          </cell>
          <cell r="O175">
            <v>8</v>
          </cell>
        </row>
        <row r="176">
          <cell r="C176">
            <v>1100</v>
          </cell>
          <cell r="D176">
            <v>111.29737083030383</v>
          </cell>
          <cell r="J176">
            <v>6</v>
          </cell>
          <cell r="O176">
            <v>8</v>
          </cell>
        </row>
        <row r="177">
          <cell r="C177">
            <v>1400</v>
          </cell>
          <cell r="D177">
            <v>114.91888401282834</v>
          </cell>
          <cell r="J177">
            <v>6</v>
          </cell>
          <cell r="O177">
            <v>8</v>
          </cell>
        </row>
        <row r="178">
          <cell r="C178">
            <v>1790</v>
          </cell>
          <cell r="D178">
            <v>118.4172728380062</v>
          </cell>
          <cell r="J178">
            <v>6</v>
          </cell>
          <cell r="O178">
            <v>8</v>
          </cell>
        </row>
        <row r="179">
          <cell r="C179">
            <v>2270</v>
          </cell>
          <cell r="D179">
            <v>121.99245722798884</v>
          </cell>
          <cell r="J179">
            <v>6</v>
          </cell>
          <cell r="O179">
            <v>8</v>
          </cell>
        </row>
        <row r="180">
          <cell r="C180">
            <v>2900</v>
          </cell>
          <cell r="D180">
            <v>125.43876546297123</v>
          </cell>
          <cell r="J180">
            <v>6</v>
          </cell>
          <cell r="O180">
            <v>8</v>
          </cell>
        </row>
        <row r="181">
          <cell r="C181">
            <v>3710</v>
          </cell>
          <cell r="D181">
            <v>129.12105302323599</v>
          </cell>
          <cell r="J181">
            <v>6</v>
          </cell>
          <cell r="O181">
            <v>8</v>
          </cell>
        </row>
        <row r="182">
          <cell r="C182">
            <v>4730</v>
          </cell>
          <cell r="D182">
            <v>132.61179169042359</v>
          </cell>
          <cell r="J182">
            <v>6</v>
          </cell>
          <cell r="O182">
            <v>8</v>
          </cell>
        </row>
        <row r="183">
          <cell r="C183">
            <v>6020</v>
          </cell>
          <cell r="D183">
            <v>136.12035534953262</v>
          </cell>
          <cell r="J183">
            <v>6</v>
          </cell>
          <cell r="O183">
            <v>8</v>
          </cell>
        </row>
        <row r="184">
          <cell r="C184">
            <v>7670</v>
          </cell>
          <cell r="D184">
            <v>139.6793621861803</v>
          </cell>
          <cell r="J184">
            <v>6</v>
          </cell>
          <cell r="O184">
            <v>8</v>
          </cell>
        </row>
        <row r="185">
          <cell r="C185">
            <v>9770</v>
          </cell>
          <cell r="D185">
            <v>143.14123736077869</v>
          </cell>
          <cell r="J185">
            <v>6</v>
          </cell>
          <cell r="O185">
            <v>8</v>
          </cell>
        </row>
        <row r="186">
          <cell r="C186">
            <v>12440</v>
          </cell>
          <cell r="D186">
            <v>146.75578521325724</v>
          </cell>
          <cell r="J186">
            <v>6</v>
          </cell>
          <cell r="O186">
            <v>8</v>
          </cell>
        </row>
        <row r="187">
          <cell r="C187">
            <v>15860</v>
          </cell>
          <cell r="D187">
            <v>150.21349802228445</v>
          </cell>
          <cell r="J187">
            <v>6</v>
          </cell>
          <cell r="O187">
            <v>8</v>
          </cell>
        </row>
        <row r="188">
          <cell r="C188">
            <v>20210</v>
          </cell>
          <cell r="D188">
            <v>152.32856849044819</v>
          </cell>
          <cell r="J188">
            <v>6</v>
          </cell>
          <cell r="O188">
            <v>8</v>
          </cell>
        </row>
        <row r="189">
          <cell r="C189">
            <v>25760</v>
          </cell>
          <cell r="D189">
            <v>153.15627769682186</v>
          </cell>
          <cell r="J189">
            <v>6</v>
          </cell>
          <cell r="O189">
            <v>8</v>
          </cell>
        </row>
        <row r="190">
          <cell r="C190">
            <v>32750</v>
          </cell>
          <cell r="D190">
            <v>153.85863088955028</v>
          </cell>
          <cell r="J190">
            <v>6</v>
          </cell>
          <cell r="O190">
            <v>8</v>
          </cell>
        </row>
        <row r="197">
          <cell r="C197">
            <v>0.27500000000000002</v>
          </cell>
          <cell r="D197">
            <v>10.040470049930473</v>
          </cell>
          <cell r="I197">
            <v>6</v>
          </cell>
          <cell r="N197">
            <v>0</v>
          </cell>
        </row>
        <row r="198">
          <cell r="C198">
            <v>0.82500000000000007</v>
          </cell>
          <cell r="D198">
            <v>19.288856680060892</v>
          </cell>
          <cell r="I198">
            <v>6</v>
          </cell>
          <cell r="N198">
            <v>0.56217053029943909</v>
          </cell>
        </row>
        <row r="199">
          <cell r="C199">
            <v>1.6500000000000001</v>
          </cell>
          <cell r="D199">
            <v>27.144641112884834</v>
          </cell>
          <cell r="I199">
            <v>6</v>
          </cell>
          <cell r="N199">
            <v>1.4845642658755764</v>
          </cell>
        </row>
        <row r="200">
          <cell r="C200">
            <v>2.75</v>
          </cell>
          <cell r="D200">
            <v>33.399598377161809</v>
          </cell>
          <cell r="I200">
            <v>6</v>
          </cell>
          <cell r="N200">
            <v>2.4973800712743328</v>
          </cell>
        </row>
        <row r="201">
          <cell r="C201">
            <v>4.125</v>
          </cell>
          <cell r="D201">
            <v>38.848984787984186</v>
          </cell>
          <cell r="I201">
            <v>6</v>
          </cell>
          <cell r="N201">
            <v>3.3618865238020277</v>
          </cell>
        </row>
        <row r="202">
          <cell r="C202">
            <v>5.5</v>
          </cell>
          <cell r="D202">
            <v>42.643360270022924</v>
          </cell>
          <cell r="I202">
            <v>6</v>
          </cell>
          <cell r="N202">
            <v>3.9628973560014482</v>
          </cell>
        </row>
        <row r="203">
          <cell r="C203">
            <v>8.25</v>
          </cell>
          <cell r="D203">
            <v>48.493134765265182</v>
          </cell>
          <cell r="I203">
            <v>6</v>
          </cell>
          <cell r="N203">
            <v>5.029482388135496</v>
          </cell>
        </row>
        <row r="204">
          <cell r="C204">
            <v>11</v>
          </cell>
          <cell r="D204">
            <v>52.559419343629337</v>
          </cell>
          <cell r="I204">
            <v>5</v>
          </cell>
          <cell r="J204">
            <v>1</v>
          </cell>
          <cell r="N204">
            <v>5.6824425510243763</v>
          </cell>
          <cell r="O204">
            <v>0.73795613038542918</v>
          </cell>
        </row>
        <row r="205">
          <cell r="C205">
            <v>16.5</v>
          </cell>
          <cell r="D205">
            <v>58.560986008166232</v>
          </cell>
          <cell r="I205">
            <v>4</v>
          </cell>
          <cell r="J205">
            <v>2</v>
          </cell>
          <cell r="N205">
            <v>6.748880653534667</v>
          </cell>
          <cell r="O205">
            <v>2.3607284196376939</v>
          </cell>
        </row>
        <row r="206">
          <cell r="C206">
            <v>24.750000000000004</v>
          </cell>
          <cell r="D206">
            <v>64.247064283227857</v>
          </cell>
          <cell r="I206">
            <v>3</v>
          </cell>
          <cell r="J206">
            <v>3</v>
          </cell>
          <cell r="N206">
            <v>7.2543183245899128</v>
          </cell>
          <cell r="O206">
            <v>4.2983828492336773</v>
          </cell>
        </row>
        <row r="207">
          <cell r="C207">
            <v>33</v>
          </cell>
          <cell r="D207">
            <v>68.518369035696878</v>
          </cell>
          <cell r="I207">
            <v>2</v>
          </cell>
          <cell r="J207">
            <v>4</v>
          </cell>
          <cell r="N207">
            <v>7.6932830503396366</v>
          </cell>
          <cell r="O207">
            <v>5.0621568348661308</v>
          </cell>
        </row>
        <row r="208">
          <cell r="C208">
            <v>41.25</v>
          </cell>
          <cell r="D208">
            <v>71.7664716439551</v>
          </cell>
          <cell r="I208">
            <v>1</v>
          </cell>
          <cell r="J208">
            <v>5</v>
          </cell>
          <cell r="N208">
            <v>8</v>
          </cell>
          <cell r="O208">
            <v>5.3887907423150816</v>
          </cell>
        </row>
        <row r="209">
          <cell r="C209">
            <v>49.500000000000007</v>
          </cell>
          <cell r="D209">
            <v>74.370993278111257</v>
          </cell>
          <cell r="I209">
            <v>0.5</v>
          </cell>
          <cell r="J209">
            <v>5.5</v>
          </cell>
          <cell r="N209">
            <v>8</v>
          </cell>
          <cell r="O209">
            <v>5.8610119766838622</v>
          </cell>
        </row>
        <row r="210">
          <cell r="C210">
            <v>60.500000000000007</v>
          </cell>
          <cell r="D210">
            <v>77.234275947206214</v>
          </cell>
          <cell r="J210">
            <v>6</v>
          </cell>
          <cell r="O210">
            <v>6.4852296962609</v>
          </cell>
        </row>
        <row r="211">
          <cell r="C211">
            <v>71.5</v>
          </cell>
          <cell r="D211">
            <v>79.725666247801229</v>
          </cell>
          <cell r="J211">
            <v>6</v>
          </cell>
          <cell r="O211">
            <v>7.2621278609270217</v>
          </cell>
        </row>
        <row r="212">
          <cell r="C212">
            <v>82.5</v>
          </cell>
          <cell r="D212">
            <v>81.863982387630472</v>
          </cell>
          <cell r="J212">
            <v>6</v>
          </cell>
          <cell r="O212">
            <v>7.9148493227646313</v>
          </cell>
        </row>
        <row r="213">
          <cell r="C213">
            <v>93.500000000000014</v>
          </cell>
          <cell r="D213">
            <v>83.667042947574714</v>
          </cell>
          <cell r="J213">
            <v>6</v>
          </cell>
          <cell r="O213">
            <v>8</v>
          </cell>
        </row>
        <row r="214">
          <cell r="C214">
            <v>110.00000000000001</v>
          </cell>
          <cell r="D214">
            <v>86.154780808490059</v>
          </cell>
          <cell r="J214">
            <v>6</v>
          </cell>
          <cell r="O214">
            <v>8</v>
          </cell>
        </row>
        <row r="215">
          <cell r="C215">
            <v>143</v>
          </cell>
          <cell r="D215">
            <v>90.480184629206022</v>
          </cell>
          <cell r="J215">
            <v>6</v>
          </cell>
          <cell r="O215">
            <v>8</v>
          </cell>
        </row>
        <row r="216">
          <cell r="C216">
            <v>176</v>
          </cell>
          <cell r="D216">
            <v>93.6774218048877</v>
          </cell>
          <cell r="J216">
            <v>6</v>
          </cell>
          <cell r="O216">
            <v>8</v>
          </cell>
        </row>
        <row r="217">
          <cell r="C217">
            <v>225.50000000000003</v>
          </cell>
          <cell r="D217">
            <v>97.125654465362558</v>
          </cell>
          <cell r="J217">
            <v>6</v>
          </cell>
          <cell r="O217">
            <v>8</v>
          </cell>
        </row>
        <row r="218">
          <cell r="C218">
            <v>291.5</v>
          </cell>
          <cell r="D218">
            <v>100.89689545435591</v>
          </cell>
          <cell r="J218">
            <v>6</v>
          </cell>
          <cell r="O218">
            <v>8</v>
          </cell>
        </row>
        <row r="219">
          <cell r="C219">
            <v>374.00000000000006</v>
          </cell>
          <cell r="D219">
            <v>104.52148587104635</v>
          </cell>
          <cell r="J219">
            <v>6</v>
          </cell>
          <cell r="O219">
            <v>8</v>
          </cell>
        </row>
        <row r="220">
          <cell r="C220">
            <v>473.00000000000006</v>
          </cell>
          <cell r="D220">
            <v>108.05586950728798</v>
          </cell>
          <cell r="J220">
            <v>6</v>
          </cell>
          <cell r="O220">
            <v>8</v>
          </cell>
        </row>
        <row r="221">
          <cell r="C221">
            <v>605</v>
          </cell>
          <cell r="D221">
            <v>111.54601176466306</v>
          </cell>
          <cell r="J221">
            <v>6</v>
          </cell>
          <cell r="O221">
            <v>8</v>
          </cell>
        </row>
        <row r="222">
          <cell r="C222">
            <v>770.00000000000011</v>
          </cell>
          <cell r="D222">
            <v>115.20444967370992</v>
          </cell>
          <cell r="J222">
            <v>6</v>
          </cell>
          <cell r="O222">
            <v>8</v>
          </cell>
        </row>
        <row r="223">
          <cell r="C223">
            <v>984.50000000000011</v>
          </cell>
          <cell r="D223">
            <v>118.75432507225094</v>
          </cell>
          <cell r="J223">
            <v>6</v>
          </cell>
          <cell r="O223">
            <v>8</v>
          </cell>
        </row>
        <row r="224">
          <cell r="C224">
            <v>1248.5</v>
          </cell>
          <cell r="D224">
            <v>122.26514676047371</v>
          </cell>
          <cell r="J224">
            <v>6</v>
          </cell>
          <cell r="O224">
            <v>8</v>
          </cell>
        </row>
        <row r="225">
          <cell r="C225">
            <v>1595.0000000000002</v>
          </cell>
          <cell r="D225">
            <v>125.84855083483956</v>
          </cell>
          <cell r="J225">
            <v>6</v>
          </cell>
          <cell r="O225">
            <v>8</v>
          </cell>
        </row>
        <row r="226">
          <cell r="C226">
            <v>2040.5000000000002</v>
          </cell>
          <cell r="D226">
            <v>129.43528964176323</v>
          </cell>
          <cell r="J226">
            <v>6</v>
          </cell>
          <cell r="O226">
            <v>8</v>
          </cell>
        </row>
        <row r="227">
          <cell r="C227">
            <v>2601.5</v>
          </cell>
          <cell r="D227">
            <v>133.03192104200832</v>
          </cell>
          <cell r="J227">
            <v>6</v>
          </cell>
          <cell r="O227">
            <v>8</v>
          </cell>
        </row>
        <row r="228">
          <cell r="C228">
            <v>3311.0000000000005</v>
          </cell>
          <cell r="D228">
            <v>136.45508882162355</v>
          </cell>
          <cell r="J228">
            <v>6</v>
          </cell>
          <cell r="O228">
            <v>8</v>
          </cell>
        </row>
        <row r="229">
          <cell r="C229">
            <v>4218.5</v>
          </cell>
          <cell r="D229">
            <v>140.08772492574531</v>
          </cell>
          <cell r="J229">
            <v>6</v>
          </cell>
          <cell r="O229">
            <v>8</v>
          </cell>
        </row>
        <row r="230">
          <cell r="C230">
            <v>5373.5</v>
          </cell>
          <cell r="D230">
            <v>143.51956656528549</v>
          </cell>
          <cell r="J230">
            <v>6</v>
          </cell>
          <cell r="O230">
            <v>8</v>
          </cell>
        </row>
        <row r="231">
          <cell r="C231">
            <v>6842.0000000000009</v>
          </cell>
          <cell r="D231">
            <v>147.17868266109423</v>
          </cell>
          <cell r="J231">
            <v>6</v>
          </cell>
          <cell r="O231">
            <v>8</v>
          </cell>
        </row>
        <row r="232">
          <cell r="C232">
            <v>8723</v>
          </cell>
          <cell r="D232">
            <v>150.49637054967232</v>
          </cell>
          <cell r="J232">
            <v>6</v>
          </cell>
          <cell r="O232">
            <v>8</v>
          </cell>
        </row>
        <row r="233">
          <cell r="C233">
            <v>11115.5</v>
          </cell>
          <cell r="D233">
            <v>151.40240982411487</v>
          </cell>
          <cell r="J233">
            <v>6</v>
          </cell>
          <cell r="O233">
            <v>8</v>
          </cell>
        </row>
        <row r="234">
          <cell r="C234">
            <v>14168.000000000002</v>
          </cell>
          <cell r="D234">
            <v>152.00526961196863</v>
          </cell>
          <cell r="J234">
            <v>6</v>
          </cell>
          <cell r="O234">
            <v>8</v>
          </cell>
        </row>
        <row r="235">
          <cell r="C235">
            <v>18012.5</v>
          </cell>
          <cell r="D235">
            <v>152.38629594951036</v>
          </cell>
          <cell r="J235">
            <v>6</v>
          </cell>
          <cell r="O235">
            <v>8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</sheetNames>
    <sheetDataSet>
      <sheetData sheetId="0" refreshError="1"/>
      <sheetData sheetId="1" refreshError="1"/>
      <sheetData sheetId="2"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</row>
        <row r="6">
          <cell r="E6">
            <v>18.226342304552581</v>
          </cell>
          <cell r="F6">
            <v>17.420973982667814</v>
          </cell>
          <cell r="G6">
            <v>16.55360159735687</v>
          </cell>
          <cell r="H6">
            <v>15.589627930182091</v>
          </cell>
          <cell r="I6">
            <v>14.671687356650759</v>
          </cell>
        </row>
        <row r="7">
          <cell r="E7">
            <v>44.207309026381338</v>
          </cell>
          <cell r="F7">
            <v>43.001962251090099</v>
          </cell>
          <cell r="G7">
            <v>41.684581461949612</v>
          </cell>
          <cell r="H7">
            <v>40.269613788949812</v>
          </cell>
          <cell r="I7">
            <v>38.716188571600512</v>
          </cell>
        </row>
        <row r="8">
          <cell r="E8">
            <v>66.487641207576758</v>
          </cell>
          <cell r="F8">
            <v>65.328126673719694</v>
          </cell>
          <cell r="G8">
            <v>64.062055525287363</v>
          </cell>
          <cell r="H8">
            <v>62.675920173751969</v>
          </cell>
          <cell r="I8">
            <v>61.182714958690575</v>
          </cell>
        </row>
        <row r="9">
          <cell r="E9">
            <v>87.771500639866005</v>
          </cell>
          <cell r="F9">
            <v>86.672065508292405</v>
          </cell>
          <cell r="G9">
            <v>85.481735065071589</v>
          </cell>
          <cell r="H9">
            <v>84.173317183629351</v>
          </cell>
          <cell r="I9">
            <v>82.729418319864251</v>
          </cell>
        </row>
        <row r="10">
          <cell r="E10">
            <v>106.86832874572353</v>
          </cell>
          <cell r="F10">
            <v>105.93060744042049</v>
          </cell>
          <cell r="G10">
            <v>104.93378702762401</v>
          </cell>
          <cell r="H10">
            <v>103.87052361677672</v>
          </cell>
          <cell r="I10">
            <v>102.71853803916484</v>
          </cell>
        </row>
        <row r="20">
          <cell r="H20">
            <v>24</v>
          </cell>
        </row>
        <row r="21">
          <cell r="H21">
            <v>33</v>
          </cell>
        </row>
        <row r="22">
          <cell r="H22">
            <v>52</v>
          </cell>
        </row>
        <row r="23">
          <cell r="H23">
            <v>90</v>
          </cell>
        </row>
        <row r="24">
          <cell r="H24">
            <v>190</v>
          </cell>
        </row>
        <row r="25">
          <cell r="H25">
            <v>330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topLeftCell="A62" workbookViewId="0">
      <selection activeCell="H78" sqref="C78:H78"/>
    </sheetView>
  </sheetViews>
  <sheetFormatPr defaultColWidth="6.625" defaultRowHeight="11.25" x14ac:dyDescent="0.15"/>
  <cols>
    <col min="1" max="1" width="6.625" style="4"/>
    <col min="2" max="2" width="10.375" style="4" bestFit="1" customWidth="1"/>
    <col min="3" max="23" width="6.625" style="4"/>
    <col min="24" max="24" width="6.625" style="2"/>
    <col min="25" max="31" width="6.625" style="4"/>
    <col min="32" max="32" width="6.625" style="1"/>
    <col min="33" max="38" width="6.625" style="4"/>
    <col min="39" max="39" width="6.625" style="1"/>
    <col min="40" max="16384" width="6.625" style="4"/>
  </cols>
  <sheetData>
    <row r="1" spans="2:45" x14ac:dyDescent="0.15">
      <c r="AA1" s="4">
        <v>1</v>
      </c>
      <c r="AB1" s="4">
        <v>0.8</v>
      </c>
      <c r="AC1" s="4">
        <v>0.6</v>
      </c>
      <c r="AD1" s="4">
        <v>0.4</v>
      </c>
      <c r="AE1" s="4">
        <v>0.2</v>
      </c>
    </row>
    <row r="2" spans="2:45" x14ac:dyDescent="0.15">
      <c r="D2" s="16" t="s">
        <v>17</v>
      </c>
      <c r="E2" s="16"/>
      <c r="F2" s="16"/>
      <c r="G2" s="16"/>
      <c r="H2" s="16"/>
      <c r="K2" s="16" t="s">
        <v>18</v>
      </c>
      <c r="L2" s="16"/>
      <c r="M2" s="16"/>
      <c r="N2" s="16"/>
      <c r="O2" s="16"/>
      <c r="R2" s="16" t="s">
        <v>19</v>
      </c>
      <c r="S2" s="16"/>
      <c r="T2" s="16"/>
      <c r="U2" s="16"/>
      <c r="V2" s="16"/>
      <c r="AA2" s="16" t="s">
        <v>7</v>
      </c>
      <c r="AB2" s="16"/>
      <c r="AC2" s="16"/>
      <c r="AD2" s="16"/>
      <c r="AE2" s="16"/>
      <c r="AH2" s="16" t="s">
        <v>8</v>
      </c>
      <c r="AI2" s="16"/>
      <c r="AJ2" s="16"/>
      <c r="AK2" s="16"/>
      <c r="AL2" s="16"/>
      <c r="AO2" s="16" t="s">
        <v>9</v>
      </c>
      <c r="AP2" s="16"/>
      <c r="AQ2" s="16"/>
      <c r="AR2" s="16"/>
      <c r="AS2" s="16"/>
    </row>
    <row r="3" spans="2:45" x14ac:dyDescent="0.15">
      <c r="B3" s="4" t="str">
        <f>[1]节奏总纲!N3</f>
        <v>对应玩家等级</v>
      </c>
      <c r="C3" s="4" t="s">
        <v>20</v>
      </c>
      <c r="D3" s="4" t="s">
        <v>0</v>
      </c>
      <c r="E3" s="4" t="s">
        <v>1</v>
      </c>
      <c r="F3" s="4" t="s">
        <v>2</v>
      </c>
      <c r="G3" s="4" t="s">
        <v>3</v>
      </c>
      <c r="H3" s="4" t="s">
        <v>4</v>
      </c>
      <c r="J3" s="4" t="s">
        <v>20</v>
      </c>
      <c r="K3" s="4" t="s">
        <v>0</v>
      </c>
      <c r="L3" s="4" t="s">
        <v>1</v>
      </c>
      <c r="M3" s="4" t="s">
        <v>5</v>
      </c>
      <c r="N3" s="4" t="s">
        <v>3</v>
      </c>
      <c r="O3" s="4" t="s">
        <v>4</v>
      </c>
      <c r="Q3" s="4" t="s">
        <v>6</v>
      </c>
      <c r="R3" s="4" t="s">
        <v>0</v>
      </c>
      <c r="S3" s="4" t="s">
        <v>1</v>
      </c>
      <c r="T3" s="4" t="s">
        <v>2</v>
      </c>
      <c r="U3" s="4" t="s">
        <v>3</v>
      </c>
      <c r="V3" s="4" t="s">
        <v>4</v>
      </c>
      <c r="Z3" s="4" t="s">
        <v>10</v>
      </c>
      <c r="AA3" s="4" t="s">
        <v>0</v>
      </c>
      <c r="AB3" s="4" t="s">
        <v>11</v>
      </c>
      <c r="AC3" s="4" t="s">
        <v>2</v>
      </c>
      <c r="AD3" s="4" t="s">
        <v>12</v>
      </c>
      <c r="AE3" s="4" t="s">
        <v>4</v>
      </c>
      <c r="AG3" s="4" t="s">
        <v>10</v>
      </c>
      <c r="AH3" s="4" t="s">
        <v>0</v>
      </c>
      <c r="AI3" s="4" t="s">
        <v>1</v>
      </c>
      <c r="AJ3" s="4" t="s">
        <v>13</v>
      </c>
      <c r="AK3" s="4" t="s">
        <v>14</v>
      </c>
      <c r="AL3" s="4" t="s">
        <v>4</v>
      </c>
      <c r="AN3" s="4" t="s">
        <v>15</v>
      </c>
      <c r="AO3" s="4" t="s">
        <v>0</v>
      </c>
      <c r="AP3" s="4" t="s">
        <v>1</v>
      </c>
      <c r="AQ3" s="4" t="s">
        <v>2</v>
      </c>
      <c r="AR3" s="4" t="s">
        <v>12</v>
      </c>
      <c r="AS3" s="4" t="s">
        <v>16</v>
      </c>
    </row>
    <row r="4" spans="2:45" x14ac:dyDescent="0.15">
      <c r="B4" s="4">
        <f>[1]节奏总纲!N4</f>
        <v>2</v>
      </c>
      <c r="C4" s="4">
        <v>1</v>
      </c>
      <c r="D4" s="4">
        <f>[1]节奏总纲!P4</f>
        <v>7.1773462536293131E-2</v>
      </c>
      <c r="E4" s="4">
        <f>[1]节奏总纲!Q4</f>
        <v>5.9787294292732177E-2</v>
      </c>
      <c r="F4" s="4">
        <f>[1]节奏总纲!R4</f>
        <v>4.677476553490223E-2</v>
      </c>
      <c r="G4" s="4">
        <f>[1]节奏总纲!S4</f>
        <v>3.2585151991477081E-2</v>
      </c>
      <c r="H4" s="4">
        <f>[1]节奏总纲!T4</f>
        <v>1.7039020006115988E-2</v>
      </c>
      <c r="J4" s="4">
        <v>1</v>
      </c>
      <c r="K4" s="4">
        <f>[1]节奏总纲!W4</f>
        <v>7.1773462536293131E-2</v>
      </c>
      <c r="L4" s="4">
        <f>[1]节奏总纲!X4</f>
        <v>5.9787294292732177E-2</v>
      </c>
      <c r="M4" s="4">
        <f>[1]节奏总纲!Y4</f>
        <v>4.677476553490223E-2</v>
      </c>
      <c r="N4" s="4">
        <f>[1]节奏总纲!Z4</f>
        <v>3.2585151991477081E-2</v>
      </c>
      <c r="O4" s="4">
        <f>[1]节奏总纲!AA4</f>
        <v>1.7039020006115988E-2</v>
      </c>
      <c r="Q4" s="4">
        <v>1</v>
      </c>
      <c r="R4" s="4">
        <f>[1]节奏总纲!AD4</f>
        <v>10</v>
      </c>
      <c r="S4" s="4">
        <f>[1]节奏总纲!AE4</f>
        <v>11.148446722089302</v>
      </c>
      <c r="T4" s="4">
        <f>[1]节奏总纲!AF4</f>
        <v>12.761737853656415</v>
      </c>
      <c r="U4" s="4">
        <f>[1]节奏总纲!AG4</f>
        <v>15.452231935206081</v>
      </c>
      <c r="V4" s="4">
        <f>[1]节奏总纲!AH4</f>
        <v>21.291911942729964</v>
      </c>
      <c r="Z4" s="4">
        <v>1</v>
      </c>
      <c r="AA4" s="4">
        <f>[1]节奏总纲!AM4</f>
        <v>7.4349177498517554E-3</v>
      </c>
      <c r="AB4" s="4">
        <f>[1]节奏总纲!AN4</f>
        <v>5.947934199881405E-3</v>
      </c>
      <c r="AC4" s="4">
        <f>[1]节奏总纲!AO4</f>
        <v>4.4609506499110529E-3</v>
      </c>
      <c r="AD4" s="4">
        <f>[1]节奏总纲!AP4</f>
        <v>2.9739670999407025E-3</v>
      </c>
      <c r="AE4" s="4">
        <f>[1]节奏总纲!AQ4</f>
        <v>1.4869835499703513E-3</v>
      </c>
      <c r="AG4" s="4">
        <v>1</v>
      </c>
      <c r="AH4" s="4">
        <f>[1]节奏总纲!AT4</f>
        <v>7.4349177498517554E-3</v>
      </c>
      <c r="AI4" s="4">
        <f>[1]节奏总纲!AU4</f>
        <v>5.947934199881405E-3</v>
      </c>
      <c r="AJ4" s="4">
        <f>[1]节奏总纲!AV4</f>
        <v>4.4609506499110529E-3</v>
      </c>
      <c r="AK4" s="4">
        <f>[1]节奏总纲!AW4</f>
        <v>2.9739670999407025E-3</v>
      </c>
      <c r="AL4" s="4">
        <f>[1]节奏总纲!AX4</f>
        <v>1.4869835499703513E-3</v>
      </c>
      <c r="AM4" s="4"/>
      <c r="AN4" s="4">
        <v>1</v>
      </c>
      <c r="AO4" s="4">
        <f>[1]节奏总纲!BA4</f>
        <v>11.296493250964016</v>
      </c>
      <c r="AP4" s="4">
        <f>[1]节奏总纲!BB4</f>
        <v>12.361596792946616</v>
      </c>
      <c r="AQ4" s="4">
        <f>[1]节奏总纲!BC4</f>
        <v>13.798091195443488</v>
      </c>
      <c r="AR4" s="4">
        <f>[1]节奏总纲!BD4</f>
        <v>15.911635365458322</v>
      </c>
      <c r="AS4" s="4">
        <f>[1]节奏总纲!BE4</f>
        <v>19.707330185578734</v>
      </c>
    </row>
    <row r="5" spans="2:45" x14ac:dyDescent="0.15">
      <c r="B5" s="4">
        <f>[1]节奏总纲!N5</f>
        <v>4</v>
      </c>
      <c r="C5" s="4">
        <v>2</v>
      </c>
      <c r="D5" s="4">
        <f>[1]节奏总纲!P5</f>
        <v>0.1486983549970351</v>
      </c>
      <c r="E5" s="4">
        <f>[1]节奏总纲!Q5</f>
        <v>0.12505531655250651</v>
      </c>
      <c r="F5" s="4">
        <f>[1]节奏总纲!R5</f>
        <v>9.883979656652922E-2</v>
      </c>
      <c r="G5" s="4">
        <f>[1]节奏总纲!S5</f>
        <v>6.9828747506607683E-2</v>
      </c>
      <c r="H5" s="4">
        <f>[1]节奏总纲!T5</f>
        <v>3.7085369736260552E-2</v>
      </c>
      <c r="J5" s="4">
        <v>2</v>
      </c>
      <c r="K5" s="4">
        <f>[1]节奏总纲!W5</f>
        <v>7.6924892460741967E-2</v>
      </c>
      <c r="L5" s="4">
        <f>[1]节奏总纲!X5</f>
        <v>6.5268022259774336E-2</v>
      </c>
      <c r="M5" s="4">
        <f>[1]节奏总纲!Y5</f>
        <v>5.206503103162699E-2</v>
      </c>
      <c r="N5" s="4">
        <f>[1]节奏总纲!Z5</f>
        <v>3.7243595515130602E-2</v>
      </c>
      <c r="O5" s="4">
        <f>[1]节奏总纲!AA5</f>
        <v>2.0046349730144564E-2</v>
      </c>
      <c r="Q5" s="4">
        <v>2</v>
      </c>
      <c r="R5" s="4">
        <f>[1]节奏总纲!AD5</f>
        <v>15.845161563010114</v>
      </c>
      <c r="S5" s="4">
        <f>[1]节奏总纲!AE5</f>
        <v>17.271997130667014</v>
      </c>
      <c r="T5" s="4">
        <f>[1]节奏总纲!AF5</f>
        <v>19.263096801323076</v>
      </c>
      <c r="U5" s="4">
        <f>[1]节奏总纲!AG5</f>
        <v>22.536681597650272</v>
      </c>
      <c r="V5" s="4">
        <f>[1]节奏总纲!AH5</f>
        <v>29.386000042029625</v>
      </c>
      <c r="Z5" s="4">
        <v>2</v>
      </c>
      <c r="AA5" s="4">
        <f>[1]节奏总纲!AM5</f>
        <v>2.3963093307967063E-2</v>
      </c>
      <c r="AB5" s="4">
        <f>[1]节奏总纲!AN5</f>
        <v>1.9170474646373652E-2</v>
      </c>
      <c r="AC5" s="4">
        <f>[1]节奏总纲!AO5</f>
        <v>1.4377855984780237E-2</v>
      </c>
      <c r="AD5" s="4">
        <f>[1]节奏总纲!AP5</f>
        <v>9.5852373231868262E-3</v>
      </c>
      <c r="AE5" s="4">
        <f>[1]节奏总纲!AQ5</f>
        <v>4.7926186615934131E-3</v>
      </c>
      <c r="AG5" s="4">
        <v>2</v>
      </c>
      <c r="AH5" s="4">
        <f>[1]节奏总纲!AT5</f>
        <v>1.6528175558115307E-2</v>
      </c>
      <c r="AI5" s="4">
        <f>[1]节奏总纲!AU5</f>
        <v>1.3222540446492247E-2</v>
      </c>
      <c r="AJ5" s="4">
        <f>[1]节奏总纲!AV5</f>
        <v>9.9169053348691846E-3</v>
      </c>
      <c r="AK5" s="4">
        <f>[1]节奏总纲!AW5</f>
        <v>6.6112702232461237E-3</v>
      </c>
      <c r="AL5" s="4">
        <f>[1]节奏总纲!AX5</f>
        <v>3.3056351116230618E-3</v>
      </c>
      <c r="AM5" s="4"/>
      <c r="AN5" s="4">
        <v>2</v>
      </c>
      <c r="AO5" s="4">
        <f>[1]节奏总纲!BA5</f>
        <v>14.729965238833779</v>
      </c>
      <c r="AP5" s="4">
        <f>[1]节奏总纲!BB5</f>
        <v>15.911635365458322</v>
      </c>
      <c r="AQ5" s="4">
        <f>[1]节奏总纲!BC5</f>
        <v>17.448850811924295</v>
      </c>
      <c r="AR5" s="4">
        <f>[1]节奏总纲!BD5</f>
        <v>19.707330185578734</v>
      </c>
      <c r="AS5" s="4">
        <f>[1]节奏总纲!BE5</f>
        <v>23.710496742673982</v>
      </c>
    </row>
    <row r="6" spans="2:45" x14ac:dyDescent="0.15">
      <c r="B6" s="4">
        <f>[1]节奏总纲!N6</f>
        <v>6</v>
      </c>
      <c r="C6" s="4">
        <v>3</v>
      </c>
      <c r="D6" s="4">
        <f>[1]节奏总纲!P6</f>
        <v>0.23114441334491631</v>
      </c>
      <c r="E6" s="4">
        <f>[1]节奏总纲!Q6</f>
        <v>0.19582554698581309</v>
      </c>
      <c r="F6" s="4">
        <f>[1]节奏总纲!R6</f>
        <v>0.15616116565582547</v>
      </c>
      <c r="G6" s="4">
        <f>[1]节奏总纲!S6</f>
        <v>0.11120357726023924</v>
      </c>
      <c r="H6" s="4">
        <f>[1]节奏总纲!T6</f>
        <v>5.9380999788309005E-2</v>
      </c>
      <c r="J6" s="4">
        <v>3</v>
      </c>
      <c r="K6" s="4">
        <f>[1]节奏总纲!W6</f>
        <v>8.2446058347881213E-2</v>
      </c>
      <c r="L6" s="4">
        <f>[1]节奏总纲!X6</f>
        <v>7.0770230433306575E-2</v>
      </c>
      <c r="M6" s="4">
        <f>[1]节奏总纲!Y6</f>
        <v>5.7321369089296248E-2</v>
      </c>
      <c r="N6" s="4">
        <f>[1]节奏总纲!Z6</f>
        <v>4.1374829753631562E-2</v>
      </c>
      <c r="O6" s="4">
        <f>[1]节奏总纲!AA6</f>
        <v>2.2295630052048453E-2</v>
      </c>
      <c r="Q6" s="4">
        <v>3</v>
      </c>
      <c r="R6" s="4">
        <f>[1]节奏总纲!AD6</f>
        <v>20</v>
      </c>
      <c r="S6" s="4">
        <f>[1]节奏总纲!AE6</f>
        <v>21.543844702365945</v>
      </c>
      <c r="T6" s="4">
        <f>[1]节奏总纲!AF6</f>
        <v>23.734615677065324</v>
      </c>
      <c r="U6" s="4">
        <f>[1]节奏总纲!AG6</f>
        <v>27.324610510337703</v>
      </c>
      <c r="V6" s="4">
        <f>[1]节奏总纲!AH6</f>
        <v>34.517938607173015</v>
      </c>
      <c r="Z6" s="4">
        <v>3</v>
      </c>
      <c r="AA6" s="4">
        <f>[1]节奏总纲!AM6</f>
        <v>5.1571656651039799E-2</v>
      </c>
      <c r="AB6" s="4">
        <f>[1]节奏总纲!AN6</f>
        <v>4.1257325320831845E-2</v>
      </c>
      <c r="AC6" s="4">
        <f>[1]节奏总纲!AO6</f>
        <v>3.0942993990623877E-2</v>
      </c>
      <c r="AD6" s="4">
        <f>[1]节奏总纲!AP6</f>
        <v>2.0628662660415922E-2</v>
      </c>
      <c r="AE6" s="4">
        <f>[1]节奏总纲!AQ6</f>
        <v>1.0314331330207961E-2</v>
      </c>
      <c r="AG6" s="4">
        <v>3</v>
      </c>
      <c r="AH6" s="4">
        <f>[1]节奏总纲!AT6</f>
        <v>2.7608563343072736E-2</v>
      </c>
      <c r="AI6" s="4">
        <f>[1]节奏总纲!AU6</f>
        <v>2.2086850674458192E-2</v>
      </c>
      <c r="AJ6" s="4">
        <f>[1]节奏总纲!AV6</f>
        <v>1.6565138005843638E-2</v>
      </c>
      <c r="AK6" s="4">
        <f>[1]节奏总纲!AW6</f>
        <v>1.1043425337229096E-2</v>
      </c>
      <c r="AL6" s="4">
        <f>[1]节奏总纲!AX6</f>
        <v>5.5217126686145481E-3</v>
      </c>
      <c r="AM6" s="4"/>
      <c r="AN6" s="4">
        <v>3</v>
      </c>
      <c r="AO6" s="4">
        <f>[1]节奏总纲!BA6</f>
        <v>16.888397947066121</v>
      </c>
      <c r="AP6" s="4">
        <f>[1]节奏总纲!BB6</f>
        <v>18.108391417375849</v>
      </c>
      <c r="AQ6" s="4">
        <f>[1]节奏总纲!BC6</f>
        <v>19.707330185578734</v>
      </c>
      <c r="AR6" s="4">
        <f>[1]节奏总纲!BD6</f>
        <v>22.041972908628715</v>
      </c>
      <c r="AS6" s="4">
        <f>[1]节奏总纲!BE6</f>
        <v>26.127796402772656</v>
      </c>
    </row>
    <row r="7" spans="2:45" x14ac:dyDescent="0.15">
      <c r="B7" s="4">
        <f>[1]节奏总纲!N7</f>
        <v>8</v>
      </c>
      <c r="C7" s="4">
        <v>4</v>
      </c>
      <c r="D7" s="4">
        <f>[1]节奏总纲!P7</f>
        <v>0.3195079107728942</v>
      </c>
      <c r="E7" s="4">
        <f>[1]节奏总纲!Q7</f>
        <v>0.2719651336498875</v>
      </c>
      <c r="F7" s="4">
        <f>[1]节奏总纲!R7</f>
        <v>0.21816000147573214</v>
      </c>
      <c r="G7" s="4">
        <f>[1]节奏总纲!S7</f>
        <v>0.15607961441255883</v>
      </c>
      <c r="H7" s="4">
        <f>[1]节奏总纲!T7</f>
        <v>8.4062531324348461E-2</v>
      </c>
      <c r="J7" s="4">
        <v>4</v>
      </c>
      <c r="K7" s="4">
        <f>[1]节奏总纲!W7</f>
        <v>8.8363497427977888E-2</v>
      </c>
      <c r="L7" s="4">
        <f>[1]节奏总纲!X7</f>
        <v>7.6139586664074416E-2</v>
      </c>
      <c r="M7" s="4">
        <f>[1]节奏总纲!Y7</f>
        <v>6.1998835819906672E-2</v>
      </c>
      <c r="N7" s="4">
        <f>[1]节奏总纲!Z7</f>
        <v>4.4876037152319581E-2</v>
      </c>
      <c r="O7" s="4">
        <f>[1]节奏总纲!AA7</f>
        <v>2.4681531536039455E-2</v>
      </c>
      <c r="Q7" s="4">
        <v>4</v>
      </c>
      <c r="R7" s="4">
        <f>[1]节奏总纲!AD7</f>
        <v>23.213386604241784</v>
      </c>
      <c r="S7" s="4">
        <f>[1]节奏总纲!AE7</f>
        <v>24.836966034810484</v>
      </c>
      <c r="T7" s="4">
        <f>[1]节奏总纲!AF7</f>
        <v>27.155717181399513</v>
      </c>
      <c r="U7" s="4">
        <f>[1]节奏总纲!AG7</f>
        <v>30.831257561377125</v>
      </c>
      <c r="V7" s="4">
        <f>[1]节奏总纲!AH7</f>
        <v>38.431365705145346</v>
      </c>
      <c r="Z7" s="4">
        <v>4</v>
      </c>
      <c r="AA7" s="4">
        <f>[1]节奏总纲!AM7</f>
        <v>9.2637640824031031E-2</v>
      </c>
      <c r="AB7" s="4">
        <f>[1]节奏总纲!AN7</f>
        <v>7.4110112659224833E-2</v>
      </c>
      <c r="AC7" s="4">
        <f>[1]节奏总纲!AO7</f>
        <v>5.5582584494418615E-2</v>
      </c>
      <c r="AD7" s="4">
        <f>[1]节奏总纲!AP7</f>
        <v>3.7055056329612417E-2</v>
      </c>
      <c r="AE7" s="4">
        <f>[1]节奏总纲!AQ7</f>
        <v>1.8527528164806208E-2</v>
      </c>
      <c r="AG7" s="4">
        <v>4</v>
      </c>
      <c r="AH7" s="4">
        <f>[1]节奏总纲!AT7</f>
        <v>4.1065984172991232E-2</v>
      </c>
      <c r="AI7" s="4">
        <f>[1]节奏总纲!AU7</f>
        <v>3.2852787338392989E-2</v>
      </c>
      <c r="AJ7" s="4">
        <f>[1]节奏总纲!AV7</f>
        <v>2.4639590503794738E-2</v>
      </c>
      <c r="AK7" s="4">
        <f>[1]节奏总纲!AW7</f>
        <v>1.6426393669196494E-2</v>
      </c>
      <c r="AL7" s="4">
        <f>[1]节奏总纲!AX7</f>
        <v>8.2131968345982471E-3</v>
      </c>
      <c r="AM7" s="4"/>
      <c r="AN7" s="4">
        <v>4</v>
      </c>
      <c r="AO7" s="4">
        <f>[1]节奏总纲!BA7</f>
        <v>18.453550676044042</v>
      </c>
      <c r="AP7" s="4">
        <f>[1]节奏总纲!BB7</f>
        <v>19.707330185578734</v>
      </c>
      <c r="AQ7" s="4">
        <f>[1]节奏总纲!BC7</f>
        <v>21.34613466141565</v>
      </c>
      <c r="AR7" s="4">
        <f>[1]节奏总纲!BD7</f>
        <v>23.710496742673982</v>
      </c>
      <c r="AS7" s="4">
        <f>[1]节奏总纲!BE7</f>
        <v>27.863030247590562</v>
      </c>
    </row>
    <row r="8" spans="2:45" x14ac:dyDescent="0.15">
      <c r="B8" s="4">
        <f>[1]节奏总纲!N8</f>
        <v>10</v>
      </c>
      <c r="C8" s="4">
        <v>5</v>
      </c>
      <c r="D8" s="4">
        <f>[1]节奏总纲!P8</f>
        <v>0.41421356237309515</v>
      </c>
      <c r="E8" s="4">
        <f>[1]节奏总纲!Q8</f>
        <v>0.35241289886702937</v>
      </c>
      <c r="F8" s="4">
        <f>[1]节奏总纲!R8</f>
        <v>0.28315639123824782</v>
      </c>
      <c r="G8" s="4">
        <f>[1]节奏总纲!S8</f>
        <v>0.20296464556281663</v>
      </c>
      <c r="H8" s="4">
        <f>[1]节奏总纲!T8</f>
        <v>0.10951806589144637</v>
      </c>
      <c r="J8" s="4">
        <v>5</v>
      </c>
      <c r="K8" s="4">
        <f>[1]节奏总纲!W8</f>
        <v>9.4705651600200946E-2</v>
      </c>
      <c r="L8" s="4">
        <f>[1]节奏总纲!X8</f>
        <v>8.0447765217141864E-2</v>
      </c>
      <c r="M8" s="4">
        <f>[1]节奏总纲!Y8</f>
        <v>6.4996389762515677E-2</v>
      </c>
      <c r="N8" s="4">
        <f>[1]节奏总纲!Z8</f>
        <v>4.68850311502578E-2</v>
      </c>
      <c r="O8" s="4">
        <f>[1]节奏总纲!AA8</f>
        <v>2.5455534567097912E-2</v>
      </c>
      <c r="Q8" s="4">
        <v>5</v>
      </c>
      <c r="R8" s="4">
        <f>[1]节奏总纲!AD8</f>
        <v>25.845161563010112</v>
      </c>
      <c r="S8" s="4">
        <f>[1]节奏总纲!AE8</f>
        <v>27.525245270311611</v>
      </c>
      <c r="T8" s="4">
        <f>[1]节奏总纲!AF8</f>
        <v>29.892344464157688</v>
      </c>
      <c r="U8" s="4">
        <f>[1]节奏总纲!AG8</f>
        <v>33.672145166817529</v>
      </c>
      <c r="V8" s="4">
        <f>[1]节奏总纲!AH8</f>
        <v>41.359260538726978</v>
      </c>
      <c r="Z8" s="4">
        <v>5</v>
      </c>
      <c r="AA8" s="4">
        <f>[1]节奏总纲!AM8</f>
        <v>0.15</v>
      </c>
      <c r="AB8" s="4">
        <f>[1]节奏总纲!AN8</f>
        <v>0.12</v>
      </c>
      <c r="AC8" s="4">
        <f>[1]节奏总纲!AO8</f>
        <v>0.09</v>
      </c>
      <c r="AD8" s="4">
        <f>[1]节奏总纲!AP8</f>
        <v>0.06</v>
      </c>
      <c r="AE8" s="4">
        <f>[1]节奏总纲!AQ8</f>
        <v>0.03</v>
      </c>
      <c r="AG8" s="4">
        <v>5</v>
      </c>
      <c r="AH8" s="4">
        <f>[1]节奏总纲!AT8</f>
        <v>5.7362359175968963E-2</v>
      </c>
      <c r="AI8" s="4">
        <f>[1]节奏总纲!AU8</f>
        <v>4.5889887340775162E-2</v>
      </c>
      <c r="AJ8" s="4">
        <f>[1]节奏总纲!AV8</f>
        <v>3.4417415505581382E-2</v>
      </c>
      <c r="AK8" s="4">
        <f>[1]节奏总纲!AW8</f>
        <v>2.2944943670387581E-2</v>
      </c>
      <c r="AL8" s="4">
        <f>[1]节奏总纲!AX8</f>
        <v>1.1472471835193791E-2</v>
      </c>
      <c r="AM8" s="4"/>
      <c r="AN8" s="4">
        <v>5</v>
      </c>
      <c r="AO8" s="4">
        <f>[1]节奏总纲!BA8</f>
        <v>19.707330185578734</v>
      </c>
      <c r="AP8" s="4">
        <f>[1]节奏总纲!BB8</f>
        <v>20.993539484876777</v>
      </c>
      <c r="AQ8" s="4">
        <f>[1]节奏总纲!BC8</f>
        <v>22.639743033177162</v>
      </c>
      <c r="AR8" s="4">
        <f>[1]节奏总纲!BD8</f>
        <v>25.044229735272328</v>
      </c>
      <c r="AS8" s="4">
        <f>[1]节奏总纲!BE8</f>
        <v>29.216428548527322</v>
      </c>
    </row>
    <row r="9" spans="2:45" x14ac:dyDescent="0.15">
      <c r="B9" s="4">
        <f>[1]节奏总纲!N9</f>
        <v>12</v>
      </c>
      <c r="C9" s="4">
        <v>6</v>
      </c>
      <c r="D9" s="4">
        <f>[1]节奏总纲!P9</f>
        <v>0.51571656651039799</v>
      </c>
      <c r="E9" s="4">
        <f>[1]节奏总纲!Q9</f>
        <v>0.43939051466685908</v>
      </c>
      <c r="F9" s="4">
        <f>[1]节奏总纲!R9</f>
        <v>0.35336899137292471</v>
      </c>
      <c r="G9" s="4">
        <f>[1]节奏总纲!S9</f>
        <v>0.25440298225957936</v>
      </c>
      <c r="H9" s="4">
        <f>[1]节奏总纲!T9</f>
        <v>0.13836675479473978</v>
      </c>
      <c r="J9" s="4">
        <v>6</v>
      </c>
      <c r="K9" s="4">
        <f>[1]节奏总纲!W9</f>
        <v>0.10150300413730284</v>
      </c>
      <c r="L9" s="4">
        <f>[1]节奏总纲!X9</f>
        <v>8.6977615799829711E-2</v>
      </c>
      <c r="M9" s="4">
        <f>[1]节奏总纲!Y9</f>
        <v>7.0212600134676895E-2</v>
      </c>
      <c r="N9" s="4">
        <f>[1]节奏总纲!Z9</f>
        <v>5.1438336696762732E-2</v>
      </c>
      <c r="O9" s="4">
        <f>[1]节奏总纲!AA9</f>
        <v>2.884868890329341E-2</v>
      </c>
      <c r="Q9" s="4">
        <v>6</v>
      </c>
      <c r="R9" s="4">
        <f>[1]节奏总纲!AD9</f>
        <v>28.071211008105138</v>
      </c>
      <c r="S9" s="4">
        <f>[1]节奏总纲!AE9</f>
        <v>29.78183527117605</v>
      </c>
      <c r="T9" s="4">
        <f>[1]节奏总纲!AF9</f>
        <v>32.202183458664891</v>
      </c>
      <c r="U9" s="4">
        <f>[1]节奏总纲!AG9</f>
        <v>36.067019846099676</v>
      </c>
      <c r="V9" s="4">
        <f>[1]节奏总纲!AH9</f>
        <v>43.870275262019007</v>
      </c>
      <c r="Z9" s="4">
        <v>6</v>
      </c>
      <c r="AA9" s="4">
        <f>[1]节奏总纲!AM9</f>
        <v>0.22055744069899194</v>
      </c>
      <c r="AB9" s="4">
        <f>[1]节奏总纲!AN9</f>
        <v>0.17644595255919357</v>
      </c>
      <c r="AC9" s="4">
        <f>[1]节奏总纲!AO9</f>
        <v>0.13233446441939517</v>
      </c>
      <c r="AD9" s="4">
        <f>[1]节奏总纲!AP9</f>
        <v>8.8222976279596785E-2</v>
      </c>
      <c r="AE9" s="4">
        <f>[1]节奏总纲!AQ9</f>
        <v>4.4111488139798392E-2</v>
      </c>
      <c r="AG9" s="4">
        <v>6</v>
      </c>
      <c r="AH9" s="4">
        <f>[1]节奏总纲!AT9</f>
        <v>7.0557440698991947E-2</v>
      </c>
      <c r="AI9" s="4">
        <f>[1]节奏总纲!AU9</f>
        <v>5.6445952559193574E-2</v>
      </c>
      <c r="AJ9" s="4">
        <f>[1]节奏总纲!AV9</f>
        <v>4.2334464419395174E-2</v>
      </c>
      <c r="AK9" s="4">
        <f>[1]节奏总纲!AW9</f>
        <v>2.8222976279596787E-2</v>
      </c>
      <c r="AL9" s="4">
        <f>[1]节奏总纲!AX9</f>
        <v>1.4111488139798394E-2</v>
      </c>
      <c r="AM9" s="4"/>
      <c r="AN9" s="4">
        <v>6</v>
      </c>
      <c r="AO9" s="4">
        <f>[1]节奏总纲!BA9</f>
        <v>20.745154613657583</v>
      </c>
      <c r="AP9" s="4">
        <f>[1]节奏总纲!BB9</f>
        <v>22.041972908628715</v>
      </c>
      <c r="AQ9" s="4">
        <f>[1]节奏总纲!BC9</f>
        <v>23.710496742673982</v>
      </c>
      <c r="AR9" s="4">
        <f>[1]节奏总纲!BD9</f>
        <v>26.127796402772656</v>
      </c>
      <c r="AS9" s="4">
        <f>[1]节奏总纲!BE9</f>
        <v>30.329493925593439</v>
      </c>
    </row>
    <row r="10" spans="2:45" x14ac:dyDescent="0.15">
      <c r="B10" s="4">
        <f>[1]节奏总纲!N10</f>
        <v>14</v>
      </c>
      <c r="C10" s="4">
        <v>7</v>
      </c>
      <c r="D10" s="4">
        <f>[1]节奏总纲!P10</f>
        <v>0.62450479271247095</v>
      </c>
      <c r="E10" s="4">
        <f>[1]节奏总纲!Q10</f>
        <v>0.53413894920697635</v>
      </c>
      <c r="F10" s="4">
        <f>[1]节奏总纲!R10</f>
        <v>0.43072095553379119</v>
      </c>
      <c r="G10" s="4">
        <f>[1]节奏总纲!S10</f>
        <v>0.30950457526830061</v>
      </c>
      <c r="H10" s="4">
        <f>[1]节奏总纲!T10</f>
        <v>0.16699258157131475</v>
      </c>
      <c r="J10" s="4">
        <v>7</v>
      </c>
      <c r="K10" s="4">
        <f>[1]节奏总纲!W10</f>
        <v>0.10878822620207296</v>
      </c>
      <c r="L10" s="4">
        <f>[1]节奏总纲!X10</f>
        <v>9.4748434540117277E-2</v>
      </c>
      <c r="M10" s="4">
        <f>[1]节奏总纲!Y10</f>
        <v>7.7351964160866482E-2</v>
      </c>
      <c r="N10" s="4">
        <f>[1]节奏总纲!Z10</f>
        <v>5.510159300872125E-2</v>
      </c>
      <c r="O10" s="4">
        <f>[1]节奏总纲!AA10</f>
        <v>2.8625826776574964E-2</v>
      </c>
      <c r="Q10" s="4">
        <v>7</v>
      </c>
      <c r="R10" s="4">
        <f>[1]节奏总纲!AD10</f>
        <v>30</v>
      </c>
      <c r="S10" s="4">
        <f>[1]节奏总纲!AE10</f>
        <v>31.718819483847451</v>
      </c>
      <c r="T10" s="4">
        <f>[1]节奏总纲!AF10</f>
        <v>34.192155176139416</v>
      </c>
      <c r="U10" s="4">
        <f>[1]节奏总纲!AG10</f>
        <v>38.19822972207853</v>
      </c>
      <c r="V10" s="4">
        <f>[1]节奏总纲!AH10</f>
        <v>46.093186357957826</v>
      </c>
      <c r="Z10" s="4">
        <v>7</v>
      </c>
      <c r="AA10" s="4">
        <f>[1]节奏总纲!AM10</f>
        <v>0.31141300609369982</v>
      </c>
      <c r="AB10" s="4">
        <f>[1]节奏总纲!AN10</f>
        <v>0.24913040487495985</v>
      </c>
      <c r="AC10" s="4">
        <f>[1]节奏总纲!AO10</f>
        <v>0.18684780365621989</v>
      </c>
      <c r="AD10" s="4">
        <f>[1]节奏总纲!AP10</f>
        <v>0.12456520243747993</v>
      </c>
      <c r="AE10" s="4">
        <f>[1]节奏总纲!AQ10</f>
        <v>6.2282601218739964E-2</v>
      </c>
      <c r="AG10" s="4">
        <v>7</v>
      </c>
      <c r="AH10" s="4">
        <f>[1]节奏总纲!AT10</f>
        <v>9.0855565394707877E-2</v>
      </c>
      <c r="AI10" s="4">
        <f>[1]节奏总纲!AU10</f>
        <v>7.2684452315766285E-2</v>
      </c>
      <c r="AJ10" s="4">
        <f>[1]节奏总纲!AV10</f>
        <v>5.451333923682472E-2</v>
      </c>
      <c r="AK10" s="4">
        <f>[1]节奏总纲!AW10</f>
        <v>3.6342226157883142E-2</v>
      </c>
      <c r="AL10" s="4">
        <f>[1]节奏总纲!AX10</f>
        <v>1.8171113078941571E-2</v>
      </c>
      <c r="AM10" s="4"/>
      <c r="AN10" s="4">
        <v>7</v>
      </c>
      <c r="AO10" s="4">
        <f>[1]节奏总纲!BA10</f>
        <v>21.627432338833255</v>
      </c>
      <c r="AP10" s="4">
        <f>[1]节奏总纲!BB10</f>
        <v>22.938628095451385</v>
      </c>
      <c r="AQ10" s="4">
        <f>[1]节奏总纲!BC10</f>
        <v>24.619152272059132</v>
      </c>
      <c r="AR10" s="4">
        <f>[1]节奏总纲!BD10</f>
        <v>27.059707353051884</v>
      </c>
      <c r="AS10" s="4">
        <f>[1]节奏总纲!BE10</f>
        <v>31.280110398778046</v>
      </c>
    </row>
    <row r="11" spans="2:45" x14ac:dyDescent="0.15">
      <c r="B11" s="4">
        <f>[1]节奏总纲!N11</f>
        <v>16</v>
      </c>
      <c r="C11" s="4">
        <v>8</v>
      </c>
      <c r="D11" s="4">
        <f>[1]节奏总纲!P11</f>
        <v>0.74110112659224825</v>
      </c>
      <c r="E11" s="4">
        <f>[1]节奏总纲!Q11</f>
        <v>0.63089938906798093</v>
      </c>
      <c r="F11" s="4">
        <f>[1]节奏总纲!R11</f>
        <v>0.50550507844857251</v>
      </c>
      <c r="G11" s="4">
        <f>[1]节奏总纲!S11</f>
        <v>0.36195379022765406</v>
      </c>
      <c r="H11" s="4">
        <f>[1]节奏总纲!T11</f>
        <v>0.19579891764567198</v>
      </c>
      <c r="J11" s="4">
        <v>8</v>
      </c>
      <c r="K11" s="4">
        <f>[1]节奏总纲!W11</f>
        <v>0.1165963338797773</v>
      </c>
      <c r="L11" s="4">
        <f>[1]节奏总纲!X11</f>
        <v>9.6760439861004577E-2</v>
      </c>
      <c r="M11" s="4">
        <f>[1]节奏总纲!Y11</f>
        <v>7.4784122914781315E-2</v>
      </c>
      <c r="N11" s="4">
        <f>[1]节奏总纲!Z11</f>
        <v>5.2449214959353452E-2</v>
      </c>
      <c r="O11" s="4">
        <f>[1]节奏总纲!AA11</f>
        <v>2.8806336074357231E-2</v>
      </c>
      <c r="Q11" s="4">
        <v>8</v>
      </c>
      <c r="R11" s="4">
        <f>[1]节奏总纲!AD11</f>
        <v>31.691928656135214</v>
      </c>
      <c r="S11" s="4">
        <f>[1]节奏总纲!AE11</f>
        <v>33.465251056098396</v>
      </c>
      <c r="T11" s="4">
        <f>[1]节奏总纲!AF11</f>
        <v>35.930751746472978</v>
      </c>
      <c r="U11" s="4">
        <f>[1]节奏总纲!AG11</f>
        <v>39.998279638578282</v>
      </c>
      <c r="V11" s="4">
        <f>[1]节奏总纲!AH11</f>
        <v>48.067140183443534</v>
      </c>
      <c r="Z11" s="4">
        <v>8</v>
      </c>
      <c r="AA11" s="4">
        <f>[1]节奏总纲!AM11</f>
        <v>0.42660095793436714</v>
      </c>
      <c r="AB11" s="4">
        <f>[1]节奏总纲!AN11</f>
        <v>0.34128076634749371</v>
      </c>
      <c r="AC11" s="4">
        <f>[1]节奏总纲!AO11</f>
        <v>0.25596057476062029</v>
      </c>
      <c r="AD11" s="4">
        <f>[1]节奏总纲!AP11</f>
        <v>0.17064038317374686</v>
      </c>
      <c r="AE11" s="4">
        <f>[1]节奏总纲!AQ11</f>
        <v>8.5320191586873428E-2</v>
      </c>
      <c r="AG11" s="4">
        <v>8</v>
      </c>
      <c r="AH11" s="4">
        <f>[1]节奏总纲!AT11</f>
        <v>0.11518795184066732</v>
      </c>
      <c r="AI11" s="4">
        <f>[1]节奏总纲!AU11</f>
        <v>9.2150361472533859E-2</v>
      </c>
      <c r="AJ11" s="4">
        <f>[1]节奏总纲!AV11</f>
        <v>6.9112771104400395E-2</v>
      </c>
      <c r="AK11" s="4">
        <f>[1]节奏总纲!AW11</f>
        <v>4.607518073626693E-2</v>
      </c>
      <c r="AL11" s="4">
        <f>[1]节奏总纲!AX11</f>
        <v>2.3037590368133465E-2</v>
      </c>
      <c r="AM11" s="4"/>
      <c r="AN11" s="4">
        <v>8</v>
      </c>
      <c r="AO11" s="4">
        <f>[1]节奏总纲!BA11</f>
        <v>22.400634983357783</v>
      </c>
      <c r="AP11" s="4">
        <f>[1]节奏总纲!BB11</f>
        <v>23.710496742673982</v>
      </c>
      <c r="AQ11" s="4">
        <f>[1]节奏总纲!BC11</f>
        <v>25.412810862541733</v>
      </c>
      <c r="AR11" s="4">
        <f>[1]节奏总纲!BD11</f>
        <v>27.863030247590562</v>
      </c>
      <c r="AS11" s="4">
        <f>[1]节奏总纲!BE11</f>
        <v>32.113552950216736</v>
      </c>
    </row>
    <row r="12" spans="2:45" x14ac:dyDescent="0.15">
      <c r="B12" s="4">
        <f>[1]节奏总纲!N12</f>
        <v>18</v>
      </c>
      <c r="C12" s="4">
        <v>9</v>
      </c>
      <c r="D12" s="4">
        <f>[1]节奏总纲!P12</f>
        <v>0.86606598307361482</v>
      </c>
      <c r="E12" s="4">
        <f>[1]节奏总纲!Q12</f>
        <v>0.73702215159564621</v>
      </c>
      <c r="F12" s="4">
        <f>[1]节奏总纲!R12</f>
        <v>0.59282216541388932</v>
      </c>
      <c r="G12" s="4">
        <f>[1]节奏总纲!S12</f>
        <v>0.42766338244175101</v>
      </c>
      <c r="H12" s="4">
        <f>[1]节奏总纲!T12</f>
        <v>0.23193247026711403</v>
      </c>
      <c r="J12" s="4">
        <v>9</v>
      </c>
      <c r="K12" s="4">
        <f>[1]节奏总纲!W12</f>
        <v>0.12496485648136657</v>
      </c>
      <c r="L12" s="4">
        <f>[1]节奏总纲!X12</f>
        <v>0.10612276252766528</v>
      </c>
      <c r="M12" s="4">
        <f>[1]节奏总纲!Y12</f>
        <v>8.7317086965316815E-2</v>
      </c>
      <c r="N12" s="4">
        <f>[1]节奏总纲!Z12</f>
        <v>6.5709592214096946E-2</v>
      </c>
      <c r="O12" s="4">
        <f>[1]节奏总纲!AA12</f>
        <v>3.613355262144205E-2</v>
      </c>
      <c r="Q12" s="4">
        <v>9</v>
      </c>
      <c r="R12" s="4">
        <f>[1]节奏总纲!AD12</f>
        <v>33.213386604241784</v>
      </c>
      <c r="S12" s="4">
        <f>[1]节奏总纲!AE12</f>
        <v>34.992730785174565</v>
      </c>
      <c r="T12" s="4">
        <f>[1]节奏总纲!AF12</f>
        <v>37.510565846691456</v>
      </c>
      <c r="U12" s="4">
        <f>[1]节奏总纲!AG12</f>
        <v>41.534743419557365</v>
      </c>
      <c r="V12" s="4">
        <f>[1]节奏总纲!AH12</f>
        <v>49.706056771838036</v>
      </c>
      <c r="Z12" s="4">
        <v>9</v>
      </c>
      <c r="AA12" s="4">
        <f>[1]节奏总纲!AM12</f>
        <v>0.57090651823243421</v>
      </c>
      <c r="AB12" s="4">
        <f>[1]节奏总纲!AN12</f>
        <v>0.45672521458594739</v>
      </c>
      <c r="AC12" s="4">
        <f>[1]节奏总纲!AO12</f>
        <v>0.34254391093946052</v>
      </c>
      <c r="AD12" s="4">
        <f>[1]节奏总纲!AP12</f>
        <v>0.2283626072929737</v>
      </c>
      <c r="AE12" s="4">
        <f>[1]节奏总纲!AQ12</f>
        <v>0.11418130364648685</v>
      </c>
      <c r="AG12" s="4">
        <v>9</v>
      </c>
      <c r="AH12" s="4">
        <f>[1]节奏总纲!AT12</f>
        <v>0.14430556029806707</v>
      </c>
      <c r="AI12" s="4">
        <f>[1]节奏总纲!AU12</f>
        <v>0.11544444823845368</v>
      </c>
      <c r="AJ12" s="4">
        <f>[1]节奏总纲!AV12</f>
        <v>8.6583336178840231E-2</v>
      </c>
      <c r="AK12" s="4">
        <f>[1]节奏总纲!AW12</f>
        <v>5.7722224119226839E-2</v>
      </c>
      <c r="AL12" s="4">
        <f>[1]节奏总纲!AX12</f>
        <v>2.886111205961342E-2</v>
      </c>
      <c r="AM12" s="4"/>
      <c r="AN12" s="4">
        <v>9</v>
      </c>
      <c r="AO12" s="4">
        <f>[1]节奏总纲!BA12</f>
        <v>23.100336713798686</v>
      </c>
      <c r="AP12" s="4">
        <f>[1]节奏总纲!BB12</f>
        <v>24.402761517547276</v>
      </c>
      <c r="AQ12" s="4">
        <f>[1]节奏总纲!BC12</f>
        <v>26.127796402772656</v>
      </c>
      <c r="AR12" s="4">
        <f>[1]节奏总纲!BD12</f>
        <v>28.568390277483555</v>
      </c>
      <c r="AS12" s="4">
        <f>[1]节奏总纲!BE12</f>
        <v>32.842201900114915</v>
      </c>
    </row>
    <row r="13" spans="2:45" x14ac:dyDescent="0.15">
      <c r="B13" s="4">
        <f>[1]节奏总纲!N13</f>
        <v>20</v>
      </c>
      <c r="C13" s="4">
        <v>10</v>
      </c>
      <c r="D13" s="4">
        <f>[1]节奏总纲!P13</f>
        <v>1</v>
      </c>
      <c r="E13" s="4">
        <f>[1]节奏总纲!Q13</f>
        <v>0.8548</v>
      </c>
      <c r="F13" s="4">
        <f>[1]节奏总纲!R13</f>
        <v>0.6895</v>
      </c>
      <c r="G13" s="4">
        <f>[1]节奏总纲!S13</f>
        <v>0.49980000000000002</v>
      </c>
      <c r="H13" s="4">
        <f>[1]节奏总纲!T13</f>
        <v>0.2732</v>
      </c>
      <c r="J13" s="4">
        <v>10</v>
      </c>
      <c r="K13" s="4">
        <f>[1]节奏总纲!W13</f>
        <v>0.13393401692638518</v>
      </c>
      <c r="L13" s="4">
        <f>[1]节奏总纲!X13</f>
        <v>0.11777784840435379</v>
      </c>
      <c r="M13" s="4">
        <f>[1]节奏总纲!Y13</f>
        <v>9.6677834586110678E-2</v>
      </c>
      <c r="N13" s="4">
        <f>[1]节奏总纲!Z13</f>
        <v>7.2136617558249017E-2</v>
      </c>
      <c r="O13" s="4">
        <f>[1]节奏总纲!AA13</f>
        <v>4.1267529732885971E-2</v>
      </c>
      <c r="Q13" s="4">
        <v>10</v>
      </c>
      <c r="R13" s="4">
        <f>[1]节奏总纲!AD13</f>
        <v>34.585942742481357</v>
      </c>
      <c r="S13" s="4">
        <f>[1]节奏总纲!AE13</f>
        <v>36.36169634498642</v>
      </c>
      <c r="T13" s="4">
        <f>[1]节奏总纲!AF13</f>
        <v>38.977035507933373</v>
      </c>
      <c r="U13" s="4">
        <f>[1]节奏总纲!AG13</f>
        <v>42.970748198558951</v>
      </c>
      <c r="V13" s="4">
        <f>[1]节奏总纲!AH13</f>
        <v>51.212821897464167</v>
      </c>
      <c r="Z13" s="4">
        <v>10</v>
      </c>
      <c r="AA13" s="4">
        <f>[1]节奏总纲!AM13</f>
        <v>0.75</v>
      </c>
      <c r="AB13" s="4">
        <f>[1]节奏总纲!AN13</f>
        <v>0.60000000000000009</v>
      </c>
      <c r="AC13" s="4">
        <f>[1]节奏总纲!AO13</f>
        <v>0.44999999999999996</v>
      </c>
      <c r="AD13" s="4">
        <f>[1]节奏总纲!AP13</f>
        <v>0.30000000000000004</v>
      </c>
      <c r="AE13" s="4">
        <f>[1]节奏总纲!AQ13</f>
        <v>0.15000000000000002</v>
      </c>
      <c r="AG13" s="4">
        <v>10</v>
      </c>
      <c r="AH13" s="4">
        <f>[1]节奏总纲!AT13</f>
        <v>0.17909348176756579</v>
      </c>
      <c r="AI13" s="4">
        <f>[1]节奏总纲!AU13</f>
        <v>0.1432747854140527</v>
      </c>
      <c r="AJ13" s="4">
        <f>[1]节奏总纲!AV13</f>
        <v>0.10745608906053944</v>
      </c>
      <c r="AK13" s="4">
        <f>[1]节奏总纲!AW13</f>
        <v>7.1637392707026348E-2</v>
      </c>
      <c r="AL13" s="4">
        <f>[1]节奏总纲!AX13</f>
        <v>3.5818696353513174E-2</v>
      </c>
      <c r="AM13" s="4"/>
      <c r="AN13" s="4">
        <v>10</v>
      </c>
      <c r="AO13" s="4">
        <f>[1]节奏总纲!BA13</f>
        <v>23.710496742673982</v>
      </c>
      <c r="AP13" s="4">
        <f>[1]节奏总纲!BB13</f>
        <v>25.044229735272328</v>
      </c>
      <c r="AQ13" s="4">
        <f>[1]节奏总纲!BC13</f>
        <v>26.755953543357073</v>
      </c>
      <c r="AR13" s="4">
        <f>[1]节奏总纲!BD13</f>
        <v>29.216428548527322</v>
      </c>
      <c r="AS13" s="4">
        <f>[1]节奏总纲!BE13</f>
        <v>33.487933395889513</v>
      </c>
    </row>
    <row r="14" spans="2:45" x14ac:dyDescent="0.15">
      <c r="B14" s="4">
        <f>[1]节奏总纲!N14</f>
        <v>21</v>
      </c>
      <c r="C14" s="4">
        <v>11</v>
      </c>
      <c r="D14" s="4">
        <f>[1]节奏总纲!P14</f>
        <v>1.1435469250725863</v>
      </c>
      <c r="E14" s="4">
        <f>[1]节奏总纲!Q14</f>
        <v>0.98036277886472811</v>
      </c>
      <c r="F14" s="4">
        <f>[1]节奏总纲!R14</f>
        <v>0.79453640354043287</v>
      </c>
      <c r="G14" s="4">
        <f>[1]节奏总纲!S14</f>
        <v>0.57577587677404707</v>
      </c>
      <c r="H14" s="4">
        <f>[1]节奏总纲!T14</f>
        <v>0.31767733578516444</v>
      </c>
      <c r="J14" s="4">
        <v>11</v>
      </c>
      <c r="K14" s="4">
        <f>[1]节奏总纲!W14</f>
        <v>0.14354692507258626</v>
      </c>
      <c r="L14" s="4">
        <f>[1]节奏总纲!X14</f>
        <v>0.12556277886472811</v>
      </c>
      <c r="M14" s="4">
        <f>[1]节奏总纲!Y14</f>
        <v>0.10503640354043287</v>
      </c>
      <c r="N14" s="4">
        <f>[1]节奏总纲!Z14</f>
        <v>7.5975876774047046E-2</v>
      </c>
      <c r="O14" s="4">
        <f>[1]节奏总纲!AA14</f>
        <v>4.447733578516444E-2</v>
      </c>
      <c r="Q14" s="4">
        <v>11</v>
      </c>
      <c r="R14" s="4">
        <f>[1]节奏总纲!AD14</f>
        <v>35.845161563010116</v>
      </c>
      <c r="S14" s="4">
        <f>[1]节奏总纲!AE14</f>
        <v>37.6388925299823</v>
      </c>
      <c r="T14" s="4">
        <f>[1]节奏总纲!AF14</f>
        <v>40.259528204263837</v>
      </c>
      <c r="U14" s="4">
        <f>[1]节奏总纲!AG14</f>
        <v>44.288230531994081</v>
      </c>
      <c r="V14" s="4">
        <f>[1]节奏总纲!AH14</f>
        <v>52.559419343629337</v>
      </c>
      <c r="Z14" s="4">
        <v>11</v>
      </c>
      <c r="AA14" s="4">
        <f>[1]节奏总纲!AM14</f>
        <v>0.93464628919691628</v>
      </c>
      <c r="AB14" s="4">
        <f>[1]节奏总纲!AN14</f>
        <v>0.74771703135753309</v>
      </c>
      <c r="AC14" s="4">
        <f>[1]节奏总纲!AO14</f>
        <v>0.56078777351814979</v>
      </c>
      <c r="AD14" s="4">
        <f>[1]节奏总纲!AP14</f>
        <v>0.37385851567876655</v>
      </c>
      <c r="AE14" s="4">
        <f>[1]节奏总纲!AQ14</f>
        <v>0.18692925783938327</v>
      </c>
      <c r="AG14" s="4">
        <v>11</v>
      </c>
      <c r="AH14" s="4">
        <f>[1]节奏总纲!AT14</f>
        <v>0.18464628919691628</v>
      </c>
      <c r="AI14" s="4">
        <f>[1]节奏总纲!AU14</f>
        <v>0.147717031357533</v>
      </c>
      <c r="AJ14" s="4">
        <f>[1]节奏总纲!AV14</f>
        <v>0.11078777351814983</v>
      </c>
      <c r="AK14" s="4">
        <f>[1]节奏总纲!AW14</f>
        <v>7.3858515678766501E-2</v>
      </c>
      <c r="AL14" s="4">
        <f>[1]节奏总纲!AX14</f>
        <v>3.692925783938325E-2</v>
      </c>
      <c r="AM14" s="4"/>
      <c r="AN14" s="4">
        <v>11</v>
      </c>
      <c r="AO14" s="4">
        <f>[1]节奏总纲!BA14</f>
        <v>24.272927064840161</v>
      </c>
      <c r="AP14" s="4">
        <f>[1]节奏总纲!BB14</f>
        <v>25.597101426176433</v>
      </c>
      <c r="AQ14" s="4">
        <f>[1]节奏总纲!BC14</f>
        <v>27.327481651231444</v>
      </c>
      <c r="AR14" s="4">
        <f>[1]节奏总纲!BD14</f>
        <v>29.80118336305917</v>
      </c>
      <c r="AS14" s="4">
        <f>[1]节奏总纲!BE14</f>
        <v>34.09469189131628</v>
      </c>
    </row>
    <row r="15" spans="2:45" x14ac:dyDescent="0.15">
      <c r="B15" s="4">
        <f>[1]节奏总纲!N15</f>
        <v>22</v>
      </c>
      <c r="C15" s="4">
        <v>12</v>
      </c>
      <c r="D15" s="4">
        <f>[1]节奏总纲!P15</f>
        <v>1.2973967099940702</v>
      </c>
      <c r="E15" s="4">
        <f>[1]节奏总纲!Q15</f>
        <v>1.1126474184909145</v>
      </c>
      <c r="F15" s="4">
        <f>[1]节奏总纲!R15</f>
        <v>0.9058423829178599</v>
      </c>
      <c r="G15" s="4">
        <f>[1]节奏总纲!S15</f>
        <v>0.66219128078097333</v>
      </c>
      <c r="H15" s="4">
        <f>[1]节奏总纲!T15</f>
        <v>0.36560639287632896</v>
      </c>
      <c r="J15" s="4">
        <v>12</v>
      </c>
      <c r="K15" s="4">
        <f>[1]节奏总纲!W15</f>
        <v>0.15384978492148393</v>
      </c>
      <c r="L15" s="4">
        <f>[1]节奏总纲!X15</f>
        <v>0.13228463962618642</v>
      </c>
      <c r="M15" s="4">
        <f>[1]节奏总纲!Y15</f>
        <v>0.11130597937742703</v>
      </c>
      <c r="N15" s="4">
        <f>[1]节奏总纲!Z15</f>
        <v>8.6415404006926266E-2</v>
      </c>
      <c r="O15" s="4">
        <f>[1]节奏总纲!AA15</f>
        <v>4.7929057091164518E-2</v>
      </c>
      <c r="Q15" s="4">
        <v>12</v>
      </c>
      <c r="R15" s="4">
        <f>[1]节奏总纲!AD15</f>
        <v>37.004247194324648</v>
      </c>
      <c r="S15" s="4">
        <f>[1]节奏总纲!AE15</f>
        <v>38.827998824669805</v>
      </c>
      <c r="T15" s="4">
        <f>[1]节奏总纲!AF15</f>
        <v>41.408320762540754</v>
      </c>
      <c r="U15" s="4">
        <f>[1]节奏总纲!AG15</f>
        <v>45.500930067545958</v>
      </c>
      <c r="V15" s="4">
        <f>[1]节奏总纲!AH15</f>
        <v>53.855547243088772</v>
      </c>
      <c r="Z15" s="4">
        <v>12</v>
      </c>
      <c r="AA15" s="4">
        <f>[1]节奏总纲!AM15</f>
        <v>1.1550685436347259</v>
      </c>
      <c r="AB15" s="4">
        <f>[1]节奏总纲!AN15</f>
        <v>0.92405483490778073</v>
      </c>
      <c r="AC15" s="4">
        <f>[1]节奏总纲!AO15</f>
        <v>0.69304112618083547</v>
      </c>
      <c r="AD15" s="4">
        <f>[1]节奏总纲!AP15</f>
        <v>0.46202741745389037</v>
      </c>
      <c r="AE15" s="4">
        <f>[1]节奏总纲!AQ15</f>
        <v>0.23101370872694518</v>
      </c>
      <c r="AG15" s="4">
        <v>12</v>
      </c>
      <c r="AH15" s="4">
        <f>[1]节奏总纲!AT15</f>
        <v>0.22042225443780961</v>
      </c>
      <c r="AI15" s="4">
        <f>[1]节奏总纲!AU15</f>
        <v>0.17633780355024764</v>
      </c>
      <c r="AJ15" s="4">
        <f>[1]节奏总纲!AV15</f>
        <v>0.13225335266268567</v>
      </c>
      <c r="AK15" s="4">
        <f>[1]节奏总纲!AW15</f>
        <v>8.816890177512382E-2</v>
      </c>
      <c r="AL15" s="4">
        <f>[1]节奏总纲!AX15</f>
        <v>4.408445088756191E-2</v>
      </c>
      <c r="AM15" s="4"/>
      <c r="AN15" s="4">
        <v>12</v>
      </c>
      <c r="AO15" s="4">
        <f>[1]节奏总纲!BA15</f>
        <v>24.792264875668618</v>
      </c>
      <c r="AP15" s="4">
        <f>[1]节奏总纲!BB15</f>
        <v>26.127796402772656</v>
      </c>
      <c r="AQ15" s="4">
        <f>[1]节奏总纲!BC15</f>
        <v>27.863030247590562</v>
      </c>
      <c r="AR15" s="4">
        <f>[1]节奏总纲!BD15</f>
        <v>30.329493925593439</v>
      </c>
      <c r="AS15" s="4">
        <f>[1]节奏总纲!BE15</f>
        <v>34.627226072894942</v>
      </c>
    </row>
    <row r="16" spans="2:45" x14ac:dyDescent="0.15">
      <c r="B16" s="4">
        <f>[1]节奏总纲!N16</f>
        <v>23</v>
      </c>
      <c r="C16" s="4">
        <v>13</v>
      </c>
      <c r="D16" s="4">
        <f>[1]节奏总纲!P16</f>
        <v>1.4622888266898326</v>
      </c>
      <c r="E16" s="4">
        <f>[1]节奏总纲!Q16</f>
        <v>1.2628326307293396</v>
      </c>
      <c r="F16" s="4">
        <f>[1]节奏总纲!R16</f>
        <v>1.0294513339896421</v>
      </c>
      <c r="G16" s="4">
        <f>[1]节奏总纲!S16</f>
        <v>0.75556463675063656</v>
      </c>
      <c r="H16" s="4">
        <f>[1]节奏总纲!T16</f>
        <v>0.41865329108129906</v>
      </c>
      <c r="J16" s="4">
        <v>13</v>
      </c>
      <c r="K16" s="4">
        <f>[1]节奏总纲!W16</f>
        <v>0.16489211669576243</v>
      </c>
      <c r="L16" s="4">
        <f>[1]节奏总纲!X16</f>
        <v>0.15018521223842507</v>
      </c>
      <c r="M16" s="4">
        <f>[1]节奏总纲!Y16</f>
        <v>0.12360895107178216</v>
      </c>
      <c r="N16" s="4">
        <f>[1]节奏总纲!Z16</f>
        <v>9.337335596966323E-2</v>
      </c>
      <c r="O16" s="4">
        <f>[1]节奏总纲!AA16</f>
        <v>5.3046898204970105E-2</v>
      </c>
      <c r="Q16" s="4">
        <v>13</v>
      </c>
      <c r="R16" s="4">
        <f>[1]节奏总纲!AD16</f>
        <v>38.071211008105138</v>
      </c>
      <c r="S16" s="4">
        <f>[1]节奏总纲!AE16</f>
        <v>39.935302111946527</v>
      </c>
      <c r="T16" s="4">
        <f>[1]节奏总纲!AF16</f>
        <v>42.470214785133983</v>
      </c>
      <c r="U16" s="4">
        <f>[1]节奏总纲!AG16</f>
        <v>46.631096344914496</v>
      </c>
      <c r="V16" s="4">
        <f>[1]节奏总纲!AH16</f>
        <v>55.062101953238496</v>
      </c>
      <c r="Z16" s="4">
        <v>13</v>
      </c>
      <c r="AA16" s="4">
        <f>[1]节奏总纲!AM16</f>
        <v>1.417602554491646</v>
      </c>
      <c r="AB16" s="4">
        <f>[1]节奏总纲!AN16</f>
        <v>1.1340820435933168</v>
      </c>
      <c r="AC16" s="4">
        <f>[1]节奏总纲!AO16</f>
        <v>0.85056153269498758</v>
      </c>
      <c r="AD16" s="4">
        <f>[1]节奏总纲!AP16</f>
        <v>0.56704102179665838</v>
      </c>
      <c r="AE16" s="4">
        <f>[1]节奏总纲!AQ16</f>
        <v>0.28352051089832919</v>
      </c>
      <c r="AG16" s="4">
        <v>13</v>
      </c>
      <c r="AH16" s="4">
        <f>[1]节奏总纲!AT16</f>
        <v>0.26253401085692007</v>
      </c>
      <c r="AI16" s="4">
        <f>[1]节奏总纲!AU16</f>
        <v>0.21002720868553604</v>
      </c>
      <c r="AJ16" s="4">
        <f>[1]节奏总纲!AV16</f>
        <v>0.15752040651415211</v>
      </c>
      <c r="AK16" s="4">
        <f>[1]节奏总纲!AW16</f>
        <v>0.10501360434276802</v>
      </c>
      <c r="AL16" s="4">
        <f>[1]节奏总纲!AX16</f>
        <v>5.2506802171384009E-2</v>
      </c>
      <c r="AM16" s="4"/>
      <c r="AN16" s="4">
        <v>13</v>
      </c>
      <c r="AO16" s="4">
        <f>[1]节奏总纲!BA16</f>
        <v>25.265378411633971</v>
      </c>
      <c r="AP16" s="4">
        <f>[1]节奏总纲!BB16</f>
        <v>26.598914258210968</v>
      </c>
      <c r="AQ16" s="4">
        <f>[1]节奏总纲!BC16</f>
        <v>28.339982398803929</v>
      </c>
      <c r="AR16" s="4">
        <f>[1]节奏总纲!BD16</f>
        <v>30.828727146189561</v>
      </c>
      <c r="AS16" s="4">
        <f>[1]节奏总纲!BE16</f>
        <v>35.146386283795508</v>
      </c>
    </row>
    <row r="17" spans="2:45" x14ac:dyDescent="0.15">
      <c r="B17" s="4">
        <f>[1]节奏总纲!N17</f>
        <v>24</v>
      </c>
      <c r="C17" s="4">
        <v>14</v>
      </c>
      <c r="D17" s="4">
        <f>[1]节奏总纲!P17</f>
        <v>1.6390158215457884</v>
      </c>
      <c r="E17" s="4">
        <f>[1]节奏总纲!Q17</f>
        <v>1.4136511460832426</v>
      </c>
      <c r="F17" s="4">
        <f>[1]节奏总纲!R17</f>
        <v>1.1545227446968533</v>
      </c>
      <c r="G17" s="4">
        <f>[1]节奏总纲!S17</f>
        <v>0.84605996708193598</v>
      </c>
      <c r="H17" s="4">
        <f>[1]节奏总纲!T17</f>
        <v>0.46810291863347719</v>
      </c>
      <c r="J17" s="4">
        <v>14</v>
      </c>
      <c r="K17" s="4">
        <f>[1]节奏总纲!W17</f>
        <v>0.17672699485595578</v>
      </c>
      <c r="L17" s="4">
        <f>[1]节奏总纲!X17</f>
        <v>0.150818515353903</v>
      </c>
      <c r="M17" s="4">
        <f>[1]节奏总纲!Y17</f>
        <v>0.12507141070721128</v>
      </c>
      <c r="N17" s="4">
        <f>[1]节奏总纲!Z17</f>
        <v>9.0495330331299417E-2</v>
      </c>
      <c r="O17" s="4">
        <f>[1]节奏总纲!AA17</f>
        <v>4.9449627552178133E-2</v>
      </c>
      <c r="Q17" s="4">
        <v>14</v>
      </c>
      <c r="R17" s="4">
        <f>[1]节奏总纲!AD17</f>
        <v>39.066704614192943</v>
      </c>
      <c r="S17" s="4">
        <f>[1]节奏总纲!AE17</f>
        <v>40.935169244165145</v>
      </c>
      <c r="T17" s="4">
        <f>[1]节奏总纲!AF17</f>
        <v>43.484929789964411</v>
      </c>
      <c r="U17" s="4">
        <f>[1]节奏总纲!AG17</f>
        <v>47.711408234944486</v>
      </c>
      <c r="V17" s="4">
        <f>[1]节奏总纲!AH17</f>
        <v>56.165983112651688</v>
      </c>
      <c r="Z17" s="4">
        <v>14</v>
      </c>
      <c r="AA17" s="4">
        <f>[1]节奏总纲!AM17</f>
        <v>1.7296773068470075</v>
      </c>
      <c r="AB17" s="4">
        <f>[1]节奏总纲!AN17</f>
        <v>1.383741845477606</v>
      </c>
      <c r="AC17" s="4">
        <f>[1]节奏总纲!AO17</f>
        <v>1.0378063841082044</v>
      </c>
      <c r="AD17" s="4">
        <f>[1]节奏总纲!AP17</f>
        <v>0.69187092273880302</v>
      </c>
      <c r="AE17" s="4">
        <f>[1]节奏总纲!AQ17</f>
        <v>0.34593546136940151</v>
      </c>
      <c r="AG17" s="4">
        <v>14</v>
      </c>
      <c r="AH17" s="4">
        <f>[1]节奏总纲!AT17</f>
        <v>0.31207475235536153</v>
      </c>
      <c r="AI17" s="4">
        <f>[1]节奏总纲!AU17</f>
        <v>0.24965980188428927</v>
      </c>
      <c r="AJ17" s="4">
        <f>[1]节奏总纲!AV17</f>
        <v>0.18724485141321678</v>
      </c>
      <c r="AK17" s="4">
        <f>[1]节奏总纲!AW17</f>
        <v>0.12482990094214463</v>
      </c>
      <c r="AL17" s="4">
        <f>[1]节奏总纲!AX17</f>
        <v>6.2414950471072317E-2</v>
      </c>
      <c r="AM17" s="4"/>
      <c r="AN17" s="4">
        <v>14</v>
      </c>
      <c r="AO17" s="4">
        <f>[1]节奏总纲!BA17</f>
        <v>25.707675764357255</v>
      </c>
      <c r="AP17" s="4">
        <f>[1]节奏总纲!BB17</f>
        <v>27.059707353051884</v>
      </c>
      <c r="AQ17" s="4">
        <f>[1]节奏总纲!BC17</f>
        <v>28.796798156163181</v>
      </c>
      <c r="AR17" s="4">
        <f>[1]节奏总纲!BD17</f>
        <v>31.280110398778046</v>
      </c>
      <c r="AS17" s="4">
        <f>[1]节奏总纲!BE17</f>
        <v>35.634340563113874</v>
      </c>
    </row>
    <row r="18" spans="2:45" x14ac:dyDescent="0.15">
      <c r="B18" s="4">
        <f>[1]节奏总纲!N18</f>
        <v>25</v>
      </c>
      <c r="C18" s="4">
        <v>15</v>
      </c>
      <c r="D18" s="4">
        <f>[1]节奏总纲!P18</f>
        <v>1.8284271247461898</v>
      </c>
      <c r="E18" s="4">
        <f>[1]节奏总纲!Q18</f>
        <v>1.5793953503557587</v>
      </c>
      <c r="F18" s="4">
        <f>[1]节奏总纲!R18</f>
        <v>1.2928808199080308</v>
      </c>
      <c r="G18" s="4">
        <f>[1]节奏总纲!S18</f>
        <v>0.94895367774327255</v>
      </c>
      <c r="H18" s="4">
        <f>[1]节奏总纲!T18</f>
        <v>0.5271355400643265</v>
      </c>
      <c r="J18" s="4">
        <v>15</v>
      </c>
      <c r="K18" s="4">
        <f>[1]节奏总纲!W18</f>
        <v>0.18941130320040145</v>
      </c>
      <c r="L18" s="4">
        <f>[1]节奏总纲!X18</f>
        <v>0.16574420427251613</v>
      </c>
      <c r="M18" s="4">
        <f>[1]节奏总纲!Y18</f>
        <v>0.13835807521117749</v>
      </c>
      <c r="N18" s="4">
        <f>[1]节奏总纲!Z18</f>
        <v>0.10289371066133657</v>
      </c>
      <c r="O18" s="4">
        <f>[1]节奏总纲!AA18</f>
        <v>5.9032621430849308E-2</v>
      </c>
      <c r="Q18" s="4">
        <v>15</v>
      </c>
      <c r="R18" s="4">
        <f>[1]节奏总纲!AD18</f>
        <v>40</v>
      </c>
      <c r="S18" s="4">
        <f>[1]节奏总纲!AE18</f>
        <v>41.83669503626701</v>
      </c>
      <c r="T18" s="4">
        <f>[1]节奏总纲!AF18</f>
        <v>44.442238853326032</v>
      </c>
      <c r="U18" s="4">
        <f>[1]节奏总纲!AG18</f>
        <v>48.731413734867289</v>
      </c>
      <c r="V18" s="4">
        <f>[1]节奏总纲!AH18</f>
        <v>57.176846218996921</v>
      </c>
      <c r="Z18" s="4">
        <v>15</v>
      </c>
      <c r="AA18" s="4">
        <f>[1]节奏总纲!AM18</f>
        <v>2.1</v>
      </c>
      <c r="AB18" s="4">
        <f>[1]节奏总纲!AN18</f>
        <v>1.6800000000000002</v>
      </c>
      <c r="AC18" s="4">
        <f>[1]节奏总纲!AO18</f>
        <v>1.26</v>
      </c>
      <c r="AD18" s="4">
        <f>[1]节奏总纲!AP18</f>
        <v>0.84000000000000008</v>
      </c>
      <c r="AE18" s="4">
        <f>[1]节奏总纲!AQ18</f>
        <v>0.42000000000000004</v>
      </c>
      <c r="AG18" s="4">
        <v>15</v>
      </c>
      <c r="AH18" s="4">
        <f>[1]节奏总纲!AT18</f>
        <v>0.3703226931529926</v>
      </c>
      <c r="AI18" s="4">
        <f>[1]节奏总纲!AU18</f>
        <v>0.29625815452239412</v>
      </c>
      <c r="AJ18" s="4">
        <f>[1]节奏总纲!AV18</f>
        <v>0.22219361589179565</v>
      </c>
      <c r="AK18" s="4">
        <f>[1]节奏总纲!AW18</f>
        <v>0.14812907726119706</v>
      </c>
      <c r="AL18" s="4">
        <f>[1]节奏总纲!AX18</f>
        <v>7.4064538630598531E-2</v>
      </c>
      <c r="AM18" s="4"/>
      <c r="AN18" s="4">
        <v>15</v>
      </c>
      <c r="AO18" s="4">
        <f>[1]节奏总纲!BA18</f>
        <v>26.127796402772656</v>
      </c>
      <c r="AP18" s="4">
        <f>[1]节奏总纲!BB18</f>
        <v>27.461368800321225</v>
      </c>
      <c r="AQ18" s="4">
        <f>[1]节奏总纲!BC18</f>
        <v>29.216428548527322</v>
      </c>
      <c r="AR18" s="4">
        <f>[1]节奏总纲!BD18</f>
        <v>31.706504654507764</v>
      </c>
      <c r="AS18" s="4">
        <f>[1]节奏总纲!BE18</f>
        <v>36.105477566569242</v>
      </c>
    </row>
    <row r="19" spans="2:45" x14ac:dyDescent="0.15">
      <c r="B19" s="4">
        <f>[1]节奏总纲!N19</f>
        <v>26</v>
      </c>
      <c r="C19" s="4">
        <v>16</v>
      </c>
      <c r="D19" s="4">
        <f>[1]节奏总纲!P19</f>
        <v>2.031433133020796</v>
      </c>
      <c r="E19" s="4">
        <f>[1]节奏总纲!Q19</f>
        <v>1.7586116632561031</v>
      </c>
      <c r="F19" s="4">
        <f>[1]节奏总纲!R19</f>
        <v>1.4398798046851402</v>
      </c>
      <c r="G19" s="4">
        <f>[1]节奏总纲!S19</f>
        <v>1.0618300986299702</v>
      </c>
      <c r="H19" s="4">
        <f>[1]节奏总纲!T19</f>
        <v>0.59460047803518701</v>
      </c>
      <c r="J19" s="4">
        <v>16</v>
      </c>
      <c r="K19" s="4">
        <f>[1]节奏总纲!W19</f>
        <v>0.20300600827460613</v>
      </c>
      <c r="L19" s="4">
        <f>[1]节奏总纲!X19</f>
        <v>0.17921631290034434</v>
      </c>
      <c r="M19" s="4">
        <f>[1]节奏总纲!Y19</f>
        <v>0.14699898477710938</v>
      </c>
      <c r="N19" s="4">
        <f>[1]节奏总纲!Z19</f>
        <v>0.11287642088669769</v>
      </c>
      <c r="O19" s="4">
        <f>[1]节奏总纲!AA19</f>
        <v>6.7464937970860506E-2</v>
      </c>
      <c r="Q19" s="4">
        <v>16</v>
      </c>
      <c r="R19" s="4">
        <f>[1]节奏总纲!AD19</f>
        <v>40.870795385807064</v>
      </c>
      <c r="S19" s="4">
        <f>[1]节奏总纲!AE19</f>
        <v>42.707142308553742</v>
      </c>
      <c r="T19" s="4">
        <f>[1]节奏总纲!AF19</f>
        <v>45.343250058486468</v>
      </c>
      <c r="U19" s="4">
        <f>[1]节奏总纲!AG19</f>
        <v>49.654306534727205</v>
      </c>
      <c r="V19" s="4">
        <f>[1]节奏总纲!AH19</f>
        <v>58.12511610143563</v>
      </c>
      <c r="Z19" s="4">
        <v>16</v>
      </c>
      <c r="AA19" s="4">
        <f>[1]节奏总纲!AM19</f>
        <v>2.5387719203926467</v>
      </c>
      <c r="AB19" s="4">
        <f>[1]节奏总纲!AN19</f>
        <v>2.0310175363141174</v>
      </c>
      <c r="AC19" s="4">
        <f>[1]节奏总纲!AO19</f>
        <v>1.5232631522355879</v>
      </c>
      <c r="AD19" s="4">
        <f>[1]节奏总纲!AP19</f>
        <v>1.0155087681570587</v>
      </c>
      <c r="AE19" s="4">
        <f>[1]节奏总纲!AQ19</f>
        <v>0.50775438407852935</v>
      </c>
      <c r="AG19" s="4">
        <v>16</v>
      </c>
      <c r="AH19" s="4">
        <f>[1]节奏总纲!AT19</f>
        <v>0.43877192039264656</v>
      </c>
      <c r="AI19" s="4">
        <f>[1]节奏总纲!AU19</f>
        <v>0.35101753631411725</v>
      </c>
      <c r="AJ19" s="4">
        <f>[1]节奏总纲!AV19</f>
        <v>0.26326315223558794</v>
      </c>
      <c r="AK19" s="4">
        <f>[1]节奏总纲!AW19</f>
        <v>0.17550876815705863</v>
      </c>
      <c r="AL19" s="4">
        <f>[1]节奏总纲!AX19</f>
        <v>8.7754384078529313E-2</v>
      </c>
      <c r="AM19" s="4"/>
      <c r="AN19" s="4">
        <v>16</v>
      </c>
      <c r="AO19" s="4">
        <f>[1]节奏总纲!BA19</f>
        <v>26.504690687123308</v>
      </c>
      <c r="AP19" s="4">
        <f>[1]节奏总纲!BB19</f>
        <v>27.863030247590562</v>
      </c>
      <c r="AQ19" s="4">
        <f>[1]节奏总纲!BC19</f>
        <v>29.606265091548554</v>
      </c>
      <c r="AR19" s="4">
        <f>[1]节奏总纲!BD19</f>
        <v>32.113552950216736</v>
      </c>
      <c r="AS19" s="4">
        <f>[1]节奏总纲!BE19</f>
        <v>36.526331209747774</v>
      </c>
    </row>
    <row r="20" spans="2:45" x14ac:dyDescent="0.15">
      <c r="B20" s="4">
        <f>[1]节奏总纲!N20</f>
        <v>27</v>
      </c>
      <c r="C20" s="4">
        <v>17</v>
      </c>
      <c r="D20" s="4">
        <f>[1]节奏总纲!P20</f>
        <v>2.2490095854249419</v>
      </c>
      <c r="E20" s="4">
        <f>[1]节奏总纲!Q20</f>
        <v>1.9433691827656923</v>
      </c>
      <c r="F20" s="4">
        <f>[1]节奏总纲!R20</f>
        <v>1.5904995788125189</v>
      </c>
      <c r="G20" s="4">
        <f>[1]节奏总纲!S20</f>
        <v>1.1742079045503622</v>
      </c>
      <c r="H20" s="4">
        <f>[1]节奏总纲!T20</f>
        <v>0.65311238360740309</v>
      </c>
      <c r="J20" s="4">
        <v>17</v>
      </c>
      <c r="K20" s="4">
        <f>[1]节奏总纲!W20</f>
        <v>0.21757645240414591</v>
      </c>
      <c r="L20" s="4">
        <f>[1]节奏总纲!X20</f>
        <v>0.18475751950958919</v>
      </c>
      <c r="M20" s="4">
        <f>[1]节奏总纲!Y20</f>
        <v>0.1506197741273787</v>
      </c>
      <c r="N20" s="4">
        <f>[1]节奏总纲!Z20</f>
        <v>0.11237780592039193</v>
      </c>
      <c r="O20" s="4">
        <f>[1]节奏总纲!AA20</f>
        <v>5.8511905572216083E-2</v>
      </c>
      <c r="Q20" s="4">
        <v>17</v>
      </c>
      <c r="R20" s="4">
        <f>[1]节奏总纲!AD20</f>
        <v>41.691928656135218</v>
      </c>
      <c r="S20" s="4">
        <f>[1]节奏总纲!AE20</f>
        <v>43.535389560453282</v>
      </c>
      <c r="T20" s="4">
        <f>[1]节奏总纲!AF20</f>
        <v>46.195785611164197</v>
      </c>
      <c r="U20" s="4">
        <f>[1]节奏总纲!AG20</f>
        <v>50.510850036206186</v>
      </c>
      <c r="V20" s="4">
        <f>[1]节奏总纲!AH20</f>
        <v>58.996855914896834</v>
      </c>
      <c r="Z20" s="4">
        <v>17</v>
      </c>
      <c r="AA20" s="4">
        <f>[1]节奏总纲!AM20</f>
        <v>3.0579402515786085</v>
      </c>
      <c r="AB20" s="4">
        <f>[1]节奏总纲!AN20</f>
        <v>2.4463522012628869</v>
      </c>
      <c r="AC20" s="4">
        <f>[1]节奏总纲!AO20</f>
        <v>1.8347641509471651</v>
      </c>
      <c r="AD20" s="4">
        <f>[1]节奏总纲!AP20</f>
        <v>1.2231761006314434</v>
      </c>
      <c r="AE20" s="4">
        <f>[1]节奏总纲!AQ20</f>
        <v>0.61158805031572172</v>
      </c>
      <c r="AG20" s="4">
        <v>17</v>
      </c>
      <c r="AH20" s="4">
        <f>[1]节奏总纲!AT20</f>
        <v>0.51916833118596184</v>
      </c>
      <c r="AI20" s="4">
        <f>[1]节奏总纲!AU20</f>
        <v>0.41533466494876947</v>
      </c>
      <c r="AJ20" s="4">
        <f>[1]节奏总纲!AV20</f>
        <v>0.3115009987115771</v>
      </c>
      <c r="AK20" s="4">
        <f>[1]节奏总纲!AW20</f>
        <v>0.20766733247438474</v>
      </c>
      <c r="AL20" s="4">
        <f>[1]节奏总纲!AX20</f>
        <v>0.10383366623719237</v>
      </c>
      <c r="AM20" s="4"/>
      <c r="AN20" s="4">
        <v>17</v>
      </c>
      <c r="AO20" s="4">
        <f>[1]节奏总纲!BA20</f>
        <v>26.881584971473956</v>
      </c>
      <c r="AP20" s="4">
        <f>[1]节奏总纲!BB20</f>
        <v>28.225778459464117</v>
      </c>
      <c r="AQ20" s="4">
        <f>[1]节奏总纲!BC20</f>
        <v>29.996101634569786</v>
      </c>
      <c r="AR20" s="4">
        <f>[1]节奏总纲!BD20</f>
        <v>32.477877425165822</v>
      </c>
      <c r="AS20" s="4">
        <f>[1]节奏总纲!BE20</f>
        <v>36.947184852926306</v>
      </c>
    </row>
    <row r="21" spans="2:45" x14ac:dyDescent="0.15">
      <c r="B21" s="4">
        <f>[1]节奏总纲!N21</f>
        <v>28</v>
      </c>
      <c r="C21" s="4">
        <v>18</v>
      </c>
      <c r="D21" s="4">
        <f>[1]节奏总纲!P21</f>
        <v>2.4822022531844965</v>
      </c>
      <c r="E21" s="4">
        <f>[1]节奏总纲!Q21</f>
        <v>2.1515729130603214</v>
      </c>
      <c r="F21" s="4">
        <f>[1]节奏总纲!R21</f>
        <v>1.7690655458445907</v>
      </c>
      <c r="G21" s="4">
        <f>[1]节奏总纲!S21</f>
        <v>1.3066312660763189</v>
      </c>
      <c r="H21" s="4">
        <f>[1]节奏总纲!T21</f>
        <v>0.72554771860582834</v>
      </c>
      <c r="J21" s="4">
        <v>18</v>
      </c>
      <c r="K21" s="4">
        <f>[1]节奏总纲!W21</f>
        <v>0.23319266775955461</v>
      </c>
      <c r="L21" s="4">
        <f>[1]节奏总纲!X21</f>
        <v>0.20820373029462913</v>
      </c>
      <c r="M21" s="4">
        <f>[1]节奏总纲!Y21</f>
        <v>0.17856596703207184</v>
      </c>
      <c r="N21" s="4">
        <f>[1]节奏总纲!Z21</f>
        <v>0.13242336152595668</v>
      </c>
      <c r="O21" s="4">
        <f>[1]节奏总纲!AA21</f>
        <v>7.2435334998425249E-2</v>
      </c>
      <c r="Q21" s="4">
        <v>18</v>
      </c>
      <c r="R21" s="4">
        <f>[1]节奏总纲!AD21</f>
        <v>42.470630686057078</v>
      </c>
      <c r="S21" s="4">
        <f>[1]节奏总纲!AE21</f>
        <v>44.32123076997032</v>
      </c>
      <c r="T21" s="4">
        <f>[1]节奏总纲!AF21</f>
        <v>47.002405448181747</v>
      </c>
      <c r="U21" s="4">
        <f>[1]节奏总纲!AG21</f>
        <v>51.307235833425089</v>
      </c>
      <c r="V21" s="4">
        <f>[1]节奏总纲!AH21</f>
        <v>59.782901351568675</v>
      </c>
      <c r="Z21" s="4">
        <v>18</v>
      </c>
      <c r="AA21" s="4">
        <f>[1]节奏总纲!AM21</f>
        <v>3.671491735587451</v>
      </c>
      <c r="AB21" s="4">
        <f>[1]节奏总纲!AN21</f>
        <v>2.9371933884699608</v>
      </c>
      <c r="AC21" s="4">
        <f>[1]节奏总纲!AO21</f>
        <v>2.2028950413524706</v>
      </c>
      <c r="AD21" s="4">
        <f>[1]节奏总纲!AP21</f>
        <v>1.4685966942349804</v>
      </c>
      <c r="AE21" s="4">
        <f>[1]节奏总纲!AQ21</f>
        <v>0.7342983471174902</v>
      </c>
      <c r="AG21" s="4">
        <v>18</v>
      </c>
      <c r="AH21" s="4">
        <f>[1]节奏总纲!AT21</f>
        <v>0.61355148400884252</v>
      </c>
      <c r="AI21" s="4">
        <f>[1]节奏总纲!AU21</f>
        <v>0.49084118720707393</v>
      </c>
      <c r="AJ21" s="4">
        <f>[1]节奏总纲!AV21</f>
        <v>0.36813089040530556</v>
      </c>
      <c r="AK21" s="4">
        <f>[1]节奏总纲!AW21</f>
        <v>0.24542059360353696</v>
      </c>
      <c r="AL21" s="4">
        <f>[1]节奏总纲!AX21</f>
        <v>0.12271029680176848</v>
      </c>
      <c r="AM21" s="4"/>
      <c r="AN21" s="4">
        <v>18</v>
      </c>
      <c r="AO21" s="4">
        <f>[1]节奏总纲!BA21</f>
        <v>27.220371931959619</v>
      </c>
      <c r="AP21" s="4">
        <f>[1]节奏总纲!BB21</f>
        <v>28.568390277483555</v>
      </c>
      <c r="AQ21" s="4">
        <f>[1]节奏总纲!BC21</f>
        <v>30.329493925593439</v>
      </c>
      <c r="AR21" s="4">
        <f>[1]节奏总纲!BD21</f>
        <v>32.842201900114915</v>
      </c>
      <c r="AS21" s="4">
        <f>[1]节奏总纲!BE21</f>
        <v>37.317457773889828</v>
      </c>
    </row>
    <row r="22" spans="2:45" x14ac:dyDescent="0.15">
      <c r="B22" s="4">
        <f>[1]节奏总纲!N22</f>
        <v>29</v>
      </c>
      <c r="C22" s="4">
        <v>19</v>
      </c>
      <c r="D22" s="4">
        <f>[1]节奏总纲!P22</f>
        <v>2.7321319661472296</v>
      </c>
      <c r="E22" s="4">
        <f>[1]节奏总纲!Q22</f>
        <v>2.3734030389920986</v>
      </c>
      <c r="F22" s="4">
        <f>[1]节奏总纲!R22</f>
        <v>1.9510154370257367</v>
      </c>
      <c r="G22" s="4">
        <f>[1]节奏总纲!S22</f>
        <v>1.4395603329629754</v>
      </c>
      <c r="H22" s="4">
        <f>[1]节奏总纲!T22</f>
        <v>0.80270037165405606</v>
      </c>
      <c r="J22" s="4">
        <v>19</v>
      </c>
      <c r="K22" s="4">
        <f>[1]节奏总纲!W22</f>
        <v>0.24992971296273314</v>
      </c>
      <c r="L22" s="4">
        <f>[1]节奏总纲!X22</f>
        <v>0.2218301259317772</v>
      </c>
      <c r="M22" s="4">
        <f>[1]节奏总纲!Y22</f>
        <v>0.18194989118114591</v>
      </c>
      <c r="N22" s="4">
        <f>[1]节奏总纲!Z22</f>
        <v>0.13292906688665651</v>
      </c>
      <c r="O22" s="4">
        <f>[1]节奏总纲!AA22</f>
        <v>7.7152653048227715E-2</v>
      </c>
      <c r="Q22" s="4">
        <v>19</v>
      </c>
      <c r="R22" s="4">
        <f>[1]节奏总纲!AD22</f>
        <v>43.213386604241784</v>
      </c>
      <c r="S22" s="4">
        <f>[1]节奏总纲!AE22</f>
        <v>45.070782602372333</v>
      </c>
      <c r="T22" s="4">
        <f>[1]节奏总纲!AF22</f>
        <v>47.752799438858894</v>
      </c>
      <c r="U22" s="4">
        <f>[1]节奏总纲!AG22</f>
        <v>52.050057424983954</v>
      </c>
      <c r="V22" s="4">
        <f>[1]节奏总纲!AH22</f>
        <v>60.54585273688761</v>
      </c>
      <c r="Z22" s="4">
        <v>19</v>
      </c>
      <c r="AA22" s="4">
        <f>[1]节奏总纲!AM22</f>
        <v>4.3957950643309154</v>
      </c>
      <c r="AB22" s="4">
        <f>[1]节奏总纲!AN22</f>
        <v>3.5166360514647326</v>
      </c>
      <c r="AC22" s="4">
        <f>[1]节奏总纲!AO22</f>
        <v>2.6374770385985493</v>
      </c>
      <c r="AD22" s="4">
        <f>[1]节奏总纲!AP22</f>
        <v>1.7583180257323663</v>
      </c>
      <c r="AE22" s="4">
        <f>[1]节奏总纲!AQ22</f>
        <v>0.87915901286618314</v>
      </c>
      <c r="AG22" s="4">
        <v>19</v>
      </c>
      <c r="AH22" s="4">
        <f>[1]节奏总纲!AT22</f>
        <v>0.72430332874346437</v>
      </c>
      <c r="AI22" s="4">
        <f>[1]节奏总纲!AU22</f>
        <v>0.57944266299477176</v>
      </c>
      <c r="AJ22" s="4">
        <f>[1]节奏总纲!AV22</f>
        <v>0.43458199724607871</v>
      </c>
      <c r="AK22" s="4">
        <f>[1]节奏总纲!AW22</f>
        <v>0.28972133149738588</v>
      </c>
      <c r="AL22" s="4">
        <f>[1]节奏总纲!AX22</f>
        <v>0.14486066574869294</v>
      </c>
      <c r="AM22" s="4"/>
      <c r="AN22" s="4">
        <v>19</v>
      </c>
      <c r="AO22" s="4">
        <f>[1]节奏总纲!BA22</f>
        <v>27.541701089775092</v>
      </c>
      <c r="AP22" s="4">
        <f>[1]节奏总纲!BB22</f>
        <v>28.911002095502997</v>
      </c>
      <c r="AQ22" s="4">
        <f>[1]节奏总纲!BC22</f>
        <v>30.662316072657521</v>
      </c>
      <c r="AR22" s="4">
        <f>[1]节奏总纲!BD22</f>
        <v>33.176527924103851</v>
      </c>
      <c r="AS22" s="4">
        <f>[1]节奏总纲!BE22</f>
        <v>37.680472138177471</v>
      </c>
    </row>
    <row r="23" spans="2:45" x14ac:dyDescent="0.15">
      <c r="B23" s="4">
        <f>[1]节奏总纲!N23</f>
        <v>30</v>
      </c>
      <c r="C23" s="4">
        <v>20</v>
      </c>
      <c r="D23" s="4">
        <f>[1]节奏总纲!P23</f>
        <v>3</v>
      </c>
      <c r="E23" s="4">
        <f>[1]节奏总纲!Q23</f>
        <v>2.6036999999999999</v>
      </c>
      <c r="F23" s="4">
        <f>[1]节奏总纲!R23</f>
        <v>2.1372</v>
      </c>
      <c r="G23" s="4">
        <f>[1]节奏总纲!S23</f>
        <v>1.5800999999999998</v>
      </c>
      <c r="H23" s="4">
        <f>[1]节奏总纲!T23</f>
        <v>0.87990000000000002</v>
      </c>
      <c r="J23" s="4">
        <v>20</v>
      </c>
      <c r="K23" s="4">
        <f>[1]节奏总纲!W23</f>
        <v>0.26786803385277036</v>
      </c>
      <c r="L23" s="4">
        <f>[1]节奏总纲!X23</f>
        <v>0.23029696100790131</v>
      </c>
      <c r="M23" s="4">
        <f>[1]节奏总纲!Y23</f>
        <v>0.18618456297426333</v>
      </c>
      <c r="N23" s="4">
        <f>[1]节奏总纲!Z23</f>
        <v>0.14053966703702447</v>
      </c>
      <c r="O23" s="4">
        <f>[1]节奏总纲!AA23</f>
        <v>7.719962834594396E-2</v>
      </c>
      <c r="Q23" s="4">
        <v>20</v>
      </c>
      <c r="R23" s="4">
        <f>[1]节奏总纲!AD23</f>
        <v>43.920692243099523</v>
      </c>
      <c r="S23" s="4">
        <f>[1]节奏总纲!AE23</f>
        <v>45.780025086357675</v>
      </c>
      <c r="T23" s="4">
        <f>[1]节奏总纲!AF23</f>
        <v>48.482447528152484</v>
      </c>
      <c r="U23" s="4">
        <f>[1]节奏总纲!AG23</f>
        <v>52.769987980532711</v>
      </c>
      <c r="V23" s="4">
        <f>[1]节奏总纲!AH23</f>
        <v>61.261422558944936</v>
      </c>
      <c r="Z23" s="4">
        <v>20</v>
      </c>
      <c r="AA23" s="4">
        <f>[1]节奏总纲!AM23</f>
        <v>5.25</v>
      </c>
      <c r="AB23" s="4">
        <f>[1]节奏总纲!AN23</f>
        <v>4.2</v>
      </c>
      <c r="AC23" s="4">
        <f>[1]节奏总纲!AO23</f>
        <v>3.15</v>
      </c>
      <c r="AD23" s="4">
        <f>[1]节奏总纲!AP23</f>
        <v>2.1</v>
      </c>
      <c r="AE23" s="4">
        <f>[1]节奏总纲!AQ23</f>
        <v>1.05</v>
      </c>
      <c r="AG23" s="4">
        <v>20</v>
      </c>
      <c r="AH23" s="4">
        <f>[1]节奏总纲!AT23</f>
        <v>0.85420493566908462</v>
      </c>
      <c r="AI23" s="4">
        <f>[1]节奏总纲!AU23</f>
        <v>0.68336394853526761</v>
      </c>
      <c r="AJ23" s="4">
        <f>[1]节奏总纲!AV23</f>
        <v>0.51252296140145059</v>
      </c>
      <c r="AK23" s="4">
        <f>[1]节奏总纲!AW23</f>
        <v>0.3416819742676338</v>
      </c>
      <c r="AL23" s="4">
        <f>[1]节奏总纲!AX23</f>
        <v>0.1708409871338169</v>
      </c>
      <c r="AM23" s="4"/>
      <c r="AN23" s="4">
        <v>20</v>
      </c>
      <c r="AO23" s="4">
        <f>[1]节奏总纲!BA23</f>
        <v>27.863030247590562</v>
      </c>
      <c r="AP23" s="4">
        <f>[1]节奏总纲!BB23</f>
        <v>29.216428548527322</v>
      </c>
      <c r="AQ23" s="4">
        <f>[1]节奏总纲!BC23</f>
        <v>30.995138219721603</v>
      </c>
      <c r="AR23" s="4">
        <f>[1]节奏总纲!BD23</f>
        <v>33.487933395889513</v>
      </c>
      <c r="AS23" s="4">
        <f>[1]节奏总纲!BE23</f>
        <v>38.037513426486328</v>
      </c>
    </row>
    <row r="24" spans="2:45" x14ac:dyDescent="0.15">
      <c r="B24" s="4">
        <f>[1]节奏总纲!N24</f>
        <v>31</v>
      </c>
      <c r="C24" s="4">
        <v>21</v>
      </c>
      <c r="D24" s="4">
        <f>[1]节奏总纲!P24</f>
        <v>3.2870938501451725</v>
      </c>
      <c r="E24" s="4">
        <f>[1]节奏总纲!Q24</f>
        <v>2.8518826243859516</v>
      </c>
      <c r="F24" s="4">
        <f>[1]节奏总纲!R24</f>
        <v>2.3466562996186386</v>
      </c>
      <c r="G24" s="4">
        <f>[1]节奏总纲!S24</f>
        <v>1.7365716810316947</v>
      </c>
      <c r="H24" s="4">
        <f>[1]节奏总纲!T24</f>
        <v>0.97166494210291288</v>
      </c>
      <c r="J24" s="4">
        <v>21</v>
      </c>
      <c r="K24" s="4">
        <f>[1]节奏总纲!W24</f>
        <v>0.28709385014517252</v>
      </c>
      <c r="L24" s="4">
        <f>[1]节奏总纲!X24</f>
        <v>0.24818262438595173</v>
      </c>
      <c r="M24" s="4">
        <f>[1]节奏总纲!Y24</f>
        <v>0.20945629961863865</v>
      </c>
      <c r="N24" s="4">
        <f>[1]节奏总纲!Z24</f>
        <v>0.15647168103169484</v>
      </c>
      <c r="O24" s="4">
        <f>[1]节奏总纲!AA24</f>
        <v>9.1764942102912861E-2</v>
      </c>
      <c r="Q24" s="4">
        <v>21</v>
      </c>
      <c r="R24" s="4">
        <f>[1]节奏总纲!AD24</f>
        <v>44.585942742481357</v>
      </c>
      <c r="S24" s="4">
        <f>[1]节奏总纲!AE24</f>
        <v>46.455967430551723</v>
      </c>
      <c r="T24" s="4">
        <f>[1]节奏总纲!AF24</f>
        <v>49.18886033229559</v>
      </c>
      <c r="U24" s="4">
        <f>[1]节奏总纲!AG24</f>
        <v>53.471660769826336</v>
      </c>
      <c r="V24" s="4">
        <f>[1]节奏总纲!AH24</f>
        <v>61.918453772109508</v>
      </c>
      <c r="Z24" s="4">
        <v>21</v>
      </c>
      <c r="AA24" s="4">
        <f>[1]节奏总纲!AM24</f>
        <v>6.2565025247829205</v>
      </c>
      <c r="AB24" s="4">
        <f>[1]节奏总纲!AN24</f>
        <v>5.0052020198263367</v>
      </c>
      <c r="AC24" s="4">
        <f>[1]节奏总纲!AO24</f>
        <v>3.7539015148697521</v>
      </c>
      <c r="AD24" s="4">
        <f>[1]节奏总纲!AP24</f>
        <v>2.5026010099131684</v>
      </c>
      <c r="AE24" s="4">
        <f>[1]节奏总纲!AQ24</f>
        <v>1.2513005049565842</v>
      </c>
      <c r="AG24" s="4">
        <v>21</v>
      </c>
      <c r="AH24" s="4">
        <f>[1]节奏总纲!AT24</f>
        <v>1.0065025247829205</v>
      </c>
      <c r="AI24" s="4">
        <f>[1]节奏总纲!AU24</f>
        <v>0.80520201982633655</v>
      </c>
      <c r="AJ24" s="4">
        <f>[1]节奏总纲!AV24</f>
        <v>0.60390151486975219</v>
      </c>
      <c r="AK24" s="4">
        <f>[1]节奏总纲!AW24</f>
        <v>0.40260100991316827</v>
      </c>
      <c r="AL24" s="4">
        <f>[1]节奏总纲!AX24</f>
        <v>0.20130050495658414</v>
      </c>
      <c r="AM24" s="4"/>
      <c r="AN24" s="4">
        <v>21</v>
      </c>
      <c r="AO24" s="4">
        <f>[1]节奏总纲!BA24</f>
        <v>28.157256095860227</v>
      </c>
      <c r="AP24" s="4">
        <f>[1]节奏总纲!BB24</f>
        <v>29.508805955793246</v>
      </c>
      <c r="AQ24" s="4">
        <f>[1]节奏总纲!BC24</f>
        <v>31.280110398778046</v>
      </c>
      <c r="AR24" s="4">
        <f>[1]节奏总纲!BD24</f>
        <v>33.799338867675175</v>
      </c>
      <c r="AS24" s="4">
        <f>[1]节奏总纲!BE24</f>
        <v>38.35066605767593</v>
      </c>
    </row>
    <row r="25" spans="2:45" x14ac:dyDescent="0.15">
      <c r="B25" s="4">
        <f>[1]节奏总纲!N25</f>
        <v>32</v>
      </c>
      <c r="C25" s="4">
        <v>22</v>
      </c>
      <c r="D25" s="4">
        <f>[1]节奏总纲!P25</f>
        <v>3.5947934199881395</v>
      </c>
      <c r="E25" s="4">
        <f>[1]节奏总纲!Q25</f>
        <v>3.124234961311692</v>
      </c>
      <c r="F25" s="4">
        <f>[1]节奏总纲!R25</f>
        <v>2.5749505267375046</v>
      </c>
      <c r="G25" s="4">
        <f>[1]节奏总纲!S25</f>
        <v>1.9077568679877055</v>
      </c>
      <c r="H25" s="4">
        <f>[1]节奏总纲!T25</f>
        <v>1.0687320837624739</v>
      </c>
      <c r="J25" s="4">
        <v>22</v>
      </c>
      <c r="K25" s="4">
        <f>[1]节奏总纲!W25</f>
        <v>0.30769956984296698</v>
      </c>
      <c r="L25" s="4">
        <f>[1]节奏总纲!X25</f>
        <v>0.27235233692574035</v>
      </c>
      <c r="M25" s="4">
        <f>[1]节奏总纲!Y25</f>
        <v>0.22829422711886593</v>
      </c>
      <c r="N25" s="4">
        <f>[1]节奏总纲!Z25</f>
        <v>0.17118518695601082</v>
      </c>
      <c r="O25" s="4">
        <f>[1]节奏总纲!AA25</f>
        <v>9.7067141659560985E-2</v>
      </c>
      <c r="Q25" s="4">
        <v>22</v>
      </c>
      <c r="R25" s="4">
        <f>[1]节奏总纲!AD25</f>
        <v>45.229416240679988</v>
      </c>
      <c r="S25" s="4">
        <f>[1]节奏总纲!AE25</f>
        <v>47.110426931480873</v>
      </c>
      <c r="T25" s="4">
        <f>[1]节奏总纲!AF25</f>
        <v>49.861837738505173</v>
      </c>
      <c r="U25" s="4">
        <f>[1]节奏总纲!AG25</f>
        <v>54.15637358335789</v>
      </c>
      <c r="V25" s="4">
        <f>[1]节奏总纲!AH25</f>
        <v>62.555781631668886</v>
      </c>
      <c r="Z25" s="4">
        <v>22</v>
      </c>
      <c r="AA25" s="4">
        <f>[1]节奏总纲!AM25</f>
        <v>7.4414868317755332</v>
      </c>
      <c r="AB25" s="4">
        <f>[1]节奏总纲!AN25</f>
        <v>5.9531894654204267</v>
      </c>
      <c r="AC25" s="4">
        <f>[1]节奏总纲!AO25</f>
        <v>4.4648920990653194</v>
      </c>
      <c r="AD25" s="4">
        <f>[1]节奏总纲!AP25</f>
        <v>2.9765947327102134</v>
      </c>
      <c r="AE25" s="4">
        <f>[1]节奏总纲!AQ25</f>
        <v>1.4882973663551067</v>
      </c>
      <c r="AG25" s="4">
        <v>22</v>
      </c>
      <c r="AH25" s="4">
        <f>[1]节奏总纲!AT25</f>
        <v>1.1849843069926127</v>
      </c>
      <c r="AI25" s="4">
        <f>[1]节奏总纲!AU25</f>
        <v>0.94798744559408998</v>
      </c>
      <c r="AJ25" s="4">
        <f>[1]节奏总纲!AV25</f>
        <v>0.71099058419556727</v>
      </c>
      <c r="AK25" s="4">
        <f>[1]节奏总纲!AW25</f>
        <v>0.47399372279704499</v>
      </c>
      <c r="AL25" s="4">
        <f>[1]节奏总纲!AX25</f>
        <v>0.2369968613985225</v>
      </c>
      <c r="AM25" s="4"/>
      <c r="AN25" s="4">
        <v>22</v>
      </c>
      <c r="AO25" s="4">
        <f>[1]节奏总纲!BA25</f>
        <v>28.431345550275779</v>
      </c>
      <c r="AP25" s="4">
        <f>[1]节奏总纲!BB25</f>
        <v>29.80118336305917</v>
      </c>
      <c r="AQ25" s="4">
        <f>[1]节奏总纲!BC25</f>
        <v>31.564373235931193</v>
      </c>
      <c r="AR25" s="4">
        <f>[1]节奏总纲!BD25</f>
        <v>34.09469189131628</v>
      </c>
      <c r="AS25" s="4">
        <f>[1]节奏总纲!BE25</f>
        <v>38.663818688865533</v>
      </c>
    </row>
    <row r="26" spans="2:45" x14ac:dyDescent="0.15">
      <c r="B26" s="4">
        <f>[1]节奏总纲!N26</f>
        <v>33</v>
      </c>
      <c r="C26" s="4">
        <v>23</v>
      </c>
      <c r="D26" s="4">
        <f>[1]节奏总纲!P26</f>
        <v>3.9245776533796644</v>
      </c>
      <c r="E26" s="4">
        <f>[1]节奏总纲!Q26</f>
        <v>3.4081032341949005</v>
      </c>
      <c r="F26" s="4">
        <f>[1]节奏总纲!R26</f>
        <v>2.8064654799317976</v>
      </c>
      <c r="G26" s="4">
        <f>[1]节奏总纲!S26</f>
        <v>2.0796336985258841</v>
      </c>
      <c r="H26" s="4">
        <f>[1]节奏总纲!T26</f>
        <v>1.1608900698697047</v>
      </c>
      <c r="J26" s="4">
        <v>23</v>
      </c>
      <c r="K26" s="4">
        <f>[1]节奏总纲!W26</f>
        <v>0.32978423339152485</v>
      </c>
      <c r="L26" s="4">
        <f>[1]节奏总纲!X26</f>
        <v>0.28386827288320848</v>
      </c>
      <c r="M26" s="4">
        <f>[1]节奏总纲!Y26</f>
        <v>0.23151495319429305</v>
      </c>
      <c r="N26" s="4">
        <f>[1]节奏总纲!Z26</f>
        <v>0.17187683053817859</v>
      </c>
      <c r="O26" s="4">
        <f>[1]节奏总纲!AA26</f>
        <v>9.2157986107230805E-2</v>
      </c>
      <c r="Q26" s="4">
        <v>23</v>
      </c>
      <c r="R26" s="4">
        <f>[1]节奏总纲!AD26</f>
        <v>45.845161563010116</v>
      </c>
      <c r="S26" s="4">
        <f>[1]节奏总纲!AE26</f>
        <v>47.734594805743399</v>
      </c>
      <c r="T26" s="4">
        <f>[1]节奏总纲!AF26</f>
        <v>50.503430607741265</v>
      </c>
      <c r="U26" s="4">
        <f>[1]节奏总纲!AG26</f>
        <v>54.814188287451351</v>
      </c>
      <c r="V26" s="4">
        <f>[1]节奏总纲!AH26</f>
        <v>63.182677965405439</v>
      </c>
      <c r="Z26" s="4">
        <v>23</v>
      </c>
      <c r="AA26" s="4">
        <f>[1]节奏总纲!AM26</f>
        <v>8.8355567243832152</v>
      </c>
      <c r="AB26" s="4">
        <f>[1]节奏总纲!AN26</f>
        <v>7.0684453795065725</v>
      </c>
      <c r="AC26" s="4">
        <f>[1]节奏总纲!AO26</f>
        <v>5.3013340346299289</v>
      </c>
      <c r="AD26" s="4">
        <f>[1]节奏总纲!AP26</f>
        <v>3.5342226897532862</v>
      </c>
      <c r="AE26" s="4">
        <f>[1]节奏总纲!AQ26</f>
        <v>1.7671113448766431</v>
      </c>
      <c r="AG26" s="4">
        <v>23</v>
      </c>
      <c r="AH26" s="4">
        <f>[1]节奏总纲!AT26</f>
        <v>1.394069892607682</v>
      </c>
      <c r="AI26" s="4">
        <f>[1]节奏总纲!AU26</f>
        <v>1.1152559140861458</v>
      </c>
      <c r="AJ26" s="4">
        <f>[1]节奏总纲!AV26</f>
        <v>0.83644193556460955</v>
      </c>
      <c r="AK26" s="4">
        <f>[1]节奏总纲!AW26</f>
        <v>0.55762795704307289</v>
      </c>
      <c r="AL26" s="4">
        <f>[1]节奏总纲!AX26</f>
        <v>0.27881397852153644</v>
      </c>
      <c r="AM26" s="4"/>
      <c r="AN26" s="4">
        <v>23</v>
      </c>
      <c r="AO26" s="4">
        <f>[1]节奏总纲!BA26</f>
        <v>28.705435004691331</v>
      </c>
      <c r="AP26" s="4">
        <f>[1]节奏总纲!BB26</f>
        <v>30.079877315295377</v>
      </c>
      <c r="AQ26" s="4">
        <f>[1]节奏总纲!BC26</f>
        <v>31.848636073084339</v>
      </c>
      <c r="AR26" s="4">
        <f>[1]节奏总纲!BD26</f>
        <v>34.360958982105608</v>
      </c>
      <c r="AS26" s="4">
        <f>[1]节奏总纲!BE26</f>
        <v>38.976971320055128</v>
      </c>
    </row>
    <row r="27" spans="2:45" x14ac:dyDescent="0.15">
      <c r="B27" s="4">
        <f>[1]节奏总纲!N27</f>
        <v>34</v>
      </c>
      <c r="C27" s="4">
        <v>24</v>
      </c>
      <c r="D27" s="4">
        <f>[1]节奏总纲!P27</f>
        <v>4.2780316430915768</v>
      </c>
      <c r="E27" s="4">
        <f>[1]节奏总纲!Q27</f>
        <v>3.7214597263253628</v>
      </c>
      <c r="F27" s="4">
        <f>[1]节奏总纲!R27</f>
        <v>3.0699155070825155</v>
      </c>
      <c r="G27" s="4">
        <f>[1]节奏总纲!S27</f>
        <v>2.2742016214674821</v>
      </c>
      <c r="H27" s="4">
        <f>[1]节奏总纲!T27</f>
        <v>1.2692919885052709</v>
      </c>
      <c r="J27" s="4">
        <v>24</v>
      </c>
      <c r="K27" s="4">
        <f>[1]节奏总纲!W27</f>
        <v>0.35345398971191244</v>
      </c>
      <c r="L27" s="4">
        <f>[1]节奏总纲!X27</f>
        <v>0.31335649213046235</v>
      </c>
      <c r="M27" s="4">
        <f>[1]节奏总纲!Y27</f>
        <v>0.26345002715071786</v>
      </c>
      <c r="N27" s="4">
        <f>[1]节奏总纲!Z27</f>
        <v>0.19456792294159797</v>
      </c>
      <c r="O27" s="4">
        <f>[1]节奏总纲!AA27</f>
        <v>0.10840191863556625</v>
      </c>
      <c r="Q27" s="4">
        <v>24</v>
      </c>
      <c r="R27" s="4">
        <f>[1]节奏总纲!AD27</f>
        <v>46.430041330048923</v>
      </c>
      <c r="S27" s="4">
        <f>[1]节奏总纲!AE27</f>
        <v>48.330142263709867</v>
      </c>
      <c r="T27" s="4">
        <f>[1]节奏总纲!AF27</f>
        <v>51.118578408701396</v>
      </c>
      <c r="U27" s="4">
        <f>[1]节奏总纲!AG27</f>
        <v>55.44072585486321</v>
      </c>
      <c r="V27" s="4">
        <f>[1]节奏总纲!AH27</f>
        <v>63.791742872142052</v>
      </c>
      <c r="Z27" s="4">
        <v>24</v>
      </c>
      <c r="AA27" s="4">
        <f>[1]节奏总纲!AM27</f>
        <v>10.47447102993563</v>
      </c>
      <c r="AB27" s="4">
        <f>[1]节奏总纲!AN27</f>
        <v>8.3795768239485042</v>
      </c>
      <c r="AC27" s="4">
        <f>[1]节奏总纲!AO27</f>
        <v>6.2846826179613782</v>
      </c>
      <c r="AD27" s="4">
        <f>[1]节奏总纲!AP27</f>
        <v>4.1897884119742521</v>
      </c>
      <c r="AE27" s="4">
        <f>[1]节奏总纲!AQ27</f>
        <v>2.0948942059871261</v>
      </c>
      <c r="AG27" s="4">
        <v>24</v>
      </c>
      <c r="AH27" s="4">
        <f>[1]节奏总纲!AT27</f>
        <v>1.6389143055524151</v>
      </c>
      <c r="AI27" s="4">
        <f>[1]节奏总纲!AU27</f>
        <v>1.3111314444419317</v>
      </c>
      <c r="AJ27" s="4">
        <f>[1]节奏总纲!AV27</f>
        <v>0.98334858333144926</v>
      </c>
      <c r="AK27" s="4">
        <f>[1]节奏总纲!AW27</f>
        <v>0.65556572222096587</v>
      </c>
      <c r="AL27" s="4">
        <f>[1]节奏总纲!AX27</f>
        <v>0.32778286111048294</v>
      </c>
      <c r="AM27" s="4"/>
      <c r="AN27" s="4">
        <v>24</v>
      </c>
      <c r="AO27" s="4">
        <f>[1]节奏总纲!BA27</f>
        <v>28.979524459106884</v>
      </c>
      <c r="AP27" s="4">
        <f>[1]节奏总纲!BB27</f>
        <v>30.329493925593439</v>
      </c>
      <c r="AQ27" s="4">
        <f>[1]节奏总纲!BC27</f>
        <v>32.113552950216736</v>
      </c>
      <c r="AR27" s="4">
        <f>[1]节奏总纲!BD27</f>
        <v>34.627226072894942</v>
      </c>
      <c r="AS27" s="4">
        <f>[1]节奏总纲!BE27</f>
        <v>39.250296194358178</v>
      </c>
    </row>
    <row r="28" spans="2:45" x14ac:dyDescent="0.15">
      <c r="B28" s="4">
        <f>[1]节奏总纲!N28</f>
        <v>35</v>
      </c>
      <c r="C28" s="4">
        <v>25</v>
      </c>
      <c r="D28" s="4">
        <f>[1]节奏总纲!P28</f>
        <v>4.6568542494923806</v>
      </c>
      <c r="E28" s="4">
        <f>[1]节奏总纲!Q28</f>
        <v>4.054257309608067</v>
      </c>
      <c r="F28" s="4">
        <f>[1]节奏总纲!R28</f>
        <v>3.3445527219854276</v>
      </c>
      <c r="G28" s="4">
        <f>[1]节奏总纲!S28</f>
        <v>2.478377831579845</v>
      </c>
      <c r="H28" s="4">
        <f>[1]节奏总纲!T28</f>
        <v>1.3802915995495415</v>
      </c>
      <c r="J28" s="4">
        <v>25</v>
      </c>
      <c r="K28" s="4">
        <f>[1]节奏总纲!W28</f>
        <v>0.37882260640080379</v>
      </c>
      <c r="L28" s="4">
        <f>[1]节奏总纲!X28</f>
        <v>0.33279758328270415</v>
      </c>
      <c r="M28" s="4">
        <f>[1]节奏总纲!Y28</f>
        <v>0.27463721490291215</v>
      </c>
      <c r="N28" s="4">
        <f>[1]节奏总纲!Z28</f>
        <v>0.20417621011236298</v>
      </c>
      <c r="O28" s="4">
        <f>[1]节奏总纲!AA28</f>
        <v>0.11099961104427059</v>
      </c>
      <c r="Q28" s="4">
        <v>25</v>
      </c>
      <c r="R28" s="4">
        <f>[1]节奏总纲!AD28</f>
        <v>47.004247194324648</v>
      </c>
      <c r="S28" s="4">
        <f>[1]节奏总纲!AE28</f>
        <v>48.904516930942819</v>
      </c>
      <c r="T28" s="4">
        <f>[1]节奏总纲!AF28</f>
        <v>51.667220029142385</v>
      </c>
      <c r="U28" s="4">
        <f>[1]节奏总纲!AG28</f>
        <v>56.05100027504308</v>
      </c>
      <c r="V28" s="4">
        <f>[1]节奏总纲!AH28</f>
        <v>64.398425477456215</v>
      </c>
      <c r="Z28" s="4">
        <v>25</v>
      </c>
      <c r="AA28" s="4">
        <f>[1]节奏总纲!AM28</f>
        <v>12.4</v>
      </c>
      <c r="AB28" s="4">
        <f>[1]节奏总纲!AN28</f>
        <v>9.9200000000000017</v>
      </c>
      <c r="AC28" s="4">
        <f>[1]节奏总纲!AO28</f>
        <v>7.4399999999999995</v>
      </c>
      <c r="AD28" s="4">
        <f>[1]节奏总纲!AP28</f>
        <v>4.9600000000000009</v>
      </c>
      <c r="AE28" s="4">
        <f>[1]节奏总纲!AQ28</f>
        <v>2.4800000000000004</v>
      </c>
      <c r="AG28" s="4">
        <v>25</v>
      </c>
      <c r="AH28" s="4">
        <f>[1]节奏总纲!AT28</f>
        <v>1.9255289700643701</v>
      </c>
      <c r="AI28" s="4">
        <f>[1]节奏总纲!AU28</f>
        <v>1.5404231760514975</v>
      </c>
      <c r="AJ28" s="4">
        <f>[1]节奏总纲!AV28</f>
        <v>1.1553173820386213</v>
      </c>
      <c r="AK28" s="4">
        <f>[1]节奏总纲!AW28</f>
        <v>0.77021158802574874</v>
      </c>
      <c r="AL28" s="4">
        <f>[1]节奏总纲!AX28</f>
        <v>0.38510579401287437</v>
      </c>
      <c r="AM28" s="4"/>
      <c r="AN28" s="4">
        <v>25</v>
      </c>
      <c r="AO28" s="4">
        <f>[1]节奏总纲!BA28</f>
        <v>29.216428548527322</v>
      </c>
      <c r="AP28" s="4">
        <f>[1]节奏总纲!BB28</f>
        <v>30.579110535891502</v>
      </c>
      <c r="AQ28" s="4">
        <f>[1]节奏总纲!BC28</f>
        <v>32.356435933516131</v>
      </c>
      <c r="AR28" s="4">
        <f>[1]节奏总纲!BD28</f>
        <v>34.893493163684269</v>
      </c>
      <c r="AS28" s="4">
        <f>[1]节奏总纲!BE28</f>
        <v>39.520459727922798</v>
      </c>
    </row>
    <row r="29" spans="2:45" x14ac:dyDescent="0.15">
      <c r="B29" s="4">
        <f>[1]节奏总纲!N29</f>
        <v>36</v>
      </c>
      <c r="C29" s="4">
        <v>26</v>
      </c>
      <c r="D29" s="4">
        <f>[1]节奏总纲!P29</f>
        <v>5.062866266041592</v>
      </c>
      <c r="E29" s="4">
        <f>[1]节奏总纲!Q29</f>
        <v>4.408743944469018</v>
      </c>
      <c r="F29" s="4">
        <f>[1]节奏总纲!R29</f>
        <v>3.63716312552428</v>
      </c>
      <c r="G29" s="4">
        <f>[1]节奏总纲!S29</f>
        <v>2.6914197070277099</v>
      </c>
      <c r="H29" s="4">
        <f>[1]节奏总纲!T29</f>
        <v>1.4996209880015197</v>
      </c>
      <c r="J29" s="4">
        <v>26</v>
      </c>
      <c r="K29" s="4">
        <f>[1]节奏总纲!W29</f>
        <v>0.40601201654921137</v>
      </c>
      <c r="L29" s="4">
        <f>[1]节奏总纲!X29</f>
        <v>0.354486634860951</v>
      </c>
      <c r="M29" s="4">
        <f>[1]节奏总纲!Y29</f>
        <v>0.29261040353885237</v>
      </c>
      <c r="N29" s="4">
        <f>[1]节奏总纲!Z29</f>
        <v>0.2130418754478649</v>
      </c>
      <c r="O29" s="4">
        <f>[1]节奏总纲!AA29</f>
        <v>0.11932938845197816</v>
      </c>
      <c r="Q29" s="4">
        <v>26</v>
      </c>
      <c r="R29" s="4">
        <f>[1]节奏总纲!AD29</f>
        <v>47.540284631526092</v>
      </c>
      <c r="S29" s="4">
        <f>[1]节奏总纲!AE29</f>
        <v>49.446133440059114</v>
      </c>
      <c r="T29" s="4">
        <f>[1]节奏总纲!AF29</f>
        <v>52.199341027338768</v>
      </c>
      <c r="U29" s="4">
        <f>[1]节奏总纲!AG29</f>
        <v>56.621068614050692</v>
      </c>
      <c r="V29" s="4">
        <f>[1]节奏总纲!AH29</f>
        <v>65.00344105132713</v>
      </c>
      <c r="Z29" s="4">
        <v>26</v>
      </c>
      <c r="AA29" s="4">
        <f>[1]节奏总纲!AM29</f>
        <v>14.6609224175611</v>
      </c>
      <c r="AB29" s="4">
        <f>[1]节奏总纲!AN29</f>
        <v>11.72873793404888</v>
      </c>
      <c r="AC29" s="4">
        <f>[1]节奏总纲!AO29</f>
        <v>8.7965534505366598</v>
      </c>
      <c r="AD29" s="4">
        <f>[1]节奏总纲!AP29</f>
        <v>5.8643689670244399</v>
      </c>
      <c r="AE29" s="4">
        <f>[1]节奏总纲!AQ29</f>
        <v>2.9321844835122199</v>
      </c>
      <c r="AG29" s="4">
        <v>26</v>
      </c>
      <c r="AH29" s="4">
        <f>[1]节奏总纲!AT29</f>
        <v>2.2609224175610994</v>
      </c>
      <c r="AI29" s="4">
        <f>[1]节奏总纲!AU29</f>
        <v>1.8087379340488781</v>
      </c>
      <c r="AJ29" s="4">
        <f>[1]节奏总纲!AV29</f>
        <v>1.3565534505366603</v>
      </c>
      <c r="AK29" s="4">
        <f>[1]节奏总纲!AW29</f>
        <v>0.90436896702443903</v>
      </c>
      <c r="AL29" s="4">
        <f>[1]节奏总纲!AX29</f>
        <v>0.45218448351221951</v>
      </c>
      <c r="AM29" s="4"/>
      <c r="AN29" s="4">
        <v>26</v>
      </c>
      <c r="AO29" s="4">
        <f>[1]节奏总纲!BA29</f>
        <v>29.45033047434006</v>
      </c>
      <c r="AP29" s="4">
        <f>[1]节奏总纲!BB29</f>
        <v>30.828727146189561</v>
      </c>
      <c r="AQ29" s="4">
        <f>[1]节奏总纲!BC29</f>
        <v>32.59931891681552</v>
      </c>
      <c r="AR29" s="4">
        <f>[1]节奏总纲!BD29</f>
        <v>35.146386283795508</v>
      </c>
      <c r="AS29" s="4">
        <f>[1]节奏总纲!BE29</f>
        <v>39.790623261487418</v>
      </c>
    </row>
    <row r="30" spans="2:45" x14ac:dyDescent="0.15">
      <c r="B30" s="4">
        <f>[1]节奏总纲!N30</f>
        <v>37</v>
      </c>
      <c r="C30" s="4">
        <v>27</v>
      </c>
      <c r="D30" s="4">
        <f>[1]节奏总纲!P30</f>
        <v>5.4980191708498847</v>
      </c>
      <c r="E30" s="4">
        <f>[1]节奏总纲!Q30</f>
        <v>4.7882248958931646</v>
      </c>
      <c r="F30" s="4">
        <f>[1]节奏总纲!R30</f>
        <v>3.9492271704214725</v>
      </c>
      <c r="G30" s="4">
        <f>[1]节奏总纲!S30</f>
        <v>2.9205477835554587</v>
      </c>
      <c r="H30" s="4">
        <f>[1]节奏总纲!T30</f>
        <v>1.6290630803228208</v>
      </c>
      <c r="J30" s="4">
        <v>27</v>
      </c>
      <c r="K30" s="4">
        <f>[1]节奏总纲!W30</f>
        <v>0.43515290480829272</v>
      </c>
      <c r="L30" s="4">
        <f>[1]节奏总纲!X30</f>
        <v>0.37948095142414662</v>
      </c>
      <c r="M30" s="4">
        <f>[1]节奏总纲!Y30</f>
        <v>0.31206404489719253</v>
      </c>
      <c r="N30" s="4">
        <f>[1]节奏总纲!Z30</f>
        <v>0.2291280765277488</v>
      </c>
      <c r="O30" s="4">
        <f>[1]节奏总纲!AA30</f>
        <v>0.12944209232130111</v>
      </c>
      <c r="Q30" s="4">
        <v>27</v>
      </c>
      <c r="R30" s="4">
        <f>[1]节奏总纲!AD30</f>
        <v>48.071211008105138</v>
      </c>
      <c r="S30" s="4">
        <f>[1]节奏总纲!AE30</f>
        <v>49.981218513907905</v>
      </c>
      <c r="T30" s="4">
        <f>[1]节奏总纲!AF30</f>
        <v>52.705993248660157</v>
      </c>
      <c r="U30" s="4">
        <f>[1]节奏总纲!AG30</f>
        <v>57.175765669822162</v>
      </c>
      <c r="V30" s="4">
        <f>[1]节奏总纲!AH30</f>
        <v>65.541743280100334</v>
      </c>
      <c r="Z30" s="4">
        <v>27</v>
      </c>
      <c r="AA30" s="4">
        <f>[1]节奏总纲!AM30</f>
        <v>17.314186320787698</v>
      </c>
      <c r="AB30" s="4">
        <f>[1]节奏总纲!AN30</f>
        <v>13.851349056630159</v>
      </c>
      <c r="AC30" s="4">
        <f>[1]节奏总纲!AO30</f>
        <v>10.388511792472618</v>
      </c>
      <c r="AD30" s="4">
        <f>[1]节奏总纲!AP30</f>
        <v>6.9256745283150796</v>
      </c>
      <c r="AE30" s="4">
        <f>[1]节奏总纲!AQ30</f>
        <v>3.4628372641575398</v>
      </c>
      <c r="AG30" s="4">
        <v>27</v>
      </c>
      <c r="AH30" s="4">
        <f>[1]节奏总纲!AT30</f>
        <v>2.6532639032265983</v>
      </c>
      <c r="AI30" s="4">
        <f>[1]节奏总纲!AU30</f>
        <v>2.1226111225812794</v>
      </c>
      <c r="AJ30" s="4">
        <f>[1]节奏总纲!AV30</f>
        <v>1.5919583419359586</v>
      </c>
      <c r="AK30" s="4">
        <f>[1]节奏总纲!AW30</f>
        <v>1.0613055612906397</v>
      </c>
      <c r="AL30" s="4">
        <f>[1]节奏总纲!AX30</f>
        <v>0.53065278064531984</v>
      </c>
      <c r="AM30" s="4"/>
      <c r="AN30" s="4">
        <v>27</v>
      </c>
      <c r="AO30" s="4">
        <f>[1]节奏总纲!BA30</f>
        <v>29.684232400152801</v>
      </c>
      <c r="AP30" s="4">
        <f>[1]节奏总纲!BB30</f>
        <v>31.066913270913183</v>
      </c>
      <c r="AQ30" s="4">
        <f>[1]节奏总纲!BC30</f>
        <v>32.842201900114915</v>
      </c>
      <c r="AR30" s="4">
        <f>[1]节奏总纲!BD30</f>
        <v>35.390363423454687</v>
      </c>
      <c r="AS30" s="4">
        <f>[1]节奏总纲!BE30</f>
        <v>40.052446592012309</v>
      </c>
    </row>
    <row r="31" spans="2:45" x14ac:dyDescent="0.15">
      <c r="B31" s="4">
        <f>[1]节奏总纲!N31</f>
        <v>38</v>
      </c>
      <c r="C31" s="4">
        <v>28</v>
      </c>
      <c r="D31" s="4">
        <f>[1]节奏总纲!P31</f>
        <v>5.9644045063689921</v>
      </c>
      <c r="E31" s="4">
        <f>[1]节奏总纲!Q31</f>
        <v>5.1914176823435705</v>
      </c>
      <c r="F31" s="4">
        <f>[1]节奏总纲!R31</f>
        <v>4.2752851501652938</v>
      </c>
      <c r="G31" s="4">
        <f>[1]节奏总纲!S31</f>
        <v>3.1653094715300236</v>
      </c>
      <c r="H31" s="4">
        <f>[1]节奏总纲!T31</f>
        <v>1.7738139001941382</v>
      </c>
      <c r="J31" s="4">
        <v>28</v>
      </c>
      <c r="K31" s="4">
        <f>[1]节奏总纲!W31</f>
        <v>0.46638533551910744</v>
      </c>
      <c r="L31" s="4">
        <f>[1]节奏总纲!X31</f>
        <v>0.4031927864504059</v>
      </c>
      <c r="M31" s="4">
        <f>[1]节奏总纲!Y31</f>
        <v>0.32605797974382122</v>
      </c>
      <c r="N31" s="4">
        <f>[1]节奏总纲!Z31</f>
        <v>0.24476168797456488</v>
      </c>
      <c r="O31" s="4">
        <f>[1]节奏总纲!AA31</f>
        <v>0.14475081987131744</v>
      </c>
      <c r="Q31" s="4">
        <v>28</v>
      </c>
      <c r="R31" s="4">
        <f>[1]节奏总纲!AD31</f>
        <v>48.571351621712928</v>
      </c>
      <c r="S31" s="4">
        <f>[1]节奏总纲!AE31</f>
        <v>50.509688493127967</v>
      </c>
      <c r="T31" s="4">
        <f>[1]节奏总纲!AF31</f>
        <v>53.212684955585161</v>
      </c>
      <c r="U31" s="4">
        <f>[1]节奏总纲!AG31</f>
        <v>57.699988965458331</v>
      </c>
      <c r="V31" s="4">
        <f>[1]节奏总纲!AH31</f>
        <v>66.076345334947405</v>
      </c>
      <c r="Z31" s="4">
        <v>28</v>
      </c>
      <c r="AA31" s="4">
        <f>[1]节奏总纲!AM31</f>
        <v>20.42625995518307</v>
      </c>
      <c r="AB31" s="4">
        <f>[1]节奏总纲!AN31</f>
        <v>16.341007964146456</v>
      </c>
      <c r="AC31" s="4">
        <f>[1]节奏总纲!AO31</f>
        <v>12.255755973109842</v>
      </c>
      <c r="AD31" s="4">
        <f>[1]节奏总纲!AP31</f>
        <v>8.1705039820732281</v>
      </c>
      <c r="AE31" s="4">
        <f>[1]节奏总纲!AQ31</f>
        <v>4.0852519910366141</v>
      </c>
      <c r="AG31" s="4">
        <v>28</v>
      </c>
      <c r="AH31" s="4">
        <f>[1]节奏总纲!AT31</f>
        <v>3.1120736343953723</v>
      </c>
      <c r="AI31" s="4">
        <f>[1]节奏总纲!AU31</f>
        <v>2.4896589075162971</v>
      </c>
      <c r="AJ31" s="4">
        <f>[1]节奏总纲!AV31</f>
        <v>1.8672441806372237</v>
      </c>
      <c r="AK31" s="4">
        <f>[1]节奏总纲!AW31</f>
        <v>1.2448294537581486</v>
      </c>
      <c r="AL31" s="4">
        <f>[1]节奏总纲!AX31</f>
        <v>0.62241472687907429</v>
      </c>
      <c r="AM31" s="4"/>
      <c r="AN31" s="4">
        <v>28</v>
      </c>
      <c r="AO31" s="4">
        <f>[1]节奏总纲!BA31</f>
        <v>29.918134325965539</v>
      </c>
      <c r="AP31" s="4">
        <f>[1]节奏总纲!BB31</f>
        <v>31.280110398778046</v>
      </c>
      <c r="AQ31" s="4">
        <f>[1]节奏总纲!BC31</f>
        <v>33.072726100175295</v>
      </c>
      <c r="AR31" s="4">
        <f>[1]节奏总纲!BD31</f>
        <v>35.634340563113874</v>
      </c>
      <c r="AS31" s="4">
        <f>[1]节奏总纲!BE31</f>
        <v>40.28554255651148</v>
      </c>
    </row>
    <row r="32" spans="2:45" x14ac:dyDescent="0.15">
      <c r="B32" s="4">
        <f>[1]节奏总纲!N32</f>
        <v>39</v>
      </c>
      <c r="C32" s="4">
        <v>29</v>
      </c>
      <c r="D32" s="4">
        <f>[1]节奏总纲!P32</f>
        <v>6.4642639322944575</v>
      </c>
      <c r="E32" s="4">
        <f>[1]节奏总纲!Q32</f>
        <v>5.6323131642081607</v>
      </c>
      <c r="F32" s="4">
        <f>[1]节奏总纲!R32</f>
        <v>4.6510378992858623</v>
      </c>
      <c r="G32" s="4">
        <f>[1]节奏总纲!S32</f>
        <v>3.4532097926316991</v>
      </c>
      <c r="H32" s="4">
        <f>[1]节奏总纲!T32</f>
        <v>1.9366934741154194</v>
      </c>
      <c r="J32" s="4">
        <v>29</v>
      </c>
      <c r="K32" s="4">
        <f>[1]节奏总纲!W32</f>
        <v>0.49985942592546539</v>
      </c>
      <c r="L32" s="4">
        <f>[1]节奏总纲!X32</f>
        <v>0.44089548186459027</v>
      </c>
      <c r="M32" s="4">
        <f>[1]节奏总纲!Y32</f>
        <v>0.37575274912056855</v>
      </c>
      <c r="N32" s="4">
        <f>[1]节奏总纲!Z32</f>
        <v>0.28790032110167552</v>
      </c>
      <c r="O32" s="4">
        <f>[1]节奏总纲!AA32</f>
        <v>0.16287957392128116</v>
      </c>
      <c r="Q32" s="4">
        <v>29</v>
      </c>
      <c r="R32" s="4">
        <f>[1]节奏总纲!AD32</f>
        <v>49.066704614192936</v>
      </c>
      <c r="S32" s="4">
        <f>[1]节奏总纲!AE32</f>
        <v>51.033341828534468</v>
      </c>
      <c r="T32" s="4">
        <f>[1]节奏总纲!AF32</f>
        <v>53.719431255885922</v>
      </c>
      <c r="U32" s="4">
        <f>[1]节奏总纲!AG32</f>
        <v>58.210135614815364</v>
      </c>
      <c r="V32" s="4">
        <f>[1]节奏总纲!AH32</f>
        <v>66.589764070576265</v>
      </c>
      <c r="Z32" s="4">
        <v>29</v>
      </c>
      <c r="AA32" s="4">
        <f>[1]节奏总纲!AM32</f>
        <v>24.074703862418847</v>
      </c>
      <c r="AB32" s="4">
        <f>[1]节奏总纲!AN32</f>
        <v>19.259763089935078</v>
      </c>
      <c r="AC32" s="4">
        <f>[1]节奏总纲!AO32</f>
        <v>14.444822317451308</v>
      </c>
      <c r="AD32" s="4">
        <f>[1]节奏总纲!AP32</f>
        <v>9.6298815449675388</v>
      </c>
      <c r="AE32" s="4">
        <f>[1]节奏总纲!AQ32</f>
        <v>4.8149407724837694</v>
      </c>
      <c r="AG32" s="4">
        <v>29</v>
      </c>
      <c r="AH32" s="4">
        <f>[1]节奏总纲!AT32</f>
        <v>3.6484439072357766</v>
      </c>
      <c r="AI32" s="4">
        <f>[1]节奏总纲!AU32</f>
        <v>2.9187551257886213</v>
      </c>
      <c r="AJ32" s="4">
        <f>[1]节奏总纲!AV32</f>
        <v>2.189066344341466</v>
      </c>
      <c r="AK32" s="4">
        <f>[1]节奏总纲!AW32</f>
        <v>1.4593775628943106</v>
      </c>
      <c r="AL32" s="4">
        <f>[1]节奏总纲!AX32</f>
        <v>0.72968878144715532</v>
      </c>
      <c r="AM32" s="4"/>
      <c r="AN32" s="4">
        <v>29</v>
      </c>
      <c r="AO32" s="4">
        <f>[1]节奏总纲!BA32</f>
        <v>30.12980063735499</v>
      </c>
      <c r="AP32" s="4">
        <f>[1]节奏总纲!BB32</f>
        <v>31.493307526642905</v>
      </c>
      <c r="AQ32" s="4">
        <f>[1]节奏总纲!BC32</f>
        <v>33.280329748032408</v>
      </c>
      <c r="AR32" s="4">
        <f>[1]节奏总纲!BD32</f>
        <v>35.878317702773053</v>
      </c>
      <c r="AS32" s="4">
        <f>[1]节奏总纲!BE32</f>
        <v>40.518638521010644</v>
      </c>
    </row>
    <row r="33" spans="2:45" x14ac:dyDescent="0.15">
      <c r="B33" s="4">
        <f>[1]节奏总纲!N33</f>
        <v>40</v>
      </c>
      <c r="C33" s="4">
        <v>30</v>
      </c>
      <c r="D33" s="4">
        <f>[1]节奏总纲!P33</f>
        <v>7</v>
      </c>
      <c r="E33" s="4">
        <f>[1]节奏总纲!Q33</f>
        <v>6.1025999999999998</v>
      </c>
      <c r="F33" s="4">
        <f>[1]节奏总纲!R33</f>
        <v>5.0421000000000005</v>
      </c>
      <c r="G33" s="4">
        <f>[1]节奏总纲!S33</f>
        <v>3.7428999999999997</v>
      </c>
      <c r="H33" s="4">
        <f>[1]节奏总纲!T33</f>
        <v>2.1006999999999998</v>
      </c>
      <c r="J33" s="4">
        <v>30</v>
      </c>
      <c r="K33" s="4">
        <f>[1]节奏总纲!W33</f>
        <v>0.5357360677055425</v>
      </c>
      <c r="L33" s="4">
        <f>[1]节奏总纲!X33</f>
        <v>0.47028683579183905</v>
      </c>
      <c r="M33" s="4">
        <f>[1]节奏总纲!Y33</f>
        <v>0.39106210071413816</v>
      </c>
      <c r="N33" s="4">
        <f>[1]节奏总纲!Z33</f>
        <v>0.28969020736830053</v>
      </c>
      <c r="O33" s="4">
        <f>[1]节奏总纲!AA33</f>
        <v>0.16400652588458042</v>
      </c>
      <c r="Q33" s="4">
        <v>30</v>
      </c>
      <c r="R33" s="4">
        <f>[1]节奏总纲!AD33</f>
        <v>49.533352307096472</v>
      </c>
      <c r="S33" s="4">
        <f>[1]节奏总纲!AE33</f>
        <v>51.497823295559343</v>
      </c>
      <c r="T33" s="4">
        <f>[1]节奏总纲!AF33</f>
        <v>54.213705787583436</v>
      </c>
      <c r="U33" s="4">
        <f>[1]节奏总纲!AG33</f>
        <v>58.701446767877648</v>
      </c>
      <c r="V33" s="4">
        <f>[1]节奏总纲!AH33</f>
        <v>67.097551508592701</v>
      </c>
      <c r="Z33" s="4">
        <v>30</v>
      </c>
      <c r="AA33" s="4">
        <f>[1]节奏总纲!AM33</f>
        <v>28.35</v>
      </c>
      <c r="AB33" s="4">
        <f>[1]节奏总纲!AN33</f>
        <v>22.680000000000003</v>
      </c>
      <c r="AC33" s="4">
        <f>[1]节奏总纲!AO33</f>
        <v>17.010000000000002</v>
      </c>
      <c r="AD33" s="4">
        <f>[1]节奏总纲!AP33</f>
        <v>11.340000000000002</v>
      </c>
      <c r="AE33" s="4">
        <f>[1]节奏总纲!AQ33</f>
        <v>5.6700000000000008</v>
      </c>
      <c r="AG33" s="4">
        <v>30</v>
      </c>
      <c r="AH33" s="4">
        <f>[1]节奏总纲!AT33</f>
        <v>4.2752961375811545</v>
      </c>
      <c r="AI33" s="4">
        <f>[1]节奏总纲!AU33</f>
        <v>3.4202369100649257</v>
      </c>
      <c r="AJ33" s="4">
        <f>[1]节奏总纲!AV33</f>
        <v>2.5651776825486934</v>
      </c>
      <c r="AK33" s="4">
        <f>[1]节奏总纲!AW33</f>
        <v>1.7101184550324628</v>
      </c>
      <c r="AL33" s="4">
        <f>[1]节奏总纲!AX33</f>
        <v>0.85505922751623142</v>
      </c>
      <c r="AM33" s="4"/>
      <c r="AN33" s="4">
        <v>30</v>
      </c>
      <c r="AO33" s="4">
        <f>[1]节奏总纲!BA33</f>
        <v>30.329493925593439</v>
      </c>
      <c r="AP33" s="4">
        <f>[1]节奏总纲!BB33</f>
        <v>31.706504654507764</v>
      </c>
      <c r="AQ33" s="4">
        <f>[1]节奏总纲!BC33</f>
        <v>33.487933395889513</v>
      </c>
      <c r="AR33" s="4">
        <f>[1]节奏总纲!BD33</f>
        <v>36.105477566569242</v>
      </c>
      <c r="AS33" s="4">
        <f>[1]节奏总纲!BE33</f>
        <v>40.751734485509814</v>
      </c>
    </row>
    <row r="34" spans="2:45" x14ac:dyDescent="0.15">
      <c r="B34" s="4">
        <f>[1]节奏总纲!N34</f>
        <v>41</v>
      </c>
      <c r="C34" s="4">
        <v>31</v>
      </c>
      <c r="D34" s="4">
        <f>[1]节奏总纲!P34</f>
        <v>7.5741877002903433</v>
      </c>
      <c r="E34" s="4">
        <f>[1]节奏总纲!Q34</f>
        <v>6.6115084435834408</v>
      </c>
      <c r="F34" s="4">
        <f>[1]节奏总纲!R34</f>
        <v>5.4632615882194253</v>
      </c>
      <c r="G34" s="4">
        <f>[1]节奏总纲!S34</f>
        <v>4.052190419655334</v>
      </c>
      <c r="H34" s="4">
        <f>[1]节奏总纲!T34</f>
        <v>2.2783156602473356</v>
      </c>
      <c r="J34" s="4">
        <v>31</v>
      </c>
      <c r="K34" s="4">
        <f>[1]节奏总纲!W34</f>
        <v>0.57418770029034327</v>
      </c>
      <c r="L34" s="4">
        <f>[1]节奏总纲!X34</f>
        <v>0.50890844358344101</v>
      </c>
      <c r="M34" s="4">
        <f>[1]节奏总纲!Y34</f>
        <v>0.42116158821942484</v>
      </c>
      <c r="N34" s="4">
        <f>[1]节奏总纲!Z34</f>
        <v>0.30929041965533433</v>
      </c>
      <c r="O34" s="4">
        <f>[1]节奏总纲!AA34</f>
        <v>0.17761566024733577</v>
      </c>
      <c r="Q34" s="4">
        <v>31</v>
      </c>
      <c r="R34" s="4">
        <f>[1]节奏总纲!AD34</f>
        <v>50</v>
      </c>
      <c r="S34" s="4">
        <f>[1]节奏总纲!AE34</f>
        <v>51.96230476258421</v>
      </c>
      <c r="T34" s="4">
        <f>[1]节奏总纲!AF34</f>
        <v>54.692509339255828</v>
      </c>
      <c r="U34" s="4">
        <f>[1]节奏总纲!AG34</f>
        <v>59.178112178215827</v>
      </c>
      <c r="V34" s="4">
        <f>[1]节奏总纲!AH34</f>
        <v>67.582949939226467</v>
      </c>
      <c r="Z34" s="4">
        <v>31</v>
      </c>
      <c r="AA34" s="4">
        <f>[1]节奏总纲!AM34</f>
        <v>33.357679571112705</v>
      </c>
      <c r="AB34" s="4">
        <f>[1]节奏总纲!AN34</f>
        <v>26.686143656890167</v>
      </c>
      <c r="AC34" s="4">
        <f>[1]节奏总纲!AO34</f>
        <v>20.014607742667621</v>
      </c>
      <c r="AD34" s="4">
        <f>[1]节奏总纲!AP34</f>
        <v>13.343071828445083</v>
      </c>
      <c r="AE34" s="4">
        <f>[1]节奏总纲!AQ34</f>
        <v>6.6715359142225417</v>
      </c>
      <c r="AG34" s="4">
        <v>31</v>
      </c>
      <c r="AH34" s="4">
        <f>[1]节奏总纲!AT34</f>
        <v>5.0076795711127033</v>
      </c>
      <c r="AI34" s="4">
        <f>[1]节奏总纲!AU34</f>
        <v>4.0061436568901634</v>
      </c>
      <c r="AJ34" s="4">
        <f>[1]节奏总纲!AV34</f>
        <v>3.0046077426676199</v>
      </c>
      <c r="AK34" s="4">
        <f>[1]节奏总纲!AW34</f>
        <v>2.0030718284450817</v>
      </c>
      <c r="AL34" s="4">
        <f>[1]节奏总纲!AX34</f>
        <v>1.0015359142225408</v>
      </c>
      <c r="AM34" s="4"/>
      <c r="AN34" s="4">
        <v>31</v>
      </c>
      <c r="AO34" s="4">
        <f>[1]节奏总纲!BA34</f>
        <v>30.529187213831889</v>
      </c>
      <c r="AP34" s="4">
        <f>[1]节奏总纲!BB34</f>
        <v>31.919701782372627</v>
      </c>
      <c r="AQ34" s="4">
        <f>[1]节奏总纲!BC34</f>
        <v>33.695537043746626</v>
      </c>
      <c r="AR34" s="4">
        <f>[1]节奏总纲!BD34</f>
        <v>36.315904388158508</v>
      </c>
      <c r="AS34" s="4">
        <f>[1]节奏总纲!BE34</f>
        <v>40.984830450008978</v>
      </c>
    </row>
    <row r="35" spans="2:45" x14ac:dyDescent="0.15">
      <c r="B35" s="4">
        <f>[1]节奏总纲!N35</f>
        <v>42</v>
      </c>
      <c r="C35" s="4">
        <v>32</v>
      </c>
      <c r="D35" s="4">
        <f>[1]节奏总纲!P35</f>
        <v>8.189586839976279</v>
      </c>
      <c r="E35" s="4">
        <f>[1]节奏总纲!Q35</f>
        <v>7.1519661873512845</v>
      </c>
      <c r="F35" s="4">
        <f>[1]节奏总纲!R35</f>
        <v>5.906330028990892</v>
      </c>
      <c r="G35" s="4">
        <f>[1]节奏总纲!S35</f>
        <v>4.3855237528072974</v>
      </c>
      <c r="H35" s="4">
        <f>[1]节奏总纲!T35</f>
        <v>2.46506563883286</v>
      </c>
      <c r="J35" s="4">
        <v>32</v>
      </c>
      <c r="K35" s="4">
        <f>[1]节奏总纲!W35</f>
        <v>0.61539913968593574</v>
      </c>
      <c r="L35" s="4">
        <f>[1]节奏总纲!X35</f>
        <v>0.54045774376784372</v>
      </c>
      <c r="M35" s="4">
        <f>[1]节奏总纲!Y35</f>
        <v>0.44306844077146668</v>
      </c>
      <c r="N35" s="4">
        <f>[1]节奏总纲!Z35</f>
        <v>0.33333333315196345</v>
      </c>
      <c r="O35" s="4">
        <f>[1]节奏总纲!AA35</f>
        <v>0.18674997858552445</v>
      </c>
      <c r="Q35" s="4">
        <v>32</v>
      </c>
      <c r="R35" s="4">
        <f>[1]节奏总纲!AD35</f>
        <v>50.435397692903535</v>
      </c>
      <c r="S35" s="4">
        <f>[1]节奏总纲!AE35</f>
        <v>52.391506955233744</v>
      </c>
      <c r="T35" s="4">
        <f>[1]节奏总纲!AF35</f>
        <v>55.159275389027101</v>
      </c>
      <c r="U35" s="4">
        <f>[1]节奏总纲!AG35</f>
        <v>59.632093520341421</v>
      </c>
      <c r="V35" s="4">
        <f>[1]节奏总纲!AH35</f>
        <v>68.063981730538742</v>
      </c>
      <c r="Z35" s="4">
        <v>32</v>
      </c>
      <c r="AA35" s="4">
        <f>[1]节奏总纲!AM35</f>
        <v>39.220797956048642</v>
      </c>
      <c r="AB35" s="4">
        <f>[1]节奏总纲!AN35</f>
        <v>31.376638364838914</v>
      </c>
      <c r="AC35" s="4">
        <f>[1]节奏总纲!AO35</f>
        <v>23.532478773629183</v>
      </c>
      <c r="AD35" s="4">
        <f>[1]节奏总纲!AP35</f>
        <v>15.688319182419457</v>
      </c>
      <c r="AE35" s="4">
        <f>[1]节奏总纲!AQ35</f>
        <v>7.8441595912097286</v>
      </c>
      <c r="AG35" s="4">
        <v>32</v>
      </c>
      <c r="AH35" s="4">
        <f>[1]节奏总纲!AT35</f>
        <v>5.8631183849359374</v>
      </c>
      <c r="AI35" s="4">
        <f>[1]节奏总纲!AU35</f>
        <v>4.6904947079487478</v>
      </c>
      <c r="AJ35" s="4">
        <f>[1]节奏总纲!AV35</f>
        <v>3.5178710309615617</v>
      </c>
      <c r="AK35" s="4">
        <f>[1]节奏总纲!AW35</f>
        <v>2.3452473539743739</v>
      </c>
      <c r="AL35" s="4">
        <f>[1]节奏总纲!AX35</f>
        <v>1.1726236769871869</v>
      </c>
      <c r="AM35" s="4"/>
      <c r="AN35" s="4">
        <v>32</v>
      </c>
      <c r="AO35" s="4">
        <f>[1]节奏总纲!BA35</f>
        <v>30.728880502070336</v>
      </c>
      <c r="AP35" s="4">
        <f>[1]节奏总纲!BB35</f>
        <v>32.113552950216736</v>
      </c>
      <c r="AQ35" s="4">
        <f>[1]节奏总纲!BC35</f>
        <v>33.903140691603731</v>
      </c>
      <c r="AR35" s="4">
        <f>[1]节奏总纲!BD35</f>
        <v>36.526331209747774</v>
      </c>
      <c r="AS35" s="4">
        <f>[1]节奏总纲!BE35</f>
        <v>41.188041754455355</v>
      </c>
    </row>
    <row r="36" spans="2:45" x14ac:dyDescent="0.15">
      <c r="B36" s="4">
        <f>[1]节奏总纲!N36</f>
        <v>43</v>
      </c>
      <c r="C36" s="4">
        <v>33</v>
      </c>
      <c r="D36" s="4">
        <f>[1]节奏总纲!P36</f>
        <v>8.8491553067593287</v>
      </c>
      <c r="E36" s="4">
        <f>[1]节奏总纲!Q36</f>
        <v>7.7120388498407557</v>
      </c>
      <c r="F36" s="4">
        <f>[1]节奏总纲!R36</f>
        <v>6.3696219898053652</v>
      </c>
      <c r="G36" s="4">
        <f>[1]节奏总纲!S36</f>
        <v>4.736067920177593</v>
      </c>
      <c r="H36" s="4">
        <f>[1]节奏总纲!T36</f>
        <v>2.6627108318038819</v>
      </c>
      <c r="J36" s="4">
        <v>33</v>
      </c>
      <c r="K36" s="4">
        <f>[1]节奏总纲!W36</f>
        <v>0.6595684667830497</v>
      </c>
      <c r="L36" s="4">
        <f>[1]节奏总纲!X36</f>
        <v>0.56007266248947118</v>
      </c>
      <c r="M36" s="4">
        <f>[1]节奏总纲!Y36</f>
        <v>0.46329196081447321</v>
      </c>
      <c r="N36" s="4">
        <f>[1]节奏总纲!Z36</f>
        <v>0.35054416737029559</v>
      </c>
      <c r="O36" s="4">
        <f>[1]节奏总纲!AA36</f>
        <v>0.1976451929710219</v>
      </c>
      <c r="Q36" s="4">
        <v>33</v>
      </c>
      <c r="R36" s="4">
        <f>[1]节奏总纲!AD36</f>
        <v>50.870795385807064</v>
      </c>
      <c r="S36" s="4">
        <f>[1]节奏总纲!AE36</f>
        <v>52.81759316022675</v>
      </c>
      <c r="T36" s="4">
        <f>[1]节奏总纲!AF36</f>
        <v>55.604435245632025</v>
      </c>
      <c r="U36" s="4">
        <f>[1]节奏总纲!AG36</f>
        <v>60.078368706270226</v>
      </c>
      <c r="V36" s="4">
        <f>[1]节奏总纲!AH36</f>
        <v>68.518369035696878</v>
      </c>
      <c r="Z36" s="4">
        <v>33</v>
      </c>
      <c r="AA36" s="4">
        <f>[1]节奏总纲!AM36</f>
        <v>46.082812923199413</v>
      </c>
      <c r="AB36" s="4">
        <f>[1]节奏总纲!AN36</f>
        <v>36.866250338559531</v>
      </c>
      <c r="AC36" s="4">
        <f>[1]节奏总纲!AO36</f>
        <v>27.649687753919647</v>
      </c>
      <c r="AD36" s="4">
        <f>[1]节奏总纲!AP36</f>
        <v>18.433125169279766</v>
      </c>
      <c r="AE36" s="4">
        <f>[1]节奏总纲!AQ36</f>
        <v>9.2165625846398829</v>
      </c>
      <c r="AG36" s="4">
        <v>33</v>
      </c>
      <c r="AH36" s="4">
        <f>[1]节奏总纲!AT36</f>
        <v>6.8620149671507704</v>
      </c>
      <c r="AI36" s="4">
        <f>[1]节奏总纲!AU36</f>
        <v>5.489611973720617</v>
      </c>
      <c r="AJ36" s="4">
        <f>[1]节奏总纲!AV36</f>
        <v>4.1172089802904637</v>
      </c>
      <c r="AK36" s="4">
        <f>[1]节奏总纲!AW36</f>
        <v>2.7448059868603085</v>
      </c>
      <c r="AL36" s="4">
        <f>[1]节奏总纲!AX36</f>
        <v>1.3724029934301543</v>
      </c>
      <c r="AM36" s="4"/>
      <c r="AN36" s="4">
        <v>33</v>
      </c>
      <c r="AO36" s="4">
        <f>[1]节奏总纲!BA36</f>
        <v>30.928573790308786</v>
      </c>
      <c r="AP36" s="4">
        <f>[1]节奏总纲!BB36</f>
        <v>32.295715187691279</v>
      </c>
      <c r="AQ36" s="4">
        <f>[1]节奏总纲!BC36</f>
        <v>34.09469189131628</v>
      </c>
      <c r="AR36" s="4">
        <f>[1]节奏总纲!BD36</f>
        <v>36.73675803133704</v>
      </c>
      <c r="AS36" s="4">
        <f>[1]节奏总纲!BE36</f>
        <v>41.389172829914081</v>
      </c>
    </row>
    <row r="37" spans="2:45" x14ac:dyDescent="0.15">
      <c r="B37" s="4">
        <f>[1]节奏总纲!N37</f>
        <v>44</v>
      </c>
      <c r="C37" s="4">
        <v>34</v>
      </c>
      <c r="D37" s="4">
        <f>[1]节奏总纲!P37</f>
        <v>9.5560632861831518</v>
      </c>
      <c r="E37" s="4">
        <f>[1]节奏总纲!Q37</f>
        <v>8.3309759728944712</v>
      </c>
      <c r="F37" s="4">
        <f>[1]节奏总纲!R37</f>
        <v>6.8918328419952886</v>
      </c>
      <c r="G37" s="4">
        <f>[1]节奏总纲!S37</f>
        <v>5.1287391656944967</v>
      </c>
      <c r="H37" s="4">
        <f>[1]节奏总纲!T37</f>
        <v>2.8811530807842201</v>
      </c>
      <c r="J37" s="4">
        <v>34</v>
      </c>
      <c r="K37" s="4">
        <f>[1]节奏总纲!W37</f>
        <v>0.70690797942382311</v>
      </c>
      <c r="L37" s="4">
        <f>[1]节奏总纲!X37</f>
        <v>0.61893712305371551</v>
      </c>
      <c r="M37" s="4">
        <f>[1]节奏总纲!Y37</f>
        <v>0.52221085218992336</v>
      </c>
      <c r="N37" s="4">
        <f>[1]节奏总纲!Z37</f>
        <v>0.39267124551690369</v>
      </c>
      <c r="O37" s="4">
        <f>[1]节奏总纲!AA37</f>
        <v>0.21844224898033815</v>
      </c>
      <c r="Q37" s="4">
        <v>34</v>
      </c>
      <c r="R37" s="4">
        <f>[1]节奏总纲!AD37</f>
        <v>51.285688244217212</v>
      </c>
      <c r="S37" s="4">
        <f>[1]节奏总纲!AE37</f>
        <v>53.226994578658328</v>
      </c>
      <c r="T37" s="4">
        <f>[1]节奏总纲!AF37</f>
        <v>56.045896281048073</v>
      </c>
      <c r="U37" s="4">
        <f>[1]节奏总纲!AG37</f>
        <v>60.491705764657482</v>
      </c>
      <c r="V37" s="4">
        <f>[1]节奏总纲!AH37</f>
        <v>68.972756340855</v>
      </c>
      <c r="Z37" s="4">
        <v>34</v>
      </c>
      <c r="AA37" s="4">
        <f>[1]节奏总纲!AM37</f>
        <v>54.110931329932889</v>
      </c>
      <c r="AB37" s="4">
        <f>[1]节奏总纲!AN37</f>
        <v>43.288745063946315</v>
      </c>
      <c r="AC37" s="4">
        <f>[1]节奏总纲!AO37</f>
        <v>32.466558797959735</v>
      </c>
      <c r="AD37" s="4">
        <f>[1]节奏总纲!AP37</f>
        <v>21.644372531973158</v>
      </c>
      <c r="AE37" s="4">
        <f>[1]节奏总纲!AQ37</f>
        <v>10.822186265986579</v>
      </c>
      <c r="AG37" s="4">
        <v>34</v>
      </c>
      <c r="AH37" s="4">
        <f>[1]节奏总纲!AT37</f>
        <v>8.0281184067334763</v>
      </c>
      <c r="AI37" s="4">
        <f>[1]节奏总纲!AU37</f>
        <v>6.4224947253867839</v>
      </c>
      <c r="AJ37" s="4">
        <f>[1]节奏总纲!AV37</f>
        <v>4.8168710440400879</v>
      </c>
      <c r="AK37" s="4">
        <f>[1]节奏总纲!AW37</f>
        <v>3.2112473626933919</v>
      </c>
      <c r="AL37" s="4">
        <f>[1]节奏总纲!AX37</f>
        <v>1.605623681346696</v>
      </c>
      <c r="AM37" s="4"/>
      <c r="AN37" s="4">
        <v>34</v>
      </c>
      <c r="AO37" s="4">
        <f>[1]节奏总纲!BA37</f>
        <v>31.109552696486158</v>
      </c>
      <c r="AP37" s="4">
        <f>[1]节奏总纲!BB37</f>
        <v>32.477877425165822</v>
      </c>
      <c r="AQ37" s="4">
        <f>[1]节奏总纲!BC37</f>
        <v>34.272203285175834</v>
      </c>
      <c r="AR37" s="4">
        <f>[1]节奏总纲!BD37</f>
        <v>36.947184852926306</v>
      </c>
      <c r="AS37" s="4">
        <f>[1]节奏总纲!BE37</f>
        <v>41.590303905372799</v>
      </c>
    </row>
    <row r="38" spans="2:45" x14ac:dyDescent="0.15">
      <c r="B38" s="4">
        <f>[1]节奏总纲!N38</f>
        <v>45</v>
      </c>
      <c r="C38" s="4">
        <v>35</v>
      </c>
      <c r="D38" s="4">
        <f>[1]节奏总纲!P38</f>
        <v>10.313708498984759</v>
      </c>
      <c r="E38" s="4">
        <f>[1]节奏总纲!Q38</f>
        <v>9.0048988904635934</v>
      </c>
      <c r="F38" s="4">
        <f>[1]节奏总纲!R38</f>
        <v>7.4547485030661838</v>
      </c>
      <c r="G38" s="4">
        <f>[1]节奏总纲!S38</f>
        <v>5.5405242056546129</v>
      </c>
      <c r="H38" s="4">
        <f>[1]节奏总纲!T38</f>
        <v>3.1106144832938032</v>
      </c>
      <c r="J38" s="4">
        <v>35</v>
      </c>
      <c r="K38" s="4">
        <f>[1]节奏总纲!W38</f>
        <v>0.75764521280160757</v>
      </c>
      <c r="L38" s="4">
        <f>[1]节奏总纲!X38</f>
        <v>0.67392291756912215</v>
      </c>
      <c r="M38" s="4">
        <f>[1]节奏总纲!Y38</f>
        <v>0.56291566107089519</v>
      </c>
      <c r="N38" s="4">
        <f>[1]节奏总纲!Z38</f>
        <v>0.41178503996011617</v>
      </c>
      <c r="O38" s="4">
        <f>[1]节奏总纲!AA38</f>
        <v>0.22946140250958313</v>
      </c>
      <c r="Q38" s="4">
        <v>35</v>
      </c>
      <c r="R38" s="4">
        <f>[1]节奏总纲!AD38</f>
        <v>51.691928656135211</v>
      </c>
      <c r="S38" s="4">
        <f>[1]节奏总纲!AE38</f>
        <v>53.623906555539456</v>
      </c>
      <c r="T38" s="4">
        <f>[1]节奏总纲!AF38</f>
        <v>56.457855949816349</v>
      </c>
      <c r="U38" s="4">
        <f>[1]节奏总纲!AG38</f>
        <v>60.905042823044738</v>
      </c>
      <c r="V38" s="4">
        <f>[1]节奏总纲!AH38</f>
        <v>69.385288338144662</v>
      </c>
      <c r="Z38" s="4">
        <v>35</v>
      </c>
      <c r="AA38" s="4">
        <f>[1]节奏总纲!AM38</f>
        <v>63.5</v>
      </c>
      <c r="AB38" s="4">
        <f>[1]节奏总纲!AN38</f>
        <v>50.800000000000004</v>
      </c>
      <c r="AC38" s="4">
        <f>[1]节奏总纲!AO38</f>
        <v>38.1</v>
      </c>
      <c r="AD38" s="4">
        <f>[1]节奏总纲!AP38</f>
        <v>25.400000000000002</v>
      </c>
      <c r="AE38" s="4">
        <f>[1]节奏总纲!AQ38</f>
        <v>12.700000000000001</v>
      </c>
      <c r="AG38" s="4">
        <v>35</v>
      </c>
      <c r="AH38" s="4">
        <f>[1]节奏总纲!AT38</f>
        <v>9.3890686700671111</v>
      </c>
      <c r="AI38" s="4">
        <f>[1]节奏总纲!AU38</f>
        <v>7.5112549360536889</v>
      </c>
      <c r="AJ38" s="4">
        <f>[1]节奏总纲!AV38</f>
        <v>5.6334412020402667</v>
      </c>
      <c r="AK38" s="4">
        <f>[1]节奏总纲!AW38</f>
        <v>3.7556274680268444</v>
      </c>
      <c r="AL38" s="4">
        <f>[1]节奏总纲!AX38</f>
        <v>1.8778137340134222</v>
      </c>
      <c r="AM38" s="4"/>
      <c r="AN38" s="4">
        <v>35</v>
      </c>
      <c r="AO38" s="4">
        <f>[1]节奏总纲!BA38</f>
        <v>31.280110398778046</v>
      </c>
      <c r="AP38" s="4">
        <f>[1]节奏总纲!BB38</f>
        <v>32.660039662640372</v>
      </c>
      <c r="AQ38" s="4">
        <f>[1]节奏总纲!BC38</f>
        <v>34.449714679035388</v>
      </c>
      <c r="AR38" s="4">
        <f>[1]节奏总纲!BD38</f>
        <v>37.135950591746003</v>
      </c>
      <c r="AS38" s="4">
        <f>[1]节奏总纲!BE38</f>
        <v>41.791434980831518</v>
      </c>
    </row>
    <row r="39" spans="2:45" x14ac:dyDescent="0.15">
      <c r="B39" s="4">
        <f>[1]节奏总纲!N39</f>
        <v>46</v>
      </c>
      <c r="C39" s="4">
        <v>36</v>
      </c>
      <c r="D39" s="4">
        <f>[1]节奏总纲!P39</f>
        <v>11.125732532083184</v>
      </c>
      <c r="E39" s="4">
        <f>[1]节奏总纲!Q39</f>
        <v>9.7261153795471191</v>
      </c>
      <c r="F39" s="4">
        <f>[1]节奏总纲!R39</f>
        <v>8.0405669009365166</v>
      </c>
      <c r="G39" s="4">
        <f>[1]节奏总纲!S39</f>
        <v>5.9700680767158358</v>
      </c>
      <c r="H39" s="4">
        <f>[1]节奏总纲!T39</f>
        <v>3.3388323328781633</v>
      </c>
      <c r="J39" s="4">
        <v>36</v>
      </c>
      <c r="K39" s="4">
        <f>[1]节奏总纲!W39</f>
        <v>0.81202403309842452</v>
      </c>
      <c r="L39" s="4">
        <f>[1]节奏总纲!X39</f>
        <v>0.72121648908352576</v>
      </c>
      <c r="M39" s="4">
        <f>[1]节奏总纲!Y39</f>
        <v>0.58581839787033285</v>
      </c>
      <c r="N39" s="4">
        <f>[1]节奏总纲!Z39</f>
        <v>0.42954387106122294</v>
      </c>
      <c r="O39" s="4">
        <f>[1]节奏总纲!AA39</f>
        <v>0.22821784958436009</v>
      </c>
      <c r="Q39" s="4">
        <v>36</v>
      </c>
      <c r="R39" s="4">
        <f>[1]节奏总纲!AD39</f>
        <v>52.091594979242075</v>
      </c>
      <c r="S39" s="4">
        <f>[1]节奏总纲!AE39</f>
        <v>54.020289560649204</v>
      </c>
      <c r="T39" s="4">
        <f>[1]节奏总纲!AF39</f>
        <v>56.869815618584624</v>
      </c>
      <c r="U39" s="4">
        <f>[1]节奏总纲!AG39</f>
        <v>61.294362422865476</v>
      </c>
      <c r="V39" s="4">
        <f>[1]节奏总纲!AH39</f>
        <v>69.795150761037945</v>
      </c>
      <c r="Z39" s="4">
        <v>36</v>
      </c>
      <c r="AA39" s="4">
        <f>[1]节奏总纲!AM39</f>
        <v>73.746861667008318</v>
      </c>
      <c r="AB39" s="4">
        <f>[1]节奏总纲!AN39</f>
        <v>58.997489333606659</v>
      </c>
      <c r="AC39" s="4">
        <f>[1]节奏总纲!AO39</f>
        <v>44.248117000204992</v>
      </c>
      <c r="AD39" s="4">
        <f>[1]节奏总纲!AP39</f>
        <v>29.498744666803329</v>
      </c>
      <c r="AE39" s="4">
        <f>[1]节奏总纲!AQ39</f>
        <v>14.749372333401665</v>
      </c>
      <c r="AG39" s="4">
        <v>36</v>
      </c>
      <c r="AH39" s="4">
        <f>[1]节奏总纲!AT39</f>
        <v>10.246861667008318</v>
      </c>
      <c r="AI39" s="4">
        <f>[1]节奏总纲!AU39</f>
        <v>8.1974893336066543</v>
      </c>
      <c r="AJ39" s="4">
        <f>[1]节奏总纲!AV39</f>
        <v>6.1481170002049907</v>
      </c>
      <c r="AK39" s="4">
        <f>[1]节奏总纲!AW39</f>
        <v>4.0987446668033272</v>
      </c>
      <c r="AL39" s="4">
        <f>[1]节奏总纲!AX39</f>
        <v>2.0493723334016636</v>
      </c>
      <c r="AM39" s="4"/>
      <c r="AN39" s="4">
        <v>36</v>
      </c>
      <c r="AO39" s="4">
        <f>[1]节奏总纲!BA39</f>
        <v>31.450668101069933</v>
      </c>
      <c r="AP39" s="4">
        <f>[1]节奏总纲!BB39</f>
        <v>32.842201900114915</v>
      </c>
      <c r="AQ39" s="4">
        <f>[1]节奏总纲!BC39</f>
        <v>34.627226072894942</v>
      </c>
      <c r="AR39" s="4">
        <f>[1]节奏总纲!BD39</f>
        <v>37.317457773889828</v>
      </c>
      <c r="AS39" s="4">
        <f>[1]节奏总纲!BE39</f>
        <v>41.992566056290244</v>
      </c>
    </row>
    <row r="40" spans="2:45" x14ac:dyDescent="0.15">
      <c r="B40" s="4">
        <f>[1]节奏总纲!N40</f>
        <v>47</v>
      </c>
      <c r="C40" s="4">
        <v>37</v>
      </c>
      <c r="D40" s="4">
        <f>[1]节奏总纲!P40</f>
        <v>11.996038341699768</v>
      </c>
      <c r="E40" s="4">
        <f>[1]节奏总纲!Q40</f>
        <v>10.483337906811427</v>
      </c>
      <c r="F40" s="4">
        <f>[1]节奏总纲!R40</f>
        <v>8.6671377018780831</v>
      </c>
      <c r="G40" s="4">
        <f>[1]节奏总纲!S40</f>
        <v>6.4166809089752066</v>
      </c>
      <c r="H40" s="4">
        <f>[1]节奏总纲!T40</f>
        <v>3.6000111063441</v>
      </c>
      <c r="J40" s="4">
        <v>37</v>
      </c>
      <c r="K40" s="4">
        <f>[1]节奏总纲!W40</f>
        <v>0.87030580961658366</v>
      </c>
      <c r="L40" s="4">
        <f>[1]节奏总纲!X40</f>
        <v>0.75722252726430739</v>
      </c>
      <c r="M40" s="4">
        <f>[1]节奏总纲!Y40</f>
        <v>0.62657080094156647</v>
      </c>
      <c r="N40" s="4">
        <f>[1]节奏总纲!Z40</f>
        <v>0.44661283225937076</v>
      </c>
      <c r="O40" s="4">
        <f>[1]节奏总纲!AA40</f>
        <v>0.26117877346593676</v>
      </c>
      <c r="Q40" s="4">
        <v>37</v>
      </c>
      <c r="R40" s="4">
        <f>[1]节奏总纲!AD40</f>
        <v>52.470630686057078</v>
      </c>
      <c r="S40" s="4">
        <f>[1]节奏总纲!AE40</f>
        <v>54.407116521581436</v>
      </c>
      <c r="T40" s="4">
        <f>[1]节奏总纲!AF40</f>
        <v>57.263329041432932</v>
      </c>
      <c r="U40" s="4">
        <f>[1]节奏总纲!AG40</f>
        <v>61.676518787205197</v>
      </c>
      <c r="V40" s="4">
        <f>[1]节奏总纲!AH40</f>
        <v>70.190427169053478</v>
      </c>
      <c r="Z40" s="4">
        <v>37</v>
      </c>
      <c r="AA40" s="4">
        <f>[1]节奏总纲!AM40</f>
        <v>85.62747641525452</v>
      </c>
      <c r="AB40" s="4">
        <f>[1]节奏总纲!AN40</f>
        <v>68.501981132203625</v>
      </c>
      <c r="AC40" s="4">
        <f>[1]节奏总纲!AO40</f>
        <v>51.376485849152708</v>
      </c>
      <c r="AD40" s="4">
        <f>[1]节奏总纲!AP40</f>
        <v>34.250990566101812</v>
      </c>
      <c r="AE40" s="4">
        <f>[1]节奏总纲!AQ40</f>
        <v>17.125495283050906</v>
      </c>
      <c r="AG40" s="4">
        <v>37</v>
      </c>
      <c r="AH40" s="4">
        <f>[1]节奏总纲!AT40</f>
        <v>11.880614748246202</v>
      </c>
      <c r="AI40" s="4">
        <f>[1]节奏总纲!AU40</f>
        <v>9.5044917985969661</v>
      </c>
      <c r="AJ40" s="4">
        <f>[1]节奏总纲!AV40</f>
        <v>7.1283688489477157</v>
      </c>
      <c r="AK40" s="4">
        <f>[1]节奏总纲!AW40</f>
        <v>4.7522458992984831</v>
      </c>
      <c r="AL40" s="4">
        <f>[1]节奏总纲!AX40</f>
        <v>2.3761229496492415</v>
      </c>
      <c r="AM40" s="4"/>
      <c r="AN40" s="4">
        <v>37</v>
      </c>
      <c r="AO40" s="4">
        <f>[1]节奏总纲!BA40</f>
        <v>31.621225803361821</v>
      </c>
      <c r="AP40" s="4">
        <f>[1]节奏总纲!BB40</f>
        <v>33.02082518821102</v>
      </c>
      <c r="AQ40" s="4">
        <f>[1]节奏总纲!BC40</f>
        <v>34.804737466754489</v>
      </c>
      <c r="AR40" s="4">
        <f>[1]节奏总纲!BD40</f>
        <v>37.498964956033646</v>
      </c>
      <c r="AS40" s="4">
        <f>[1]节奏总纲!BE40</f>
        <v>42.167148737437564</v>
      </c>
    </row>
    <row r="41" spans="2:45" x14ac:dyDescent="0.15">
      <c r="B41" s="4">
        <f>[1]节奏总纲!N41</f>
        <v>48</v>
      </c>
      <c r="C41" s="4">
        <v>38</v>
      </c>
      <c r="D41" s="4">
        <f>[1]节奏总纲!P41</f>
        <v>12.928809012737984</v>
      </c>
      <c r="E41" s="4">
        <f>[1]节奏总纲!Q41</f>
        <v>11.292021791725356</v>
      </c>
      <c r="F41" s="4">
        <f>[1]节奏总纲!R41</f>
        <v>9.3190855363815395</v>
      </c>
      <c r="G41" s="4">
        <f>[1]节奏总纲!S41</f>
        <v>6.8962267273944402</v>
      </c>
      <c r="H41" s="4">
        <f>[1]节奏总纲!T41</f>
        <v>3.8708854184137524</v>
      </c>
      <c r="J41" s="4">
        <v>38</v>
      </c>
      <c r="K41" s="4">
        <f>[1]节奏总纲!W41</f>
        <v>0.93277067103821665</v>
      </c>
      <c r="L41" s="4">
        <f>[1]节奏总纲!X41</f>
        <v>0.80868388491392906</v>
      </c>
      <c r="M41" s="4">
        <f>[1]节奏总纲!Y41</f>
        <v>0.65194783450345639</v>
      </c>
      <c r="N41" s="4">
        <f>[1]节奏总纲!Z41</f>
        <v>0.4795458184192336</v>
      </c>
      <c r="O41" s="4">
        <f>[1]节奏总纲!AA41</f>
        <v>0.2708743120696524</v>
      </c>
      <c r="Q41" s="4">
        <v>38</v>
      </c>
      <c r="R41" s="4">
        <f>[1]节奏总纲!AD41</f>
        <v>52.849666392872081</v>
      </c>
      <c r="S41" s="4">
        <f>[1]节奏总纲!AE41</f>
        <v>54.793943482513676</v>
      </c>
      <c r="T41" s="4">
        <f>[1]节奏总纲!AF41</f>
        <v>57.64832002380362</v>
      </c>
      <c r="U41" s="4">
        <f>[1]节奏总纲!AG41</f>
        <v>62.054222259937362</v>
      </c>
      <c r="V41" s="4">
        <f>[1]节奏总纲!AH41</f>
        <v>70.571129226337533</v>
      </c>
      <c r="Z41" s="4">
        <v>38</v>
      </c>
      <c r="AA41" s="4">
        <f>[1]节奏总纲!AM41</f>
        <v>99.401036064365428</v>
      </c>
      <c r="AB41" s="4">
        <f>[1]节奏总纲!AN41</f>
        <v>79.520828851492354</v>
      </c>
      <c r="AC41" s="4">
        <f>[1]节奏总纲!AO41</f>
        <v>59.640621638619251</v>
      </c>
      <c r="AD41" s="4">
        <f>[1]节奏总纲!AP41</f>
        <v>39.760414425746177</v>
      </c>
      <c r="AE41" s="4">
        <f>[1]节奏总纲!AQ41</f>
        <v>19.880207212873088</v>
      </c>
      <c r="AG41" s="4">
        <v>38</v>
      </c>
      <c r="AH41" s="4">
        <f>[1]节奏总纲!AT41</f>
        <v>13.773559649110908</v>
      </c>
      <c r="AI41" s="4">
        <f>[1]节奏总纲!AU41</f>
        <v>11.018847719288729</v>
      </c>
      <c r="AJ41" s="4">
        <f>[1]节奏总纲!AV41</f>
        <v>8.2641357894665433</v>
      </c>
      <c r="AK41" s="4">
        <f>[1]节奏总纲!AW41</f>
        <v>5.5094238596443645</v>
      </c>
      <c r="AL41" s="4">
        <f>[1]节奏总纲!AX41</f>
        <v>2.7547119298221823</v>
      </c>
      <c r="AM41" s="4"/>
      <c r="AN41" s="4">
        <v>38</v>
      </c>
      <c r="AO41" s="4">
        <f>[1]节奏总纲!BA41</f>
        <v>31.791783505653711</v>
      </c>
      <c r="AP41" s="4">
        <f>[1]节奏总纲!BB41</f>
        <v>33.176527924103851</v>
      </c>
      <c r="AQ41" s="4">
        <f>[1]节奏总纲!BC41</f>
        <v>34.982248860614042</v>
      </c>
      <c r="AR41" s="4">
        <f>[1]节奏总纲!BD41</f>
        <v>37.680472138177471</v>
      </c>
      <c r="AS41" s="4">
        <f>[1]节奏总纲!BE41</f>
        <v>42.340712512072891</v>
      </c>
    </row>
    <row r="42" spans="2:45" x14ac:dyDescent="0.15">
      <c r="B42" s="4">
        <f>[1]节奏总纲!N42</f>
        <v>49</v>
      </c>
      <c r="C42" s="4">
        <v>39</v>
      </c>
      <c r="D42" s="4">
        <f>[1]节奏总纲!P42</f>
        <v>13.928527864588917</v>
      </c>
      <c r="E42" s="4">
        <f>[1]节奏总纲!Q42</f>
        <v>12.147069150707994</v>
      </c>
      <c r="F42" s="4">
        <f>[1]节奏总纲!R42</f>
        <v>10.016004387425889</v>
      </c>
      <c r="G42" s="4">
        <f>[1]节奏总纲!S42</f>
        <v>7.4197267934665154</v>
      </c>
      <c r="H42" s="4">
        <f>[1]节奏总纲!T42</f>
        <v>4.1702012426579218</v>
      </c>
      <c r="J42" s="4">
        <v>39</v>
      </c>
      <c r="K42" s="4">
        <f>[1]节奏总纲!W42</f>
        <v>0.99971885185093257</v>
      </c>
      <c r="L42" s="4">
        <f>[1]节奏总纲!X42</f>
        <v>0.85504735898263817</v>
      </c>
      <c r="M42" s="4">
        <f>[1]节奏总纲!Y42</f>
        <v>0.69691885104434981</v>
      </c>
      <c r="N42" s="4">
        <f>[1]节奏总纲!Z42</f>
        <v>0.52350006607207522</v>
      </c>
      <c r="O42" s="4">
        <f>[1]节奏总纲!AA42</f>
        <v>0.29931582424416936</v>
      </c>
      <c r="Q42" s="4">
        <v>39</v>
      </c>
      <c r="R42" s="4">
        <f>[1]节奏总纲!AD42</f>
        <v>53.213386604241784</v>
      </c>
      <c r="S42" s="4">
        <f>[1]节奏总纲!AE42</f>
        <v>55.170390866416149</v>
      </c>
      <c r="T42" s="4">
        <f>[1]节奏总纲!AF42</f>
        <v>58.030740707238266</v>
      </c>
      <c r="U42" s="4">
        <f>[1]节奏总纲!AG42</f>
        <v>62.407376554018477</v>
      </c>
      <c r="V42" s="4">
        <f>[1]节奏总纲!AH42</f>
        <v>70.951831283621587</v>
      </c>
      <c r="Z42" s="4">
        <v>39</v>
      </c>
      <c r="AA42" s="4">
        <f>[1]节奏总纲!AM42</f>
        <v>115.36769098598003</v>
      </c>
      <c r="AB42" s="4">
        <f>[1]节奏总纲!AN42</f>
        <v>92.294152788784032</v>
      </c>
      <c r="AC42" s="4">
        <f>[1]节奏总纲!AO42</f>
        <v>69.220614591588017</v>
      </c>
      <c r="AD42" s="4">
        <f>[1]节奏总纲!AP42</f>
        <v>46.147076394392016</v>
      </c>
      <c r="AE42" s="4">
        <f>[1]节奏总纲!AQ42</f>
        <v>23.073538197196008</v>
      </c>
      <c r="AG42" s="4">
        <v>39</v>
      </c>
      <c r="AH42" s="4">
        <f>[1]节奏总纲!AT42</f>
        <v>15.966654921614605</v>
      </c>
      <c r="AI42" s="4">
        <f>[1]节奏总纲!AU42</f>
        <v>12.773323937291678</v>
      </c>
      <c r="AJ42" s="4">
        <f>[1]节奏总纲!AV42</f>
        <v>9.579992952968766</v>
      </c>
      <c r="AK42" s="4">
        <f>[1]节奏总纲!AW42</f>
        <v>6.3866619686458392</v>
      </c>
      <c r="AL42" s="4">
        <f>[1]节奏总纲!AX42</f>
        <v>3.1933309843229196</v>
      </c>
      <c r="AM42" s="4"/>
      <c r="AN42" s="4">
        <v>39</v>
      </c>
      <c r="AO42" s="4">
        <f>[1]节奏总纲!BA42</f>
        <v>31.962341207945599</v>
      </c>
      <c r="AP42" s="4">
        <f>[1]节奏总纲!BB42</f>
        <v>33.332230659996682</v>
      </c>
      <c r="AQ42" s="4">
        <f>[1]节奏总纲!BC42</f>
        <v>35.146386283795508</v>
      </c>
      <c r="AR42" s="4">
        <f>[1]节奏总纲!BD42</f>
        <v>37.861979320321296</v>
      </c>
      <c r="AS42" s="4">
        <f>[1]节奏总纲!BE42</f>
        <v>42.51427628670821</v>
      </c>
    </row>
    <row r="43" spans="2:45" x14ac:dyDescent="0.15">
      <c r="B43" s="4">
        <f>[1]节奏总纲!N43</f>
        <v>50</v>
      </c>
      <c r="C43" s="4">
        <v>40</v>
      </c>
      <c r="D43" s="4">
        <f>[1]节奏总纲!P43</f>
        <v>15</v>
      </c>
      <c r="E43" s="4">
        <f>[1]节奏总纲!Q43</f>
        <v>13.059000000000001</v>
      </c>
      <c r="F43" s="4">
        <f>[1]节奏总纲!R43</f>
        <v>10.782</v>
      </c>
      <c r="G43" s="4">
        <f>[1]节奏总纲!S43</f>
        <v>8.0009999999999994</v>
      </c>
      <c r="H43" s="4">
        <f>[1]节奏总纲!T43</f>
        <v>4.5</v>
      </c>
      <c r="J43" s="4">
        <v>40</v>
      </c>
      <c r="K43" s="4">
        <f>[1]节奏总纲!W43</f>
        <v>1.0714721354110832</v>
      </c>
      <c r="L43" s="4">
        <f>[1]节奏总纲!X43</f>
        <v>0.9119308492920073</v>
      </c>
      <c r="M43" s="4">
        <f>[1]节奏总纲!Y43</f>
        <v>0.76599561257411075</v>
      </c>
      <c r="N43" s="4">
        <f>[1]节奏总纲!Z43</f>
        <v>0.58127320653348402</v>
      </c>
      <c r="O43" s="4">
        <f>[1]节奏总纲!AA43</f>
        <v>0.3297987573420782</v>
      </c>
      <c r="Q43" s="4">
        <v>40</v>
      </c>
      <c r="R43" s="4">
        <f>[1]节奏总纲!AD43</f>
        <v>53.567039423670657</v>
      </c>
      <c r="S43" s="4">
        <f>[1]节奏总纲!AE43</f>
        <v>55.535006783542492</v>
      </c>
      <c r="T43" s="4">
        <f>[1]节奏总纲!AF43</f>
        <v>58.38602553461638</v>
      </c>
      <c r="U43" s="4">
        <f>[1]节奏总纲!AG43</f>
        <v>62.760530848099599</v>
      </c>
      <c r="V43" s="4">
        <f>[1]节奏总纲!AH43</f>
        <v>71.315281959371688</v>
      </c>
      <c r="Z43" s="4">
        <v>40</v>
      </c>
      <c r="AA43" s="4">
        <f>[1]节奏总纲!AM43</f>
        <v>133.875</v>
      </c>
      <c r="AB43" s="4">
        <f>[1]节奏总纲!AN43</f>
        <v>107.10000000000001</v>
      </c>
      <c r="AC43" s="4">
        <f>[1]节奏总纲!AO43</f>
        <v>80.325000000000003</v>
      </c>
      <c r="AD43" s="4">
        <f>[1]节奏总纲!AP43</f>
        <v>53.550000000000004</v>
      </c>
      <c r="AE43" s="4">
        <f>[1]节奏总纲!AQ43</f>
        <v>26.775000000000002</v>
      </c>
      <c r="AG43" s="4">
        <v>40</v>
      </c>
      <c r="AH43" s="4">
        <f>[1]节奏总纲!AT43</f>
        <v>18.507309014019967</v>
      </c>
      <c r="AI43" s="4">
        <f>[1]节奏总纲!AU43</f>
        <v>14.805847211215976</v>
      </c>
      <c r="AJ43" s="4">
        <f>[1]节奏总纲!AV43</f>
        <v>11.104385408411986</v>
      </c>
      <c r="AK43" s="4">
        <f>[1]节奏总纲!AW43</f>
        <v>7.4029236056079881</v>
      </c>
      <c r="AL43" s="4">
        <f>[1]节奏总纲!AX43</f>
        <v>3.7014618028039941</v>
      </c>
      <c r="AM43" s="4"/>
      <c r="AN43" s="4">
        <v>40</v>
      </c>
      <c r="AO43" s="4">
        <f>[1]节奏总纲!BA43</f>
        <v>32.113552950216736</v>
      </c>
      <c r="AP43" s="4">
        <f>[1]节奏总纲!BB43</f>
        <v>33.487933395889513</v>
      </c>
      <c r="AQ43" s="4">
        <f>[1]节奏总纲!BC43</f>
        <v>35.309037710234961</v>
      </c>
      <c r="AR43" s="4">
        <f>[1]节奏总纲!BD43</f>
        <v>38.037513426486328</v>
      </c>
      <c r="AS43" s="4">
        <f>[1]节奏总纲!BE43</f>
        <v>42.687840061343536</v>
      </c>
    </row>
    <row r="44" spans="2:45" x14ac:dyDescent="0.15">
      <c r="B44" s="4">
        <f>[1]节奏总纲!N44</f>
        <v>51</v>
      </c>
      <c r="C44" s="4">
        <v>41</v>
      </c>
      <c r="D44" s="4">
        <f>[1]节奏总纲!P44</f>
        <v>16.148375400580683</v>
      </c>
      <c r="E44" s="4">
        <f>[1]节奏总纲!Q44</f>
        <v>14.065234973905774</v>
      </c>
      <c r="F44" s="4">
        <f>[1]节奏总纲!R44</f>
        <v>11.621985775797917</v>
      </c>
      <c r="G44" s="4">
        <f>[1]节奏总纲!S44</f>
        <v>8.6296918140703163</v>
      </c>
      <c r="H44" s="4">
        <f>[1]节奏总纲!T44</f>
        <v>4.8606609955747855</v>
      </c>
      <c r="J44" s="4">
        <v>41</v>
      </c>
      <c r="K44" s="4">
        <f>[1]节奏总纲!W44</f>
        <v>1.148375400580683</v>
      </c>
      <c r="L44" s="4">
        <f>[1]节奏总纲!X44</f>
        <v>1.006234973905773</v>
      </c>
      <c r="M44" s="4">
        <f>[1]节奏总纲!Y44</f>
        <v>0.839985775797917</v>
      </c>
      <c r="N44" s="4">
        <f>[1]节奏总纲!Z44</f>
        <v>0.62869181407031682</v>
      </c>
      <c r="O44" s="4">
        <f>[1]节奏总纲!AA44</f>
        <v>0.36066099557478548</v>
      </c>
      <c r="Q44" s="4">
        <v>41</v>
      </c>
      <c r="R44" s="4">
        <f>[1]节奏总纲!AD44</f>
        <v>53.920692243099523</v>
      </c>
      <c r="S44" s="4">
        <f>[1]节奏总纲!AE44</f>
        <v>55.899622700668843</v>
      </c>
      <c r="T44" s="4">
        <f>[1]节奏总纲!AF44</f>
        <v>58.741310361994486</v>
      </c>
      <c r="U44" s="4">
        <f>[1]节奏总纲!AG44</f>
        <v>63.10587219844583</v>
      </c>
      <c r="V44" s="4">
        <f>[1]节奏总纲!AH44</f>
        <v>71.676233707038421</v>
      </c>
      <c r="Z44" s="4">
        <v>41</v>
      </c>
      <c r="AA44" s="4">
        <f>[1]节奏总纲!AM44</f>
        <v>155.32539280599755</v>
      </c>
      <c r="AB44" s="4">
        <f>[1]节奏总纲!AN44</f>
        <v>124.26031424479805</v>
      </c>
      <c r="AC44" s="4">
        <f>[1]节奏总纲!AO44</f>
        <v>93.195235683598526</v>
      </c>
      <c r="AD44" s="4">
        <f>[1]节奏总纲!AP44</f>
        <v>62.130157122399027</v>
      </c>
      <c r="AE44" s="4">
        <f>[1]节奏总纲!AQ44</f>
        <v>31.065078561199513</v>
      </c>
      <c r="AG44" s="4">
        <v>41</v>
      </c>
      <c r="AH44" s="4">
        <f>[1]节奏总纲!AT44</f>
        <v>21.450392805997552</v>
      </c>
      <c r="AI44" s="4">
        <f>[1]节奏总纲!AU44</f>
        <v>17.160314244798045</v>
      </c>
      <c r="AJ44" s="4">
        <f>[1]节奏总纲!AV44</f>
        <v>12.870235683598523</v>
      </c>
      <c r="AK44" s="4">
        <f>[1]节奏总纲!AW44</f>
        <v>8.5801571223990223</v>
      </c>
      <c r="AL44" s="4">
        <f>[1]节奏总纲!AX44</f>
        <v>4.2900785611995111</v>
      </c>
      <c r="AM44" s="4"/>
      <c r="AN44" s="4">
        <v>41</v>
      </c>
      <c r="AO44" s="4">
        <f>[1]节奏总纲!BA44</f>
        <v>32.259282740196369</v>
      </c>
      <c r="AP44" s="4">
        <f>[1]节奏总纲!BB44</f>
        <v>33.643636131782344</v>
      </c>
      <c r="AQ44" s="4">
        <f>[1]节奏总纲!BC44</f>
        <v>35.471689136674414</v>
      </c>
      <c r="AR44" s="4">
        <f>[1]节奏总纲!BD44</f>
        <v>38.194089742081125</v>
      </c>
      <c r="AS44" s="4">
        <f>[1]节奏总纲!BE44</f>
        <v>42.861403835978855</v>
      </c>
    </row>
    <row r="45" spans="2:45" x14ac:dyDescent="0.15">
      <c r="B45" s="4">
        <f>[1]节奏总纲!N45</f>
        <v>52</v>
      </c>
      <c r="C45" s="4">
        <v>42</v>
      </c>
      <c r="D45" s="4">
        <f>[1]节奏总纲!P45</f>
        <v>17.379173679952558</v>
      </c>
      <c r="E45" s="4">
        <f>[1]节奏总纲!Q45</f>
        <v>15.182446126806555</v>
      </c>
      <c r="F45" s="4">
        <f>[1]节奏总纲!R45</f>
        <v>12.547763396925747</v>
      </c>
      <c r="G45" s="4">
        <f>[1]节奏总纲!S45</f>
        <v>9.3221887619265527</v>
      </c>
      <c r="H45" s="4">
        <f>[1]节奏总纲!T45</f>
        <v>5.2485104513456724</v>
      </c>
      <c r="J45" s="4">
        <v>42</v>
      </c>
      <c r="K45" s="4">
        <f>[1]节奏总纲!W45</f>
        <v>1.230798279371875</v>
      </c>
      <c r="L45" s="4">
        <f>[1]节奏总纲!X45</f>
        <v>1.1172111529007811</v>
      </c>
      <c r="M45" s="4">
        <f>[1]节奏总纲!Y45</f>
        <v>0.92577762112783013</v>
      </c>
      <c r="N45" s="4">
        <f>[1]节奏总纲!Z45</f>
        <v>0.69249694785623639</v>
      </c>
      <c r="O45" s="4">
        <f>[1]节奏总纲!AA45</f>
        <v>0.38784945577088692</v>
      </c>
      <c r="Q45" s="4">
        <v>42</v>
      </c>
      <c r="R45" s="4">
        <f>[1]节奏总纲!AD45</f>
        <v>54.255972994404218</v>
      </c>
      <c r="S45" s="4">
        <f>[1]节奏总纲!AE45</f>
        <v>56.238779717153008</v>
      </c>
      <c r="T45" s="4">
        <f>[1]节奏总纲!AF45</f>
        <v>59.09095196730258</v>
      </c>
      <c r="U45" s="4">
        <f>[1]节奏总纲!AG45</f>
        <v>63.434756173851497</v>
      </c>
      <c r="V45" s="4">
        <f>[1]节奏总纲!AH45</f>
        <v>72.034562459436771</v>
      </c>
      <c r="Z45" s="4">
        <v>42</v>
      </c>
      <c r="AA45" s="4">
        <f>[1]节奏总纲!AM45</f>
        <v>180.18480345945557</v>
      </c>
      <c r="AB45" s="4">
        <f>[1]节奏总纲!AN45</f>
        <v>144.14784276756447</v>
      </c>
      <c r="AC45" s="4">
        <f>[1]节奏总纲!AO45</f>
        <v>108.11088207567333</v>
      </c>
      <c r="AD45" s="4">
        <f>[1]节奏总纲!AP45</f>
        <v>72.073921383782235</v>
      </c>
      <c r="AE45" s="4">
        <f>[1]节奏总纲!AQ45</f>
        <v>36.036960691891117</v>
      </c>
      <c r="AG45" s="4">
        <v>42</v>
      </c>
      <c r="AH45" s="4">
        <f>[1]节奏总纲!AT45</f>
        <v>24.859410653458013</v>
      </c>
      <c r="AI45" s="4">
        <f>[1]节奏总纲!AU45</f>
        <v>19.887528522766416</v>
      </c>
      <c r="AJ45" s="4">
        <f>[1]节奏总纲!AV45</f>
        <v>14.915646392074805</v>
      </c>
      <c r="AK45" s="4">
        <f>[1]节奏总纲!AW45</f>
        <v>9.9437642613832082</v>
      </c>
      <c r="AL45" s="4">
        <f>[1]节奏总纲!AX45</f>
        <v>4.9718821306916041</v>
      </c>
      <c r="AM45" s="4"/>
      <c r="AN45" s="4">
        <v>42</v>
      </c>
      <c r="AO45" s="4">
        <f>[1]节奏总纲!BA45</f>
        <v>32.405012530176009</v>
      </c>
      <c r="AP45" s="4">
        <f>[1]节奏总纲!BB45</f>
        <v>33.799338867675175</v>
      </c>
      <c r="AQ45" s="4">
        <f>[1]节奏总纲!BC45</f>
        <v>35.634340563113874</v>
      </c>
      <c r="AR45" s="4">
        <f>[1]节奏总纲!BD45</f>
        <v>38.35066605767593</v>
      </c>
      <c r="AS45" s="4">
        <f>[1]节奏总纲!BE45</f>
        <v>43.030177309109042</v>
      </c>
    </row>
    <row r="46" spans="2:45" x14ac:dyDescent="0.15">
      <c r="B46" s="4">
        <f>[1]节奏总纲!N46</f>
        <v>53</v>
      </c>
      <c r="C46" s="4">
        <v>43</v>
      </c>
      <c r="D46" s="4">
        <f>[1]节奏总纲!P46</f>
        <v>18.698310613518661</v>
      </c>
      <c r="E46" s="4">
        <f>[1]节奏总纲!Q46</f>
        <v>16.338583814092605</v>
      </c>
      <c r="F46" s="4">
        <f>[1]节奏总纲!R46</f>
        <v>13.509529418267233</v>
      </c>
      <c r="G46" s="4">
        <f>[1]节奏总纲!S46</f>
        <v>10.020424657784652</v>
      </c>
      <c r="H46" s="4">
        <f>[1]节奏总纲!T46</f>
        <v>5.6394104810372276</v>
      </c>
      <c r="J46" s="4">
        <v>43</v>
      </c>
      <c r="K46" s="4">
        <f>[1]节奏总纲!W46</f>
        <v>1.319136933566103</v>
      </c>
      <c r="L46" s="4">
        <f>[1]节奏总纲!X46</f>
        <v>1.1561376872860496</v>
      </c>
      <c r="M46" s="4">
        <f>[1]节奏总纲!Y46</f>
        <v>0.96176602134148581</v>
      </c>
      <c r="N46" s="4">
        <f>[1]节奏总纲!Z46</f>
        <v>0.6982358958580992</v>
      </c>
      <c r="O46" s="4">
        <f>[1]节奏总纲!AA46</f>
        <v>0.39090002969155524</v>
      </c>
      <c r="Q46" s="4">
        <v>43</v>
      </c>
      <c r="R46" s="4">
        <f>[1]节奏总纲!AD46</f>
        <v>54.585942742481357</v>
      </c>
      <c r="S46" s="4">
        <f>[1]节奏总纲!AE46</f>
        <v>56.568265567054013</v>
      </c>
      <c r="T46" s="4">
        <f>[1]节奏总纲!AF46</f>
        <v>59.425480572843689</v>
      </c>
      <c r="U46" s="4">
        <f>[1]节奏总纲!AG46</f>
        <v>63.763640149257171</v>
      </c>
      <c r="V46" s="4">
        <f>[1]节奏总纲!AH46</f>
        <v>72.370053318329937</v>
      </c>
      <c r="Z46" s="4">
        <v>43</v>
      </c>
      <c r="AA46" s="4">
        <f>[1]节奏总纲!AM46</f>
        <v>208.99265815439742</v>
      </c>
      <c r="AB46" s="4">
        <f>[1]节奏总纲!AN46</f>
        <v>167.19412652351795</v>
      </c>
      <c r="AC46" s="4">
        <f>[1]节奏总纲!AO46</f>
        <v>125.39559489263844</v>
      </c>
      <c r="AD46" s="4">
        <f>[1]节奏总纲!AP46</f>
        <v>83.597063261758976</v>
      </c>
      <c r="AE46" s="4">
        <f>[1]节奏总纲!AQ46</f>
        <v>41.798531630879488</v>
      </c>
      <c r="AG46" s="4">
        <v>43</v>
      </c>
      <c r="AH46" s="4">
        <f>[1]节奏总纲!AT46</f>
        <v>28.807854694941852</v>
      </c>
      <c r="AI46" s="4">
        <f>[1]节奏总纲!AU46</f>
        <v>23.046283755953482</v>
      </c>
      <c r="AJ46" s="4">
        <f>[1]节奏总纲!AV46</f>
        <v>17.284712816965111</v>
      </c>
      <c r="AK46" s="4">
        <f>[1]节奏总纲!AW46</f>
        <v>11.523141877976741</v>
      </c>
      <c r="AL46" s="4">
        <f>[1]节奏总纲!AX46</f>
        <v>5.7615709389883705</v>
      </c>
      <c r="AM46" s="4"/>
      <c r="AN46" s="4">
        <v>43</v>
      </c>
      <c r="AO46" s="4">
        <f>[1]节奏总纲!BA46</f>
        <v>32.550742320155642</v>
      </c>
      <c r="AP46" s="4">
        <f>[1]节奏总纲!BB46</f>
        <v>33.955041603568006</v>
      </c>
      <c r="AQ46" s="4">
        <f>[1]节奏总纲!BC46</f>
        <v>35.796991989553327</v>
      </c>
      <c r="AR46" s="4">
        <f>[1]节奏总纲!BD46</f>
        <v>38.507242373270728</v>
      </c>
      <c r="AS46" s="4">
        <f>[1]节奏总纲!BE46</f>
        <v>43.179964142847631</v>
      </c>
    </row>
    <row r="47" spans="2:45" x14ac:dyDescent="0.15">
      <c r="B47" s="4">
        <f>[1]节奏总纲!N47</f>
        <v>54</v>
      </c>
      <c r="C47" s="4">
        <v>44</v>
      </c>
      <c r="D47" s="4">
        <f>[1]节奏总纲!P47</f>
        <v>20.112126572366307</v>
      </c>
      <c r="E47" s="4">
        <f>[1]节奏总纲!Q47</f>
        <v>17.573976198933678</v>
      </c>
      <c r="F47" s="4">
        <f>[1]节奏总纲!R47</f>
        <v>14.520955385248474</v>
      </c>
      <c r="G47" s="4">
        <f>[1]节奏总纲!S47</f>
        <v>10.768032566844921</v>
      </c>
      <c r="H47" s="4">
        <f>[1]节奏总纲!T47</f>
        <v>6.0537500982822579</v>
      </c>
      <c r="J47" s="4">
        <v>44</v>
      </c>
      <c r="K47" s="4">
        <f>[1]节奏总纲!W47</f>
        <v>1.4138159588476462</v>
      </c>
      <c r="L47" s="4">
        <f>[1]节奏总纲!X47</f>
        <v>1.2353923848410737</v>
      </c>
      <c r="M47" s="4">
        <f>[1]节奏总纲!Y47</f>
        <v>1.0114259669812409</v>
      </c>
      <c r="N47" s="4">
        <f>[1]节奏总纲!Z47</f>
        <v>0.74760790906026919</v>
      </c>
      <c r="O47" s="4">
        <f>[1]节奏总纲!AA47</f>
        <v>0.41433961724503021</v>
      </c>
      <c r="Q47" s="4">
        <v>44</v>
      </c>
      <c r="R47" s="4">
        <f>[1]节奏总纲!AD47</f>
        <v>54.915912490558505</v>
      </c>
      <c r="S47" s="4">
        <f>[1]节奏总纲!AE47</f>
        <v>56.897751416955018</v>
      </c>
      <c r="T47" s="4">
        <f>[1]节奏总纲!AF47</f>
        <v>59.760009178384806</v>
      </c>
      <c r="U47" s="4">
        <f>[1]节奏总纲!AG47</f>
        <v>64.08760696397195</v>
      </c>
      <c r="V47" s="4">
        <f>[1]节奏总纲!AH47</f>
        <v>72.705544177223089</v>
      </c>
      <c r="Z47" s="4">
        <v>44</v>
      </c>
      <c r="AA47" s="4">
        <f>[1]节奏总纲!AM47</f>
        <v>242.37342918215046</v>
      </c>
      <c r="AB47" s="4">
        <f>[1]节奏总纲!AN47</f>
        <v>193.89874334572039</v>
      </c>
      <c r="AC47" s="4">
        <f>[1]节奏总纲!AO47</f>
        <v>145.42405750929026</v>
      </c>
      <c r="AD47" s="4">
        <f>[1]节奏总纲!AP47</f>
        <v>96.949371672860195</v>
      </c>
      <c r="AE47" s="4">
        <f>[1]节奏总纲!AQ47</f>
        <v>48.474685836430098</v>
      </c>
      <c r="AG47" s="4">
        <v>44</v>
      </c>
      <c r="AH47" s="4">
        <f>[1]节奏总纲!AT47</f>
        <v>33.380771027753042</v>
      </c>
      <c r="AI47" s="4">
        <f>[1]节奏总纲!AU47</f>
        <v>26.704616822202439</v>
      </c>
      <c r="AJ47" s="4">
        <f>[1]节奏总纲!AV47</f>
        <v>20.028462616651822</v>
      </c>
      <c r="AK47" s="4">
        <f>[1]节奏总纲!AW47</f>
        <v>13.35230841110122</v>
      </c>
      <c r="AL47" s="4">
        <f>[1]节奏总纲!AX47</f>
        <v>6.6761542055506098</v>
      </c>
      <c r="AM47" s="4"/>
      <c r="AN47" s="4">
        <v>44</v>
      </c>
      <c r="AO47" s="4">
        <f>[1]节奏总纲!BA47</f>
        <v>32.696472110135275</v>
      </c>
      <c r="AP47" s="4">
        <f>[1]节奏总纲!BB47</f>
        <v>34.09469189131628</v>
      </c>
      <c r="AQ47" s="4">
        <f>[1]节奏总纲!BC47</f>
        <v>35.95964341599278</v>
      </c>
      <c r="AR47" s="4">
        <f>[1]节奏总纲!BD47</f>
        <v>38.663818688865533</v>
      </c>
      <c r="AS47" s="4">
        <f>[1]节奏总纲!BE47</f>
        <v>43.329750976586219</v>
      </c>
    </row>
    <row r="48" spans="2:45" x14ac:dyDescent="0.15">
      <c r="B48" s="4">
        <f>[1]节奏总纲!N48</f>
        <v>55</v>
      </c>
      <c r="C48" s="4">
        <v>45</v>
      </c>
      <c r="D48" s="4">
        <f>[1]节奏总纲!P48</f>
        <v>21.627416997969519</v>
      </c>
      <c r="E48" s="4">
        <f>[1]节奏总纲!Q48</f>
        <v>18.900199714525563</v>
      </c>
      <c r="F48" s="4">
        <f>[1]节奏总纲!R48</f>
        <v>15.604181364035009</v>
      </c>
      <c r="G48" s="4">
        <f>[1]节奏总纲!S48</f>
        <v>11.572830835613489</v>
      </c>
      <c r="H48" s="4">
        <f>[1]节奏总纲!T48</f>
        <v>6.49903880788984</v>
      </c>
      <c r="J48" s="4">
        <v>45</v>
      </c>
      <c r="K48" s="4">
        <f>[1]节奏总纲!W48</f>
        <v>1.5152904256032116</v>
      </c>
      <c r="L48" s="4">
        <f>[1]节奏总纲!X48</f>
        <v>1.3262235155918844</v>
      </c>
      <c r="M48" s="4">
        <f>[1]节奏总纲!Y48</f>
        <v>1.083225978786535</v>
      </c>
      <c r="N48" s="4">
        <f>[1]节奏总纲!Z48</f>
        <v>0.80479826876856819</v>
      </c>
      <c r="O48" s="4">
        <f>[1]节奏总纲!AA48</f>
        <v>0.44528870960758216</v>
      </c>
      <c r="Q48" s="4">
        <v>45</v>
      </c>
      <c r="R48" s="4">
        <f>[1]节奏总纲!AD48</f>
        <v>55.229416240679981</v>
      </c>
      <c r="S48" s="4">
        <f>[1]节奏总纲!AE48</f>
        <v>57.218966664386244</v>
      </c>
      <c r="T48" s="4">
        <f>[1]节奏总纲!AF48</f>
        <v>60.086674688654931</v>
      </c>
      <c r="U48" s="4">
        <f>[1]节奏总纲!AG48</f>
        <v>64.399012521055653</v>
      </c>
      <c r="V48" s="4">
        <f>[1]节奏总纲!AH48</f>
        <v>73.037155126421851</v>
      </c>
      <c r="Z48" s="4">
        <v>45</v>
      </c>
      <c r="AA48" s="4">
        <f>[1]节奏总纲!AM48</f>
        <v>281.05</v>
      </c>
      <c r="AB48" s="4">
        <f>[1]节奏总纲!AN48</f>
        <v>224.84000000000003</v>
      </c>
      <c r="AC48" s="4">
        <f>[1]节奏总纲!AO48</f>
        <v>168.63</v>
      </c>
      <c r="AD48" s="4">
        <f>[1]节奏总纲!AP48</f>
        <v>112.42000000000002</v>
      </c>
      <c r="AE48" s="4">
        <f>[1]节奏总纲!AQ48</f>
        <v>56.210000000000008</v>
      </c>
      <c r="AG48" s="4">
        <v>45</v>
      </c>
      <c r="AH48" s="4">
        <f>[1]节奏总纲!AT48</f>
        <v>38.676570817849552</v>
      </c>
      <c r="AI48" s="4">
        <f>[1]节奏总纲!AU48</f>
        <v>30.941256654279641</v>
      </c>
      <c r="AJ48" s="4">
        <f>[1]节奏总纲!AV48</f>
        <v>23.205942490709731</v>
      </c>
      <c r="AK48" s="4">
        <f>[1]节奏总纲!AW48</f>
        <v>15.470628327139821</v>
      </c>
      <c r="AL48" s="4">
        <f>[1]节奏总纲!AX48</f>
        <v>7.7353141635699103</v>
      </c>
      <c r="AM48" s="4"/>
      <c r="AN48" s="4">
        <v>45</v>
      </c>
      <c r="AO48" s="4">
        <f>[1]节奏总纲!BA48</f>
        <v>32.842201900114915</v>
      </c>
      <c r="AP48" s="4">
        <f>[1]节奏总纲!BB48</f>
        <v>34.227825436710944</v>
      </c>
      <c r="AQ48" s="4">
        <f>[1]节奏总纲!BC48</f>
        <v>36.105477566569242</v>
      </c>
      <c r="AR48" s="4">
        <f>[1]节奏总纲!BD48</f>
        <v>38.82039500446033</v>
      </c>
      <c r="AS48" s="4">
        <f>[1]节奏总纲!BE48</f>
        <v>43.479537810324807</v>
      </c>
    </row>
    <row r="49" spans="2:45" x14ac:dyDescent="0.15">
      <c r="B49" s="4">
        <f>[1]节奏总纲!N49</f>
        <v>56</v>
      </c>
      <c r="C49" s="4">
        <v>46</v>
      </c>
      <c r="D49" s="4">
        <f>[1]节奏总纲!P49</f>
        <v>23.251465064166357</v>
      </c>
      <c r="E49" s="4">
        <f>[1]节奏总纲!Q49</f>
        <v>20.310154733549314</v>
      </c>
      <c r="F49" s="4">
        <f>[1]节奏总纲!R49</f>
        <v>16.757330871744692</v>
      </c>
      <c r="G49" s="4">
        <f>[1]节奏总纲!S49</f>
        <v>12.425582930290501</v>
      </c>
      <c r="H49" s="4">
        <f>[1]节奏总纲!T49</f>
        <v>6.9545132006921566</v>
      </c>
      <c r="J49" s="4">
        <v>46</v>
      </c>
      <c r="K49" s="4">
        <f>[1]节奏总纲!W49</f>
        <v>1.6240480661968384</v>
      </c>
      <c r="L49" s="4">
        <f>[1]节奏总纲!X49</f>
        <v>1.4099550190237515</v>
      </c>
      <c r="M49" s="4">
        <f>[1]节奏总纲!Y49</f>
        <v>1.1531495077096832</v>
      </c>
      <c r="N49" s="4">
        <f>[1]节奏总纲!Z49</f>
        <v>0.85275209467701174</v>
      </c>
      <c r="O49" s="4">
        <f>[1]节奏总纲!AA49</f>
        <v>0.45547439280231661</v>
      </c>
      <c r="Q49" s="4">
        <v>46</v>
      </c>
      <c r="R49" s="4">
        <f>[1]节奏总纲!AD49</f>
        <v>55.537288901845052</v>
      </c>
      <c r="S49" s="4">
        <f>[1]节奏总纲!AE49</f>
        <v>57.53646043868428</v>
      </c>
      <c r="T49" s="4">
        <f>[1]节奏总纲!AF49</f>
        <v>60.393379177879737</v>
      </c>
      <c r="U49" s="4">
        <f>[1]节奏总纲!AG49</f>
        <v>64.710418078139355</v>
      </c>
      <c r="V49" s="4">
        <f>[1]节奏总纲!AH49</f>
        <v>73.340924940105893</v>
      </c>
      <c r="Z49" s="4">
        <v>46</v>
      </c>
      <c r="AA49" s="4">
        <f>[1]节奏总纲!AM49</f>
        <v>325.85912455595718</v>
      </c>
      <c r="AB49" s="4">
        <f>[1]节奏总纲!AN49</f>
        <v>260.68729964476574</v>
      </c>
      <c r="AC49" s="4">
        <f>[1]节奏总纲!AO49</f>
        <v>195.51547473357431</v>
      </c>
      <c r="AD49" s="4">
        <f>[1]节奏总纲!AP49</f>
        <v>130.34364982238287</v>
      </c>
      <c r="AE49" s="4">
        <f>[1]节奏总纲!AQ49</f>
        <v>65.171824911191436</v>
      </c>
      <c r="AG49" s="4">
        <v>46</v>
      </c>
      <c r="AH49" s="4">
        <f>[1]节奏总纲!AT49</f>
        <v>44.809124555957169</v>
      </c>
      <c r="AI49" s="4">
        <f>[1]节奏总纲!AU49</f>
        <v>35.847299644765712</v>
      </c>
      <c r="AJ49" s="4">
        <f>[1]节奏总纲!AV49</f>
        <v>26.885474733574313</v>
      </c>
      <c r="AK49" s="4">
        <f>[1]节奏总纲!AW49</f>
        <v>17.923649822382856</v>
      </c>
      <c r="AL49" s="4">
        <f>[1]节奏总纲!AX49</f>
        <v>8.9618249111914281</v>
      </c>
      <c r="AM49" s="4"/>
      <c r="AN49" s="4">
        <v>46</v>
      </c>
      <c r="AO49" s="4">
        <f>[1]节奏总纲!BA49</f>
        <v>32.987931690094548</v>
      </c>
      <c r="AP49" s="4">
        <f>[1]节奏总纲!BB49</f>
        <v>34.360958982105608</v>
      </c>
      <c r="AQ49" s="4">
        <f>[1]节奏总纲!BC49</f>
        <v>36.245762114295424</v>
      </c>
      <c r="AR49" s="4">
        <f>[1]节奏总纲!BD49</f>
        <v>38.976971320055128</v>
      </c>
      <c r="AS49" s="4">
        <f>[1]节奏总纲!BE49</f>
        <v>43.629324644063402</v>
      </c>
    </row>
    <row r="50" spans="2:45" x14ac:dyDescent="0.15">
      <c r="B50" s="4">
        <f>[1]节奏总纲!N50</f>
        <v>57</v>
      </c>
      <c r="C50" s="4">
        <v>47</v>
      </c>
      <c r="D50" s="4">
        <f>[1]节奏总纲!P50</f>
        <v>24.992076683399535</v>
      </c>
      <c r="E50" s="4">
        <f>[1]节奏总纲!Q50</f>
        <v>21.823081359944474</v>
      </c>
      <c r="F50" s="4">
        <f>[1]节奏总纲!R50</f>
        <v>17.996794419716004</v>
      </c>
      <c r="G50" s="4">
        <f>[1]节奏总纲!S50</f>
        <v>13.335772118261991</v>
      </c>
      <c r="H50" s="4">
        <f>[1]节奏总纲!T50</f>
        <v>7.4426404363163821</v>
      </c>
      <c r="J50" s="4">
        <v>47</v>
      </c>
      <c r="K50" s="4">
        <f>[1]节奏总纲!W50</f>
        <v>1.740611619233178</v>
      </c>
      <c r="L50" s="4">
        <f>[1]节奏总纲!X50</f>
        <v>1.51292662639516</v>
      </c>
      <c r="M50" s="4">
        <f>[1]节奏总纲!Y50</f>
        <v>1.2394635479713116</v>
      </c>
      <c r="N50" s="4">
        <f>[1]节奏总纲!Z50</f>
        <v>0.91018918797148984</v>
      </c>
      <c r="O50" s="4">
        <f>[1]节奏总纲!AA50</f>
        <v>0.48812723562422544</v>
      </c>
      <c r="Q50" s="4">
        <v>47</v>
      </c>
      <c r="R50" s="4">
        <f>[1]节奏总纲!AD50</f>
        <v>55.845161563010116</v>
      </c>
      <c r="S50" s="4">
        <f>[1]节奏总纲!AE50</f>
        <v>57.853954212982316</v>
      </c>
      <c r="T50" s="4">
        <f>[1]节奏总纲!AF50</f>
        <v>60.700083667104536</v>
      </c>
      <c r="U50" s="4">
        <f>[1]节奏总纲!AG50</f>
        <v>65.021675833900701</v>
      </c>
      <c r="V50" s="4">
        <f>[1]节奏总纲!AH50</f>
        <v>73.644694753789935</v>
      </c>
      <c r="Z50" s="4">
        <v>47</v>
      </c>
      <c r="AA50" s="4">
        <f>[1]节奏总纲!AM50</f>
        <v>377.76930817680426</v>
      </c>
      <c r="AB50" s="4">
        <f>[1]节奏总纲!AN50</f>
        <v>302.21544654144344</v>
      </c>
      <c r="AC50" s="4">
        <f>[1]节奏总纲!AO50</f>
        <v>226.66158490608254</v>
      </c>
      <c r="AD50" s="4">
        <f>[1]节奏总纲!AP50</f>
        <v>151.10772327072172</v>
      </c>
      <c r="AE50" s="4">
        <f>[1]节奏总纲!AQ50</f>
        <v>75.55386163536086</v>
      </c>
      <c r="AG50" s="4">
        <v>47</v>
      </c>
      <c r="AH50" s="4">
        <f>[1]节奏总纲!AT50</f>
        <v>51.910183620847079</v>
      </c>
      <c r="AI50" s="4">
        <f>[1]节奏总纲!AU50</f>
        <v>41.528146896677697</v>
      </c>
      <c r="AJ50" s="4">
        <f>[1]节奏总纲!AV50</f>
        <v>31.14611017250823</v>
      </c>
      <c r="AK50" s="4">
        <f>[1]节奏总纲!AW50</f>
        <v>20.764073448338848</v>
      </c>
      <c r="AL50" s="4">
        <f>[1]节奏总纲!AX50</f>
        <v>10.382036724169424</v>
      </c>
      <c r="AM50" s="4"/>
      <c r="AN50" s="4">
        <v>47</v>
      </c>
      <c r="AO50" s="4">
        <f>[1]节奏总纲!BA50</f>
        <v>33.114246829746719</v>
      </c>
      <c r="AP50" s="4">
        <f>[1]节奏总纲!BB50</f>
        <v>34.494092527500278</v>
      </c>
      <c r="AQ50" s="4">
        <f>[1]节奏总纲!BC50</f>
        <v>36.386046662021599</v>
      </c>
      <c r="AR50" s="4">
        <f>[1]节奏总纲!BD50</f>
        <v>39.115214427575864</v>
      </c>
      <c r="AS50" s="4">
        <f>[1]节奏总纲!BE50</f>
        <v>43.77911147780199</v>
      </c>
    </row>
    <row r="51" spans="2:45" x14ac:dyDescent="0.15">
      <c r="B51" s="4">
        <f>[1]节奏总纲!N51</f>
        <v>58</v>
      </c>
      <c r="C51" s="4">
        <v>48</v>
      </c>
      <c r="D51" s="4">
        <f>[1]节奏总纲!P51</f>
        <v>26.857618025475972</v>
      </c>
      <c r="E51" s="4">
        <f>[1]节奏总纲!Q51</f>
        <v>23.425214441820142</v>
      </c>
      <c r="F51" s="4">
        <f>[1]节奏总纲!R51</f>
        <v>19.329427692935056</v>
      </c>
      <c r="G51" s="4">
        <f>[1]节奏总纲!S51</f>
        <v>14.269452456935383</v>
      </c>
      <c r="H51" s="4">
        <f>[1]节奏总纲!T51</f>
        <v>7.9605979827510778</v>
      </c>
      <c r="J51" s="4">
        <v>48</v>
      </c>
      <c r="K51" s="4">
        <f>[1]节奏总纲!W51</f>
        <v>1.8655413420764368</v>
      </c>
      <c r="L51" s="4">
        <f>[1]节奏总纲!X51</f>
        <v>1.6021330818756674</v>
      </c>
      <c r="M51" s="4">
        <f>[1]节奏总纲!Y51</f>
        <v>1.3326332732190522</v>
      </c>
      <c r="N51" s="4">
        <f>[1]节奏总纲!Z51</f>
        <v>0.93368033867339228</v>
      </c>
      <c r="O51" s="4">
        <f>[1]节奏总纲!AA51</f>
        <v>0.51795754643469571</v>
      </c>
      <c r="Q51" s="4">
        <v>48</v>
      </c>
      <c r="R51" s="4">
        <f>[1]节奏总纲!AD51</f>
        <v>56.142785979989682</v>
      </c>
      <c r="S51" s="4">
        <f>[1]节奏总纲!AE51</f>
        <v>58.155157256402767</v>
      </c>
      <c r="T51" s="4">
        <f>[1]节奏总纲!AF51</f>
        <v>61.006268532239034</v>
      </c>
      <c r="U51" s="4">
        <f>[1]节奏总纲!AG51</f>
        <v>65.330972386106993</v>
      </c>
      <c r="V51" s="4">
        <f>[1]节奏总纲!AH51</f>
        <v>73.948464567473962</v>
      </c>
      <c r="Z51" s="4">
        <v>48</v>
      </c>
      <c r="AA51" s="4">
        <f>[1]节奏总纲!AM51</f>
        <v>437.90148836012787</v>
      </c>
      <c r="AB51" s="4">
        <f>[1]节奏总纲!AN51</f>
        <v>350.32119068810232</v>
      </c>
      <c r="AC51" s="4">
        <f>[1]节奏总纲!AO51</f>
        <v>262.74089301607671</v>
      </c>
      <c r="AD51" s="4">
        <f>[1]节奏总纲!AP51</f>
        <v>175.16059534405116</v>
      </c>
      <c r="AE51" s="4">
        <f>[1]节奏总纲!AQ51</f>
        <v>87.58029767202558</v>
      </c>
      <c r="AG51" s="4">
        <v>48</v>
      </c>
      <c r="AH51" s="4">
        <f>[1]节奏总纲!AT51</f>
        <v>60.132180183323612</v>
      </c>
      <c r="AI51" s="4">
        <f>[1]节奏总纲!AU51</f>
        <v>48.105744146658878</v>
      </c>
      <c r="AJ51" s="4">
        <f>[1]节奏总纲!AV51</f>
        <v>36.079308109994173</v>
      </c>
      <c r="AK51" s="4">
        <f>[1]节奏总纲!AW51</f>
        <v>24.052872073329439</v>
      </c>
      <c r="AL51" s="4">
        <f>[1]节奏总纲!AX51</f>
        <v>12.02643603666472</v>
      </c>
      <c r="AM51" s="4"/>
      <c r="AN51" s="4">
        <v>48</v>
      </c>
      <c r="AO51" s="4">
        <f>[1]节奏总纲!BA51</f>
        <v>33.238809018460984</v>
      </c>
      <c r="AP51" s="4">
        <f>[1]节奏总纲!BB51</f>
        <v>34.627226072894942</v>
      </c>
      <c r="AQ51" s="4">
        <f>[1]节奏总纲!BC51</f>
        <v>36.526331209747774</v>
      </c>
      <c r="AR51" s="4">
        <f>[1]节奏总纲!BD51</f>
        <v>39.250296194358178</v>
      </c>
      <c r="AS51" s="4">
        <f>[1]节奏总纲!BE51</f>
        <v>43.928898311540578</v>
      </c>
    </row>
    <row r="52" spans="2:45" x14ac:dyDescent="0.15">
      <c r="B52" s="4">
        <f>[1]节奏总纲!N52</f>
        <v>59</v>
      </c>
      <c r="C52" s="4">
        <v>49</v>
      </c>
      <c r="D52" s="4">
        <f>[1]节奏总纲!P52</f>
        <v>28.857055729177837</v>
      </c>
      <c r="E52" s="4">
        <f>[1]节奏总纲!Q52</f>
        <v>25.166238301415991</v>
      </c>
      <c r="F52" s="4">
        <f>[1]节奏总纲!R52</f>
        <v>20.719366013549685</v>
      </c>
      <c r="G52" s="4">
        <f>[1]节奏总纲!S52</f>
        <v>15.268268186307994</v>
      </c>
      <c r="H52" s="4">
        <f>[1]节奏总纲!T52</f>
        <v>8.5474599069824766</v>
      </c>
      <c r="J52" s="4">
        <v>49</v>
      </c>
      <c r="K52" s="4">
        <f>[1]节奏总纲!W52</f>
        <v>1.9994377037018651</v>
      </c>
      <c r="L52" s="4">
        <f>[1]节奏总纲!X52</f>
        <v>1.7410238595958489</v>
      </c>
      <c r="M52" s="4">
        <f>[1]节奏总纲!Y52</f>
        <v>1.389938320614629</v>
      </c>
      <c r="N52" s="4">
        <f>[1]节奏总纲!Z52</f>
        <v>0.99881572937261076</v>
      </c>
      <c r="O52" s="4">
        <f>[1]节奏总纲!AA52</f>
        <v>0.58686192423139882</v>
      </c>
      <c r="Q52" s="4">
        <v>49</v>
      </c>
      <c r="R52" s="4">
        <f>[1]节奏总纲!AD52</f>
        <v>56.430041330048923</v>
      </c>
      <c r="S52" s="4">
        <f>[1]节奏总纲!AE52</f>
        <v>58.442483247955479</v>
      </c>
      <c r="T52" s="4">
        <f>[1]节奏总纲!AF52</f>
        <v>61.289495211956165</v>
      </c>
      <c r="U52" s="4">
        <f>[1]节奏总纲!AG52</f>
        <v>65.640268938313284</v>
      </c>
      <c r="V52" s="4">
        <f>[1]节奏总纲!AH52</f>
        <v>74.231558509323534</v>
      </c>
      <c r="Z52" s="4">
        <v>49</v>
      </c>
      <c r="AA52" s="4">
        <f>[1]节奏总纲!AM52</f>
        <v>507.55295278468168</v>
      </c>
      <c r="AB52" s="4">
        <f>[1]节奏总纲!AN52</f>
        <v>406.04236222774534</v>
      </c>
      <c r="AC52" s="4">
        <f>[1]节奏总纲!AO52</f>
        <v>304.53177167080901</v>
      </c>
      <c r="AD52" s="4">
        <f>[1]节奏总纲!AP52</f>
        <v>203.02118111387267</v>
      </c>
      <c r="AE52" s="4">
        <f>[1]节奏总纲!AQ52</f>
        <v>101.51059055693634</v>
      </c>
      <c r="AG52" s="4">
        <v>49</v>
      </c>
      <c r="AH52" s="4">
        <f>[1]节奏总纲!AT52</f>
        <v>69.651464424553808</v>
      </c>
      <c r="AI52" s="4">
        <f>[1]节奏总纲!AU52</f>
        <v>55.721171539643024</v>
      </c>
      <c r="AJ52" s="4">
        <f>[1]节奏总纲!AV52</f>
        <v>41.790878654732296</v>
      </c>
      <c r="AK52" s="4">
        <f>[1]节奏总纲!AW52</f>
        <v>27.860585769821512</v>
      </c>
      <c r="AL52" s="4">
        <f>[1]节奏总纲!AX52</f>
        <v>13.930292884910756</v>
      </c>
      <c r="AM52" s="4"/>
      <c r="AN52" s="4">
        <v>49</v>
      </c>
      <c r="AO52" s="4">
        <f>[1]节奏总纲!BA52</f>
        <v>33.363371207175248</v>
      </c>
      <c r="AP52" s="4">
        <f>[1]节奏总纲!BB52</f>
        <v>34.760359618289606</v>
      </c>
      <c r="AQ52" s="4">
        <f>[1]节奏总纲!BC52</f>
        <v>36.666615757473956</v>
      </c>
      <c r="AR52" s="4">
        <f>[1]节奏总纲!BD52</f>
        <v>39.385377961140485</v>
      </c>
      <c r="AS52" s="4">
        <f>[1]节奏总纲!BE52</f>
        <v>44.067911160744309</v>
      </c>
    </row>
    <row r="53" spans="2:45" x14ac:dyDescent="0.15">
      <c r="B53" s="4">
        <f>[1]节奏总纲!N53</f>
        <v>60</v>
      </c>
      <c r="C53" s="4">
        <v>50</v>
      </c>
      <c r="D53" s="4">
        <f>[1]节奏总纲!P53</f>
        <v>31</v>
      </c>
      <c r="E53" s="4">
        <f>[1]节奏总纲!Q53</f>
        <v>27.0351</v>
      </c>
      <c r="F53" s="4">
        <f>[1]节奏总纲!R53</f>
        <v>22.205300000000001</v>
      </c>
      <c r="G53" s="4">
        <f>[1]节奏总纲!S53</f>
        <v>16.386599999999998</v>
      </c>
      <c r="H53" s="4">
        <f>[1]节奏总纲!T53</f>
        <v>9.1883999999999997</v>
      </c>
      <c r="J53" s="4">
        <v>50</v>
      </c>
      <c r="K53" s="4">
        <f>[1]节奏总纲!W53</f>
        <v>2.1429442708221629</v>
      </c>
      <c r="L53" s="4">
        <f>[1]节奏总纲!X53</f>
        <v>1.8688616985840092</v>
      </c>
      <c r="M53" s="4">
        <f>[1]节奏总纲!Y53</f>
        <v>1.4859339864503163</v>
      </c>
      <c r="N53" s="4">
        <f>[1]节奏总纲!Z53</f>
        <v>1.118331813692004</v>
      </c>
      <c r="O53" s="4">
        <f>[1]节奏总纲!AA53</f>
        <v>0.64094009301752308</v>
      </c>
      <c r="Q53" s="4">
        <v>50</v>
      </c>
      <c r="R53" s="4">
        <f>[1]节奏总纲!AD53</f>
        <v>56.717296680108156</v>
      </c>
      <c r="S53" s="4">
        <f>[1]节奏总纲!AE53</f>
        <v>58.729809239508185</v>
      </c>
      <c r="T53" s="4">
        <f>[1]节奏总纲!AF53</f>
        <v>61.572721891673297</v>
      </c>
      <c r="U53" s="4">
        <f>[1]节奏总纲!AG53</f>
        <v>65.949565490519575</v>
      </c>
      <c r="V53" s="4">
        <f>[1]节奏总纲!AH53</f>
        <v>74.51042804689898</v>
      </c>
      <c r="Z53" s="4">
        <v>50</v>
      </c>
      <c r="AA53" s="4">
        <f>[1]节奏总纲!AM53</f>
        <v>588.22499999999991</v>
      </c>
      <c r="AB53" s="4">
        <f>[1]节奏总纲!AN53</f>
        <v>470.57999999999993</v>
      </c>
      <c r="AC53" s="4">
        <f>[1]节奏总纲!AO53</f>
        <v>352.93499999999995</v>
      </c>
      <c r="AD53" s="4">
        <f>[1]节奏总纲!AP53</f>
        <v>235.28999999999996</v>
      </c>
      <c r="AE53" s="4">
        <f>[1]节奏总纲!AQ53</f>
        <v>117.64499999999998</v>
      </c>
      <c r="AG53" s="4">
        <v>50</v>
      </c>
      <c r="AH53" s="4">
        <f>[1]节奏总纲!AT53</f>
        <v>80.67204721531823</v>
      </c>
      <c r="AI53" s="4">
        <f>[1]节奏总纲!AU53</f>
        <v>64.537637772254584</v>
      </c>
      <c r="AJ53" s="4">
        <f>[1]节奏总纲!AV53</f>
        <v>48.403228329190938</v>
      </c>
      <c r="AK53" s="4">
        <f>[1]节奏总纲!AW53</f>
        <v>32.268818886127292</v>
      </c>
      <c r="AL53" s="4">
        <f>[1]节奏总纲!AX53</f>
        <v>16.134409443063646</v>
      </c>
      <c r="AM53" s="4"/>
      <c r="AN53" s="4">
        <v>50</v>
      </c>
      <c r="AO53" s="4">
        <f>[1]节奏总纲!BA53</f>
        <v>33.487933395889513</v>
      </c>
      <c r="AP53" s="4">
        <f>[1]节奏总纲!BB53</f>
        <v>34.893493163684269</v>
      </c>
      <c r="AQ53" s="4">
        <f>[1]节奏总纲!BC53</f>
        <v>36.806900305200131</v>
      </c>
      <c r="AR53" s="4">
        <f>[1]节奏总纲!BD53</f>
        <v>39.520459727922798</v>
      </c>
      <c r="AS53" s="4">
        <f>[1]节奏总纲!BE53</f>
        <v>44.197188392263818</v>
      </c>
    </row>
    <row r="54" spans="2:45" x14ac:dyDescent="0.15">
      <c r="B54" s="4">
        <f>[1]节奏总纲!N54</f>
        <v>61</v>
      </c>
      <c r="C54" s="4">
        <v>51</v>
      </c>
      <c r="D54" s="4">
        <f>[1]节奏总纲!P54</f>
        <v>33.296750801161366</v>
      </c>
      <c r="E54" s="4">
        <f>[1]节奏总纲!Q54</f>
        <v>28.928217096048996</v>
      </c>
      <c r="F54" s="4">
        <f>[1]节奏总纲!R54</f>
        <v>23.783869097269566</v>
      </c>
      <c r="G54" s="4">
        <f>[1]节奏总纲!S54</f>
        <v>17.587343773173433</v>
      </c>
      <c r="H54" s="4">
        <f>[1]节奏总纲!T54</f>
        <v>9.8458492119034169</v>
      </c>
      <c r="J54" s="4">
        <v>51</v>
      </c>
      <c r="K54" s="4">
        <f>[1]节奏总纲!W54</f>
        <v>2.296750801161366</v>
      </c>
      <c r="L54" s="4">
        <f>[1]节奏总纲!X54</f>
        <v>1.8931170960489965</v>
      </c>
      <c r="M54" s="4">
        <f>[1]节奏总纲!Y54</f>
        <v>1.5785690972695647</v>
      </c>
      <c r="N54" s="4">
        <f>[1]节奏总纲!Z54</f>
        <v>1.2007437731734356</v>
      </c>
      <c r="O54" s="4">
        <f>[1]节奏总纲!AA54</f>
        <v>0.65744921190341721</v>
      </c>
      <c r="Q54" s="4">
        <v>51</v>
      </c>
      <c r="R54" s="4">
        <f>[1]节奏总纲!AD54</f>
        <v>57.004247194324648</v>
      </c>
      <c r="S54" s="4">
        <f>[1]节奏总纲!AE54</f>
        <v>59.016342740868758</v>
      </c>
      <c r="T54" s="4">
        <f>[1]节奏总纲!AF54</f>
        <v>61.855948571390428</v>
      </c>
      <c r="U54" s="4">
        <f>[1]节奏总纲!AG54</f>
        <v>66.241691764589476</v>
      </c>
      <c r="V54" s="4">
        <f>[1]节奏总纲!AH54</f>
        <v>74.789297584474426</v>
      </c>
      <c r="Z54" s="4">
        <v>51</v>
      </c>
      <c r="AA54" s="4">
        <f>[1]节奏总纲!AM54</f>
        <v>681.65492699983838</v>
      </c>
      <c r="AB54" s="4">
        <f>[1]节奏总纲!AN54</f>
        <v>545.32394159987075</v>
      </c>
      <c r="AC54" s="4">
        <f>[1]节奏总纲!AO54</f>
        <v>408.99295619990301</v>
      </c>
      <c r="AD54" s="4">
        <f>[1]节奏总纲!AP54</f>
        <v>272.66197079993537</v>
      </c>
      <c r="AE54" s="4">
        <f>[1]节奏总纲!AQ54</f>
        <v>136.33098539996769</v>
      </c>
      <c r="AG54" s="4">
        <v>51</v>
      </c>
      <c r="AH54" s="4">
        <f>[1]节奏总纲!AT54</f>
        <v>93.429926999838472</v>
      </c>
      <c r="AI54" s="4">
        <f>[1]节奏总纲!AU54</f>
        <v>74.743941599870823</v>
      </c>
      <c r="AJ54" s="4">
        <f>[1]节奏总纲!AV54</f>
        <v>56.05795619990306</v>
      </c>
      <c r="AK54" s="4">
        <f>[1]节奏总纲!AW54</f>
        <v>37.371970799935411</v>
      </c>
      <c r="AL54" s="4">
        <f>[1]节奏总纲!AX54</f>
        <v>18.685985399967706</v>
      </c>
      <c r="AN54" s="4">
        <v>51</v>
      </c>
      <c r="AO54" s="4">
        <f>[1]节奏总纲!BA54</f>
        <v>33.612495584603778</v>
      </c>
      <c r="AP54" s="4">
        <f>[1]节奏总纲!BB54</f>
        <v>35.024397713965918</v>
      </c>
      <c r="AQ54" s="4">
        <f>[1]节奏总纲!BC54</f>
        <v>36.947184852926306</v>
      </c>
      <c r="AR54" s="4">
        <f>[1]节奏总纲!BD54</f>
        <v>39.655541494705105</v>
      </c>
      <c r="AS54" s="4">
        <f>[1]节奏总纲!BE54</f>
        <v>44.326465623783335</v>
      </c>
    </row>
    <row r="55" spans="2:45" x14ac:dyDescent="0.15">
      <c r="B55" s="4">
        <f>[1]节奏总纲!N55</f>
        <v>62</v>
      </c>
      <c r="C55" s="4">
        <v>52</v>
      </c>
      <c r="D55" s="4">
        <f>[1]节奏总纲!P55</f>
        <v>35.758347359905123</v>
      </c>
      <c r="E55" s="4">
        <f>[1]节奏总纲!Q55</f>
        <v>31.081155525229534</v>
      </c>
      <c r="F55" s="4">
        <f>[1]节奏总纲!R55</f>
        <v>25.606552544428059</v>
      </c>
      <c r="G55" s="4">
        <f>[1]节奏总纲!S55</f>
        <v>18.930469092333773</v>
      </c>
      <c r="H55" s="4">
        <f>[1]节奏总纲!T55</f>
        <v>10.570167479587953</v>
      </c>
      <c r="J55" s="4">
        <v>52</v>
      </c>
      <c r="K55" s="4">
        <f>[1]节奏总纲!W55</f>
        <v>2.4615965587437572</v>
      </c>
      <c r="L55" s="4">
        <f>[1]节奏总纲!X55</f>
        <v>2.1529384291805371</v>
      </c>
      <c r="M55" s="4">
        <f>[1]节奏总纲!Y55</f>
        <v>1.822683447158493</v>
      </c>
      <c r="N55" s="4">
        <f>[1]节奏总纲!Z55</f>
        <v>1.3431253191603396</v>
      </c>
      <c r="O55" s="4">
        <f>[1]节奏总纲!AA55</f>
        <v>0.72431826768453611</v>
      </c>
      <c r="Q55" s="4">
        <v>52</v>
      </c>
      <c r="R55" s="4">
        <f>[1]节奏总纲!AD55</f>
        <v>57.27226591292537</v>
      </c>
      <c r="S55" s="4">
        <f>[1]节奏总纲!AE55</f>
        <v>59.290380144164828</v>
      </c>
      <c r="T55" s="4">
        <f>[1]节奏总纲!AF55</f>
        <v>62.130298748930763</v>
      </c>
      <c r="U55" s="4">
        <f>[1]节奏总纲!AG55</f>
        <v>66.530472725664353</v>
      </c>
      <c r="V55" s="4">
        <f>[1]节奏总纲!AH55</f>
        <v>75.062532510920803</v>
      </c>
      <c r="Z55" s="4">
        <v>52</v>
      </c>
      <c r="AA55" s="4">
        <f>[1]节奏总纲!AM55</f>
        <v>789.85301886939453</v>
      </c>
      <c r="AB55" s="4">
        <f>[1]节奏总纲!AN55</f>
        <v>631.88241509551563</v>
      </c>
      <c r="AC55" s="4">
        <f>[1]节奏总纲!AO55</f>
        <v>473.91181132163672</v>
      </c>
      <c r="AD55" s="4">
        <f>[1]节奏总纲!AP55</f>
        <v>315.94120754775781</v>
      </c>
      <c r="AE55" s="4">
        <f>[1]节奏总纲!AQ55</f>
        <v>157.97060377387891</v>
      </c>
      <c r="AG55" s="4">
        <v>52</v>
      </c>
      <c r="AH55" s="4">
        <f>[1]节奏总纲!AT55</f>
        <v>108.19809186955615</v>
      </c>
      <c r="AI55" s="4">
        <f>[1]节奏总纲!AU55</f>
        <v>86.558473495644876</v>
      </c>
      <c r="AJ55" s="4">
        <f>[1]节奏总纲!AV55</f>
        <v>64.918855121733714</v>
      </c>
      <c r="AK55" s="4">
        <f>[1]节奏总纲!AW55</f>
        <v>43.279236747822438</v>
      </c>
      <c r="AL55" s="4">
        <f>[1]节奏总纲!AX55</f>
        <v>21.639618373911219</v>
      </c>
      <c r="AN55" s="4">
        <v>52</v>
      </c>
      <c r="AO55" s="4">
        <f>[1]节奏总纲!BA55</f>
        <v>33.737057773318043</v>
      </c>
      <c r="AP55" s="4">
        <f>[1]节奏总纲!BB55</f>
        <v>35.146386283795508</v>
      </c>
      <c r="AQ55" s="4">
        <f>[1]节奏总纲!BC55</f>
        <v>37.075448197698059</v>
      </c>
      <c r="AR55" s="4">
        <f>[1]节奏总纲!BD55</f>
        <v>39.790623261487418</v>
      </c>
      <c r="AS55" s="4">
        <f>[1]节奏总纲!BE55</f>
        <v>44.455742855302844</v>
      </c>
    </row>
    <row r="56" spans="2:45" x14ac:dyDescent="0.15">
      <c r="B56" s="4">
        <f>[1]节奏总纲!N56</f>
        <v>63</v>
      </c>
      <c r="C56" s="4">
        <v>53</v>
      </c>
      <c r="D56" s="4">
        <f>[1]节奏总纲!P56</f>
        <v>38.396621227037308</v>
      </c>
      <c r="E56" s="4">
        <f>[1]节奏总纲!Q56</f>
        <v>33.42809844025868</v>
      </c>
      <c r="F56" s="4">
        <f>[1]节奏总纲!R56</f>
        <v>27.5802930273809</v>
      </c>
      <c r="G56" s="4">
        <f>[1]节奏总纲!S56</f>
        <v>20.319491953348145</v>
      </c>
      <c r="H56" s="4">
        <f>[1]节奏总纲!T56</f>
        <v>11.338522248344118</v>
      </c>
      <c r="J56" s="4">
        <v>53</v>
      </c>
      <c r="K56" s="4">
        <f>[1]节奏总纲!W56</f>
        <v>2.6382738671321846</v>
      </c>
      <c r="L56" s="4">
        <f>[1]节奏总纲!X56</f>
        <v>2.3469429150291461</v>
      </c>
      <c r="M56" s="4">
        <f>[1]节奏总纲!Y56</f>
        <v>1.9737404829528415</v>
      </c>
      <c r="N56" s="4">
        <f>[1]节奏总纲!Z56</f>
        <v>1.3890228610143716</v>
      </c>
      <c r="O56" s="4">
        <f>[1]节奏总纲!AA56</f>
        <v>0.76835476875616493</v>
      </c>
      <c r="Q56" s="4">
        <v>53</v>
      </c>
      <c r="R56" s="4">
        <f>[1]节奏总纲!AD56</f>
        <v>57.540284631526099</v>
      </c>
      <c r="S56" s="4">
        <f>[1]节奏总纲!AE56</f>
        <v>59.564417547460899</v>
      </c>
      <c r="T56" s="4">
        <f>[1]节奏总纲!AF56</f>
        <v>62.395461425033538</v>
      </c>
      <c r="U56" s="4">
        <f>[1]节奏总纲!AG56</f>
        <v>66.819253686739231</v>
      </c>
      <c r="V56" s="4">
        <f>[1]节奏总纲!AH56</f>
        <v>75.318351032805268</v>
      </c>
      <c r="Z56" s="4">
        <v>53</v>
      </c>
      <c r="AA56" s="4">
        <f>[1]节奏总纲!AM56</f>
        <v>915.14532082292135</v>
      </c>
      <c r="AB56" s="4">
        <f>[1]节奏总纲!AN56</f>
        <v>732.11625665833708</v>
      </c>
      <c r="AC56" s="4">
        <f>[1]节奏总纲!AO56</f>
        <v>549.08719249375281</v>
      </c>
      <c r="AD56" s="4">
        <f>[1]节奏总纲!AP56</f>
        <v>366.05812832916854</v>
      </c>
      <c r="AE56" s="4">
        <f>[1]节奏总纲!AQ56</f>
        <v>183.02906416458427</v>
      </c>
      <c r="AG56" s="4">
        <v>53</v>
      </c>
      <c r="AH56" s="4">
        <f>[1]节奏总纲!AT56</f>
        <v>125.29230195352682</v>
      </c>
      <c r="AI56" s="4">
        <f>[1]节奏总纲!AU56</f>
        <v>100.23384156282145</v>
      </c>
      <c r="AJ56" s="4">
        <f>[1]节奏总纲!AV56</f>
        <v>75.17538117211609</v>
      </c>
      <c r="AK56" s="4">
        <f>[1]节奏总纲!AW56</f>
        <v>50.116920781410727</v>
      </c>
      <c r="AL56" s="4">
        <f>[1]节奏总纲!AX56</f>
        <v>25.058460390705363</v>
      </c>
      <c r="AN56" s="4">
        <v>53</v>
      </c>
      <c r="AO56" s="4">
        <f>[1]节奏总纲!BA56</f>
        <v>33.861619962032307</v>
      </c>
      <c r="AP56" s="4">
        <f>[1]节奏总纲!BB56</f>
        <v>35.268374853625097</v>
      </c>
      <c r="AQ56" s="4">
        <f>[1]节奏总纲!BC56</f>
        <v>37.196452985793947</v>
      </c>
      <c r="AR56" s="4">
        <f>[1]节奏总纲!BD56</f>
        <v>39.925705028269732</v>
      </c>
      <c r="AS56" s="4">
        <f>[1]节奏总纲!BE56</f>
        <v>44.585020086822361</v>
      </c>
    </row>
    <row r="57" spans="2:45" x14ac:dyDescent="0.15">
      <c r="B57" s="4">
        <f>[1]节奏总纲!N57</f>
        <v>64</v>
      </c>
      <c r="C57" s="4">
        <v>54</v>
      </c>
      <c r="D57" s="4">
        <f>[1]节奏总纲!P57</f>
        <v>41.224253144732614</v>
      </c>
      <c r="E57" s="4">
        <f>[1]节奏总纲!Q57</f>
        <v>35.947548742206841</v>
      </c>
      <c r="F57" s="4">
        <f>[1]节奏总纲!R57</f>
        <v>29.553667079458812</v>
      </c>
      <c r="G57" s="4">
        <f>[1]节奏总纲!S57</f>
        <v>21.762283235104348</v>
      </c>
      <c r="H57" s="4">
        <f>[1]节奏总纲!T57</f>
        <v>12.111685573922442</v>
      </c>
      <c r="J57" s="4">
        <v>54</v>
      </c>
      <c r="K57" s="4">
        <f>[1]节奏总纲!W57</f>
        <v>2.8276319176953066</v>
      </c>
      <c r="L57" s="4">
        <f>[1]节奏总纲!X57</f>
        <v>2.5194503019481616</v>
      </c>
      <c r="M57" s="4">
        <f>[1]节奏总纲!Y57</f>
        <v>1.9733740520779115</v>
      </c>
      <c r="N57" s="4">
        <f>[1]节奏总纲!Z57</f>
        <v>1.4427912817562039</v>
      </c>
      <c r="O57" s="4">
        <f>[1]节奏总纲!AA57</f>
        <v>0.77316332557832368</v>
      </c>
      <c r="Q57" s="4">
        <v>54</v>
      </c>
      <c r="R57" s="4">
        <f>[1]节奏总纲!AD57</f>
        <v>57.80830335012682</v>
      </c>
      <c r="S57" s="4">
        <f>[1]节奏总纲!AE57</f>
        <v>59.838454950756969</v>
      </c>
      <c r="T57" s="4">
        <f>[1]节奏总纲!AF57</f>
        <v>62.660624101136307</v>
      </c>
      <c r="U57" s="4">
        <f>[1]节奏总纲!AG57</f>
        <v>67.098789255934349</v>
      </c>
      <c r="V57" s="4">
        <f>[1]节奏总纲!AH57</f>
        <v>75.574169554689718</v>
      </c>
      <c r="Z57" s="4">
        <v>54</v>
      </c>
      <c r="AA57" s="4">
        <f>[1]节奏总纲!AM57</f>
        <v>1060.2230944101252</v>
      </c>
      <c r="AB57" s="4">
        <f>[1]节奏总纲!AN57</f>
        <v>848.17847552810019</v>
      </c>
      <c r="AC57" s="4">
        <f>[1]节奏总纲!AO57</f>
        <v>636.13385664607506</v>
      </c>
      <c r="AD57" s="4">
        <f>[1]节奏总纲!AP57</f>
        <v>424.0892377640501</v>
      </c>
      <c r="AE57" s="4">
        <f>[1]节奏总纲!AQ57</f>
        <v>212.04461888202505</v>
      </c>
      <c r="AG57" s="4">
        <v>54</v>
      </c>
      <c r="AH57" s="4">
        <f>[1]节奏总纲!AT57</f>
        <v>145.07777358720386</v>
      </c>
      <c r="AI57" s="4">
        <f>[1]节奏总纲!AU57</f>
        <v>116.06221886976311</v>
      </c>
      <c r="AJ57" s="4">
        <f>[1]节奏总纲!AV57</f>
        <v>87.046664152322251</v>
      </c>
      <c r="AK57" s="4">
        <f>[1]节奏总纲!AW57</f>
        <v>58.031109434881557</v>
      </c>
      <c r="AL57" s="4">
        <f>[1]节奏总纲!AX57</f>
        <v>29.015554717440779</v>
      </c>
      <c r="AN57" s="4">
        <v>54</v>
      </c>
      <c r="AO57" s="4">
        <f>[1]节奏总纲!BA57</f>
        <v>33.986182150746572</v>
      </c>
      <c r="AP57" s="4">
        <f>[1]节奏总纲!BB57</f>
        <v>35.390363423454687</v>
      </c>
      <c r="AQ57" s="4">
        <f>[1]节奏总纲!BC57</f>
        <v>37.317457773889828</v>
      </c>
      <c r="AR57" s="4">
        <f>[1]节奏总纲!BD57</f>
        <v>40.052446592012309</v>
      </c>
      <c r="AS57" s="4">
        <f>[1]节奏总纲!BE57</f>
        <v>44.71429731834187</v>
      </c>
    </row>
    <row r="58" spans="2:45" x14ac:dyDescent="0.15">
      <c r="B58" s="4">
        <f>[1]节奏总纲!N58</f>
        <v>65</v>
      </c>
      <c r="C58" s="4">
        <v>55</v>
      </c>
      <c r="D58" s="4">
        <f>[1]节奏总纲!P58</f>
        <v>44.254833995939045</v>
      </c>
      <c r="E58" s="4">
        <f>[1]节奏总纲!Q58</f>
        <v>38.53268396026413</v>
      </c>
      <c r="F58" s="4">
        <f>[1]节奏总纲!R58</f>
        <v>31.642206307096416</v>
      </c>
      <c r="G58" s="4">
        <f>[1]节奏总纲!S58</f>
        <v>23.282468165263531</v>
      </c>
      <c r="H58" s="4">
        <f>[1]节奏总纲!T58</f>
        <v>12.944538943812169</v>
      </c>
      <c r="J58" s="4">
        <v>55</v>
      </c>
      <c r="K58" s="4">
        <f>[1]节奏总纲!W58</f>
        <v>3.0305808512064303</v>
      </c>
      <c r="L58" s="4">
        <f>[1]节奏总纲!X58</f>
        <v>2.5851352180572889</v>
      </c>
      <c r="M58" s="4">
        <f>[1]节奏总纲!Y58</f>
        <v>2.0885392276376038</v>
      </c>
      <c r="N58" s="4">
        <f>[1]节奏总纲!Z58</f>
        <v>1.5201849301591821</v>
      </c>
      <c r="O58" s="4">
        <f>[1]节奏总纲!AA58</f>
        <v>0.8328533698897278</v>
      </c>
      <c r="Q58" s="4">
        <v>55</v>
      </c>
      <c r="R58" s="4">
        <f>[1]节奏总纲!AD58</f>
        <v>58.071211008105138</v>
      </c>
      <c r="S58" s="4">
        <f>[1]节奏总纲!AE58</f>
        <v>60.102437883401088</v>
      </c>
      <c r="T58" s="4">
        <f>[1]节奏总纲!AF58</f>
        <v>62.925786777239075</v>
      </c>
      <c r="U58" s="4">
        <f>[1]节奏总纲!AG58</f>
        <v>67.36285691246691</v>
      </c>
      <c r="V58" s="4">
        <f>[1]节奏总纲!AH58</f>
        <v>75.829988076574182</v>
      </c>
      <c r="Z58" s="4">
        <v>55</v>
      </c>
      <c r="AA58" s="4">
        <f>[1]节奏总纲!AM58</f>
        <v>1228.2</v>
      </c>
      <c r="AB58" s="4">
        <f>[1]节奏总纲!AN58</f>
        <v>982.56000000000006</v>
      </c>
      <c r="AC58" s="4">
        <f>[1]节奏总纲!AO58</f>
        <v>736.92</v>
      </c>
      <c r="AD58" s="4">
        <f>[1]节奏总纲!AP58</f>
        <v>491.28000000000003</v>
      </c>
      <c r="AE58" s="4">
        <f>[1]节奏总纲!AQ58</f>
        <v>245.64000000000001</v>
      </c>
      <c r="AG58" s="4">
        <v>55</v>
      </c>
      <c r="AH58" s="4">
        <f>[1]节奏总纲!AT58</f>
        <v>167.97690558987483</v>
      </c>
      <c r="AI58" s="4">
        <f>[1]节奏总纲!AU58</f>
        <v>134.38152447189987</v>
      </c>
      <c r="AJ58" s="4">
        <f>[1]节奏总纲!AV58</f>
        <v>100.7861433539249</v>
      </c>
      <c r="AK58" s="4">
        <f>[1]节奏总纲!AW58</f>
        <v>67.190762235949933</v>
      </c>
      <c r="AL58" s="4">
        <f>[1]节奏总纲!AX58</f>
        <v>33.595381117974966</v>
      </c>
      <c r="AN58" s="4">
        <v>55</v>
      </c>
      <c r="AO58" s="4">
        <f>[1]节奏总纲!BA58</f>
        <v>34.09469189131628</v>
      </c>
      <c r="AP58" s="4">
        <f>[1]节奏总纲!BB58</f>
        <v>35.512351993284277</v>
      </c>
      <c r="AQ58" s="4">
        <f>[1]节奏总纲!BC58</f>
        <v>37.438462561985709</v>
      </c>
      <c r="AR58" s="4">
        <f>[1]节奏总纲!BD58</f>
        <v>40.168994574261895</v>
      </c>
      <c r="AS58" s="4">
        <f>[1]节奏总纲!BE58</f>
        <v>44.843574549861387</v>
      </c>
    </row>
    <row r="59" spans="2:45" x14ac:dyDescent="0.15">
      <c r="B59" s="4">
        <f>[1]节奏总纲!N59</f>
        <v>66</v>
      </c>
      <c r="C59" s="4">
        <v>56</v>
      </c>
      <c r="D59" s="4">
        <f>[1]节奏总纲!P59</f>
        <v>47.502930128332721</v>
      </c>
      <c r="E59" s="4">
        <f>[1]节奏总纲!Q59</f>
        <v>41.275295988508304</v>
      </c>
      <c r="F59" s="4">
        <f>[1]节奏总纲!R59</f>
        <v>33.888590353552566</v>
      </c>
      <c r="G59" s="4">
        <f>[1]节奏总纲!S59</f>
        <v>24.910536559297679</v>
      </c>
      <c r="H59" s="4">
        <f>[1]节奏总纲!T59</f>
        <v>13.837603546383322</v>
      </c>
      <c r="J59" s="4">
        <v>56</v>
      </c>
      <c r="K59" s="4">
        <f>[1]节奏总纲!W59</f>
        <v>3.2480961323936768</v>
      </c>
      <c r="L59" s="4">
        <f>[1]节奏总纲!X59</f>
        <v>2.7426120282441744</v>
      </c>
      <c r="M59" s="4">
        <f>[1]节奏总纲!Y59</f>
        <v>2.24638404645615</v>
      </c>
      <c r="N59" s="4">
        <f>[1]节奏总纲!Z59</f>
        <v>1.6280683940341483</v>
      </c>
      <c r="O59" s="4">
        <f>[1]节奏总纲!AA59</f>
        <v>0.89306460257115283</v>
      </c>
      <c r="Q59" s="4">
        <v>56</v>
      </c>
      <c r="R59" s="4">
        <f>[1]节奏总纲!AD59</f>
        <v>58.321281314909029</v>
      </c>
      <c r="S59" s="4">
        <f>[1]节奏总纲!AE59</f>
        <v>60.351982057337977</v>
      </c>
      <c r="T59" s="4">
        <f>[1]节奏总纲!AF59</f>
        <v>63.17626763611517</v>
      </c>
      <c r="U59" s="4">
        <f>[1]节奏总纲!AG59</f>
        <v>67.626924568999456</v>
      </c>
      <c r="V59" s="4">
        <f>[1]节奏总纲!AH59</f>
        <v>76.086647524934079</v>
      </c>
      <c r="Z59" s="4">
        <v>56</v>
      </c>
      <c r="AA59" s="4">
        <f>[1]节奏总纲!AM59</f>
        <v>1422.6782097755249</v>
      </c>
      <c r="AB59" s="4">
        <f>[1]节奏总纲!AN59</f>
        <v>1138.14256782042</v>
      </c>
      <c r="AC59" s="4">
        <f>[1]节奏总纲!AO59</f>
        <v>853.60692586531491</v>
      </c>
      <c r="AD59" s="4">
        <f>[1]节奏总纲!AP59</f>
        <v>569.07128391021001</v>
      </c>
      <c r="AE59" s="4">
        <f>[1]节奏总纲!AQ59</f>
        <v>284.53564195510501</v>
      </c>
      <c r="AG59" s="4">
        <v>56</v>
      </c>
      <c r="AH59" s="4">
        <f>[1]节奏总纲!AT59</f>
        <v>194.47820977552487</v>
      </c>
      <c r="AI59" s="4">
        <f>[1]节奏总纲!AU59</f>
        <v>155.58256782041997</v>
      </c>
      <c r="AJ59" s="4">
        <f>[1]节奏总纲!AV59</f>
        <v>116.68692586531495</v>
      </c>
      <c r="AK59" s="4">
        <f>[1]节奏总纲!AW59</f>
        <v>77.791283910209984</v>
      </c>
      <c r="AL59" s="4">
        <f>[1]节奏总纲!AX59</f>
        <v>38.895641955104992</v>
      </c>
      <c r="AN59" s="4">
        <v>56</v>
      </c>
      <c r="AO59" s="4">
        <f>[1]节奏总纲!BA59</f>
        <v>34.201198727632011</v>
      </c>
      <c r="AP59" s="4">
        <f>[1]节奏总纲!BB59</f>
        <v>35.634340563113874</v>
      </c>
      <c r="AQ59" s="4">
        <f>[1]节奏总纲!BC59</f>
        <v>37.55946735008159</v>
      </c>
      <c r="AR59" s="4">
        <f>[1]节奏总纲!BD59</f>
        <v>40.28554255651148</v>
      </c>
      <c r="AS59" s="4">
        <f>[1]节奏总纲!BE59</f>
        <v>44.972851781380903</v>
      </c>
    </row>
    <row r="60" spans="2:45" x14ac:dyDescent="0.15">
      <c r="B60" s="4">
        <f>[1]节奏总纲!N60</f>
        <v>67</v>
      </c>
      <c r="C60" s="4">
        <v>57</v>
      </c>
      <c r="D60" s="4">
        <f>[1]节奏总纲!P60</f>
        <v>50.984153366799077</v>
      </c>
      <c r="E60" s="4">
        <f>[1]节奏总纲!Q60</f>
        <v>44.310327691085078</v>
      </c>
      <c r="F60" s="4">
        <f>[1]节奏总纲!R60</f>
        <v>36.316012443170983</v>
      </c>
      <c r="G60" s="4">
        <f>[1]节奏总纲!S60</f>
        <v>26.664712210835919</v>
      </c>
      <c r="H60" s="4">
        <f>[1]节奏总纲!T60</f>
        <v>14.815994968391813</v>
      </c>
      <c r="J60" s="4">
        <v>57</v>
      </c>
      <c r="K60" s="4">
        <f>[1]节奏总纲!W60</f>
        <v>3.481223238466356</v>
      </c>
      <c r="L60" s="4">
        <f>[1]节奏总纲!X60</f>
        <v>3.0350317025767737</v>
      </c>
      <c r="M60" s="4">
        <f>[1]节奏总纲!Y60</f>
        <v>2.4274220896184175</v>
      </c>
      <c r="N60" s="4">
        <f>[1]节奏总纲!Z60</f>
        <v>1.7541756515382403</v>
      </c>
      <c r="O60" s="4">
        <f>[1]节奏总纲!AA60</f>
        <v>0.97839142200849061</v>
      </c>
      <c r="Q60" s="4">
        <v>57</v>
      </c>
      <c r="R60" s="4">
        <f>[1]节奏总纲!AD60</f>
        <v>58.571351621712921</v>
      </c>
      <c r="S60" s="4">
        <f>[1]节奏总纲!AE60</f>
        <v>60.60152623127486</v>
      </c>
      <c r="T60" s="4">
        <f>[1]节奏总纲!AF60</f>
        <v>63.421042351541736</v>
      </c>
      <c r="U60" s="4">
        <f>[1]节奏总纲!AG60</f>
        <v>67.890992225532017</v>
      </c>
      <c r="V60" s="4">
        <f>[1]节奏总纲!AH60</f>
        <v>76.344973133357612</v>
      </c>
      <c r="Z60" s="4">
        <v>57</v>
      </c>
      <c r="AA60" s="4">
        <f>[1]节奏总纲!AM60</f>
        <v>1647.8248427703616</v>
      </c>
      <c r="AB60" s="4">
        <f>[1]节奏总纲!AN60</f>
        <v>1318.2598742162893</v>
      </c>
      <c r="AC60" s="4">
        <f>[1]节奏总纲!AO60</f>
        <v>988.69490566221691</v>
      </c>
      <c r="AD60" s="4">
        <f>[1]节奏总纲!AP60</f>
        <v>659.12993710814465</v>
      </c>
      <c r="AE60" s="4">
        <f>[1]节奏总纲!AQ60</f>
        <v>329.56496855407232</v>
      </c>
      <c r="AG60" s="4">
        <v>57</v>
      </c>
      <c r="AH60" s="4">
        <f>[1]节奏总纲!AT60</f>
        <v>225.14663299483664</v>
      </c>
      <c r="AI60" s="4">
        <f>[1]节奏总纲!AU60</f>
        <v>180.11730639586926</v>
      </c>
      <c r="AJ60" s="4">
        <f>[1]节奏总纲!AV60</f>
        <v>135.087979796902</v>
      </c>
      <c r="AK60" s="4">
        <f>[1]节奏总纲!AW60</f>
        <v>90.058653197934632</v>
      </c>
      <c r="AL60" s="4">
        <f>[1]节奏总纲!AX60</f>
        <v>45.029326598967316</v>
      </c>
      <c r="AN60" s="4">
        <v>57</v>
      </c>
      <c r="AO60" s="4">
        <f>[1]节奏总纲!BA60</f>
        <v>34.307705563947749</v>
      </c>
      <c r="AP60" s="4">
        <f>[1]节奏总纲!BB60</f>
        <v>35.756329132943463</v>
      </c>
      <c r="AQ60" s="4">
        <f>[1]节奏总纲!BC60</f>
        <v>37.680472138177478</v>
      </c>
      <c r="AR60" s="4">
        <f>[1]节奏总纲!BD60</f>
        <v>40.402090538761065</v>
      </c>
      <c r="AS60" s="4">
        <f>[1]节奏总纲!BE60</f>
        <v>45.088151688727308</v>
      </c>
    </row>
    <row r="61" spans="2:45" x14ac:dyDescent="0.15">
      <c r="B61" s="4">
        <f>[1]节奏总纲!N61</f>
        <v>68</v>
      </c>
      <c r="C61" s="4">
        <v>58</v>
      </c>
      <c r="D61" s="4">
        <f>[1]节奏总纲!P61</f>
        <v>54.715236050951923</v>
      </c>
      <c r="E61" s="4">
        <f>[1]节奏总纲!Q61</f>
        <v>47.459995750595695</v>
      </c>
      <c r="F61" s="4">
        <f>[1]节奏总纲!R61</f>
        <v>38.913475879437009</v>
      </c>
      <c r="G61" s="4">
        <f>[1]节奏总纲!S61</f>
        <v>28.572296265807093</v>
      </c>
      <c r="H61" s="4">
        <f>[1]节奏总纲!T61</f>
        <v>15.856475407565867</v>
      </c>
      <c r="J61" s="4">
        <v>58</v>
      </c>
      <c r="K61" s="4">
        <f>[1]节奏总纲!W61</f>
        <v>3.7310826841528453</v>
      </c>
      <c r="L61" s="4">
        <f>[1]节奏总纲!X61</f>
        <v>3.149668059510617</v>
      </c>
      <c r="M61" s="4">
        <f>[1]节奏总纲!Y61</f>
        <v>2.5974634362660254</v>
      </c>
      <c r="N61" s="4">
        <f>[1]节奏总纲!Z61</f>
        <v>1.9075840549711742</v>
      </c>
      <c r="O61" s="4">
        <f>[1]节奏总纲!AA61</f>
        <v>1.0404804391740541</v>
      </c>
      <c r="Q61" s="4">
        <v>58</v>
      </c>
      <c r="R61" s="4">
        <f>[1]节奏总纲!AD61</f>
        <v>58.821421928516813</v>
      </c>
      <c r="S61" s="4">
        <f>[1]节奏总纲!AE61</f>
        <v>60.851070405211743</v>
      </c>
      <c r="T61" s="4">
        <f>[1]节奏总纲!AF61</f>
        <v>63.665817066968295</v>
      </c>
      <c r="U61" s="4">
        <f>[1]节奏总纲!AG61</f>
        <v>68.142437172458173</v>
      </c>
      <c r="V61" s="4">
        <f>[1]节奏总纲!AH61</f>
        <v>76.60329874178116</v>
      </c>
      <c r="Z61" s="4">
        <v>58</v>
      </c>
      <c r="AA61" s="4">
        <f>[1]节奏总纲!AM61</f>
        <v>1908.4603298511749</v>
      </c>
      <c r="AB61" s="4">
        <f>[1]节奏总纲!AN61</f>
        <v>1526.7682638809401</v>
      </c>
      <c r="AC61" s="4">
        <f>[1]节奏总纲!AO61</f>
        <v>1145.0761979107049</v>
      </c>
      <c r="AD61" s="4">
        <f>[1]节奏总纲!AP61</f>
        <v>763.38413194047007</v>
      </c>
      <c r="AE61" s="4">
        <f>[1]节奏总纲!AQ61</f>
        <v>381.69206597023503</v>
      </c>
      <c r="AG61" s="4">
        <v>58</v>
      </c>
      <c r="AH61" s="4">
        <f>[1]节奏总纲!AT61</f>
        <v>260.63548708081339</v>
      </c>
      <c r="AI61" s="4">
        <f>[1]节奏总纲!AU61</f>
        <v>208.50838966465085</v>
      </c>
      <c r="AJ61" s="4">
        <f>[1]节奏总纲!AV61</f>
        <v>156.38129224848797</v>
      </c>
      <c r="AK61" s="4">
        <f>[1]节奏总纲!AW61</f>
        <v>104.25419483232542</v>
      </c>
      <c r="AL61" s="4">
        <f>[1]节奏总纲!AX61</f>
        <v>52.127097416162712</v>
      </c>
      <c r="AN61" s="4">
        <v>58</v>
      </c>
      <c r="AO61" s="4">
        <f>[1]节奏总纲!BA61</f>
        <v>34.41421240026348</v>
      </c>
      <c r="AP61" s="4">
        <f>[1]节奏总纲!BB61</f>
        <v>35.878317702773053</v>
      </c>
      <c r="AQ61" s="4">
        <f>[1]节奏总纲!BC61</f>
        <v>37.801476926273359</v>
      </c>
      <c r="AR61" s="4">
        <f>[1]节奏总纲!BD61</f>
        <v>40.518638521010644</v>
      </c>
      <c r="AS61" s="4">
        <f>[1]节奏总纲!BE61</f>
        <v>45.199736104837825</v>
      </c>
    </row>
    <row r="62" spans="2:45" x14ac:dyDescent="0.15">
      <c r="B62" s="4">
        <f>[1]节奏总纲!N62</f>
        <v>69</v>
      </c>
      <c r="C62" s="4">
        <v>59</v>
      </c>
      <c r="D62" s="4">
        <f>[1]节奏总纲!P62</f>
        <v>58.714111458355703</v>
      </c>
      <c r="E62" s="4">
        <f>[1]节奏总纲!Q62</f>
        <v>50.940363101269412</v>
      </c>
      <c r="F62" s="4">
        <f>[1]节奏总纲!R62</f>
        <v>41.728119013453394</v>
      </c>
      <c r="G62" s="4">
        <f>[1]节奏总纲!S62</f>
        <v>30.607666303240826</v>
      </c>
      <c r="H62" s="4">
        <f>[1]节奏总纲!T62</f>
        <v>17.003606678339814</v>
      </c>
      <c r="J62" s="4">
        <v>59</v>
      </c>
      <c r="K62" s="4">
        <f>[1]节奏总纲!W62</f>
        <v>3.99887540740378</v>
      </c>
      <c r="L62" s="4">
        <f>[1]节奏总纲!X62</f>
        <v>3.4803673506737169</v>
      </c>
      <c r="M62" s="4">
        <f>[1]节奏总纲!Y62</f>
        <v>2.8146431340163858</v>
      </c>
      <c r="N62" s="4">
        <f>[1]节奏总纲!Z62</f>
        <v>2.0353700374337329</v>
      </c>
      <c r="O62" s="4">
        <f>[1]节奏总纲!AA62</f>
        <v>1.1471312707739472</v>
      </c>
      <c r="Q62" s="4">
        <v>59</v>
      </c>
      <c r="R62" s="4">
        <f>[1]节奏总纲!AD62</f>
        <v>59.066704614192936</v>
      </c>
      <c r="S62" s="4">
        <f>[1]节奏总纲!AE62</f>
        <v>61.094954819415335</v>
      </c>
      <c r="T62" s="4">
        <f>[1]节奏总纲!AF62</f>
        <v>63.91059178239486</v>
      </c>
      <c r="U62" s="4">
        <f>[1]节奏总纲!AG62</f>
        <v>68.385008299388929</v>
      </c>
      <c r="V62" s="4">
        <f>[1]节奏总纲!AH62</f>
        <v>76.861624350204693</v>
      </c>
      <c r="Z62" s="4">
        <v>59</v>
      </c>
      <c r="AA62" s="4">
        <f>[1]节奏总纲!AM62</f>
        <v>2210.1605665017755</v>
      </c>
      <c r="AB62" s="4">
        <f>[1]节奏总纲!AN62</f>
        <v>1768.1284532014206</v>
      </c>
      <c r="AC62" s="4">
        <f>[1]节奏总纲!AO62</f>
        <v>1326.0963399010652</v>
      </c>
      <c r="AD62" s="4">
        <f>[1]节奏总纲!AP62</f>
        <v>884.0642266007103</v>
      </c>
      <c r="AE62" s="4">
        <f>[1]节奏总纲!AQ62</f>
        <v>442.03211330035515</v>
      </c>
      <c r="AG62" s="4">
        <v>59</v>
      </c>
      <c r="AH62" s="4">
        <f>[1]节奏总纲!AT62</f>
        <v>301.70023665060057</v>
      </c>
      <c r="AI62" s="4">
        <f>[1]节奏总纲!AU62</f>
        <v>241.36018932048046</v>
      </c>
      <c r="AJ62" s="4">
        <f>[1]节奏总纲!AV62</f>
        <v>181.02014199036034</v>
      </c>
      <c r="AK62" s="4">
        <f>[1]节奏总纲!AW62</f>
        <v>120.68009466024023</v>
      </c>
      <c r="AL62" s="4">
        <f>[1]节奏总纲!AX62</f>
        <v>60.340047330120115</v>
      </c>
      <c r="AN62" s="4">
        <v>59</v>
      </c>
      <c r="AO62" s="4">
        <f>[1]节奏总纲!BA62</f>
        <v>34.520719236579211</v>
      </c>
      <c r="AP62" s="4">
        <f>[1]节奏总纲!BB62</f>
        <v>36.000264155774609</v>
      </c>
      <c r="AQ62" s="4">
        <f>[1]节奏总纲!BC62</f>
        <v>37.922481714369241</v>
      </c>
      <c r="AR62" s="4">
        <f>[1]节奏总纲!BD62</f>
        <v>40.635186503260229</v>
      </c>
      <c r="AS62" s="4">
        <f>[1]节奏总纲!BE62</f>
        <v>45.31132052094835</v>
      </c>
    </row>
    <row r="63" spans="2:45" x14ac:dyDescent="0.15">
      <c r="B63" s="4">
        <f>[1]节奏总纲!N63</f>
        <v>70</v>
      </c>
      <c r="C63" s="4">
        <v>60</v>
      </c>
      <c r="D63" s="4">
        <f>[1]节奏总纲!P63</f>
        <v>63</v>
      </c>
      <c r="E63" s="4">
        <f>[1]节奏总纲!Q63</f>
        <v>54.589500000000001</v>
      </c>
      <c r="F63" s="4">
        <f>[1]节奏总纲!R63</f>
        <v>44.717399999999998</v>
      </c>
      <c r="G63" s="4">
        <f>[1]节奏总纲!S63</f>
        <v>32.810400000000001</v>
      </c>
      <c r="H63" s="4">
        <f>[1]节奏总纲!T63</f>
        <v>18.276300000000003</v>
      </c>
      <c r="J63" s="4">
        <v>60</v>
      </c>
      <c r="K63" s="4">
        <f>[1]节奏总纲!W63</f>
        <v>4.2858885416442973</v>
      </c>
      <c r="L63" s="4">
        <f>[1]节奏总纲!X63</f>
        <v>3.649136898730589</v>
      </c>
      <c r="M63" s="4">
        <f>[1]节奏总纲!Y63</f>
        <v>2.9892809865466035</v>
      </c>
      <c r="N63" s="4">
        <f>[1]节奏总纲!Z63</f>
        <v>2.2027336967591751</v>
      </c>
      <c r="O63" s="4">
        <f>[1]节奏总纲!AA63</f>
        <v>1.2726933216601886</v>
      </c>
      <c r="Q63" s="4">
        <v>60</v>
      </c>
      <c r="R63" s="4">
        <f>[1]节奏总纲!AD63</f>
        <v>59.300028460644697</v>
      </c>
      <c r="S63" s="4">
        <f>[1]节奏总纲!AE63</f>
        <v>61.330461663183208</v>
      </c>
      <c r="T63" s="4">
        <f>[1]节奏总纲!AF63</f>
        <v>64.14304723627319</v>
      </c>
      <c r="U63" s="4">
        <f>[1]节奏总纲!AG63</f>
        <v>68.627579426319684</v>
      </c>
      <c r="V63" s="4">
        <f>[1]节奏总纲!AH63</f>
        <v>77.112805903056142</v>
      </c>
      <c r="Z63" s="4">
        <v>60</v>
      </c>
      <c r="AA63" s="4">
        <f>[1]节奏总纲!AM63</f>
        <v>2559.375</v>
      </c>
      <c r="AB63" s="4">
        <f>[1]节奏总纲!AN63</f>
        <v>2047.5</v>
      </c>
      <c r="AC63" s="4">
        <f>[1]节奏总纲!AO63</f>
        <v>1535.625</v>
      </c>
      <c r="AD63" s="4">
        <f>[1]节奏总纲!AP63</f>
        <v>1023.75</v>
      </c>
      <c r="AE63" s="4">
        <f>[1]节奏总纲!AQ63</f>
        <v>511.875</v>
      </c>
      <c r="AG63" s="4">
        <v>60</v>
      </c>
      <c r="AH63" s="4">
        <f>[1]节奏总纲!AT63</f>
        <v>349.21443349822448</v>
      </c>
      <c r="AI63" s="4">
        <f>[1]节奏总纲!AU63</f>
        <v>279.3715467985794</v>
      </c>
      <c r="AJ63" s="4">
        <f>[1]节奏总纲!AV63</f>
        <v>209.52866009893478</v>
      </c>
      <c r="AK63" s="4">
        <f>[1]节奏总纲!AW63</f>
        <v>139.6857733992897</v>
      </c>
      <c r="AL63" s="4">
        <f>[1]节奏总纲!AX63</f>
        <v>69.842886699644851</v>
      </c>
      <c r="AN63" s="4">
        <v>60</v>
      </c>
      <c r="AO63" s="4">
        <f>[1]节奏总纲!BA63</f>
        <v>34.627226072894942</v>
      </c>
      <c r="AP63" s="4">
        <f>[1]节奏总纲!BB63</f>
        <v>36.105477566569242</v>
      </c>
      <c r="AQ63" s="4">
        <f>[1]节奏总纲!BC63</f>
        <v>38.037513426486328</v>
      </c>
      <c r="AR63" s="4">
        <f>[1]节奏总纲!BD63</f>
        <v>40.751734485509814</v>
      </c>
      <c r="AS63" s="4">
        <f>[1]节奏总纲!BE63</f>
        <v>45.422904937058867</v>
      </c>
    </row>
    <row r="64" spans="2:45" x14ac:dyDescent="0.15">
      <c r="B64" s="4">
        <f>[1]节奏总纲!N64</f>
        <v>71</v>
      </c>
      <c r="C64" s="4">
        <v>61</v>
      </c>
      <c r="D64" s="4">
        <f>[1]节奏总纲!P64</f>
        <v>67.593501602322732</v>
      </c>
      <c r="E64" s="4">
        <f>[1]节奏总纲!Q64</f>
        <v>58.596806539053574</v>
      </c>
      <c r="F64" s="4">
        <f>[1]节奏总纲!R64</f>
        <v>47.977867437328676</v>
      </c>
      <c r="G64" s="4">
        <f>[1]节奏总纲!S64</f>
        <v>35.229733035130607</v>
      </c>
      <c r="H64" s="4">
        <f>[1]节奏总纲!T64</f>
        <v>19.602115464673592</v>
      </c>
      <c r="J64" s="4">
        <v>61</v>
      </c>
      <c r="K64" s="4">
        <f>[1]节奏总纲!W64</f>
        <v>4.593501602322732</v>
      </c>
      <c r="L64" s="4">
        <f>[1]节奏总纲!X64</f>
        <v>4.0073065390535731</v>
      </c>
      <c r="M64" s="4">
        <f>[1]节奏总纲!Y64</f>
        <v>3.2604674373286784</v>
      </c>
      <c r="N64" s="4">
        <f>[1]节奏总纲!Z64</f>
        <v>2.4193330351306059</v>
      </c>
      <c r="O64" s="4">
        <f>[1]节奏总纲!AA64</f>
        <v>1.3258154646735889</v>
      </c>
      <c r="Q64" s="4">
        <v>61</v>
      </c>
      <c r="R64" s="4">
        <f>[1]节奏总纲!AD64</f>
        <v>59.533352307096465</v>
      </c>
      <c r="S64" s="4">
        <f>[1]节奏总纲!AE64</f>
        <v>61.56596850695108</v>
      </c>
      <c r="T64" s="4">
        <f>[1]节奏总纲!AF64</f>
        <v>64.368413367596901</v>
      </c>
      <c r="U64" s="4">
        <f>[1]节奏总纲!AG64</f>
        <v>68.870150553250454</v>
      </c>
      <c r="V64" s="4">
        <f>[1]节奏总纲!AH64</f>
        <v>77.355745991356301</v>
      </c>
      <c r="Z64" s="4">
        <v>61</v>
      </c>
      <c r="AA64" s="4">
        <f>[1]节奏总纲!AM64</f>
        <v>2963.5631311027469</v>
      </c>
      <c r="AB64" s="4">
        <f>[1]节奏总纲!AN64</f>
        <v>2370.8505048821976</v>
      </c>
      <c r="AC64" s="4">
        <f>[1]节奏总纲!AO64</f>
        <v>1778.1378786616481</v>
      </c>
      <c r="AD64" s="4">
        <f>[1]节奏总纲!AP64</f>
        <v>1185.4252524410988</v>
      </c>
      <c r="AE64" s="4">
        <f>[1]节奏总纲!AQ64</f>
        <v>592.7126262205494</v>
      </c>
      <c r="AG64" s="4">
        <v>61</v>
      </c>
      <c r="AH64" s="4">
        <f>[1]节奏总纲!AT64</f>
        <v>404.18813110274687</v>
      </c>
      <c r="AI64" s="4">
        <f>[1]节奏总纲!AU64</f>
        <v>323.35050488219758</v>
      </c>
      <c r="AJ64" s="4">
        <f>[1]节奏总纲!AV64</f>
        <v>242.51287866164807</v>
      </c>
      <c r="AK64" s="4">
        <f>[1]节奏总纲!AW64</f>
        <v>161.67525244109879</v>
      </c>
      <c r="AL64" s="4">
        <f>[1]节奏总纲!AX64</f>
        <v>80.837626220549396</v>
      </c>
      <c r="AN64" s="4">
        <v>61</v>
      </c>
      <c r="AO64" s="4">
        <f>[1]节奏总纲!BA64</f>
        <v>34.733732909210673</v>
      </c>
      <c r="AP64" s="4">
        <f>[1]节奏总纲!BB64</f>
        <v>36.210690977363875</v>
      </c>
      <c r="AQ64" s="4">
        <f>[1]节奏总纲!BC64</f>
        <v>38.14189763688286</v>
      </c>
      <c r="AR64" s="4">
        <f>[1]节奏总纲!BD64</f>
        <v>40.8682824677594</v>
      </c>
      <c r="AS64" s="4">
        <f>[1]节奏总纲!BE64</f>
        <v>45.534489353169384</v>
      </c>
    </row>
    <row r="65" spans="2:45" x14ac:dyDescent="0.15">
      <c r="B65" s="4">
        <f>[1]节奏总纲!N65</f>
        <v>72</v>
      </c>
      <c r="C65" s="4">
        <v>62</v>
      </c>
      <c r="D65" s="4">
        <f>[1]节奏总纲!P65</f>
        <v>72.516694719810218</v>
      </c>
      <c r="E65" s="4">
        <f>[1]节奏总纲!Q65</f>
        <v>62.842967644187539</v>
      </c>
      <c r="F65" s="4">
        <f>[1]节奏总纲!R65</f>
        <v>51.5086082594812</v>
      </c>
      <c r="G65" s="4">
        <f>[1]节奏总纲!S65</f>
        <v>37.846462974268952</v>
      </c>
      <c r="H65" s="4">
        <f>[1]节奏总纲!T65</f>
        <v>21.124113171880715</v>
      </c>
      <c r="J65" s="4">
        <v>62</v>
      </c>
      <c r="K65" s="4">
        <f>[1]节奏总纲!W65</f>
        <v>4.9231931174874859</v>
      </c>
      <c r="L65" s="4">
        <f>[1]节奏总纲!X65</f>
        <v>4.2461611051339645</v>
      </c>
      <c r="M65" s="4">
        <f>[1]节奏总纲!Y65</f>
        <v>3.5307408221525236</v>
      </c>
      <c r="N65" s="4">
        <f>[1]节奏总纲!Z65</f>
        <v>2.6167299391383452</v>
      </c>
      <c r="O65" s="4">
        <f>[1]节奏总纲!AA65</f>
        <v>1.5219977072071238</v>
      </c>
      <c r="Q65" s="4">
        <v>62</v>
      </c>
      <c r="R65" s="4">
        <f>[1]节奏总纲!AD65</f>
        <v>59.766676153548232</v>
      </c>
      <c r="S65" s="4">
        <f>[1]节奏总纲!AE65</f>
        <v>61.801475350718952</v>
      </c>
      <c r="T65" s="4">
        <f>[1]节奏总纲!AF65</f>
        <v>64.593779498920611</v>
      </c>
      <c r="U65" s="4">
        <f>[1]节奏总纲!AG65</f>
        <v>69.105843627521551</v>
      </c>
      <c r="V65" s="4">
        <f>[1]节奏总纲!AH65</f>
        <v>77.59868607965646</v>
      </c>
      <c r="Z65" s="4">
        <v>62</v>
      </c>
      <c r="AA65" s="4">
        <f>[1]节奏总纲!AM65</f>
        <v>3431.3522956038646</v>
      </c>
      <c r="AB65" s="4">
        <f>[1]节奏总纲!AN65</f>
        <v>2745.081836483092</v>
      </c>
      <c r="AC65" s="4">
        <f>[1]节奏总纲!AO65</f>
        <v>2058.8113773623186</v>
      </c>
      <c r="AD65" s="4">
        <f>[1]节奏总纲!AP65</f>
        <v>1372.540918241546</v>
      </c>
      <c r="AE65" s="4">
        <f>[1]节奏总纲!AQ65</f>
        <v>686.27045912077301</v>
      </c>
      <c r="AG65" s="4">
        <v>62</v>
      </c>
      <c r="AH65" s="4">
        <f>[1]节奏总纲!AT65</f>
        <v>467.78916450111774</v>
      </c>
      <c r="AI65" s="4">
        <f>[1]节奏总纲!AU65</f>
        <v>374.23133160089446</v>
      </c>
      <c r="AJ65" s="4">
        <f>[1]节奏总纲!AV65</f>
        <v>280.67349870067051</v>
      </c>
      <c r="AK65" s="4">
        <f>[1]节奏总纲!AW65</f>
        <v>187.11566580044723</v>
      </c>
      <c r="AL65" s="4">
        <f>[1]节奏总纲!AX65</f>
        <v>93.557832900223616</v>
      </c>
      <c r="AN65" s="4">
        <v>62</v>
      </c>
      <c r="AO65" s="4">
        <f>[1]节奏总纲!BA65</f>
        <v>34.840239745526404</v>
      </c>
      <c r="AP65" s="4">
        <f>[1]节奏总纲!BB65</f>
        <v>36.315904388158508</v>
      </c>
      <c r="AQ65" s="4">
        <f>[1]节奏总纲!BC65</f>
        <v>38.246281847279398</v>
      </c>
      <c r="AR65" s="4">
        <f>[1]节奏总纲!BD65</f>
        <v>40.984830450008978</v>
      </c>
      <c r="AS65" s="4">
        <f>[1]节奏总纲!BE65</f>
        <v>45.646073769279901</v>
      </c>
    </row>
    <row r="66" spans="2:45" x14ac:dyDescent="0.15">
      <c r="B66" s="4">
        <f>[1]节奏总纲!N66</f>
        <v>73</v>
      </c>
      <c r="C66" s="4">
        <v>63</v>
      </c>
      <c r="D66" s="4">
        <f>[1]节奏总纲!P66</f>
        <v>77.793242454074615</v>
      </c>
      <c r="E66" s="4">
        <f>[1]节奏总纲!Q66</f>
        <v>67.470079180418907</v>
      </c>
      <c r="F66" s="4">
        <f>[1]节奏总纲!R66</f>
        <v>55.27987808786542</v>
      </c>
      <c r="G66" s="4">
        <f>[1]节奏总纲!S66</f>
        <v>40.678086479235617</v>
      </c>
      <c r="H66" s="4">
        <f>[1]节奏总纲!T66</f>
        <v>22.700068148098975</v>
      </c>
      <c r="J66" s="4">
        <v>63</v>
      </c>
      <c r="K66" s="4">
        <f>[1]节奏总纲!W66</f>
        <v>5.2765477342643976</v>
      </c>
      <c r="L66" s="4">
        <f>[1]节奏总纲!X66</f>
        <v>4.6271115362313679</v>
      </c>
      <c r="M66" s="4">
        <f>[1]节奏总纲!Y66</f>
        <v>3.7712698283842201</v>
      </c>
      <c r="N66" s="4">
        <f>[1]节奏总纲!Z66</f>
        <v>2.8316235049666645</v>
      </c>
      <c r="O66" s="4">
        <f>[1]节奏总纲!AA66</f>
        <v>1.5759549762182594</v>
      </c>
      <c r="Q66" s="4">
        <v>63</v>
      </c>
      <c r="R66" s="4">
        <f>[1]节奏总纲!AD66</f>
        <v>60</v>
      </c>
      <c r="S66" s="4">
        <f>[1]节奏总纲!AE66</f>
        <v>62.033937447710706</v>
      </c>
      <c r="T66" s="4">
        <f>[1]节奏总纲!AF66</f>
        <v>64.819145630244321</v>
      </c>
      <c r="U66" s="4">
        <f>[1]节奏总纲!AG66</f>
        <v>69.333613546893503</v>
      </c>
      <c r="V66" s="4">
        <f>[1]节奏总纲!AH66</f>
        <v>77.841626167956619</v>
      </c>
      <c r="Z66" s="4">
        <v>63</v>
      </c>
      <c r="AA66" s="4">
        <f>[1]节奏总纲!AM66</f>
        <v>3972.7200361130153</v>
      </c>
      <c r="AB66" s="4">
        <f>[1]节奏总纲!AN66</f>
        <v>3178.1760288904125</v>
      </c>
      <c r="AC66" s="4">
        <f>[1]节奏总纲!AO66</f>
        <v>2383.6320216678091</v>
      </c>
      <c r="AD66" s="4">
        <f>[1]节奏总纲!AP66</f>
        <v>1589.0880144452062</v>
      </c>
      <c r="AE66" s="4">
        <f>[1]节奏总纲!AQ66</f>
        <v>794.54400722260311</v>
      </c>
      <c r="AG66" s="4">
        <v>63</v>
      </c>
      <c r="AH66" s="4">
        <f>[1]节奏总纲!AT66</f>
        <v>541.36774050915074</v>
      </c>
      <c r="AI66" s="4">
        <f>[1]节奏总纲!AU66</f>
        <v>433.09419240732041</v>
      </c>
      <c r="AJ66" s="4">
        <f>[1]节奏总纲!AV66</f>
        <v>324.82064430549053</v>
      </c>
      <c r="AK66" s="4">
        <f>[1]节奏总纲!AW66</f>
        <v>216.5470962036602</v>
      </c>
      <c r="AL66" s="4">
        <f>[1]节奏总纲!AX66</f>
        <v>108.2735481018301</v>
      </c>
      <c r="AN66" s="4">
        <v>63</v>
      </c>
      <c r="AO66" s="4">
        <f>[1]节奏总纲!BA66</f>
        <v>34.946746581842135</v>
      </c>
      <c r="AP66" s="4">
        <f>[1]节奏总纲!BB66</f>
        <v>36.421117798953141</v>
      </c>
      <c r="AQ66" s="4">
        <f>[1]节奏总纲!BC66</f>
        <v>38.35066605767593</v>
      </c>
      <c r="AR66" s="4">
        <f>[1]节奏总纲!BD66</f>
        <v>41.087476216725996</v>
      </c>
      <c r="AS66" s="4">
        <f>[1]节奏总纲!BE66</f>
        <v>45.757658185390426</v>
      </c>
    </row>
    <row r="67" spans="2:45" x14ac:dyDescent="0.15">
      <c r="B67" s="4">
        <f>[1]节奏总纲!N67</f>
        <v>74</v>
      </c>
      <c r="C67" s="4">
        <v>64</v>
      </c>
      <c r="D67" s="4">
        <f>[1]节奏总纲!P67</f>
        <v>83.4485062894652</v>
      </c>
      <c r="E67" s="4">
        <f>[1]节奏总纲!Q67</f>
        <v>72.399924056740005</v>
      </c>
      <c r="F67" s="4">
        <f>[1]节奏总纲!R67</f>
        <v>59.365267374325548</v>
      </c>
      <c r="G67" s="4">
        <f>[1]节奏总纲!S67</f>
        <v>43.718672445050821</v>
      </c>
      <c r="H67" s="4">
        <f>[1]节奏总纲!T67</f>
        <v>24.341929284637001</v>
      </c>
      <c r="J67" s="4">
        <v>64</v>
      </c>
      <c r="K67" s="4">
        <f>[1]节奏总纲!W67</f>
        <v>5.6552638353905849</v>
      </c>
      <c r="L67" s="4">
        <f>[1]节奏总纲!X67</f>
        <v>4.9298448763210985</v>
      </c>
      <c r="M67" s="4">
        <f>[1]节奏总纲!Y67</f>
        <v>4.0853892864601278</v>
      </c>
      <c r="N67" s="4">
        <f>[1]节奏总纲!Z67</f>
        <v>3.0405859658152039</v>
      </c>
      <c r="O67" s="4">
        <f>[1]节奏总纲!AA67</f>
        <v>1.6418611365380258</v>
      </c>
      <c r="Q67" s="4">
        <v>64</v>
      </c>
      <c r="R67" s="4">
        <f>[1]节奏总纲!AD67</f>
        <v>60.217698846451768</v>
      </c>
      <c r="S67" s="4">
        <f>[1]节奏总纲!AE67</f>
        <v>62.250054995811666</v>
      </c>
      <c r="T67" s="4">
        <f>[1]节奏总纲!AF67</f>
        <v>65.042129882798193</v>
      </c>
      <c r="U67" s="4">
        <f>[1]节奏总纲!AG67</f>
        <v>69.56138346626544</v>
      </c>
      <c r="V67" s="4">
        <f>[1]节奏总纲!AH67</f>
        <v>78.077870469399883</v>
      </c>
      <c r="Z67" s="4">
        <v>64</v>
      </c>
      <c r="AA67" s="4">
        <f>[1]节奏总纲!AM67</f>
        <v>4599.2048883665893</v>
      </c>
      <c r="AB67" s="4">
        <f>[1]节奏总纲!AN67</f>
        <v>3679.3639106932715</v>
      </c>
      <c r="AC67" s="4">
        <f>[1]节奏总纲!AO67</f>
        <v>2759.5229330199536</v>
      </c>
      <c r="AD67" s="4">
        <f>[1]节奏总纲!AP67</f>
        <v>1839.6819553466357</v>
      </c>
      <c r="AE67" s="4">
        <f>[1]节奏总纲!AQ67</f>
        <v>919.84097767331787</v>
      </c>
      <c r="AG67" s="4">
        <v>64</v>
      </c>
      <c r="AH67" s="4">
        <f>[1]节奏总纲!AT67</f>
        <v>626.48485225357399</v>
      </c>
      <c r="AI67" s="4">
        <f>[1]节奏总纲!AU67</f>
        <v>501.18788180285901</v>
      </c>
      <c r="AJ67" s="4">
        <f>[1]节奏总纲!AV67</f>
        <v>375.89091135214449</v>
      </c>
      <c r="AK67" s="4">
        <f>[1]节奏总纲!AW67</f>
        <v>250.59394090142951</v>
      </c>
      <c r="AL67" s="4">
        <f>[1]节奏总纲!AX67</f>
        <v>125.29697045071475</v>
      </c>
      <c r="AN67" s="4">
        <v>64</v>
      </c>
      <c r="AO67" s="4">
        <f>[1]节奏总纲!BA67</f>
        <v>35.048795427931836</v>
      </c>
      <c r="AP67" s="4">
        <f>[1]节奏总纲!BB67</f>
        <v>36.526331209747774</v>
      </c>
      <c r="AQ67" s="4">
        <f>[1]节奏总纲!BC67</f>
        <v>38.455050268072462</v>
      </c>
      <c r="AR67" s="4">
        <f>[1]节奏总纲!BD67</f>
        <v>41.188041754455355</v>
      </c>
      <c r="AS67" s="4">
        <f>[1]节奏总纲!BE67</f>
        <v>45.869242601500943</v>
      </c>
    </row>
    <row r="68" spans="2:45" x14ac:dyDescent="0.15">
      <c r="B68" s="4">
        <f>[1]节奏总纲!N68</f>
        <v>75</v>
      </c>
      <c r="C68" s="4">
        <v>65</v>
      </c>
      <c r="D68" s="4">
        <f>[1]节奏总纲!P68</f>
        <v>89.509667991878061</v>
      </c>
      <c r="E68" s="4">
        <f>[1]节奏总纲!Q68</f>
        <v>77.64963698295422</v>
      </c>
      <c r="F68" s="4">
        <f>[1]节奏总纲!R68</f>
        <v>63.802491344610679</v>
      </c>
      <c r="G68" s="4">
        <f>[1]节奏总纲!S68</f>
        <v>46.929918928141667</v>
      </c>
      <c r="H68" s="4">
        <f>[1]节奏总纲!T68</f>
        <v>25.993607584841389</v>
      </c>
      <c r="J68" s="4">
        <v>65</v>
      </c>
      <c r="K68" s="4">
        <f>[1]节奏总纲!W68</f>
        <v>6.0611617024128606</v>
      </c>
      <c r="L68" s="4">
        <f>[1]节奏总纲!X68</f>
        <v>5.2497129262142153</v>
      </c>
      <c r="M68" s="4">
        <f>[1]节奏总纲!Y68</f>
        <v>4.4372239702851317</v>
      </c>
      <c r="N68" s="4">
        <f>[1]节奏总纲!Z68</f>
        <v>3.2112464830908465</v>
      </c>
      <c r="O68" s="4">
        <f>[1]节奏总纲!AA68</f>
        <v>1.651678300204388</v>
      </c>
      <c r="Q68" s="4">
        <v>65</v>
      </c>
      <c r="R68" s="4">
        <f>[1]节奏总纲!AD68</f>
        <v>60.435397692903535</v>
      </c>
      <c r="S68" s="4">
        <f>[1]节奏总纲!AE68</f>
        <v>62.466172543912634</v>
      </c>
      <c r="T68" s="4">
        <f>[1]节奏总纲!AF68</f>
        <v>65.255436396961542</v>
      </c>
      <c r="U68" s="4">
        <f>[1]节奏总纲!AG68</f>
        <v>69.789153385637391</v>
      </c>
      <c r="V68" s="4">
        <f>[1]节奏总纲!AH68</f>
        <v>78.301575047908599</v>
      </c>
      <c r="Z68" s="4">
        <v>65</v>
      </c>
      <c r="AA68" s="4">
        <f>[1]节奏总纲!AM68</f>
        <v>5324.1500000000005</v>
      </c>
      <c r="AB68" s="4">
        <f>[1]节奏总纲!AN68</f>
        <v>4259.3200000000006</v>
      </c>
      <c r="AC68" s="4">
        <f>[1]节奏总纲!AO68</f>
        <v>3194.4900000000002</v>
      </c>
      <c r="AD68" s="4">
        <f>[1]节奏总纲!AP68</f>
        <v>2129.6600000000003</v>
      </c>
      <c r="AE68" s="4">
        <f>[1]节奏总纲!AQ68</f>
        <v>1064.8300000000002</v>
      </c>
      <c r="AG68" s="4">
        <v>65</v>
      </c>
      <c r="AH68" s="4">
        <f>[1]节奏总纲!AT68</f>
        <v>724.94511163341122</v>
      </c>
      <c r="AI68" s="4">
        <f>[1]节奏总纲!AU68</f>
        <v>579.95608930672915</v>
      </c>
      <c r="AJ68" s="4">
        <f>[1]节奏总纲!AV68</f>
        <v>434.96706698004664</v>
      </c>
      <c r="AK68" s="4">
        <f>[1]节奏总纲!AW68</f>
        <v>289.97804465336458</v>
      </c>
      <c r="AL68" s="4">
        <f>[1]节奏总纲!AX68</f>
        <v>144.98902232668229</v>
      </c>
      <c r="AN68" s="4">
        <v>65</v>
      </c>
      <c r="AO68" s="4">
        <f>[1]节奏总纲!BA68</f>
        <v>35.146386283795508</v>
      </c>
      <c r="AP68" s="4">
        <f>[1]节奏总纲!BB68</f>
        <v>36.631544620542407</v>
      </c>
      <c r="AQ68" s="4">
        <f>[1]节奏总纲!BC68</f>
        <v>38.559434478468994</v>
      </c>
      <c r="AR68" s="4">
        <f>[1]节奏总纲!BD68</f>
        <v>41.288607292184714</v>
      </c>
      <c r="AS68" s="4">
        <f>[1]节奏总纲!BE68</f>
        <v>45.98082701761146</v>
      </c>
    </row>
    <row r="69" spans="2:45" x14ac:dyDescent="0.15">
      <c r="B69" s="4">
        <f>[1]节奏总纲!N69</f>
        <v>76</v>
      </c>
      <c r="C69" s="4">
        <v>66</v>
      </c>
      <c r="D69" s="4">
        <f>[1]节奏总纲!P69</f>
        <v>96.005860256665443</v>
      </c>
      <c r="E69" s="4">
        <f>[1]节奏总纲!Q69</f>
        <v>83.352287874836932</v>
      </c>
      <c r="F69" s="4">
        <f>[1]节奏总纲!R69</f>
        <v>68.490580707105124</v>
      </c>
      <c r="G69" s="4">
        <f>[1]节奏总纲!S69</f>
        <v>50.163061984107692</v>
      </c>
      <c r="H69" s="4">
        <f>[1]节奏总纲!T69</f>
        <v>27.851300060458648</v>
      </c>
      <c r="J69" s="4">
        <v>66</v>
      </c>
      <c r="K69" s="4">
        <f>[1]节奏总纲!W69</f>
        <v>6.496192264787382</v>
      </c>
      <c r="L69" s="4">
        <f>[1]节奏总纲!X69</f>
        <v>5.7026508918827119</v>
      </c>
      <c r="M69" s="4">
        <f>[1]节奏总纲!Y69</f>
        <v>4.6880893624944449</v>
      </c>
      <c r="N69" s="4">
        <f>[1]节奏总纲!Z69</f>
        <v>3.2331430559660248</v>
      </c>
      <c r="O69" s="4">
        <f>[1]节奏总纲!AA69</f>
        <v>1.8576924756172595</v>
      </c>
      <c r="Q69" s="4">
        <v>66</v>
      </c>
      <c r="R69" s="4">
        <f>[1]节奏总纲!AD69</f>
        <v>60.653096539355303</v>
      </c>
      <c r="S69" s="4">
        <f>[1]节奏总纲!AE69</f>
        <v>62.682290092013595</v>
      </c>
      <c r="T69" s="4">
        <f>[1]节奏总纲!AF69</f>
        <v>65.468742911124906</v>
      </c>
      <c r="U69" s="4">
        <f>[1]节奏总纲!AG69</f>
        <v>70.015851474333999</v>
      </c>
      <c r="V69" s="4">
        <f>[1]节奏总纲!AH69</f>
        <v>78.525279626417301</v>
      </c>
      <c r="Z69" s="4">
        <v>66</v>
      </c>
      <c r="AA69" s="4">
        <f>[1]节奏总纲!AM69</f>
        <v>6162.9846853088866</v>
      </c>
      <c r="AB69" s="4">
        <f>[1]节奏总纲!AN69</f>
        <v>4930.3877482471098</v>
      </c>
      <c r="AC69" s="4">
        <f>[1]节奏总纲!AO69</f>
        <v>3697.7908111853317</v>
      </c>
      <c r="AD69" s="4">
        <f>[1]节奏总纲!AP69</f>
        <v>2465.1938741235549</v>
      </c>
      <c r="AE69" s="4">
        <f>[1]节奏总纲!AQ69</f>
        <v>1232.5969370617775</v>
      </c>
      <c r="AG69" s="4">
        <v>66</v>
      </c>
      <c r="AH69" s="4">
        <f>[1]节奏总纲!AT69</f>
        <v>838.83468530888604</v>
      </c>
      <c r="AI69" s="4">
        <f>[1]节奏总纲!AU69</f>
        <v>671.06774824710919</v>
      </c>
      <c r="AJ69" s="4">
        <f>[1]节奏总纲!AV69</f>
        <v>503.30081118533144</v>
      </c>
      <c r="AK69" s="4">
        <f>[1]节奏总纲!AW69</f>
        <v>335.5338741235546</v>
      </c>
      <c r="AL69" s="4">
        <f>[1]节奏总纲!AX69</f>
        <v>167.7669370617773</v>
      </c>
      <c r="AN69" s="4">
        <v>66</v>
      </c>
      <c r="AO69" s="4">
        <f>[1]节奏总纲!BA69</f>
        <v>35.243977139659179</v>
      </c>
      <c r="AP69" s="4">
        <f>[1]节奏总纲!BB69</f>
        <v>36.73675803133704</v>
      </c>
      <c r="AQ69" s="4">
        <f>[1]节奏总纲!BC69</f>
        <v>38.663818688865533</v>
      </c>
      <c r="AR69" s="4">
        <f>[1]节奏总纲!BD69</f>
        <v>41.389172829914081</v>
      </c>
      <c r="AS69" s="4">
        <f>[1]节奏总纲!BE69</f>
        <v>46.079770001861057</v>
      </c>
    </row>
    <row r="70" spans="2:45" x14ac:dyDescent="0.15">
      <c r="B70" s="4">
        <f>[1]节奏总纲!N70</f>
        <v>77</v>
      </c>
      <c r="C70" s="4">
        <v>67</v>
      </c>
      <c r="D70" s="4">
        <f>[1]节奏总纲!P70</f>
        <v>102.96830673359811</v>
      </c>
      <c r="E70" s="4">
        <f>[1]节奏总纲!Q70</f>
        <v>89.469161720823394</v>
      </c>
      <c r="F70" s="4">
        <f>[1]节奏总纲!R70</f>
        <v>73.292840732975137</v>
      </c>
      <c r="G70" s="4">
        <f>[1]节奏总纲!S70</f>
        <v>53.625894146857902</v>
      </c>
      <c r="H70" s="4">
        <f>[1]节奏总纲!T70</f>
        <v>29.799027968703292</v>
      </c>
      <c r="J70" s="4">
        <v>67</v>
      </c>
      <c r="K70" s="4">
        <f>[1]节奏总纲!W70</f>
        <v>6.9624464769326693</v>
      </c>
      <c r="L70" s="4">
        <f>[1]节奏总纲!X70</f>
        <v>6.1168738459864613</v>
      </c>
      <c r="M70" s="4">
        <f>[1]节奏总纲!Y70</f>
        <v>4.8022600258700123</v>
      </c>
      <c r="N70" s="4">
        <f>[1]节奏总纲!Z70</f>
        <v>3.4628321627502103</v>
      </c>
      <c r="O70" s="4">
        <f>[1]节奏总纲!AA70</f>
        <v>1.9477279082446444</v>
      </c>
      <c r="Q70" s="4">
        <v>67</v>
      </c>
      <c r="R70" s="4">
        <f>[1]节奏总纲!AD70</f>
        <v>60.870795385807064</v>
      </c>
      <c r="S70" s="4">
        <f>[1]节奏总纲!AE70</f>
        <v>62.898407640114556</v>
      </c>
      <c r="T70" s="4">
        <f>[1]节奏总纲!AF70</f>
        <v>65.682049425288255</v>
      </c>
      <c r="U70" s="4">
        <f>[1]节奏总纲!AG70</f>
        <v>70.229195678021767</v>
      </c>
      <c r="V70" s="4">
        <f>[1]节奏总纲!AH70</f>
        <v>78.748984204926018</v>
      </c>
      <c r="Z70" s="4">
        <v>67</v>
      </c>
      <c r="AA70" s="4">
        <f>[1]节奏总纲!AM70</f>
        <v>7133.5498113340191</v>
      </c>
      <c r="AB70" s="4">
        <f>[1]节奏总纲!AN70</f>
        <v>5706.8398490672153</v>
      </c>
      <c r="AC70" s="4">
        <f>[1]节奏总纲!AO70</f>
        <v>4280.1298868004114</v>
      </c>
      <c r="AD70" s="4">
        <f>[1]节奏总纲!AP70</f>
        <v>2853.4199245336076</v>
      </c>
      <c r="AE70" s="4">
        <f>[1]节奏总纲!AQ70</f>
        <v>1426.7099622668038</v>
      </c>
      <c r="AG70" s="4">
        <v>67</v>
      </c>
      <c r="AH70" s="4">
        <f>[1]节奏总纲!AT70</f>
        <v>970.56512602513249</v>
      </c>
      <c r="AI70" s="4">
        <f>[1]节奏总纲!AU70</f>
        <v>776.45210082010544</v>
      </c>
      <c r="AJ70" s="4">
        <f>[1]节奏总纲!AV70</f>
        <v>582.33907561507976</v>
      </c>
      <c r="AK70" s="4">
        <f>[1]节奏总纲!AW70</f>
        <v>388.22605041005272</v>
      </c>
      <c r="AL70" s="4">
        <f>[1]节奏总纲!AX70</f>
        <v>194.11302520502636</v>
      </c>
      <c r="AN70" s="4">
        <v>67</v>
      </c>
      <c r="AO70" s="4">
        <f>[1]节奏总纲!BA70</f>
        <v>35.341567995522851</v>
      </c>
      <c r="AP70" s="4">
        <f>[1]节奏总纲!BB70</f>
        <v>36.841971442131673</v>
      </c>
      <c r="AQ70" s="4">
        <f>[1]节奏总纲!BC70</f>
        <v>38.768202899262064</v>
      </c>
      <c r="AR70" s="4">
        <f>[1]节奏总纲!BD70</f>
        <v>41.48973836764344</v>
      </c>
      <c r="AS70" s="4">
        <f>[1]节奏总纲!BE70</f>
        <v>46.176090215954694</v>
      </c>
    </row>
    <row r="71" spans="2:45" x14ac:dyDescent="0.15">
      <c r="B71" s="4">
        <f>[1]节奏总纲!N71</f>
        <v>78</v>
      </c>
      <c r="C71" s="4">
        <v>68</v>
      </c>
      <c r="D71" s="4">
        <f>[1]节奏总纲!P71</f>
        <v>110.43047210190386</v>
      </c>
      <c r="E71" s="4">
        <f>[1]节奏总纲!Q71</f>
        <v>95.831563690032169</v>
      </c>
      <c r="F71" s="4">
        <f>[1]节奏总纲!R71</f>
        <v>78.251032531409081</v>
      </c>
      <c r="G71" s="4">
        <f>[1]节奏总纲!S71</f>
        <v>57.412802445779818</v>
      </c>
      <c r="H71" s="4">
        <f>[1]节奏总纲!T71</f>
        <v>31.859191201399263</v>
      </c>
      <c r="J71" s="4">
        <v>68</v>
      </c>
      <c r="K71" s="4">
        <f>[1]节奏总纲!W71</f>
        <v>7.4621653683057474</v>
      </c>
      <c r="L71" s="4">
        <f>[1]节奏总纲!X71</f>
        <v>6.3624019692087757</v>
      </c>
      <c r="M71" s="4">
        <f>[1]节奏总纲!Y71</f>
        <v>4.9581917984339441</v>
      </c>
      <c r="N71" s="4">
        <f>[1]节奏总纲!Z71</f>
        <v>3.7869082989219152</v>
      </c>
      <c r="O71" s="4">
        <f>[1]节奏总纲!AA71</f>
        <v>2.0601632326959702</v>
      </c>
      <c r="Q71" s="4">
        <v>68</v>
      </c>
      <c r="R71" s="4">
        <f>[1]节奏总纲!AD71</f>
        <v>61.082568038258209</v>
      </c>
      <c r="S71" s="4">
        <f>[1]节奏总纲!AE71</f>
        <v>63.107492392331935</v>
      </c>
      <c r="T71" s="4">
        <f>[1]节奏总纲!AF71</f>
        <v>65.895355939451605</v>
      </c>
      <c r="U71" s="4">
        <f>[1]节奏总纲!AG71</f>
        <v>70.442539881709536</v>
      </c>
      <c r="V71" s="4">
        <f>[1]节奏总纲!AH71</f>
        <v>78.972688783434734</v>
      </c>
      <c r="Z71" s="4">
        <v>68</v>
      </c>
      <c r="AA71" s="4">
        <f>[1]节奏总纲!AM71</f>
        <v>8256.4738250473602</v>
      </c>
      <c r="AB71" s="4">
        <f>[1]节奏总纲!AN71</f>
        <v>6605.1790600378881</v>
      </c>
      <c r="AC71" s="4">
        <f>[1]节奏总纲!AO71</f>
        <v>4953.8842950284161</v>
      </c>
      <c r="AD71" s="4">
        <f>[1]节奏总纲!AP71</f>
        <v>3302.5895300189441</v>
      </c>
      <c r="AE71" s="4">
        <f>[1]节奏总纲!AQ71</f>
        <v>1651.294765009472</v>
      </c>
      <c r="AG71" s="4">
        <v>68</v>
      </c>
      <c r="AH71" s="4">
        <f>[1]节奏总纲!AT71</f>
        <v>1122.9240137133411</v>
      </c>
      <c r="AI71" s="4">
        <f>[1]节奏总纲!AU71</f>
        <v>898.33921097067287</v>
      </c>
      <c r="AJ71" s="4">
        <f>[1]节奏总纲!AV71</f>
        <v>673.75440822800465</v>
      </c>
      <c r="AK71" s="4">
        <f>[1]节奏总纲!AW71</f>
        <v>449.16960548533643</v>
      </c>
      <c r="AL71" s="4">
        <f>[1]节奏总纲!AX71</f>
        <v>224.58480274266822</v>
      </c>
      <c r="AN71" s="4">
        <v>68</v>
      </c>
      <c r="AO71" s="4">
        <f>[1]节奏总纲!BA71</f>
        <v>35.439158851386523</v>
      </c>
      <c r="AP71" s="4">
        <f>[1]节奏总纲!BB71</f>
        <v>36.947184852926306</v>
      </c>
      <c r="AQ71" s="4">
        <f>[1]节奏总纲!BC71</f>
        <v>38.872587109658596</v>
      </c>
      <c r="AR71" s="4">
        <f>[1]节奏总纲!BD71</f>
        <v>41.590303905372799</v>
      </c>
      <c r="AS71" s="4">
        <f>[1]节奏总纲!BE71</f>
        <v>46.272410430048332</v>
      </c>
    </row>
    <row r="72" spans="2:45" x14ac:dyDescent="0.15">
      <c r="B72" s="4">
        <f>[1]节奏总纲!N72</f>
        <v>79</v>
      </c>
      <c r="C72" s="4">
        <v>69</v>
      </c>
      <c r="D72" s="4">
        <f>[1]节奏总纲!P72</f>
        <v>118.42822291671132</v>
      </c>
      <c r="E72" s="4">
        <f>[1]节奏总纲!Q72</f>
        <v>102.51146975670532</v>
      </c>
      <c r="F72" s="4">
        <f>[1]节奏总纲!R72</f>
        <v>83.894553114198303</v>
      </c>
      <c r="G72" s="4">
        <f>[1]节奏总纲!S72</f>
        <v>61.535304627523196</v>
      </c>
      <c r="H72" s="4">
        <f>[1]节奏总纲!T72</f>
        <v>34.059956910846175</v>
      </c>
      <c r="J72" s="4">
        <v>69</v>
      </c>
      <c r="K72" s="4">
        <f>[1]节奏总纲!W72</f>
        <v>7.9977508148074605</v>
      </c>
      <c r="L72" s="4">
        <f>[1]节奏总纲!X72</f>
        <v>6.6799060666731549</v>
      </c>
      <c r="M72" s="4">
        <f>[1]节奏总纲!Y72</f>
        <v>5.6435205827892219</v>
      </c>
      <c r="N72" s="4">
        <f>[1]节奏总纲!Z72</f>
        <v>4.1225021817433785</v>
      </c>
      <c r="O72" s="4">
        <f>[1]节奏总纲!AA72</f>
        <v>2.2007657094469124</v>
      </c>
      <c r="Q72" s="4">
        <v>69</v>
      </c>
      <c r="R72" s="4">
        <f>[1]节奏总纲!AD72</f>
        <v>61.285688244217212</v>
      </c>
      <c r="S72" s="4">
        <f>[1]节奏总纲!AE72</f>
        <v>63.310338531528565</v>
      </c>
      <c r="T72" s="4">
        <f>[1]节奏总纲!AF72</f>
        <v>66.106079073217742</v>
      </c>
      <c r="U72" s="4">
        <f>[1]节奏总纲!AG72</f>
        <v>70.655884085397304</v>
      </c>
      <c r="V72" s="4">
        <f>[1]节奏总纲!AH72</f>
        <v>79.188599387584361</v>
      </c>
      <c r="Z72" s="4">
        <v>69</v>
      </c>
      <c r="AA72" s="4">
        <f>[1]节奏总纲!AM72</f>
        <v>9555.6072874592737</v>
      </c>
      <c r="AB72" s="4">
        <f>[1]节奏总纲!AN72</f>
        <v>7644.4858299674197</v>
      </c>
      <c r="AC72" s="4">
        <f>[1]节奏总纲!AO72</f>
        <v>5733.3643724755639</v>
      </c>
      <c r="AD72" s="4">
        <f>[1]节奏总纲!AP72</f>
        <v>3822.2429149837099</v>
      </c>
      <c r="AE72" s="4">
        <f>[1]节奏总纲!AQ72</f>
        <v>1911.1214574918549</v>
      </c>
      <c r="AG72" s="4">
        <v>69</v>
      </c>
      <c r="AH72" s="4">
        <f>[1]节奏总纲!AT72</f>
        <v>1299.1334624119136</v>
      </c>
      <c r="AI72" s="4">
        <f>[1]节奏总纲!AU72</f>
        <v>1039.3067699295316</v>
      </c>
      <c r="AJ72" s="4">
        <f>[1]节奏总纲!AV72</f>
        <v>779.48007744714778</v>
      </c>
      <c r="AK72" s="4">
        <f>[1]节奏总纲!AW72</f>
        <v>519.65338496476579</v>
      </c>
      <c r="AL72" s="4">
        <f>[1]节奏总纲!AX72</f>
        <v>259.8266924823829</v>
      </c>
      <c r="AN72" s="4">
        <v>69</v>
      </c>
      <c r="AO72" s="4">
        <f>[1]节奏总纲!BA72</f>
        <v>35.536749707250202</v>
      </c>
      <c r="AP72" s="4">
        <f>[1]节奏总纲!BB72</f>
        <v>37.045197000674086</v>
      </c>
      <c r="AQ72" s="4">
        <f>[1]节奏总纲!BC72</f>
        <v>38.976971320055128</v>
      </c>
      <c r="AR72" s="4">
        <f>[1]节奏总纲!BD72</f>
        <v>41.690869443102159</v>
      </c>
      <c r="AS72" s="4">
        <f>[1]节奏总纲!BE72</f>
        <v>46.368730644141969</v>
      </c>
    </row>
    <row r="73" spans="2:45" x14ac:dyDescent="0.15">
      <c r="B73" s="4">
        <f>[1]节奏总纲!N73</f>
        <v>80</v>
      </c>
      <c r="C73" s="4">
        <v>70</v>
      </c>
      <c r="D73" s="4">
        <f>[1]节奏总纲!P73</f>
        <v>127</v>
      </c>
      <c r="E73" s="4">
        <f>[1]节奏总纲!Q73</f>
        <v>109.9693</v>
      </c>
      <c r="F73" s="4">
        <f>[1]节奏总纲!R73</f>
        <v>90.106499999999997</v>
      </c>
      <c r="G73" s="4">
        <f>[1]节奏总纲!S73</f>
        <v>65.925700000000006</v>
      </c>
      <c r="H73" s="4">
        <f>[1]节奏总纲!T73</f>
        <v>36.4998</v>
      </c>
      <c r="J73" s="4">
        <v>70</v>
      </c>
      <c r="K73" s="4">
        <f>[1]节奏总纲!W73</f>
        <v>8.5717770832886799</v>
      </c>
      <c r="L73" s="4">
        <f>[1]节奏总纲!X73</f>
        <v>7.4578302432946799</v>
      </c>
      <c r="M73" s="4">
        <f>[1]节奏总纲!Y73</f>
        <v>6.2119468858016944</v>
      </c>
      <c r="N73" s="4">
        <f>[1]节奏总纲!Z73</f>
        <v>4.3903953724768101</v>
      </c>
      <c r="O73" s="4">
        <f>[1]节奏总纲!AA73</f>
        <v>2.4398430891538254</v>
      </c>
      <c r="Q73" s="4">
        <v>70</v>
      </c>
      <c r="R73" s="4">
        <f>[1]节奏总纲!AD73</f>
        <v>61.488808450176215</v>
      </c>
      <c r="S73" s="4">
        <f>[1]节奏总纲!AE73</f>
        <v>63.513184670725188</v>
      </c>
      <c r="T73" s="4">
        <f>[1]节奏总纲!AF73</f>
        <v>66.314314361313961</v>
      </c>
      <c r="U73" s="4">
        <f>[1]节奏总纲!AG73</f>
        <v>70.869228289085072</v>
      </c>
      <c r="V73" s="4">
        <f>[1]节奏总纲!AH73</f>
        <v>79.403426131671111</v>
      </c>
      <c r="Z73" s="4">
        <v>70</v>
      </c>
      <c r="AA73" s="4">
        <f>[1]节奏总纲!AM73</f>
        <v>11058.525000000001</v>
      </c>
      <c r="AB73" s="4">
        <f>[1]节奏总纲!AN73</f>
        <v>8846.8200000000015</v>
      </c>
      <c r="AC73" s="4">
        <f>[1]节奏总纲!AO73</f>
        <v>6635.1150000000007</v>
      </c>
      <c r="AD73" s="4">
        <f>[1]节奏总纲!AP73</f>
        <v>4423.4100000000008</v>
      </c>
      <c r="AE73" s="4">
        <f>[1]节奏总纲!AQ73</f>
        <v>2211.7050000000004</v>
      </c>
      <c r="AG73" s="4">
        <v>70</v>
      </c>
      <c r="AH73" s="4">
        <f>[1]节奏总纲!AT73</f>
        <v>1502.9177125407277</v>
      </c>
      <c r="AI73" s="4">
        <f>[1]节奏总纲!AU73</f>
        <v>1202.3341700325818</v>
      </c>
      <c r="AJ73" s="4">
        <f>[1]节奏总纲!AV73</f>
        <v>901.75062752443682</v>
      </c>
      <c r="AK73" s="4">
        <f>[1]节奏总纲!AW73</f>
        <v>601.16708501629091</v>
      </c>
      <c r="AL73" s="4">
        <f>[1]节奏总纲!AX73</f>
        <v>300.58354250814546</v>
      </c>
      <c r="AN73" s="4">
        <v>70</v>
      </c>
      <c r="AO73" s="4">
        <f>[1]节奏总纲!BA73</f>
        <v>35.634340563113874</v>
      </c>
      <c r="AP73" s="4">
        <f>[1]节奏总纲!BB73</f>
        <v>37.135950591746003</v>
      </c>
      <c r="AQ73" s="4">
        <f>[1]节奏总纲!BC73</f>
        <v>39.070187171981765</v>
      </c>
      <c r="AR73" s="4">
        <f>[1]节奏总纲!BD73</f>
        <v>41.791434980831518</v>
      </c>
      <c r="AS73" s="4">
        <f>[1]节奏总纲!BE73</f>
        <v>46.465050858235607</v>
      </c>
    </row>
    <row r="74" spans="2:45" x14ac:dyDescent="0.15">
      <c r="B74" s="4">
        <f>[1]节奏总纲!N74</f>
        <v>81</v>
      </c>
      <c r="C74" s="4">
        <v>71</v>
      </c>
      <c r="D74" s="4">
        <f>[1]节奏总纲!P74</f>
        <v>136.18700320464549</v>
      </c>
      <c r="E74" s="4">
        <f>[1]节奏总纲!Q74</f>
        <v>118.03327567746625</v>
      </c>
      <c r="F74" s="4">
        <f>[1]节奏总纲!R74</f>
        <v>96.583822672734584</v>
      </c>
      <c r="G74" s="4">
        <f>[1]节奏总纲!S74</f>
        <v>70.612961161608681</v>
      </c>
      <c r="H74" s="4">
        <f>[1]节奏总纲!T74</f>
        <v>39.126526020694648</v>
      </c>
      <c r="J74" s="4">
        <v>71</v>
      </c>
      <c r="K74" s="4">
        <f>[1]节奏总纲!W74</f>
        <v>9.1870032046454924</v>
      </c>
      <c r="L74" s="4">
        <f>[1]节奏总纲!X74</f>
        <v>8.0639756774662459</v>
      </c>
      <c r="M74" s="4">
        <f>[1]节奏总纲!Y74</f>
        <v>6.4773226727345872</v>
      </c>
      <c r="N74" s="4">
        <f>[1]节奏总纲!Z74</f>
        <v>4.6872611616086743</v>
      </c>
      <c r="O74" s="4">
        <f>[1]节奏总纲!AA74</f>
        <v>2.6267260206946474</v>
      </c>
      <c r="Q74" s="4">
        <v>71</v>
      </c>
      <c r="R74" s="4">
        <f>[1]节奏总纲!AD74</f>
        <v>61.691928656135218</v>
      </c>
      <c r="S74" s="4">
        <f>[1]节奏总纲!AE74</f>
        <v>63.716030809921811</v>
      </c>
      <c r="T74" s="4">
        <f>[1]节奏总纲!AF74</f>
        <v>66.52254964941018</v>
      </c>
      <c r="U74" s="4">
        <f>[1]节奏总纲!AG74</f>
        <v>71.07781362467729</v>
      </c>
      <c r="V74" s="4">
        <f>[1]节奏总纲!AH74</f>
        <v>79.618252875757847</v>
      </c>
      <c r="Z74" s="4">
        <v>71</v>
      </c>
      <c r="AA74" s="4">
        <f>[1]节奏总纲!AM74</f>
        <v>12797.106216824561</v>
      </c>
      <c r="AB74" s="4">
        <f>[1]节奏总纲!AN74</f>
        <v>10237.684973459649</v>
      </c>
      <c r="AC74" s="4">
        <f>[1]节奏总纲!AO74</f>
        <v>7678.2637300947363</v>
      </c>
      <c r="AD74" s="4">
        <f>[1]节奏总纲!AP74</f>
        <v>5118.8424867298245</v>
      </c>
      <c r="AE74" s="4">
        <f>[1]节奏总纲!AQ74</f>
        <v>2559.4212433649122</v>
      </c>
      <c r="AG74" s="4">
        <v>71</v>
      </c>
      <c r="AH74" s="4">
        <f>[1]节奏总纲!AT74</f>
        <v>1738.5812168245593</v>
      </c>
      <c r="AI74" s="4">
        <f>[1]节奏总纲!AU74</f>
        <v>1390.8649734596474</v>
      </c>
      <c r="AJ74" s="4">
        <f>[1]节奏总纲!AV74</f>
        <v>1043.1487300947356</v>
      </c>
      <c r="AK74" s="4">
        <f>[1]节奏总纲!AW74</f>
        <v>695.43248672982372</v>
      </c>
      <c r="AL74" s="4">
        <f>[1]节奏总纲!AX74</f>
        <v>347.71624336491186</v>
      </c>
      <c r="AN74" s="4">
        <v>71</v>
      </c>
      <c r="AO74" s="4">
        <f>[1]节奏总纲!BA74</f>
        <v>35.731931418977545</v>
      </c>
      <c r="AP74" s="4">
        <f>[1]节奏总纲!BB74</f>
        <v>37.226704182817912</v>
      </c>
      <c r="AQ74" s="4">
        <f>[1]节奏总纲!BC74</f>
        <v>39.160241683169971</v>
      </c>
      <c r="AR74" s="4">
        <f>[1]节奏总纲!BD74</f>
        <v>41.892000518560877</v>
      </c>
      <c r="AS74" s="4">
        <f>[1]节奏总纲!BE74</f>
        <v>46.561371072329244</v>
      </c>
    </row>
    <row r="75" spans="2:45" x14ac:dyDescent="0.15">
      <c r="B75" s="4">
        <f>[1]节奏总纲!N75</f>
        <v>82</v>
      </c>
      <c r="C75" s="4">
        <v>72</v>
      </c>
      <c r="D75" s="4">
        <f>[1]节奏总纲!P75</f>
        <v>146.03338943962044</v>
      </c>
      <c r="E75" s="4">
        <f>[1]节奏总纲!Q75</f>
        <v>126.581741966263</v>
      </c>
      <c r="F75" s="4">
        <f>[1]节奏总纲!R75</f>
        <v>103.31862302853146</v>
      </c>
      <c r="G75" s="4">
        <f>[1]节奏总纲!S75</f>
        <v>75.586882373947532</v>
      </c>
      <c r="H75" s="4">
        <f>[1]节奏总纲!T75</f>
        <v>41.896979430227098</v>
      </c>
      <c r="J75" s="4">
        <v>72</v>
      </c>
      <c r="K75" s="4">
        <f>[1]节奏总纲!W75</f>
        <v>9.8463862349749434</v>
      </c>
      <c r="L75" s="4">
        <f>[1]节奏总纲!X75</f>
        <v>8.548466288796746</v>
      </c>
      <c r="M75" s="4">
        <f>[1]节奏总纲!Y75</f>
        <v>6.7348003557968781</v>
      </c>
      <c r="N75" s="4">
        <f>[1]节奏总纲!Z75</f>
        <v>4.9739212123388512</v>
      </c>
      <c r="O75" s="4">
        <f>[1]节奏总纲!AA75</f>
        <v>2.7704534095324505</v>
      </c>
      <c r="Q75" s="4">
        <v>72</v>
      </c>
      <c r="R75" s="4">
        <f>[1]节奏总纲!AD75</f>
        <v>61.895048862094221</v>
      </c>
      <c r="S75" s="4">
        <f>[1]节奏总纲!AE75</f>
        <v>63.918876949118435</v>
      </c>
      <c r="T75" s="4">
        <f>[1]节奏总纲!AF75</f>
        <v>66.7307849375064</v>
      </c>
      <c r="U75" s="4">
        <f>[1]节奏总纲!AG75</f>
        <v>71.278862245535876</v>
      </c>
      <c r="V75" s="4">
        <f>[1]节奏总纲!AH75</f>
        <v>79.833079619844597</v>
      </c>
      <c r="Z75" s="4">
        <v>72</v>
      </c>
      <c r="AA75" s="4">
        <f>[1]节奏总纲!AM75</f>
        <v>14808.205062920617</v>
      </c>
      <c r="AB75" s="4">
        <f>[1]节奏总纲!AN75</f>
        <v>11846.564050336494</v>
      </c>
      <c r="AC75" s="4">
        <f>[1]节奏总纲!AO75</f>
        <v>8884.9230377523691</v>
      </c>
      <c r="AD75" s="4">
        <f>[1]节奏总纲!AP75</f>
        <v>5923.2820251682469</v>
      </c>
      <c r="AE75" s="4">
        <f>[1]节奏总纲!AQ75</f>
        <v>2961.6410125841235</v>
      </c>
      <c r="AG75" s="4">
        <v>72</v>
      </c>
      <c r="AH75" s="4">
        <f>[1]节奏总纲!AT75</f>
        <v>2011.0988460960561</v>
      </c>
      <c r="AI75" s="4">
        <f>[1]节奏总纲!AU75</f>
        <v>1608.8790768768449</v>
      </c>
      <c r="AJ75" s="4">
        <f>[1]节奏总纲!AV75</f>
        <v>1206.6593076576328</v>
      </c>
      <c r="AK75" s="4">
        <f>[1]节奏总纲!AW75</f>
        <v>804.43953843842246</v>
      </c>
      <c r="AL75" s="4">
        <f>[1]节奏总纲!AX75</f>
        <v>402.21976921921123</v>
      </c>
      <c r="AN75" s="4">
        <v>72</v>
      </c>
      <c r="AO75" s="4">
        <f>[1]节奏总纲!BA75</f>
        <v>35.829522274841217</v>
      </c>
      <c r="AP75" s="4">
        <f>[1]节奏总纲!BB75</f>
        <v>37.317457773889828</v>
      </c>
      <c r="AQ75" s="4">
        <f>[1]节奏总纲!BC75</f>
        <v>39.250296194358178</v>
      </c>
      <c r="AR75" s="4">
        <f>[1]节奏总纲!BD75</f>
        <v>41.992566056290244</v>
      </c>
      <c r="AS75" s="4">
        <f>[1]节奏总纲!BE75</f>
        <v>46.657691286422882</v>
      </c>
    </row>
    <row r="76" spans="2:45" x14ac:dyDescent="0.15">
      <c r="B76" s="4">
        <f>[1]节奏总纲!N76</f>
        <v>83</v>
      </c>
      <c r="C76" s="4">
        <v>73</v>
      </c>
      <c r="D76" s="4">
        <f>[1]节奏总纲!P76</f>
        <v>156.58648490814926</v>
      </c>
      <c r="E76" s="4">
        <f>[1]节奏总纲!Q76</f>
        <v>135.41599214856748</v>
      </c>
      <c r="F76" s="4">
        <f>[1]节奏总纲!R76</f>
        <v>110.58137564213501</v>
      </c>
      <c r="G76" s="4">
        <f>[1]节奏总纲!S76</f>
        <v>80.955212697513176</v>
      </c>
      <c r="H76" s="4">
        <f>[1]节奏总纲!T76</f>
        <v>44.877686574675579</v>
      </c>
      <c r="J76" s="4">
        <v>73</v>
      </c>
      <c r="K76" s="4">
        <f>[1]节奏总纲!W76</f>
        <v>10.553095468528824</v>
      </c>
      <c r="L76" s="4">
        <f>[1]节奏总纲!X76</f>
        <v>8.834250182304487</v>
      </c>
      <c r="M76" s="4">
        <f>[1]节奏总纲!Y76</f>
        <v>7.2627526136035527</v>
      </c>
      <c r="N76" s="4">
        <f>[1]节奏总纲!Z76</f>
        <v>5.3683303235656439</v>
      </c>
      <c r="O76" s="4">
        <f>[1]节奏总纲!AA76</f>
        <v>2.9807071444484805</v>
      </c>
      <c r="Q76" s="4">
        <v>73</v>
      </c>
      <c r="R76" s="4">
        <f>[1]节奏总纲!AD76</f>
        <v>62.091594979242075</v>
      </c>
      <c r="S76" s="4">
        <f>[1]节奏总纲!AE76</f>
        <v>64.114306430026588</v>
      </c>
      <c r="T76" s="4">
        <f>[1]节奏总纲!AF76</f>
        <v>66.939020225602619</v>
      </c>
      <c r="U76" s="4">
        <f>[1]节奏总纲!AG76</f>
        <v>71.479910866394462</v>
      </c>
      <c r="V76" s="4">
        <f>[1]节奏总纲!AH76</f>
        <v>80.043898354812981</v>
      </c>
      <c r="Z76" s="4">
        <v>73</v>
      </c>
      <c r="AA76" s="4">
        <f>[1]节奏总纲!AM76</f>
        <v>17134.425155737379</v>
      </c>
      <c r="AB76" s="4">
        <f>[1]节奏总纲!AN76</f>
        <v>13707.540124589905</v>
      </c>
      <c r="AC76" s="4">
        <f>[1]节奏总纲!AO76</f>
        <v>10280.655093442427</v>
      </c>
      <c r="AD76" s="4">
        <f>[1]节奏总纲!AP76</f>
        <v>6853.7700622949524</v>
      </c>
      <c r="AE76" s="4">
        <f>[1]节奏总纲!AQ76</f>
        <v>3426.8850311474762</v>
      </c>
      <c r="AG76" s="4">
        <v>73</v>
      </c>
      <c r="AH76" s="4">
        <f>[1]节奏总纲!AT76</f>
        <v>2326.2200928167622</v>
      </c>
      <c r="AI76" s="4">
        <f>[1]节奏总纲!AU76</f>
        <v>1860.9760742534108</v>
      </c>
      <c r="AJ76" s="4">
        <f>[1]节奏总纲!AV76</f>
        <v>1395.7320556900577</v>
      </c>
      <c r="AK76" s="4">
        <f>[1]节奏总纲!AW76</f>
        <v>930.48803712670542</v>
      </c>
      <c r="AL76" s="4">
        <f>[1]节奏总纲!AX76</f>
        <v>465.24401856335271</v>
      </c>
      <c r="AN76" s="4">
        <v>73</v>
      </c>
      <c r="AO76" s="4">
        <f>[1]节奏总纲!BA76</f>
        <v>35.927113130704889</v>
      </c>
      <c r="AP76" s="4">
        <f>[1]节奏总纲!BB76</f>
        <v>37.408211364961737</v>
      </c>
      <c r="AQ76" s="4">
        <f>[1]节奏总纲!BC76</f>
        <v>39.340350705546385</v>
      </c>
      <c r="AR76" s="4">
        <f>[1]节奏总纲!BD76</f>
        <v>42.080366850119908</v>
      </c>
      <c r="AS76" s="4">
        <f>[1]节奏总纲!BE76</f>
        <v>46.754011500516519</v>
      </c>
    </row>
    <row r="77" spans="2:45" x14ac:dyDescent="0.15">
      <c r="B77" s="4">
        <f>[1]节奏总纲!N77</f>
        <v>84</v>
      </c>
      <c r="C77" s="4">
        <v>74</v>
      </c>
      <c r="D77" s="4">
        <f>[1]节奏总纲!P77</f>
        <v>167.89701257893043</v>
      </c>
      <c r="E77" s="4">
        <f>[1]节奏总纲!Q77</f>
        <v>145.16375707574326</v>
      </c>
      <c r="F77" s="4">
        <f>[1]节奏总纲!R77</f>
        <v>118.70318789330381</v>
      </c>
      <c r="G77" s="4">
        <f>[1]节奏总纲!S77</f>
        <v>86.869914308338593</v>
      </c>
      <c r="H77" s="4">
        <f>[1]节奏总纲!T77</f>
        <v>48.169652908895138</v>
      </c>
      <c r="J77" s="4">
        <v>74</v>
      </c>
      <c r="K77" s="4">
        <f>[1]节奏总纲!W77</f>
        <v>11.31052767078117</v>
      </c>
      <c r="L77" s="4">
        <f>[1]节奏总纲!X77</f>
        <v>9.7477649271757798</v>
      </c>
      <c r="M77" s="4">
        <f>[1]节奏总纲!Y77</f>
        <v>8.1218122511687909</v>
      </c>
      <c r="N77" s="4">
        <f>[1]节奏总纲!Z77</f>
        <v>5.9147016108254178</v>
      </c>
      <c r="O77" s="4">
        <f>[1]节奏总纲!AA77</f>
        <v>3.2919663342195591</v>
      </c>
      <c r="Q77" s="4">
        <v>74</v>
      </c>
      <c r="R77" s="4">
        <f>[1]节奏总纲!AD77</f>
        <v>62.281112832649576</v>
      </c>
      <c r="S77" s="4">
        <f>[1]节奏总纲!AE77</f>
        <v>64.304793036447776</v>
      </c>
      <c r="T77" s="4">
        <f>[1]节奏总纲!AF77</f>
        <v>67.14262442756818</v>
      </c>
      <c r="U77" s="4">
        <f>[1]节奏总纲!AG77</f>
        <v>71.680959487253048</v>
      </c>
      <c r="V77" s="4">
        <f>[1]节奏总纲!AH77</f>
        <v>80.24075196383977</v>
      </c>
      <c r="Z77" s="4">
        <v>74</v>
      </c>
      <c r="AA77" s="4">
        <f>[1]节奏总纲!AM77</f>
        <v>19825.014596370729</v>
      </c>
      <c r="AB77" s="4">
        <f>[1]节奏总纲!AN77</f>
        <v>15860.011677096583</v>
      </c>
      <c r="AC77" s="4">
        <f>[1]节奏总纲!AO77</f>
        <v>11895.008757822437</v>
      </c>
      <c r="AD77" s="4">
        <f>[1]节奏总纲!AP77</f>
        <v>7930.0058385482916</v>
      </c>
      <c r="AE77" s="4">
        <f>[1]节奏总纲!AQ77</f>
        <v>3965.0029192741458</v>
      </c>
      <c r="AG77" s="4">
        <v>74</v>
      </c>
      <c r="AH77" s="4">
        <f>[1]节奏总纲!AT77</f>
        <v>2690.58944063335</v>
      </c>
      <c r="AI77" s="4">
        <f>[1]节奏总纲!AU77</f>
        <v>2152.4715525066786</v>
      </c>
      <c r="AJ77" s="4">
        <f>[1]节奏总纲!AV77</f>
        <v>1614.3536643800107</v>
      </c>
      <c r="AK77" s="4">
        <f>[1]节奏总纲!AW77</f>
        <v>1076.2357762533393</v>
      </c>
      <c r="AL77" s="4">
        <f>[1]节奏总纲!AX77</f>
        <v>538.11788812666964</v>
      </c>
      <c r="AN77" s="4">
        <v>74</v>
      </c>
      <c r="AO77" s="4">
        <f>[1]节奏总纲!BA77</f>
        <v>36.021306837933537</v>
      </c>
      <c r="AP77" s="4">
        <f>[1]节奏总纲!BB77</f>
        <v>37.498964956033646</v>
      </c>
      <c r="AQ77" s="4">
        <f>[1]节奏总纲!BC77</f>
        <v>39.430405216734592</v>
      </c>
      <c r="AR77" s="4">
        <f>[1]节奏总纲!BD77</f>
        <v>42.167148737437564</v>
      </c>
      <c r="AS77" s="4">
        <f>[1]节奏总纲!BE77</f>
        <v>46.850331714610157</v>
      </c>
    </row>
    <row r="78" spans="2:45" x14ac:dyDescent="0.15">
      <c r="B78" s="4">
        <f>[1]节奏总纲!N78</f>
        <v>85</v>
      </c>
      <c r="C78" s="4">
        <v>75</v>
      </c>
      <c r="D78" s="4">
        <f>[1]节奏总纲!P78</f>
        <v>180.01933598375612</v>
      </c>
      <c r="E78" s="4">
        <f>[1]节奏总纲!Q78</f>
        <v>155.75272949314578</v>
      </c>
      <c r="F78" s="4">
        <f>[1]节奏总纲!R78</f>
        <v>127.38168214210583</v>
      </c>
      <c r="G78" s="4">
        <f>[1]节奏总纲!S78</f>
        <v>93.214012172388934</v>
      </c>
      <c r="H78" s="4">
        <f>[1]节奏总纲!T78</f>
        <v>51.755559095329879</v>
      </c>
      <c r="J78" s="4">
        <v>75</v>
      </c>
      <c r="K78" s="4">
        <f>[1]节奏总纲!W78</f>
        <v>12.122323404825693</v>
      </c>
      <c r="L78" s="4">
        <f>[1]节奏总纲!X78</f>
        <v>10.588972417402516</v>
      </c>
      <c r="M78" s="4">
        <f>[1]节奏总纲!Y78</f>
        <v>8.6784942488020249</v>
      </c>
      <c r="N78" s="4">
        <f>[1]节奏总纲!Z78</f>
        <v>6.3440978640503403</v>
      </c>
      <c r="O78" s="4">
        <f>[1]节奏总纲!AA78</f>
        <v>3.585906186434741</v>
      </c>
      <c r="Q78" s="4">
        <v>75</v>
      </c>
      <c r="R78" s="4">
        <f>[1]节奏总纲!AD78</f>
        <v>62.470630686057078</v>
      </c>
      <c r="S78" s="4">
        <f>[1]节奏总纲!AE78</f>
        <v>64.495279642868965</v>
      </c>
      <c r="T78" s="4">
        <f>[1]节奏总纲!AF78</f>
        <v>67.344310856946692</v>
      </c>
      <c r="U78" s="4">
        <f>[1]节奏总纲!AG78</f>
        <v>71.882008108111634</v>
      </c>
      <c r="V78" s="4">
        <f>[1]节奏总纲!AH78</f>
        <v>80.437605572866573</v>
      </c>
      <c r="Z78" s="4">
        <v>75</v>
      </c>
      <c r="AA78" s="4">
        <f>[1]节奏总纲!AM78</f>
        <v>22936.899999999998</v>
      </c>
      <c r="AB78" s="4">
        <f>[1]节奏总纲!AN78</f>
        <v>18349.52</v>
      </c>
      <c r="AC78" s="4">
        <f>[1]节奏总纲!AO78</f>
        <v>13762.139999999998</v>
      </c>
      <c r="AD78" s="4">
        <f>[1]节奏总纲!AP78</f>
        <v>9174.76</v>
      </c>
      <c r="AE78" s="4">
        <f>[1]节奏总纲!AQ78</f>
        <v>4587.38</v>
      </c>
      <c r="AG78" s="4">
        <v>75</v>
      </c>
      <c r="AH78" s="4">
        <f>[1]节奏总纲!AT78</f>
        <v>3111.8854036292687</v>
      </c>
      <c r="AI78" s="4">
        <f>[1]节奏总纲!AU78</f>
        <v>2489.5083229034171</v>
      </c>
      <c r="AJ78" s="4">
        <f>[1]节奏总纲!AV78</f>
        <v>1867.1312421775601</v>
      </c>
      <c r="AK78" s="4">
        <f>[1]节奏总纲!AW78</f>
        <v>1244.7541614517086</v>
      </c>
      <c r="AL78" s="4">
        <f>[1]节奏总纲!AX78</f>
        <v>622.37708072585428</v>
      </c>
      <c r="AN78" s="4">
        <v>75</v>
      </c>
      <c r="AO78" s="4">
        <f>[1]节奏总纲!BA78</f>
        <v>36.105477566569242</v>
      </c>
      <c r="AP78" s="4">
        <f>[1]节奏总纲!BB78</f>
        <v>37.589718547105562</v>
      </c>
      <c r="AQ78" s="4">
        <f>[1]节奏总纲!BC78</f>
        <v>39.520459727922798</v>
      </c>
      <c r="AR78" s="4">
        <f>[1]节奏总纲!BD78</f>
        <v>42.253930624755228</v>
      </c>
      <c r="AS78" s="4">
        <f>[1]节奏总纲!BE78</f>
        <v>46.946651928703787</v>
      </c>
    </row>
    <row r="79" spans="2:45" x14ac:dyDescent="0.15">
      <c r="B79" s="4">
        <f>[1]节奏总纲!N79</f>
        <v>86</v>
      </c>
      <c r="C79" s="4">
        <v>76</v>
      </c>
      <c r="D79" s="4">
        <f>[1]节奏总纲!P79</f>
        <v>193.01172051333091</v>
      </c>
      <c r="E79" s="4">
        <f>[1]节奏总纲!Q79</f>
        <v>166.97443941608256</v>
      </c>
      <c r="F79" s="4">
        <f>[1]节奏总纲!R79</f>
        <v>136.51718991907896</v>
      </c>
      <c r="G79" s="4">
        <f>[1]节奏总纲!S79</f>
        <v>100.0379747420594</v>
      </c>
      <c r="H79" s="4">
        <f>[1]节奏总纲!T79</f>
        <v>55.664580196044632</v>
      </c>
      <c r="J79" s="4">
        <v>76</v>
      </c>
      <c r="K79" s="4">
        <f>[1]节奏总纲!W79</f>
        <v>12.992384529574792</v>
      </c>
      <c r="L79" s="4">
        <f>[1]节奏总纲!X79</f>
        <v>11.221709922936782</v>
      </c>
      <c r="M79" s="4">
        <f>[1]节奏总纲!Y79</f>
        <v>9.1355077769731281</v>
      </c>
      <c r="N79" s="4">
        <f>[1]节奏总纲!Z79</f>
        <v>6.8239625696704707</v>
      </c>
      <c r="O79" s="4">
        <f>[1]节奏总纲!AA79</f>
        <v>3.9090211007147531</v>
      </c>
      <c r="Q79" s="4">
        <v>76</v>
      </c>
      <c r="R79" s="4">
        <f>[1]节奏总纲!AD79</f>
        <v>62.660148539464579</v>
      </c>
      <c r="S79" s="4">
        <f>[1]节奏总纲!AE79</f>
        <v>64.685766249290154</v>
      </c>
      <c r="T79" s="4">
        <f>[1]节奏总纲!AF79</f>
        <v>67.545997286325218</v>
      </c>
      <c r="U79" s="4">
        <f>[1]节奏总纲!AG79</f>
        <v>72.076954583856178</v>
      </c>
      <c r="V79" s="4">
        <f>[1]节奏总纲!AH79</f>
        <v>80.634459181893376</v>
      </c>
      <c r="Z79" s="4">
        <v>76</v>
      </c>
      <c r="AA79" s="4">
        <f>[1]节奏总纲!AM79</f>
        <v>26535.88112606269</v>
      </c>
      <c r="AB79" s="4">
        <f>[1]节奏总纲!AN79</f>
        <v>21228.704900850153</v>
      </c>
      <c r="AC79" s="4">
        <f>[1]节奏总纲!AO79</f>
        <v>15921.528675637614</v>
      </c>
      <c r="AD79" s="4">
        <f>[1]节奏总纲!AP79</f>
        <v>10614.352450425076</v>
      </c>
      <c r="AE79" s="4">
        <f>[1]节奏总纲!AQ79</f>
        <v>5307.1762252125382</v>
      </c>
      <c r="AG79" s="4">
        <v>76</v>
      </c>
      <c r="AH79" s="4">
        <f>[1]节奏总纲!AT79</f>
        <v>3598.9811260626921</v>
      </c>
      <c r="AI79" s="4">
        <f>[1]节奏总纲!AU79</f>
        <v>2879.1849008501522</v>
      </c>
      <c r="AJ79" s="4">
        <f>[1]节奏总纲!AV79</f>
        <v>2159.388675637616</v>
      </c>
      <c r="AK79" s="4">
        <f>[1]节奏总纲!AW79</f>
        <v>1439.5924504250761</v>
      </c>
      <c r="AL79" s="4">
        <f>[1]节奏总纲!AX79</f>
        <v>719.79622521253805</v>
      </c>
      <c r="AN79" s="4">
        <v>76</v>
      </c>
      <c r="AO79" s="4">
        <f>[1]节奏总纲!BA79</f>
        <v>36.189648295204947</v>
      </c>
      <c r="AP79" s="4">
        <f>[1]节奏总纲!BB79</f>
        <v>37.680472138177471</v>
      </c>
      <c r="AQ79" s="4">
        <f>[1]节奏总纲!BC79</f>
        <v>39.610514239111005</v>
      </c>
      <c r="AR79" s="4">
        <f>[1]节奏总纲!BD79</f>
        <v>42.340712512072891</v>
      </c>
      <c r="AS79" s="4">
        <f>[1]节奏总纲!BE79</f>
        <v>47.037096473408994</v>
      </c>
    </row>
    <row r="80" spans="2:45" x14ac:dyDescent="0.15">
      <c r="B80" s="4">
        <f>[1]节奏总纲!N80</f>
        <v>87</v>
      </c>
      <c r="C80" s="4">
        <v>77</v>
      </c>
      <c r="D80" s="4">
        <f>[1]节奏总纲!P80</f>
        <v>206.93661346719625</v>
      </c>
      <c r="E80" s="4">
        <f>[1]节奏总纲!Q80</f>
        <v>179.12433261720508</v>
      </c>
      <c r="F80" s="4">
        <f>[1]节奏总纲!R80</f>
        <v>146.53181599612165</v>
      </c>
      <c r="G80" s="4">
        <f>[1]节奏总纲!S80</f>
        <v>107.42079605082158</v>
      </c>
      <c r="H80" s="4">
        <f>[1]节奏总纲!T80</f>
        <v>59.535663694512365</v>
      </c>
      <c r="J80" s="4">
        <v>77</v>
      </c>
      <c r="K80" s="4">
        <f>[1]节奏总纲!W80</f>
        <v>13.924892953865339</v>
      </c>
      <c r="L80" s="4">
        <f>[1]节奏总纲!X80</f>
        <v>12.149893201122524</v>
      </c>
      <c r="M80" s="4">
        <f>[1]节奏总纲!Y80</f>
        <v>10.014626077042692</v>
      </c>
      <c r="N80" s="4">
        <f>[1]节奏总纲!Z80</f>
        <v>7.3828213087621748</v>
      </c>
      <c r="O80" s="4">
        <f>[1]节奏总纲!AA80</f>
        <v>3.8710834984677334</v>
      </c>
      <c r="Q80" s="4">
        <v>77</v>
      </c>
      <c r="R80" s="4">
        <f>[1]节奏总纲!AD80</f>
        <v>62.849666392872081</v>
      </c>
      <c r="S80" s="4">
        <f>[1]节奏总纲!AE80</f>
        <v>64.876252855711357</v>
      </c>
      <c r="T80" s="4">
        <f>[1]节奏总纲!AF80</f>
        <v>67.747683715703729</v>
      </c>
      <c r="U80" s="4">
        <f>[1]节奏总纲!AG80</f>
        <v>72.263232241847945</v>
      </c>
      <c r="V80" s="4">
        <f>[1]节奏总纲!AH80</f>
        <v>80.83131279092018</v>
      </c>
      <c r="Z80" s="4">
        <v>77</v>
      </c>
      <c r="AA80" s="4">
        <f>[1]节奏总纲!AM80</f>
        <v>30698.011006346387</v>
      </c>
      <c r="AB80" s="4">
        <f>[1]节奏总纲!AN80</f>
        <v>24558.40880507711</v>
      </c>
      <c r="AC80" s="4">
        <f>[1]节奏总纲!AO80</f>
        <v>18418.806603807832</v>
      </c>
      <c r="AD80" s="4">
        <f>[1]节奏总纲!AP80</f>
        <v>12279.204402538555</v>
      </c>
      <c r="AE80" s="4">
        <f>[1]节奏总纲!AQ80</f>
        <v>6139.6022012692774</v>
      </c>
      <c r="AG80" s="4">
        <v>77</v>
      </c>
      <c r="AH80" s="4">
        <f>[1]节奏总纲!AT80</f>
        <v>4162.1298802836973</v>
      </c>
      <c r="AI80" s="4">
        <f>[1]节奏总纲!AU80</f>
        <v>3329.7039042269571</v>
      </c>
      <c r="AJ80" s="4">
        <f>[1]节奏总纲!AV80</f>
        <v>2497.2779281702187</v>
      </c>
      <c r="AK80" s="4">
        <f>[1]节奏总纲!AW80</f>
        <v>1664.8519521134785</v>
      </c>
      <c r="AL80" s="4">
        <f>[1]节奏总纲!AX80</f>
        <v>832.42597605673927</v>
      </c>
      <c r="AN80" s="4">
        <v>77</v>
      </c>
      <c r="AO80" s="4">
        <f>[1]节奏总纲!BA80</f>
        <v>36.273819023840659</v>
      </c>
      <c r="AP80" s="4">
        <f>[1]节奏总纲!BB80</f>
        <v>37.771225729249387</v>
      </c>
      <c r="AQ80" s="4">
        <f>[1]节奏总纲!BC80</f>
        <v>39.700568750299212</v>
      </c>
      <c r="AR80" s="4">
        <f>[1]节奏总纲!BD80</f>
        <v>42.427494399390554</v>
      </c>
      <c r="AS80" s="4">
        <f>[1]节奏总纲!BE80</f>
        <v>47.12024662670057</v>
      </c>
    </row>
    <row r="81" spans="2:45" x14ac:dyDescent="0.15">
      <c r="B81" s="4">
        <f>[1]节奏总纲!N81</f>
        <v>88</v>
      </c>
      <c r="C81" s="4">
        <v>78</v>
      </c>
      <c r="D81" s="4">
        <f>[1]节奏总纲!P81</f>
        <v>221.86094420380775</v>
      </c>
      <c r="E81" s="4">
        <f>[1]节奏总纲!Q81</f>
        <v>192.04283330281601</v>
      </c>
      <c r="F81" s="4">
        <f>[1]节奏总纲!R81</f>
        <v>157.23285115723854</v>
      </c>
      <c r="G81" s="4">
        <f>[1]节奏总纲!S81</f>
        <v>115.1680161361966</v>
      </c>
      <c r="H81" s="4">
        <f>[1]节奏总纲!T81</f>
        <v>63.651904892072437</v>
      </c>
      <c r="J81" s="4">
        <v>78</v>
      </c>
      <c r="K81" s="4">
        <f>[1]节奏总纲!W81</f>
        <v>14.924330736611495</v>
      </c>
      <c r="L81" s="4">
        <f>[1]节奏总纲!X81</f>
        <v>12.918500685610923</v>
      </c>
      <c r="M81" s="4">
        <f>[1]节奏总纲!Y81</f>
        <v>10.701035161116891</v>
      </c>
      <c r="N81" s="4">
        <f>[1]节奏总纲!Z81</f>
        <v>7.7472200853750195</v>
      </c>
      <c r="O81" s="4">
        <f>[1]节奏总纲!AA81</f>
        <v>4.1162411975600719</v>
      </c>
      <c r="Q81" s="4">
        <v>78</v>
      </c>
      <c r="R81" s="4">
        <f>[1]节奏总纲!AD81</f>
        <v>63.036560194527354</v>
      </c>
      <c r="S81" s="4">
        <f>[1]节奏总纲!AE81</f>
        <v>65.061438622789353</v>
      </c>
      <c r="T81" s="4">
        <f>[1]节奏总纲!AF81</f>
        <v>67.949370145082256</v>
      </c>
      <c r="U81" s="4">
        <f>[1]节奏总纲!AG81</f>
        <v>72.449509899839711</v>
      </c>
      <c r="V81" s="4">
        <f>[1]节奏总纲!AH81</f>
        <v>81.026624803116562</v>
      </c>
      <c r="Z81" s="4">
        <v>78</v>
      </c>
      <c r="AA81" s="4">
        <f>[1]节奏总纲!AM81</f>
        <v>35511.190322760085</v>
      </c>
      <c r="AB81" s="4">
        <f>[1]节奏总纲!AN81</f>
        <v>28408.952258208068</v>
      </c>
      <c r="AC81" s="4">
        <f>[1]节奏总纲!AO81</f>
        <v>21306.714193656051</v>
      </c>
      <c r="AD81" s="4">
        <f>[1]节奏总纲!AP81</f>
        <v>14204.476129104034</v>
      </c>
      <c r="AE81" s="4">
        <f>[1]节奏总纲!AQ81</f>
        <v>7102.238064552017</v>
      </c>
      <c r="AG81" s="4">
        <v>78</v>
      </c>
      <c r="AH81" s="4">
        <f>[1]节奏总纲!AT81</f>
        <v>4813.179316413698</v>
      </c>
      <c r="AI81" s="4">
        <f>[1]节奏总纲!AU81</f>
        <v>3850.5434531309584</v>
      </c>
      <c r="AJ81" s="4">
        <f>[1]节奏总纲!AV81</f>
        <v>2887.9075898482188</v>
      </c>
      <c r="AK81" s="4">
        <f>[1]节奏总纲!AW81</f>
        <v>1925.2717265654792</v>
      </c>
      <c r="AL81" s="4">
        <f>[1]节奏总纲!AX81</f>
        <v>962.63586328273959</v>
      </c>
      <c r="AN81" s="4">
        <v>78</v>
      </c>
      <c r="AO81" s="4">
        <f>[1]节奏总纲!BA81</f>
        <v>36.357989752476364</v>
      </c>
      <c r="AP81" s="4">
        <f>[1]节奏总纲!BB81</f>
        <v>37.861979320321296</v>
      </c>
      <c r="AQ81" s="4">
        <f>[1]节奏总纲!BC81</f>
        <v>39.790623261487418</v>
      </c>
      <c r="AR81" s="4">
        <f>[1]节奏总纲!BD81</f>
        <v>42.51427628670821</v>
      </c>
      <c r="AS81" s="4">
        <f>[1]节奏总纲!BE81</f>
        <v>47.203396779992147</v>
      </c>
    </row>
    <row r="82" spans="2:45" x14ac:dyDescent="0.15">
      <c r="B82" s="4">
        <f>[1]节奏总纲!N82</f>
        <v>89</v>
      </c>
      <c r="C82" s="4">
        <v>79</v>
      </c>
      <c r="D82" s="4">
        <f>[1]节奏总纲!P82</f>
        <v>237.85644583342264</v>
      </c>
      <c r="E82" s="4">
        <f>[1]节奏总纲!Q82</f>
        <v>206.07882467007735</v>
      </c>
      <c r="F82" s="4">
        <f>[1]节奏总纲!R82</f>
        <v>168.73536267423003</v>
      </c>
      <c r="G82" s="4">
        <f>[1]节奏总纲!S82</f>
        <v>123.11449636337954</v>
      </c>
      <c r="H82" s="4">
        <f>[1]节奏总纲!T82</f>
        <v>68.122086086692235</v>
      </c>
      <c r="J82" s="4">
        <v>79</v>
      </c>
      <c r="K82" s="4">
        <f>[1]节奏总纲!W82</f>
        <v>15.995501629614893</v>
      </c>
      <c r="L82" s="4">
        <f>[1]节奏总纲!X82</f>
        <v>14.035991367261346</v>
      </c>
      <c r="M82" s="4">
        <f>[1]节奏总纲!Y82</f>
        <v>11.50251151699149</v>
      </c>
      <c r="N82" s="4">
        <f>[1]节奏总纲!Z82</f>
        <v>7.9464802271829456</v>
      </c>
      <c r="O82" s="4">
        <f>[1]节奏总纲!AA82</f>
        <v>4.4701811946197978</v>
      </c>
      <c r="Q82" s="4">
        <v>79</v>
      </c>
      <c r="R82" s="4">
        <f>[1]节奏总纲!AD82</f>
        <v>63.213386604241791</v>
      </c>
      <c r="S82" s="4">
        <f>[1]节奏总纲!AE82</f>
        <v>65.23679566619937</v>
      </c>
      <c r="T82" s="4">
        <f>[1]节奏总纲!AF82</f>
        <v>68.132712808893615</v>
      </c>
      <c r="U82" s="4">
        <f>[1]节奏总纲!AG82</f>
        <v>72.635787557831478</v>
      </c>
      <c r="V82" s="4">
        <f>[1]节奏总纲!AH82</f>
        <v>81.212704266341873</v>
      </c>
      <c r="Z82" s="4">
        <v>79</v>
      </c>
      <c r="AA82" s="4">
        <f>[1]节奏总纲!AM82</f>
        <v>41077.009235645834</v>
      </c>
      <c r="AB82" s="4">
        <f>[1]节奏总纲!AN82</f>
        <v>32861.60738851667</v>
      </c>
      <c r="AC82" s="4">
        <f>[1]节奏总纲!AO82</f>
        <v>24646.205541387499</v>
      </c>
      <c r="AD82" s="4">
        <f>[1]节奏总纲!AP82</f>
        <v>16430.803694258335</v>
      </c>
      <c r="AE82" s="4">
        <f>[1]节奏总纲!AQ82</f>
        <v>8215.4018471291674</v>
      </c>
      <c r="AG82" s="4">
        <v>79</v>
      </c>
      <c r="AH82" s="4">
        <f>[1]节奏总纲!AT82</f>
        <v>5565.8189128857484</v>
      </c>
      <c r="AI82" s="4">
        <f>[1]节奏总纲!AU82</f>
        <v>4452.6551303086017</v>
      </c>
      <c r="AJ82" s="4">
        <f>[1]节奏总纲!AV82</f>
        <v>3339.4913477314476</v>
      </c>
      <c r="AK82" s="4">
        <f>[1]节奏总纲!AW82</f>
        <v>2226.3275651543008</v>
      </c>
      <c r="AL82" s="4">
        <f>[1]节奏总纲!AX82</f>
        <v>1113.1637825771504</v>
      </c>
      <c r="AN82" s="4">
        <v>79</v>
      </c>
      <c r="AO82" s="4">
        <f>[1]节奏总纲!BA82</f>
        <v>36.442160481112069</v>
      </c>
      <c r="AP82" s="4">
        <f>[1]节奏总纲!BB82</f>
        <v>37.952732911393213</v>
      </c>
      <c r="AQ82" s="4">
        <f>[1]节奏总纲!BC82</f>
        <v>39.880677772675625</v>
      </c>
      <c r="AR82" s="4">
        <f>[1]节奏总纲!BD82</f>
        <v>42.601058174025873</v>
      </c>
      <c r="AS82" s="4">
        <f>[1]节奏总纲!BE82</f>
        <v>47.286546933283724</v>
      </c>
    </row>
    <row r="83" spans="2:45" x14ac:dyDescent="0.15">
      <c r="B83" s="4">
        <f>[1]节奏总纲!N83</f>
        <v>90</v>
      </c>
      <c r="C83" s="4">
        <v>80</v>
      </c>
      <c r="D83" s="4">
        <f>[1]节奏总纲!P83</f>
        <v>255</v>
      </c>
      <c r="E83" s="4">
        <f>[1]节奏总纲!Q83</f>
        <v>221.08500000000001</v>
      </c>
      <c r="F83" s="4">
        <f>[1]节奏总纲!R83</f>
        <v>180.33600000000001</v>
      </c>
      <c r="G83" s="4">
        <f>[1]节奏总纲!S83</f>
        <v>131.58000000000001</v>
      </c>
      <c r="H83" s="4">
        <f>[1]节奏总纲!T83</f>
        <v>72.777000000000001</v>
      </c>
      <c r="J83" s="4">
        <v>80</v>
      </c>
      <c r="K83" s="4">
        <f>[1]节奏总纲!W83</f>
        <v>17.14355416657736</v>
      </c>
      <c r="L83" s="4">
        <f>[1]节奏总纲!X83</f>
        <v>15.006175329922655</v>
      </c>
      <c r="M83" s="4">
        <f>[1]节奏总纲!Y83</f>
        <v>11.600637325769981</v>
      </c>
      <c r="N83" s="4">
        <f>[1]节奏总纲!Z83</f>
        <v>8.4655036366204683</v>
      </c>
      <c r="O83" s="4">
        <f>[1]节奏总纲!AA83</f>
        <v>4.6549139133077659</v>
      </c>
      <c r="Q83" s="4">
        <v>80</v>
      </c>
      <c r="R83" s="4">
        <f>[1]节奏总纲!AD83</f>
        <v>63.39021301395622</v>
      </c>
      <c r="S83" s="4">
        <f>[1]节奏总纲!AE83</f>
        <v>65.412152709609373</v>
      </c>
      <c r="T83" s="4">
        <f>[1]节奏总纲!AF83</f>
        <v>68.309907165737044</v>
      </c>
      <c r="U83" s="4">
        <f>[1]节奏总纲!AG83</f>
        <v>72.822065215823244</v>
      </c>
      <c r="V83" s="4">
        <f>[1]节奏总纲!AH83</f>
        <v>81.398783729567185</v>
      </c>
      <c r="Z83" s="4">
        <v>80</v>
      </c>
      <c r="AA83" s="4">
        <f>[1]节奏总纲!AM83</f>
        <v>47512.875</v>
      </c>
      <c r="AB83" s="4">
        <f>[1]节奏总纲!AN83</f>
        <v>38010.300000000003</v>
      </c>
      <c r="AC83" s="4">
        <f>[1]节奏总纲!AO83</f>
        <v>28507.724999999999</v>
      </c>
      <c r="AD83" s="4">
        <f>[1]节奏总纲!AP83</f>
        <v>19005.150000000001</v>
      </c>
      <c r="AE83" s="4">
        <f>[1]节奏总纲!AQ83</f>
        <v>9502.5750000000007</v>
      </c>
      <c r="AG83" s="4">
        <v>80</v>
      </c>
      <c r="AH83" s="4">
        <f>[1]节奏总纲!AT83</f>
        <v>6435.8657643541665</v>
      </c>
      <c r="AI83" s="4">
        <f>[1]节奏总纲!AU83</f>
        <v>5148.6926114833332</v>
      </c>
      <c r="AJ83" s="4">
        <f>[1]节奏总纲!AV83</f>
        <v>3861.5194586124999</v>
      </c>
      <c r="AK83" s="4">
        <f>[1]节奏总纲!AW83</f>
        <v>2574.3463057416666</v>
      </c>
      <c r="AL83" s="4">
        <f>[1]节奏总纲!AX83</f>
        <v>1287.1731528708333</v>
      </c>
      <c r="AN83" s="4">
        <v>80</v>
      </c>
      <c r="AO83" s="4">
        <f>[1]节奏总纲!BA83</f>
        <v>36.526331209747774</v>
      </c>
      <c r="AP83" s="4">
        <f>[1]节奏总纲!BB83</f>
        <v>38.037513426486328</v>
      </c>
      <c r="AQ83" s="4">
        <f>[1]节奏总纲!BC83</f>
        <v>39.970732283863832</v>
      </c>
      <c r="AR83" s="4">
        <f>[1]节奏总纲!BD83</f>
        <v>42.687840061343536</v>
      </c>
      <c r="AS83" s="4">
        <f>[1]节奏总纲!BE83</f>
        <v>47.3696970865753</v>
      </c>
    </row>
    <row r="84" spans="2:45" x14ac:dyDescent="0.15">
      <c r="B84" s="4">
        <f>[1]节奏总纲!N84</f>
        <v>91</v>
      </c>
      <c r="C84" s="4">
        <v>81</v>
      </c>
      <c r="D84" s="4">
        <f>[1]节奏总纲!P84</f>
        <v>273.37400640929098</v>
      </c>
      <c r="E84" s="4">
        <f>[1]节奏总纲!Q84</f>
        <v>236.35916594147301</v>
      </c>
      <c r="F84" s="4">
        <f>[1]节奏总纲!R84</f>
        <v>192.67399971726829</v>
      </c>
      <c r="G84" s="4">
        <f>[1]节奏总纲!S84</f>
        <v>140.76027590014394</v>
      </c>
      <c r="H84" s="4">
        <f>[1]节奏总纲!T84</f>
        <v>77.856917025366073</v>
      </c>
      <c r="J84" s="4">
        <v>81</v>
      </c>
      <c r="K84" s="4">
        <f>[1]节奏总纲!W84</f>
        <v>18.374006409290985</v>
      </c>
      <c r="L84" s="4">
        <f>[1]节奏总纲!X84</f>
        <v>15.274165941473001</v>
      </c>
      <c r="M84" s="4">
        <f>[1]节奏总纲!Y84</f>
        <v>12.337999717268275</v>
      </c>
      <c r="N84" s="4">
        <f>[1]节奏总纲!Z84</f>
        <v>9.1802759001439256</v>
      </c>
      <c r="O84" s="4">
        <f>[1]节奏总纲!AA84</f>
        <v>5.0799170253660719</v>
      </c>
      <c r="Q84" s="4">
        <v>81</v>
      </c>
      <c r="R84" s="4">
        <f>[1]节奏总纲!AD84</f>
        <v>63.567039423670657</v>
      </c>
      <c r="S84" s="4">
        <f>[1]节奏总纲!AE84</f>
        <v>65.58750975301939</v>
      </c>
      <c r="T84" s="4">
        <f>[1]节奏总纲!AF84</f>
        <v>68.487101522580488</v>
      </c>
      <c r="U84" s="4">
        <f>[1]节奏总纲!AG84</f>
        <v>73.007572199822363</v>
      </c>
      <c r="V84" s="4">
        <f>[1]节奏总纲!AH84</f>
        <v>81.584863192792497</v>
      </c>
      <c r="AN84" s="4">
        <v>81</v>
      </c>
      <c r="AO84" s="4">
        <f>[1]节奏总纲!BA84</f>
        <v>36.610501938383479</v>
      </c>
      <c r="AP84" s="4">
        <f>[1]节奏总纲!BB84</f>
        <v>38.11580158428373</v>
      </c>
      <c r="AQ84" s="4">
        <f>[1]节奏总纲!BC84</f>
        <v>40.052446592012309</v>
      </c>
      <c r="AR84" s="4">
        <f>[1]节奏总纲!BD84</f>
        <v>42.774621948661192</v>
      </c>
      <c r="AS84" s="4">
        <f>[1]节奏总纲!BE84</f>
        <v>47.452847239866877</v>
      </c>
    </row>
    <row r="85" spans="2:45" x14ac:dyDescent="0.15">
      <c r="B85" s="4">
        <f>[1]节奏总纲!N85</f>
        <v>92</v>
      </c>
      <c r="C85" s="4">
        <v>82</v>
      </c>
      <c r="D85" s="4">
        <f>[1]节奏总纲!P85</f>
        <v>293.06677887924064</v>
      </c>
      <c r="E85" s="4">
        <f>[1]节奏总纲!Q85</f>
        <v>253.15108359588808</v>
      </c>
      <c r="F85" s="4">
        <f>[1]节奏总纲!R85</f>
        <v>206.37762568676126</v>
      </c>
      <c r="G85" s="4">
        <f>[1]节奏总纲!S85</f>
        <v>150.81216441125721</v>
      </c>
      <c r="H85" s="4">
        <f>[1]节奏总纲!T85</f>
        <v>83.230965201704336</v>
      </c>
      <c r="J85" s="4">
        <v>82</v>
      </c>
      <c r="K85" s="4">
        <f>[1]节奏总纲!W85</f>
        <v>19.692772469949659</v>
      </c>
      <c r="L85" s="4">
        <f>[1]节奏总纲!X85</f>
        <v>16.791917654415073</v>
      </c>
      <c r="M85" s="4">
        <f>[1]节奏总纲!Y85</f>
        <v>13.703625969492975</v>
      </c>
      <c r="N85" s="4">
        <f>[1]节奏总纲!Z85</f>
        <v>10.051888511113276</v>
      </c>
      <c r="O85" s="4">
        <f>[1]节奏总纲!AA85</f>
        <v>5.3740481763382633</v>
      </c>
      <c r="Q85" s="4">
        <v>82</v>
      </c>
      <c r="R85" s="4">
        <f>[1]节奏总纲!AD85</f>
        <v>63.743865833385094</v>
      </c>
      <c r="S85" s="4">
        <f>[1]节奏总纲!AE85</f>
        <v>65.762866796429392</v>
      </c>
      <c r="T85" s="4">
        <f>[1]节奏总纲!AF85</f>
        <v>68.664295879423918</v>
      </c>
      <c r="U85" s="4">
        <f>[1]节奏总纲!AG85</f>
        <v>73.176642436293761</v>
      </c>
      <c r="V85" s="4">
        <f>[1]节奏总纲!AH85</f>
        <v>81.770942656017823</v>
      </c>
      <c r="AN85" s="4">
        <v>82</v>
      </c>
      <c r="AO85" s="4">
        <f>[1]节奏总纲!BA85</f>
        <v>36.694672667019191</v>
      </c>
      <c r="AP85" s="4">
        <f>[1]节奏总纲!BB85</f>
        <v>38.194089742081125</v>
      </c>
      <c r="AQ85" s="4">
        <f>[1]节奏总纲!BC85</f>
        <v>40.130145246845366</v>
      </c>
      <c r="AR85" s="4">
        <f>[1]节奏总纲!BD85</f>
        <v>42.861403835978855</v>
      </c>
      <c r="AS85" s="4">
        <f>[1]节奏总纲!BE85</f>
        <v>47.535997393158453</v>
      </c>
    </row>
    <row r="86" spans="2:45" x14ac:dyDescent="0.15">
      <c r="B86" s="4">
        <f>[1]节奏总纲!N86</f>
        <v>93</v>
      </c>
      <c r="C86" s="4">
        <v>83</v>
      </c>
      <c r="D86" s="4">
        <f>[1]节奏总纲!P86</f>
        <v>314.1729698162988</v>
      </c>
      <c r="E86" s="4">
        <f>[1]节奏总纲!Q86</f>
        <v>271.53969781222702</v>
      </c>
      <c r="F86" s="4">
        <f>[1]节奏总纲!R86</f>
        <v>221.55477831445393</v>
      </c>
      <c r="G86" s="4">
        <f>[1]节奏总纲!S86</f>
        <v>161.57915837652246</v>
      </c>
      <c r="H86" s="4">
        <f>[1]节奏总纲!T86</f>
        <v>89.193706130847232</v>
      </c>
      <c r="J86" s="4">
        <v>83</v>
      </c>
      <c r="K86" s="4">
        <f>[1]节奏总纲!W86</f>
        <v>21.106190937058159</v>
      </c>
      <c r="L86" s="4">
        <f>[1]节奏总纲!X86</f>
        <v>18.388614216338937</v>
      </c>
      <c r="M86" s="4">
        <f>[1]节奏总纲!Y86</f>
        <v>15.177152627692664</v>
      </c>
      <c r="N86" s="4">
        <f>[1]节奏总纲!Z86</f>
        <v>10.766993965265243</v>
      </c>
      <c r="O86" s="4">
        <f>[1]节奏总纲!AA86</f>
        <v>5.9627409291428961</v>
      </c>
      <c r="Q86" s="4">
        <v>83</v>
      </c>
      <c r="R86" s="4">
        <f>[1]节奏总纲!AD86</f>
        <v>63.920692243099523</v>
      </c>
      <c r="S86" s="4">
        <f>[1]节奏总纲!AE86</f>
        <v>65.938223839839395</v>
      </c>
      <c r="T86" s="4">
        <f>[1]节奏总纲!AF86</f>
        <v>68.841490236267347</v>
      </c>
      <c r="U86" s="4">
        <f>[1]节奏总纲!AG86</f>
        <v>73.34571267276516</v>
      </c>
      <c r="V86" s="4">
        <f>[1]节奏总纲!AH86</f>
        <v>81.957022119243135</v>
      </c>
      <c r="AN86" s="4">
        <v>83</v>
      </c>
      <c r="AO86" s="4">
        <f>[1]节奏总纲!BA86</f>
        <v>36.778843395654896</v>
      </c>
      <c r="AP86" s="4">
        <f>[1]节奏总纲!BB86</f>
        <v>38.272377899878528</v>
      </c>
      <c r="AQ86" s="4">
        <f>[1]节奏总纲!BC86</f>
        <v>40.207843901678423</v>
      </c>
      <c r="AR86" s="4">
        <f>[1]节奏总纲!BD86</f>
        <v>42.948185723296518</v>
      </c>
      <c r="AS86" s="4">
        <f>[1]节奏总纲!BE86</f>
        <v>47.619147546450023</v>
      </c>
    </row>
    <row r="87" spans="2:45" x14ac:dyDescent="0.15">
      <c r="B87" s="4">
        <f>[1]节奏总纲!N87</f>
        <v>94</v>
      </c>
      <c r="C87" s="4">
        <v>84</v>
      </c>
      <c r="D87" s="4">
        <f>[1]节奏总纲!P87</f>
        <v>336.79402515786086</v>
      </c>
      <c r="E87" s="4">
        <f>[1]节奏总纲!Q87</f>
        <v>291.2594729565181</v>
      </c>
      <c r="F87" s="4">
        <f>[1]节奏总纲!R87</f>
        <v>237.27139072371298</v>
      </c>
      <c r="G87" s="4">
        <f>[1]节奏总纲!S87</f>
        <v>172.97741132107731</v>
      </c>
      <c r="H87" s="4">
        <f>[1]节奏总纲!T87</f>
        <v>95.64950314483248</v>
      </c>
      <c r="J87" s="4">
        <v>84</v>
      </c>
      <c r="K87" s="4">
        <f>[1]节奏总纲!W87</f>
        <v>22.621055341562055</v>
      </c>
      <c r="L87" s="4">
        <f>[1]节奏总纲!X87</f>
        <v>19.719775144291077</v>
      </c>
      <c r="M87" s="4">
        <f>[1]节奏总纲!Y87</f>
        <v>15.716612409259056</v>
      </c>
      <c r="N87" s="4">
        <f>[1]节奏总纲!Z87</f>
        <v>11.398252944554855</v>
      </c>
      <c r="O87" s="4">
        <f>[1]节奏总纲!AA87</f>
        <v>6.4557970139852472</v>
      </c>
      <c r="Q87" s="4">
        <v>84</v>
      </c>
      <c r="R87" s="4">
        <f>[1]节奏总纲!AD87</f>
        <v>64.090988120365651</v>
      </c>
      <c r="S87" s="4">
        <f>[1]节奏总纲!AE87</f>
        <v>66.105889403880397</v>
      </c>
      <c r="T87" s="4">
        <f>[1]节奏总纲!AF87</f>
        <v>69.01697485309198</v>
      </c>
      <c r="U87" s="4">
        <f>[1]节奏总纲!AG87</f>
        <v>73.514782909236544</v>
      </c>
      <c r="V87" s="4">
        <f>[1]节奏总纲!AH87</f>
        <v>82.128973371044353</v>
      </c>
      <c r="AN87" s="4">
        <v>84</v>
      </c>
      <c r="AO87" s="4">
        <f>[1]节奏总纲!BA87</f>
        <v>36.863014124290601</v>
      </c>
      <c r="AP87" s="4">
        <f>[1]节奏总纲!BB87</f>
        <v>38.35066605767593</v>
      </c>
      <c r="AQ87" s="4">
        <f>[1]节奏总纲!BC87</f>
        <v>40.28554255651148</v>
      </c>
      <c r="AR87" s="4">
        <f>[1]节奏总纲!BD87</f>
        <v>43.030177309109042</v>
      </c>
      <c r="AS87" s="4">
        <f>[1]节奏总纲!BE87</f>
        <v>47.7022976997416</v>
      </c>
    </row>
    <row r="88" spans="2:45" x14ac:dyDescent="0.15">
      <c r="B88" s="4">
        <f>[1]节奏总纲!N88</f>
        <v>95</v>
      </c>
      <c r="C88" s="4">
        <v>85</v>
      </c>
      <c r="D88" s="4">
        <f>[1]节奏总纲!P88</f>
        <v>361.0386719675123</v>
      </c>
      <c r="E88" s="4">
        <f>[1]节奏总纲!Q88</f>
        <v>311.72078937675008</v>
      </c>
      <c r="F88" s="4">
        <f>[1]节奏总纲!R88</f>
        <v>253.91849799475142</v>
      </c>
      <c r="G88" s="4">
        <f>[1]节奏总纲!S88</f>
        <v>185.57387739130132</v>
      </c>
      <c r="H88" s="4">
        <f>[1]节奏总纲!T88</f>
        <v>102.53498283877349</v>
      </c>
      <c r="J88" s="4">
        <v>85</v>
      </c>
      <c r="K88" s="4">
        <f>[1]节奏总纲!W88</f>
        <v>24.244646809651442</v>
      </c>
      <c r="L88" s="4">
        <f>[1]节奏总纲!X88</f>
        <v>20.461316420231981</v>
      </c>
      <c r="M88" s="4">
        <f>[1]节奏总纲!Y88</f>
        <v>16.647107271038436</v>
      </c>
      <c r="N88" s="4">
        <f>[1]节奏总纲!Z88</f>
        <v>12.596466070224011</v>
      </c>
      <c r="O88" s="4">
        <f>[1]节奏总纲!AA88</f>
        <v>6.8854796939410079</v>
      </c>
      <c r="Q88" s="4">
        <v>85</v>
      </c>
      <c r="R88" s="4">
        <f>[1]节奏总纲!AD88</f>
        <v>64.255972994404218</v>
      </c>
      <c r="S88" s="4">
        <f>[1]节奏总纲!AE88</f>
        <v>66.269371604948859</v>
      </c>
      <c r="T88" s="4">
        <f>[1]节奏总纲!AF88</f>
        <v>69.17795498031839</v>
      </c>
      <c r="U88" s="4">
        <f>[1]节奏总纲!AG88</f>
        <v>73.683853145707943</v>
      </c>
      <c r="V88" s="4">
        <f>[1]节奏总纲!AH88</f>
        <v>82.296681479091191</v>
      </c>
      <c r="AN88" s="4">
        <v>85</v>
      </c>
      <c r="AO88" s="4">
        <f>[1]节奏总纲!BA88</f>
        <v>36.947184852926306</v>
      </c>
      <c r="AP88" s="4">
        <f>[1]节奏总纲!BB88</f>
        <v>38.428954215473325</v>
      </c>
      <c r="AQ88" s="4">
        <f>[1]节奏总纲!BC88</f>
        <v>40.363241211344537</v>
      </c>
      <c r="AR88" s="4">
        <f>[1]节奏总纲!BD88</f>
        <v>43.105070725978337</v>
      </c>
      <c r="AS88" s="4">
        <f>[1]节奏总纲!BE88</f>
        <v>47.785447853033176</v>
      </c>
    </row>
    <row r="89" spans="2:45" x14ac:dyDescent="0.15">
      <c r="B89" s="4">
        <f>[1]节奏总纲!N89</f>
        <v>96</v>
      </c>
      <c r="C89" s="4">
        <v>86</v>
      </c>
      <c r="D89" s="4">
        <f>[1]节奏总纲!P89</f>
        <v>387.02344102666189</v>
      </c>
      <c r="E89" s="4">
        <f>[1]节奏总纲!Q89</f>
        <v>334.00122960600919</v>
      </c>
      <c r="F89" s="4">
        <f>[1]节奏总纲!R89</f>
        <v>272.23228841815398</v>
      </c>
      <c r="G89" s="4">
        <f>[1]节奏总纲!S89</f>
        <v>199.39447681693619</v>
      </c>
      <c r="H89" s="4">
        <f>[1]节奏总纲!T89</f>
        <v>108.94709864900531</v>
      </c>
      <c r="J89" s="4">
        <v>86</v>
      </c>
      <c r="K89" s="4">
        <f>[1]节奏总纲!W89</f>
        <v>25.984769059149585</v>
      </c>
      <c r="L89" s="4">
        <f>[1]节奏总纲!X89</f>
        <v>22.280440229259113</v>
      </c>
      <c r="M89" s="4">
        <f>[1]节奏总纲!Y89</f>
        <v>18.313790423402565</v>
      </c>
      <c r="N89" s="4">
        <f>[1]节奏总纲!Z89</f>
        <v>13.820599425634867</v>
      </c>
      <c r="O89" s="4">
        <f>[1]节奏总纲!AA89</f>
        <v>6.4121158102318248</v>
      </c>
      <c r="Q89" s="4">
        <v>86</v>
      </c>
      <c r="R89" s="4">
        <f>[1]节奏总纲!AD89</f>
        <v>64.420957868442798</v>
      </c>
      <c r="S89" s="4">
        <f>[1]节奏总纲!AE89</f>
        <v>66.43285380601732</v>
      </c>
      <c r="T89" s="4">
        <f>[1]节奏总纲!AF89</f>
        <v>69.338935107544785</v>
      </c>
      <c r="U89" s="4">
        <f>[1]节奏总纲!AG89</f>
        <v>73.852923382179341</v>
      </c>
      <c r="V89" s="4">
        <f>[1]节奏总纲!AH89</f>
        <v>82.464389587138029</v>
      </c>
      <c r="AN89" s="4">
        <v>86</v>
      </c>
      <c r="AO89" s="4">
        <f>[1]节奏总纲!BA89</f>
        <v>37.027046282459708</v>
      </c>
      <c r="AP89" s="4">
        <f>[1]节奏总纲!BB89</f>
        <v>38.507242373270728</v>
      </c>
      <c r="AQ89" s="4">
        <f>[1]节奏总纲!BC89</f>
        <v>40.440939866177594</v>
      </c>
      <c r="AR89" s="4">
        <f>[1]节奏总纲!BD89</f>
        <v>43.179964142847631</v>
      </c>
      <c r="AS89" s="4">
        <f>[1]节奏总纲!BE89</f>
        <v>47.868598006324753</v>
      </c>
    </row>
    <row r="90" spans="2:45" x14ac:dyDescent="0.15">
      <c r="B90" s="4">
        <f>[1]节奏总纲!N90</f>
        <v>97</v>
      </c>
      <c r="C90" s="4">
        <v>87</v>
      </c>
      <c r="D90" s="4">
        <f>[1]节奏总纲!P90</f>
        <v>414.87322693439216</v>
      </c>
      <c r="E90" s="4">
        <f>[1]节奏总纲!Q90</f>
        <v>358.28451878054108</v>
      </c>
      <c r="F90" s="4">
        <f>[1]节奏总纲!R90</f>
        <v>292.4026503433596</v>
      </c>
      <c r="G90" s="4">
        <f>[1]节奏总纲!S90</f>
        <v>212.58104148118252</v>
      </c>
      <c r="H90" s="4">
        <f>[1]节奏总纲!T90</f>
        <v>115.74963031469542</v>
      </c>
      <c r="J90" s="4">
        <v>87</v>
      </c>
      <c r="K90" s="4">
        <f>[1]节奏总纲!W90</f>
        <v>27.849785907730279</v>
      </c>
      <c r="L90" s="4">
        <f>[1]节奏总纲!X90</f>
        <v>24.283289174531888</v>
      </c>
      <c r="M90" s="4">
        <f>[1]节奏总纲!Y90</f>
        <v>20.170361925205611</v>
      </c>
      <c r="N90" s="4">
        <f>[1]节奏总纲!Z90</f>
        <v>13.186564664246333</v>
      </c>
      <c r="O90" s="4">
        <f>[1]节奏总纲!AA90</f>
        <v>6.8025316656901111</v>
      </c>
      <c r="Q90" s="4">
        <v>87</v>
      </c>
      <c r="R90" s="4">
        <f>[1]节奏总纲!AD90</f>
        <v>64.585942742481365</v>
      </c>
      <c r="S90" s="4">
        <f>[1]节奏总纲!AE90</f>
        <v>66.596336007085796</v>
      </c>
      <c r="T90" s="4">
        <f>[1]节奏总纲!AF90</f>
        <v>69.49991523477118</v>
      </c>
      <c r="U90" s="4">
        <f>[1]节奏总纲!AG90</f>
        <v>74.02050499447661</v>
      </c>
      <c r="V90" s="4">
        <f>[1]节奏总纲!AH90</f>
        <v>82.632097695184868</v>
      </c>
      <c r="AN90" s="4">
        <v>87</v>
      </c>
      <c r="AO90" s="4">
        <f>[1]节奏总纲!BA90</f>
        <v>37.099649155317238</v>
      </c>
      <c r="AP90" s="4">
        <f>[1]节奏总纲!BB90</f>
        <v>38.58553053106813</v>
      </c>
      <c r="AQ90" s="4">
        <f>[1]节奏总纲!BC90</f>
        <v>40.518638521010651</v>
      </c>
      <c r="AR90" s="4">
        <f>[1]节奏总纲!BD90</f>
        <v>43.254857559716925</v>
      </c>
      <c r="AS90" s="4">
        <f>[1]节奏总纲!BE90</f>
        <v>47.951748159616329</v>
      </c>
    </row>
    <row r="91" spans="2:45" x14ac:dyDescent="0.15">
      <c r="B91" s="4">
        <f>[1]节奏总纲!N91</f>
        <v>98</v>
      </c>
      <c r="C91" s="4">
        <v>88</v>
      </c>
      <c r="D91" s="4">
        <f>[1]节奏总纲!P91</f>
        <v>444.72188840761549</v>
      </c>
      <c r="E91" s="4">
        <f>[1]节奏总纲!Q91</f>
        <v>384.7733778502689</v>
      </c>
      <c r="F91" s="4">
        <f>[1]节奏总纲!R91</f>
        <v>312.90632068359827</v>
      </c>
      <c r="G91" s="4">
        <f>[1]节奏总纲!S91</f>
        <v>226.0076636887502</v>
      </c>
      <c r="H91" s="4">
        <f>[1]节奏总纲!T91</f>
        <v>123.1879630889095</v>
      </c>
      <c r="J91" s="4">
        <v>88</v>
      </c>
      <c r="K91" s="4">
        <f>[1]节奏总纲!W91</f>
        <v>29.848661473223331</v>
      </c>
      <c r="L91" s="4">
        <f>[1]节奏总纲!X91</f>
        <v>26.488859069727823</v>
      </c>
      <c r="M91" s="4">
        <f>[1]节奏总纲!Y91</f>
        <v>20.503670340238671</v>
      </c>
      <c r="N91" s="4">
        <f>[1]节奏总纲!Z91</f>
        <v>13.426622207567675</v>
      </c>
      <c r="O91" s="4">
        <f>[1]节奏总纲!AA91</f>
        <v>7.438332774214075</v>
      </c>
      <c r="Q91" s="4">
        <v>88</v>
      </c>
      <c r="R91" s="4">
        <f>[1]节奏总纲!AD91</f>
        <v>64.750927616519931</v>
      </c>
      <c r="S91" s="4">
        <f>[1]节奏总纲!AE91</f>
        <v>66.759818208154257</v>
      </c>
      <c r="T91" s="4">
        <f>[1]节奏总纲!AF91</f>
        <v>69.660895361997589</v>
      </c>
      <c r="U91" s="4">
        <f>[1]节奏总纲!AG91</f>
        <v>74.178131818877702</v>
      </c>
      <c r="V91" s="4">
        <f>[1]节奏总纲!AH91</f>
        <v>82.799805803231706</v>
      </c>
      <c r="AN91" s="4">
        <v>88</v>
      </c>
      <c r="AO91" s="4">
        <f>[1]节奏总纲!BA91</f>
        <v>37.172252028174768</v>
      </c>
      <c r="AP91" s="4">
        <f>[1]节奏总纲!BB91</f>
        <v>38.663818688865533</v>
      </c>
      <c r="AQ91" s="4">
        <f>[1]节奏总纲!BC91</f>
        <v>40.596337175843701</v>
      </c>
      <c r="AR91" s="4">
        <f>[1]节奏总纲!BD91</f>
        <v>43.329750976586219</v>
      </c>
      <c r="AS91" s="4">
        <f>[1]节奏总纲!BE91</f>
        <v>48.030128751164234</v>
      </c>
    </row>
    <row r="92" spans="2:45" x14ac:dyDescent="0.15">
      <c r="B92" s="4">
        <f>[1]节奏总纲!N92</f>
        <v>99</v>
      </c>
      <c r="C92" s="4">
        <v>89</v>
      </c>
      <c r="D92" s="4">
        <f>[1]节奏总纲!P92</f>
        <v>476.71289166684534</v>
      </c>
      <c r="E92" s="4">
        <f>[1]节奏总纲!Q92</f>
        <v>411.78459582182103</v>
      </c>
      <c r="F92" s="4">
        <f>[1]节奏总纲!R92</f>
        <v>332.60258451595797</v>
      </c>
      <c r="G92" s="4">
        <f>[1]节奏总纲!S92</f>
        <v>240.31096868925673</v>
      </c>
      <c r="H92" s="4">
        <f>[1]节奏总纲!T92</f>
        <v>130.61933231671563</v>
      </c>
      <c r="J92" s="4">
        <v>89</v>
      </c>
      <c r="K92" s="4">
        <f>[1]节奏总纲!W92</f>
        <v>31.991003259229842</v>
      </c>
      <c r="L92" s="4">
        <f>[1]节奏总纲!X92</f>
        <v>27.011217971552128</v>
      </c>
      <c r="M92" s="4">
        <f>[1]节奏总纲!Y92</f>
        <v>19.696263832359705</v>
      </c>
      <c r="N92" s="4">
        <f>[1]节奏总纲!Z92</f>
        <v>14.303305000506526</v>
      </c>
      <c r="O92" s="4">
        <f>[1]节奏总纲!AA92</f>
        <v>7.4313692278061296</v>
      </c>
      <c r="Q92" s="4">
        <v>89</v>
      </c>
      <c r="R92" s="4">
        <f>[1]节奏总纲!AD92</f>
        <v>64.915912490558512</v>
      </c>
      <c r="S92" s="4">
        <f>[1]节奏总纲!AE92</f>
        <v>66.923300409222719</v>
      </c>
      <c r="T92" s="4">
        <f>[1]节奏总纲!AF92</f>
        <v>69.821875489223984</v>
      </c>
      <c r="U92" s="4">
        <f>[1]节奏总纲!AG92</f>
        <v>74.335758643278794</v>
      </c>
      <c r="V92" s="4">
        <f>[1]节奏总纲!AH92</f>
        <v>82.967513911278544</v>
      </c>
      <c r="AN92" s="4">
        <v>89</v>
      </c>
      <c r="AO92" s="4">
        <f>[1]节奏总纲!BA92</f>
        <v>37.244854901032298</v>
      </c>
      <c r="AP92" s="4">
        <f>[1]节奏总纲!BB92</f>
        <v>38.742106846662928</v>
      </c>
      <c r="AQ92" s="4">
        <f>[1]节奏总纲!BC92</f>
        <v>40.674035830676758</v>
      </c>
      <c r="AR92" s="4">
        <f>[1]节奏总纲!BD92</f>
        <v>43.404644393455513</v>
      </c>
      <c r="AS92" s="4">
        <f>[1]节奏总纲!BE92</f>
        <v>48.101914750802706</v>
      </c>
    </row>
    <row r="93" spans="2:45" x14ac:dyDescent="0.15">
      <c r="B93" s="4">
        <f>[1]节奏总纲!N93</f>
        <v>100</v>
      </c>
      <c r="C93" s="4">
        <v>90</v>
      </c>
      <c r="D93" s="4">
        <f>[1]节奏总纲!P93</f>
        <v>511</v>
      </c>
      <c r="E93" s="4">
        <f>[1]节奏总纲!Q93</f>
        <v>438.13140000000004</v>
      </c>
      <c r="F93" s="4">
        <f>[1]节奏总纲!R93</f>
        <v>354.12299999999999</v>
      </c>
      <c r="G93" s="4">
        <f>[1]节奏总纲!S93</f>
        <v>254.88680000000002</v>
      </c>
      <c r="H93" s="4">
        <f>[1]节奏总纲!T93</f>
        <v>138.48100000000002</v>
      </c>
      <c r="J93" s="4">
        <v>90</v>
      </c>
      <c r="K93" s="4">
        <f>[1]节奏总纲!W93</f>
        <v>34.287108333154663</v>
      </c>
      <c r="L93" s="4">
        <f>[1]节奏总纲!X93</f>
        <v>26.346804178179013</v>
      </c>
      <c r="M93" s="4">
        <f>[1]节奏总纲!Y93</f>
        <v>21.520415484042019</v>
      </c>
      <c r="N93" s="4">
        <f>[1]节奏总纲!Z93</f>
        <v>14.575831310743297</v>
      </c>
      <c r="O93" s="4">
        <f>[1]节奏总纲!AA93</f>
        <v>7.861667683284395</v>
      </c>
      <c r="Q93" s="4">
        <v>90</v>
      </c>
      <c r="R93" s="4">
        <f>[1]节奏总纲!AD93</f>
        <v>65.075479910097457</v>
      </c>
      <c r="S93" s="4">
        <f>[1]节奏总纲!AE93</f>
        <v>67.083433628014333</v>
      </c>
      <c r="T93" s="4">
        <f>[1]节奏总纲!AF93</f>
        <v>69.982855616450394</v>
      </c>
      <c r="U93" s="4">
        <f>[1]节奏总纲!AG93</f>
        <v>74.493385467679886</v>
      </c>
      <c r="V93" s="4">
        <f>[1]节奏总纲!AH93</f>
        <v>83.124894550960335</v>
      </c>
      <c r="AN93" s="4">
        <v>90</v>
      </c>
      <c r="AO93" s="4">
        <f>[1]节奏总纲!BA93</f>
        <v>37.317457773889828</v>
      </c>
      <c r="AP93" s="4">
        <f>[1]节奏总纲!BB93</f>
        <v>38.82039500446033</v>
      </c>
      <c r="AQ93" s="4">
        <f>[1]节奏总纲!BC93</f>
        <v>40.751734485509814</v>
      </c>
      <c r="AR93" s="4">
        <f>[1]节奏总纲!BD93</f>
        <v>43.479537810324807</v>
      </c>
      <c r="AS93" s="4">
        <f>[1]节奏总纲!BE93</f>
        <v>48.173700750441178</v>
      </c>
    </row>
    <row r="94" spans="2:45" x14ac:dyDescent="0.15">
      <c r="B94" s="4">
        <f>[1]节奏总纲!N94</f>
        <v>101</v>
      </c>
      <c r="C94" s="4">
        <v>91</v>
      </c>
      <c r="D94" s="4">
        <f>[1]节奏总纲!P94</f>
        <v>547.74801281858208</v>
      </c>
      <c r="E94" s="4">
        <f>[1]节奏总纲!Q94</f>
        <v>469.6391461906523</v>
      </c>
      <c r="F94" s="4">
        <f>[1]节奏总纲!R94</f>
        <v>378.43910205635837</v>
      </c>
      <c r="G94" s="4">
        <f>[1]节奏总纲!S94</f>
        <v>272.61418597980827</v>
      </c>
      <c r="H94" s="4">
        <f>[1]节奏总纲!T94</f>
        <v>147.89196346101718</v>
      </c>
      <c r="J94" s="4">
        <v>91</v>
      </c>
      <c r="K94" s="4">
        <f>[1]节奏总纲!W94</f>
        <v>36.748012818582083</v>
      </c>
      <c r="L94" s="4">
        <f>[1]节奏总纲!X94</f>
        <v>31.507746190652256</v>
      </c>
      <c r="M94" s="4">
        <f>[1]节奏总纲!Y94</f>
        <v>24.316102056358375</v>
      </c>
      <c r="N94" s="4">
        <f>[1]节奏总纲!Z94</f>
        <v>17.727385979808247</v>
      </c>
      <c r="O94" s="4">
        <f>[1]节奏总纲!AA94</f>
        <v>9.4109634610171611</v>
      </c>
      <c r="Q94" s="4">
        <v>91</v>
      </c>
      <c r="R94" s="4">
        <f>[1]节奏总纲!AD94</f>
        <v>65.229416240679981</v>
      </c>
      <c r="S94" s="4">
        <f>[1]节奏总纲!AE94</f>
        <v>67.240606973055961</v>
      </c>
      <c r="T94" s="4">
        <f>[1]节奏总纲!AF94</f>
        <v>70.137942795989005</v>
      </c>
      <c r="U94" s="4">
        <f>[1]节奏总纲!AG94</f>
        <v>74.651012292080978</v>
      </c>
      <c r="V94" s="4">
        <f>[1]节奏总纲!AH94</f>
        <v>83.279794092850153</v>
      </c>
      <c r="AN94" s="4">
        <v>91</v>
      </c>
      <c r="AO94" s="4">
        <f>[1]节奏总纲!BA94</f>
        <v>37.390060646747358</v>
      </c>
      <c r="AP94" s="4">
        <f>[1]节奏总纲!BB94</f>
        <v>38.898683162257733</v>
      </c>
      <c r="AQ94" s="4">
        <f>[1]节奏总纲!BC94</f>
        <v>40.829433140342871</v>
      </c>
      <c r="AR94" s="4">
        <f>[1]节奏总纲!BD94</f>
        <v>43.554431227194108</v>
      </c>
      <c r="AS94" s="4">
        <f>[1]节奏总纲!BE94</f>
        <v>48.24548675007965</v>
      </c>
    </row>
    <row r="95" spans="2:45" x14ac:dyDescent="0.15">
      <c r="B95" s="4">
        <f>[1]节奏总纲!N95</f>
        <v>102</v>
      </c>
      <c r="C95" s="4">
        <v>92</v>
      </c>
      <c r="D95" s="4">
        <f>[1]节奏总纲!P95</f>
        <v>587.1335577584814</v>
      </c>
      <c r="E95" s="4">
        <f>[1]节奏总纲!Q95</f>
        <v>502.29275866238083</v>
      </c>
      <c r="F95" s="4">
        <f>[1]节奏总纲!R95</f>
        <v>405.12215485335213</v>
      </c>
      <c r="G95" s="4">
        <f>[1]节奏总纲!S95</f>
        <v>291.57052478286187</v>
      </c>
      <c r="H95" s="4">
        <f>[1]节奏总纲!T95</f>
        <v>157.64536025815227</v>
      </c>
      <c r="J95" s="4">
        <v>92</v>
      </c>
      <c r="K95" s="4">
        <f>[1]节奏总纲!W95</f>
        <v>39.385544939899319</v>
      </c>
      <c r="L95" s="4">
        <f>[1]节奏总纲!X95</f>
        <v>32.653612471728536</v>
      </c>
      <c r="M95" s="4">
        <f>[1]节奏总纲!Y95</f>
        <v>26.683052796993763</v>
      </c>
      <c r="N95" s="4">
        <f>[1]节奏总纲!Z95</f>
        <v>18.956338803053598</v>
      </c>
      <c r="O95" s="4">
        <f>[1]节奏总纲!AA95</f>
        <v>9.7533967971350819</v>
      </c>
      <c r="Q95" s="4">
        <v>92</v>
      </c>
      <c r="R95" s="4">
        <f>[1]节奏总纲!AD95</f>
        <v>65.38335257126252</v>
      </c>
      <c r="S95" s="4">
        <f>[1]节奏总纲!AE95</f>
        <v>67.397780318097588</v>
      </c>
      <c r="T95" s="4">
        <f>[1]节奏总纲!AF95</f>
        <v>70.292327570459079</v>
      </c>
      <c r="U95" s="4">
        <f>[1]节奏总纲!AG95</f>
        <v>74.808639116482055</v>
      </c>
      <c r="V95" s="4">
        <f>[1]节奏总纲!AH95</f>
        <v>83.434693634739986</v>
      </c>
      <c r="AN95" s="4">
        <v>92</v>
      </c>
      <c r="AO95" s="4">
        <f>[1]节奏总纲!BA95</f>
        <v>37.462663519604888</v>
      </c>
      <c r="AP95" s="4">
        <f>[1]节奏总纲!BB95</f>
        <v>38.976971320055128</v>
      </c>
      <c r="AQ95" s="4">
        <f>[1]节奏总纲!BC95</f>
        <v>40.907131795175928</v>
      </c>
      <c r="AR95" s="4">
        <f>[1]节奏总纲!BD95</f>
        <v>43.629324644063402</v>
      </c>
      <c r="AS95" s="4">
        <f>[1]节奏总纲!BE95</f>
        <v>48.317272749718121</v>
      </c>
    </row>
    <row r="96" spans="2:45" x14ac:dyDescent="0.15">
      <c r="B96" s="4">
        <f>[1]节奏总纲!N96</f>
        <v>103</v>
      </c>
      <c r="C96" s="4">
        <v>93</v>
      </c>
      <c r="D96" s="4">
        <f>[1]节奏总纲!P96</f>
        <v>629.34593963259704</v>
      </c>
      <c r="E96" s="4">
        <f>[1]节奏总纲!Q96</f>
        <v>538.34251676172357</v>
      </c>
      <c r="F96" s="4">
        <f>[1]节奏总纲!R96</f>
        <v>433.68228700082267</v>
      </c>
      <c r="G96" s="4">
        <f>[1]节奏总纲!S96</f>
        <v>311.52624011813555</v>
      </c>
      <c r="H96" s="4">
        <f>[1]节奏总纲!T96</f>
        <v>168.35003885171972</v>
      </c>
      <c r="J96" s="4">
        <v>93</v>
      </c>
      <c r="K96" s="4">
        <f>[1]节奏总纲!W96</f>
        <v>42.212381874115636</v>
      </c>
      <c r="L96" s="4">
        <f>[1]节奏总纲!X96</f>
        <v>36.049758099342739</v>
      </c>
      <c r="M96" s="4">
        <f>[1]节奏总纲!Y96</f>
        <v>28.56013214747054</v>
      </c>
      <c r="N96" s="4">
        <f>[1]节奏总纲!Z96</f>
        <v>19.95571533527368</v>
      </c>
      <c r="O96" s="4">
        <f>[1]节奏总纲!AA96</f>
        <v>10.704678593567451</v>
      </c>
      <c r="Q96" s="4">
        <v>93</v>
      </c>
      <c r="R96" s="4">
        <f>[1]节奏总纲!AD96</f>
        <v>65.537288901845059</v>
      </c>
      <c r="S96" s="4">
        <f>[1]节奏总纲!AE96</f>
        <v>67.554953663139216</v>
      </c>
      <c r="T96" s="4">
        <f>[1]节奏总纲!AF96</f>
        <v>70.446712344929153</v>
      </c>
      <c r="U96" s="4">
        <f>[1]节奏总纲!AG96</f>
        <v>74.966265940883147</v>
      </c>
      <c r="V96" s="4">
        <f>[1]节奏总纲!AH96</f>
        <v>83.589593176629805</v>
      </c>
      <c r="AN96" s="4">
        <v>93</v>
      </c>
      <c r="AO96" s="4">
        <f>[1]节奏总纲!BA96</f>
        <v>37.535266392462418</v>
      </c>
      <c r="AP96" s="4">
        <f>[1]节奏总纲!BB96</f>
        <v>39.047673544184711</v>
      </c>
      <c r="AQ96" s="4">
        <f>[1]节奏总纲!BC96</f>
        <v>40.984830450008985</v>
      </c>
      <c r="AR96" s="4">
        <f>[1]节奏总纲!BD96</f>
        <v>43.704218060932696</v>
      </c>
      <c r="AS96" s="4">
        <f>[1]节奏总纲!BE96</f>
        <v>48.389058749356593</v>
      </c>
    </row>
    <row r="97" spans="2:45" x14ac:dyDescent="0.15">
      <c r="B97" s="4">
        <f>[1]节奏总纲!N97</f>
        <v>104</v>
      </c>
      <c r="C97" s="4">
        <v>94</v>
      </c>
      <c r="D97" s="4">
        <f>[1]节奏总纲!P97</f>
        <v>674.58805031572183</v>
      </c>
      <c r="E97" s="4">
        <f>[1]节奏总纲!Q97</f>
        <v>576.30057138472114</v>
      </c>
      <c r="F97" s="4">
        <f>[1]节奏总纲!R97</f>
        <v>464.04911981218504</v>
      </c>
      <c r="G97" s="4">
        <f>[1]节奏总纲!S97</f>
        <v>332.70682641571403</v>
      </c>
      <c r="H97" s="4">
        <f>[1]节奏总纲!T97</f>
        <v>179.6427977990767</v>
      </c>
      <c r="J97" s="4">
        <v>94</v>
      </c>
      <c r="K97" s="4">
        <f>[1]节奏总纲!W97</f>
        <v>45.242110683124793</v>
      </c>
      <c r="L97" s="4">
        <f>[1]节奏总纲!X97</f>
        <v>37.958054622997565</v>
      </c>
      <c r="M97" s="4">
        <f>[1]节奏总纲!Y97</f>
        <v>30.366832811362372</v>
      </c>
      <c r="N97" s="4">
        <f>[1]节奏总纲!Z97</f>
        <v>21.180586297578486</v>
      </c>
      <c r="O97" s="4">
        <f>[1]节奏总纲!AA97</f>
        <v>11.292758947356987</v>
      </c>
      <c r="Q97" s="4">
        <v>94</v>
      </c>
      <c r="R97" s="4">
        <f>[1]节奏总纲!AD97</f>
        <v>65.691225232427584</v>
      </c>
      <c r="S97" s="4">
        <f>[1]节奏总纲!AE97</f>
        <v>67.712127008180858</v>
      </c>
      <c r="T97" s="4">
        <f>[1]节奏总纲!AF97</f>
        <v>70.601097119399213</v>
      </c>
      <c r="U97" s="4">
        <f>[1]节奏总纲!AG97</f>
        <v>75.115180559621535</v>
      </c>
      <c r="V97" s="4">
        <f>[1]节奏总纲!AH97</f>
        <v>83.744492718519624</v>
      </c>
      <c r="AN97" s="4">
        <v>94</v>
      </c>
      <c r="AO97" s="4">
        <f>[1]节奏总纲!BA97</f>
        <v>37.607869265319941</v>
      </c>
      <c r="AP97" s="4">
        <f>[1]节奏总纲!BB97</f>
        <v>39.115214427575864</v>
      </c>
      <c r="AQ97" s="4">
        <f>[1]节奏总纲!BC97</f>
        <v>41.053954370816207</v>
      </c>
      <c r="AR97" s="4">
        <f>[1]节奏总纲!BD97</f>
        <v>43.77911147780199</v>
      </c>
      <c r="AS97" s="4">
        <f>[1]节奏总纲!BE97</f>
        <v>48.460844748995065</v>
      </c>
    </row>
    <row r="98" spans="2:45" x14ac:dyDescent="0.15">
      <c r="B98" s="4">
        <f>[1]节奏总纲!N98</f>
        <v>105</v>
      </c>
      <c r="C98" s="4">
        <v>95</v>
      </c>
      <c r="D98" s="4">
        <f>[1]节奏总纲!P98</f>
        <v>723.0773439350246</v>
      </c>
      <c r="E98" s="4">
        <f>[1]节奏总纲!Q98</f>
        <v>618.15882133005255</v>
      </c>
      <c r="F98" s="4">
        <f>[1]节奏总纲!R98</f>
        <v>495.95875020503337</v>
      </c>
      <c r="G98" s="4">
        <f>[1]节奏总纲!S98</f>
        <v>355.39251454406457</v>
      </c>
      <c r="H98" s="4">
        <f>[1]节奏总纲!T98</f>
        <v>192.84472762747106</v>
      </c>
      <c r="J98" s="4">
        <v>95</v>
      </c>
      <c r="K98" s="4">
        <f>[1]节奏总纲!W98</f>
        <v>48.489293619302771</v>
      </c>
      <c r="L98" s="4">
        <f>[1]节奏总纲!X98</f>
        <v>41.858249945331409</v>
      </c>
      <c r="M98" s="4">
        <f>[1]节奏总纲!Y98</f>
        <v>31.909630392848328</v>
      </c>
      <c r="N98" s="4">
        <f>[1]节奏总纲!Z98</f>
        <v>22.685688128350534</v>
      </c>
      <c r="O98" s="4">
        <f>[1]节奏总纲!AA98</f>
        <v>13.201929828394356</v>
      </c>
      <c r="Q98" s="4">
        <v>95</v>
      </c>
      <c r="R98" s="4">
        <f>[1]节奏总纲!AD98</f>
        <v>65.845161563010123</v>
      </c>
      <c r="S98" s="4">
        <f>[1]节奏总纲!AE98</f>
        <v>67.869300353222485</v>
      </c>
      <c r="T98" s="4">
        <f>[1]节奏总纲!AF98</f>
        <v>70.755481893869288</v>
      </c>
      <c r="U98" s="4">
        <f>[1]节奏总纲!AG98</f>
        <v>75.261722981240993</v>
      </c>
      <c r="V98" s="4">
        <f>[1]节奏总纲!AH98</f>
        <v>83.899392260409456</v>
      </c>
      <c r="AN98" s="4">
        <v>95</v>
      </c>
      <c r="AO98" s="4">
        <f>[1]节奏总纲!BA98</f>
        <v>37.680472138177471</v>
      </c>
      <c r="AP98" s="4">
        <f>[1]节奏总纲!BB98</f>
        <v>39.182755310967018</v>
      </c>
      <c r="AQ98" s="4">
        <f>[1]节奏总纲!BC98</f>
        <v>41.120998062635785</v>
      </c>
      <c r="AR98" s="4">
        <f>[1]节奏总纲!BD98</f>
        <v>43.854004894671284</v>
      </c>
      <c r="AS98" s="4">
        <f>[1]节奏总纲!BE98</f>
        <v>48.532630748633537</v>
      </c>
    </row>
    <row r="99" spans="2:45" x14ac:dyDescent="0.15">
      <c r="B99" s="4">
        <f>[1]节奏总纲!N99</f>
        <v>106</v>
      </c>
      <c r="C99" s="4">
        <v>96</v>
      </c>
      <c r="D99" s="4">
        <f>[1]节奏总纲!P99</f>
        <v>775.04688205332377</v>
      </c>
      <c r="E99" s="4">
        <f>[1]节奏总纲!Q99</f>
        <v>661.0374857032798</v>
      </c>
      <c r="F99" s="4">
        <f>[1]节奏总纲!R99</f>
        <v>529.97705794806279</v>
      </c>
      <c r="G99" s="4">
        <f>[1]节奏总纲!S99</f>
        <v>380.70302846459265</v>
      </c>
      <c r="H99" s="4">
        <f>[1]节奏总纲!T99</f>
        <v>206.86001282003213</v>
      </c>
      <c r="J99" s="4">
        <v>96</v>
      </c>
      <c r="K99" s="4">
        <f>[1]节奏总纲!W99</f>
        <v>51.96953811829917</v>
      </c>
      <c r="L99" s="4">
        <f>[1]节奏总纲!X99</f>
        <v>42.878664373227252</v>
      </c>
      <c r="M99" s="4">
        <f>[1]节奏总纲!Y99</f>
        <v>34.018307743029425</v>
      </c>
      <c r="N99" s="4">
        <f>[1]节奏总纲!Z99</f>
        <v>25.310513920528081</v>
      </c>
      <c r="O99" s="4">
        <f>[1]节奏总纲!AA99</f>
        <v>14.015285192561066</v>
      </c>
      <c r="Q99" s="4">
        <v>96</v>
      </c>
      <c r="R99" s="4">
        <f>[1]节奏总纲!AD99</f>
        <v>65.999097893592648</v>
      </c>
      <c r="S99" s="4">
        <f>[1]节奏总纲!AE99</f>
        <v>68.025215371037646</v>
      </c>
      <c r="T99" s="4">
        <f>[1]节奏总纲!AF99</f>
        <v>70.909866668339362</v>
      </c>
      <c r="U99" s="4">
        <f>[1]节奏总纲!AG99</f>
        <v>75.408265402860437</v>
      </c>
      <c r="V99" s="4">
        <f>[1]节奏总纲!AH99</f>
        <v>84.050903767166133</v>
      </c>
      <c r="AN99" s="4">
        <v>96</v>
      </c>
      <c r="AO99" s="4">
        <f>[1]节奏总纲!BA99</f>
        <v>37.753075011035001</v>
      </c>
      <c r="AP99" s="4">
        <f>[1]节奏总纲!BB99</f>
        <v>39.250296194358178</v>
      </c>
      <c r="AQ99" s="4">
        <f>[1]节奏总纲!BC99</f>
        <v>41.188041754455355</v>
      </c>
      <c r="AR99" s="4">
        <f>[1]节奏总纲!BD99</f>
        <v>43.928898311540578</v>
      </c>
      <c r="AS99" s="4">
        <f>[1]节奏总纲!BE99</f>
        <v>48.604416748272008</v>
      </c>
    </row>
    <row r="100" spans="2:45" x14ac:dyDescent="0.15">
      <c r="B100" s="4">
        <f>[1]节奏总纲!N100</f>
        <v>107</v>
      </c>
      <c r="C100" s="4">
        <v>97</v>
      </c>
      <c r="D100" s="4">
        <f>[1]节奏总纲!P100</f>
        <v>830.74645386878444</v>
      </c>
      <c r="E100" s="4">
        <f>[1]节奏总纲!Q100</f>
        <v>707.71290405081743</v>
      </c>
      <c r="F100" s="4">
        <f>[1]节奏总纲!R100</f>
        <v>569.31054483627804</v>
      </c>
      <c r="G100" s="4">
        <f>[1]节奏总纲!S100</f>
        <v>409.80722569347137</v>
      </c>
      <c r="H100" s="4">
        <f>[1]节奏总纲!T100</f>
        <v>223.30464679992923</v>
      </c>
      <c r="J100" s="4">
        <v>97</v>
      </c>
      <c r="K100" s="4">
        <f>[1]节奏总纲!W100</f>
        <v>55.699571815460672</v>
      </c>
      <c r="L100" s="4">
        <f>[1]节奏总纲!X100</f>
        <v>46.675418347537629</v>
      </c>
      <c r="M100" s="4">
        <f>[1]节奏总纲!Y100</f>
        <v>39.333486888215248</v>
      </c>
      <c r="N100" s="4">
        <f>[1]节奏总纲!Z100</f>
        <v>29.104197228878718</v>
      </c>
      <c r="O100" s="4">
        <f>[1]节奏总纲!AA100</f>
        <v>16.444633979897105</v>
      </c>
      <c r="Q100" s="4">
        <v>97</v>
      </c>
      <c r="R100" s="4">
        <f>[1]节奏总纲!AD100</f>
        <v>66.142785979989682</v>
      </c>
      <c r="S100" s="4">
        <f>[1]节奏总纲!AE100</f>
        <v>68.174918074940805</v>
      </c>
      <c r="T100" s="4">
        <f>[1]节奏总纲!AF100</f>
        <v>71.061795050376986</v>
      </c>
      <c r="U100" s="4">
        <f>[1]节奏总纲!AG100</f>
        <v>75.554807824479894</v>
      </c>
      <c r="V100" s="4">
        <f>[1]节奏总纲!AH100</f>
        <v>84.196136930932482</v>
      </c>
      <c r="AN100" s="4">
        <v>97</v>
      </c>
      <c r="AO100" s="4">
        <f>[1]节奏总纲!BA100</f>
        <v>37.825677883892531</v>
      </c>
      <c r="AP100" s="4">
        <f>[1]节奏总纲!BB100</f>
        <v>39.317837077749331</v>
      </c>
      <c r="AQ100" s="4">
        <f>[1]节奏总纲!BC100</f>
        <v>41.255085446274933</v>
      </c>
      <c r="AR100" s="4">
        <f>[1]节奏总纲!BD100</f>
        <v>44.003272544984547</v>
      </c>
      <c r="AS100" s="4">
        <f>[1]节奏总纲!BE100</f>
        <v>48.67620274791048</v>
      </c>
    </row>
    <row r="101" spans="2:45" x14ac:dyDescent="0.15">
      <c r="B101" s="4">
        <f>[1]节奏总纲!N101</f>
        <v>108</v>
      </c>
      <c r="C101" s="4">
        <v>98</v>
      </c>
      <c r="D101" s="4">
        <f>[1]节奏总纲!P101</f>
        <v>890.4437768152311</v>
      </c>
      <c r="E101" s="4">
        <f>[1]节奏总纲!Q101</f>
        <v>760.34994102252585</v>
      </c>
      <c r="F101" s="4">
        <f>[1]节奏总纲!R101</f>
        <v>612.98149595960513</v>
      </c>
      <c r="G101" s="4">
        <f>[1]节奏总纲!S101</f>
        <v>441.9272464333992</v>
      </c>
      <c r="H101" s="4">
        <f>[1]节奏总纲!T101</f>
        <v>240.77599725083846</v>
      </c>
      <c r="J101" s="4">
        <v>98</v>
      </c>
      <c r="K101" s="4">
        <f>[1]节奏总纲!W101</f>
        <v>59.697322946446661</v>
      </c>
      <c r="L101" s="4">
        <f>[1]节奏总纲!X101</f>
        <v>52.637036971708426</v>
      </c>
      <c r="M101" s="4">
        <f>[1]节奏总纲!Y101</f>
        <v>43.670951123327086</v>
      </c>
      <c r="N101" s="4">
        <f>[1]节奏总纲!Z101</f>
        <v>32.120020739927838</v>
      </c>
      <c r="O101" s="4">
        <f>[1]节奏总纲!AA101</f>
        <v>17.471350450909227</v>
      </c>
      <c r="Q101" s="4">
        <v>98</v>
      </c>
      <c r="R101" s="4">
        <f>[1]节奏总纲!AD101</f>
        <v>66.286413655019302</v>
      </c>
      <c r="S101" s="4">
        <f>[1]节奏总纲!AE101</f>
        <v>68.324620778843951</v>
      </c>
      <c r="T101" s="4">
        <f>[1]节奏总纲!AF101</f>
        <v>71.210277551293188</v>
      </c>
      <c r="U101" s="4">
        <f>[1]节奏总纲!AG101</f>
        <v>75.701350246099338</v>
      </c>
      <c r="V101" s="4">
        <f>[1]节奏总纲!AH101</f>
        <v>84.341370094698831</v>
      </c>
      <c r="AN101" s="4">
        <v>98</v>
      </c>
      <c r="AO101" s="4">
        <f>[1]节奏总纲!BA101</f>
        <v>37.898280756750061</v>
      </c>
      <c r="AP101" s="4">
        <f>[1]节奏总纲!BB101</f>
        <v>39.385377961140485</v>
      </c>
      <c r="AQ101" s="4">
        <f>[1]节奏总纲!BC101</f>
        <v>41.322129138094503</v>
      </c>
      <c r="AR101" s="4">
        <f>[1]节奏总纲!BD101</f>
        <v>44.067911160744309</v>
      </c>
      <c r="AS101" s="4">
        <f>[1]节奏总纲!BE101</f>
        <v>48.747988747548945</v>
      </c>
    </row>
    <row r="102" spans="2:45" x14ac:dyDescent="0.15">
      <c r="B102" s="4">
        <f>[1]节奏总纲!N102</f>
        <v>109</v>
      </c>
      <c r="C102" s="4">
        <v>99</v>
      </c>
      <c r="D102" s="4">
        <f>[1]节奏总纲!P102</f>
        <v>954.42578333369079</v>
      </c>
      <c r="E102" s="4">
        <f>[1]节奏总纲!Q102</f>
        <v>816.51125764197252</v>
      </c>
      <c r="F102" s="4">
        <f>[1]节奏总纲!R102</f>
        <v>658.6492330785801</v>
      </c>
      <c r="G102" s="4">
        <f>[1]节奏总纲!S102</f>
        <v>475.39948267851139</v>
      </c>
      <c r="H102" s="4">
        <f>[1]节奏总纲!T102</f>
        <v>257.59951892176309</v>
      </c>
      <c r="J102" s="4">
        <v>99</v>
      </c>
      <c r="K102" s="4">
        <f>[1]节奏总纲!W102</f>
        <v>63.982006518459684</v>
      </c>
      <c r="L102" s="4">
        <f>[1]节奏总纲!X102</f>
        <v>56.161316619446666</v>
      </c>
      <c r="M102" s="4">
        <f>[1]节奏总纲!Y102</f>
        <v>45.667737118974969</v>
      </c>
      <c r="N102" s="4">
        <f>[1]节奏总纲!Z102</f>
        <v>33.472236245112185</v>
      </c>
      <c r="O102" s="4">
        <f>[1]节奏总纲!AA102</f>
        <v>16.823521670924634</v>
      </c>
      <c r="Q102" s="4">
        <v>99</v>
      </c>
      <c r="R102" s="4">
        <f>[1]节奏总纲!AD102</f>
        <v>66.430041330048923</v>
      </c>
      <c r="S102" s="4">
        <f>[1]节奏总纲!AE102</f>
        <v>68.474323482747096</v>
      </c>
      <c r="T102" s="4">
        <f>[1]节奏总纲!AF102</f>
        <v>71.358760052209377</v>
      </c>
      <c r="U102" s="4">
        <f>[1]节奏总纲!AG102</f>
        <v>75.847892667718796</v>
      </c>
      <c r="V102" s="4">
        <f>[1]节奏总纲!AH102</f>
        <v>84.48660325846518</v>
      </c>
      <c r="AN102" s="4">
        <v>99</v>
      </c>
      <c r="AO102" s="4">
        <f>[1]节奏总纲!BA102</f>
        <v>37.970883629607592</v>
      </c>
      <c r="AP102" s="4">
        <f>[1]节奏总纲!BB102</f>
        <v>39.452918844531645</v>
      </c>
      <c r="AQ102" s="4">
        <f>[1]节奏总纲!BC102</f>
        <v>41.389172829914081</v>
      </c>
      <c r="AR102" s="4">
        <f>[1]节奏总纲!BD102</f>
        <v>44.132549776504064</v>
      </c>
      <c r="AS102" s="4">
        <f>[1]节奏总纲!BE102</f>
        <v>48.819774747187417</v>
      </c>
    </row>
    <row r="103" spans="2:45" x14ac:dyDescent="0.15">
      <c r="B103" s="4">
        <f>[1]节奏总纲!N103</f>
        <v>110</v>
      </c>
      <c r="C103" s="4">
        <v>100</v>
      </c>
      <c r="D103" s="4">
        <f>[1]节奏总纲!P103</f>
        <v>1023</v>
      </c>
      <c r="E103" s="4">
        <f>[1]节奏总纲!Q103</f>
        <v>875.38110000000006</v>
      </c>
      <c r="F103" s="4">
        <f>[1]节奏总纲!R103</f>
        <v>706.6884</v>
      </c>
      <c r="G103" s="4">
        <f>[1]节奏总纲!S103</f>
        <v>508.22640000000001</v>
      </c>
      <c r="H103" s="4">
        <f>[1]节奏总纲!T103</f>
        <v>274.77780000000001</v>
      </c>
      <c r="J103" s="4">
        <v>100</v>
      </c>
      <c r="K103" s="4">
        <f>[1]节奏总纲!W103</f>
        <v>68.574216666309212</v>
      </c>
      <c r="L103" s="4">
        <f>[1]节奏总纲!X103</f>
        <v>58.86984235802754</v>
      </c>
      <c r="M103" s="4">
        <f>[1]节奏总纲!Y103</f>
        <v>48.039166921419906</v>
      </c>
      <c r="N103" s="4">
        <f>[1]节奏总纲!Z103</f>
        <v>32.826917321488622</v>
      </c>
      <c r="O103" s="4">
        <f>[1]节奏总纲!AA103</f>
        <v>17.178281078236921</v>
      </c>
      <c r="Q103" s="4">
        <v>100</v>
      </c>
      <c r="R103" s="4">
        <f>[1]节奏总纲!AD103</f>
        <v>66.573669005078543</v>
      </c>
      <c r="S103" s="4">
        <f>[1]节奏总纲!AE103</f>
        <v>68.624026186650241</v>
      </c>
      <c r="T103" s="4">
        <f>[1]节奏总纲!AF103</f>
        <v>71.507242553125565</v>
      </c>
      <c r="U103" s="4">
        <f>[1]节奏总纲!AG103</f>
        <v>75.994435089338239</v>
      </c>
      <c r="V103" s="4">
        <f>[1]节奏总纲!AH103</f>
        <v>84.63183642223153</v>
      </c>
      <c r="AN103" s="4">
        <v>100</v>
      </c>
      <c r="AO103" s="4">
        <f>[1]节奏总纲!BA103</f>
        <v>38.037513426486328</v>
      </c>
      <c r="AP103" s="4">
        <f>[1]节奏总纲!BB103</f>
        <v>39.520459727922798</v>
      </c>
      <c r="AQ103" s="4">
        <f>[1]节奏总纲!BC103</f>
        <v>41.456216521733651</v>
      </c>
      <c r="AR103" s="4">
        <f>[1]节奏总纲!BD103</f>
        <v>44.197188392263818</v>
      </c>
      <c r="AS103" s="4">
        <f>[1]节奏总纲!BE103</f>
        <v>48.891560746825888</v>
      </c>
    </row>
    <row r="104" spans="2:45" x14ac:dyDescent="0.15">
      <c r="B104" s="4">
        <f>[1]节奏总纲!N104</f>
        <v>111</v>
      </c>
      <c r="C104" s="4">
        <v>101</v>
      </c>
      <c r="D104" s="4">
        <f>[1]节奏总纲!P104</f>
        <v>1096.4960256371633</v>
      </c>
      <c r="E104" s="4">
        <f>[1]节奏总纲!Q104</f>
        <v>939.14884595823037</v>
      </c>
      <c r="F104" s="4">
        <f>[1]节奏总纲!R104</f>
        <v>756.25330888195151</v>
      </c>
      <c r="G104" s="4">
        <f>[1]节奏总纲!S104</f>
        <v>541.99798547244984</v>
      </c>
      <c r="H104" s="4">
        <f>[1]节奏总纲!T104</f>
        <v>293.42233646050488</v>
      </c>
      <c r="J104" s="4">
        <v>101</v>
      </c>
      <c r="K104" s="4">
        <f>[1]节奏总纲!W104</f>
        <v>73.496025637163257</v>
      </c>
      <c r="L104" s="4">
        <f>[1]节奏总纲!X104</f>
        <v>63.767745958230307</v>
      </c>
      <c r="M104" s="4">
        <f>[1]节奏总纲!Y104</f>
        <v>49.56490888195151</v>
      </c>
      <c r="N104" s="4">
        <f>[1]节奏总纲!Z104</f>
        <v>33.771585472449829</v>
      </c>
      <c r="O104" s="4">
        <f>[1]节奏总纲!AA104</f>
        <v>18.644536460504867</v>
      </c>
      <c r="Q104" s="4">
        <v>101</v>
      </c>
      <c r="R104" s="4">
        <f>[1]节奏总纲!AD104</f>
        <v>66.717296680108163</v>
      </c>
      <c r="S104" s="4">
        <f>[1]节奏总纲!AE104</f>
        <v>68.773728890553386</v>
      </c>
      <c r="T104" s="4">
        <f>[1]节奏总纲!AF104</f>
        <v>71.655725054041767</v>
      </c>
      <c r="U104" s="4">
        <f>[1]节奏总纲!AG104</f>
        <v>76.130305911210229</v>
      </c>
      <c r="V104" s="4">
        <f>[1]节奏总纲!AH104</f>
        <v>84.777069585997879</v>
      </c>
      <c r="AN104" s="4">
        <v>101</v>
      </c>
      <c r="AO104" s="4">
        <f>[1]节奏总纲!BA104</f>
        <v>38.100143952724252</v>
      </c>
      <c r="AP104" s="4">
        <f>[1]节奏总纲!BB104</f>
        <v>39.588000611313952</v>
      </c>
      <c r="AQ104" s="4">
        <f>[1]节奏总纲!BC104</f>
        <v>41.523260213553229</v>
      </c>
      <c r="AR104" s="4">
        <f>[1]节奏总纲!BD104</f>
        <v>44.261827008023573</v>
      </c>
      <c r="AS104" s="4">
        <f>[1]节奏总纲!BE104</f>
        <v>48.96334674646436</v>
      </c>
    </row>
    <row r="105" spans="2:45" x14ac:dyDescent="0.15">
      <c r="B105" s="4">
        <f>[1]节奏总纲!N105</f>
        <v>112</v>
      </c>
      <c r="C105" s="4">
        <v>102</v>
      </c>
      <c r="D105" s="4">
        <f>[1]节奏总纲!P105</f>
        <v>1175.2671155169628</v>
      </c>
      <c r="E105" s="4">
        <f>[1]节奏总纲!Q105</f>
        <v>1004.2657502092447</v>
      </c>
      <c r="F105" s="4">
        <f>[1]节奏总纲!R105</f>
        <v>806.23324124463659</v>
      </c>
      <c r="G105" s="4">
        <f>[1]节奏总纲!S105</f>
        <v>577.99636741124232</v>
      </c>
      <c r="H105" s="4">
        <f>[1]节奏总纲!T105</f>
        <v>313.56126641992563</v>
      </c>
      <c r="J105" s="4">
        <v>102</v>
      </c>
      <c r="K105" s="4">
        <f>[1]节奏总纲!W105</f>
        <v>78.771089879799547</v>
      </c>
      <c r="L105" s="4">
        <f>[1]节奏总纲!X105</f>
        <v>65.116904251014375</v>
      </c>
      <c r="M105" s="4">
        <f>[1]节奏总纲!Y105</f>
        <v>49.979932362685076</v>
      </c>
      <c r="N105" s="4">
        <f>[1]节奏总纲!Z105</f>
        <v>35.998381938792477</v>
      </c>
      <c r="O105" s="4">
        <f>[1]节奏总纲!AA105</f>
        <v>20.13892995942075</v>
      </c>
      <c r="Q105" s="4">
        <v>102</v>
      </c>
      <c r="R105" s="4">
        <f>[1]节奏总纲!AD105</f>
        <v>66.860924355137783</v>
      </c>
      <c r="S105" s="4">
        <f>[1]节奏总纲!AE105</f>
        <v>68.923431594456531</v>
      </c>
      <c r="T105" s="4">
        <f>[1]节奏总纲!AF105</f>
        <v>71.804207554957955</v>
      </c>
      <c r="U105" s="4">
        <f>[1]节奏总纲!AG105</f>
        <v>76.265755485049056</v>
      </c>
      <c r="V105" s="4">
        <f>[1]节奏总纲!AH105</f>
        <v>84.922302749764228</v>
      </c>
      <c r="AN105" s="4">
        <v>102</v>
      </c>
      <c r="AO105" s="4">
        <f>[1]节奏总纲!BA105</f>
        <v>38.16277447896217</v>
      </c>
      <c r="AP105" s="4">
        <f>[1]节奏总纲!BB105</f>
        <v>39.655541494705105</v>
      </c>
      <c r="AQ105" s="4">
        <f>[1]节奏总纲!BC105</f>
        <v>41.590303905372799</v>
      </c>
      <c r="AR105" s="4">
        <f>[1]节奏总纲!BD105</f>
        <v>44.326465623783335</v>
      </c>
      <c r="AS105" s="4">
        <f>[1]节奏总纲!BE105</f>
        <v>49.030333272797542</v>
      </c>
    </row>
    <row r="106" spans="2:45" x14ac:dyDescent="0.15">
      <c r="B106" s="4">
        <f>[1]节奏总纲!N106</f>
        <v>113</v>
      </c>
      <c r="C106" s="4">
        <v>103</v>
      </c>
      <c r="D106" s="4">
        <f>[1]节奏总纲!P106</f>
        <v>1259.6918792651943</v>
      </c>
      <c r="E106" s="4">
        <f>[1]节奏总纲!Q106</f>
        <v>1073.383450321872</v>
      </c>
      <c r="F106" s="4">
        <f>[1]节奏总纲!R106</f>
        <v>861.50327622946634</v>
      </c>
      <c r="G106" s="4">
        <f>[1]节奏总纲!S106</f>
        <v>619.01258947091651</v>
      </c>
      <c r="H106" s="4">
        <f>[1]节奏总纲!T106</f>
        <v>335.8338550121008</v>
      </c>
      <c r="J106" s="4">
        <v>103</v>
      </c>
      <c r="K106" s="4">
        <f>[1]节奏总纲!W106</f>
        <v>84.424763748231499</v>
      </c>
      <c r="L106" s="4">
        <f>[1]节奏总纲!X106</f>
        <v>69.11770011262729</v>
      </c>
      <c r="M106" s="4">
        <f>[1]节奏总纲!Y106</f>
        <v>55.270034984829749</v>
      </c>
      <c r="N106" s="4">
        <f>[1]节奏总纲!Z106</f>
        <v>41.016222059674192</v>
      </c>
      <c r="O106" s="4">
        <f>[1]节奏总纲!AA106</f>
        <v>22.272588592175168</v>
      </c>
      <c r="Q106" s="4">
        <v>103</v>
      </c>
      <c r="R106" s="4">
        <f>[1]节奏总纲!AD106</f>
        <v>67.004247194324648</v>
      </c>
      <c r="S106" s="4">
        <f>[1]节奏总纲!AE106</f>
        <v>69.0655056802525</v>
      </c>
      <c r="T106" s="4">
        <f>[1]节奏总纲!AF106</f>
        <v>71.952690055874157</v>
      </c>
      <c r="U106" s="4">
        <f>[1]节奏总纲!AG106</f>
        <v>76.401205058887882</v>
      </c>
      <c r="V106" s="4">
        <f>[1]节奏总纲!AH106</f>
        <v>85.072521641060263</v>
      </c>
      <c r="AN106" s="4">
        <v>103</v>
      </c>
      <c r="AO106" s="4">
        <f>[1]节奏总纲!BA106</f>
        <v>38.225405005200088</v>
      </c>
      <c r="AP106" s="4">
        <f>[1]节奏总纲!BB106</f>
        <v>39.723082378096265</v>
      </c>
      <c r="AQ106" s="4">
        <f>[1]节奏总纲!BC106</f>
        <v>41.657347597192377</v>
      </c>
      <c r="AR106" s="4">
        <f>[1]节奏总纲!BD106</f>
        <v>44.39110423954309</v>
      </c>
      <c r="AS106" s="4">
        <f>[1]节奏总纲!BE106</f>
        <v>49.09231260978715</v>
      </c>
    </row>
    <row r="107" spans="2:45" x14ac:dyDescent="0.15">
      <c r="B107" s="4">
        <f>[1]节奏总纲!N107</f>
        <v>114</v>
      </c>
      <c r="C107" s="4">
        <v>104</v>
      </c>
      <c r="D107" s="4">
        <f>[1]节奏总纲!P107</f>
        <v>1350.1761006314437</v>
      </c>
      <c r="E107" s="4">
        <f>[1]节奏总纲!Q107</f>
        <v>1150.7550905681794</v>
      </c>
      <c r="F107" s="4">
        <f>[1]节奏总纲!R107</f>
        <v>925.41069937279144</v>
      </c>
      <c r="G107" s="4">
        <f>[1]节奏总纲!S107</f>
        <v>665.09674717104917</v>
      </c>
      <c r="H107" s="4">
        <f>[1]节奏总纲!T107</f>
        <v>360.49701886859549</v>
      </c>
      <c r="J107" s="4">
        <v>104</v>
      </c>
      <c r="K107" s="4">
        <f>[1]节奏总纲!W107</f>
        <v>90.484221366249358</v>
      </c>
      <c r="L107" s="4">
        <f>[1]节奏总纲!X107</f>
        <v>77.371640246307379</v>
      </c>
      <c r="M107" s="4">
        <f>[1]节奏总纲!Y107</f>
        <v>63.907423143325104</v>
      </c>
      <c r="N107" s="4">
        <f>[1]节奏总纲!Z107</f>
        <v>46.084157700132664</v>
      </c>
      <c r="O107" s="4">
        <f>[1]节奏总纲!AA107</f>
        <v>24.663163856494691</v>
      </c>
      <c r="Q107" s="4">
        <v>104</v>
      </c>
      <c r="R107" s="4">
        <f>[1]节奏总纲!AD107</f>
        <v>67.138256553625013</v>
      </c>
      <c r="S107" s="4">
        <f>[1]节奏总纲!AE107</f>
        <v>69.199592937186125</v>
      </c>
      <c r="T107" s="4">
        <f>[1]节奏总纲!AF107</f>
        <v>72.093818006439079</v>
      </c>
      <c r="U107" s="4">
        <f>[1]节奏总纲!AG107</f>
        <v>76.536654632726695</v>
      </c>
      <c r="V107" s="4">
        <f>[1]节奏总纲!AH107</f>
        <v>85.228476403824274</v>
      </c>
      <c r="AN107" s="4">
        <v>104</v>
      </c>
      <c r="AO107" s="4">
        <f>[1]节奏总纲!BA107</f>
        <v>38.288035531438013</v>
      </c>
      <c r="AP107" s="4">
        <f>[1]节奏总纲!BB107</f>
        <v>39.790623261487418</v>
      </c>
      <c r="AQ107" s="4">
        <f>[1]节奏总纲!BC107</f>
        <v>41.724391289011947</v>
      </c>
      <c r="AR107" s="4">
        <f>[1]节奏总纲!BD107</f>
        <v>44.455742855302844</v>
      </c>
      <c r="AS107" s="4">
        <f>[1]节奏总纲!BE107</f>
        <v>49.154291946776759</v>
      </c>
    </row>
    <row r="108" spans="2:45" x14ac:dyDescent="0.15">
      <c r="B108" s="4">
        <f>[1]节奏总纲!N108</f>
        <v>115</v>
      </c>
      <c r="C108" s="4">
        <v>105</v>
      </c>
      <c r="D108" s="4">
        <f>[1]节奏总纲!P108</f>
        <v>1447.1546878700494</v>
      </c>
      <c r="E108" s="4">
        <f>[1]节奏总纲!Q108</f>
        <v>1234.8570951595132</v>
      </c>
      <c r="F108" s="4">
        <f>[1]节奏总纲!R108</f>
        <v>993.18226228521496</v>
      </c>
      <c r="G108" s="4">
        <f>[1]节奏总纲!S108</f>
        <v>713.59197658872131</v>
      </c>
      <c r="H108" s="4">
        <f>[1]节奏总纲!T108</f>
        <v>386.39030166130323</v>
      </c>
      <c r="J108" s="4">
        <v>105</v>
      </c>
      <c r="K108" s="4">
        <f>[1]节奏总纲!W108</f>
        <v>96.978587238605769</v>
      </c>
      <c r="L108" s="4">
        <f>[1]节奏总纲!X108</f>
        <v>84.102004591333753</v>
      </c>
      <c r="M108" s="4">
        <f>[1]节奏总纲!Y108</f>
        <v>67.771562912423519</v>
      </c>
      <c r="N108" s="4">
        <f>[1]节奏总纲!Z108</f>
        <v>48.495229417672135</v>
      </c>
      <c r="O108" s="4">
        <f>[1]节奏总纲!AA108</f>
        <v>25.893282792707737</v>
      </c>
      <c r="Q108" s="4">
        <v>105</v>
      </c>
      <c r="R108" s="4">
        <f>[1]节奏总纲!AD108</f>
        <v>67.272265912925377</v>
      </c>
      <c r="S108" s="4">
        <f>[1]节奏总纲!AE108</f>
        <v>69.333680194119751</v>
      </c>
      <c r="T108" s="4">
        <f>[1]节奏总纲!AF108</f>
        <v>72.23150684883845</v>
      </c>
      <c r="U108" s="4">
        <f>[1]节奏总纲!AG108</f>
        <v>76.672104206565521</v>
      </c>
      <c r="V108" s="4">
        <f>[1]节奏总纲!AH108</f>
        <v>85.384431166588271</v>
      </c>
      <c r="AN108" s="4">
        <v>105</v>
      </c>
      <c r="AO108" s="4">
        <f>[1]节奏总纲!BA108</f>
        <v>38.35066605767593</v>
      </c>
      <c r="AP108" s="4">
        <f>[1]节奏总纲!BB108</f>
        <v>39.858164144878572</v>
      </c>
      <c r="AQ108" s="4">
        <f>[1]节奏总纲!BC108</f>
        <v>41.791434980831518</v>
      </c>
      <c r="AR108" s="4">
        <f>[1]节奏总纲!BD108</f>
        <v>44.520381471062606</v>
      </c>
      <c r="AS108" s="4">
        <f>[1]节奏总纲!BE108</f>
        <v>49.216271283766375</v>
      </c>
    </row>
    <row r="109" spans="2:45" x14ac:dyDescent="0.15">
      <c r="B109" s="4">
        <f>[1]节奏总纲!N109</f>
        <v>116</v>
      </c>
      <c r="C109" s="4">
        <v>106</v>
      </c>
      <c r="D109" s="4">
        <f>[1]节奏总纲!P109</f>
        <v>1551.0937641066464</v>
      </c>
      <c r="E109" s="4">
        <f>[1]节奏总纲!Q109</f>
        <v>1324.4789651706653</v>
      </c>
      <c r="F109" s="4">
        <f>[1]节奏总纲!R109</f>
        <v>1064.6707596828021</v>
      </c>
      <c r="G109" s="4">
        <f>[1]节奏总纲!S109</f>
        <v>764.3790069517554</v>
      </c>
      <c r="H109" s="4">
        <f>[1]节奏总纲!T109</f>
        <v>412.59094125236794</v>
      </c>
      <c r="J109" s="4">
        <v>106</v>
      </c>
      <c r="K109" s="4">
        <f>[1]节奏总纲!W109</f>
        <v>103.93907623659697</v>
      </c>
      <c r="L109" s="4">
        <f>[1]节奏总纲!X109</f>
        <v>89.621870011152168</v>
      </c>
      <c r="M109" s="4">
        <f>[1]节奏总纲!Y109</f>
        <v>71.488497397587139</v>
      </c>
      <c r="N109" s="4">
        <f>[1]节奏总纲!Z109</f>
        <v>50.787030363034091</v>
      </c>
      <c r="O109" s="4">
        <f>[1]节奏总纲!AA109</f>
        <v>26.200639591064714</v>
      </c>
      <c r="Q109" s="4">
        <v>106</v>
      </c>
      <c r="R109" s="4">
        <f>[1]节奏总纲!AD109</f>
        <v>67.406275272225741</v>
      </c>
      <c r="S109" s="4">
        <f>[1]节奏总纲!AE109</f>
        <v>69.467767451053362</v>
      </c>
      <c r="T109" s="4">
        <f>[1]节奏总纲!AF109</f>
        <v>72.369195691237806</v>
      </c>
      <c r="U109" s="4">
        <f>[1]节奏总纲!AG109</f>
        <v>76.807553780404334</v>
      </c>
      <c r="V109" s="4">
        <f>[1]节奏总纲!AH109</f>
        <v>85.540385929352269</v>
      </c>
      <c r="AN109" s="4">
        <v>106</v>
      </c>
      <c r="AO109" s="4">
        <f>[1]节奏总纲!BA109</f>
        <v>38.413296583913848</v>
      </c>
      <c r="AP109" s="4">
        <f>[1]节奏总纲!BB109</f>
        <v>39.925705028269732</v>
      </c>
      <c r="AQ109" s="4">
        <f>[1]节奏总纲!BC109</f>
        <v>41.858478672651096</v>
      </c>
      <c r="AR109" s="4">
        <f>[1]节奏总纲!BD109</f>
        <v>44.585020086822361</v>
      </c>
      <c r="AS109" s="4">
        <f>[1]节奏总纲!BE109</f>
        <v>49.278250620755983</v>
      </c>
    </row>
    <row r="110" spans="2:45" x14ac:dyDescent="0.15">
      <c r="B110" s="4">
        <f>[1]节奏总纲!N110</f>
        <v>117</v>
      </c>
      <c r="C110" s="4">
        <v>107</v>
      </c>
      <c r="D110" s="4">
        <f>[1]节奏总纲!P110</f>
        <v>1662.4929077375689</v>
      </c>
      <c r="E110" s="4">
        <f>[1]节奏总纲!Q110</f>
        <v>1418.9376967540152</v>
      </c>
      <c r="F110" s="4">
        <f>[1]节奏总纲!R110</f>
        <v>1141.6338797433884</v>
      </c>
      <c r="G110" s="4">
        <f>[1]节奏总纲!S110</f>
        <v>816.11776840837263</v>
      </c>
      <c r="H110" s="4">
        <f>[1]节奏总纲!T110</f>
        <v>440.22812196890823</v>
      </c>
      <c r="J110" s="4">
        <v>107</v>
      </c>
      <c r="K110" s="4">
        <f>[1]节奏总纲!W110</f>
        <v>111.39914363092248</v>
      </c>
      <c r="L110" s="4">
        <f>[1]节奏总纲!X110</f>
        <v>94.458731583349845</v>
      </c>
      <c r="M110" s="4">
        <f>[1]节奏总纲!Y110</f>
        <v>76.963120060586334</v>
      </c>
      <c r="N110" s="4">
        <f>[1]节奏总纲!Z110</f>
        <v>51.738761456617226</v>
      </c>
      <c r="O110" s="4">
        <f>[1]节奏总纲!AA110</f>
        <v>27.637180716540286</v>
      </c>
      <c r="Q110" s="4">
        <v>107</v>
      </c>
      <c r="R110" s="4">
        <f>[1]节奏总纲!AD110</f>
        <v>67.540284631526106</v>
      </c>
      <c r="S110" s="4">
        <f>[1]节奏总纲!AE110</f>
        <v>69.601854707986988</v>
      </c>
      <c r="T110" s="4">
        <f>[1]节奏总纲!AF110</f>
        <v>72.506884533637162</v>
      </c>
      <c r="U110" s="4">
        <f>[1]节奏总纲!AG110</f>
        <v>76.94300335424316</v>
      </c>
      <c r="V110" s="4">
        <f>[1]节奏总纲!AH110</f>
        <v>85.696340692116266</v>
      </c>
      <c r="AN110" s="4">
        <v>107</v>
      </c>
      <c r="AO110" s="4">
        <f>[1]节奏总纲!BA110</f>
        <v>38.475927110151773</v>
      </c>
      <c r="AP110" s="4">
        <f>[1]节奏总纲!BB110</f>
        <v>39.993245911660885</v>
      </c>
      <c r="AQ110" s="4">
        <f>[1]节奏总纲!BC110</f>
        <v>41.925522364470666</v>
      </c>
      <c r="AR110" s="4">
        <f>[1]节奏总纲!BD110</f>
        <v>44.649658702582116</v>
      </c>
      <c r="AS110" s="4">
        <f>[1]节奏总纲!BE110</f>
        <v>49.340229957745592</v>
      </c>
    </row>
    <row r="111" spans="2:45" x14ac:dyDescent="0.15">
      <c r="B111" s="4">
        <f>[1]节奏总纲!N111</f>
        <v>118</v>
      </c>
      <c r="C111" s="4">
        <v>108</v>
      </c>
      <c r="D111" s="4">
        <f>[1]节奏总纲!P111</f>
        <v>1781.8875536304624</v>
      </c>
      <c r="E111" s="4">
        <f>[1]节奏总纲!Q111</f>
        <v>1520.8410270235997</v>
      </c>
      <c r="F111" s="4">
        <f>[1]节奏总纲!R111</f>
        <v>1218.0983316617842</v>
      </c>
      <c r="G111" s="4">
        <f>[1]节奏总纲!S111</f>
        <v>871.69939123602228</v>
      </c>
      <c r="H111" s="4">
        <f>[1]节奏总纲!T111</f>
        <v>471.13106917989433</v>
      </c>
      <c r="J111" s="4">
        <v>108</v>
      </c>
      <c r="K111" s="4">
        <f>[1]节奏总纲!W111</f>
        <v>119.39464589289355</v>
      </c>
      <c r="L111" s="4">
        <f>[1]节奏总纲!X111</f>
        <v>101.90333026958456</v>
      </c>
      <c r="M111" s="4">
        <f>[1]节奏总纲!Y111</f>
        <v>76.464451918395753</v>
      </c>
      <c r="N111" s="4">
        <f>[1]节奏总纲!Z111</f>
        <v>55.581622827649653</v>
      </c>
      <c r="O111" s="4">
        <f>[1]节奏总纲!AA111</f>
        <v>30.902947210986099</v>
      </c>
      <c r="Q111" s="4">
        <v>108</v>
      </c>
      <c r="R111" s="4">
        <f>[1]节奏总纲!AD111</f>
        <v>67.674293990826456</v>
      </c>
      <c r="S111" s="4">
        <f>[1]节奏总纲!AE111</f>
        <v>69.735941964920613</v>
      </c>
      <c r="T111" s="4">
        <f>[1]节奏总纲!AF111</f>
        <v>72.644573376036519</v>
      </c>
      <c r="U111" s="4">
        <f>[1]节奏总纲!AG111</f>
        <v>77.074762810762508</v>
      </c>
      <c r="V111" s="4">
        <f>[1]节奏总纲!AH111</f>
        <v>85.852295454880277</v>
      </c>
      <c r="AN111" s="4">
        <v>108</v>
      </c>
      <c r="AO111" s="4">
        <f>[1]节奏总纲!BA111</f>
        <v>38.53855763638969</v>
      </c>
      <c r="AP111" s="4">
        <f>[1]节奏总纲!BB111</f>
        <v>40.052446592012309</v>
      </c>
      <c r="AQ111" s="4">
        <f>[1]节奏总纲!BC111</f>
        <v>41.992566056290244</v>
      </c>
      <c r="AR111" s="4">
        <f>[1]节奏总纲!BD111</f>
        <v>44.71429731834187</v>
      </c>
      <c r="AS111" s="4">
        <f>[1]节奏总纲!BE111</f>
        <v>49.402209294735208</v>
      </c>
    </row>
    <row r="112" spans="2:45" x14ac:dyDescent="0.15">
      <c r="B112" s="4">
        <f>[1]节奏总纲!N112</f>
        <v>119</v>
      </c>
      <c r="C112" s="4">
        <v>109</v>
      </c>
      <c r="D112" s="4">
        <f>[1]节奏总纲!P112</f>
        <v>1909.8515666673818</v>
      </c>
      <c r="E112" s="4">
        <f>[1]节奏总纲!Q112</f>
        <v>1624.7107277639418</v>
      </c>
      <c r="F112" s="4">
        <f>[1]节奏总纲!R112</f>
        <v>1301.5638426838207</v>
      </c>
      <c r="G112" s="4">
        <f>[1]节奏总纲!S112</f>
        <v>931.81657937701561</v>
      </c>
      <c r="H112" s="4">
        <f>[1]节奏总纲!T112</f>
        <v>504.58278391352223</v>
      </c>
      <c r="J112" s="4">
        <v>109</v>
      </c>
      <c r="K112" s="4">
        <f>[1]节奏总纲!W112</f>
        <v>127.96401303691937</v>
      </c>
      <c r="L112" s="4">
        <f>[1]节奏总纲!X112</f>
        <v>103.86970074034207</v>
      </c>
      <c r="M112" s="4">
        <f>[1]节奏总纲!Y112</f>
        <v>83.46551102203648</v>
      </c>
      <c r="N112" s="4">
        <f>[1]节奏总纲!Z112</f>
        <v>60.117188140993335</v>
      </c>
      <c r="O112" s="4">
        <f>[1]节奏总纲!AA112</f>
        <v>33.451714733627909</v>
      </c>
      <c r="Q112" s="4">
        <v>109</v>
      </c>
      <c r="R112" s="4">
        <f>[1]节奏总纲!AD112</f>
        <v>67.80830335012682</v>
      </c>
      <c r="S112" s="4">
        <f>[1]节奏总纲!AE112</f>
        <v>69.870029221854239</v>
      </c>
      <c r="T112" s="4">
        <f>[1]节奏总纲!AF112</f>
        <v>72.782262218435889</v>
      </c>
      <c r="U112" s="4">
        <f>[1]节奏总纲!AG112</f>
        <v>77.203841369133116</v>
      </c>
      <c r="V112" s="4">
        <f>[1]节奏总纲!AH112</f>
        <v>86.007776715139968</v>
      </c>
      <c r="AN112" s="4">
        <v>109</v>
      </c>
      <c r="AO112" s="4">
        <f>[1]节奏总纲!BA112</f>
        <v>38.601188162627608</v>
      </c>
      <c r="AP112" s="4">
        <f>[1]节奏总纲!BB112</f>
        <v>40.110720583137102</v>
      </c>
      <c r="AQ112" s="4">
        <f>[1]节奏总纲!BC112</f>
        <v>42.051439554347354</v>
      </c>
      <c r="AR112" s="4">
        <f>[1]节奏总纲!BD112</f>
        <v>44.778935934101632</v>
      </c>
      <c r="AS112" s="4">
        <f>[1]节奏总纲!BE112</f>
        <v>49.464188631724817</v>
      </c>
    </row>
    <row r="113" spans="2:45" x14ac:dyDescent="0.15">
      <c r="B113" s="4">
        <f>[1]节奏总纲!N113</f>
        <v>120</v>
      </c>
      <c r="C113" s="4">
        <v>110</v>
      </c>
      <c r="D113" s="4">
        <f>[1]节奏总纲!P113</f>
        <v>2047</v>
      </c>
      <c r="E113" s="4">
        <f>[1]节奏总纲!Q113</f>
        <v>1741.3829000000001</v>
      </c>
      <c r="F113" s="4">
        <f>[1]节奏总纲!R113</f>
        <v>1397.2821999999999</v>
      </c>
      <c r="G113" s="4">
        <f>[1]节奏总纲!S113</f>
        <v>1001.3924000000001</v>
      </c>
      <c r="H113" s="4">
        <f>[1]节奏总纲!T113</f>
        <v>542.04559999999992</v>
      </c>
      <c r="J113" s="4">
        <v>110</v>
      </c>
      <c r="K113" s="4">
        <f>[1]节奏总纲!W113</f>
        <v>137.1484333326182</v>
      </c>
      <c r="L113" s="4">
        <f>[1]节奏总纲!X113</f>
        <v>116.67217223605826</v>
      </c>
      <c r="M113" s="4">
        <f>[1]节奏总纲!Y113</f>
        <v>95.718357316179208</v>
      </c>
      <c r="N113" s="4">
        <f>[1]节奏总纲!Z113</f>
        <v>69.575820622984452</v>
      </c>
      <c r="O113" s="4">
        <f>[1]节奏总纲!AA113</f>
        <v>37.462816086477687</v>
      </c>
      <c r="Q113" s="4">
        <v>110</v>
      </c>
      <c r="R113" s="4">
        <f>[1]节奏总纲!AD113</f>
        <v>67.942312709427185</v>
      </c>
      <c r="S113" s="4">
        <f>[1]节奏总纲!AE113</f>
        <v>70.003807055133578</v>
      </c>
      <c r="T113" s="4">
        <f>[1]节奏总纲!AF113</f>
        <v>72.919951060835245</v>
      </c>
      <c r="U113" s="4">
        <f>[1]节奏总纲!AG113</f>
        <v>77.332919927503724</v>
      </c>
      <c r="V113" s="4">
        <f>[1]节奏总纲!AH113</f>
        <v>86.154780808490045</v>
      </c>
      <c r="AN113" s="4">
        <v>110</v>
      </c>
      <c r="AO113" s="4">
        <f>[1]节奏总纲!BA113</f>
        <v>38.663818688865533</v>
      </c>
      <c r="AP113" s="4">
        <f>[1]节奏总纲!BB113</f>
        <v>40.168994574261895</v>
      </c>
      <c r="AQ113" s="4">
        <f>[1]节奏总纲!BC113</f>
        <v>42.109294145892463</v>
      </c>
      <c r="AR113" s="4">
        <f>[1]节奏总纲!BD113</f>
        <v>44.843574549861387</v>
      </c>
      <c r="AS113" s="4">
        <f>[1]节奏总纲!BE113</f>
        <v>49.526167968714425</v>
      </c>
    </row>
    <row r="114" spans="2:45" x14ac:dyDescent="0.15">
      <c r="B114" s="4">
        <f>[1]节奏总纲!N114</f>
        <v>121</v>
      </c>
      <c r="C114" s="4">
        <v>111</v>
      </c>
      <c r="D114" s="4">
        <f>[1]节奏总纲!P114</f>
        <v>2193.9920512743265</v>
      </c>
      <c r="E114" s="4">
        <f>[1]节奏总纲!Q114</f>
        <v>1869.0618284805987</v>
      </c>
      <c r="F114" s="4">
        <f>[1]节奏总纲!R114</f>
        <v>1500.4711638665117</v>
      </c>
      <c r="G114" s="4">
        <f>[1]节奏总纲!S114</f>
        <v>1076.5918995603122</v>
      </c>
      <c r="H114" s="4">
        <f>[1]节奏总纲!T114</f>
        <v>583.16308722871599</v>
      </c>
      <c r="J114" s="4">
        <v>111</v>
      </c>
      <c r="K114" s="4">
        <f>[1]节奏总纲!W114</f>
        <v>146.99205127432651</v>
      </c>
      <c r="L114" s="4">
        <f>[1]节奏总纲!X114</f>
        <v>127.67892848059864</v>
      </c>
      <c r="M114" s="4">
        <f>[1]节奏总纲!Y114</f>
        <v>103.18896386651181</v>
      </c>
      <c r="N114" s="4">
        <f>[1]节奏总纲!Z114</f>
        <v>75.19949956031212</v>
      </c>
      <c r="O114" s="4">
        <f>[1]节奏总纲!AA114</f>
        <v>41.117487228716072</v>
      </c>
      <c r="Q114" s="4">
        <v>111</v>
      </c>
      <c r="R114" s="4">
        <f>[1]节奏总纲!AD114</f>
        <v>68.071211008105138</v>
      </c>
      <c r="S114" s="4">
        <f>[1]节奏总纲!AE114</f>
        <v>70.127815365673797</v>
      </c>
      <c r="T114" s="4">
        <f>[1]节奏总纲!AF114</f>
        <v>73.051543220271398</v>
      </c>
      <c r="U114" s="4">
        <f>[1]节奏总纲!AG114</f>
        <v>77.461998485874332</v>
      </c>
      <c r="V114" s="4">
        <f>[1]节奏总纲!AH114</f>
        <v>86.301784901840136</v>
      </c>
      <c r="AN114" s="4">
        <v>111</v>
      </c>
      <c r="AO114" s="4">
        <f>[1]节奏总纲!BA114</f>
        <v>38.72644921510345</v>
      </c>
      <c r="AP114" s="4">
        <f>[1]节奏总纲!BB114</f>
        <v>40.227268565386687</v>
      </c>
      <c r="AQ114" s="4">
        <f>[1]节奏总纲!BC114</f>
        <v>42.167148737437572</v>
      </c>
      <c r="AR114" s="4">
        <f>[1]节奏总纲!BD114</f>
        <v>44.908213165621142</v>
      </c>
      <c r="AS114" s="4">
        <f>[1]节奏总纲!BE114</f>
        <v>49.588147305704041</v>
      </c>
    </row>
    <row r="115" spans="2:45" x14ac:dyDescent="0.15">
      <c r="B115" s="4">
        <f>[1]节奏总纲!N115</f>
        <v>122</v>
      </c>
      <c r="C115" s="4">
        <v>112</v>
      </c>
      <c r="D115" s="4">
        <f>[1]节奏总纲!P115</f>
        <v>2351.5342310339256</v>
      </c>
      <c r="E115" s="4">
        <f>[1]节奏总纲!Q115</f>
        <v>2004.6829319564217</v>
      </c>
      <c r="F115" s="4">
        <f>[1]节奏总纲!R115</f>
        <v>1609.3900277196187</v>
      </c>
      <c r="G115" s="4">
        <f>[1]节奏总纲!S115</f>
        <v>1155.3087677069677</v>
      </c>
      <c r="H115" s="4">
        <f>[1]节奏总纲!T115</f>
        <v>623.15657122399034</v>
      </c>
      <c r="J115" s="4">
        <v>112</v>
      </c>
      <c r="K115" s="4">
        <f>[1]节奏总纲!W115</f>
        <v>157.54217975959909</v>
      </c>
      <c r="L115" s="4">
        <f>[1]节奏总纲!X115</f>
        <v>135.62110347582302</v>
      </c>
      <c r="M115" s="4">
        <f>[1]节奏总纲!Y115</f>
        <v>108.91886385310704</v>
      </c>
      <c r="N115" s="4">
        <f>[1]节奏总纲!Z115</f>
        <v>78.716868146655543</v>
      </c>
      <c r="O115" s="4">
        <f>[1]节奏总纲!AA115</f>
        <v>39.993483995274346</v>
      </c>
      <c r="Q115" s="4">
        <v>112</v>
      </c>
      <c r="R115" s="4">
        <f>[1]节奏总纲!AD115</f>
        <v>68.196246161507091</v>
      </c>
      <c r="S115" s="4">
        <f>[1]节奏总纲!AE115</f>
        <v>70.251823676214016</v>
      </c>
      <c r="T115" s="4">
        <f>[1]节奏总纲!AF115</f>
        <v>73.174668450093861</v>
      </c>
      <c r="U115" s="4">
        <f>[1]节奏总纲!AG115</f>
        <v>77.591077044244926</v>
      </c>
      <c r="V115" s="4">
        <f>[1]节奏总纲!AH115</f>
        <v>86.448788995190213</v>
      </c>
      <c r="AN115" s="4">
        <v>112</v>
      </c>
      <c r="AO115" s="4">
        <f>[1]节奏总纲!BA115</f>
        <v>38.789079741341368</v>
      </c>
      <c r="AP115" s="4">
        <f>[1]节奏总纲!BB115</f>
        <v>40.28554255651148</v>
      </c>
      <c r="AQ115" s="4">
        <f>[1]节奏总纲!BC115</f>
        <v>42.225003328982673</v>
      </c>
      <c r="AR115" s="4">
        <f>[1]节奏总纲!BD115</f>
        <v>44.972851781380903</v>
      </c>
      <c r="AS115" s="4">
        <f>[1]节奏总纲!BE115</f>
        <v>49.65012664269365</v>
      </c>
    </row>
    <row r="116" spans="2:45" x14ac:dyDescent="0.15">
      <c r="B116" s="4">
        <f>[1]节奏总纲!N116</f>
        <v>123</v>
      </c>
      <c r="C116" s="4">
        <v>113</v>
      </c>
      <c r="D116" s="4">
        <f>[1]节奏总纲!P116</f>
        <v>2520.3837585303886</v>
      </c>
      <c r="E116" s="4">
        <f>[1]节奏总纲!Q116</f>
        <v>2149.6353076505684</v>
      </c>
      <c r="F116" s="4">
        <f>[1]节奏总纲!R116</f>
        <v>1726.7149129691693</v>
      </c>
      <c r="G116" s="4">
        <f>[1]节奏总纲!S116</f>
        <v>1235.7441568074496</v>
      </c>
      <c r="H116" s="4">
        <f>[1]节奏总纲!T116</f>
        <v>665.63335062787564</v>
      </c>
      <c r="J116" s="4">
        <v>113</v>
      </c>
      <c r="K116" s="4">
        <f>[1]节奏总纲!W116</f>
        <v>168.849527496463</v>
      </c>
      <c r="L116" s="4">
        <f>[1]节奏总纲!X116</f>
        <v>144.95237569414667</v>
      </c>
      <c r="M116" s="4">
        <f>[1]节奏总纲!Y116</f>
        <v>117.32488524955056</v>
      </c>
      <c r="N116" s="4">
        <f>[1]节奏总纲!Z116</f>
        <v>80.435389100481871</v>
      </c>
      <c r="O116" s="4">
        <f>[1]节奏总纲!AA116</f>
        <v>42.476779403885303</v>
      </c>
      <c r="Q116" s="4">
        <v>113</v>
      </c>
      <c r="R116" s="4">
        <f>[1]节奏总纲!AD116</f>
        <v>68.321281314909029</v>
      </c>
      <c r="S116" s="4">
        <f>[1]节奏总纲!AE116</f>
        <v>70.375831986754235</v>
      </c>
      <c r="T116" s="4">
        <f>[1]节奏总纲!AF116</f>
        <v>73.297793679916325</v>
      </c>
      <c r="U116" s="4">
        <f>[1]节奏总纲!AG116</f>
        <v>77.720155602615534</v>
      </c>
      <c r="V116" s="4">
        <f>[1]节奏总纲!AH116</f>
        <v>86.595793088540304</v>
      </c>
      <c r="AN116" s="4">
        <v>113</v>
      </c>
      <c r="AO116" s="4">
        <f>[1]节奏总纲!BA116</f>
        <v>38.851710267579293</v>
      </c>
      <c r="AP116" s="4">
        <f>[1]节奏总纲!BB116</f>
        <v>40.343816547636273</v>
      </c>
      <c r="AQ116" s="4">
        <f>[1]节奏总纲!BC116</f>
        <v>42.282857920527782</v>
      </c>
      <c r="AR116" s="4">
        <f>[1]节奏总纲!BD116</f>
        <v>45.032359480672049</v>
      </c>
      <c r="AS116" s="4">
        <f>[1]节奏总纲!BE116</f>
        <v>49.712105979683258</v>
      </c>
    </row>
    <row r="117" spans="2:45" x14ac:dyDescent="0.15">
      <c r="B117" s="4">
        <f>[1]节奏总纲!N117</f>
        <v>124</v>
      </c>
      <c r="C117" s="4">
        <v>114</v>
      </c>
      <c r="D117" s="4">
        <f>[1]节奏总纲!P117</f>
        <v>2701.3522012628878</v>
      </c>
      <c r="E117" s="4">
        <f>[1]节奏总纲!Q117</f>
        <v>2304.5235628973696</v>
      </c>
      <c r="F117" s="4">
        <f>[1]节奏总纲!R117</f>
        <v>1846.3742295631837</v>
      </c>
      <c r="G117" s="4">
        <f>[1]节奏总纲!S117</f>
        <v>1319.3404150967945</v>
      </c>
      <c r="H117" s="4">
        <f>[1]节奏总纲!T117</f>
        <v>710.99589937239205</v>
      </c>
      <c r="J117" s="4">
        <v>114</v>
      </c>
      <c r="K117" s="4">
        <f>[1]节奏总纲!W117</f>
        <v>180.96844273249917</v>
      </c>
      <c r="L117" s="4">
        <f>[1]节奏总纲!X117</f>
        <v>154.88825524680124</v>
      </c>
      <c r="M117" s="4">
        <f>[1]节奏总纲!Y117</f>
        <v>119.6593165940144</v>
      </c>
      <c r="N117" s="4">
        <f>[1]节奏总纲!Z117</f>
        <v>83.59625828934486</v>
      </c>
      <c r="O117" s="4">
        <f>[1]节奏总纲!AA117</f>
        <v>45.362548744516403</v>
      </c>
      <c r="Q117" s="4">
        <v>114</v>
      </c>
      <c r="R117" s="4">
        <f>[1]节奏总纲!AD117</f>
        <v>68.446316468310982</v>
      </c>
      <c r="S117" s="4">
        <f>[1]节奏总纲!AE117</f>
        <v>70.499840297294455</v>
      </c>
      <c r="T117" s="4">
        <f>[1]节奏总纲!AF117</f>
        <v>73.420918909738774</v>
      </c>
      <c r="U117" s="4">
        <f>[1]节奏总纲!AG117</f>
        <v>77.849234160986143</v>
      </c>
      <c r="V117" s="4">
        <f>[1]节奏总纲!AH117</f>
        <v>86.742797181890381</v>
      </c>
      <c r="AN117" s="4">
        <v>114</v>
      </c>
      <c r="AO117" s="4">
        <f>[1]节奏总纲!BA117</f>
        <v>38.91434079381721</v>
      </c>
      <c r="AP117" s="4">
        <f>[1]节奏总纲!BB117</f>
        <v>40.402090538761065</v>
      </c>
      <c r="AQ117" s="4">
        <f>[1]节奏总纲!BC117</f>
        <v>42.340712512072891</v>
      </c>
      <c r="AR117" s="4">
        <f>[1]节奏总纲!BD117</f>
        <v>45.088151688727308</v>
      </c>
      <c r="AS117" s="4">
        <f>[1]节奏总纲!BE117</f>
        <v>49.774085316672867</v>
      </c>
    </row>
    <row r="118" spans="2:45" x14ac:dyDescent="0.15">
      <c r="B118" s="4">
        <f>[1]节奏总纲!N118</f>
        <v>125</v>
      </c>
      <c r="C118" s="4">
        <v>115</v>
      </c>
      <c r="D118" s="4">
        <f>[1]节奏总纲!P118</f>
        <v>2895.3093757400989</v>
      </c>
      <c r="E118" s="4">
        <f>[1]节奏总纲!Q118</f>
        <v>2463.0396859421021</v>
      </c>
      <c r="F118" s="4">
        <f>[1]节奏总纲!R118</f>
        <v>1969.9684992535633</v>
      </c>
      <c r="G118" s="4">
        <f>[1]节奏总纲!S118</f>
        <v>1407.1203566096881</v>
      </c>
      <c r="H118" s="4">
        <f>[1]节奏总纲!T118</f>
        <v>758.86058738147995</v>
      </c>
      <c r="J118" s="4">
        <v>115</v>
      </c>
      <c r="K118" s="4">
        <f>[1]节奏总纲!W118</f>
        <v>193.95717447721108</v>
      </c>
      <c r="L118" s="4">
        <f>[1]节奏总纲!X118</f>
        <v>158.51612304473247</v>
      </c>
      <c r="M118" s="4">
        <f>[1]节奏总纲!Y118</f>
        <v>123.59426969037963</v>
      </c>
      <c r="N118" s="4">
        <f>[1]节奏总纲!Z118</f>
        <v>87.779941512893629</v>
      </c>
      <c r="O118" s="4">
        <f>[1]节奏总纲!AA118</f>
        <v>47.864688009087899</v>
      </c>
      <c r="Q118" s="4">
        <v>115</v>
      </c>
      <c r="R118" s="4">
        <f>[1]节奏总纲!AD118</f>
        <v>68.571351621712935</v>
      </c>
      <c r="S118" s="4">
        <f>[1]节奏总纲!AE118</f>
        <v>70.623848607834674</v>
      </c>
      <c r="T118" s="4">
        <f>[1]节奏总纲!AF118</f>
        <v>73.544044139561237</v>
      </c>
      <c r="U118" s="4">
        <f>[1]节奏总纲!AG118</f>
        <v>77.978312719356751</v>
      </c>
      <c r="V118" s="4">
        <f>[1]节奏总纲!AH118</f>
        <v>86.889801275240458</v>
      </c>
      <c r="AN118" s="4">
        <v>115</v>
      </c>
      <c r="AO118" s="4">
        <f>[1]节奏总纲!BA118</f>
        <v>38.976971320055128</v>
      </c>
      <c r="AP118" s="4">
        <f>[1]节奏总纲!BB118</f>
        <v>40.460364529885858</v>
      </c>
      <c r="AQ118" s="4">
        <f>[1]节奏总纲!BC118</f>
        <v>42.398567103617999</v>
      </c>
      <c r="AR118" s="4">
        <f>[1]节奏总纲!BD118</f>
        <v>45.143943896782567</v>
      </c>
      <c r="AS118" s="4">
        <f>[1]节奏总纲!BE118</f>
        <v>49.836064653662483</v>
      </c>
    </row>
    <row r="119" spans="2:45" x14ac:dyDescent="0.15">
      <c r="B119" s="4">
        <f>[1]节奏总纲!N119</f>
        <v>126</v>
      </c>
      <c r="C119" s="4">
        <v>116</v>
      </c>
      <c r="D119" s="4">
        <f>[1]节奏总纲!P119</f>
        <v>3103.1875282132928</v>
      </c>
      <c r="E119" s="4">
        <f>[1]节奏总纲!Q119</f>
        <v>2636.7784427228348</v>
      </c>
      <c r="F119" s="4">
        <f>[1]节奏总纲!R119</f>
        <v>2108.9262441737537</v>
      </c>
      <c r="G119" s="4">
        <f>[1]节奏总纲!S119</f>
        <v>1509.0800949701243</v>
      </c>
      <c r="H119" s="4">
        <f>[1]节奏总纲!T119</f>
        <v>813.34545114470404</v>
      </c>
      <c r="J119" s="4">
        <v>116</v>
      </c>
      <c r="K119" s="4">
        <f>[1]节奏总纲!W119</f>
        <v>207.87815247319395</v>
      </c>
      <c r="L119" s="4">
        <f>[1]节奏总纲!X119</f>
        <v>173.73875678073273</v>
      </c>
      <c r="M119" s="4">
        <f>[1]节奏总纲!Y119</f>
        <v>138.95774492019041</v>
      </c>
      <c r="N119" s="4">
        <f>[1]节奏总纲!Z119</f>
        <v>101.95973836043618</v>
      </c>
      <c r="O119" s="4">
        <f>[1]节奏总纲!AA119</f>
        <v>54.484863763224098</v>
      </c>
      <c r="Q119" s="4">
        <v>116</v>
      </c>
      <c r="R119" s="4">
        <f>[1]节奏总纲!AD119</f>
        <v>68.696386775114874</v>
      </c>
      <c r="S119" s="4">
        <f>[1]节奏总纲!AE119</f>
        <v>70.747856918374893</v>
      </c>
      <c r="T119" s="4">
        <f>[1]节奏总纲!AF119</f>
        <v>73.667169369383686</v>
      </c>
      <c r="U119" s="4">
        <f>[1]节奏总纲!AG119</f>
        <v>78.10469841238104</v>
      </c>
      <c r="V119" s="4">
        <f>[1]节奏总纲!AH119</f>
        <v>87.033659382136349</v>
      </c>
      <c r="AN119" s="4">
        <v>116</v>
      </c>
      <c r="AO119" s="4">
        <f>[1]节奏总纲!BA119</f>
        <v>39.034165367506482</v>
      </c>
      <c r="AP119" s="4">
        <f>[1]节奏总纲!BB119</f>
        <v>40.518638521010644</v>
      </c>
      <c r="AQ119" s="4">
        <f>[1]节奏总纲!BC119</f>
        <v>42.456421695163108</v>
      </c>
      <c r="AR119" s="4">
        <f>[1]节奏总纲!BD119</f>
        <v>45.199736104837825</v>
      </c>
      <c r="AS119" s="4">
        <f>[1]节奏总纲!BE119</f>
        <v>49.898043990652091</v>
      </c>
    </row>
    <row r="120" spans="2:45" x14ac:dyDescent="0.15">
      <c r="B120" s="4">
        <f>[1]节奏总纲!N120</f>
        <v>127</v>
      </c>
      <c r="C120" s="4">
        <v>117</v>
      </c>
      <c r="D120" s="4">
        <f>[1]节奏总纲!P120</f>
        <v>3325.985815475135</v>
      </c>
      <c r="E120" s="4">
        <f>[1]节奏总纲!Q120</f>
        <v>2826.7553445723174</v>
      </c>
      <c r="F120" s="4">
        <f>[1]节奏总纲!R120</f>
        <v>2262.6681502677343</v>
      </c>
      <c r="G120" s="4">
        <f>[1]节奏总纲!S120</f>
        <v>1618.0920992286531</v>
      </c>
      <c r="H120" s="4">
        <f>[1]节奏总纲!T120</f>
        <v>873.07127656222303</v>
      </c>
      <c r="J120" s="4">
        <v>117</v>
      </c>
      <c r="K120" s="4">
        <f>[1]节奏总纲!W120</f>
        <v>222.79828726184223</v>
      </c>
      <c r="L120" s="4">
        <f>[1]节奏总纲!X120</f>
        <v>189.9769018494826</v>
      </c>
      <c r="M120" s="4">
        <f>[1]节奏总纲!Y120</f>
        <v>153.74190609398056</v>
      </c>
      <c r="N120" s="4">
        <f>[1]节奏总纲!Z120</f>
        <v>109.0120042585288</v>
      </c>
      <c r="O120" s="4">
        <f>[1]节奏总纲!AA120</f>
        <v>59.72582541751899</v>
      </c>
      <c r="Q120" s="4">
        <v>117</v>
      </c>
      <c r="R120" s="4">
        <f>[1]节奏总纲!AD120</f>
        <v>68.821421928516827</v>
      </c>
      <c r="S120" s="4">
        <f>[1]节奏总纲!AE120</f>
        <v>70.871865228915112</v>
      </c>
      <c r="T120" s="4">
        <f>[1]节奏总纲!AF120</f>
        <v>73.790294599206149</v>
      </c>
      <c r="U120" s="4">
        <f>[1]节奏总纲!AG120</f>
        <v>78.230540290975199</v>
      </c>
      <c r="V120" s="4">
        <f>[1]节奏总纲!AH120</f>
        <v>87.168098110592624</v>
      </c>
      <c r="AN120" s="4">
        <v>117</v>
      </c>
      <c r="AO120" s="4">
        <f>[1]节奏总纲!BA120</f>
        <v>39.088198074219406</v>
      </c>
      <c r="AP120" s="4">
        <f>[1]节奏总纲!BB120</f>
        <v>40.576912512135436</v>
      </c>
      <c r="AQ120" s="4">
        <f>[1]节奏总纲!BC120</f>
        <v>42.51427628670821</v>
      </c>
      <c r="AR120" s="4">
        <f>[1]节奏总纲!BD120</f>
        <v>45.255528312893091</v>
      </c>
      <c r="AS120" s="4">
        <f>[1]节奏总纲!BE120</f>
        <v>49.9600233276417</v>
      </c>
    </row>
    <row r="121" spans="2:45" x14ac:dyDescent="0.15">
      <c r="B121" s="4">
        <f>[1]节奏总纲!N121</f>
        <v>128</v>
      </c>
      <c r="C121" s="4">
        <v>118</v>
      </c>
      <c r="D121" s="4">
        <f>[1]节奏总纲!P121</f>
        <v>3564.7751072609281</v>
      </c>
      <c r="E121" s="4">
        <f>[1]节奏总纲!Q121</f>
        <v>3030.4153186825147</v>
      </c>
      <c r="F121" s="4">
        <f>[1]节奏总纲!R121</f>
        <v>2426.1859380017877</v>
      </c>
      <c r="G121" s="4">
        <f>[1]节奏总纲!S121</f>
        <v>1737.4713872789764</v>
      </c>
      <c r="H121" s="4">
        <f>[1]节奏总纲!T121</f>
        <v>936.10994316671975</v>
      </c>
      <c r="J121" s="4">
        <v>118</v>
      </c>
      <c r="K121" s="4">
        <f>[1]节奏总纲!W121</f>
        <v>238.78929178579301</v>
      </c>
      <c r="L121" s="4">
        <f>[1]节奏总纲!X121</f>
        <v>203.65997411019725</v>
      </c>
      <c r="M121" s="4">
        <f>[1]节奏总纲!Y121</f>
        <v>163.5177877340534</v>
      </c>
      <c r="N121" s="4">
        <f>[1]节奏总纲!Z121</f>
        <v>119.37928805032334</v>
      </c>
      <c r="O121" s="4">
        <f>[1]节奏总纲!AA121</f>
        <v>63.038666604496711</v>
      </c>
      <c r="Q121" s="4">
        <v>118</v>
      </c>
      <c r="R121" s="4">
        <f>[1]节奏总纲!AD121</f>
        <v>68.946457081918766</v>
      </c>
      <c r="S121" s="4">
        <f>[1]节奏总纲!AE121</f>
        <v>70.995873539455332</v>
      </c>
      <c r="T121" s="4">
        <f>[1]节奏总纲!AF121</f>
        <v>73.913419829028598</v>
      </c>
      <c r="U121" s="4">
        <f>[1]节奏总纲!AG121</f>
        <v>78.356382169569343</v>
      </c>
      <c r="V121" s="4">
        <f>[1]节奏总纲!AH121</f>
        <v>87.302536839048898</v>
      </c>
      <c r="AN121" s="4">
        <v>118</v>
      </c>
      <c r="AO121" s="4">
        <f>[1]节奏总纲!BA121</f>
        <v>39.14223078093233</v>
      </c>
      <c r="AP121" s="4">
        <f>[1]节奏总纲!BB121</f>
        <v>40.635186503260229</v>
      </c>
      <c r="AQ121" s="4">
        <f>[1]节奏总纲!BC121</f>
        <v>42.572130878253319</v>
      </c>
      <c r="AR121" s="4">
        <f>[1]节奏总纲!BD121</f>
        <v>45.31132052094835</v>
      </c>
      <c r="AS121" s="4">
        <f>[1]节奏总纲!BE121</f>
        <v>50.018998195299922</v>
      </c>
    </row>
    <row r="122" spans="2:45" x14ac:dyDescent="0.15">
      <c r="B122" s="4">
        <f>[1]节奏总纲!N122</f>
        <v>129</v>
      </c>
      <c r="C122" s="4">
        <v>119</v>
      </c>
      <c r="D122" s="4">
        <f>[1]节奏总纲!P122</f>
        <v>3820.7031333347636</v>
      </c>
      <c r="E122" s="4">
        <f>[1]节奏总纲!Q122</f>
        <v>3250.2721555278836</v>
      </c>
      <c r="F122" s="4">
        <f>[1]节奏总纲!R122</f>
        <v>2604.5733259943081</v>
      </c>
      <c r="G122" s="4">
        <f>[1]节奏总纲!S122</f>
        <v>1863.3569181273642</v>
      </c>
      <c r="H122" s="4">
        <f>[1]节奏总纲!T122</f>
        <v>1000.260080307041</v>
      </c>
      <c r="J122" s="4">
        <v>119</v>
      </c>
      <c r="K122" s="4">
        <f>[1]节奏总纲!W122</f>
        <v>255.92802607383555</v>
      </c>
      <c r="L122" s="4">
        <f>[1]节奏总纲!X122</f>
        <v>219.85683684536889</v>
      </c>
      <c r="M122" s="4">
        <f>[1]节奏总纲!Y122</f>
        <v>178.38738799252042</v>
      </c>
      <c r="N122" s="4">
        <f>[1]节奏总纲!Z122</f>
        <v>125.88553084838782</v>
      </c>
      <c r="O122" s="4">
        <f>[1]节奏总纲!AA122</f>
        <v>64.150137140321249</v>
      </c>
      <c r="Q122" s="4">
        <v>119</v>
      </c>
      <c r="R122" s="4">
        <f>[1]节奏总纲!AD122</f>
        <v>69.066704614192943</v>
      </c>
      <c r="S122" s="4">
        <f>[1]节奏总纲!AE122</f>
        <v>71.113087458015798</v>
      </c>
      <c r="T122" s="4">
        <f>[1]节奏总纲!AF122</f>
        <v>74.034200876118248</v>
      </c>
      <c r="U122" s="4">
        <f>[1]节奏总纲!AG122</f>
        <v>78.482224048163502</v>
      </c>
      <c r="V122" s="4">
        <f>[1]节奏总纲!AH122</f>
        <v>87.436975567505186</v>
      </c>
      <c r="AN122" s="4">
        <v>119</v>
      </c>
      <c r="AO122" s="4">
        <f>[1]节奏总纲!BA122</f>
        <v>39.196263487645254</v>
      </c>
      <c r="AP122" s="4">
        <f>[1]节奏总纲!BB122</f>
        <v>40.693460494385022</v>
      </c>
      <c r="AQ122" s="4">
        <f>[1]节奏总纲!BC122</f>
        <v>42.629985469798427</v>
      </c>
      <c r="AR122" s="4">
        <f>[1]节奏总纲!BD122</f>
        <v>45.367112729003608</v>
      </c>
      <c r="AS122" s="4">
        <f>[1]节奏总纲!BE122</f>
        <v>50.072514238398277</v>
      </c>
    </row>
    <row r="123" spans="2:45" x14ac:dyDescent="0.15">
      <c r="B123" s="4">
        <f>[1]节奏总纲!N123</f>
        <v>130</v>
      </c>
      <c r="C123" s="4">
        <v>120</v>
      </c>
      <c r="D123" s="4">
        <f>[1]节奏总纲!P123</f>
        <v>4095</v>
      </c>
      <c r="E123" s="4">
        <f>[1]节奏总纲!Q123</f>
        <v>3486.0735</v>
      </c>
      <c r="F123" s="4">
        <f>[1]节奏总纲!R123</f>
        <v>2791.971</v>
      </c>
      <c r="G123" s="4">
        <f>[1]节奏总纲!S123</f>
        <v>1988.5319999999999</v>
      </c>
      <c r="H123" s="4">
        <f>[1]节奏总纲!T123</f>
        <v>1067.9759999999999</v>
      </c>
      <c r="J123" s="4">
        <v>120</v>
      </c>
      <c r="K123" s="4">
        <f>[1]节奏总纲!W123</f>
        <v>274.29686666523639</v>
      </c>
      <c r="L123" s="4">
        <f>[1]节奏总纲!X123</f>
        <v>235.8013444721164</v>
      </c>
      <c r="M123" s="4">
        <f>[1]节奏总纲!Y123</f>
        <v>187.3976740056919</v>
      </c>
      <c r="N123" s="4">
        <f>[1]节奏总纲!Z123</f>
        <v>125.1750818726357</v>
      </c>
      <c r="O123" s="4">
        <f>[1]节奏总纲!AA123</f>
        <v>67.715919692958892</v>
      </c>
      <c r="Q123" s="4">
        <v>120</v>
      </c>
      <c r="R123" s="4">
        <f>[1]节奏总纲!AD123</f>
        <v>69.18336653741882</v>
      </c>
      <c r="S123" s="4">
        <f>[1]节奏总纲!AE123</f>
        <v>71.230067506391322</v>
      </c>
      <c r="T123" s="4">
        <f>[1]节奏总纲!AF123</f>
        <v>74.149428238300118</v>
      </c>
      <c r="U123" s="4">
        <f>[1]节奏总纲!AG123</f>
        <v>78.608065926757661</v>
      </c>
      <c r="V123" s="4">
        <f>[1]节奏总纲!AH123</f>
        <v>87.571414295961461</v>
      </c>
      <c r="AN123" s="4">
        <v>120</v>
      </c>
      <c r="AO123" s="4">
        <f>[1]节奏总纲!BA123</f>
        <v>39.250296194358178</v>
      </c>
      <c r="AP123" s="4">
        <f>[1]节奏总纲!BB123</f>
        <v>40.751734485509814</v>
      </c>
      <c r="AQ123" s="4">
        <f>[1]节奏总纲!BC123</f>
        <v>42.687840061343536</v>
      </c>
      <c r="AR123" s="4">
        <f>[1]节奏总纲!BD123</f>
        <v>45.422904937058867</v>
      </c>
      <c r="AS123" s="4">
        <f>[1]节奏总纲!BE123</f>
        <v>50.126030281496639</v>
      </c>
    </row>
    <row r="124" spans="2:45" x14ac:dyDescent="0.15">
      <c r="B124" s="4">
        <f>[1]节奏总纲!N124</f>
        <v>131</v>
      </c>
      <c r="C124" s="4">
        <v>121</v>
      </c>
      <c r="D124" s="4">
        <f>[1]节奏总纲!P124</f>
        <v>4388.9841025486576</v>
      </c>
      <c r="E124" s="4">
        <f>[1]节奏总纲!Q124</f>
        <v>3731.5142839868686</v>
      </c>
      <c r="F124" s="4">
        <f>[1]节奏总纲!R124</f>
        <v>2978.8035103997736</v>
      </c>
      <c r="G124" s="4">
        <f>[1]节奏总纲!S124</f>
        <v>2122.0738135822758</v>
      </c>
      <c r="H124" s="4">
        <f>[1]节奏总纲!T124</f>
        <v>1143.3303587139253</v>
      </c>
      <c r="J124" s="4">
        <v>121</v>
      </c>
      <c r="K124" s="4">
        <f>[1]节奏总纲!W124</f>
        <v>293.98410254865757</v>
      </c>
      <c r="L124" s="4">
        <f>[1]节奏总纲!X124</f>
        <v>245.44078398686861</v>
      </c>
      <c r="M124" s="4">
        <f>[1]节奏总纲!Y124</f>
        <v>186.83251039977358</v>
      </c>
      <c r="N124" s="4">
        <f>[1]节奏总纲!Z124</f>
        <v>133.54181358227584</v>
      </c>
      <c r="O124" s="4">
        <f>[1]节奏总纲!AA124</f>
        <v>75.354358713925421</v>
      </c>
      <c r="Q124" s="4">
        <v>121</v>
      </c>
      <c r="R124" s="4">
        <f>[1]节奏总纲!AD124</f>
        <v>69.300028460644711</v>
      </c>
      <c r="S124" s="4">
        <f>[1]节奏总纲!AE124</f>
        <v>71.347047554766846</v>
      </c>
      <c r="T124" s="4">
        <f>[1]节奏总纲!AF124</f>
        <v>74.264655600481987</v>
      </c>
      <c r="U124" s="4">
        <f>[1]节奏总纲!AG124</f>
        <v>78.733907805351805</v>
      </c>
      <c r="V124" s="4">
        <f>[1]节奏总纲!AH124</f>
        <v>87.705853024417735</v>
      </c>
      <c r="AN124" s="4">
        <v>121</v>
      </c>
      <c r="AO124" s="4">
        <f>[1]节奏总纲!BA124</f>
        <v>39.304328901071102</v>
      </c>
      <c r="AP124" s="4">
        <f>[1]节奏总纲!BB124</f>
        <v>40.810008476634607</v>
      </c>
      <c r="AQ124" s="4">
        <f>[1]节奏总纲!BC124</f>
        <v>42.745694652888645</v>
      </c>
      <c r="AR124" s="4">
        <f>[1]节奏总纲!BD124</f>
        <v>45.478697145114126</v>
      </c>
      <c r="AS124" s="4">
        <f>[1]节奏总纲!BE124</f>
        <v>50.179546324595002</v>
      </c>
    </row>
    <row r="125" spans="2:45" x14ac:dyDescent="0.15">
      <c r="B125" s="4">
        <f>[1]节奏总纲!N125</f>
        <v>132</v>
      </c>
      <c r="C125" s="4">
        <v>122</v>
      </c>
      <c r="D125" s="4">
        <f>[1]节奏总纲!P125</f>
        <v>4704.0684620678521</v>
      </c>
      <c r="E125" s="4">
        <f>[1]节奏总纲!Q125</f>
        <v>3989.5204626797454</v>
      </c>
      <c r="F125" s="4">
        <f>[1]节奏总纲!R125</f>
        <v>3183.7135351275219</v>
      </c>
      <c r="G125" s="4">
        <f>[1]节奏总纲!S125</f>
        <v>2271.1242534863591</v>
      </c>
      <c r="H125" s="4">
        <f>[1]节奏总纲!T125</f>
        <v>1223.9986138300551</v>
      </c>
      <c r="J125" s="4">
        <v>122</v>
      </c>
      <c r="K125" s="4">
        <f>[1]节奏总纲!W125</f>
        <v>315.08435951919455</v>
      </c>
      <c r="L125" s="4">
        <f>[1]节奏总纲!X125</f>
        <v>258.0061786928768</v>
      </c>
      <c r="M125" s="4">
        <f>[1]节奏总纲!Y125</f>
        <v>204.91002472774835</v>
      </c>
      <c r="N125" s="4">
        <f>[1]节奏总纲!Z125</f>
        <v>149.05043990408331</v>
      </c>
      <c r="O125" s="4">
        <f>[1]节奏总纲!AA125</f>
        <v>80.668255116129785</v>
      </c>
      <c r="Q125" s="4">
        <v>122</v>
      </c>
      <c r="R125" s="4">
        <f>[1]节奏总纲!AD125</f>
        <v>69.416690383870588</v>
      </c>
      <c r="S125" s="4">
        <f>[1]节奏总纲!AE125</f>
        <v>71.46402760314237</v>
      </c>
      <c r="T125" s="4">
        <f>[1]节奏总纲!AF125</f>
        <v>74.379882962663856</v>
      </c>
      <c r="U125" s="4">
        <f>[1]节奏总纲!AG125</f>
        <v>78.859749683945964</v>
      </c>
      <c r="V125" s="4">
        <f>[1]节奏总纲!AH125</f>
        <v>87.840291752874009</v>
      </c>
      <c r="AN125" s="4">
        <v>122</v>
      </c>
      <c r="AO125" s="4">
        <f>[1]节奏总纲!BA125</f>
        <v>39.358361607784026</v>
      </c>
      <c r="AP125" s="4">
        <f>[1]节奏总纲!BB125</f>
        <v>40.8682824677594</v>
      </c>
      <c r="AQ125" s="4">
        <f>[1]节奏总纲!BC125</f>
        <v>42.803549244433754</v>
      </c>
      <c r="AR125" s="4">
        <f>[1]节奏总纲!BD125</f>
        <v>45.534489353169384</v>
      </c>
      <c r="AS125" s="4">
        <f>[1]节奏总纲!BE125</f>
        <v>50.233062367693357</v>
      </c>
    </row>
    <row r="126" spans="2:45" x14ac:dyDescent="0.15">
      <c r="B126" s="4">
        <f>[1]节奏总纲!N126</f>
        <v>133</v>
      </c>
      <c r="C126" s="4">
        <v>123</v>
      </c>
      <c r="D126" s="4">
        <f>[1]节奏总纲!P126</f>
        <v>5041.7675170607781</v>
      </c>
      <c r="E126" s="4">
        <f>[1]节奏总纲!Q126</f>
        <v>4275.9230312192458</v>
      </c>
      <c r="F126" s="4">
        <f>[1]节奏总纲!R126</f>
        <v>3419.8309068223257</v>
      </c>
      <c r="G126" s="4">
        <f>[1]节奏总纲!S126</f>
        <v>2442.7363620159467</v>
      </c>
      <c r="H126" s="4">
        <f>[1]节奏总纲!T126</f>
        <v>1316.4054987045693</v>
      </c>
      <c r="J126" s="4">
        <v>123</v>
      </c>
      <c r="K126" s="4">
        <f>[1]节奏总纲!W126</f>
        <v>337.69905499292599</v>
      </c>
      <c r="L126" s="4">
        <f>[1]节奏总纲!X126</f>
        <v>286.40256853950041</v>
      </c>
      <c r="M126" s="4">
        <f>[1]节奏总纲!Y126</f>
        <v>236.11737169480375</v>
      </c>
      <c r="N126" s="4">
        <f>[1]节奏总纲!Z126</f>
        <v>171.61210852958766</v>
      </c>
      <c r="O126" s="4">
        <f>[1]节奏总纲!AA126</f>
        <v>92.406884874514162</v>
      </c>
      <c r="Q126" s="4">
        <v>123</v>
      </c>
      <c r="R126" s="4">
        <f>[1]节奏总纲!AD126</f>
        <v>69.533352307096465</v>
      </c>
      <c r="S126" s="4">
        <f>[1]节奏总纲!AE126</f>
        <v>71.581007651517908</v>
      </c>
      <c r="T126" s="4">
        <f>[1]节奏总纲!AF126</f>
        <v>74.495110324845726</v>
      </c>
      <c r="U126" s="4">
        <f>[1]节奏总纲!AG126</f>
        <v>78.985591562540122</v>
      </c>
      <c r="V126" s="4">
        <f>[1]节奏总纲!AH126</f>
        <v>87.974730481330297</v>
      </c>
      <c r="AN126" s="4">
        <v>123</v>
      </c>
      <c r="AO126" s="4">
        <f>[1]节奏总纲!BA126</f>
        <v>39.41239431449695</v>
      </c>
      <c r="AP126" s="4">
        <f>[1]节奏总纲!BB126</f>
        <v>40.926556458884193</v>
      </c>
      <c r="AQ126" s="4">
        <f>[1]节奏总纲!BC126</f>
        <v>42.861403835978855</v>
      </c>
      <c r="AR126" s="4">
        <f>[1]节奏总纲!BD126</f>
        <v>45.590281561224643</v>
      </c>
      <c r="AS126" s="4">
        <f>[1]节奏总纲!BE126</f>
        <v>50.286578410791719</v>
      </c>
    </row>
    <row r="127" spans="2:45" x14ac:dyDescent="0.15">
      <c r="B127" s="4">
        <f>[1]节奏总纲!N127</f>
        <v>134</v>
      </c>
      <c r="C127" s="4">
        <v>124</v>
      </c>
      <c r="D127" s="4">
        <f>[1]节奏总纲!P127</f>
        <v>5403.704402525771</v>
      </c>
      <c r="E127" s="4">
        <f>[1]节奏总纲!Q127</f>
        <v>4591.5276308261473</v>
      </c>
      <c r="F127" s="4">
        <f>[1]节奏总纲!R127</f>
        <v>3671.276771076009</v>
      </c>
      <c r="G127" s="4">
        <f>[1]节奏总纲!S127</f>
        <v>2624.0388578665143</v>
      </c>
      <c r="H127" s="4">
        <f>[1]节奏总纲!T127</f>
        <v>1415.7705534617521</v>
      </c>
      <c r="J127" s="4">
        <v>124</v>
      </c>
      <c r="K127" s="4">
        <f>[1]节奏总纲!W127</f>
        <v>361.93688546499288</v>
      </c>
      <c r="L127" s="4">
        <f>[1]节奏总纲!X127</f>
        <v>315.6045996069015</v>
      </c>
      <c r="M127" s="4">
        <f>[1]节奏总纲!Y127</f>
        <v>251.44586425368334</v>
      </c>
      <c r="N127" s="4">
        <f>[1]节奏总纲!Z127</f>
        <v>181.30249585056754</v>
      </c>
      <c r="O127" s="4">
        <f>[1]节奏总纲!AA127</f>
        <v>99.365054757182861</v>
      </c>
      <c r="Q127" s="4">
        <v>124</v>
      </c>
      <c r="R127" s="4">
        <f>[1]节奏总纲!AD127</f>
        <v>69.650014230322356</v>
      </c>
      <c r="S127" s="4">
        <f>[1]节奏总纲!AE127</f>
        <v>71.697987699893432</v>
      </c>
      <c r="T127" s="4">
        <f>[1]节奏总纲!AF127</f>
        <v>74.610337687027609</v>
      </c>
      <c r="U127" s="4">
        <f>[1]节奏总纲!AG127</f>
        <v>79.104601412347151</v>
      </c>
      <c r="V127" s="4">
        <f>[1]节奏总纲!AH127</f>
        <v>88.109271506528316</v>
      </c>
      <c r="AN127" s="4">
        <v>124</v>
      </c>
      <c r="AO127" s="4">
        <f>[1]节奏总纲!BA127</f>
        <v>39.466427021209874</v>
      </c>
      <c r="AP127" s="4">
        <f>[1]节奏总纲!BB127</f>
        <v>40.984830450008978</v>
      </c>
      <c r="AQ127" s="4">
        <f>[1]节奏总纲!BC127</f>
        <v>42.919258427523964</v>
      </c>
      <c r="AR127" s="4">
        <f>[1]节奏总纲!BD127</f>
        <v>45.646073769279901</v>
      </c>
      <c r="AS127" s="4">
        <f>[1]节奏总纲!BE127</f>
        <v>50.340094453890082</v>
      </c>
    </row>
    <row r="128" spans="2:45" x14ac:dyDescent="0.15">
      <c r="B128" s="4">
        <f>[1]节奏总纲!N128</f>
        <v>135</v>
      </c>
      <c r="C128" s="4">
        <v>125</v>
      </c>
      <c r="D128" s="4">
        <f>[1]节奏总纲!P128</f>
        <v>5791.6187514801986</v>
      </c>
      <c r="E128" s="4">
        <f>[1]节奏总纲!Q128</f>
        <v>4918.821805632133</v>
      </c>
      <c r="F128" s="4">
        <f>[1]节奏总纲!R128</f>
        <v>3940.0382366319791</v>
      </c>
      <c r="G128" s="4">
        <f>[1]节奏总纲!S128</f>
        <v>2816.4641988448207</v>
      </c>
      <c r="H128" s="4">
        <f>[1]节奏总纲!T128</f>
        <v>1509.8750085108877</v>
      </c>
      <c r="J128" s="4">
        <v>125</v>
      </c>
      <c r="K128" s="4">
        <f>[1]节奏总纲!W128</f>
        <v>387.91434895442762</v>
      </c>
      <c r="L128" s="4">
        <f>[1]节奏总纲!X128</f>
        <v>327.29417480598568</v>
      </c>
      <c r="M128" s="4">
        <f>[1]节奏总纲!Y128</f>
        <v>268.76146555597006</v>
      </c>
      <c r="N128" s="4">
        <f>[1]节奏总纲!Z128</f>
        <v>192.42534097830639</v>
      </c>
      <c r="O128" s="4">
        <f>[1]节奏总纲!AA128</f>
        <v>94.104455049135595</v>
      </c>
      <c r="Q128" s="4">
        <v>125</v>
      </c>
      <c r="R128" s="4">
        <f>[1]节奏总纲!AD128</f>
        <v>69.766676153548232</v>
      </c>
      <c r="S128" s="4">
        <f>[1]节奏总纲!AE128</f>
        <v>71.814967748268955</v>
      </c>
      <c r="T128" s="4">
        <f>[1]节奏总纲!AF128</f>
        <v>74.725565049209479</v>
      </c>
      <c r="U128" s="4">
        <f>[1]节奏总纲!AG128</f>
        <v>79.222727875098187</v>
      </c>
      <c r="V128" s="4">
        <f>[1]节奏总纲!AH128</f>
        <v>88.243836210467165</v>
      </c>
      <c r="AN128" s="4">
        <v>125</v>
      </c>
      <c r="AO128" s="4">
        <f>[1]节奏总纲!BA128</f>
        <v>39.520459727922798</v>
      </c>
      <c r="AP128" s="4">
        <f>[1]节奏总纲!BB128</f>
        <v>41.037193447861313</v>
      </c>
      <c r="AQ128" s="4">
        <f>[1]节奏总纲!BC128</f>
        <v>42.977113019069073</v>
      </c>
      <c r="AR128" s="4">
        <f>[1]节奏总纲!BD128</f>
        <v>45.701865977335167</v>
      </c>
      <c r="AS128" s="4">
        <f>[1]节奏总纲!BE128</f>
        <v>50.393610496988437</v>
      </c>
    </row>
    <row r="129" spans="2:45" x14ac:dyDescent="0.15">
      <c r="B129" s="4">
        <f>[1]节奏总纲!N129</f>
        <v>136</v>
      </c>
      <c r="C129" s="4">
        <v>126</v>
      </c>
      <c r="D129" s="4">
        <f>[1]节奏总纲!P129</f>
        <v>6207.3750564265865</v>
      </c>
      <c r="E129" s="4">
        <f>[1]节奏总纲!Q129</f>
        <v>5279.3724854908123</v>
      </c>
      <c r="F129" s="4">
        <f>[1]节奏总纲!R129</f>
        <v>4225.9809384152195</v>
      </c>
      <c r="G129" s="4">
        <f>[1]节奏总纲!S129</f>
        <v>3006.8524773330387</v>
      </c>
      <c r="H129" s="4">
        <f>[1]节奏总纲!T129</f>
        <v>1610.1930896370566</v>
      </c>
      <c r="J129" s="4">
        <v>126</v>
      </c>
      <c r="K129" s="4">
        <f>[1]节奏总纲!W129</f>
        <v>415.7563049463879</v>
      </c>
      <c r="L129" s="4">
        <f>[1]节奏总纲!X129</f>
        <v>360.55067985867936</v>
      </c>
      <c r="M129" s="4">
        <f>[1]节奏总纲!Y129</f>
        <v>285.94270178324041</v>
      </c>
      <c r="N129" s="4">
        <f>[1]节奏总纲!Z129</f>
        <v>190.38827848821802</v>
      </c>
      <c r="O129" s="4">
        <f>[1]节奏总纲!AA129</f>
        <v>100.31808112616886</v>
      </c>
      <c r="Q129" s="4">
        <v>126</v>
      </c>
      <c r="R129" s="4">
        <f>[1]节奏总纲!AD129</f>
        <v>69.883338076774123</v>
      </c>
      <c r="S129" s="4">
        <f>[1]节奏总纲!AE129</f>
        <v>71.931947796644479</v>
      </c>
      <c r="T129" s="4">
        <f>[1]节奏总纲!AF129</f>
        <v>74.840792411391348</v>
      </c>
      <c r="U129" s="4">
        <f>[1]节奏总纲!AG129</f>
        <v>79.340854337849223</v>
      </c>
      <c r="V129" s="4">
        <f>[1]节奏总纲!AH129</f>
        <v>88.378400914406001</v>
      </c>
      <c r="AN129" s="4">
        <v>126</v>
      </c>
      <c r="AO129" s="4">
        <f>[1]节奏总纲!BA129</f>
        <v>39.574492434635722</v>
      </c>
      <c r="AP129" s="4">
        <f>[1]节奏总纲!BB129</f>
        <v>41.087476216725996</v>
      </c>
      <c r="AQ129" s="4">
        <f>[1]节奏总纲!BC129</f>
        <v>43.030177309109042</v>
      </c>
      <c r="AR129" s="4">
        <f>[1]节奏总纲!BD129</f>
        <v>45.757658185390426</v>
      </c>
      <c r="AS129" s="4">
        <f>[1]节奏总纲!BE129</f>
        <v>50.447126540086799</v>
      </c>
    </row>
    <row r="130" spans="2:45" x14ac:dyDescent="0.15">
      <c r="B130" s="4">
        <f>[1]节奏总纲!N130</f>
        <v>137</v>
      </c>
      <c r="C130" s="4">
        <v>127</v>
      </c>
      <c r="D130" s="4">
        <f>[1]节奏总纲!P130</f>
        <v>6652.971630950271</v>
      </c>
      <c r="E130" s="4">
        <f>[1]节奏总纲!Q130</f>
        <v>5658.3523721232059</v>
      </c>
      <c r="F130" s="4">
        <f>[1]节奏总纲!R130</f>
        <v>4508.7188742949984</v>
      </c>
      <c r="G130" s="4">
        <f>[1]节奏总纲!S130</f>
        <v>3203.4058403025556</v>
      </c>
      <c r="H130" s="4">
        <f>[1]节奏总纲!T130</f>
        <v>1719.793166600645</v>
      </c>
      <c r="J130" s="4">
        <v>127</v>
      </c>
      <c r="K130" s="4">
        <f>[1]节奏总纲!W130</f>
        <v>445.59657452368447</v>
      </c>
      <c r="L130" s="4">
        <f>[1]节奏总纲!X130</f>
        <v>378.97988663239357</v>
      </c>
      <c r="M130" s="4">
        <f>[1]节奏总纲!Y130</f>
        <v>282.73793587977889</v>
      </c>
      <c r="N130" s="4">
        <f>[1]节奏总纲!Z130</f>
        <v>196.55336296951691</v>
      </c>
      <c r="O130" s="4">
        <f>[1]节奏总纲!AA130</f>
        <v>109.60007696358844</v>
      </c>
      <c r="Q130" s="4">
        <v>127</v>
      </c>
      <c r="R130" s="4">
        <f>[1]节奏总纲!AD130</f>
        <v>70</v>
      </c>
      <c r="S130" s="4">
        <f>[1]节奏总纲!AE130</f>
        <v>72.047345051940553</v>
      </c>
      <c r="T130" s="4">
        <f>[1]节奏总纲!AF130</f>
        <v>74.956019773573217</v>
      </c>
      <c r="U130" s="4">
        <f>[1]节奏总纲!AG130</f>
        <v>79.458980800600258</v>
      </c>
      <c r="V130" s="4">
        <f>[1]节奏总纲!AH130</f>
        <v>88.51296561834485</v>
      </c>
      <c r="AN130" s="4">
        <v>127</v>
      </c>
      <c r="AO130" s="4">
        <f>[1]节奏总纲!BA130</f>
        <v>39.628525141348646</v>
      </c>
      <c r="AP130" s="4">
        <f>[1]节奏总纲!BB130</f>
        <v>41.137758985590679</v>
      </c>
      <c r="AQ130" s="4">
        <f>[1]节奏总纲!BC130</f>
        <v>43.080106253688569</v>
      </c>
      <c r="AR130" s="4">
        <f>[1]节奏总纲!BD130</f>
        <v>45.813450393445684</v>
      </c>
      <c r="AS130" s="4">
        <f>[1]节奏总纲!BE130</f>
        <v>50.500642583185162</v>
      </c>
    </row>
    <row r="131" spans="2:45" x14ac:dyDescent="0.15">
      <c r="B131" s="4">
        <f>[1]节奏总纲!N131</f>
        <v>138</v>
      </c>
      <c r="C131" s="4">
        <v>128</v>
      </c>
      <c r="D131" s="4">
        <f>[1]节奏总纲!P131</f>
        <v>7130.5502145218443</v>
      </c>
      <c r="E131" s="4">
        <f>[1]节奏总纲!Q131</f>
        <v>6036.010756592741</v>
      </c>
      <c r="F131" s="4">
        <f>[1]节奏总纲!R131</f>
        <v>4805.9908445877236</v>
      </c>
      <c r="G131" s="4">
        <f>[1]节奏总纲!S131</f>
        <v>3419.0988278632244</v>
      </c>
      <c r="H131" s="4">
        <f>[1]节奏总纲!T131</f>
        <v>1838.9689003251838</v>
      </c>
      <c r="J131" s="4">
        <v>128</v>
      </c>
      <c r="K131" s="4">
        <f>[1]节奏总纲!W131</f>
        <v>477.57858357157329</v>
      </c>
      <c r="L131" s="4">
        <f>[1]节奏总纲!X131</f>
        <v>377.65838446953512</v>
      </c>
      <c r="M131" s="4">
        <f>[1]节奏总纲!Y131</f>
        <v>297.2719702927252</v>
      </c>
      <c r="N131" s="4">
        <f>[1]节奏总纲!Z131</f>
        <v>215.69298756066883</v>
      </c>
      <c r="O131" s="4">
        <f>[1]节奏总纲!AA131</f>
        <v>119.17573372453876</v>
      </c>
      <c r="Q131" s="4">
        <v>128</v>
      </c>
      <c r="R131" s="4">
        <f>[1]节奏总纲!AD131</f>
        <v>70.108849423225877</v>
      </c>
      <c r="S131" s="4">
        <f>[1]节奏总纲!AE131</f>
        <v>72.160540850040434</v>
      </c>
      <c r="T131" s="4">
        <f>[1]节奏总纲!AF131</f>
        <v>75.067682921736733</v>
      </c>
      <c r="U131" s="4">
        <f>[1]节奏总纲!AG131</f>
        <v>79.577107263351294</v>
      </c>
      <c r="V131" s="4">
        <f>[1]节奏总纲!AH131</f>
        <v>88.6475303222837</v>
      </c>
      <c r="AN131" s="4">
        <v>128</v>
      </c>
      <c r="AO131" s="4">
        <f>[1]节奏总纲!BA131</f>
        <v>39.68255784806157</v>
      </c>
      <c r="AP131" s="4">
        <f>[1]节奏总纲!BB131</f>
        <v>41.188041754455355</v>
      </c>
      <c r="AQ131" s="4">
        <f>[1]节奏总纲!BC131</f>
        <v>43.130035198268104</v>
      </c>
      <c r="AR131" s="4">
        <f>[1]节奏总纲!BD131</f>
        <v>45.869242601500943</v>
      </c>
      <c r="AS131" s="4">
        <f>[1]节奏总纲!BE131</f>
        <v>50.554158626283517</v>
      </c>
    </row>
    <row r="132" spans="2:45" x14ac:dyDescent="0.15">
      <c r="B132" s="4">
        <f>[1]节奏总纲!N132</f>
        <v>139</v>
      </c>
      <c r="C132" s="4">
        <v>129</v>
      </c>
      <c r="D132" s="4">
        <f>[1]节奏总纲!P132</f>
        <v>7642.4062666695281</v>
      </c>
      <c r="E132" s="4">
        <f>[1]节奏总纲!Q132</f>
        <v>6469.2969047357556</v>
      </c>
      <c r="F132" s="4">
        <f>[1]节奏总纲!R132</f>
        <v>5159.388470628599</v>
      </c>
      <c r="G132" s="4">
        <f>[1]节奏总纲!S132</f>
        <v>3676.7616548947103</v>
      </c>
      <c r="H132" s="4">
        <f>[1]节奏总纲!T132</f>
        <v>1975.5620199340731</v>
      </c>
      <c r="J132" s="4">
        <v>129</v>
      </c>
      <c r="K132" s="4">
        <f>[1]节奏总纲!W132</f>
        <v>511.85605214768384</v>
      </c>
      <c r="L132" s="4">
        <f>[1]节奏总纲!X132</f>
        <v>433.28614814301454</v>
      </c>
      <c r="M132" s="4">
        <f>[1]节奏总纲!Y132</f>
        <v>353.39762604087537</v>
      </c>
      <c r="N132" s="4">
        <f>[1]节奏总纲!Z132</f>
        <v>257.6628270314859</v>
      </c>
      <c r="O132" s="4">
        <f>[1]节奏总纲!AA132</f>
        <v>136.59311960888931</v>
      </c>
      <c r="Q132" s="4">
        <v>129</v>
      </c>
      <c r="R132" s="4">
        <f>[1]节奏总纲!AD132</f>
        <v>70.217698846451768</v>
      </c>
      <c r="S132" s="4">
        <f>[1]节奏总纲!AE132</f>
        <v>72.273736648140314</v>
      </c>
      <c r="T132" s="4">
        <f>[1]节奏总纲!AF132</f>
        <v>75.177145912126889</v>
      </c>
      <c r="U132" s="4">
        <f>[1]节奏总纲!AG132</f>
        <v>79.69523372610233</v>
      </c>
      <c r="V132" s="4">
        <f>[1]节奏总纲!AH132</f>
        <v>88.782095026222549</v>
      </c>
      <c r="AN132" s="4">
        <v>129</v>
      </c>
      <c r="AO132" s="4">
        <f>[1]节奏总纲!BA132</f>
        <v>39.736590554774494</v>
      </c>
      <c r="AP132" s="4">
        <f>[1]节奏总纲!BB132</f>
        <v>41.238324523320038</v>
      </c>
      <c r="AQ132" s="4">
        <f>[1]节奏总纲!BC132</f>
        <v>43.179964142847631</v>
      </c>
      <c r="AR132" s="4">
        <f>[1]节奏总纲!BD132</f>
        <v>45.925034809556202</v>
      </c>
      <c r="AS132" s="4">
        <f>[1]节奏总纲!BE132</f>
        <v>50.607674669381879</v>
      </c>
    </row>
    <row r="133" spans="2:45" x14ac:dyDescent="0.15">
      <c r="B133" s="4">
        <f>[1]节奏总纲!N133</f>
        <v>140</v>
      </c>
      <c r="C133" s="4">
        <v>130</v>
      </c>
      <c r="D133" s="4">
        <f>[1]节奏总纲!P133</f>
        <v>8191</v>
      </c>
      <c r="E133" s="4">
        <f>[1]节奏总纲!Q133</f>
        <v>6941.8725000000004</v>
      </c>
      <c r="F133" s="4">
        <f>[1]节奏总纲!R133</f>
        <v>5542.0306</v>
      </c>
      <c r="G133" s="4">
        <f>[1]节奏总纲!S133</f>
        <v>3951.3384000000001</v>
      </c>
      <c r="H133" s="4">
        <f>[1]节奏总纲!T133</f>
        <v>2124.7454000000002</v>
      </c>
      <c r="J133" s="4">
        <v>130</v>
      </c>
      <c r="K133" s="4">
        <f>[1]节奏总纲!W133</f>
        <v>548.59373333047188</v>
      </c>
      <c r="L133" s="4">
        <f>[1]节奏总纲!X133</f>
        <v>472.57559526424484</v>
      </c>
      <c r="M133" s="4">
        <f>[1]节奏总纲!Y133</f>
        <v>382.6421293714011</v>
      </c>
      <c r="N133" s="4">
        <f>[1]节奏总纲!Z133</f>
        <v>274.57674510528977</v>
      </c>
      <c r="O133" s="4">
        <f>[1]节奏总纲!AA133</f>
        <v>149.18338006592717</v>
      </c>
      <c r="Q133" s="4">
        <v>130</v>
      </c>
      <c r="R133" s="4">
        <f>[1]节奏总纲!AD133</f>
        <v>70.326548269677644</v>
      </c>
      <c r="S133" s="4">
        <f>[1]节奏总纲!AE133</f>
        <v>72.386932446240195</v>
      </c>
      <c r="T133" s="4">
        <f>[1]节奏总纲!AF133</f>
        <v>75.286608902517045</v>
      </c>
      <c r="U133" s="4">
        <f>[1]节奏总纲!AG133</f>
        <v>79.813360188853366</v>
      </c>
      <c r="V133" s="4">
        <f>[1]节奏总纲!AH133</f>
        <v>88.916659730161399</v>
      </c>
      <c r="AN133" s="4">
        <v>130</v>
      </c>
      <c r="AO133" s="4">
        <f>[1]节奏总纲!BA133</f>
        <v>39.790623261487418</v>
      </c>
      <c r="AP133" s="4">
        <f>[1]节奏总纲!BB133</f>
        <v>41.288607292184714</v>
      </c>
      <c r="AQ133" s="4">
        <f>[1]节奏总纲!BC133</f>
        <v>43.229893087427158</v>
      </c>
      <c r="AR133" s="4">
        <f>[1]节奏总纲!BD133</f>
        <v>45.98082701761146</v>
      </c>
      <c r="AS133" s="4">
        <f>[1]节奏总纲!BE133</f>
        <v>50.661190712480241</v>
      </c>
    </row>
    <row r="134" spans="2:45" x14ac:dyDescent="0.15">
      <c r="B134" s="4">
        <f>[1]节奏总纲!N134</f>
        <v>141</v>
      </c>
      <c r="C134" s="4">
        <v>131</v>
      </c>
      <c r="D134" s="4">
        <f>[1]节奏总纲!P134</f>
        <v>8778.9682050973151</v>
      </c>
      <c r="E134" s="4">
        <f>[1]节奏总纲!Q134</f>
        <v>7443.6871411020138</v>
      </c>
      <c r="F134" s="4">
        <f>[1]节奏总纲!R134</f>
        <v>5945.117268491902</v>
      </c>
      <c r="G134" s="4">
        <f>[1]节奏总纲!S134</f>
        <v>4244.6311271645518</v>
      </c>
      <c r="H134" s="4">
        <f>[1]节奏总纲!T134</f>
        <v>2275.5085587612239</v>
      </c>
      <c r="J134" s="4">
        <v>131</v>
      </c>
      <c r="K134" s="4">
        <f>[1]节奏总纲!W134</f>
        <v>587.96820509731515</v>
      </c>
      <c r="L134" s="4">
        <f>[1]节奏总纲!X134</f>
        <v>501.81464110201341</v>
      </c>
      <c r="M134" s="4">
        <f>[1]节奏总纲!Y134</f>
        <v>403.08666849190195</v>
      </c>
      <c r="N134" s="4">
        <f>[1]节奏总纲!Z134</f>
        <v>293.29272716455171</v>
      </c>
      <c r="O134" s="4">
        <f>[1]节奏总纲!AA134</f>
        <v>150.76315876122362</v>
      </c>
      <c r="Q134" s="4">
        <v>131</v>
      </c>
      <c r="R134" s="4">
        <f>[1]节奏总纲!AD134</f>
        <v>70.435397692903535</v>
      </c>
      <c r="S134" s="4">
        <f>[1]节奏总纲!AE134</f>
        <v>72.50012824434009</v>
      </c>
      <c r="T134" s="4">
        <f>[1]节奏总纲!AF134</f>
        <v>75.396071892907202</v>
      </c>
      <c r="U134" s="4">
        <f>[1]节奏总纲!AG134</f>
        <v>79.931486651604402</v>
      </c>
      <c r="V134" s="4">
        <f>[1]节奏总纲!AH134</f>
        <v>89.048420729369383</v>
      </c>
      <c r="AN134" s="4">
        <v>131</v>
      </c>
      <c r="AO134" s="4">
        <f>[1]节奏总纲!BA134</f>
        <v>39.844655968200342</v>
      </c>
      <c r="AP134" s="4">
        <f>[1]节奏总纲!BB134</f>
        <v>41.338890061049398</v>
      </c>
      <c r="AQ134" s="4">
        <f>[1]节奏总纲!BC134</f>
        <v>43.279822032006692</v>
      </c>
      <c r="AR134" s="4">
        <f>[1]节奏总纲!BD134</f>
        <v>46.031609894814238</v>
      </c>
      <c r="AS134" s="4">
        <f>[1]节奏总纲!BE134</f>
        <v>50.714706755578604</v>
      </c>
    </row>
    <row r="135" spans="2:45" x14ac:dyDescent="0.15">
      <c r="B135" s="4">
        <f>[1]节奏总纲!N135</f>
        <v>142</v>
      </c>
      <c r="C135" s="4">
        <v>132</v>
      </c>
      <c r="D135" s="4">
        <f>[1]节奏总纲!P135</f>
        <v>9409.1369241357042</v>
      </c>
      <c r="E135" s="4">
        <f>[1]节奏总纲!Q135</f>
        <v>7983.6526801291457</v>
      </c>
      <c r="F135" s="4">
        <f>[1]节奏总纲!R135</f>
        <v>6385.9812304109018</v>
      </c>
      <c r="G135" s="4">
        <f>[1]节奏总纲!S135</f>
        <v>4544.6131343575453</v>
      </c>
      <c r="H135" s="4">
        <f>[1]节奏总纲!T135</f>
        <v>2431.3209811966663</v>
      </c>
      <c r="J135" s="4">
        <v>132</v>
      </c>
      <c r="K135" s="4">
        <f>[1]节奏总纲!W135</f>
        <v>630.1687190383891</v>
      </c>
      <c r="L135" s="4">
        <f>[1]节奏总纲!X135</f>
        <v>539.96553902713185</v>
      </c>
      <c r="M135" s="4">
        <f>[1]节奏总纲!Y135</f>
        <v>440.86396191899985</v>
      </c>
      <c r="N135" s="4">
        <f>[1]节奏总纲!Z135</f>
        <v>299.98200719299348</v>
      </c>
      <c r="O135" s="4">
        <f>[1]节奏总纲!AA135</f>
        <v>155.81242243544239</v>
      </c>
      <c r="Q135" s="4">
        <v>132</v>
      </c>
      <c r="R135" s="4">
        <f>[1]节奏总纲!AD135</f>
        <v>70.544247116129412</v>
      </c>
      <c r="S135" s="4">
        <f>[1]节奏总纲!AE135</f>
        <v>72.61332404243997</v>
      </c>
      <c r="T135" s="4">
        <f>[1]节奏总纲!AF135</f>
        <v>75.505534883297358</v>
      </c>
      <c r="U135" s="4">
        <f>[1]节奏总纲!AG135</f>
        <v>80.045750258986601</v>
      </c>
      <c r="V135" s="4">
        <f>[1]节奏总纲!AH135</f>
        <v>89.175620204122851</v>
      </c>
      <c r="AN135" s="4">
        <v>132</v>
      </c>
      <c r="AO135" s="4">
        <f>[1]节奏总纲!BA135</f>
        <v>39.898688674913267</v>
      </c>
      <c r="AP135" s="4">
        <f>[1]节奏总纲!BB135</f>
        <v>41.389172829914081</v>
      </c>
      <c r="AQ135" s="4">
        <f>[1]节奏总纲!BC135</f>
        <v>43.329750976586219</v>
      </c>
      <c r="AR135" s="4">
        <f>[1]节奏总纲!BD135</f>
        <v>46.079770001861057</v>
      </c>
      <c r="AS135" s="4">
        <f>[1]节奏总纲!BE135</f>
        <v>50.768222798676959</v>
      </c>
    </row>
    <row r="136" spans="2:45" x14ac:dyDescent="0.15">
      <c r="B136" s="4">
        <f>[1]节奏总纲!N136</f>
        <v>143</v>
      </c>
      <c r="C136" s="4">
        <v>133</v>
      </c>
      <c r="D136" s="4">
        <f>[1]节奏总纲!P136</f>
        <v>10084.535034121556</v>
      </c>
      <c r="E136" s="4">
        <f>[1]节奏总纲!Q136</f>
        <v>8562.7786974726132</v>
      </c>
      <c r="F136" s="4">
        <f>[1]节奏总纲!R136</f>
        <v>6827.2302181002942</v>
      </c>
      <c r="G136" s="4">
        <f>[1]节奏总纲!S136</f>
        <v>4847.6359909022322</v>
      </c>
      <c r="H136" s="4">
        <f>[1]节奏总纲!T136</f>
        <v>2595.759317782889</v>
      </c>
      <c r="J136" s="4">
        <v>133</v>
      </c>
      <c r="K136" s="4">
        <f>[1]节奏总纲!W136</f>
        <v>675.39810998585199</v>
      </c>
      <c r="L136" s="4">
        <f>[1]节奏总纲!X136</f>
        <v>579.12601734346754</v>
      </c>
      <c r="M136" s="4">
        <f>[1]节奏总纲!Y136</f>
        <v>441.24898768939238</v>
      </c>
      <c r="N136" s="4">
        <f>[1]节奏总纲!Z136</f>
        <v>303.02285654468687</v>
      </c>
      <c r="O136" s="4">
        <f>[1]节奏总纲!AA136</f>
        <v>164.4383365862227</v>
      </c>
      <c r="Q136" s="4">
        <v>133</v>
      </c>
      <c r="R136" s="4">
        <f>[1]节奏总纲!AD136</f>
        <v>70.653096539355303</v>
      </c>
      <c r="S136" s="4">
        <f>[1]节奏总纲!AE136</f>
        <v>72.726519840539851</v>
      </c>
      <c r="T136" s="4">
        <f>[1]节奏总纲!AF136</f>
        <v>75.614997873687514</v>
      </c>
      <c r="U136" s="4">
        <f>[1]节奏总纲!AG136</f>
        <v>80.154679447049915</v>
      </c>
      <c r="V136" s="4">
        <f>[1]节奏总纲!AH136</f>
        <v>89.302819678876304</v>
      </c>
      <c r="AN136" s="4">
        <v>133</v>
      </c>
      <c r="AO136" s="4">
        <f>[1]节奏总纲!BA136</f>
        <v>39.952721381626191</v>
      </c>
      <c r="AP136" s="4">
        <f>[1]节奏总纲!BB136</f>
        <v>41.439455598778757</v>
      </c>
      <c r="AQ136" s="4">
        <f>[1]节奏总纲!BC136</f>
        <v>43.379679921165753</v>
      </c>
      <c r="AR136" s="4">
        <f>[1]节奏总纲!BD136</f>
        <v>46.127930108907876</v>
      </c>
      <c r="AS136" s="4">
        <f>[1]节奏总纲!BE136</f>
        <v>50.821738841775321</v>
      </c>
    </row>
    <row r="137" spans="2:45" x14ac:dyDescent="0.15">
      <c r="B137" s="4">
        <f>[1]节奏总纲!N137</f>
        <v>144</v>
      </c>
      <c r="C137" s="4">
        <v>134</v>
      </c>
      <c r="D137" s="4">
        <f>[1]节奏总纲!P137</f>
        <v>10808.408805051544</v>
      </c>
      <c r="E137" s="4">
        <f>[1]节奏总纲!Q137</f>
        <v>9151.4797352371424</v>
      </c>
      <c r="F137" s="4">
        <f>[1]节奏总纲!R137</f>
        <v>7283.7866937242361</v>
      </c>
      <c r="G137" s="4">
        <f>[1]节奏总纲!S137</f>
        <v>5175.0661358586794</v>
      </c>
      <c r="H137" s="4">
        <f>[1]节奏总纲!T137</f>
        <v>2775.5993811372364</v>
      </c>
      <c r="J137" s="4">
        <v>134</v>
      </c>
      <c r="K137" s="4">
        <f>[1]节奏总纲!W137</f>
        <v>723.87377092998759</v>
      </c>
      <c r="L137" s="4">
        <f>[1]节奏总纲!X137</f>
        <v>588.70103776452925</v>
      </c>
      <c r="M137" s="4">
        <f>[1]节奏总纲!Y137</f>
        <v>456.55647562394188</v>
      </c>
      <c r="N137" s="4">
        <f>[1]节奏总纲!Z137</f>
        <v>327.43014495644729</v>
      </c>
      <c r="O137" s="4">
        <f>[1]节奏总纲!AA137</f>
        <v>179.84006335434742</v>
      </c>
      <c r="Q137" s="4">
        <v>134</v>
      </c>
      <c r="R137" s="4">
        <f>[1]节奏总纲!AD137</f>
        <v>70.76194596258118</v>
      </c>
      <c r="S137" s="4">
        <f>[1]节奏总纲!AE137</f>
        <v>72.839715638639731</v>
      </c>
      <c r="T137" s="4">
        <f>[1]节奏总纲!AF137</f>
        <v>75.72446086407767</v>
      </c>
      <c r="U137" s="4">
        <f>[1]节奏总纲!AG137</f>
        <v>80.263608635113243</v>
      </c>
      <c r="V137" s="4">
        <f>[1]节奏总纲!AH137</f>
        <v>89.430019153629758</v>
      </c>
      <c r="AN137" s="4">
        <v>134</v>
      </c>
      <c r="AO137" s="4">
        <f>[1]节奏总纲!BA137</f>
        <v>40.005827399112476</v>
      </c>
      <c r="AP137" s="4">
        <f>[1]节奏总纲!BB137</f>
        <v>41.48973836764344</v>
      </c>
      <c r="AQ137" s="4">
        <f>[1]节奏总纲!BC137</f>
        <v>43.42960886574528</v>
      </c>
      <c r="AR137" s="4">
        <f>[1]节奏总纲!BD137</f>
        <v>46.176090215954694</v>
      </c>
      <c r="AS137" s="4">
        <f>[1]节奏总纲!BE137</f>
        <v>50.875254884873684</v>
      </c>
    </row>
    <row r="138" spans="2:45" x14ac:dyDescent="0.15">
      <c r="B138" s="4">
        <f>[1]节奏总纲!N138</f>
        <v>145</v>
      </c>
      <c r="C138" s="4">
        <v>135</v>
      </c>
      <c r="D138" s="4">
        <f>[1]节奏总纲!P138</f>
        <v>11584.237502960397</v>
      </c>
      <c r="E138" s="4">
        <f>[1]节奏总纲!Q138</f>
        <v>9796.789656253608</v>
      </c>
      <c r="F138" s="4">
        <f>[1]节奏总纲!R138</f>
        <v>7796.1918394923478</v>
      </c>
      <c r="G138" s="4">
        <f>[1]节奏总纲!S138</f>
        <v>5548.8497639180305</v>
      </c>
      <c r="H138" s="4">
        <f>[1]节奏总纲!T138</f>
        <v>2979.465885761414</v>
      </c>
      <c r="J138" s="4">
        <v>135</v>
      </c>
      <c r="K138" s="4">
        <f>[1]节奏总纲!W138</f>
        <v>775.82869790885343</v>
      </c>
      <c r="L138" s="4">
        <f>[1]节奏总纲!X138</f>
        <v>645.30992101646552</v>
      </c>
      <c r="M138" s="4">
        <f>[1]节奏总纲!Y138</f>
        <v>512.40514576811165</v>
      </c>
      <c r="N138" s="4">
        <f>[1]节奏总纲!Z138</f>
        <v>373.78362805935103</v>
      </c>
      <c r="O138" s="4">
        <f>[1]节奏总纲!AA138</f>
        <v>203.86650462417765</v>
      </c>
      <c r="Q138" s="4">
        <v>135</v>
      </c>
      <c r="R138" s="4">
        <f>[1]节奏总纲!AD138</f>
        <v>70.870795385807057</v>
      </c>
      <c r="S138" s="4">
        <f>[1]节奏总纲!AE138</f>
        <v>72.952911436739612</v>
      </c>
      <c r="T138" s="4">
        <f>[1]节奏总纲!AF138</f>
        <v>75.833923854467812</v>
      </c>
      <c r="U138" s="4">
        <f>[1]节奏总纲!AG138</f>
        <v>80.372537823176572</v>
      </c>
      <c r="V138" s="4">
        <f>[1]节奏总纲!AH138</f>
        <v>89.557218628383211</v>
      </c>
      <c r="AN138" s="4">
        <v>135</v>
      </c>
      <c r="AO138" s="4">
        <f>[1]节奏总纲!BA138</f>
        <v>40.052446592012309</v>
      </c>
      <c r="AP138" s="4">
        <f>[1]节奏总纲!BB138</f>
        <v>41.540021136508116</v>
      </c>
      <c r="AQ138" s="4">
        <f>[1]节奏总纲!BC138</f>
        <v>43.479537810324814</v>
      </c>
      <c r="AR138" s="4">
        <f>[1]节奏总纲!BD138</f>
        <v>46.224250323001513</v>
      </c>
      <c r="AS138" s="4">
        <f>[1]节奏总纲!BE138</f>
        <v>50.928770927972039</v>
      </c>
    </row>
    <row r="139" spans="2:45" x14ac:dyDescent="0.15">
      <c r="B139" s="4">
        <f>[1]节奏总纲!N139</f>
        <v>146</v>
      </c>
      <c r="C139" s="4">
        <v>136</v>
      </c>
      <c r="D139" s="4">
        <f>[1]节奏总纲!P139</f>
        <v>12415.750112853173</v>
      </c>
      <c r="E139" s="4">
        <f>[1]节奏总纲!Q139</f>
        <v>10507.449320507641</v>
      </c>
      <c r="F139" s="4">
        <f>[1]节奏总纲!R139</f>
        <v>8384.3560512097483</v>
      </c>
      <c r="G139" s="4">
        <f>[1]节奏总纲!S139</f>
        <v>5967.009504237235</v>
      </c>
      <c r="H139" s="4">
        <f>[1]节奏总纲!T139</f>
        <v>3204.5051041274041</v>
      </c>
      <c r="J139" s="4">
        <v>136</v>
      </c>
      <c r="K139" s="4">
        <f>[1]节奏总纲!W139</f>
        <v>831.5126098927758</v>
      </c>
      <c r="L139" s="4">
        <f>[1]节奏总纲!X139</f>
        <v>710.65966425403349</v>
      </c>
      <c r="M139" s="4">
        <f>[1]节奏总纲!Y139</f>
        <v>588.16421171740058</v>
      </c>
      <c r="N139" s="4">
        <f>[1]节奏总纲!Z139</f>
        <v>418.1597403192045</v>
      </c>
      <c r="O139" s="4">
        <f>[1]节奏总纲!AA139</f>
        <v>225.03921836599011</v>
      </c>
      <c r="Q139" s="4">
        <v>136</v>
      </c>
      <c r="R139" s="4">
        <f>[1]节奏总纲!AD139</f>
        <v>70.979644809032948</v>
      </c>
      <c r="S139" s="4">
        <f>[1]节奏总纲!AE139</f>
        <v>73.059911975288244</v>
      </c>
      <c r="T139" s="4">
        <f>[1]节奏总纲!AF139</f>
        <v>75.943386844857969</v>
      </c>
      <c r="U139" s="4">
        <f>[1]节奏总纲!AG139</f>
        <v>80.4814670112399</v>
      </c>
      <c r="V139" s="4">
        <f>[1]节奏总纲!AH139</f>
        <v>89.684418103136665</v>
      </c>
      <c r="AN139" s="4">
        <v>136</v>
      </c>
      <c r="AO139" s="4">
        <f>[1]节奏总纲!BA139</f>
        <v>40.099065784912149</v>
      </c>
      <c r="AP139" s="4">
        <f>[1]节奏总纲!BB139</f>
        <v>41.590303905372799</v>
      </c>
      <c r="AQ139" s="4">
        <f>[1]节奏总纲!BC139</f>
        <v>43.529466754904341</v>
      </c>
      <c r="AR139" s="4">
        <f>[1]节奏总纲!BD139</f>
        <v>46.272410430048332</v>
      </c>
      <c r="AS139" s="4">
        <f>[1]节奏总纲!BE139</f>
        <v>50.982286971070401</v>
      </c>
    </row>
    <row r="140" spans="2:45" x14ac:dyDescent="0.15">
      <c r="B140" s="4">
        <f>[1]节奏总纲!N140</f>
        <v>147</v>
      </c>
      <c r="C140" s="4">
        <v>137</v>
      </c>
      <c r="D140" s="4">
        <f>[1]节奏总纲!P140</f>
        <v>13306.943261900544</v>
      </c>
      <c r="E140" s="4">
        <f>[1]节奏总纲!Q140</f>
        <v>11274.973025808331</v>
      </c>
      <c r="F140" s="4">
        <f>[1]节奏总纲!R140</f>
        <v>8995.4936450447676</v>
      </c>
      <c r="G140" s="4">
        <f>[1]节奏总纲!S140</f>
        <v>6407.293180605112</v>
      </c>
      <c r="H140" s="4">
        <f>[1]节奏总纲!T140</f>
        <v>3438.5141388751008</v>
      </c>
      <c r="J140" s="4">
        <v>137</v>
      </c>
      <c r="K140" s="4">
        <f>[1]节奏总纲!W140</f>
        <v>891.19314904737075</v>
      </c>
      <c r="L140" s="4">
        <f>[1]节奏总纲!X140</f>
        <v>767.52370530068947</v>
      </c>
      <c r="M140" s="4">
        <f>[1]节奏总纲!Y140</f>
        <v>611.13759383501929</v>
      </c>
      <c r="N140" s="4">
        <f>[1]节奏总纲!Z140</f>
        <v>440.28367636787698</v>
      </c>
      <c r="O140" s="4">
        <f>[1]节奏总纲!AA140</f>
        <v>234.00903474769666</v>
      </c>
      <c r="Q140" s="4">
        <v>137</v>
      </c>
      <c r="R140" s="4">
        <f>[1]节奏总纲!AD140</f>
        <v>71.082568038258202</v>
      </c>
      <c r="S140" s="4">
        <f>[1]节奏总纲!AE140</f>
        <v>73.162499594857536</v>
      </c>
      <c r="T140" s="4">
        <f>[1]节奏总纲!AF140</f>
        <v>76.048210495050611</v>
      </c>
      <c r="U140" s="4">
        <f>[1]节奏总纲!AG140</f>
        <v>80.590396199303228</v>
      </c>
      <c r="V140" s="4">
        <f>[1]节奏总纲!AH140</f>
        <v>89.811617577890132</v>
      </c>
      <c r="AN140" s="4">
        <v>137</v>
      </c>
      <c r="AO140" s="4">
        <f>[1]节奏总纲!BA140</f>
        <v>40.145684977811982</v>
      </c>
      <c r="AP140" s="4">
        <f>[1]节奏总纲!BB140</f>
        <v>41.640586674237483</v>
      </c>
      <c r="AQ140" s="4">
        <f>[1]节奏总纲!BC140</f>
        <v>43.579395699483875</v>
      </c>
      <c r="AR140" s="4">
        <f>[1]节奏总纲!BD140</f>
        <v>46.320570537095151</v>
      </c>
      <c r="AS140" s="4">
        <f>[1]节奏总纲!BE140</f>
        <v>51.030916192165336</v>
      </c>
    </row>
    <row r="141" spans="2:45" x14ac:dyDescent="0.15">
      <c r="B141" s="4">
        <f>[1]节奏总纲!N141</f>
        <v>148</v>
      </c>
      <c r="C141" s="4">
        <v>138</v>
      </c>
      <c r="D141" s="4">
        <f>[1]节奏总纲!P141</f>
        <v>14262.10042904369</v>
      </c>
      <c r="E141" s="4">
        <f>[1]节奏总纲!Q141</f>
        <v>12084.27769352872</v>
      </c>
      <c r="F141" s="4">
        <f>[1]节奏总纲!R141</f>
        <v>9648.3109402480568</v>
      </c>
      <c r="G141" s="4">
        <f>[1]节奏总纲!S141</f>
        <v>6871.4799867132497</v>
      </c>
      <c r="H141" s="4">
        <f>[1]节奏总纲!T141</f>
        <v>3671.064650435846</v>
      </c>
      <c r="J141" s="4">
        <v>138</v>
      </c>
      <c r="K141" s="4">
        <f>[1]节奏总纲!W141</f>
        <v>955.15716714314658</v>
      </c>
      <c r="L141" s="4">
        <f>[1]节奏总纲!X141</f>
        <v>809.30466772038926</v>
      </c>
      <c r="M141" s="4">
        <f>[1]节奏总纲!Y141</f>
        <v>652.81729520328918</v>
      </c>
      <c r="N141" s="4">
        <f>[1]节奏总纲!Z141</f>
        <v>464.18680610813772</v>
      </c>
      <c r="O141" s="4">
        <f>[1]节奏总纲!AA141</f>
        <v>232.55051156074524</v>
      </c>
      <c r="Q141" s="4">
        <v>138</v>
      </c>
      <c r="R141" s="4">
        <f>[1]节奏总纲!AD141</f>
        <v>71.184128141237707</v>
      </c>
      <c r="S141" s="4">
        <f>[1]节奏总纲!AE141</f>
        <v>73.265087214426828</v>
      </c>
      <c r="T141" s="4">
        <f>[1]节奏总纲!AF141</f>
        <v>76.148064447889894</v>
      </c>
      <c r="U141" s="4">
        <f>[1]节奏总纲!AG141</f>
        <v>80.699325387366557</v>
      </c>
      <c r="V141" s="4">
        <f>[1]节奏总纲!AH141</f>
        <v>89.938817052643586</v>
      </c>
      <c r="AN141" s="4">
        <v>138</v>
      </c>
      <c r="AO141" s="4">
        <f>[1]节奏总纲!BA141</f>
        <v>40.192304170711814</v>
      </c>
      <c r="AP141" s="4">
        <f>[1]节奏总纲!BB141</f>
        <v>41.690869443102159</v>
      </c>
      <c r="AQ141" s="4">
        <f>[1]节奏总纲!BC141</f>
        <v>43.629324644063402</v>
      </c>
      <c r="AR141" s="4">
        <f>[1]节奏总纲!BD141</f>
        <v>46.368730644141969</v>
      </c>
      <c r="AS141" s="4">
        <f>[1]节奏总纲!BE141</f>
        <v>51.077127728003028</v>
      </c>
    </row>
    <row r="142" spans="2:45" x14ac:dyDescent="0.15">
      <c r="B142" s="4">
        <f>[1]节奏总纲!N142</f>
        <v>149</v>
      </c>
      <c r="C142" s="4">
        <v>139</v>
      </c>
      <c r="D142" s="4">
        <f>[1]节奏总纲!P142</f>
        <v>15285.812533339058</v>
      </c>
      <c r="E142" s="4">
        <f>[1]节奏总纲!Q142</f>
        <v>12957.783284511519</v>
      </c>
      <c r="F142" s="4">
        <f>[1]节奏总纲!R142</f>
        <v>10342.380760057207</v>
      </c>
      <c r="G142" s="4">
        <f>[1]节奏总纲!S142</f>
        <v>7335.6614347494142</v>
      </c>
      <c r="H142" s="4">
        <f>[1]节奏总纲!T142</f>
        <v>3920.8109148014687</v>
      </c>
      <c r="J142" s="4">
        <v>139</v>
      </c>
      <c r="K142" s="4">
        <f>[1]节奏总纲!W142</f>
        <v>1023.7121042953677</v>
      </c>
      <c r="L142" s="4">
        <f>[1]节奏总纲!X142</f>
        <v>873.50559098279882</v>
      </c>
      <c r="M142" s="4">
        <f>[1]节奏总纲!Y142</f>
        <v>694.06981980915043</v>
      </c>
      <c r="N142" s="4">
        <f>[1]节奏总纲!Z142</f>
        <v>464.18144803616451</v>
      </c>
      <c r="O142" s="4">
        <f>[1]节奏总纲!AA142</f>
        <v>249.74626436562266</v>
      </c>
      <c r="Q142" s="4">
        <v>139</v>
      </c>
      <c r="R142" s="4">
        <f>[1]节奏总纲!AD142</f>
        <v>71.285688244217212</v>
      </c>
      <c r="S142" s="4">
        <f>[1]节奏总纲!AE142</f>
        <v>73.367674833996119</v>
      </c>
      <c r="T142" s="4">
        <f>[1]节奏总纲!AF142</f>
        <v>76.247918400729162</v>
      </c>
      <c r="U142" s="4">
        <f>[1]节奏总纲!AG142</f>
        <v>80.808254575429885</v>
      </c>
      <c r="V142" s="4">
        <f>[1]节奏总纲!AH142</f>
        <v>90.055148444912135</v>
      </c>
      <c r="AN142" s="4">
        <v>139</v>
      </c>
      <c r="AO142" s="4">
        <f>[1]节奏总纲!BA142</f>
        <v>40.238923363611647</v>
      </c>
      <c r="AP142" s="4">
        <f>[1]节奏总纲!BB142</f>
        <v>41.741152211966842</v>
      </c>
      <c r="AQ142" s="4">
        <f>[1]节奏总纲!BC142</f>
        <v>43.679253588642929</v>
      </c>
      <c r="AR142" s="4">
        <f>[1]节奏总纲!BD142</f>
        <v>46.416890751188788</v>
      </c>
      <c r="AS142" s="4">
        <f>[1]节奏总纲!BE142</f>
        <v>51.12333926384072</v>
      </c>
    </row>
    <row r="143" spans="2:45" x14ac:dyDescent="0.15">
      <c r="B143" s="4">
        <f>[1]节奏总纲!N143</f>
        <v>150</v>
      </c>
      <c r="C143" s="4">
        <v>140</v>
      </c>
      <c r="D143" s="4">
        <f>[1]节奏总纲!P143</f>
        <v>16383</v>
      </c>
      <c r="E143" s="4">
        <f>[1]节奏总纲!Q143</f>
        <v>13881.315900000001</v>
      </c>
      <c r="F143" s="4">
        <f>[1]节奏总纲!R143</f>
        <v>11037.2271</v>
      </c>
      <c r="G143" s="4">
        <f>[1]节奏总纲!S143</f>
        <v>7827.7974000000004</v>
      </c>
      <c r="H143" s="4">
        <f>[1]节奏总纲!T143</f>
        <v>4192.4097000000002</v>
      </c>
      <c r="J143" s="4">
        <v>140</v>
      </c>
      <c r="K143" s="4">
        <f>[1]节奏总纲!W143</f>
        <v>1097.1874666609419</v>
      </c>
      <c r="L143" s="4">
        <f>[1]节奏总纲!X143</f>
        <v>923.53261548848241</v>
      </c>
      <c r="M143" s="4">
        <f>[1]节奏总纲!Y143</f>
        <v>694.84633994279284</v>
      </c>
      <c r="N143" s="4">
        <f>[1]节奏总纲!Z143</f>
        <v>492.1359652505862</v>
      </c>
      <c r="O143" s="4">
        <f>[1]节奏总纲!AA143</f>
        <v>271.59878519853146</v>
      </c>
      <c r="Q143" s="4">
        <v>140</v>
      </c>
      <c r="R143" s="4">
        <f>[1]节奏总纲!AD143</f>
        <v>71.387248347196717</v>
      </c>
      <c r="S143" s="4">
        <f>[1]节奏总纲!AE143</f>
        <v>73.470262453565411</v>
      </c>
      <c r="T143" s="4">
        <f>[1]节奏总纲!AF143</f>
        <v>76.347772353568445</v>
      </c>
      <c r="U143" s="4">
        <f>[1]节奏总纲!AG143</f>
        <v>80.917183763493213</v>
      </c>
      <c r="V143" s="4">
        <f>[1]节奏总纲!AH143</f>
        <v>90.16140749098561</v>
      </c>
      <c r="AN143" s="4">
        <v>140</v>
      </c>
      <c r="AO143" s="4">
        <f>[1]节奏总纲!BA143</f>
        <v>40.28554255651148</v>
      </c>
      <c r="AP143" s="4">
        <f>[1]节奏总纲!BB143</f>
        <v>41.791434980831518</v>
      </c>
      <c r="AQ143" s="4">
        <f>[1]节奏总纲!BC143</f>
        <v>43.729182533222463</v>
      </c>
      <c r="AR143" s="4">
        <f>[1]节奏总纲!BD143</f>
        <v>46.465050858235607</v>
      </c>
      <c r="AS143" s="4">
        <f>[1]节奏总纲!BE143</f>
        <v>51.169550799678412</v>
      </c>
    </row>
    <row r="144" spans="2:45" x14ac:dyDescent="0.15">
      <c r="B144" s="4">
        <f>[1]节奏总纲!N144</f>
        <v>151</v>
      </c>
      <c r="C144" s="4">
        <v>141</v>
      </c>
      <c r="D144" s="4">
        <f>[1]节奏总纲!P144</f>
        <v>17558.936410194601</v>
      </c>
      <c r="E144" s="4">
        <f>[1]节奏总纲!Q144</f>
        <v>14839.057160255457</v>
      </c>
      <c r="F144" s="4">
        <f>[1]节奏总纲!R144</f>
        <v>11789.069905804656</v>
      </c>
      <c r="G144" s="4">
        <f>[1]节奏总纲!S144</f>
        <v>8380.8803485858825</v>
      </c>
      <c r="H144" s="4">
        <f>[1]节奏总纲!T144</f>
        <v>4489.820040086759</v>
      </c>
      <c r="J144" s="4">
        <v>141</v>
      </c>
      <c r="K144" s="4">
        <f>[1]节奏总纲!W144</f>
        <v>1175.9364101946012</v>
      </c>
      <c r="L144" s="4">
        <f>[1]节奏总纲!X144</f>
        <v>957.74126025545593</v>
      </c>
      <c r="M144" s="4">
        <f>[1]节奏总纲!Y144</f>
        <v>751.84280580465565</v>
      </c>
      <c r="N144" s="4">
        <f>[1]节奏总纲!Z144</f>
        <v>553.08294858588215</v>
      </c>
      <c r="O144" s="4">
        <f>[1]节奏总纲!AA144</f>
        <v>297.41034008675888</v>
      </c>
      <c r="Q144" s="4">
        <v>141</v>
      </c>
      <c r="R144" s="4">
        <f>[1]节奏总纲!AD144</f>
        <v>71.488808450176208</v>
      </c>
      <c r="S144" s="4">
        <f>[1]节奏总纲!AE144</f>
        <v>73.572850073134703</v>
      </c>
      <c r="T144" s="4">
        <f>[1]节奏总纲!AF144</f>
        <v>76.447626306407713</v>
      </c>
      <c r="U144" s="4">
        <f>[1]节奏总纲!AG144</f>
        <v>81.023848662825003</v>
      </c>
      <c r="V144" s="4">
        <f>[1]节奏总纲!AH144</f>
        <v>90.267666537059071</v>
      </c>
      <c r="AN144" s="4">
        <v>141</v>
      </c>
      <c r="AO144" s="4">
        <f>[1]节奏总纲!BA144</f>
        <v>40.332161749411313</v>
      </c>
      <c r="AP144" s="4">
        <f>[1]节奏总纲!BB144</f>
        <v>41.841717749696201</v>
      </c>
      <c r="AQ144" s="4">
        <f>[1]节奏总纲!BC144</f>
        <v>43.77911147780199</v>
      </c>
      <c r="AR144" s="4">
        <f>[1]节奏总纲!BD144</f>
        <v>46.513210965282425</v>
      </c>
      <c r="AS144" s="4">
        <f>[1]节奏总纲!BE144</f>
        <v>51.215762335516104</v>
      </c>
    </row>
    <row r="145" spans="2:45" x14ac:dyDescent="0.15">
      <c r="B145" s="4">
        <f>[1]节奏总纲!N145</f>
        <v>152</v>
      </c>
      <c r="C145" s="4">
        <v>142</v>
      </c>
      <c r="D145" s="4">
        <f>[1]节奏总纲!P145</f>
        <v>18819.273848271412</v>
      </c>
      <c r="E145" s="4">
        <f>[1]节奏总纲!Q145</f>
        <v>15904.16832917417</v>
      </c>
      <c r="F145" s="4">
        <f>[1]节奏总纲!R145</f>
        <v>12667.253227271489</v>
      </c>
      <c r="G145" s="4">
        <f>[1]节奏总纲!S145</f>
        <v>9003.140609013044</v>
      </c>
      <c r="H145" s="4">
        <f>[1]节奏总纲!T145</f>
        <v>4823.3798873119622</v>
      </c>
      <c r="J145" s="4">
        <v>142</v>
      </c>
      <c r="K145" s="4">
        <f>[1]节奏总纲!W145</f>
        <v>1260.3374380768109</v>
      </c>
      <c r="L145" s="4">
        <f>[1]节奏总纲!X145</f>
        <v>1065.1111689187128</v>
      </c>
      <c r="M145" s="4">
        <f>[1]节奏总纲!Y145</f>
        <v>878.18332146683315</v>
      </c>
      <c r="N145" s="4">
        <f>[1]节奏总纲!Z145</f>
        <v>622.26026042716148</v>
      </c>
      <c r="O145" s="4">
        <f>[1]节奏总纲!AA145</f>
        <v>333.55984722520316</v>
      </c>
      <c r="Q145" s="4">
        <v>142</v>
      </c>
      <c r="R145" s="4">
        <f>[1]节奏总纲!AD145</f>
        <v>71.590368553155713</v>
      </c>
      <c r="S145" s="4">
        <f>[1]节奏总纲!AE145</f>
        <v>73.675437692703994</v>
      </c>
      <c r="T145" s="4">
        <f>[1]节奏总纲!AF145</f>
        <v>76.547480259246996</v>
      </c>
      <c r="U145" s="4">
        <f>[1]节奏总纲!AG145</f>
        <v>81.123332456233015</v>
      </c>
      <c r="V145" s="4">
        <f>[1]节奏总纲!AH145</f>
        <v>90.373925583132547</v>
      </c>
      <c r="AN145" s="4">
        <v>142</v>
      </c>
      <c r="AO145" s="4">
        <f>[1]节奏总纲!BA145</f>
        <v>40.378780942311145</v>
      </c>
      <c r="AP145" s="4">
        <f>[1]节奏总纲!BB145</f>
        <v>41.892000518560877</v>
      </c>
      <c r="AQ145" s="4">
        <f>[1]节奏总纲!BC145</f>
        <v>43.829040422381524</v>
      </c>
      <c r="AR145" s="4">
        <f>[1]节奏总纲!BD145</f>
        <v>46.561371072329244</v>
      </c>
      <c r="AS145" s="4">
        <f>[1]节奏总纲!BE145</f>
        <v>51.261973871353796</v>
      </c>
    </row>
    <row r="146" spans="2:45" x14ac:dyDescent="0.15">
      <c r="B146" s="4">
        <f>[1]节奏总纲!N146</f>
        <v>153</v>
      </c>
      <c r="C146" s="4">
        <v>143</v>
      </c>
      <c r="D146" s="4">
        <f>[1]节奏总纲!P146</f>
        <v>20170.070068243116</v>
      </c>
      <c r="E146" s="4">
        <f>[1]节奏总纲!Q146</f>
        <v>17065.896284740498</v>
      </c>
      <c r="F146" s="4">
        <f>[1]节奏总纲!R146</f>
        <v>13594.62722599586</v>
      </c>
      <c r="G146" s="4">
        <f>[1]节奏总纲!S146</f>
        <v>9669.5315907157492</v>
      </c>
      <c r="H146" s="4">
        <f>[1]节奏总纲!T146</f>
        <v>5185.7250145453054</v>
      </c>
      <c r="J146" s="4">
        <v>143</v>
      </c>
      <c r="K146" s="4">
        <f>[1]节奏总纲!W146</f>
        <v>1350.796219971704</v>
      </c>
      <c r="L146" s="4">
        <f>[1]节奏总纲!X146</f>
        <v>1161.7279555663281</v>
      </c>
      <c r="M146" s="4">
        <f>[1]节奏总纲!Y146</f>
        <v>927.37399872437163</v>
      </c>
      <c r="N146" s="4">
        <f>[1]节奏总纲!Z146</f>
        <v>666.39098170270518</v>
      </c>
      <c r="O146" s="4">
        <f>[1]节奏总纲!AA146</f>
        <v>362.34512723334319</v>
      </c>
      <c r="Q146" s="4">
        <v>143</v>
      </c>
      <c r="R146" s="4">
        <f>[1]节奏总纲!AD146</f>
        <v>71.691928656135218</v>
      </c>
      <c r="S146" s="4">
        <f>[1]节奏总纲!AE146</f>
        <v>73.778025312273286</v>
      </c>
      <c r="T146" s="4">
        <f>[1]节奏总纲!AF146</f>
        <v>76.647334212086264</v>
      </c>
      <c r="U146" s="4">
        <f>[1]节奏总纲!AG146</f>
        <v>81.222816249641028</v>
      </c>
      <c r="V146" s="4">
        <f>[1]节奏总纲!AH146</f>
        <v>90.480184629206022</v>
      </c>
      <c r="AN146" s="4">
        <v>143</v>
      </c>
      <c r="AO146" s="4">
        <f>[1]节奏总纲!BA146</f>
        <v>40.425400135210978</v>
      </c>
      <c r="AP146" s="4">
        <f>[1]节奏总纲!BB146</f>
        <v>41.94228328742556</v>
      </c>
      <c r="AQ146" s="4">
        <f>[1]节奏总纲!BC146</f>
        <v>43.878969366961051</v>
      </c>
      <c r="AR146" s="4">
        <f>[1]节奏总纲!BD146</f>
        <v>46.609531179376063</v>
      </c>
      <c r="AS146" s="4">
        <f>[1]节奏总纲!BE146</f>
        <v>51.308185407191495</v>
      </c>
    </row>
    <row r="147" spans="2:45" x14ac:dyDescent="0.15">
      <c r="B147" s="4">
        <f>[1]节奏总纲!N147</f>
        <v>154</v>
      </c>
      <c r="C147" s="4">
        <v>144</v>
      </c>
      <c r="D147" s="4">
        <f>[1]节奏总纲!P147</f>
        <v>21617.817610103088</v>
      </c>
      <c r="E147" s="4">
        <f>[1]节奏总纲!Q147</f>
        <v>18290.835479908223</v>
      </c>
      <c r="F147" s="4">
        <f>[1]节奏总纲!R147</f>
        <v>14585.541541536553</v>
      </c>
      <c r="G147" s="4">
        <f>[1]节奏总纲!S147</f>
        <v>10380.876016371503</v>
      </c>
      <c r="H147" s="4">
        <f>[1]节奏总纲!T147</f>
        <v>5547.1319987524521</v>
      </c>
      <c r="J147" s="4">
        <v>144</v>
      </c>
      <c r="K147" s="4">
        <f>[1]节奏总纲!W147</f>
        <v>1447.7475418599715</v>
      </c>
      <c r="L147" s="4">
        <f>[1]节奏总纲!X147</f>
        <v>1224.9391951677244</v>
      </c>
      <c r="M147" s="4">
        <f>[1]节奏总纲!Y147</f>
        <v>990.91431554069277</v>
      </c>
      <c r="N147" s="4">
        <f>[1]节奏总纲!Z147</f>
        <v>711.34442565575409</v>
      </c>
      <c r="O147" s="4">
        <f>[1]节奏总纲!AA147</f>
        <v>361.40698420714671</v>
      </c>
      <c r="Q147" s="4">
        <v>144</v>
      </c>
      <c r="R147" s="4">
        <f>[1]节奏总纲!AD147</f>
        <v>71.793488759114723</v>
      </c>
      <c r="S147" s="4">
        <f>[1]节奏总纲!AE147</f>
        <v>73.880612931842577</v>
      </c>
      <c r="T147" s="4">
        <f>[1]节奏总纲!AF147</f>
        <v>76.747188164925547</v>
      </c>
      <c r="U147" s="4">
        <f>[1]节奏总纲!AG147</f>
        <v>81.322300043049054</v>
      </c>
      <c r="V147" s="4">
        <f>[1]节奏总纲!AH147</f>
        <v>90.586443675279497</v>
      </c>
      <c r="AN147" s="4">
        <v>144</v>
      </c>
      <c r="AO147" s="4">
        <f>[1]节奏总纲!BA147</f>
        <v>40.472019328110811</v>
      </c>
      <c r="AP147" s="4">
        <f>[1]节奏总纲!BB147</f>
        <v>41.992566056290244</v>
      </c>
      <c r="AQ147" s="4">
        <f>[1]节奏总纲!BC147</f>
        <v>43.928898311540586</v>
      </c>
      <c r="AR147" s="4">
        <f>[1]节奏总纲!BD147</f>
        <v>46.657691286422882</v>
      </c>
      <c r="AS147" s="4">
        <f>[1]节奏总纲!BE147</f>
        <v>51.354396943029187</v>
      </c>
    </row>
    <row r="148" spans="2:45" x14ac:dyDescent="0.15">
      <c r="B148" s="4">
        <f>[1]节奏总纲!N148</f>
        <v>155</v>
      </c>
      <c r="C148" s="4">
        <v>145</v>
      </c>
      <c r="D148" s="4">
        <f>[1]节奏总纲!P148</f>
        <v>23169.475005920798</v>
      </c>
      <c r="E148" s="4">
        <f>[1]节奏总纲!Q148</f>
        <v>19631.496172516694</v>
      </c>
      <c r="F148" s="4">
        <f>[1]节奏总纲!R148</f>
        <v>15650.9803664995</v>
      </c>
      <c r="G148" s="4">
        <f>[1]节奏总纲!S148</f>
        <v>11105.129370337838</v>
      </c>
      <c r="H148" s="4">
        <f>[1]节奏总纲!T148</f>
        <v>5926.7517065145412</v>
      </c>
      <c r="J148" s="4">
        <v>145</v>
      </c>
      <c r="K148" s="4">
        <f>[1]节奏总纲!W148</f>
        <v>1551.6573958177105</v>
      </c>
      <c r="L148" s="4">
        <f>[1]节奏总纲!X148</f>
        <v>1340.6606926084714</v>
      </c>
      <c r="M148" s="4">
        <f>[1]节奏总纲!Y148</f>
        <v>1065.4388249629465</v>
      </c>
      <c r="N148" s="4">
        <f>[1]节奏总纲!Z148</f>
        <v>724.25335396633454</v>
      </c>
      <c r="O148" s="4">
        <f>[1]节奏总纲!AA148</f>
        <v>379.61970776208909</v>
      </c>
      <c r="Q148" s="4">
        <v>145</v>
      </c>
      <c r="R148" s="4">
        <f>[1]节奏总纲!AD148</f>
        <v>71.895048862094214</v>
      </c>
      <c r="S148" s="4">
        <f>[1]节奏总纲!AE148</f>
        <v>73.983200551411869</v>
      </c>
      <c r="T148" s="4">
        <f>[1]节奏总纲!AF148</f>
        <v>76.847042117764815</v>
      </c>
      <c r="U148" s="4">
        <f>[1]节奏总纲!AG148</f>
        <v>81.421783836457067</v>
      </c>
      <c r="V148" s="4">
        <f>[1]节奏总纲!AH148</f>
        <v>90.692702721352973</v>
      </c>
      <c r="AN148" s="4">
        <v>145</v>
      </c>
      <c r="AO148" s="4">
        <f>[1]节奏总纲!BA148</f>
        <v>40.518638521010651</v>
      </c>
      <c r="AP148" s="4">
        <f>[1]节奏总纲!BB148</f>
        <v>42.036975906461073</v>
      </c>
      <c r="AQ148" s="4">
        <f>[1]节奏总纲!BC148</f>
        <v>43.978827256120113</v>
      </c>
      <c r="AR148" s="4">
        <f>[1]节奏总纲!BD148</f>
        <v>46.7058513934697</v>
      </c>
      <c r="AS148" s="4">
        <f>[1]节奏总纲!BE148</f>
        <v>51.400608478866879</v>
      </c>
    </row>
    <row r="149" spans="2:45" x14ac:dyDescent="0.15">
      <c r="B149" s="4">
        <f>[1]节奏总纲!N149</f>
        <v>156</v>
      </c>
      <c r="C149" s="4">
        <v>146</v>
      </c>
      <c r="D149" s="4">
        <f>[1]节奏总纲!P149</f>
        <v>24832.50022570635</v>
      </c>
      <c r="E149" s="4">
        <f>[1]节奏总纲!Q149</f>
        <v>21035.61094119585</v>
      </c>
      <c r="F149" s="4">
        <f>[1]节奏总纲!R149</f>
        <v>16719.722401968087</v>
      </c>
      <c r="G149" s="4">
        <f>[1]节奏总纲!S149</f>
        <v>11847.5858576845</v>
      </c>
      <c r="H149" s="4">
        <f>[1]节奏总纲!T149</f>
        <v>6324.8378074874072</v>
      </c>
      <c r="J149" s="4">
        <v>146</v>
      </c>
      <c r="K149" s="4">
        <f>[1]节奏总纲!W149</f>
        <v>1663.0252197855516</v>
      </c>
      <c r="L149" s="4">
        <f>[1]节奏总纲!X149</f>
        <v>1404.1147686791555</v>
      </c>
      <c r="M149" s="4">
        <f>[1]节奏总纲!Y149</f>
        <v>1068.7420354685873</v>
      </c>
      <c r="N149" s="4">
        <f>[1]节奏总纲!Z149</f>
        <v>742.45648734666247</v>
      </c>
      <c r="O149" s="4">
        <f>[1]节奏总纲!AA149</f>
        <v>398.08610097286601</v>
      </c>
      <c r="Q149" s="4">
        <v>146</v>
      </c>
      <c r="R149" s="4">
        <f>[1]节奏总纲!AD149</f>
        <v>71.996608965073719</v>
      </c>
      <c r="S149" s="4">
        <f>[1]节奏总纲!AE149</f>
        <v>74.078973000522922</v>
      </c>
      <c r="T149" s="4">
        <f>[1]节奏总纲!AF149</f>
        <v>76.946896070604097</v>
      </c>
      <c r="U149" s="4">
        <f>[1]节奏总纲!AG149</f>
        <v>81.521267629865079</v>
      </c>
      <c r="V149" s="4">
        <f>[1]节奏总纲!AH149</f>
        <v>90.798961767426448</v>
      </c>
      <c r="AN149" s="4">
        <v>146</v>
      </c>
      <c r="AO149" s="4">
        <f>[1]节奏总纲!BA149</f>
        <v>40.565257713910484</v>
      </c>
      <c r="AP149" s="4">
        <f>[1]节奏总纲!BB149</f>
        <v>42.080366850119908</v>
      </c>
      <c r="AQ149" s="4">
        <f>[1]节奏总纲!BC149</f>
        <v>44.024818750237806</v>
      </c>
      <c r="AR149" s="4">
        <f>[1]节奏总纲!BD149</f>
        <v>46.754011500516519</v>
      </c>
      <c r="AS149" s="4">
        <f>[1]节奏总纲!BE149</f>
        <v>51.446820014704571</v>
      </c>
    </row>
    <row r="150" spans="2:45" x14ac:dyDescent="0.15">
      <c r="B150" s="4">
        <f>[1]节奏总纲!N150</f>
        <v>157</v>
      </c>
      <c r="C150" s="4">
        <v>147</v>
      </c>
      <c r="D150" s="4">
        <f>[1]节奏总纲!P150</f>
        <v>26614.886523801088</v>
      </c>
      <c r="E150" s="4">
        <f>[1]节奏总纲!Q150</f>
        <v>22470.948692045258</v>
      </c>
      <c r="F150" s="4">
        <f>[1]节奏总纲!R150</f>
        <v>17837.296948251489</v>
      </c>
      <c r="G150" s="4">
        <f>[1]节奏总纲!S150</f>
        <v>12631.425144195997</v>
      </c>
      <c r="H150" s="4">
        <f>[1]节奏总纲!T150</f>
        <v>6754.8581997407164</v>
      </c>
      <c r="J150" s="4">
        <v>147</v>
      </c>
      <c r="K150" s="4">
        <f>[1]节奏总纲!W150</f>
        <v>1782.3862980947379</v>
      </c>
      <c r="L150" s="4">
        <f>[1]节奏总纲!X150</f>
        <v>1435.3377508494086</v>
      </c>
      <c r="M150" s="4">
        <f>[1]节奏总纲!Y150</f>
        <v>1117.574546283402</v>
      </c>
      <c r="N150" s="4">
        <f>[1]节奏总纲!Z150</f>
        <v>783.83928651149654</v>
      </c>
      <c r="O150" s="4">
        <f>[1]节奏总纲!AA150</f>
        <v>430.02039225330918</v>
      </c>
      <c r="Q150" s="4">
        <v>147</v>
      </c>
      <c r="R150" s="4">
        <f>[1]节奏总纲!AD150</f>
        <v>72.091594979242075</v>
      </c>
      <c r="S150" s="4">
        <f>[1]节奏总纲!AE150</f>
        <v>74.173410870467364</v>
      </c>
      <c r="T150" s="4">
        <f>[1]节奏总纲!AF150</f>
        <v>77.043751281705866</v>
      </c>
      <c r="U150" s="4">
        <f>[1]节奏总纲!AG150</f>
        <v>81.620751423273092</v>
      </c>
      <c r="V150" s="4">
        <f>[1]节奏总纲!AH150</f>
        <v>90.905220813499923</v>
      </c>
      <c r="AN150" s="4">
        <v>147</v>
      </c>
      <c r="AO150" s="4">
        <f>[1]节奏总纲!BA150</f>
        <v>40.611876906810316</v>
      </c>
      <c r="AP150" s="4">
        <f>[1]节奏总纲!BB150</f>
        <v>42.123757793778736</v>
      </c>
      <c r="AQ150" s="4">
        <f>[1]节奏总纲!BC150</f>
        <v>44.067911160744309</v>
      </c>
      <c r="AR150" s="4">
        <f>[1]节奏总纲!BD150</f>
        <v>46.802171607563338</v>
      </c>
      <c r="AS150" s="4">
        <f>[1]节奏总纲!BE150</f>
        <v>51.493031550542263</v>
      </c>
    </row>
    <row r="151" spans="2:45" x14ac:dyDescent="0.15">
      <c r="B151" s="4">
        <f>[1]节奏总纲!N151</f>
        <v>158</v>
      </c>
      <c r="C151" s="4">
        <v>148</v>
      </c>
      <c r="D151" s="4">
        <f>[1]节奏总纲!P151</f>
        <v>28525.200858087381</v>
      </c>
      <c r="E151" s="4">
        <f>[1]节奏总纲!Q151</f>
        <v>24083.827084483179</v>
      </c>
      <c r="F151" s="4">
        <f>[1]节奏总纲!R151</f>
        <v>19128.999695433398</v>
      </c>
      <c r="G151" s="4">
        <f>[1]节奏总纲!S151</f>
        <v>13566.58552810636</v>
      </c>
      <c r="H151" s="4">
        <f>[1]节奏总纲!T151</f>
        <v>7242.5484978683862</v>
      </c>
      <c r="J151" s="4">
        <v>148</v>
      </c>
      <c r="K151" s="4">
        <f>[1]节奏总纲!W151</f>
        <v>1910.3143342862932</v>
      </c>
      <c r="L151" s="4">
        <f>[1]节奏总纲!X151</f>
        <v>1612.8783924379204</v>
      </c>
      <c r="M151" s="4">
        <f>[1]节奏总纲!Y151</f>
        <v>1291.7027471819092</v>
      </c>
      <c r="N151" s="4">
        <f>[1]节奏总纲!Z151</f>
        <v>935.16038391036273</v>
      </c>
      <c r="O151" s="4">
        <f>[1]节奏总纲!AA151</f>
        <v>487.69029812766985</v>
      </c>
      <c r="Q151" s="4">
        <v>148</v>
      </c>
      <c r="R151" s="4">
        <f>[1]节奏总纲!AD151</f>
        <v>72.186353905945822</v>
      </c>
      <c r="S151" s="4">
        <f>[1]节奏总纲!AE151</f>
        <v>74.267848740411821</v>
      </c>
      <c r="T151" s="4">
        <f>[1]节奏总纲!AF151</f>
        <v>77.137200185007629</v>
      </c>
      <c r="U151" s="4">
        <f>[1]节奏总纲!AG151</f>
        <v>81.720235216681118</v>
      </c>
      <c r="V151" s="4">
        <f>[1]节奏总纲!AH151</f>
        <v>91.011076811620597</v>
      </c>
      <c r="AN151" s="4">
        <v>148</v>
      </c>
      <c r="AO151" s="4">
        <f>[1]节奏总纲!BA151</f>
        <v>40.658496099710149</v>
      </c>
      <c r="AP151" s="4">
        <f>[1]节奏总纲!BB151</f>
        <v>42.167148737437564</v>
      </c>
      <c r="AQ151" s="4">
        <f>[1]节奏总纲!BC151</f>
        <v>44.111003571250812</v>
      </c>
      <c r="AR151" s="4">
        <f>[1]节奏总纲!BD151</f>
        <v>46.850331714610157</v>
      </c>
      <c r="AS151" s="4">
        <f>[1]节奏总纲!BE151</f>
        <v>51.539243086379955</v>
      </c>
    </row>
    <row r="152" spans="2:45" x14ac:dyDescent="0.15">
      <c r="B152" s="4">
        <f>[1]节奏总纲!N152</f>
        <v>159</v>
      </c>
      <c r="C152" s="4">
        <v>149</v>
      </c>
      <c r="D152" s="4">
        <f>[1]节奏总纲!P152</f>
        <v>30572.62506667812</v>
      </c>
      <c r="E152" s="4">
        <f>[1]节奏总纲!Q152</f>
        <v>25818.581868809673</v>
      </c>
      <c r="F152" s="4">
        <f>[1]节奏总纲!R152</f>
        <v>20520.345944754354</v>
      </c>
      <c r="G152" s="4">
        <f>[1]节奏总纲!S152</f>
        <v>14549.512269232117</v>
      </c>
      <c r="H152" s="4">
        <f>[1]节奏总纲!T152</f>
        <v>7768.50402944291</v>
      </c>
      <c r="J152" s="4">
        <v>149</v>
      </c>
      <c r="K152" s="4">
        <f>[1]节奏总纲!W152</f>
        <v>2047.424208590739</v>
      </c>
      <c r="L152" s="4">
        <f>[1]节奏总纲!X152</f>
        <v>1734.7547843264947</v>
      </c>
      <c r="M152" s="4">
        <f>[1]节奏总纲!Y152</f>
        <v>1391.3462493209554</v>
      </c>
      <c r="N152" s="4">
        <f>[1]节奏总纲!Z152</f>
        <v>982.92674112575696</v>
      </c>
      <c r="O152" s="4">
        <f>[1]节奏总纲!AA152</f>
        <v>525.95553157452377</v>
      </c>
      <c r="Q152" s="4">
        <v>149</v>
      </c>
      <c r="R152" s="4">
        <f>[1]节奏总纲!AD152</f>
        <v>72.281112832649583</v>
      </c>
      <c r="S152" s="4">
        <f>[1]节奏总纲!AE152</f>
        <v>74.362286610356264</v>
      </c>
      <c r="T152" s="4">
        <f>[1]节奏总纲!AF152</f>
        <v>77.230649088309391</v>
      </c>
      <c r="U152" s="4">
        <f>[1]节奏总纲!AG152</f>
        <v>81.819719010089131</v>
      </c>
      <c r="V152" s="4">
        <f>[1]节奏总纲!AH152</f>
        <v>91.113605194377854</v>
      </c>
      <c r="AN152" s="4">
        <v>149</v>
      </c>
      <c r="AO152" s="4">
        <f>[1]节奏总纲!BA152</f>
        <v>40.705115292609982</v>
      </c>
      <c r="AP152" s="4">
        <f>[1]节奏总纲!BB152</f>
        <v>42.2105396810964</v>
      </c>
      <c r="AQ152" s="4">
        <f>[1]节奏总纲!BC152</f>
        <v>44.154095981757315</v>
      </c>
      <c r="AR152" s="4">
        <f>[1]节奏总纲!BD152</f>
        <v>46.898491821656968</v>
      </c>
      <c r="AS152" s="4">
        <f>[1]节奏总纲!BE152</f>
        <v>51.585454622217647</v>
      </c>
    </row>
    <row r="153" spans="2:45" x14ac:dyDescent="0.15">
      <c r="B153" s="4">
        <f>[1]节奏总纲!N153</f>
        <v>160</v>
      </c>
      <c r="C153" s="4">
        <v>150</v>
      </c>
      <c r="D153" s="4">
        <f>[1]节奏总纲!P153</f>
        <v>32767</v>
      </c>
      <c r="E153" s="4">
        <f>[1]节奏总纲!Q153</f>
        <v>27671.731500000002</v>
      </c>
      <c r="F153" s="4">
        <f>[1]节奏总纲!R153</f>
        <v>21996.487099999998</v>
      </c>
      <c r="G153" s="4">
        <f>[1]节奏总纲!S153</f>
        <v>15603.645400000001</v>
      </c>
      <c r="H153" s="4">
        <f>[1]节奏总纲!T153</f>
        <v>8355.5850000000009</v>
      </c>
      <c r="J153" s="4">
        <v>150</v>
      </c>
      <c r="K153" s="4">
        <f>[1]节奏总纲!W153</f>
        <v>2194.3749333218802</v>
      </c>
      <c r="L153" s="4">
        <f>[1]节奏总纲!X153</f>
        <v>1853.1496311903284</v>
      </c>
      <c r="M153" s="4">
        <f>[1]节奏总纲!Y153</f>
        <v>1476.1411552456448</v>
      </c>
      <c r="N153" s="4">
        <f>[1]节奏总纲!Z153</f>
        <v>1054.1331307678847</v>
      </c>
      <c r="O153" s="4">
        <f>[1]节奏总纲!AA153</f>
        <v>587.08097055709095</v>
      </c>
      <c r="Q153" s="4">
        <v>150</v>
      </c>
      <c r="R153" s="4">
        <f>[1]节奏总纲!AD153</f>
        <v>72.375871759353331</v>
      </c>
      <c r="S153" s="4">
        <f>[1]节奏总纲!AE153</f>
        <v>74.456724480300707</v>
      </c>
      <c r="T153" s="4">
        <f>[1]节奏总纲!AF153</f>
        <v>77.324097991611154</v>
      </c>
      <c r="U153" s="4">
        <f>[1]节奏总纲!AG153</f>
        <v>81.919202803497143</v>
      </c>
      <c r="V153" s="4">
        <f>[1]节奏总纲!AH153</f>
        <v>91.216133577135096</v>
      </c>
      <c r="AN153" s="4">
        <v>150</v>
      </c>
      <c r="AO153" s="4">
        <f>[1]节奏总纲!BA153</f>
        <v>40.751734485509814</v>
      </c>
      <c r="AP153" s="4">
        <f>[1]节奏总纲!BB153</f>
        <v>42.253930624755228</v>
      </c>
      <c r="AQ153" s="4">
        <f>[1]节奏总纲!BC153</f>
        <v>44.197188392263818</v>
      </c>
      <c r="AR153" s="4">
        <f>[1]节奏总纲!BD153</f>
        <v>46.946651928703787</v>
      </c>
      <c r="AS153" s="4">
        <f>[1]节奏总纲!BE153</f>
        <v>51.631666158055346</v>
      </c>
    </row>
    <row r="154" spans="2:45" x14ac:dyDescent="0.15">
      <c r="B154" s="4">
        <f>[1]节奏总纲!N154</f>
        <v>161</v>
      </c>
      <c r="C154" s="4">
        <v>151</v>
      </c>
      <c r="D154" s="4">
        <f>[1]节奏总纲!P154</f>
        <v>35118.87282038921</v>
      </c>
      <c r="E154" s="4">
        <f>[1]节奏总纲!Q154</f>
        <v>29671.935645946844</v>
      </c>
      <c r="F154" s="4">
        <f>[1]节奏总纲!R154</f>
        <v>23592.858760737468</v>
      </c>
      <c r="G154" s="4">
        <f>[1]节奏总纲!S154</f>
        <v>16804.380644556237</v>
      </c>
      <c r="H154" s="4">
        <f>[1]节奏总纲!T154</f>
        <v>9095.7880604808051</v>
      </c>
      <c r="J154" s="4">
        <v>151</v>
      </c>
      <c r="K154" s="4">
        <f>[1]节奏总纲!W154</f>
        <v>2351.8728203892097</v>
      </c>
      <c r="L154" s="4">
        <f>[1]节奏总纲!X154</f>
        <v>2000.2041459468419</v>
      </c>
      <c r="M154" s="4">
        <f>[1]节奏总纲!Y154</f>
        <v>1596.3716607374699</v>
      </c>
      <c r="N154" s="4">
        <f>[1]节奏总纲!Z154</f>
        <v>1200.7352445562356</v>
      </c>
      <c r="O154" s="4">
        <f>[1]节奏总纲!AA154</f>
        <v>740.2030604808042</v>
      </c>
      <c r="Q154" s="4">
        <v>151</v>
      </c>
      <c r="R154" s="4">
        <f>[1]节奏总纲!AD154</f>
        <v>72.470630686057078</v>
      </c>
      <c r="S154" s="4">
        <f>[1]节奏总纲!AE154</f>
        <v>74.551162350245164</v>
      </c>
      <c r="T154" s="4">
        <f>[1]节奏总纲!AF154</f>
        <v>77.417546894912917</v>
      </c>
      <c r="U154" s="4">
        <f>[1]节奏总纲!AG154</f>
        <v>82.01744549958407</v>
      </c>
      <c r="V154" s="4">
        <f>[1]节奏总纲!AH154</f>
        <v>91.318661959892353</v>
      </c>
      <c r="AN154" s="4">
        <v>151</v>
      </c>
      <c r="AO154" s="4">
        <f>[1]节奏总纲!BA154</f>
        <v>40.798353678409647</v>
      </c>
      <c r="AP154" s="4">
        <f>[1]节奏总纲!BB154</f>
        <v>42.297321568414056</v>
      </c>
      <c r="AQ154" s="4">
        <f>[1]节奏总纲!BC154</f>
        <v>44.240280802770329</v>
      </c>
      <c r="AR154" s="4">
        <f>[1]节奏总纲!BD154</f>
        <v>46.994812035750606</v>
      </c>
      <c r="AS154" s="4">
        <f>[1]节奏总纲!BE154</f>
        <v>51.677877693893038</v>
      </c>
    </row>
    <row r="155" spans="2:45" x14ac:dyDescent="0.15">
      <c r="B155" s="4">
        <f>[1]节奏总纲!N155</f>
        <v>162</v>
      </c>
      <c r="C155" s="4">
        <v>152</v>
      </c>
      <c r="D155" s="4">
        <f>[1]节奏总纲!P155</f>
        <v>37639.547696542824</v>
      </c>
      <c r="E155" s="4">
        <f>[1]节奏总纲!Q155</f>
        <v>31794.125939269725</v>
      </c>
      <c r="F155" s="4">
        <f>[1]节奏总纲!R155</f>
        <v>25425.514469014677</v>
      </c>
      <c r="G155" s="4">
        <f>[1]节奏总纲!S155</f>
        <v>18255.180632823271</v>
      </c>
      <c r="H155" s="4">
        <f>[1]节奏总纲!T155</f>
        <v>14114.830386203559</v>
      </c>
      <c r="J155" s="4">
        <v>152</v>
      </c>
      <c r="K155" s="4">
        <f>[1]节奏总纲!W155</f>
        <v>2520.6748761536146</v>
      </c>
      <c r="L155" s="4">
        <f>[1]节奏总纲!X155</f>
        <v>2122.1902933228812</v>
      </c>
      <c r="M155" s="4">
        <f>[1]节奏总纲!Y155</f>
        <v>1832.6557082772088</v>
      </c>
      <c r="N155" s="4">
        <f>[1]节奏总纲!Z155</f>
        <v>1450.7999882670338</v>
      </c>
      <c r="O155" s="4">
        <f>[1]节奏总纲!AA155</f>
        <v>5019.042325722754</v>
      </c>
      <c r="Q155" s="4">
        <v>152</v>
      </c>
      <c r="R155" s="4">
        <f>[1]节奏总纲!AD155</f>
        <v>72.565389612760825</v>
      </c>
      <c r="S155" s="4">
        <f>[1]节奏总纲!AE155</f>
        <v>74.645600220189607</v>
      </c>
      <c r="T155" s="4">
        <f>[1]节奏总纲!AF155</f>
        <v>77.51099579821468</v>
      </c>
      <c r="U155" s="4">
        <f>[1]节奏总纲!AG155</f>
        <v>82.110321933176039</v>
      </c>
      <c r="V155" s="4">
        <f>[1]节奏总纲!AH155</f>
        <v>91.421190342649595</v>
      </c>
      <c r="AN155" s="4">
        <v>152</v>
      </c>
      <c r="AO155" s="4">
        <f>[1]节奏总纲!BA155</f>
        <v>40.84497287130948</v>
      </c>
      <c r="AP155" s="4">
        <f>[1]节奏总纲!BB155</f>
        <v>42.340712512072891</v>
      </c>
      <c r="AQ155" s="4">
        <f>[1]节奏总纲!BC155</f>
        <v>44.283373213276832</v>
      </c>
      <c r="AR155" s="4">
        <f>[1]节奏总纲!BD155</f>
        <v>47.037096473408994</v>
      </c>
      <c r="AS155" s="4">
        <f>[1]节奏总纲!BE155</f>
        <v>51.72408922973073</v>
      </c>
    </row>
    <row r="156" spans="2:45" x14ac:dyDescent="0.15">
      <c r="B156" s="4">
        <f>[1]节奏总纲!N156</f>
        <v>163</v>
      </c>
      <c r="C156" s="4">
        <v>153</v>
      </c>
      <c r="D156" s="4">
        <f>[1]节奏总纲!P156</f>
        <v>40341.140136486232</v>
      </c>
      <c r="E156" s="4">
        <f>[1]节奏总纲!Q156</f>
        <v>34330.31025614978</v>
      </c>
      <c r="F156" s="4">
        <f>[1]节奏总纲!R156</f>
        <v>27552.998713220099</v>
      </c>
      <c r="G156" s="4">
        <f>[1]节奏总纲!S156</f>
        <v>24204.684081891737</v>
      </c>
      <c r="H156" s="4">
        <f>[1]节奏总纲!T156</f>
        <v>24204.684081891737</v>
      </c>
      <c r="J156" s="4">
        <v>153</v>
      </c>
      <c r="K156" s="4">
        <f>[1]节奏总纲!W156</f>
        <v>2701.592439943408</v>
      </c>
      <c r="L156" s="4">
        <f>[1]节奏总纲!X156</f>
        <v>2536.1843168800551</v>
      </c>
      <c r="M156" s="4">
        <f>[1]节奏总纲!Y156</f>
        <v>2127.4842442054214</v>
      </c>
      <c r="N156" s="4">
        <f>[1]节奏总纲!Z156</f>
        <v>5949.5034490684666</v>
      </c>
      <c r="O156" s="4">
        <f>[1]节奏总纲!AA156</f>
        <v>10089.853695688178</v>
      </c>
      <c r="Q156" s="4">
        <v>153</v>
      </c>
      <c r="R156" s="4">
        <f>[1]节奏总纲!AD156</f>
        <v>72.660148539464572</v>
      </c>
      <c r="S156" s="4">
        <f>[1]节奏总纲!AE156</f>
        <v>74.74003809013405</v>
      </c>
      <c r="T156" s="4">
        <f>[1]节奏总纲!AF156</f>
        <v>77.604444701516456</v>
      </c>
      <c r="U156" s="4">
        <f>[1]节奏总纲!AG156</f>
        <v>82.203198366767992</v>
      </c>
      <c r="V156" s="4">
        <f>[1]节奏总纲!AH156</f>
        <v>91.523718725406852</v>
      </c>
      <c r="AN156" s="4">
        <v>153</v>
      </c>
      <c r="AO156" s="4">
        <f>[1]节奏总纲!BA156</f>
        <v>40.891592064209313</v>
      </c>
      <c r="AP156" s="4">
        <f>[1]节奏总纲!BB156</f>
        <v>42.384103455731719</v>
      </c>
      <c r="AQ156" s="4">
        <f>[1]节奏总纲!BC156</f>
        <v>44.326465623783335</v>
      </c>
      <c r="AR156" s="4">
        <f>[1]节奏总纲!BD156</f>
        <v>47.078671550054786</v>
      </c>
      <c r="AS156" s="4">
        <f>[1]节奏总纲!BE156</f>
        <v>51.770300765568422</v>
      </c>
    </row>
    <row r="157" spans="2:45" x14ac:dyDescent="0.15">
      <c r="B157" s="4">
        <f>[1]节奏总纲!N157</f>
        <v>164</v>
      </c>
      <c r="C157" s="4">
        <v>154</v>
      </c>
      <c r="D157" s="4">
        <f>[1]节奏总纲!P157</f>
        <v>43236.635220206183</v>
      </c>
      <c r="E157" s="4">
        <f>[1]节奏总纲!Q157</f>
        <v>36967.323113276288</v>
      </c>
      <c r="F157" s="4">
        <f>[1]节奏总纲!R157</f>
        <v>33940.758647861854</v>
      </c>
      <c r="G157" s="4">
        <f>[1]节奏总纲!S157</f>
        <v>34156.941823962887</v>
      </c>
      <c r="H157" s="4">
        <f>[1]节奏总纲!T157</f>
        <v>34156.941823962887</v>
      </c>
      <c r="J157" s="4">
        <v>154</v>
      </c>
      <c r="K157" s="4">
        <f>[1]节奏总纲!W157</f>
        <v>2895.4950837199503</v>
      </c>
      <c r="L157" s="4">
        <f>[1]节奏总纲!X157</f>
        <v>2637.0128571265086</v>
      </c>
      <c r="M157" s="4">
        <f>[1]节奏总纲!Y157</f>
        <v>6387.7599346417555</v>
      </c>
      <c r="N157" s="4">
        <f>[1]节奏总纲!Z157</f>
        <v>9952.2577420711496</v>
      </c>
      <c r="O157" s="4">
        <f>[1]节奏总纲!AA157</f>
        <v>9952.2577420711496</v>
      </c>
      <c r="Q157" s="4">
        <v>154</v>
      </c>
      <c r="R157" s="4">
        <f>[1]节奏总纲!AD157</f>
        <v>72.754907466168333</v>
      </c>
      <c r="S157" s="4">
        <f>[1]节奏总纲!AE157</f>
        <v>74.834475960078507</v>
      </c>
      <c r="T157" s="4">
        <f>[1]节奏总纲!AF157</f>
        <v>77.697893604818219</v>
      </c>
      <c r="U157" s="4">
        <f>[1]节奏总纲!AG157</f>
        <v>82.29607480035996</v>
      </c>
      <c r="V157" s="4">
        <f>[1]节奏总纲!AH157</f>
        <v>91.626247108164094</v>
      </c>
      <c r="AN157" s="4">
        <v>154</v>
      </c>
      <c r="AO157" s="4">
        <f>[1]节奏总纲!BA157</f>
        <v>40.938211257109145</v>
      </c>
      <c r="AP157" s="4">
        <f>[1]节奏总纲!BB157</f>
        <v>42.427494399390554</v>
      </c>
      <c r="AQ157" s="4">
        <f>[1]节奏总纲!BC157</f>
        <v>44.369558034289838</v>
      </c>
      <c r="AR157" s="4">
        <f>[1]节奏总纲!BD157</f>
        <v>47.12024662670057</v>
      </c>
      <c r="AS157" s="4">
        <f>[1]节奏总纲!BE157</f>
        <v>51.816512301406114</v>
      </c>
    </row>
    <row r="158" spans="2:45" x14ac:dyDescent="0.15">
      <c r="B158" s="4">
        <f>[1]节奏总纲!N158</f>
        <v>165</v>
      </c>
      <c r="C158" s="4">
        <v>155</v>
      </c>
      <c r="D158" s="4">
        <f>[1]节奏总纲!P158</f>
        <v>46339.950011841604</v>
      </c>
      <c r="E158" s="4">
        <f>[1]节奏总纲!Q158</f>
        <v>44078.560451263736</v>
      </c>
      <c r="F158" s="4">
        <f>[1]节奏总纲!R158</f>
        <v>44402.940101346627</v>
      </c>
      <c r="G158" s="4">
        <f>[1]节奏总纲!S158</f>
        <v>44402.940101346627</v>
      </c>
      <c r="H158" s="4">
        <f>[1]节奏总纲!T158</f>
        <v>44541.959951382152</v>
      </c>
      <c r="J158" s="4">
        <v>155</v>
      </c>
      <c r="K158" s="4">
        <f>[1]节奏总纲!W158</f>
        <v>3103.314791635421</v>
      </c>
      <c r="L158" s="4">
        <f>[1]节奏总纲!X158</f>
        <v>7111.237337987448</v>
      </c>
      <c r="M158" s="4">
        <f>[1]节奏总纲!Y158</f>
        <v>10462.181453484773</v>
      </c>
      <c r="N158" s="4">
        <f>[1]节奏总纲!Z158</f>
        <v>10245.99827738374</v>
      </c>
      <c r="O158" s="4">
        <f>[1]节奏总纲!AA158</f>
        <v>10385.018127419266</v>
      </c>
      <c r="Q158" s="4">
        <v>155</v>
      </c>
      <c r="R158" s="4">
        <f>[1]节奏总纲!AD158</f>
        <v>72.849666392872081</v>
      </c>
      <c r="S158" s="4">
        <f>[1]节奏总纲!AE158</f>
        <v>74.92891383002295</v>
      </c>
      <c r="T158" s="4">
        <f>[1]节奏总纲!AF158</f>
        <v>77.791342508119982</v>
      </c>
      <c r="U158" s="4">
        <f>[1]节奏总纲!AG158</f>
        <v>82.388951233951914</v>
      </c>
      <c r="V158" s="4">
        <f>[1]节奏总纲!AH158</f>
        <v>91.72877549092135</v>
      </c>
      <c r="AN158" s="4">
        <v>155</v>
      </c>
      <c r="AO158" s="4">
        <f>[1]节奏总纲!BA158</f>
        <v>40.984830450008985</v>
      </c>
      <c r="AP158" s="4">
        <f>[1]节奏总纲!BB158</f>
        <v>42.470885343049382</v>
      </c>
      <c r="AQ158" s="4">
        <f>[1]节奏总纲!BC158</f>
        <v>44.412650444796341</v>
      </c>
      <c r="AR158" s="4">
        <f>[1]节奏总纲!BD158</f>
        <v>47.161821703346362</v>
      </c>
      <c r="AS158" s="4">
        <f>[1]节奏总纲!BE158</f>
        <v>51.862723837243806</v>
      </c>
    </row>
    <row r="159" spans="2:45" x14ac:dyDescent="0.15">
      <c r="B159" s="4">
        <f>[1]节奏总纲!N159</f>
        <v>166</v>
      </c>
      <c r="C159" s="4">
        <v>156</v>
      </c>
      <c r="D159" s="4">
        <f>[1]节奏总纲!P159</f>
        <v>49666.000451412707</v>
      </c>
      <c r="E159" s="4">
        <f>[1]节奏总纲!Q159</f>
        <v>49666.000451412707</v>
      </c>
      <c r="F159" s="4">
        <f>[1]节奏总纲!R159</f>
        <v>50162.660455926831</v>
      </c>
      <c r="G159" s="4">
        <f>[1]节奏总纲!S159</f>
        <v>50162.660455926831</v>
      </c>
      <c r="H159" s="4">
        <f>[1]节奏总纲!T159</f>
        <v>50311.658457281068</v>
      </c>
      <c r="J159" s="4">
        <v>156</v>
      </c>
      <c r="K159" s="4">
        <f>[1]节奏总纲!W159</f>
        <v>3326.0504395711032</v>
      </c>
      <c r="L159" s="4">
        <f>[1]节奏总纲!X159</f>
        <v>5587.4400001489703</v>
      </c>
      <c r="M159" s="4">
        <f>[1]节奏总纲!Y159</f>
        <v>5759.720354580204</v>
      </c>
      <c r="N159" s="4">
        <f>[1]节奏总纲!Z159</f>
        <v>5759.720354580204</v>
      </c>
      <c r="O159" s="4">
        <f>[1]节奏总纲!AA159</f>
        <v>5769.6985058989158</v>
      </c>
      <c r="Q159" s="4">
        <v>156</v>
      </c>
      <c r="R159" s="4">
        <f>[1]节奏总纲!AD159</f>
        <v>72.944425319575828</v>
      </c>
      <c r="S159" s="4">
        <f>[1]节奏总纲!AE159</f>
        <v>75.022035011469043</v>
      </c>
      <c r="T159" s="4">
        <f>[1]节奏总纲!AF159</f>
        <v>77.884791411421745</v>
      </c>
      <c r="U159" s="4">
        <f>[1]节奏总纲!AG159</f>
        <v>82.481827667543882</v>
      </c>
      <c r="V159" s="4">
        <f>[1]节奏总纲!AH159</f>
        <v>91.831303873678593</v>
      </c>
      <c r="AN159" s="4">
        <v>156</v>
      </c>
      <c r="AO159" s="4">
        <f>[1]节奏总纲!BA159</f>
        <v>41.027136894088379</v>
      </c>
      <c r="AP159" s="4">
        <f>[1]节奏总纲!BB159</f>
        <v>42.51427628670821</v>
      </c>
      <c r="AQ159" s="4">
        <f>[1]节奏总纲!BC159</f>
        <v>44.455742855302844</v>
      </c>
      <c r="AR159" s="4">
        <f>[1]节奏总纲!BD159</f>
        <v>47.203396779992147</v>
      </c>
      <c r="AS159" s="4">
        <f>[1]节奏总纲!BE159</f>
        <v>51.908935373081505</v>
      </c>
    </row>
    <row r="160" spans="2:45" x14ac:dyDescent="0.15">
      <c r="B160" s="4">
        <f>[1]节奏总纲!N160</f>
        <v>167</v>
      </c>
      <c r="C160" s="4">
        <v>157</v>
      </c>
      <c r="D160" s="4">
        <f>[1]节奏总纲!P160</f>
        <v>53230.773047602182</v>
      </c>
      <c r="E160" s="4">
        <f>[1]节奏总纲!Q160</f>
        <v>53230.773047602182</v>
      </c>
      <c r="F160" s="4">
        <f>[1]节奏总纲!R160</f>
        <v>53763.080778078205</v>
      </c>
      <c r="G160" s="4">
        <f>[1]节奏总纲!S160</f>
        <v>53763.080778078205</v>
      </c>
      <c r="H160" s="4">
        <f>[1]节奏总纲!T160</f>
        <v>53763.080778078205</v>
      </c>
      <c r="J160" s="4">
        <v>157</v>
      </c>
      <c r="K160" s="4">
        <f>[1]节奏总纲!W160</f>
        <v>3564.7725961894757</v>
      </c>
      <c r="L160" s="4">
        <f>[1]节奏总纲!X160</f>
        <v>3564.7725961894757</v>
      </c>
      <c r="M160" s="4">
        <f>[1]节奏总纲!Y160</f>
        <v>3600.4203221513744</v>
      </c>
      <c r="N160" s="4">
        <f>[1]节奏总纲!Z160</f>
        <v>3600.4203221513744</v>
      </c>
      <c r="O160" s="4">
        <f>[1]节奏总纲!AA160</f>
        <v>3451.4223207971372</v>
      </c>
      <c r="Q160" s="4">
        <v>157</v>
      </c>
      <c r="R160" s="4">
        <f>[1]节奏总纲!AD160</f>
        <v>73.036560194527354</v>
      </c>
      <c r="S160" s="4">
        <f>[1]节奏总纲!AE160</f>
        <v>75.111147990406067</v>
      </c>
      <c r="T160" s="4">
        <f>[1]节奏总纲!AF160</f>
        <v>77.978240314723507</v>
      </c>
      <c r="U160" s="4">
        <f>[1]节奏总纲!AG160</f>
        <v>82.574704101135836</v>
      </c>
      <c r="V160" s="4">
        <f>[1]节奏总纲!AH160</f>
        <v>91.933832256435849</v>
      </c>
      <c r="AN160" s="4">
        <v>157</v>
      </c>
      <c r="AO160" s="4">
        <f>[1]节奏总纲!BA160</f>
        <v>41.067363109180121</v>
      </c>
      <c r="AP160" s="4">
        <f>[1]节奏总纲!BB160</f>
        <v>42.557667230367045</v>
      </c>
      <c r="AQ160" s="4">
        <f>[1]节奏总纲!BC160</f>
        <v>44.498835265809355</v>
      </c>
      <c r="AR160" s="4">
        <f>[1]节奏总纲!BD160</f>
        <v>47.244971856637939</v>
      </c>
      <c r="AS160" s="4">
        <f>[1]节奏总纲!BE160</f>
        <v>51.955146908919197</v>
      </c>
    </row>
    <row r="161" spans="2:45" x14ac:dyDescent="0.15">
      <c r="B161" s="4">
        <f>[1]节奏总纲!N161</f>
        <v>168</v>
      </c>
      <c r="C161" s="4">
        <v>158</v>
      </c>
      <c r="D161" s="4">
        <f>[1]节奏总纲!P161</f>
        <v>57051.401716174769</v>
      </c>
      <c r="E161" s="4">
        <f>[1]节奏总纲!Q161</f>
        <v>57051.401716174769</v>
      </c>
      <c r="F161" s="4">
        <f>[1]节奏总纲!R161</f>
        <v>57621.915733336515</v>
      </c>
      <c r="G161" s="4">
        <f>[1]节奏总纲!S161</f>
        <v>57621.915733336515</v>
      </c>
      <c r="H161" s="4">
        <f>[1]节奏总纲!T161</f>
        <v>57621.915733336515</v>
      </c>
      <c r="J161" s="4">
        <v>158</v>
      </c>
      <c r="K161" s="4">
        <f>[1]节奏总纲!W161</f>
        <v>3820.6286685725863</v>
      </c>
      <c r="L161" s="4">
        <f>[1]节奏总纲!X161</f>
        <v>3820.6286685725863</v>
      </c>
      <c r="M161" s="4">
        <f>[1]节奏总纲!Y161</f>
        <v>3858.8349552583095</v>
      </c>
      <c r="N161" s="4">
        <f>[1]节奏总纲!Z161</f>
        <v>3858.8349552583095</v>
      </c>
      <c r="O161" s="4">
        <f>[1]节奏总纲!AA161</f>
        <v>3858.8349552583095</v>
      </c>
      <c r="Q161" s="4">
        <v>158</v>
      </c>
      <c r="R161" s="4">
        <f>[1]节奏总纲!AD161</f>
        <v>73.124973399384572</v>
      </c>
      <c r="S161" s="4">
        <f>[1]节奏总纲!AE161</f>
        <v>75.200260969343077</v>
      </c>
      <c r="T161" s="4">
        <f>[1]节奏总纲!AF161</f>
        <v>78.066694029528094</v>
      </c>
      <c r="U161" s="4">
        <f>[1]节奏总纲!AG161</f>
        <v>82.667580534727804</v>
      </c>
      <c r="V161" s="4">
        <f>[1]节奏总纲!AH161</f>
        <v>92.033129415212969</v>
      </c>
      <c r="AN161" s="4">
        <v>158</v>
      </c>
      <c r="AO161" s="4">
        <f>[1]节奏总纲!BA161</f>
        <v>41.107589324271871</v>
      </c>
      <c r="AP161" s="4">
        <f>[1]节奏总纲!BB161</f>
        <v>42.601058174025873</v>
      </c>
      <c r="AQ161" s="4">
        <f>[1]节奏总纲!BC161</f>
        <v>44.541927676315858</v>
      </c>
      <c r="AR161" s="4">
        <f>[1]节奏总纲!BD161</f>
        <v>47.286546933283724</v>
      </c>
      <c r="AS161" s="4">
        <f>[1]节奏总纲!BE161</f>
        <v>52.001173105835825</v>
      </c>
    </row>
    <row r="162" spans="2:45" x14ac:dyDescent="0.15">
      <c r="B162" s="4">
        <f>[1]节奏总纲!N162</f>
        <v>169</v>
      </c>
      <c r="C162" s="4">
        <v>159</v>
      </c>
      <c r="D162" s="4">
        <f>[1]节奏总纲!P162</f>
        <v>61146.25013335624</v>
      </c>
      <c r="E162" s="4">
        <f>[1]节奏总纲!Q162</f>
        <v>61146.25013335624</v>
      </c>
      <c r="F162" s="4">
        <f>[1]节奏总纲!R162</f>
        <v>61757.7126346898</v>
      </c>
      <c r="G162" s="4">
        <f>[1]节奏总纲!S162</f>
        <v>61757.7126346898</v>
      </c>
      <c r="H162" s="4">
        <f>[1]节奏总纲!T162</f>
        <v>61757.7126346898</v>
      </c>
      <c r="J162" s="4">
        <v>159</v>
      </c>
      <c r="K162" s="4">
        <f>[1]节奏总纲!W162</f>
        <v>4094.8484171814707</v>
      </c>
      <c r="L162" s="4">
        <f>[1]节奏总纲!X162</f>
        <v>4094.8484171814707</v>
      </c>
      <c r="M162" s="4">
        <f>[1]节奏总纲!Y162</f>
        <v>4135.7969013532856</v>
      </c>
      <c r="N162" s="4">
        <f>[1]节奏总纲!Z162</f>
        <v>4135.7969013532856</v>
      </c>
      <c r="O162" s="4">
        <f>[1]节奏总纲!AA162</f>
        <v>4135.7969013532856</v>
      </c>
      <c r="Q162" s="4">
        <v>159</v>
      </c>
      <c r="R162" s="4">
        <f>[1]节奏总纲!AD162</f>
        <v>73.213386604241791</v>
      </c>
      <c r="S162" s="4">
        <f>[1]节奏总纲!AE162</f>
        <v>75.289373948280101</v>
      </c>
      <c r="T162" s="4">
        <f>[1]节奏总纲!AF162</f>
        <v>78.153631564737054</v>
      </c>
      <c r="U162" s="4">
        <f>[1]节奏总纲!AG162</f>
        <v>82.760456968319758</v>
      </c>
      <c r="V162" s="4">
        <f>[1]节奏总纲!AH162</f>
        <v>92.126546512350387</v>
      </c>
      <c r="AN162" s="4">
        <v>159</v>
      </c>
      <c r="AO162" s="4">
        <f>[1]节奏总纲!BA162</f>
        <v>41.147815539363613</v>
      </c>
      <c r="AP162" s="4">
        <f>[1]节奏总纲!BB162</f>
        <v>42.644449117684701</v>
      </c>
      <c r="AQ162" s="4">
        <f>[1]节奏总纲!BC162</f>
        <v>44.585020086822361</v>
      </c>
      <c r="AR162" s="4">
        <f>[1]节奏总纲!BD162</f>
        <v>47.328122009929508</v>
      </c>
      <c r="AS162" s="4">
        <f>[1]节奏总纲!BE162</f>
        <v>52.041079787427918</v>
      </c>
    </row>
    <row r="163" spans="2:45" x14ac:dyDescent="0.15">
      <c r="B163" s="4">
        <f>[1]节奏总纲!N163</f>
        <v>170</v>
      </c>
      <c r="C163" s="4">
        <v>160</v>
      </c>
      <c r="D163" s="4">
        <f>[1]节奏总纲!P163</f>
        <v>65535</v>
      </c>
      <c r="E163" s="4">
        <f>[1]节奏总纲!Q163</f>
        <v>65535</v>
      </c>
      <c r="F163" s="4">
        <f>[1]节奏总纲!R163</f>
        <v>66190.350000000006</v>
      </c>
      <c r="G163" s="4">
        <f>[1]节奏总纲!S163</f>
        <v>66190.350000000006</v>
      </c>
      <c r="H163" s="4">
        <f>[1]节奏总纲!T163</f>
        <v>66190.350000000006</v>
      </c>
      <c r="J163" s="4">
        <v>160</v>
      </c>
      <c r="K163" s="4">
        <f>[1]节奏总纲!W163</f>
        <v>4388.7498666437605</v>
      </c>
      <c r="L163" s="4">
        <f>[1]节奏总纲!X163</f>
        <v>4388.7498666437605</v>
      </c>
      <c r="M163" s="4">
        <f>[1]节奏总纲!Y163</f>
        <v>4432.6373653102055</v>
      </c>
      <c r="N163" s="4">
        <f>[1]节奏总纲!Z163</f>
        <v>4432.6373653102055</v>
      </c>
      <c r="O163" s="4">
        <f>[1]节奏总纲!AA163</f>
        <v>4432.6373653102055</v>
      </c>
      <c r="Q163" s="4">
        <v>160</v>
      </c>
      <c r="R163" s="4">
        <f>[1]节奏总纲!AD163</f>
        <v>73.301799809099009</v>
      </c>
      <c r="S163" s="4">
        <f>[1]节奏总纲!AE163</f>
        <v>75.378486927217125</v>
      </c>
      <c r="T163" s="4">
        <f>[1]节奏总纲!AF163</f>
        <v>78.240569099946029</v>
      </c>
      <c r="U163" s="4">
        <f>[1]节奏总纲!AG163</f>
        <v>82.853333401911726</v>
      </c>
      <c r="V163" s="4">
        <f>[1]节奏总纲!AH163</f>
        <v>92.219963609487792</v>
      </c>
      <c r="AN163" s="4">
        <v>160</v>
      </c>
      <c r="AO163" s="4">
        <f>[1]节奏总纲!BA163</f>
        <v>41.188041754455355</v>
      </c>
      <c r="AP163" s="4">
        <f>[1]节奏总纲!BB163</f>
        <v>42.687840061343536</v>
      </c>
      <c r="AQ163" s="4">
        <f>[1]节奏总纲!BC163</f>
        <v>44.628112497328864</v>
      </c>
      <c r="AR163" s="4">
        <f>[1]节奏总纲!BD163</f>
        <v>47.3696970865753</v>
      </c>
      <c r="AS163" s="4">
        <f>[1]节奏总纲!BE163</f>
        <v>52.080986469020011</v>
      </c>
    </row>
    <row r="164" spans="2:45" x14ac:dyDescent="0.15">
      <c r="Q164" s="4">
        <v>161</v>
      </c>
      <c r="R164" s="4">
        <f>[1]节奏总纲!AD164</f>
        <v>73.390213013956213</v>
      </c>
      <c r="S164" s="4">
        <f>[1]节奏总纲!AE164</f>
        <v>75.467599906154135</v>
      </c>
      <c r="T164" s="4">
        <f>[1]节奏总纲!AF164</f>
        <v>78.32750663515499</v>
      </c>
      <c r="U164" s="4">
        <f>[1]节奏总纲!AG164</f>
        <v>82.94620983550368</v>
      </c>
      <c r="V164" s="4">
        <f>[1]节奏总纲!AH164</f>
        <v>92.313380706625196</v>
      </c>
      <c r="AN164" s="4">
        <v>161</v>
      </c>
      <c r="AO164" s="4">
        <f>[1]节奏总纲!BA164</f>
        <v>41.228267969547105</v>
      </c>
      <c r="AP164" s="4">
        <f>[1]节奏总纲!BB164</f>
        <v>42.731231005002364</v>
      </c>
      <c r="AQ164" s="4">
        <f>[1]节奏总纲!BC164</f>
        <v>44.671204907835367</v>
      </c>
      <c r="AR164" s="4">
        <f>[1]节奏总纲!BD164</f>
        <v>47.411272163221085</v>
      </c>
      <c r="AS164" s="4">
        <f>[1]节奏总纲!BE164</f>
        <v>52.120893150612112</v>
      </c>
    </row>
    <row r="165" spans="2:45" x14ac:dyDescent="0.15">
      <c r="Q165" s="4">
        <v>162</v>
      </c>
      <c r="R165" s="4">
        <f>[1]节奏总纲!AD165</f>
        <v>73.478626218813432</v>
      </c>
      <c r="S165" s="4">
        <f>[1]节奏总纲!AE165</f>
        <v>75.556712885091159</v>
      </c>
      <c r="T165" s="4">
        <f>[1]节奏总纲!AF165</f>
        <v>78.414444170363964</v>
      </c>
      <c r="U165" s="4">
        <f>[1]节奏总纲!AG165</f>
        <v>83.036921590135321</v>
      </c>
      <c r="V165" s="4">
        <f>[1]节奏总纲!AH165</f>
        <v>92.406797803762601</v>
      </c>
      <c r="AN165" s="4">
        <v>162</v>
      </c>
      <c r="AO165" s="4">
        <f>[1]节奏总纲!BA165</f>
        <v>41.268494184638847</v>
      </c>
      <c r="AP165" s="4">
        <f>[1]节奏总纲!BB165</f>
        <v>42.774621948661192</v>
      </c>
      <c r="AQ165" s="4">
        <f>[1]节奏总纲!BC165</f>
        <v>44.714297318341877</v>
      </c>
      <c r="AR165" s="4">
        <f>[1]节奏总纲!BD165</f>
        <v>47.452847239866877</v>
      </c>
      <c r="AS165" s="4">
        <f>[1]节奏总纲!BE165</f>
        <v>52.160799832204205</v>
      </c>
    </row>
    <row r="166" spans="2:45" x14ac:dyDescent="0.15">
      <c r="Q166" s="4">
        <v>163</v>
      </c>
      <c r="R166" s="4">
        <f>[1]节奏总纲!AD166</f>
        <v>73.56703942367065</v>
      </c>
      <c r="S166" s="4">
        <f>[1]节奏总纲!AE166</f>
        <v>75.645825864028183</v>
      </c>
      <c r="T166" s="4">
        <f>[1]节奏总纲!AF166</f>
        <v>78.501381705572925</v>
      </c>
      <c r="U166" s="4">
        <f>[1]节奏总纲!AG166</f>
        <v>83.124654333465756</v>
      </c>
      <c r="V166" s="4">
        <f>[1]节奏总纲!AH166</f>
        <v>92.500214900900005</v>
      </c>
      <c r="AN166" s="4">
        <v>163</v>
      </c>
      <c r="AO166" s="4">
        <f>[1]节奏总纲!BA166</f>
        <v>41.308720399730589</v>
      </c>
      <c r="AP166" s="4">
        <f>[1]节奏总纲!BB166</f>
        <v>42.818012892320027</v>
      </c>
      <c r="AQ166" s="4">
        <f>[1]节奏总纲!BC166</f>
        <v>44.757389728848381</v>
      </c>
      <c r="AR166" s="4">
        <f>[1]节奏总纲!BD166</f>
        <v>47.494422316512662</v>
      </c>
      <c r="AS166" s="4">
        <f>[1]节奏总纲!BE166</f>
        <v>52.200706513796298</v>
      </c>
    </row>
    <row r="167" spans="2:45" x14ac:dyDescent="0.15">
      <c r="Q167" s="4">
        <v>164</v>
      </c>
      <c r="R167" s="4">
        <f>[1]节奏总纲!AD167</f>
        <v>73.655452628527868</v>
      </c>
      <c r="S167" s="4">
        <f>[1]节奏总纲!AE167</f>
        <v>75.734938842965192</v>
      </c>
      <c r="T167" s="4">
        <f>[1]节奏总纲!AF167</f>
        <v>78.5883192407819</v>
      </c>
      <c r="U167" s="4">
        <f>[1]节奏总纲!AG167</f>
        <v>83.21238707679619</v>
      </c>
      <c r="V167" s="4">
        <f>[1]节奏总纲!AH167</f>
        <v>92.593631998037409</v>
      </c>
      <c r="AN167" s="4">
        <v>164</v>
      </c>
      <c r="AO167" s="4">
        <f>[1]节奏总纲!BA167</f>
        <v>41.348946614822331</v>
      </c>
      <c r="AP167" s="4">
        <f>[1]节奏总纲!BB167</f>
        <v>42.861403835978855</v>
      </c>
      <c r="AQ167" s="4">
        <f>[1]节奏总纲!BC167</f>
        <v>44.800482139354884</v>
      </c>
      <c r="AR167" s="4">
        <f>[1]节奏总纲!BD167</f>
        <v>47.535997393158453</v>
      </c>
      <c r="AS167" s="4">
        <f>[1]节奏总纲!BE167</f>
        <v>52.240613195388391</v>
      </c>
    </row>
    <row r="168" spans="2:45" x14ac:dyDescent="0.15">
      <c r="Q168" s="4">
        <v>165</v>
      </c>
      <c r="R168" s="4">
        <f>[1]节奏总纲!AD168</f>
        <v>73.743865833385087</v>
      </c>
      <c r="S168" s="4">
        <f>[1]节奏总纲!AE168</f>
        <v>75.824051821902216</v>
      </c>
      <c r="T168" s="4">
        <f>[1]节奏总纲!AF168</f>
        <v>78.67525677599086</v>
      </c>
      <c r="U168" s="4">
        <f>[1]节奏总纲!AG168</f>
        <v>83.300119820126625</v>
      </c>
      <c r="V168" s="4">
        <f>[1]节奏总纲!AH168</f>
        <v>92.687049095174814</v>
      </c>
      <c r="AN168" s="4">
        <v>165</v>
      </c>
      <c r="AO168" s="4">
        <f>[1]节奏总纲!BA168</f>
        <v>41.389172829914081</v>
      </c>
      <c r="AP168" s="4">
        <f>[1]节奏总纲!BB168</f>
        <v>42.904794779637683</v>
      </c>
      <c r="AQ168" s="4">
        <f>[1]节奏总纲!BC168</f>
        <v>44.843574549861387</v>
      </c>
      <c r="AR168" s="4">
        <f>[1]节奏总纲!BD168</f>
        <v>47.577572469804238</v>
      </c>
      <c r="AS168" s="4">
        <f>[1]节奏总纲!BE168</f>
        <v>52.280519876980485</v>
      </c>
    </row>
    <row r="169" spans="2:45" x14ac:dyDescent="0.15">
      <c r="Q169" s="4">
        <v>166</v>
      </c>
      <c r="R169" s="4">
        <f>[1]节奏总纲!AD169</f>
        <v>73.832279038242305</v>
      </c>
      <c r="S169" s="4">
        <f>[1]节奏总纲!AE169</f>
        <v>75.91316480083924</v>
      </c>
      <c r="T169" s="4">
        <f>[1]节奏总纲!AF169</f>
        <v>78.762194311199835</v>
      </c>
      <c r="U169" s="4">
        <f>[1]节奏总纲!AG169</f>
        <v>83.387852563457059</v>
      </c>
      <c r="V169" s="4">
        <f>[1]节奏总纲!AH169</f>
        <v>92.780466192312218</v>
      </c>
      <c r="AN169" s="4">
        <v>166</v>
      </c>
      <c r="AO169" s="4">
        <f>[1]节奏总纲!BA169</f>
        <v>41.429399045005823</v>
      </c>
      <c r="AP169" s="4">
        <f>[1]节奏总纲!BB169</f>
        <v>42.948185723296518</v>
      </c>
      <c r="AQ169" s="4">
        <f>[1]节奏总纲!BC169</f>
        <v>44.88666696036789</v>
      </c>
      <c r="AR169" s="4">
        <f>[1]节奏总纲!BD169</f>
        <v>47.619147546450023</v>
      </c>
      <c r="AS169" s="4">
        <f>[1]节奏总纲!BE169</f>
        <v>52.320426558572585</v>
      </c>
    </row>
    <row r="170" spans="2:45" x14ac:dyDescent="0.15">
      <c r="Q170" s="4">
        <v>167</v>
      </c>
      <c r="R170" s="4">
        <f>[1]节奏总纲!AD170</f>
        <v>73.920692243099523</v>
      </c>
      <c r="S170" s="4">
        <f>[1]节奏总纲!AE170</f>
        <v>76.002103770254962</v>
      </c>
      <c r="T170" s="4">
        <f>[1]节奏总纲!AF170</f>
        <v>78.849131846408795</v>
      </c>
      <c r="U170" s="4">
        <f>[1]节奏总纲!AG170</f>
        <v>83.475585306787494</v>
      </c>
      <c r="V170" s="4">
        <f>[1]节奏总纲!AH170</f>
        <v>92.873883289449623</v>
      </c>
      <c r="AN170" s="4">
        <v>167</v>
      </c>
      <c r="AO170" s="4">
        <f>[1]节奏总纲!BA170</f>
        <v>41.469625260097565</v>
      </c>
      <c r="AP170" s="4">
        <f>[1]节奏总纲!BB170</f>
        <v>42.991576666955346</v>
      </c>
      <c r="AQ170" s="4">
        <f>[1]节奏总纲!BC170</f>
        <v>44.9297593708744</v>
      </c>
      <c r="AR170" s="4">
        <f>[1]节奏总纲!BD170</f>
        <v>47.660722623095815</v>
      </c>
      <c r="AS170" s="4">
        <f>[1]节奏总纲!BE170</f>
        <v>52.360333240164678</v>
      </c>
    </row>
    <row r="171" spans="2:45" x14ac:dyDescent="0.15">
      <c r="Q171" s="4">
        <v>168</v>
      </c>
      <c r="R171" s="4">
        <f>[1]节奏总纲!AD171</f>
        <v>74.008495683346354</v>
      </c>
      <c r="S171" s="4">
        <f>[1]节奏总纲!AE171</f>
        <v>76.084409020469636</v>
      </c>
      <c r="T171" s="4">
        <f>[1]节奏总纲!AF171</f>
        <v>78.93606938161777</v>
      </c>
      <c r="U171" s="4">
        <f>[1]节奏总纲!AG171</f>
        <v>83.563318050117928</v>
      </c>
      <c r="V171" s="4">
        <f>[1]节奏总纲!AH171</f>
        <v>92.967300386587027</v>
      </c>
      <c r="AN171" s="4">
        <v>168</v>
      </c>
      <c r="AO171" s="4">
        <f>[1]节奏总纲!BA171</f>
        <v>41.509851475189308</v>
      </c>
      <c r="AP171" s="4">
        <f>[1]节奏总纲!BB171</f>
        <v>43.030177309109042</v>
      </c>
      <c r="AQ171" s="4">
        <f>[1]节奏总纲!BC171</f>
        <v>44.972851781380903</v>
      </c>
      <c r="AR171" s="4">
        <f>[1]节奏总纲!BD171</f>
        <v>47.7022976997416</v>
      </c>
      <c r="AS171" s="4">
        <f>[1]节奏总纲!BE171</f>
        <v>52.400239921756771</v>
      </c>
    </row>
    <row r="172" spans="2:45" x14ac:dyDescent="0.15">
      <c r="Q172" s="4">
        <v>169</v>
      </c>
      <c r="R172" s="4">
        <f>[1]节奏总纲!AD172</f>
        <v>74.090988120365651</v>
      </c>
      <c r="S172" s="4">
        <f>[1]节奏总纲!AE172</f>
        <v>76.166714270684309</v>
      </c>
      <c r="T172" s="4">
        <f>[1]节奏总纲!AF172</f>
        <v>79.022812309215297</v>
      </c>
      <c r="U172" s="4">
        <f>[1]节奏总纲!AG172</f>
        <v>83.651050793448363</v>
      </c>
      <c r="V172" s="4">
        <f>[1]节奏总纲!AH172</f>
        <v>93.057555567360481</v>
      </c>
      <c r="AN172" s="4">
        <v>169</v>
      </c>
      <c r="AO172" s="4">
        <f>[1]节奏总纲!BA172</f>
        <v>41.550077690281057</v>
      </c>
      <c r="AP172" s="4">
        <f>[1]节奏总纲!BB172</f>
        <v>43.067624017543686</v>
      </c>
      <c r="AQ172" s="4">
        <f>[1]节奏总纲!BC172</f>
        <v>45.013762077986961</v>
      </c>
      <c r="AR172" s="4">
        <f>[1]节奏总纲!BD172</f>
        <v>47.743872776387391</v>
      </c>
      <c r="AS172" s="4">
        <f>[1]节奏总纲!BE172</f>
        <v>52.440146603348865</v>
      </c>
    </row>
    <row r="173" spans="2:45" x14ac:dyDescent="0.15">
      <c r="Q173" s="4">
        <v>170</v>
      </c>
      <c r="R173" s="4">
        <f>[1]节奏总纲!AD173</f>
        <v>74.173480557384934</v>
      </c>
      <c r="S173" s="4">
        <f>[1]节奏总纲!AE173</f>
        <v>76.249019520898997</v>
      </c>
      <c r="T173" s="4">
        <f>[1]节奏总纲!AF173</f>
        <v>79.109014469658547</v>
      </c>
      <c r="U173" s="4">
        <f>[1]节奏总纲!AG173</f>
        <v>83.738783536778797</v>
      </c>
      <c r="V173" s="4">
        <f>[1]节奏总纲!AH173</f>
        <v>93.146107887007233</v>
      </c>
      <c r="AN173" s="4">
        <v>170</v>
      </c>
      <c r="AO173" s="4">
        <f>[1]节奏总纲!BA173</f>
        <v>41.590303905372799</v>
      </c>
      <c r="AP173" s="4">
        <f>[1]节奏总纲!BB173</f>
        <v>43.105070725978337</v>
      </c>
      <c r="AQ173" s="4">
        <f>[1]节奏总纲!BC173</f>
        <v>45.050956883357138</v>
      </c>
      <c r="AR173" s="4">
        <f>[1]节奏总纲!BD173</f>
        <v>47.785447853033176</v>
      </c>
      <c r="AS173" s="4">
        <f>[1]节奏总纲!BE173</f>
        <v>52.480053284940965</v>
      </c>
    </row>
    <row r="174" spans="2:45" x14ac:dyDescent="0.15">
      <c r="Q174" s="4">
        <v>171</v>
      </c>
      <c r="R174" s="4">
        <f>[1]节奏总纲!AD174</f>
        <v>74.255972994404218</v>
      </c>
      <c r="S174" s="4">
        <f>[1]节奏总纲!AE174</f>
        <v>76.331324771113671</v>
      </c>
      <c r="T174" s="4">
        <f>[1]节奏总纲!AF174</f>
        <v>79.195216630101797</v>
      </c>
      <c r="U174" s="4">
        <f>[1]节奏总纲!AG174</f>
        <v>83.826516280109232</v>
      </c>
      <c r="V174" s="4">
        <f>[1]节奏总纲!AH174</f>
        <v>93.23466020665397</v>
      </c>
      <c r="AN174" s="4">
        <v>171</v>
      </c>
      <c r="AO174" s="4">
        <f>[1]节奏总纲!BA174</f>
        <v>41.630530120464542</v>
      </c>
      <c r="AP174" s="4">
        <f>[1]节奏总纲!BB174</f>
        <v>43.14251743441298</v>
      </c>
      <c r="AQ174" s="4">
        <f>[1]节奏总纲!BC174</f>
        <v>45.088151688727308</v>
      </c>
      <c r="AR174" s="4">
        <f>[1]节奏总纲!BD174</f>
        <v>47.827022929678968</v>
      </c>
      <c r="AS174" s="4">
        <f>[1]节奏总纲!BE174</f>
        <v>52.519959966533058</v>
      </c>
    </row>
    <row r="175" spans="2:45" x14ac:dyDescent="0.15">
      <c r="Q175" s="4">
        <v>172</v>
      </c>
      <c r="R175" s="4">
        <f>[1]节奏总纲!AD175</f>
        <v>74.338465431423501</v>
      </c>
      <c r="S175" s="4">
        <f>[1]节奏总纲!AE175</f>
        <v>76.413630021328345</v>
      </c>
      <c r="T175" s="4">
        <f>[1]节奏总纲!AF175</f>
        <v>79.281418790545047</v>
      </c>
      <c r="U175" s="4">
        <f>[1]节奏总纲!AG175</f>
        <v>83.914249023439666</v>
      </c>
      <c r="V175" s="4">
        <f>[1]节奏总纲!AH175</f>
        <v>93.323212526300722</v>
      </c>
      <c r="AN175" s="4">
        <v>172</v>
      </c>
      <c r="AO175" s="4">
        <f>[1]节奏总纲!BA175</f>
        <v>41.670756335556291</v>
      </c>
      <c r="AP175" s="4">
        <f>[1]节奏总纲!BB175</f>
        <v>43.179964142847631</v>
      </c>
      <c r="AQ175" s="4">
        <f>[1]节奏总纲!BC175</f>
        <v>45.125346494097485</v>
      </c>
      <c r="AR175" s="4">
        <f>[1]节奏总纲!BD175</f>
        <v>47.868598006324753</v>
      </c>
      <c r="AS175" s="4">
        <f>[1]节奏总纲!BE175</f>
        <v>52.559866648125151</v>
      </c>
    </row>
    <row r="176" spans="2:45" x14ac:dyDescent="0.15">
      <c r="Q176" s="4">
        <v>173</v>
      </c>
      <c r="R176" s="4">
        <f>[1]节奏总纲!AD176</f>
        <v>74.420957868442784</v>
      </c>
      <c r="S176" s="4">
        <f>[1]节奏总纲!AE176</f>
        <v>76.495935271543019</v>
      </c>
      <c r="T176" s="4">
        <f>[1]节奏总纲!AF176</f>
        <v>79.367620950988297</v>
      </c>
      <c r="U176" s="4">
        <f>[1]节奏总纲!AG176</f>
        <v>84.00179325525086</v>
      </c>
      <c r="V176" s="4">
        <f>[1]节奏总纲!AH176</f>
        <v>93.411764845947459</v>
      </c>
      <c r="AN176" s="4">
        <v>173</v>
      </c>
      <c r="AO176" s="4">
        <f>[1]节奏总纲!BA176</f>
        <v>41.710982550648033</v>
      </c>
      <c r="AP176" s="4">
        <f>[1]节奏总纲!BB176</f>
        <v>43.217410851282274</v>
      </c>
      <c r="AQ176" s="4">
        <f>[1]节奏总纲!BC176</f>
        <v>45.162541299467655</v>
      </c>
      <c r="AR176" s="4">
        <f>[1]节奏总纲!BD176</f>
        <v>47.910173082970537</v>
      </c>
      <c r="AS176" s="4">
        <f>[1]节奏总纲!BE176</f>
        <v>52.599773329717245</v>
      </c>
    </row>
    <row r="177" spans="17:45" x14ac:dyDescent="0.15">
      <c r="Q177" s="4">
        <v>174</v>
      </c>
      <c r="R177" s="4">
        <f>[1]节奏总纲!AD177</f>
        <v>74.503450305462081</v>
      </c>
      <c r="S177" s="4">
        <f>[1]节奏总纲!AE177</f>
        <v>76.578240521757706</v>
      </c>
      <c r="T177" s="4">
        <f>[1]节奏总纲!AF177</f>
        <v>79.453823111431561</v>
      </c>
      <c r="U177" s="4">
        <f>[1]节奏总纲!AG177</f>
        <v>84.08118060043364</v>
      </c>
      <c r="V177" s="4">
        <f>[1]节奏总纲!AH177</f>
        <v>93.500317165594211</v>
      </c>
      <c r="AN177" s="4">
        <v>174</v>
      </c>
      <c r="AO177" s="4">
        <f>[1]节奏总纲!BA177</f>
        <v>41.751208765739776</v>
      </c>
      <c r="AP177" s="4">
        <f>[1]节奏总纲!BB177</f>
        <v>43.254857559716925</v>
      </c>
      <c r="AQ177" s="4">
        <f>[1]节奏总纲!BC177</f>
        <v>45.199736104837832</v>
      </c>
      <c r="AR177" s="4">
        <f>[1]节奏总纲!BD177</f>
        <v>47.951748159616329</v>
      </c>
      <c r="AS177" s="4">
        <f>[1]节奏总纲!BE177</f>
        <v>52.639680011309345</v>
      </c>
    </row>
    <row r="178" spans="17:45" x14ac:dyDescent="0.15">
      <c r="Q178" s="4">
        <v>175</v>
      </c>
      <c r="R178" s="4">
        <f>[1]节奏总纲!AD178</f>
        <v>74.585942742481365</v>
      </c>
      <c r="S178" s="4">
        <f>[1]节奏总纲!AE178</f>
        <v>76.66054577197238</v>
      </c>
      <c r="T178" s="4">
        <f>[1]节奏总纲!AF178</f>
        <v>79.540025271874811</v>
      </c>
      <c r="U178" s="4">
        <f>[1]节奏总纲!AG178</f>
        <v>84.160567945616407</v>
      </c>
      <c r="V178" s="4">
        <f>[1]节奏总纲!AH178</f>
        <v>93.588869485240949</v>
      </c>
      <c r="AN178" s="4">
        <v>175</v>
      </c>
      <c r="AO178" s="4">
        <f>[1]节奏总纲!BA178</f>
        <v>41.791434980831518</v>
      </c>
      <c r="AP178" s="4">
        <f>[1]节奏总纲!BB178</f>
        <v>43.292304268151575</v>
      </c>
      <c r="AQ178" s="4">
        <f>[1]节奏总纲!BC178</f>
        <v>45.236930910208002</v>
      </c>
      <c r="AR178" s="4">
        <f>[1]节奏总纲!BD178</f>
        <v>47.993323236262114</v>
      </c>
      <c r="AS178" s="4">
        <f>[1]节奏总纲!BE178</f>
        <v>52.679586692901438</v>
      </c>
    </row>
    <row r="179" spans="17:45" x14ac:dyDescent="0.15">
      <c r="Q179" s="4">
        <v>176</v>
      </c>
      <c r="R179" s="4">
        <f>[1]节奏总纲!AD179</f>
        <v>74.668435179500648</v>
      </c>
      <c r="S179" s="4">
        <f>[1]节奏总纲!AE179</f>
        <v>76.742851022187054</v>
      </c>
      <c r="T179" s="4">
        <f>[1]节奏总纲!AF179</f>
        <v>79.626227432318061</v>
      </c>
      <c r="U179" s="4">
        <f>[1]节奏总纲!AG179</f>
        <v>84.239955290799188</v>
      </c>
      <c r="V179" s="4">
        <f>[1]节奏总纲!AH179</f>
        <v>93.6774218048877</v>
      </c>
      <c r="AN179" s="4">
        <v>176</v>
      </c>
      <c r="AO179" s="4">
        <f>[1]节奏总纲!BA179</f>
        <v>41.831661195923267</v>
      </c>
      <c r="AP179" s="4">
        <f>[1]节奏总纲!BB179</f>
        <v>43.329750976586219</v>
      </c>
      <c r="AQ179" s="4">
        <f>[1]节奏总纲!BC179</f>
        <v>45.274125715578172</v>
      </c>
      <c r="AR179" s="4">
        <f>[1]节奏总纲!BD179</f>
        <v>48.030128751164234</v>
      </c>
      <c r="AS179" s="4">
        <f>[1]节奏总纲!BE179</f>
        <v>52.719493374493531</v>
      </c>
    </row>
    <row r="180" spans="17:45" x14ac:dyDescent="0.15">
      <c r="Q180" s="4">
        <v>177</v>
      </c>
      <c r="R180" s="4">
        <f>[1]节奏总纲!AD180</f>
        <v>74.750927616519931</v>
      </c>
      <c r="S180" s="4">
        <f>[1]节奏总纲!AE180</f>
        <v>76.825156272401728</v>
      </c>
      <c r="T180" s="4">
        <f>[1]节奏总纲!AF180</f>
        <v>79.71242959276131</v>
      </c>
      <c r="U180" s="4">
        <f>[1]节奏总纲!AG180</f>
        <v>84.319342635981968</v>
      </c>
      <c r="V180" s="4">
        <f>[1]节奏总纲!AH180</f>
        <v>93.765974124534438</v>
      </c>
      <c r="AN180" s="4">
        <v>177</v>
      </c>
      <c r="AO180" s="4">
        <f>[1]节奏总纲!BA180</f>
        <v>41.87188741101501</v>
      </c>
      <c r="AP180" s="4">
        <f>[1]节奏总纲!BB180</f>
        <v>43.367197685020869</v>
      </c>
      <c r="AQ180" s="4">
        <f>[1]节奏总纲!BC180</f>
        <v>45.31132052094835</v>
      </c>
      <c r="AR180" s="4">
        <f>[1]节奏总纲!BD180</f>
        <v>48.066021750983474</v>
      </c>
      <c r="AS180" s="4">
        <f>[1]节奏总纲!BE180</f>
        <v>52.759400056085624</v>
      </c>
    </row>
    <row r="181" spans="17:45" x14ac:dyDescent="0.15">
      <c r="Q181" s="4">
        <v>178</v>
      </c>
      <c r="R181" s="4">
        <f>[1]节奏总纲!AD181</f>
        <v>74.833420053539214</v>
      </c>
      <c r="S181" s="4">
        <f>[1]节奏总纲!AE181</f>
        <v>76.907461522616416</v>
      </c>
      <c r="T181" s="4">
        <f>[1]节奏总纲!AF181</f>
        <v>79.79863175320456</v>
      </c>
      <c r="U181" s="4">
        <f>[1]节奏总纲!AG181</f>
        <v>84.398729981164735</v>
      </c>
      <c r="V181" s="4">
        <f>[1]节奏总纲!AH181</f>
        <v>93.85452644418119</v>
      </c>
      <c r="AN181" s="4">
        <v>178</v>
      </c>
      <c r="AO181" s="4">
        <f>[1]节奏总纲!BA181</f>
        <v>41.912113626106752</v>
      </c>
      <c r="AP181" s="4">
        <f>[1]节奏总纲!BB181</f>
        <v>43.404644393455513</v>
      </c>
      <c r="AQ181" s="4">
        <f>[1]节奏总纲!BC181</f>
        <v>45.34851532631852</v>
      </c>
      <c r="AR181" s="4">
        <f>[1]节奏总纲!BD181</f>
        <v>48.101914750802706</v>
      </c>
      <c r="AS181" s="4">
        <f>[1]节奏总纲!BE181</f>
        <v>52.799306737677718</v>
      </c>
    </row>
    <row r="182" spans="17:45" x14ac:dyDescent="0.15">
      <c r="Q182" s="4">
        <v>179</v>
      </c>
      <c r="R182" s="4">
        <f>[1]节奏总纲!AD182</f>
        <v>74.915912490558512</v>
      </c>
      <c r="S182" s="4">
        <f>[1]节奏总纲!AE182</f>
        <v>76.989766772831089</v>
      </c>
      <c r="T182" s="4">
        <f>[1]节奏总纲!AF182</f>
        <v>79.88483391364781</v>
      </c>
      <c r="U182" s="4">
        <f>[1]节奏总纲!AG182</f>
        <v>84.478117326347515</v>
      </c>
      <c r="V182" s="4">
        <f>[1]节奏总纲!AH182</f>
        <v>93.943078763827941</v>
      </c>
      <c r="AN182" s="4">
        <v>179</v>
      </c>
      <c r="AO182" s="4">
        <f>[1]节奏总纲!BA182</f>
        <v>41.952339841198494</v>
      </c>
      <c r="AP182" s="4">
        <f>[1]节奏总纲!BB182</f>
        <v>43.442091101890163</v>
      </c>
      <c r="AQ182" s="4">
        <f>[1]节奏总纲!BC182</f>
        <v>45.385710131688697</v>
      </c>
      <c r="AR182" s="4">
        <f>[1]节奏总纲!BD182</f>
        <v>48.137807750621946</v>
      </c>
      <c r="AS182" s="4">
        <f>[1]节奏总纲!BE182</f>
        <v>52.839213419269818</v>
      </c>
    </row>
    <row r="183" spans="17:45" x14ac:dyDescent="0.15">
      <c r="Q183" s="4">
        <v>180</v>
      </c>
      <c r="R183" s="4">
        <f>[1]节奏总纲!AD183</f>
        <v>74.998404927577795</v>
      </c>
      <c r="S183" s="4">
        <f>[1]节奏总纲!AE183</f>
        <v>77.06778397927944</v>
      </c>
      <c r="T183" s="4">
        <f>[1]节奏总纲!AF183</f>
        <v>79.97103607409106</v>
      </c>
      <c r="U183" s="4">
        <f>[1]节奏总纲!AG183</f>
        <v>84.557504671530296</v>
      </c>
      <c r="V183" s="4">
        <f>[1]节奏总纲!AH183</f>
        <v>94.027056817114342</v>
      </c>
      <c r="AN183" s="4">
        <v>180</v>
      </c>
      <c r="AO183" s="4">
        <f>[1]节奏总纲!BA183</f>
        <v>41.992566056290244</v>
      </c>
      <c r="AP183" s="4">
        <f>[1]节奏总纲!BB183</f>
        <v>43.479537810324807</v>
      </c>
      <c r="AQ183" s="4">
        <f>[1]节奏总纲!BC183</f>
        <v>45.422904937058867</v>
      </c>
      <c r="AR183" s="4">
        <f>[1]节奏总纲!BD183</f>
        <v>48.173700750441178</v>
      </c>
      <c r="AS183" s="4">
        <f>[1]节奏总纲!BE183</f>
        <v>52.879120100861911</v>
      </c>
    </row>
    <row r="184" spans="17:45" x14ac:dyDescent="0.15">
      <c r="Q184" s="4">
        <v>181</v>
      </c>
      <c r="R184" s="4">
        <f>[1]节奏总纲!AD184</f>
        <v>75.075479910097457</v>
      </c>
      <c r="S184" s="4">
        <f>[1]节奏总纲!AE184</f>
        <v>77.145192343015793</v>
      </c>
      <c r="T184" s="4">
        <f>[1]节奏总纲!AF184</f>
        <v>80.053817475702374</v>
      </c>
      <c r="U184" s="4">
        <f>[1]节奏总纲!AG184</f>
        <v>84.636892016713063</v>
      </c>
      <c r="V184" s="4">
        <f>[1]节奏总纲!AH184</f>
        <v>94.102803318799971</v>
      </c>
      <c r="AN184" s="4">
        <v>181</v>
      </c>
      <c r="AO184" s="4">
        <f>[1]节奏总纲!BA184</f>
        <v>42.028297717729309</v>
      </c>
      <c r="AP184" s="4">
        <f>[1]节奏总纲!BB184</f>
        <v>43.516984518759458</v>
      </c>
      <c r="AQ184" s="4">
        <f>[1]节奏总纲!BC184</f>
        <v>45.460099742429037</v>
      </c>
      <c r="AR184" s="4">
        <f>[1]节奏总纲!BD184</f>
        <v>48.209593750260417</v>
      </c>
      <c r="AS184" s="4">
        <f>[1]节奏总纲!BE184</f>
        <v>52.919026782454004</v>
      </c>
    </row>
    <row r="185" spans="17:45" x14ac:dyDescent="0.15">
      <c r="Q185" s="4">
        <v>182</v>
      </c>
      <c r="R185" s="4">
        <f>[1]节奏总纲!AD185</f>
        <v>75.152448075388719</v>
      </c>
      <c r="S185" s="4">
        <f>[1]节奏总纲!AE185</f>
        <v>77.222600706752132</v>
      </c>
      <c r="T185" s="4">
        <f>[1]节奏总纲!AF185</f>
        <v>80.134867890916794</v>
      </c>
      <c r="U185" s="4">
        <f>[1]节奏总纲!AG185</f>
        <v>84.716279361895843</v>
      </c>
      <c r="V185" s="4">
        <f>[1]节奏总纲!AH185</f>
        <v>94.1785498204856</v>
      </c>
      <c r="AN185" s="4">
        <v>182</v>
      </c>
      <c r="AO185" s="4">
        <f>[1]节奏总纲!BA185</f>
        <v>42.063010472656373</v>
      </c>
      <c r="AP185" s="4">
        <f>[1]节奏总纲!BB185</f>
        <v>43.554431227194108</v>
      </c>
      <c r="AQ185" s="4">
        <f>[1]节奏总纲!BC185</f>
        <v>45.497294547799214</v>
      </c>
      <c r="AR185" s="4">
        <f>[1]节奏总纲!BD185</f>
        <v>48.24548675007965</v>
      </c>
      <c r="AS185" s="4">
        <f>[1]节奏总纲!BE185</f>
        <v>52.958933464046098</v>
      </c>
    </row>
    <row r="186" spans="17:45" x14ac:dyDescent="0.15">
      <c r="Q186" s="4">
        <v>183</v>
      </c>
      <c r="R186" s="4">
        <f>[1]节奏总纲!AD186</f>
        <v>75.229416240679981</v>
      </c>
      <c r="S186" s="4">
        <f>[1]节奏总纲!AE186</f>
        <v>77.300009070488485</v>
      </c>
      <c r="T186" s="4">
        <f>[1]节奏总纲!AF186</f>
        <v>80.215918306131215</v>
      </c>
      <c r="U186" s="4">
        <f>[1]节奏总纲!AG186</f>
        <v>84.795666707078624</v>
      </c>
      <c r="V186" s="4">
        <f>[1]节奏总纲!AH186</f>
        <v>94.254296322171228</v>
      </c>
      <c r="AN186" s="4">
        <v>183</v>
      </c>
      <c r="AO186" s="4">
        <f>[1]节奏总纲!BA186</f>
        <v>42.097723227583437</v>
      </c>
      <c r="AP186" s="4">
        <f>[1]节奏总纲!BB186</f>
        <v>43.591877935628752</v>
      </c>
      <c r="AQ186" s="4">
        <f>[1]节奏总纲!BC186</f>
        <v>45.534489353169384</v>
      </c>
      <c r="AR186" s="4">
        <f>[1]节奏总纲!BD186</f>
        <v>48.281379749898889</v>
      </c>
      <c r="AS186" s="4">
        <f>[1]节奏总纲!BE186</f>
        <v>52.998840145638198</v>
      </c>
    </row>
    <row r="187" spans="17:45" x14ac:dyDescent="0.15">
      <c r="Q187" s="4">
        <v>184</v>
      </c>
      <c r="R187" s="4">
        <f>[1]节奏总纲!AD187</f>
        <v>75.306384405971258</v>
      </c>
      <c r="S187" s="4">
        <f>[1]节奏总纲!AE187</f>
        <v>77.377417434224824</v>
      </c>
      <c r="T187" s="4">
        <f>[1]节奏总纲!AF187</f>
        <v>80.296968721345635</v>
      </c>
      <c r="U187" s="4">
        <f>[1]节奏总纲!AG187</f>
        <v>84.87505405226139</v>
      </c>
      <c r="V187" s="4">
        <f>[1]节奏总纲!AH187</f>
        <v>94.330042823856857</v>
      </c>
      <c r="AN187" s="4">
        <v>184</v>
      </c>
      <c r="AO187" s="4">
        <f>[1]节奏总纲!BA187</f>
        <v>42.132435982510501</v>
      </c>
      <c r="AP187" s="4">
        <f>[1]节奏总纲!BB187</f>
        <v>43.629324644063402</v>
      </c>
      <c r="AQ187" s="4">
        <f>[1]节奏总纲!BC187</f>
        <v>45.571684158539561</v>
      </c>
      <c r="AR187" s="4">
        <f>[1]节奏总纲!BD187</f>
        <v>48.317272749718121</v>
      </c>
      <c r="AS187" s="4">
        <f>[1]节奏总纲!BE187</f>
        <v>53.033462597729766</v>
      </c>
    </row>
    <row r="188" spans="17:45" x14ac:dyDescent="0.15">
      <c r="Q188" s="4">
        <v>185</v>
      </c>
      <c r="R188" s="4">
        <f>[1]节奏总纲!AD188</f>
        <v>75.38335257126252</v>
      </c>
      <c r="S188" s="4">
        <f>[1]节奏总纲!AE188</f>
        <v>77.454825797961163</v>
      </c>
      <c r="T188" s="4">
        <f>[1]节奏总纲!AF188</f>
        <v>80.378019136560056</v>
      </c>
      <c r="U188" s="4">
        <f>[1]节奏总纲!AG188</f>
        <v>84.954441397444171</v>
      </c>
      <c r="V188" s="4">
        <f>[1]节奏总纲!AH188</f>
        <v>94.405789325542486</v>
      </c>
      <c r="AN188" s="4">
        <v>185</v>
      </c>
      <c r="AO188" s="4">
        <f>[1]节奏总纲!BA188</f>
        <v>42.167148737437564</v>
      </c>
      <c r="AP188" s="4">
        <f>[1]节奏总纲!BB188</f>
        <v>43.666771352498046</v>
      </c>
      <c r="AQ188" s="4">
        <f>[1]节奏总纲!BC188</f>
        <v>45.608878963909731</v>
      </c>
      <c r="AR188" s="4">
        <f>[1]节奏总纲!BD188</f>
        <v>48.353165749537354</v>
      </c>
      <c r="AS188" s="4">
        <f>[1]节奏总纲!BE188</f>
        <v>53.067926870763252</v>
      </c>
    </row>
    <row r="189" spans="17:45" x14ac:dyDescent="0.15">
      <c r="Q189" s="4">
        <v>186</v>
      </c>
      <c r="R189" s="4">
        <f>[1]节奏总纲!AD189</f>
        <v>75.460320736553783</v>
      </c>
      <c r="S189" s="4">
        <f>[1]节奏总纲!AE189</f>
        <v>77.532234161697517</v>
      </c>
      <c r="T189" s="4">
        <f>[1]节奏总纲!AF189</f>
        <v>80.459069551774476</v>
      </c>
      <c r="U189" s="4">
        <f>[1]节奏总纲!AG189</f>
        <v>85.030832425973387</v>
      </c>
      <c r="V189" s="4">
        <f>[1]节奏总纲!AH189</f>
        <v>94.4815358272281</v>
      </c>
      <c r="AN189" s="4">
        <v>186</v>
      </c>
      <c r="AO189" s="4">
        <f>[1]节奏总纲!BA189</f>
        <v>42.201861492364635</v>
      </c>
      <c r="AP189" s="4">
        <f>[1]节奏总纲!BB189</f>
        <v>43.704218060932696</v>
      </c>
      <c r="AQ189" s="4">
        <f>[1]节奏总纲!BC189</f>
        <v>45.646073769279901</v>
      </c>
      <c r="AR189" s="4">
        <f>[1]节奏总纲!BD189</f>
        <v>48.389058749356593</v>
      </c>
      <c r="AS189" s="4">
        <f>[1]节奏总纲!BE189</f>
        <v>53.102391143796744</v>
      </c>
    </row>
    <row r="190" spans="17:45" x14ac:dyDescent="0.15">
      <c r="Q190" s="4">
        <v>187</v>
      </c>
      <c r="R190" s="4">
        <f>[1]节奏总纲!AD190</f>
        <v>75.537288901845045</v>
      </c>
      <c r="S190" s="4">
        <f>[1]节奏总纲!AE190</f>
        <v>77.609642525433856</v>
      </c>
      <c r="T190" s="4">
        <f>[1]节奏总纲!AF190</f>
        <v>80.540119966988897</v>
      </c>
      <c r="U190" s="4">
        <f>[1]节奏总纲!AG190</f>
        <v>85.103188187775231</v>
      </c>
      <c r="V190" s="4">
        <f>[1]节奏总纲!AH190</f>
        <v>94.557282328913729</v>
      </c>
      <c r="AN190" s="4">
        <v>187</v>
      </c>
      <c r="AO190" s="4">
        <f>[1]节奏总纲!BA190</f>
        <v>42.236574247291699</v>
      </c>
      <c r="AP190" s="4">
        <f>[1]节奏总纲!BB190</f>
        <v>43.741664769367347</v>
      </c>
      <c r="AQ190" s="4">
        <f>[1]节奏总纲!BC190</f>
        <v>45.683268574650079</v>
      </c>
      <c r="AR190" s="4">
        <f>[1]节奏总纲!BD190</f>
        <v>48.424951749175825</v>
      </c>
      <c r="AS190" s="4">
        <f>[1]节奏总纲!BE190</f>
        <v>53.13685541683023</v>
      </c>
    </row>
    <row r="191" spans="17:45" x14ac:dyDescent="0.15">
      <c r="Q191" s="4">
        <v>188</v>
      </c>
      <c r="R191" s="4">
        <f>[1]节奏总纲!AD191</f>
        <v>75.614257067136322</v>
      </c>
      <c r="S191" s="4">
        <f>[1]节奏总纲!AE191</f>
        <v>77.687050889170209</v>
      </c>
      <c r="T191" s="4">
        <f>[1]节奏总纲!AF191</f>
        <v>80.621170382203317</v>
      </c>
      <c r="U191" s="4">
        <f>[1]节奏总纲!AG191</f>
        <v>85.175543949577076</v>
      </c>
      <c r="V191" s="4">
        <f>[1]节奏总纲!AH191</f>
        <v>94.633028830599358</v>
      </c>
      <c r="AN191" s="4">
        <v>188</v>
      </c>
      <c r="AO191" s="4">
        <f>[1]节奏总纲!BA191</f>
        <v>42.271287002218763</v>
      </c>
      <c r="AP191" s="4">
        <f>[1]节奏总纲!BB191</f>
        <v>43.77911147780199</v>
      </c>
      <c r="AQ191" s="4">
        <f>[1]节奏总纲!BC191</f>
        <v>45.720463380020249</v>
      </c>
      <c r="AR191" s="4">
        <f>[1]节奏总纲!BD191</f>
        <v>48.460844748995065</v>
      </c>
      <c r="AS191" s="4">
        <f>[1]节奏总纲!BE191</f>
        <v>53.171319689863722</v>
      </c>
    </row>
    <row r="192" spans="17:45" x14ac:dyDescent="0.15">
      <c r="Q192" s="4">
        <v>189</v>
      </c>
      <c r="R192" s="4">
        <f>[1]节奏总纲!AD192</f>
        <v>75.691225232427584</v>
      </c>
      <c r="S192" s="4">
        <f>[1]节奏总纲!AE192</f>
        <v>77.764459252906548</v>
      </c>
      <c r="T192" s="4">
        <f>[1]节奏总纲!AF192</f>
        <v>80.702220797417738</v>
      </c>
      <c r="U192" s="4">
        <f>[1]节奏总纲!AG192</f>
        <v>85.247899711378935</v>
      </c>
      <c r="V192" s="4">
        <f>[1]节奏总纲!AH192</f>
        <v>94.708775332284986</v>
      </c>
      <c r="AN192" s="4">
        <v>189</v>
      </c>
      <c r="AO192" s="4">
        <f>[1]节奏总纲!BA192</f>
        <v>42.305999757145827</v>
      </c>
      <c r="AP192" s="4">
        <f>[1]节奏总纲!BB192</f>
        <v>43.816558186236641</v>
      </c>
      <c r="AQ192" s="4">
        <f>[1]节奏总纲!BC192</f>
        <v>45.757658185390426</v>
      </c>
      <c r="AR192" s="4">
        <f>[1]节奏总纲!BD192</f>
        <v>48.496737748814297</v>
      </c>
      <c r="AS192" s="4">
        <f>[1]节奏总纲!BE192</f>
        <v>53.205783962897208</v>
      </c>
    </row>
    <row r="193" spans="17:45" x14ac:dyDescent="0.15">
      <c r="Q193" s="4">
        <v>190</v>
      </c>
      <c r="R193" s="4">
        <f>[1]节奏总纲!AD193</f>
        <v>75.768193397718846</v>
      </c>
      <c r="S193" s="4">
        <f>[1]节奏总纲!AE193</f>
        <v>77.841867616642901</v>
      </c>
      <c r="T193" s="4">
        <f>[1]节奏总纲!AF193</f>
        <v>80.783271212632158</v>
      </c>
      <c r="U193" s="4">
        <f>[1]节奏总纲!AG193</f>
        <v>85.320255473180779</v>
      </c>
      <c r="V193" s="4">
        <f>[1]节奏总纲!AH193</f>
        <v>94.784521833970615</v>
      </c>
      <c r="AN193" s="4">
        <v>190</v>
      </c>
      <c r="AO193" s="4">
        <f>[1]节奏总纲!BA193</f>
        <v>42.340712512072891</v>
      </c>
      <c r="AP193" s="4">
        <f>[1]节奏总纲!BB193</f>
        <v>43.854004894671284</v>
      </c>
      <c r="AQ193" s="4">
        <f>[1]节奏总纲!BC193</f>
        <v>45.794852990760596</v>
      </c>
      <c r="AR193" s="4">
        <f>[1]节奏总纲!BD193</f>
        <v>48.532630748633537</v>
      </c>
      <c r="AS193" s="4">
        <f>[1]节奏总纲!BE193</f>
        <v>53.240248235930693</v>
      </c>
    </row>
    <row r="194" spans="17:45" x14ac:dyDescent="0.15">
      <c r="Q194" s="4">
        <v>191</v>
      </c>
      <c r="R194" s="4">
        <f>[1]节奏总纲!AD194</f>
        <v>75.845161563010109</v>
      </c>
      <c r="S194" s="4">
        <f>[1]节奏总纲!AE194</f>
        <v>77.91927598037924</v>
      </c>
      <c r="T194" s="4">
        <f>[1]节奏总纲!AF194</f>
        <v>80.864321627846579</v>
      </c>
      <c r="U194" s="4">
        <f>[1]节奏总纲!AG194</f>
        <v>85.392611234982624</v>
      </c>
      <c r="V194" s="4">
        <f>[1]节奏总纲!AH194</f>
        <v>94.860268335656244</v>
      </c>
      <c r="AN194" s="4">
        <v>191</v>
      </c>
      <c r="AO194" s="4">
        <f>[1]节奏总纲!BA194</f>
        <v>42.375425266999954</v>
      </c>
      <c r="AP194" s="4">
        <f>[1]节奏总纲!BB194</f>
        <v>43.891451603105935</v>
      </c>
      <c r="AQ194" s="4">
        <f>[1]节奏总纲!BC194</f>
        <v>45.832047796130773</v>
      </c>
      <c r="AR194" s="4">
        <f>[1]节奏总纲!BD194</f>
        <v>48.568523748452769</v>
      </c>
      <c r="AS194" s="4">
        <f>[1]节奏总纲!BE194</f>
        <v>53.274712508964186</v>
      </c>
    </row>
    <row r="195" spans="17:45" x14ac:dyDescent="0.15">
      <c r="Q195" s="4">
        <v>192</v>
      </c>
      <c r="R195" s="4">
        <f>[1]节奏总纲!AD195</f>
        <v>75.922129728301385</v>
      </c>
      <c r="S195" s="4">
        <f>[1]节奏总纲!AE195</f>
        <v>77.996684344115593</v>
      </c>
      <c r="T195" s="4">
        <f>[1]节奏总纲!AF195</f>
        <v>80.945372043060999</v>
      </c>
      <c r="U195" s="4">
        <f>[1]节奏总纲!AG195</f>
        <v>85.464966996784469</v>
      </c>
      <c r="V195" s="4">
        <f>[1]节奏总纲!AH195</f>
        <v>94.936014837341872</v>
      </c>
      <c r="AN195" s="4">
        <v>192</v>
      </c>
      <c r="AO195" s="4">
        <f>[1]节奏总纲!BA195</f>
        <v>42.410138021927018</v>
      </c>
      <c r="AP195" s="4">
        <f>[1]节奏总纲!BB195</f>
        <v>43.928898311540578</v>
      </c>
      <c r="AQ195" s="4">
        <f>[1]节奏总纲!BC195</f>
        <v>45.869242601500943</v>
      </c>
      <c r="AR195" s="4">
        <f>[1]节奏总纲!BD195</f>
        <v>48.604416748272008</v>
      </c>
      <c r="AS195" s="4">
        <f>[1]节奏总纲!BE195</f>
        <v>53.309176781997671</v>
      </c>
    </row>
    <row r="196" spans="17:45" x14ac:dyDescent="0.15">
      <c r="Q196" s="4">
        <v>193</v>
      </c>
      <c r="R196" s="4">
        <f>[1]节奏总纲!AD196</f>
        <v>75.999097893592648</v>
      </c>
      <c r="S196" s="4">
        <f>[1]节奏总纲!AE196</f>
        <v>78.068193736526268</v>
      </c>
      <c r="T196" s="4">
        <f>[1]节奏总纲!AF196</f>
        <v>81.02378934476593</v>
      </c>
      <c r="U196" s="4">
        <f>[1]节奏总纲!AG196</f>
        <v>85.537322758586328</v>
      </c>
      <c r="V196" s="4">
        <f>[1]节奏总纲!AH196</f>
        <v>95.011078787937279</v>
      </c>
      <c r="AN196" s="4">
        <v>193</v>
      </c>
      <c r="AO196" s="4">
        <f>[1]节奏总纲!BA196</f>
        <v>42.444850776854082</v>
      </c>
      <c r="AP196" s="4">
        <f>[1]节奏总纲!BB196</f>
        <v>43.966345019975229</v>
      </c>
      <c r="AQ196" s="4">
        <f>[1]节奏总纲!BC196</f>
        <v>45.906437406871113</v>
      </c>
      <c r="AR196" s="4">
        <f>[1]节奏总纲!BD196</f>
        <v>48.640309748091241</v>
      </c>
      <c r="AS196" s="4">
        <f>[1]节奏总纲!BE196</f>
        <v>53.343641055031163</v>
      </c>
    </row>
    <row r="197" spans="17:45" x14ac:dyDescent="0.15">
      <c r="Q197" s="4">
        <v>194</v>
      </c>
      <c r="R197" s="4">
        <f>[1]节奏总纲!AD197</f>
        <v>76.070972142474872</v>
      </c>
      <c r="S197" s="4">
        <f>[1]节奏总纲!AE197</f>
        <v>78.139439149396253</v>
      </c>
      <c r="T197" s="4">
        <f>[1]节奏总纲!AF197</f>
        <v>81.096762731680187</v>
      </c>
      <c r="U197" s="4">
        <f>[1]节奏总纲!AG197</f>
        <v>85.609678520388172</v>
      </c>
      <c r="V197" s="4">
        <f>[1]节奏总纲!AH197</f>
        <v>95.082429458741387</v>
      </c>
      <c r="AN197" s="4">
        <v>194</v>
      </c>
      <c r="AO197" s="4">
        <f>[1]节奏总纲!BA197</f>
        <v>42.479563531781146</v>
      </c>
      <c r="AP197" s="4">
        <f>[1]节奏总纲!BB197</f>
        <v>44.003272544984547</v>
      </c>
      <c r="AQ197" s="4">
        <f>[1]节奏总纲!BC197</f>
        <v>45.94363221224129</v>
      </c>
      <c r="AR197" s="4">
        <f>[1]节奏总纲!BD197</f>
        <v>48.67620274791048</v>
      </c>
      <c r="AS197" s="4">
        <f>[1]节奏总纲!BE197</f>
        <v>53.378105328064649</v>
      </c>
    </row>
    <row r="198" spans="17:45" x14ac:dyDescent="0.15">
      <c r="Q198" s="4">
        <v>195</v>
      </c>
      <c r="R198" s="4">
        <f>[1]节奏总纲!AD198</f>
        <v>76.142785979989682</v>
      </c>
      <c r="S198" s="4">
        <f>[1]节奏总纲!AE198</f>
        <v>78.210684562266223</v>
      </c>
      <c r="T198" s="4">
        <f>[1]节奏总纲!AF198</f>
        <v>81.169736118594443</v>
      </c>
      <c r="U198" s="4">
        <f>[1]节奏总纲!AG198</f>
        <v>85.682034282190017</v>
      </c>
      <c r="V198" s="4">
        <f>[1]节奏总纲!AH198</f>
        <v>95.153780129545481</v>
      </c>
      <c r="AN198" s="4">
        <v>195</v>
      </c>
      <c r="AO198" s="4">
        <f>[1]节奏总纲!BA198</f>
        <v>42.51427628670821</v>
      </c>
      <c r="AP198" s="4">
        <f>[1]节奏总纲!BB198</f>
        <v>44.035591852864428</v>
      </c>
      <c r="AQ198" s="4">
        <f>[1]节奏总纲!BC198</f>
        <v>45.98082701761146</v>
      </c>
      <c r="AR198" s="4">
        <f>[1]节奏总纲!BD198</f>
        <v>48.712095747729713</v>
      </c>
      <c r="AS198" s="4">
        <f>[1]节奏总纲!BE198</f>
        <v>53.412569601098134</v>
      </c>
    </row>
    <row r="199" spans="17:45" x14ac:dyDescent="0.15">
      <c r="Q199" s="4">
        <v>196</v>
      </c>
      <c r="R199" s="4">
        <f>[1]节奏总纲!AD199</f>
        <v>76.214599817504492</v>
      </c>
      <c r="S199" s="4">
        <f>[1]节奏总纲!AE199</f>
        <v>78.281929975136208</v>
      </c>
      <c r="T199" s="4">
        <f>[1]节奏总纲!AF199</f>
        <v>81.242709505508685</v>
      </c>
      <c r="U199" s="4">
        <f>[1]节奏总纲!AG199</f>
        <v>85.754390043991862</v>
      </c>
      <c r="V199" s="4">
        <f>[1]节奏总纲!AH199</f>
        <v>95.225130800349589</v>
      </c>
      <c r="AN199" s="4">
        <v>196</v>
      </c>
      <c r="AO199" s="4">
        <f>[1]节奏总纲!BA199</f>
        <v>42.548989041635274</v>
      </c>
      <c r="AP199" s="4">
        <f>[1]节奏总纲!BB199</f>
        <v>44.067911160744309</v>
      </c>
      <c r="AQ199" s="4">
        <f>[1]节奏总纲!BC199</f>
        <v>46.01555652579863</v>
      </c>
      <c r="AR199" s="4">
        <f>[1]节奏总纲!BD199</f>
        <v>48.747988747548945</v>
      </c>
      <c r="AS199" s="4">
        <f>[1]节奏总纲!BE199</f>
        <v>53.447033874131627</v>
      </c>
    </row>
    <row r="200" spans="17:45" x14ac:dyDescent="0.15">
      <c r="Q200" s="4">
        <v>197</v>
      </c>
      <c r="R200" s="4">
        <f>[1]节奏总纲!AD200</f>
        <v>76.286413655019302</v>
      </c>
      <c r="S200" s="4">
        <f>[1]节奏总纲!AE200</f>
        <v>78.353175388006179</v>
      </c>
      <c r="T200" s="4">
        <f>[1]节奏总纲!AF200</f>
        <v>81.315682892422942</v>
      </c>
      <c r="U200" s="4">
        <f>[1]节奏总纲!AG200</f>
        <v>85.82674580579372</v>
      </c>
      <c r="V200" s="4">
        <f>[1]节奏总纲!AH200</f>
        <v>95.296481471153683</v>
      </c>
      <c r="AN200" s="4">
        <v>197</v>
      </c>
      <c r="AO200" s="4">
        <f>[1]节奏总纲!BA200</f>
        <v>42.583701796562345</v>
      </c>
      <c r="AP200" s="4">
        <f>[1]节奏总纲!BB200</f>
        <v>44.100230468624183</v>
      </c>
      <c r="AQ200" s="4">
        <f>[1]节奏总纲!BC200</f>
        <v>46.047663263829847</v>
      </c>
      <c r="AR200" s="4">
        <f>[1]节奏总纲!BD200</f>
        <v>48.783881747368184</v>
      </c>
      <c r="AS200" s="4">
        <f>[1]节奏总纲!BE200</f>
        <v>53.481498147165112</v>
      </c>
    </row>
    <row r="201" spans="17:45" x14ac:dyDescent="0.15">
      <c r="Q201" s="4">
        <v>198</v>
      </c>
      <c r="R201" s="4">
        <f>[1]节奏总纲!AD201</f>
        <v>76.358227492534112</v>
      </c>
      <c r="S201" s="4">
        <f>[1]节奏总纲!AE201</f>
        <v>78.424420800876163</v>
      </c>
      <c r="T201" s="4">
        <f>[1]节奏总纲!AF201</f>
        <v>81.388656279337198</v>
      </c>
      <c r="U201" s="4">
        <f>[1]节奏总纲!AG201</f>
        <v>85.899101567595565</v>
      </c>
      <c r="V201" s="4">
        <f>[1]节奏总纲!AH201</f>
        <v>95.367832141957777</v>
      </c>
      <c r="AN201" s="4">
        <v>198</v>
      </c>
      <c r="AO201" s="4">
        <f>[1]节奏总纲!BA201</f>
        <v>42.618414551489408</v>
      </c>
      <c r="AP201" s="4">
        <f>[1]节奏总纲!BB201</f>
        <v>44.132549776504064</v>
      </c>
      <c r="AQ201" s="4">
        <f>[1]节奏总纲!BC201</f>
        <v>46.079770001861057</v>
      </c>
      <c r="AR201" s="4">
        <f>[1]节奏总纲!BD201</f>
        <v>48.819774747187417</v>
      </c>
      <c r="AS201" s="4">
        <f>[1]节奏总纲!BE201</f>
        <v>53.515962420198605</v>
      </c>
    </row>
    <row r="202" spans="17:45" x14ac:dyDescent="0.15">
      <c r="Q202" s="4">
        <v>199</v>
      </c>
      <c r="R202" s="4">
        <f>[1]节奏总纲!AD202</f>
        <v>76.430041330048923</v>
      </c>
      <c r="S202" s="4">
        <f>[1]节奏总纲!AE202</f>
        <v>78.495666213746148</v>
      </c>
      <c r="T202" s="4">
        <f>[1]节奏总纲!AF202</f>
        <v>81.461629666251454</v>
      </c>
      <c r="U202" s="4">
        <f>[1]节奏总纲!AG202</f>
        <v>85.97145732939741</v>
      </c>
      <c r="V202" s="4">
        <f>[1]节奏总纲!AH202</f>
        <v>95.439182812761885</v>
      </c>
      <c r="AN202" s="4">
        <v>199</v>
      </c>
      <c r="AO202" s="4">
        <f>[1]节奏总纲!BA202</f>
        <v>42.653127306416472</v>
      </c>
      <c r="AP202" s="4">
        <f>[1]节奏总纲!BB202</f>
        <v>44.164869084383938</v>
      </c>
      <c r="AQ202" s="4">
        <f>[1]节奏总纲!BC202</f>
        <v>46.111876739892267</v>
      </c>
      <c r="AR202" s="4">
        <f>[1]节奏总纲!BD202</f>
        <v>48.855667747006656</v>
      </c>
      <c r="AS202" s="4">
        <f>[1]节奏总纲!BE202</f>
        <v>53.55042669323209</v>
      </c>
    </row>
    <row r="203" spans="17:45" x14ac:dyDescent="0.15">
      <c r="Q203" s="4">
        <v>200</v>
      </c>
      <c r="R203" s="4">
        <f>[1]节奏总纲!AD203</f>
        <v>76.501855167563733</v>
      </c>
      <c r="S203" s="4">
        <f>[1]节奏总纲!AE203</f>
        <v>78.566911626616118</v>
      </c>
      <c r="T203" s="4">
        <f>[1]节奏总纲!AF203</f>
        <v>81.534603053165696</v>
      </c>
      <c r="U203" s="4">
        <f>[1]节奏总纲!AG203</f>
        <v>86.045919706798657</v>
      </c>
      <c r="V203" s="4">
        <f>[1]节奏总纲!AH203</f>
        <v>95.510533483565979</v>
      </c>
      <c r="AN203" s="4">
        <v>200</v>
      </c>
      <c r="AO203" s="4">
        <f>[1]节奏总纲!BA203</f>
        <v>42.687840061343536</v>
      </c>
      <c r="AP203" s="4">
        <f>[1]节奏总纲!BB203</f>
        <v>44.197188392263818</v>
      </c>
      <c r="AQ203" s="4">
        <f>[1]节奏总纲!BC203</f>
        <v>46.143983477923484</v>
      </c>
      <c r="AR203" s="4">
        <f>[1]节奏总纲!BD203</f>
        <v>48.891560746825888</v>
      </c>
      <c r="AS203" s="4">
        <f>[1]节奏总纲!BE203</f>
        <v>53.584890966265583</v>
      </c>
    </row>
    <row r="204" spans="17:45" x14ac:dyDescent="0.15">
      <c r="Q204" s="4">
        <v>201</v>
      </c>
      <c r="R204" s="4">
        <f>[1]节奏总纲!AD204</f>
        <v>76.573669005078543</v>
      </c>
      <c r="S204" s="4">
        <f>[1]节奏总纲!AE204</f>
        <v>78.638157039486103</v>
      </c>
      <c r="T204" s="4">
        <f>[1]节奏总纲!AF204</f>
        <v>81.607576440079953</v>
      </c>
      <c r="U204" s="4">
        <f>[1]节奏总纲!AG204</f>
        <v>86.121754469336281</v>
      </c>
      <c r="V204" s="4">
        <f>[1]节奏总纲!AH204</f>
        <v>95.581884154370087</v>
      </c>
      <c r="AN204" s="4">
        <v>201</v>
      </c>
      <c r="AO204" s="4">
        <f>[1]节奏总纲!BA204</f>
        <v>42.7225528162706</v>
      </c>
      <c r="AP204" s="4">
        <f>[1]节奏总纲!BB204</f>
        <v>44.229507700143699</v>
      </c>
      <c r="AQ204" s="4">
        <f>[1]节奏总纲!BC204</f>
        <v>46.176090215954694</v>
      </c>
      <c r="AR204" s="4">
        <f>[1]节奏总纲!BD204</f>
        <v>48.927453746645128</v>
      </c>
      <c r="AS204" s="4">
        <f>[1]节奏总纲!BE204</f>
        <v>53.619355239299068</v>
      </c>
    </row>
    <row r="205" spans="17:45" x14ac:dyDescent="0.15">
      <c r="Q205" s="4">
        <v>202</v>
      </c>
      <c r="R205" s="4">
        <f>[1]节奏总纲!AD205</f>
        <v>76.645482842593353</v>
      </c>
      <c r="S205" s="4">
        <f>[1]节奏总纲!AE205</f>
        <v>78.709402452356088</v>
      </c>
      <c r="T205" s="4">
        <f>[1]节奏总纲!AF205</f>
        <v>81.680549826994209</v>
      </c>
      <c r="U205" s="4">
        <f>[1]节奏总纲!AG205</f>
        <v>86.197589231873891</v>
      </c>
      <c r="V205" s="4">
        <f>[1]节奏总纲!AH205</f>
        <v>95.653234825174181</v>
      </c>
      <c r="AN205" s="4">
        <v>202</v>
      </c>
      <c r="AO205" s="4">
        <f>[1]节奏总纲!BA205</f>
        <v>42.757265571197664</v>
      </c>
      <c r="AP205" s="4">
        <f>[1]节奏总纲!BB205</f>
        <v>44.261827008023573</v>
      </c>
      <c r="AQ205" s="4">
        <f>[1]节奏总纲!BC205</f>
        <v>46.208196953985905</v>
      </c>
      <c r="AR205" s="4">
        <f>[1]节奏总纲!BD205</f>
        <v>48.96334674646436</v>
      </c>
      <c r="AS205" s="4">
        <f>[1]节奏总纲!BE205</f>
        <v>53.653819512332554</v>
      </c>
    </row>
    <row r="206" spans="17:45" x14ac:dyDescent="0.15">
      <c r="Q206" s="4">
        <v>203</v>
      </c>
      <c r="R206" s="4">
        <f>[1]节奏总纲!AD206</f>
        <v>76.717296680108163</v>
      </c>
      <c r="S206" s="4">
        <f>[1]节奏总纲!AE206</f>
        <v>78.780647865226058</v>
      </c>
      <c r="T206" s="4">
        <f>[1]节奏总纲!AF206</f>
        <v>81.753523213908451</v>
      </c>
      <c r="U206" s="4">
        <f>[1]节奏总纲!AG206</f>
        <v>86.273423994411502</v>
      </c>
      <c r="V206" s="4">
        <f>[1]节奏总纲!AH206</f>
        <v>95.724585495978289</v>
      </c>
      <c r="AN206" s="4">
        <v>203</v>
      </c>
      <c r="AO206" s="4">
        <f>[1]节奏总纲!BA206</f>
        <v>42.791978326124728</v>
      </c>
      <c r="AP206" s="4">
        <f>[1]节奏总纲!BB206</f>
        <v>44.294146315903454</v>
      </c>
      <c r="AQ206" s="4">
        <f>[1]节奏总纲!BC206</f>
        <v>46.240303692017122</v>
      </c>
      <c r="AR206" s="4">
        <f>[1]节奏总纲!BD206</f>
        <v>48.9992397462836</v>
      </c>
      <c r="AS206" s="4">
        <f>[1]节奏总纲!BE206</f>
        <v>53.688283785366046</v>
      </c>
    </row>
    <row r="207" spans="17:45" x14ac:dyDescent="0.15">
      <c r="Q207" s="4">
        <v>204</v>
      </c>
      <c r="R207" s="4">
        <f>[1]节奏总纲!AD207</f>
        <v>76.789110517622973</v>
      </c>
      <c r="S207" s="4">
        <f>[1]节奏总纲!AE207</f>
        <v>78.851893278096043</v>
      </c>
      <c r="T207" s="4">
        <f>[1]节奏总纲!AF207</f>
        <v>81.826496600822708</v>
      </c>
      <c r="U207" s="4">
        <f>[1]节奏总纲!AG207</f>
        <v>86.349258756949112</v>
      </c>
      <c r="V207" s="4">
        <f>[1]节奏总纲!AH207</f>
        <v>95.795936166782383</v>
      </c>
      <c r="AN207" s="4">
        <v>204</v>
      </c>
      <c r="AO207" s="4">
        <f>[1]节奏总纲!BA207</f>
        <v>42.826691081051791</v>
      </c>
      <c r="AP207" s="4">
        <f>[1]节奏总纲!BB207</f>
        <v>44.326465623783335</v>
      </c>
      <c r="AQ207" s="4">
        <f>[1]节奏总纲!BC207</f>
        <v>46.272410430048332</v>
      </c>
      <c r="AR207" s="4">
        <f>[1]节奏总纲!BD207</f>
        <v>49.030333272797542</v>
      </c>
      <c r="AS207" s="4">
        <f>[1]节奏总纲!BE207</f>
        <v>53.722748058399532</v>
      </c>
    </row>
    <row r="208" spans="17:45" x14ac:dyDescent="0.15">
      <c r="Q208" s="4">
        <v>205</v>
      </c>
      <c r="R208" s="4">
        <f>[1]节奏总纲!AD208</f>
        <v>76.860924355137783</v>
      </c>
      <c r="S208" s="4">
        <f>[1]节奏总纲!AE208</f>
        <v>78.923138690966013</v>
      </c>
      <c r="T208" s="4">
        <f>[1]节奏总纲!AF208</f>
        <v>81.899469987736964</v>
      </c>
      <c r="U208" s="4">
        <f>[1]节奏总纲!AG208</f>
        <v>86.425093519486722</v>
      </c>
      <c r="V208" s="4">
        <f>[1]节奏总纲!AH208</f>
        <v>95.867286837586477</v>
      </c>
      <c r="AN208" s="4">
        <v>205</v>
      </c>
      <c r="AO208" s="4">
        <f>[1]节奏总纲!BA208</f>
        <v>42.861403835978855</v>
      </c>
      <c r="AP208" s="4">
        <f>[1]节奏总纲!BB208</f>
        <v>44.358784931663209</v>
      </c>
      <c r="AQ208" s="4">
        <f>[1]节奏总纲!BC208</f>
        <v>46.304517168079542</v>
      </c>
      <c r="AR208" s="4">
        <f>[1]节奏总纲!BD208</f>
        <v>49.061322941292346</v>
      </c>
      <c r="AS208" s="4">
        <f>[1]节奏总纲!BE208</f>
        <v>53.757212331433024</v>
      </c>
    </row>
    <row r="209" spans="17:45" x14ac:dyDescent="0.15">
      <c r="Q209" s="4">
        <v>206</v>
      </c>
      <c r="R209" s="4">
        <f>[1]节奏总纲!AD209</f>
        <v>76.932738192652593</v>
      </c>
      <c r="S209" s="4">
        <f>[1]节奏总纲!AE209</f>
        <v>78.994384103835998</v>
      </c>
      <c r="T209" s="4">
        <f>[1]节奏总纲!AF209</f>
        <v>81.972443374651206</v>
      </c>
      <c r="U209" s="4">
        <f>[1]节奏总纲!AG209</f>
        <v>86.500928282024347</v>
      </c>
      <c r="V209" s="4">
        <f>[1]节奏总纲!AH209</f>
        <v>95.938637508390585</v>
      </c>
      <c r="AN209" s="4">
        <v>206</v>
      </c>
      <c r="AO209" s="4">
        <f>[1]节奏总纲!BA209</f>
        <v>42.896116590905919</v>
      </c>
      <c r="AP209" s="4">
        <f>[1]节奏总纲!BB209</f>
        <v>44.39110423954309</v>
      </c>
      <c r="AQ209" s="4">
        <f>[1]节奏总纲!BC209</f>
        <v>46.336623906110759</v>
      </c>
      <c r="AR209" s="4">
        <f>[1]节奏总纲!BD209</f>
        <v>49.09231260978715</v>
      </c>
      <c r="AS209" s="4">
        <f>[1]节奏总纲!BE209</f>
        <v>53.79167660446651</v>
      </c>
    </row>
    <row r="210" spans="17:45" x14ac:dyDescent="0.15">
      <c r="Q210" s="4">
        <v>207</v>
      </c>
      <c r="R210" s="4">
        <f>[1]节奏总纲!AD210</f>
        <v>77.004247194324648</v>
      </c>
      <c r="S210" s="4">
        <f>[1]节奏总纲!AE210</f>
        <v>79.061386416569832</v>
      </c>
      <c r="T210" s="4">
        <f>[1]节奏总纲!AF210</f>
        <v>82.041007317281839</v>
      </c>
      <c r="U210" s="4">
        <f>[1]节奏总纲!AG210</f>
        <v>86.576763044561957</v>
      </c>
      <c r="V210" s="4">
        <f>[1]节奏总纲!AH210</f>
        <v>96.008512635801992</v>
      </c>
      <c r="AN210" s="4">
        <v>207</v>
      </c>
      <c r="AO210" s="4">
        <f>[1]节奏总纲!BA210</f>
        <v>42.930829345832983</v>
      </c>
      <c r="AP210" s="4">
        <f>[1]节奏总纲!BB210</f>
        <v>44.423423547422971</v>
      </c>
      <c r="AQ210" s="4">
        <f>[1]节奏总纲!BC210</f>
        <v>46.368730644141969</v>
      </c>
      <c r="AR210" s="4">
        <f>[1]节奏总纲!BD210</f>
        <v>49.123302278281955</v>
      </c>
      <c r="AS210" s="4">
        <f>[1]节奏总纲!BE210</f>
        <v>53.826140877499995</v>
      </c>
    </row>
    <row r="211" spans="17:45" x14ac:dyDescent="0.15">
      <c r="Q211" s="4">
        <v>208</v>
      </c>
      <c r="R211" s="4">
        <f>[1]节奏总纲!AD211</f>
        <v>77.07125187397483</v>
      </c>
      <c r="S211" s="4">
        <f>[1]节奏总纲!AE211</f>
        <v>79.128025648620252</v>
      </c>
      <c r="T211" s="4">
        <f>[1]节奏总纲!AF211</f>
        <v>82.106895829081836</v>
      </c>
      <c r="U211" s="4">
        <f>[1]节奏总纲!AG211</f>
        <v>86.652597807099568</v>
      </c>
      <c r="V211" s="4">
        <f>[1]节奏总纲!AH211</f>
        <v>96.069322745727362</v>
      </c>
      <c r="AN211" s="4">
        <v>208</v>
      </c>
      <c r="AO211" s="4">
        <f>[1]节奏总纲!BA211</f>
        <v>42.965542100760054</v>
      </c>
      <c r="AP211" s="4">
        <f>[1]节奏总纲!BB211</f>
        <v>44.455742855302844</v>
      </c>
      <c r="AQ211" s="4">
        <f>[1]节奏总纲!BC211</f>
        <v>46.400837382173179</v>
      </c>
      <c r="AR211" s="4">
        <f>[1]节奏总纲!BD211</f>
        <v>49.154291946776759</v>
      </c>
      <c r="AS211" s="4">
        <f>[1]节奏总纲!BE211</f>
        <v>53.860605150533488</v>
      </c>
    </row>
    <row r="212" spans="17:45" x14ac:dyDescent="0.15">
      <c r="Q212" s="4">
        <v>209</v>
      </c>
      <c r="R212" s="4">
        <f>[1]节奏总纲!AD212</f>
        <v>77.138256553625013</v>
      </c>
      <c r="S212" s="4">
        <f>[1]节奏总纲!AE212</f>
        <v>79.194664880670672</v>
      </c>
      <c r="T212" s="4">
        <f>[1]节奏总纲!AF212</f>
        <v>82.172784340881819</v>
      </c>
      <c r="U212" s="4">
        <f>[1]节奏总纲!AG212</f>
        <v>86.728432569637178</v>
      </c>
      <c r="V212" s="4">
        <f>[1]节奏总纲!AH212</f>
        <v>96.130132855652732</v>
      </c>
      <c r="AN212" s="4">
        <v>209</v>
      </c>
      <c r="AO212" s="4">
        <f>[1]节奏总纲!BA212</f>
        <v>43.000219942361319</v>
      </c>
      <c r="AP212" s="4">
        <f>[1]节奏总纲!BB212</f>
        <v>44.488062163182725</v>
      </c>
      <c r="AQ212" s="4">
        <f>[1]节奏总纲!BC212</f>
        <v>46.432944120204397</v>
      </c>
      <c r="AR212" s="4">
        <f>[1]节奏总纲!BD212</f>
        <v>49.18528161527157</v>
      </c>
      <c r="AS212" s="4">
        <f>[1]节奏总纲!BE212</f>
        <v>53.895069423566973</v>
      </c>
    </row>
    <row r="213" spans="17:45" x14ac:dyDescent="0.15">
      <c r="Q213" s="4">
        <v>210</v>
      </c>
      <c r="R213" s="4">
        <f>[1]节奏总纲!AD213</f>
        <v>77.205261233275195</v>
      </c>
      <c r="S213" s="4">
        <f>[1]节奏总纲!AE213</f>
        <v>79.261304112721092</v>
      </c>
      <c r="T213" s="4">
        <f>[1]节奏总纲!AF213</f>
        <v>82.238672852681816</v>
      </c>
      <c r="U213" s="4">
        <f>[1]节奏总纲!AG213</f>
        <v>86.804267332174788</v>
      </c>
      <c r="V213" s="4">
        <f>[1]节奏总纲!AH213</f>
        <v>96.190942965578103</v>
      </c>
      <c r="AN213" s="4">
        <v>210</v>
      </c>
      <c r="AO213" s="4">
        <f>[1]节奏总纲!BA213</f>
        <v>43.030177309109042</v>
      </c>
      <c r="AP213" s="4">
        <f>[1]节奏总纲!BB213</f>
        <v>44.520381471062606</v>
      </c>
      <c r="AQ213" s="4">
        <f>[1]节奏总纲!BC213</f>
        <v>46.465050858235607</v>
      </c>
      <c r="AR213" s="4">
        <f>[1]节奏总纲!BD213</f>
        <v>49.216271283766375</v>
      </c>
      <c r="AS213" s="4">
        <f>[1]节奏总纲!BE213</f>
        <v>53.929533696600465</v>
      </c>
    </row>
    <row r="214" spans="17:45" x14ac:dyDescent="0.15">
      <c r="Q214" s="4">
        <v>211</v>
      </c>
      <c r="R214" s="4">
        <f>[1]节奏总纲!AD214</f>
        <v>77.272265912925377</v>
      </c>
      <c r="S214" s="4">
        <f>[1]节奏总纲!AE214</f>
        <v>79.327943344771512</v>
      </c>
      <c r="T214" s="4">
        <f>[1]节奏总纲!AF214</f>
        <v>82.304561364481813</v>
      </c>
      <c r="U214" s="4">
        <f>[1]节奏总纲!AG214</f>
        <v>86.880102094712413</v>
      </c>
      <c r="V214" s="4">
        <f>[1]节奏总纲!AH214</f>
        <v>96.251753075503458</v>
      </c>
      <c r="AN214" s="4">
        <v>211</v>
      </c>
      <c r="AO214" s="4">
        <f>[1]节奏总纲!BA214</f>
        <v>43.060134675856759</v>
      </c>
      <c r="AP214" s="4">
        <f>[1]节奏总纲!BB214</f>
        <v>44.55270077894248</v>
      </c>
      <c r="AQ214" s="4">
        <f>[1]节奏总纲!BC214</f>
        <v>46.497157596266817</v>
      </c>
      <c r="AR214" s="4">
        <f>[1]节奏总纲!BD214</f>
        <v>49.247260952261179</v>
      </c>
      <c r="AS214" s="4">
        <f>[1]节奏总纲!BE214</f>
        <v>53.963997969633951</v>
      </c>
    </row>
    <row r="215" spans="17:45" x14ac:dyDescent="0.15">
      <c r="Q215" s="4">
        <v>212</v>
      </c>
      <c r="R215" s="4">
        <f>[1]节奏总纲!AD215</f>
        <v>77.339270592575559</v>
      </c>
      <c r="S215" s="4">
        <f>[1]节奏总纲!AE215</f>
        <v>79.394582576821932</v>
      </c>
      <c r="T215" s="4">
        <f>[1]节奏总纲!AF215</f>
        <v>82.370449876281796</v>
      </c>
      <c r="U215" s="4">
        <f>[1]节奏总纲!AG215</f>
        <v>86.955936857250023</v>
      </c>
      <c r="V215" s="4">
        <f>[1]节奏总纲!AH215</f>
        <v>96.312563185428829</v>
      </c>
      <c r="AN215" s="4">
        <v>212</v>
      </c>
      <c r="AO215" s="4">
        <f>[1]节奏总纲!BA215</f>
        <v>43.090092042604475</v>
      </c>
      <c r="AP215" s="4">
        <f>[1]节奏总纲!BB215</f>
        <v>44.585020086822361</v>
      </c>
      <c r="AQ215" s="4">
        <f>[1]节奏总纲!BC215</f>
        <v>46.529264334298034</v>
      </c>
      <c r="AR215" s="4">
        <f>[1]节奏总纲!BD215</f>
        <v>49.278250620755983</v>
      </c>
      <c r="AS215" s="4">
        <f>[1]节奏总纲!BE215</f>
        <v>53.998462242667436</v>
      </c>
    </row>
    <row r="216" spans="17:45" x14ac:dyDescent="0.15">
      <c r="Q216" s="4">
        <v>213</v>
      </c>
      <c r="R216" s="4">
        <f>[1]节奏总纲!AD216</f>
        <v>77.406275272225741</v>
      </c>
      <c r="S216" s="4">
        <f>[1]节奏总纲!AE216</f>
        <v>79.461221808872352</v>
      </c>
      <c r="T216" s="4">
        <f>[1]节奏总纲!AF216</f>
        <v>82.436338388081793</v>
      </c>
      <c r="U216" s="4">
        <f>[1]节奏总纲!AG216</f>
        <v>87.031203567981635</v>
      </c>
      <c r="V216" s="4">
        <f>[1]节奏总纲!AH216</f>
        <v>96.373373295354199</v>
      </c>
      <c r="AN216" s="4">
        <v>213</v>
      </c>
      <c r="AO216" s="4">
        <f>[1]节奏总纲!BA216</f>
        <v>43.120049409352191</v>
      </c>
      <c r="AP216" s="4">
        <f>[1]节奏总纲!BB216</f>
        <v>44.617339394702242</v>
      </c>
      <c r="AQ216" s="4">
        <f>[1]节奏总纲!BC216</f>
        <v>46.561371072329244</v>
      </c>
      <c r="AR216" s="4">
        <f>[1]节奏总纲!BD216</f>
        <v>49.309240289250788</v>
      </c>
      <c r="AS216" s="4">
        <f>[1]节奏总纲!BE216</f>
        <v>54.028437871105552</v>
      </c>
    </row>
    <row r="217" spans="17:45" x14ac:dyDescent="0.15">
      <c r="Q217" s="4">
        <v>214</v>
      </c>
      <c r="R217" s="4">
        <f>[1]节奏总纲!AD217</f>
        <v>77.473279951875909</v>
      </c>
      <c r="S217" s="4">
        <f>[1]节奏总纲!AE217</f>
        <v>79.527861040922772</v>
      </c>
      <c r="T217" s="4">
        <f>[1]节奏总纲!AF217</f>
        <v>82.502226899881776</v>
      </c>
      <c r="U217" s="4">
        <f>[1]节奏总纲!AG217</f>
        <v>87.10568246405397</v>
      </c>
      <c r="V217" s="4">
        <f>[1]节奏总纲!AH217</f>
        <v>96.434183405279569</v>
      </c>
      <c r="AN217" s="4">
        <v>214</v>
      </c>
      <c r="AO217" s="4">
        <f>[1]节奏总纲!BA217</f>
        <v>43.150006776099914</v>
      </c>
      <c r="AP217" s="4">
        <f>[1]节奏总纲!BB217</f>
        <v>44.649658702582116</v>
      </c>
      <c r="AQ217" s="4">
        <f>[1]节奏总纲!BC217</f>
        <v>46.593477810360454</v>
      </c>
      <c r="AR217" s="4">
        <f>[1]节奏总纲!BD217</f>
        <v>49.340229957745592</v>
      </c>
      <c r="AS217" s="4">
        <f>[1]节奏总纲!BE217</f>
        <v>54.058203867701586</v>
      </c>
    </row>
    <row r="218" spans="17:45" x14ac:dyDescent="0.15">
      <c r="Q218" s="4">
        <v>215</v>
      </c>
      <c r="R218" s="4">
        <f>[1]节奏总纲!AD218</f>
        <v>77.540284631526092</v>
      </c>
      <c r="S218" s="4">
        <f>[1]节奏总纲!AE218</f>
        <v>79.594500272973193</v>
      </c>
      <c r="T218" s="4">
        <f>[1]节奏总纲!AF218</f>
        <v>82.568115411681774</v>
      </c>
      <c r="U218" s="4">
        <f>[1]节奏总纲!AG218</f>
        <v>87.180161360126306</v>
      </c>
      <c r="V218" s="4">
        <f>[1]节奏总纲!AH218</f>
        <v>96.494993515204939</v>
      </c>
      <c r="AN218" s="4">
        <v>215</v>
      </c>
      <c r="AO218" s="4">
        <f>[1]节奏总纲!BA218</f>
        <v>43.179964142847631</v>
      </c>
      <c r="AP218" s="4">
        <f>[1]节奏总纲!BB218</f>
        <v>44.681978010461997</v>
      </c>
      <c r="AQ218" s="4">
        <f>[1]节奏总纲!BC218</f>
        <v>46.625584548391664</v>
      </c>
      <c r="AR218" s="4">
        <f>[1]节奏总纲!BD218</f>
        <v>49.371219626240396</v>
      </c>
      <c r="AS218" s="4">
        <f>[1]节奏总纲!BE218</f>
        <v>54.087969864297619</v>
      </c>
    </row>
    <row r="219" spans="17:45" x14ac:dyDescent="0.15">
      <c r="Q219" s="4">
        <v>216</v>
      </c>
      <c r="R219" s="4">
        <f>[1]节奏总纲!AD219</f>
        <v>77.607289311176274</v>
      </c>
      <c r="S219" s="4">
        <f>[1]节奏总纲!AE219</f>
        <v>79.661139505023613</v>
      </c>
      <c r="T219" s="4">
        <f>[1]节奏总纲!AF219</f>
        <v>82.634003923481771</v>
      </c>
      <c r="U219" s="4">
        <f>[1]节奏总纲!AG219</f>
        <v>87.254640256198641</v>
      </c>
      <c r="V219" s="4">
        <f>[1]节奏总纲!AH219</f>
        <v>96.555803625130309</v>
      </c>
      <c r="AN219" s="4">
        <v>216</v>
      </c>
      <c r="AO219" s="4">
        <f>[1]节奏总纲!BA219</f>
        <v>43.209921509595347</v>
      </c>
      <c r="AP219" s="4">
        <f>[1]节奏总纲!BB219</f>
        <v>44.71429731834187</v>
      </c>
      <c r="AQ219" s="4">
        <f>[1]节奏总纲!BC219</f>
        <v>46.657691286422882</v>
      </c>
      <c r="AR219" s="4">
        <f>[1]节奏总纲!BD219</f>
        <v>49.402209294735208</v>
      </c>
      <c r="AS219" s="4">
        <f>[1]节奏总纲!BE219</f>
        <v>54.117735860893646</v>
      </c>
    </row>
    <row r="220" spans="17:45" x14ac:dyDescent="0.15">
      <c r="Q220" s="4">
        <v>217</v>
      </c>
      <c r="R220" s="4">
        <f>[1]节奏总纲!AD220</f>
        <v>77.674293990826456</v>
      </c>
      <c r="S220" s="4">
        <f>[1]节奏总纲!AE220</f>
        <v>79.727778737074033</v>
      </c>
      <c r="T220" s="4">
        <f>[1]节奏总纲!AF220</f>
        <v>82.699892435281754</v>
      </c>
      <c r="U220" s="4">
        <f>[1]节奏总纲!AG220</f>
        <v>87.329119152270991</v>
      </c>
      <c r="V220" s="4">
        <f>[1]节奏总纲!AH220</f>
        <v>96.61661373505568</v>
      </c>
      <c r="AN220" s="4">
        <v>217</v>
      </c>
      <c r="AO220" s="4">
        <f>[1]节奏总纲!BA220</f>
        <v>43.239878876343063</v>
      </c>
      <c r="AP220" s="4">
        <f>[1]节奏总纲!BB220</f>
        <v>44.746616626221751</v>
      </c>
      <c r="AQ220" s="4">
        <f>[1]节奏总纲!BC220</f>
        <v>46.689798024454092</v>
      </c>
      <c r="AR220" s="4">
        <f>[1]节奏总纲!BD220</f>
        <v>49.433198963230012</v>
      </c>
      <c r="AS220" s="4">
        <f>[1]节奏总纲!BE220</f>
        <v>54.147501857489679</v>
      </c>
    </row>
    <row r="221" spans="17:45" x14ac:dyDescent="0.15">
      <c r="Q221" s="4">
        <v>218</v>
      </c>
      <c r="R221" s="4">
        <f>[1]节奏总纲!AD221</f>
        <v>77.741298670476638</v>
      </c>
      <c r="S221" s="4">
        <f>[1]节奏总纲!AE221</f>
        <v>79.794417969124453</v>
      </c>
      <c r="T221" s="4">
        <f>[1]节奏总纲!AF221</f>
        <v>82.765780947081751</v>
      </c>
      <c r="U221" s="4">
        <f>[1]节奏总纲!AG221</f>
        <v>87.403598048343326</v>
      </c>
      <c r="V221" s="4">
        <f>[1]节奏总纲!AH221</f>
        <v>96.67742384498105</v>
      </c>
      <c r="AN221" s="4">
        <v>218</v>
      </c>
      <c r="AO221" s="4">
        <f>[1]节奏总纲!BA221</f>
        <v>43.269836243090786</v>
      </c>
      <c r="AP221" s="4">
        <f>[1]节奏总纲!BB221</f>
        <v>44.778935934101632</v>
      </c>
      <c r="AQ221" s="4">
        <f>[1]节奏总纲!BC221</f>
        <v>46.721904762485302</v>
      </c>
      <c r="AR221" s="4">
        <f>[1]节奏总纲!BD221</f>
        <v>49.464188631724817</v>
      </c>
      <c r="AS221" s="4">
        <f>[1]节奏总纲!BE221</f>
        <v>54.177267854085706</v>
      </c>
    </row>
    <row r="222" spans="17:45" x14ac:dyDescent="0.15">
      <c r="Q222" s="4">
        <v>219</v>
      </c>
      <c r="R222" s="4">
        <f>[1]节奏总纲!AD222</f>
        <v>77.80830335012682</v>
      </c>
      <c r="S222" s="4">
        <f>[1]节奏总纲!AE222</f>
        <v>79.861057201174873</v>
      </c>
      <c r="T222" s="4">
        <f>[1]节奏总纲!AF222</f>
        <v>82.831669458881734</v>
      </c>
      <c r="U222" s="4">
        <f>[1]节奏总纲!AG222</f>
        <v>87.478076944415662</v>
      </c>
      <c r="V222" s="4">
        <f>[1]节奏总纲!AH222</f>
        <v>96.73823395490642</v>
      </c>
      <c r="AN222" s="4">
        <v>219</v>
      </c>
      <c r="AO222" s="4">
        <f>[1]节奏总纲!BA222</f>
        <v>43.299793609838503</v>
      </c>
      <c r="AP222" s="4">
        <f>[1]节奏总纲!BB222</f>
        <v>44.811255241981506</v>
      </c>
      <c r="AQ222" s="4">
        <f>[1]节奏总纲!BC222</f>
        <v>46.754011500516519</v>
      </c>
      <c r="AR222" s="4">
        <f>[1]节奏总纲!BD222</f>
        <v>49.495178300219621</v>
      </c>
      <c r="AS222" s="4">
        <f>[1]节奏总纲!BE222</f>
        <v>54.207033850681739</v>
      </c>
    </row>
    <row r="223" spans="17:45" x14ac:dyDescent="0.15">
      <c r="Q223" s="4">
        <v>220</v>
      </c>
      <c r="R223" s="4">
        <f>[1]节奏总纲!AD223</f>
        <v>77.875308029777003</v>
      </c>
      <c r="S223" s="4">
        <f>[1]节奏总纲!AE223</f>
        <v>79.927696433225293</v>
      </c>
      <c r="T223" s="4">
        <f>[1]节奏总纲!AF223</f>
        <v>82.897557970681731</v>
      </c>
      <c r="U223" s="4">
        <f>[1]节奏总纲!AG223</f>
        <v>87.552555840488012</v>
      </c>
      <c r="V223" s="4">
        <f>[1]节奏总纲!AH223</f>
        <v>96.79904406483179</v>
      </c>
      <c r="AN223" s="4">
        <v>220</v>
      </c>
      <c r="AO223" s="4">
        <f>[1]节奏总纲!BA223</f>
        <v>43.329750976586219</v>
      </c>
      <c r="AP223" s="4">
        <f>[1]节奏总纲!BB223</f>
        <v>44.843574549861387</v>
      </c>
      <c r="AQ223" s="4">
        <f>[1]节奏总纲!BC223</f>
        <v>46.786118238547729</v>
      </c>
      <c r="AR223" s="4">
        <f>[1]节奏总纲!BD223</f>
        <v>49.526167968714425</v>
      </c>
      <c r="AS223" s="4">
        <f>[1]节奏总纲!BE223</f>
        <v>54.236799847277773</v>
      </c>
    </row>
    <row r="224" spans="17:45" x14ac:dyDescent="0.15">
      <c r="Q224" s="4">
        <v>221</v>
      </c>
      <c r="R224" s="4">
        <f>[1]节奏总纲!AD224</f>
        <v>77.942312709427185</v>
      </c>
      <c r="S224" s="4">
        <f>[1]节奏总纲!AE224</f>
        <v>79.994335665275713</v>
      </c>
      <c r="T224" s="4">
        <f>[1]节奏总纲!AF224</f>
        <v>82.963446482481729</v>
      </c>
      <c r="U224" s="4">
        <f>[1]节奏总纲!AG224</f>
        <v>87.627034736560347</v>
      </c>
      <c r="V224" s="4">
        <f>[1]节奏总纲!AH224</f>
        <v>96.85985417475716</v>
      </c>
      <c r="AN224" s="4">
        <v>221</v>
      </c>
      <c r="AO224" s="4">
        <f>[1]节奏总纲!BA224</f>
        <v>43.359708343333942</v>
      </c>
      <c r="AP224" s="4">
        <f>[1]节奏总纲!BB224</f>
        <v>44.875893857741268</v>
      </c>
      <c r="AQ224" s="4">
        <f>[1]节奏总纲!BC224</f>
        <v>46.818224976578939</v>
      </c>
      <c r="AR224" s="4">
        <f>[1]节奏总纲!BD224</f>
        <v>49.55715763720923</v>
      </c>
      <c r="AS224" s="4">
        <f>[1]节奏总纲!BE224</f>
        <v>54.266565843873799</v>
      </c>
    </row>
    <row r="225" spans="17:45" x14ac:dyDescent="0.15">
      <c r="Q225" s="4">
        <v>222</v>
      </c>
      <c r="R225" s="4">
        <f>[1]节奏总纲!AD225</f>
        <v>78.008693431404168</v>
      </c>
      <c r="S225" s="4">
        <f>[1]节奏总纲!AE225</f>
        <v>80.05990507131493</v>
      </c>
      <c r="T225" s="4">
        <f>[1]节奏总纲!AF225</f>
        <v>83.028328094754301</v>
      </c>
      <c r="U225" s="4">
        <f>[1]节奏总纲!AG225</f>
        <v>87.701513632632683</v>
      </c>
      <c r="V225" s="4">
        <f>[1]节奏总纲!AH225</f>
        <v>96.920664284682516</v>
      </c>
      <c r="AN225" s="4">
        <v>222</v>
      </c>
      <c r="AO225" s="4">
        <f>[1]节奏总纲!BA225</f>
        <v>43.389665710081658</v>
      </c>
      <c r="AP225" s="4">
        <f>[1]节奏总纲!BB225</f>
        <v>44.908213165621142</v>
      </c>
      <c r="AQ225" s="4">
        <f>[1]节奏总纲!BC225</f>
        <v>46.850331714610157</v>
      </c>
      <c r="AR225" s="4">
        <f>[1]节奏总纲!BD225</f>
        <v>49.588147305704041</v>
      </c>
      <c r="AS225" s="4">
        <f>[1]节奏总纲!BE225</f>
        <v>54.296331840469833</v>
      </c>
    </row>
    <row r="226" spans="17:45" x14ac:dyDescent="0.15">
      <c r="Q226" s="4">
        <v>223</v>
      </c>
      <c r="R226" s="4">
        <f>[1]节奏总纲!AD226</f>
        <v>78.071211008105138</v>
      </c>
      <c r="S226" s="4">
        <f>[1]节奏总纲!AE226</f>
        <v>80.125375094609936</v>
      </c>
      <c r="T226" s="4">
        <f>[1]节奏总纲!AF226</f>
        <v>83.091955037632331</v>
      </c>
      <c r="U226" s="4">
        <f>[1]节奏总纲!AG226</f>
        <v>87.775992528705018</v>
      </c>
      <c r="V226" s="4">
        <f>[1]节奏总纲!AH226</f>
        <v>96.981474394607886</v>
      </c>
      <c r="AN226" s="4">
        <v>223</v>
      </c>
      <c r="AO226" s="4">
        <f>[1]节奏总纲!BA226</f>
        <v>43.419623076829374</v>
      </c>
      <c r="AP226" s="4">
        <f>[1]节奏总纲!BB226</f>
        <v>44.940532473501023</v>
      </c>
      <c r="AQ226" s="4">
        <f>[1]节奏总纲!BC226</f>
        <v>46.882438452641367</v>
      </c>
      <c r="AR226" s="4">
        <f>[1]节奏总纲!BD226</f>
        <v>49.619136974198845</v>
      </c>
      <c r="AS226" s="4">
        <f>[1]节奏总纲!BE226</f>
        <v>54.326097837065859</v>
      </c>
    </row>
    <row r="227" spans="17:45" x14ac:dyDescent="0.15">
      <c r="Q227" s="4">
        <v>224</v>
      </c>
      <c r="R227" s="4">
        <f>[1]节奏总纲!AD227</f>
        <v>78.133728584806107</v>
      </c>
      <c r="S227" s="4">
        <f>[1]节奏总纲!AE227</f>
        <v>80.190845117904942</v>
      </c>
      <c r="T227" s="4">
        <f>[1]节奏总纲!AF227</f>
        <v>83.155581980510348</v>
      </c>
      <c r="U227" s="4">
        <f>[1]节奏总纲!AG227</f>
        <v>87.850471424777368</v>
      </c>
      <c r="V227" s="4">
        <f>[1]节奏总纲!AH227</f>
        <v>97.03979962522213</v>
      </c>
      <c r="AN227" s="4">
        <v>224</v>
      </c>
      <c r="AO227" s="4">
        <f>[1]节奏总纲!BA227</f>
        <v>43.449580443577091</v>
      </c>
      <c r="AP227" s="4">
        <f>[1]节奏总纲!BB227</f>
        <v>44.972851781380903</v>
      </c>
      <c r="AQ227" s="4">
        <f>[1]节奏总纲!BC227</f>
        <v>46.914545190672577</v>
      </c>
      <c r="AR227" s="4">
        <f>[1]节奏总纲!BD227</f>
        <v>49.65012664269365</v>
      </c>
      <c r="AS227" s="4">
        <f>[1]节奏总纲!BE227</f>
        <v>54.355863833661893</v>
      </c>
    </row>
    <row r="228" spans="17:45" x14ac:dyDescent="0.15">
      <c r="Q228" s="4">
        <v>225</v>
      </c>
      <c r="R228" s="4">
        <f>[1]节奏总纲!AD228</f>
        <v>78.196246161507091</v>
      </c>
      <c r="S228" s="4">
        <f>[1]节奏总纲!AE228</f>
        <v>80.256315141199948</v>
      </c>
      <c r="T228" s="4">
        <f>[1]节奏总纲!AF228</f>
        <v>83.219208923388379</v>
      </c>
      <c r="U228" s="4">
        <f>[1]节奏总纲!AG228</f>
        <v>87.924950320849703</v>
      </c>
      <c r="V228" s="4">
        <f>[1]节奏总纲!AH228</f>
        <v>97.097036185315744</v>
      </c>
      <c r="AN228" s="4">
        <v>225</v>
      </c>
      <c r="AO228" s="4">
        <f>[1]节奏总纲!BA228</f>
        <v>43.479537810324814</v>
      </c>
      <c r="AP228" s="4">
        <f>[1]节奏总纲!BB228</f>
        <v>45.004463376644416</v>
      </c>
      <c r="AQ228" s="4">
        <f>[1]节奏总纲!BC228</f>
        <v>46.946651928703794</v>
      </c>
      <c r="AR228" s="4">
        <f>[1]节奏总纲!BD228</f>
        <v>49.681116311188454</v>
      </c>
      <c r="AS228" s="4">
        <f>[1]节奏总纲!BE228</f>
        <v>54.385629830257926</v>
      </c>
    </row>
    <row r="229" spans="17:45" x14ac:dyDescent="0.15">
      <c r="Q229" s="4">
        <v>226</v>
      </c>
      <c r="R229" s="4">
        <f>[1]节奏总纲!AD229</f>
        <v>78.25876373820806</v>
      </c>
      <c r="S229" s="4">
        <f>[1]节奏总纲!AE229</f>
        <v>80.321785164494941</v>
      </c>
      <c r="T229" s="4">
        <f>[1]节奏总纲!AF229</f>
        <v>83.282835866266396</v>
      </c>
      <c r="U229" s="4">
        <f>[1]节奏总纲!AG229</f>
        <v>87.999429216922039</v>
      </c>
      <c r="V229" s="4">
        <f>[1]节奏总纲!AH229</f>
        <v>97.154272745409358</v>
      </c>
      <c r="AN229" s="4">
        <v>226</v>
      </c>
      <c r="AO229" s="4">
        <f>[1]节奏总纲!BA229</f>
        <v>43.50949517707253</v>
      </c>
      <c r="AP229" s="4">
        <f>[1]节奏总纲!BB229</f>
        <v>45.032359480672049</v>
      </c>
      <c r="AQ229" s="4">
        <f>[1]节奏总纲!BC229</f>
        <v>46.978758666735004</v>
      </c>
      <c r="AR229" s="4">
        <f>[1]节奏总纲!BD229</f>
        <v>49.712105979683258</v>
      </c>
      <c r="AS229" s="4">
        <f>[1]节奏总纲!BE229</f>
        <v>54.415395826853953</v>
      </c>
    </row>
    <row r="230" spans="17:45" x14ac:dyDescent="0.15">
      <c r="Q230" s="4">
        <v>227</v>
      </c>
      <c r="R230" s="4">
        <f>[1]节奏总纲!AD230</f>
        <v>78.321281314909029</v>
      </c>
      <c r="S230" s="4">
        <f>[1]节奏总纲!AE230</f>
        <v>80.387255187789947</v>
      </c>
      <c r="T230" s="4">
        <f>[1]节奏总纲!AF230</f>
        <v>83.346462809144427</v>
      </c>
      <c r="U230" s="4">
        <f>[1]节奏总纲!AG230</f>
        <v>88.069378113045531</v>
      </c>
      <c r="V230" s="4">
        <f>[1]节奏总纲!AH230</f>
        <v>97.211509305502972</v>
      </c>
      <c r="AN230" s="4">
        <v>227</v>
      </c>
      <c r="AO230" s="4">
        <f>[1]节奏总纲!BA230</f>
        <v>43.539452543820246</v>
      </c>
      <c r="AP230" s="4">
        <f>[1]节奏总纲!BB230</f>
        <v>45.060255584699682</v>
      </c>
      <c r="AQ230" s="4">
        <f>[1]节奏总纲!BC230</f>
        <v>47.009379755645142</v>
      </c>
      <c r="AR230" s="4">
        <f>[1]节奏总纲!BD230</f>
        <v>49.743095648178063</v>
      </c>
      <c r="AS230" s="4">
        <f>[1]节奏总纲!BE230</f>
        <v>54.445161823449986</v>
      </c>
    </row>
    <row r="231" spans="17:45" x14ac:dyDescent="0.15">
      <c r="Q231" s="4">
        <v>228</v>
      </c>
      <c r="R231" s="4">
        <f>[1]节奏总纲!AD231</f>
        <v>78.383798891610013</v>
      </c>
      <c r="S231" s="4">
        <f>[1]节奏总纲!AE231</f>
        <v>80.452725211084953</v>
      </c>
      <c r="T231" s="4">
        <f>[1]节奏总纲!AF231</f>
        <v>83.410089752022458</v>
      </c>
      <c r="U231" s="4">
        <f>[1]节奏总纲!AG231</f>
        <v>88.139292024548126</v>
      </c>
      <c r="V231" s="4">
        <f>[1]节奏总纲!AH231</f>
        <v>97.268745865596571</v>
      </c>
      <c r="AN231" s="4">
        <v>228</v>
      </c>
      <c r="AO231" s="4">
        <f>[1]节奏总纲!BA231</f>
        <v>43.569409910567963</v>
      </c>
      <c r="AP231" s="4">
        <f>[1]节奏总纲!BB231</f>
        <v>45.088151688727308</v>
      </c>
      <c r="AQ231" s="4">
        <f>[1]节奏总纲!BC231</f>
        <v>47.037096473409001</v>
      </c>
      <c r="AR231" s="4">
        <f>[1]节奏总纲!BD231</f>
        <v>49.774085316672867</v>
      </c>
      <c r="AS231" s="4">
        <f>[1]节奏总纲!BE231</f>
        <v>54.47492782004602</v>
      </c>
    </row>
    <row r="232" spans="17:45" x14ac:dyDescent="0.15">
      <c r="Q232" s="4">
        <v>229</v>
      </c>
      <c r="R232" s="4">
        <f>[1]节奏总纲!AD232</f>
        <v>78.446316468310982</v>
      </c>
      <c r="S232" s="4">
        <f>[1]节奏总纲!AE232</f>
        <v>80.518195234379959</v>
      </c>
      <c r="T232" s="4">
        <f>[1]节奏总纲!AF232</f>
        <v>83.473716694900475</v>
      </c>
      <c r="U232" s="4">
        <f>[1]节奏总纲!AG232</f>
        <v>88.209205936050708</v>
      </c>
      <c r="V232" s="4">
        <f>[1]节奏总纲!AH232</f>
        <v>97.325982425690185</v>
      </c>
      <c r="AN232" s="4">
        <v>229</v>
      </c>
      <c r="AO232" s="4">
        <f>[1]节奏总纲!BA232</f>
        <v>43.599367277315686</v>
      </c>
      <c r="AP232" s="4">
        <f>[1]节奏总纲!BB232</f>
        <v>45.116047792754941</v>
      </c>
      <c r="AQ232" s="4">
        <f>[1]节奏总纲!BC232</f>
        <v>47.06481319117286</v>
      </c>
      <c r="AR232" s="4">
        <f>[1]节奏总纲!BD232</f>
        <v>49.805074985167678</v>
      </c>
      <c r="AS232" s="4">
        <f>[1]节奏总纲!BE232</f>
        <v>54.504693816642046</v>
      </c>
    </row>
    <row r="233" spans="17:45" x14ac:dyDescent="0.15">
      <c r="Q233" s="4">
        <v>230</v>
      </c>
      <c r="R233" s="4">
        <f>[1]节奏总纲!AD233</f>
        <v>78.508834045011952</v>
      </c>
      <c r="S233" s="4">
        <f>[1]节奏总纲!AE233</f>
        <v>80.583665257674966</v>
      </c>
      <c r="T233" s="4">
        <f>[1]节奏总纲!AF233</f>
        <v>83.537343637778505</v>
      </c>
      <c r="U233" s="4">
        <f>[1]节奏总纲!AG233</f>
        <v>88.279119847553304</v>
      </c>
      <c r="V233" s="4">
        <f>[1]节奏总纲!AH233</f>
        <v>97.383218985783799</v>
      </c>
      <c r="AN233" s="4">
        <v>230</v>
      </c>
      <c r="AO233" s="4">
        <f>[1]节奏总纲!BA233</f>
        <v>43.629324644063402</v>
      </c>
      <c r="AP233" s="4">
        <f>[1]节奏总纲!BB233</f>
        <v>45.143943896782567</v>
      </c>
      <c r="AQ233" s="4">
        <f>[1]节奏总纲!BC233</f>
        <v>47.092529908936719</v>
      </c>
      <c r="AR233" s="4">
        <f>[1]节奏总纲!BD233</f>
        <v>49.836064653662483</v>
      </c>
      <c r="AS233" s="4">
        <f>[1]节奏总纲!BE233</f>
        <v>54.53445981323808</v>
      </c>
    </row>
    <row r="234" spans="17:45" x14ac:dyDescent="0.15">
      <c r="Q234" s="4">
        <v>231</v>
      </c>
      <c r="R234" s="4">
        <f>[1]节奏总纲!AD234</f>
        <v>78.571351621712921</v>
      </c>
      <c r="S234" s="4">
        <f>[1]节奏总纲!AE234</f>
        <v>80.649135280969972</v>
      </c>
      <c r="T234" s="4">
        <f>[1]节奏总纲!AF234</f>
        <v>83.600970580656536</v>
      </c>
      <c r="U234" s="4">
        <f>[1]节奏总纲!AG234</f>
        <v>88.349033759055899</v>
      </c>
      <c r="V234" s="4">
        <f>[1]节奏总纲!AH234</f>
        <v>97.440455545877413</v>
      </c>
      <c r="AN234" s="4">
        <v>231</v>
      </c>
      <c r="AO234" s="4">
        <f>[1]节奏总纲!BA234</f>
        <v>43.659282010811118</v>
      </c>
      <c r="AP234" s="4">
        <f>[1]节奏总纲!BB234</f>
        <v>45.171840000810199</v>
      </c>
      <c r="AQ234" s="4">
        <f>[1]节奏总纲!BC234</f>
        <v>47.120246626700578</v>
      </c>
      <c r="AR234" s="4">
        <f>[1]节奏总纲!BD234</f>
        <v>49.867054322157287</v>
      </c>
      <c r="AS234" s="4">
        <f>[1]节奏总纲!BE234</f>
        <v>54.564225809834106</v>
      </c>
    </row>
    <row r="235" spans="17:45" x14ac:dyDescent="0.15">
      <c r="Q235" s="4">
        <v>232</v>
      </c>
      <c r="R235" s="4">
        <f>[1]节奏总纲!AD235</f>
        <v>78.633869198413905</v>
      </c>
      <c r="S235" s="4">
        <f>[1]节奏总纲!AE235</f>
        <v>80.714605304264978</v>
      </c>
      <c r="T235" s="4">
        <f>[1]节奏总纲!AF235</f>
        <v>83.664597523534553</v>
      </c>
      <c r="U235" s="4">
        <f>[1]节奏总纲!AG235</f>
        <v>88.418947670558495</v>
      </c>
      <c r="V235" s="4">
        <f>[1]节奏总纲!AH235</f>
        <v>97.497692105971026</v>
      </c>
      <c r="AN235" s="4">
        <v>232</v>
      </c>
      <c r="AO235" s="4">
        <f>[1]节奏总纲!BA235</f>
        <v>43.689239377558835</v>
      </c>
      <c r="AP235" s="4">
        <f>[1]节奏总纲!BB235</f>
        <v>45.199736104837825</v>
      </c>
      <c r="AQ235" s="4">
        <f>[1]节奏总纲!BC235</f>
        <v>47.147963344464429</v>
      </c>
      <c r="AR235" s="4">
        <f>[1]节奏总纲!BD235</f>
        <v>49.898043990652091</v>
      </c>
      <c r="AS235" s="4">
        <f>[1]节奏总纲!BE235</f>
        <v>54.593991806430139</v>
      </c>
    </row>
    <row r="236" spans="17:45" x14ac:dyDescent="0.15">
      <c r="Q236" s="4">
        <v>233</v>
      </c>
      <c r="R236" s="4">
        <f>[1]节奏总纲!AD236</f>
        <v>78.696386775114874</v>
      </c>
      <c r="S236" s="4">
        <f>[1]节奏总纲!AE236</f>
        <v>80.78007532755997</v>
      </c>
      <c r="T236" s="4">
        <f>[1]节奏总纲!AF236</f>
        <v>83.728224466412584</v>
      </c>
      <c r="U236" s="4">
        <f>[1]节奏总纲!AG236</f>
        <v>88.488861582061077</v>
      </c>
      <c r="V236" s="4">
        <f>[1]节奏总纲!AH236</f>
        <v>97.554928666064626</v>
      </c>
      <c r="AN236" s="4">
        <v>233</v>
      </c>
      <c r="AO236" s="4">
        <f>[1]节奏总纲!BA236</f>
        <v>43.719196744306558</v>
      </c>
      <c r="AP236" s="4">
        <f>[1]节奏总纲!BB236</f>
        <v>45.227632208865458</v>
      </c>
      <c r="AQ236" s="4">
        <f>[1]节奏总纲!BC236</f>
        <v>47.175680062228288</v>
      </c>
      <c r="AR236" s="4">
        <f>[1]节奏总纲!BD236</f>
        <v>49.929033659146896</v>
      </c>
      <c r="AS236" s="4">
        <f>[1]节奏总纲!BE236</f>
        <v>54.623757803026173</v>
      </c>
    </row>
    <row r="237" spans="17:45" x14ac:dyDescent="0.15">
      <c r="Q237" s="4">
        <v>234</v>
      </c>
      <c r="R237" s="4">
        <f>[1]节奏总纲!AD237</f>
        <v>78.758904351815843</v>
      </c>
      <c r="S237" s="4">
        <f>[1]节奏总纲!AE237</f>
        <v>80.845545350854977</v>
      </c>
      <c r="T237" s="4">
        <f>[1]节奏总纲!AF237</f>
        <v>83.791851409290615</v>
      </c>
      <c r="U237" s="4">
        <f>[1]节奏总纲!AG237</f>
        <v>88.558775493563672</v>
      </c>
      <c r="V237" s="4">
        <f>[1]节奏总纲!AH237</f>
        <v>97.61216522615824</v>
      </c>
      <c r="AN237" s="4">
        <v>234</v>
      </c>
      <c r="AO237" s="4">
        <f>[1]节奏总纲!BA237</f>
        <v>43.749154111054274</v>
      </c>
      <c r="AP237" s="4">
        <f>[1]节奏总纲!BB237</f>
        <v>45.255528312893091</v>
      </c>
      <c r="AQ237" s="4">
        <f>[1]节奏总纲!BC237</f>
        <v>47.203396779992147</v>
      </c>
      <c r="AR237" s="4">
        <f>[1]节奏总纲!BD237</f>
        <v>49.9600233276417</v>
      </c>
      <c r="AS237" s="4">
        <f>[1]节奏总纲!BE237</f>
        <v>54.653523799622199</v>
      </c>
    </row>
    <row r="238" spans="17:45" x14ac:dyDescent="0.15">
      <c r="Q238" s="4">
        <v>235</v>
      </c>
      <c r="R238" s="4">
        <f>[1]节奏总纲!AD238</f>
        <v>78.821421928516827</v>
      </c>
      <c r="S238" s="4">
        <f>[1]节奏总纲!AE238</f>
        <v>80.911015374149983</v>
      </c>
      <c r="T238" s="4">
        <f>[1]节奏总纲!AF238</f>
        <v>83.855478352168632</v>
      </c>
      <c r="U238" s="4">
        <f>[1]节奏总纲!AG238</f>
        <v>88.628689405066268</v>
      </c>
      <c r="V238" s="4">
        <f>[1]节奏总纲!AH238</f>
        <v>97.669401786251854</v>
      </c>
      <c r="AN238" s="4">
        <v>235</v>
      </c>
      <c r="AO238" s="4">
        <f>[1]节奏总纲!BA238</f>
        <v>43.77911147780199</v>
      </c>
      <c r="AP238" s="4">
        <f>[1]节奏总纲!BB238</f>
        <v>45.283424416920717</v>
      </c>
      <c r="AQ238" s="4">
        <f>[1]节奏总纲!BC238</f>
        <v>47.231113497756006</v>
      </c>
      <c r="AR238" s="4">
        <f>[1]节奏总纲!BD238</f>
        <v>49.991012996136504</v>
      </c>
      <c r="AS238" s="4">
        <f>[1]节奏总纲!BE238</f>
        <v>54.683289796218233</v>
      </c>
    </row>
    <row r="239" spans="17:45" x14ac:dyDescent="0.15">
      <c r="Q239" s="4">
        <v>236</v>
      </c>
      <c r="R239" s="4">
        <f>[1]节奏总纲!AD239</f>
        <v>78.883939505217796</v>
      </c>
      <c r="S239" s="4">
        <f>[1]节奏总纲!AE239</f>
        <v>80.976485397444989</v>
      </c>
      <c r="T239" s="4">
        <f>[1]节奏总纲!AF239</f>
        <v>83.919105295046663</v>
      </c>
      <c r="U239" s="4">
        <f>[1]节奏总纲!AG239</f>
        <v>88.698603316568864</v>
      </c>
      <c r="V239" s="4">
        <f>[1]节奏总纲!AH239</f>
        <v>97.726638346345467</v>
      </c>
      <c r="AN239" s="4">
        <v>236</v>
      </c>
      <c r="AO239" s="4">
        <f>[1]节奏总纲!BA239</f>
        <v>43.809068844549707</v>
      </c>
      <c r="AP239" s="4">
        <f>[1]节奏总纲!BB239</f>
        <v>45.31132052094835</v>
      </c>
      <c r="AQ239" s="4">
        <f>[1]节奏总纲!BC239</f>
        <v>47.258830215519865</v>
      </c>
      <c r="AR239" s="4">
        <f>[1]节奏总纲!BD239</f>
        <v>50.018998195299922</v>
      </c>
      <c r="AS239" s="4">
        <f>[1]节奏总纲!BE239</f>
        <v>54.713055792814259</v>
      </c>
    </row>
    <row r="240" spans="17:45" x14ac:dyDescent="0.15">
      <c r="Q240" s="4">
        <v>237</v>
      </c>
      <c r="R240" s="4">
        <f>[1]节奏总纲!AD240</f>
        <v>78.946457081918766</v>
      </c>
      <c r="S240" s="4">
        <f>[1]节奏总纲!AE240</f>
        <v>81.038163244467697</v>
      </c>
      <c r="T240" s="4">
        <f>[1]节奏总纲!AF240</f>
        <v>83.982732237924694</v>
      </c>
      <c r="U240" s="4">
        <f>[1]节奏总纲!AG240</f>
        <v>88.768517228071445</v>
      </c>
      <c r="V240" s="4">
        <f>[1]节奏总纲!AH240</f>
        <v>97.783874906439081</v>
      </c>
      <c r="AN240" s="4">
        <v>237</v>
      </c>
      <c r="AO240" s="4">
        <f>[1]节奏总纲!BA240</f>
        <v>43.83902621129743</v>
      </c>
      <c r="AP240" s="4">
        <f>[1]节奏总纲!BB240</f>
        <v>45.339216624975975</v>
      </c>
      <c r="AQ240" s="4">
        <f>[1]节奏总纲!BC240</f>
        <v>47.286546933283724</v>
      </c>
      <c r="AR240" s="4">
        <f>[1]节奏总纲!BD240</f>
        <v>50.045756216849099</v>
      </c>
      <c r="AS240" s="4">
        <f>[1]节奏总纲!BE240</f>
        <v>54.742821789410293</v>
      </c>
    </row>
    <row r="241" spans="17:45" x14ac:dyDescent="0.15">
      <c r="Q241" s="4">
        <v>238</v>
      </c>
      <c r="R241" s="4">
        <f>[1]节奏总纲!AD241</f>
        <v>79.008373652580005</v>
      </c>
      <c r="S241" s="4">
        <f>[1]节奏总纲!AE241</f>
        <v>81.097715704203424</v>
      </c>
      <c r="T241" s="4">
        <f>[1]节奏总纲!AF241</f>
        <v>84.043767921022209</v>
      </c>
      <c r="U241" s="4">
        <f>[1]节奏总纲!AG241</f>
        <v>88.838431139574041</v>
      </c>
      <c r="V241" s="4">
        <f>[1]节奏总纲!AH241</f>
        <v>97.841111466532681</v>
      </c>
      <c r="AN241" s="4">
        <v>238</v>
      </c>
      <c r="AO241" s="4">
        <f>[1]节奏总纲!BA241</f>
        <v>43.868983578045146</v>
      </c>
      <c r="AP241" s="4">
        <f>[1]节奏总纲!BB241</f>
        <v>45.367112729003608</v>
      </c>
      <c r="AQ241" s="4">
        <f>[1]节奏总纲!BC241</f>
        <v>47.314263651047582</v>
      </c>
      <c r="AR241" s="4">
        <f>[1]节奏总纲!BD241</f>
        <v>50.072514238398277</v>
      </c>
      <c r="AS241" s="4">
        <f>[1]节奏总纲!BE241</f>
        <v>54.772587786006326</v>
      </c>
    </row>
    <row r="242" spans="17:45" x14ac:dyDescent="0.15">
      <c r="Q242" s="4">
        <v>239</v>
      </c>
      <c r="R242" s="4">
        <f>[1]节奏总纲!AD242</f>
        <v>79.066704614192943</v>
      </c>
      <c r="S242" s="4">
        <f>[1]节奏总纲!AE242</f>
        <v>81.157268163939136</v>
      </c>
      <c r="T242" s="4">
        <f>[1]节奏总纲!AF242</f>
        <v>84.103838417578672</v>
      </c>
      <c r="U242" s="4">
        <f>[1]节奏总纲!AG242</f>
        <v>88.908345051076637</v>
      </c>
      <c r="V242" s="4">
        <f>[1]节奏总纲!AH242</f>
        <v>97.898348026626294</v>
      </c>
      <c r="AN242" s="4">
        <v>239</v>
      </c>
      <c r="AO242" s="4">
        <f>[1]节奏总纲!BA242</f>
        <v>43.898940944792862</v>
      </c>
      <c r="AP242" s="4">
        <f>[1]节奏总纲!BB242</f>
        <v>45.395008833031234</v>
      </c>
      <c r="AQ242" s="4">
        <f>[1]节奏总纲!BC242</f>
        <v>47.341980368811441</v>
      </c>
      <c r="AR242" s="4">
        <f>[1]节奏总纲!BD242</f>
        <v>50.099272259947462</v>
      </c>
      <c r="AS242" s="4">
        <f>[1]节奏总纲!BE242</f>
        <v>54.802353782602353</v>
      </c>
    </row>
    <row r="243" spans="17:45" x14ac:dyDescent="0.15">
      <c r="Q243" s="4">
        <v>240</v>
      </c>
      <c r="R243" s="4">
        <f>[1]节奏总纲!AD243</f>
        <v>79.125035575805882</v>
      </c>
      <c r="S243" s="4">
        <f>[1]节奏总纲!AE243</f>
        <v>81.216820623674849</v>
      </c>
      <c r="T243" s="4">
        <f>[1]节奏总纲!AF243</f>
        <v>84.163908914135135</v>
      </c>
      <c r="U243" s="4">
        <f>[1]节奏总纲!AG243</f>
        <v>88.978258962579233</v>
      </c>
      <c r="V243" s="4">
        <f>[1]节奏总纲!AH243</f>
        <v>97.955584586719908</v>
      </c>
      <c r="AN243" s="4">
        <v>240</v>
      </c>
      <c r="AO243" s="4">
        <f>[1]节奏总纲!BA243</f>
        <v>43.928898311540586</v>
      </c>
      <c r="AP243" s="4">
        <f>[1]节奏总纲!BB243</f>
        <v>45.422904937058867</v>
      </c>
      <c r="AQ243" s="4">
        <f>[1]节奏总纲!BC243</f>
        <v>47.3696970865753</v>
      </c>
      <c r="AR243" s="4">
        <f>[1]节奏总纲!BD243</f>
        <v>50.126030281496639</v>
      </c>
      <c r="AS243" s="4">
        <f>[1]节奏总纲!BE243</f>
        <v>54.832119779198386</v>
      </c>
    </row>
    <row r="244" spans="17:45" x14ac:dyDescent="0.15">
      <c r="Q244" s="4">
        <v>241</v>
      </c>
      <c r="R244" s="4">
        <f>[1]节奏总纲!AD244</f>
        <v>79.18336653741882</v>
      </c>
      <c r="S244" s="4">
        <f>[1]节奏总纲!AE244</f>
        <v>81.276373083410562</v>
      </c>
      <c r="T244" s="4">
        <f>[1]节奏总纲!AF244</f>
        <v>84.223979410691598</v>
      </c>
      <c r="U244" s="4">
        <f>[1]节奏总纲!AG244</f>
        <v>89.047272179270863</v>
      </c>
      <c r="V244" s="4">
        <f>[1]节奏总纲!AH244</f>
        <v>98.013314854852808</v>
      </c>
      <c r="AN244" s="4">
        <v>241</v>
      </c>
      <c r="AO244" s="4">
        <f>[1]节奏总纲!BA244</f>
        <v>43.958855678288302</v>
      </c>
      <c r="AP244" s="4">
        <f>[1]节奏总纲!BB244</f>
        <v>45.450801041086493</v>
      </c>
      <c r="AQ244" s="4">
        <f>[1]节奏总纲!BC244</f>
        <v>47.397413804339159</v>
      </c>
      <c r="AR244" s="4">
        <f>[1]节奏总纲!BD244</f>
        <v>50.152788303045817</v>
      </c>
      <c r="AS244" s="4">
        <f>[1]节奏总纲!BE244</f>
        <v>54.86188577579442</v>
      </c>
    </row>
    <row r="245" spans="17:45" x14ac:dyDescent="0.15">
      <c r="Q245" s="4">
        <v>242</v>
      </c>
      <c r="R245" s="4">
        <f>[1]节奏总纲!AD245</f>
        <v>79.241697499031773</v>
      </c>
      <c r="S245" s="4">
        <f>[1]节奏总纲!AE245</f>
        <v>81.335925543146274</v>
      </c>
      <c r="T245" s="4">
        <f>[1]节奏总纲!AF245</f>
        <v>84.284049907248061</v>
      </c>
      <c r="U245" s="4">
        <f>[1]节奏总纲!AG245</f>
        <v>89.11587890081428</v>
      </c>
      <c r="V245" s="4">
        <f>[1]节奏总纲!AH245</f>
        <v>98.072755441643167</v>
      </c>
      <c r="AN245" s="4">
        <v>242</v>
      </c>
      <c r="AO245" s="4">
        <f>[1]节奏总纲!BA245</f>
        <v>43.988813045036018</v>
      </c>
      <c r="AP245" s="4">
        <f>[1]节奏总纲!BB245</f>
        <v>45.478697145114126</v>
      </c>
      <c r="AQ245" s="4">
        <f>[1]节奏总纲!BC245</f>
        <v>47.425130522103018</v>
      </c>
      <c r="AR245" s="4">
        <f>[1]节奏总纲!BD245</f>
        <v>50.179546324595002</v>
      </c>
      <c r="AS245" s="4">
        <f>[1]节奏总纲!BE245</f>
        <v>54.891651772390446</v>
      </c>
    </row>
    <row r="246" spans="17:45" x14ac:dyDescent="0.15">
      <c r="Q246" s="4">
        <v>243</v>
      </c>
      <c r="R246" s="4">
        <f>[1]节奏总纲!AD246</f>
        <v>79.300028460644711</v>
      </c>
      <c r="S246" s="4">
        <f>[1]节奏总纲!AE246</f>
        <v>81.395478002882001</v>
      </c>
      <c r="T246" s="4">
        <f>[1]节奏总纲!AF246</f>
        <v>84.344120403804524</v>
      </c>
      <c r="U246" s="4">
        <f>[1]节奏总纲!AG246</f>
        <v>89.184485622357698</v>
      </c>
      <c r="V246" s="4">
        <f>[1]节奏总纲!AH246</f>
        <v>98.132196028433526</v>
      </c>
      <c r="AN246" s="4">
        <v>243</v>
      </c>
      <c r="AO246" s="4">
        <f>[1]节奏总纲!BA246</f>
        <v>44.016200268136501</v>
      </c>
      <c r="AP246" s="4">
        <f>[1]节奏总纲!BB246</f>
        <v>45.506593249141758</v>
      </c>
      <c r="AQ246" s="4">
        <f>[1]节奏总纲!BC246</f>
        <v>47.452847239866877</v>
      </c>
      <c r="AR246" s="4">
        <f>[1]节奏总纲!BD246</f>
        <v>50.206304346144179</v>
      </c>
      <c r="AS246" s="4">
        <f>[1]节奏总纲!BE246</f>
        <v>54.92141776898648</v>
      </c>
    </row>
    <row r="247" spans="17:45" x14ac:dyDescent="0.15">
      <c r="Q247" s="4">
        <v>244</v>
      </c>
      <c r="R247" s="4">
        <f>[1]节奏总纲!AD247</f>
        <v>79.358359422257649</v>
      </c>
      <c r="S247" s="4">
        <f>[1]节奏总纲!AE247</f>
        <v>81.455030462617714</v>
      </c>
      <c r="T247" s="4">
        <f>[1]节奏总纲!AF247</f>
        <v>84.404190900360987</v>
      </c>
      <c r="U247" s="4">
        <f>[1]节奏总纲!AG247</f>
        <v>89.253092343901116</v>
      </c>
      <c r="V247" s="4">
        <f>[1]节奏总纲!AH247</f>
        <v>98.191636615223871</v>
      </c>
      <c r="AN247" s="4">
        <v>244</v>
      </c>
      <c r="AO247" s="4">
        <f>[1]节奏总纲!BA247</f>
        <v>44.042055714440401</v>
      </c>
      <c r="AP247" s="4">
        <f>[1]节奏总纲!BB247</f>
        <v>45.534489353169384</v>
      </c>
      <c r="AQ247" s="4">
        <f>[1]节奏总纲!BC247</f>
        <v>47.480563957630736</v>
      </c>
      <c r="AR247" s="4">
        <f>[1]节奏总纲!BD247</f>
        <v>50.233062367693357</v>
      </c>
      <c r="AS247" s="4">
        <f>[1]节奏总纲!BE247</f>
        <v>54.951183765582506</v>
      </c>
    </row>
    <row r="248" spans="17:45" x14ac:dyDescent="0.15">
      <c r="Q248" s="4">
        <v>245</v>
      </c>
      <c r="R248" s="4">
        <f>[1]节奏总纲!AD248</f>
        <v>79.416690383870588</v>
      </c>
      <c r="S248" s="4">
        <f>[1]节奏总纲!AE248</f>
        <v>81.514582922353426</v>
      </c>
      <c r="T248" s="4">
        <f>[1]节奏总纲!AF248</f>
        <v>84.46426139691745</v>
      </c>
      <c r="U248" s="4">
        <f>[1]节奏总纲!AG248</f>
        <v>89.321699065444534</v>
      </c>
      <c r="V248" s="4">
        <f>[1]节奏总纲!AH248</f>
        <v>98.25107720201423</v>
      </c>
      <c r="AN248" s="4">
        <v>245</v>
      </c>
      <c r="AO248" s="4">
        <f>[1]节奏总纲!BA248</f>
        <v>44.067911160744309</v>
      </c>
      <c r="AP248" s="4">
        <f>[1]节奏总纲!BB248</f>
        <v>45.562385457197017</v>
      </c>
      <c r="AQ248" s="4">
        <f>[1]节奏总纲!BC248</f>
        <v>47.508280675394595</v>
      </c>
      <c r="AR248" s="4">
        <f>[1]节奏总纲!BD248</f>
        <v>50.259820389242542</v>
      </c>
      <c r="AS248" s="4">
        <f>[1]节奏总纲!BE248</f>
        <v>54.98094976217854</v>
      </c>
    </row>
    <row r="249" spans="17:45" x14ac:dyDescent="0.15">
      <c r="Q249" s="4">
        <v>246</v>
      </c>
      <c r="R249" s="4">
        <f>[1]节奏总纲!AD249</f>
        <v>79.475021345483526</v>
      </c>
      <c r="S249" s="4">
        <f>[1]节奏总纲!AE249</f>
        <v>81.574135382089139</v>
      </c>
      <c r="T249" s="4">
        <f>[1]节奏总纲!AF249</f>
        <v>84.524331893473914</v>
      </c>
      <c r="U249" s="4">
        <f>[1]节奏总纲!AG249</f>
        <v>89.390305786987952</v>
      </c>
      <c r="V249" s="4">
        <f>[1]节奏总纲!AH249</f>
        <v>98.310517788804589</v>
      </c>
      <c r="AN249" s="4">
        <v>246</v>
      </c>
      <c r="AO249" s="4">
        <f>[1]节奏总纲!BA249</f>
        <v>44.093766607048209</v>
      </c>
      <c r="AP249" s="4">
        <f>[1]节奏总纲!BB249</f>
        <v>45.590281561224643</v>
      </c>
      <c r="AQ249" s="4">
        <f>[1]节奏总纲!BC249</f>
        <v>47.535997393158453</v>
      </c>
      <c r="AR249" s="4">
        <f>[1]节奏总纲!BD249</f>
        <v>50.286578410791719</v>
      </c>
      <c r="AS249" s="4">
        <f>[1]节奏总纲!BE249</f>
        <v>55.009255535630842</v>
      </c>
    </row>
    <row r="250" spans="17:45" x14ac:dyDescent="0.15">
      <c r="Q250" s="4">
        <v>247</v>
      </c>
      <c r="R250" s="4">
        <f>[1]节奏总纲!AD250</f>
        <v>79.533352307096465</v>
      </c>
      <c r="S250" s="4">
        <f>[1]节奏总纲!AE250</f>
        <v>81.633687841824852</v>
      </c>
      <c r="T250" s="4">
        <f>[1]节奏总纲!AF250</f>
        <v>84.584402390030377</v>
      </c>
      <c r="U250" s="4">
        <f>[1]节奏总纲!AG250</f>
        <v>89.45891250853137</v>
      </c>
      <c r="V250" s="4">
        <f>[1]节奏总纲!AH250</f>
        <v>98.369958375594933</v>
      </c>
      <c r="AN250" s="4">
        <v>247</v>
      </c>
      <c r="AO250" s="4">
        <f>[1]节奏总纲!BA250</f>
        <v>44.11962205335211</v>
      </c>
      <c r="AP250" s="4">
        <f>[1]节奏总纲!BB250</f>
        <v>45.618177665252276</v>
      </c>
      <c r="AQ250" s="4">
        <f>[1]节奏总纲!BC250</f>
        <v>47.563714110922312</v>
      </c>
      <c r="AR250" s="4">
        <f>[1]节奏总纲!BD250</f>
        <v>50.313336432340897</v>
      </c>
      <c r="AS250" s="4">
        <f>[1]节奏总纲!BE250</f>
        <v>55.034965356827627</v>
      </c>
    </row>
    <row r="251" spans="17:45" x14ac:dyDescent="0.15">
      <c r="Q251" s="4">
        <v>248</v>
      </c>
      <c r="R251" s="4">
        <f>[1]节奏总纲!AD251</f>
        <v>79.591683268709417</v>
      </c>
      <c r="S251" s="4">
        <f>[1]节奏总纲!AE251</f>
        <v>81.693240301560579</v>
      </c>
      <c r="T251" s="4">
        <f>[1]节奏总纲!AF251</f>
        <v>84.64447288658684</v>
      </c>
      <c r="U251" s="4">
        <f>[1]节奏总纲!AG251</f>
        <v>89.527519230074788</v>
      </c>
      <c r="V251" s="4">
        <f>[1]节奏总纲!AH251</f>
        <v>98.429398962385292</v>
      </c>
      <c r="AN251" s="4">
        <v>248</v>
      </c>
      <c r="AO251" s="4">
        <f>[1]节奏总纲!BA251</f>
        <v>44.145477499656018</v>
      </c>
      <c r="AP251" s="4">
        <f>[1]节奏总纲!BB251</f>
        <v>45.646073769279901</v>
      </c>
      <c r="AQ251" s="4">
        <f>[1]节奏总纲!BC251</f>
        <v>47.591430828686171</v>
      </c>
      <c r="AR251" s="4">
        <f>[1]节奏总纲!BD251</f>
        <v>50.340094453890082</v>
      </c>
      <c r="AS251" s="4">
        <f>[1]节奏总纲!BE251</f>
        <v>55.060675178024418</v>
      </c>
    </row>
    <row r="252" spans="17:45" x14ac:dyDescent="0.15">
      <c r="Q252" s="4">
        <v>249</v>
      </c>
      <c r="R252" s="4">
        <f>[1]节奏总纲!AD252</f>
        <v>79.650014230322356</v>
      </c>
      <c r="S252" s="4">
        <f>[1]节奏总纲!AE252</f>
        <v>81.752792761296291</v>
      </c>
      <c r="T252" s="4">
        <f>[1]节奏总纲!AF252</f>
        <v>84.704543383143317</v>
      </c>
      <c r="U252" s="4">
        <f>[1]节奏总纲!AG252</f>
        <v>89.596125951618205</v>
      </c>
      <c r="V252" s="4">
        <f>[1]节奏总纲!AH252</f>
        <v>98.488839549175651</v>
      </c>
      <c r="AN252" s="4">
        <v>249</v>
      </c>
      <c r="AO252" s="4">
        <f>[1]节奏总纲!BA252</f>
        <v>44.171332945959918</v>
      </c>
      <c r="AP252" s="4">
        <f>[1]节奏总纲!BB252</f>
        <v>45.673969873307534</v>
      </c>
      <c r="AQ252" s="4">
        <f>[1]节奏总纲!BC252</f>
        <v>47.61914754645003</v>
      </c>
      <c r="AR252" s="4">
        <f>[1]节奏总纲!BD252</f>
        <v>50.366852475439259</v>
      </c>
      <c r="AS252" s="4">
        <f>[1]节奏总纲!BE252</f>
        <v>55.086384999221202</v>
      </c>
    </row>
    <row r="253" spans="17:45" x14ac:dyDescent="0.15">
      <c r="Q253" s="4">
        <v>250</v>
      </c>
      <c r="R253" s="4">
        <f>[1]节奏总纲!AD253</f>
        <v>79.708345191935294</v>
      </c>
      <c r="S253" s="4">
        <f>[1]节奏总纲!AE253</f>
        <v>81.812345221032004</v>
      </c>
      <c r="T253" s="4">
        <f>[1]节奏总纲!AF253</f>
        <v>84.76461387969978</v>
      </c>
      <c r="U253" s="4">
        <f>[1]节奏总纲!AG253</f>
        <v>89.664732673161623</v>
      </c>
      <c r="V253" s="4">
        <f>[1]节奏总纲!AH253</f>
        <v>98.548280135965996</v>
      </c>
      <c r="AN253" s="4">
        <v>250</v>
      </c>
      <c r="AO253" s="4">
        <f>[1]节奏总纲!BA253</f>
        <v>44.197188392263818</v>
      </c>
      <c r="AP253" s="4">
        <f>[1]节奏总纲!BB253</f>
        <v>45.701865977335167</v>
      </c>
      <c r="AQ253" s="4">
        <f>[1]节奏总纲!BC253</f>
        <v>47.646864264213889</v>
      </c>
      <c r="AR253" s="4">
        <f>[1]节奏总纲!BD253</f>
        <v>50.393610496988437</v>
      </c>
      <c r="AS253" s="4">
        <f>[1]节奏总纲!BE253</f>
        <v>55.112094820417994</v>
      </c>
    </row>
    <row r="254" spans="17:45" x14ac:dyDescent="0.15">
      <c r="Q254" s="4">
        <v>251</v>
      </c>
      <c r="R254" s="4">
        <f>[1]节奏总纲!AD254</f>
        <v>79.766676153548232</v>
      </c>
      <c r="S254" s="4">
        <f>[1]节奏总纲!AE254</f>
        <v>81.871897680767717</v>
      </c>
      <c r="T254" s="4">
        <f>[1]节奏总纲!AF254</f>
        <v>84.824684376256243</v>
      </c>
      <c r="U254" s="4">
        <f>[1]节奏总纲!AG254</f>
        <v>89.733339394705041</v>
      </c>
      <c r="V254" s="4">
        <f>[1]节奏总纲!AH254</f>
        <v>98.607720722756355</v>
      </c>
      <c r="AN254" s="4">
        <v>251</v>
      </c>
      <c r="AO254" s="4">
        <f>[1]节奏总纲!BA254</f>
        <v>44.223043838567726</v>
      </c>
      <c r="AP254" s="4">
        <f>[1]节奏总纲!BB254</f>
        <v>45.729762081362793</v>
      </c>
      <c r="AQ254" s="4">
        <f>[1]节奏总纲!BC254</f>
        <v>47.674580981977748</v>
      </c>
      <c r="AR254" s="4">
        <f>[1]节奏总纲!BD254</f>
        <v>50.420368518537622</v>
      </c>
      <c r="AS254" s="4">
        <f>[1]节奏总纲!BE254</f>
        <v>55.137804641614778</v>
      </c>
    </row>
    <row r="255" spans="17:45" x14ac:dyDescent="0.15">
      <c r="Q255" s="4">
        <v>252</v>
      </c>
      <c r="R255" s="4">
        <f>[1]节奏总纲!AD255</f>
        <v>79.825007115161171</v>
      </c>
      <c r="S255" s="4">
        <f>[1]节奏总纲!AE255</f>
        <v>81.931450140503429</v>
      </c>
      <c r="T255" s="4">
        <f>[1]节奏总纲!AF255</f>
        <v>84.884754872812707</v>
      </c>
      <c r="U255" s="4">
        <f>[1]节奏总纲!AG255</f>
        <v>89.801946116248459</v>
      </c>
      <c r="V255" s="4">
        <f>[1]节奏总纲!AH255</f>
        <v>98.667161309546714</v>
      </c>
      <c r="AN255" s="4">
        <v>252</v>
      </c>
      <c r="AO255" s="4">
        <f>[1]节奏总纲!BA255</f>
        <v>44.248899284871626</v>
      </c>
      <c r="AP255" s="4">
        <f>[1]节奏总纲!BB255</f>
        <v>45.757658185390426</v>
      </c>
      <c r="AQ255" s="4">
        <f>[1]节奏总纲!BC255</f>
        <v>47.7022976997416</v>
      </c>
      <c r="AR255" s="4">
        <f>[1]节奏总纲!BD255</f>
        <v>50.447126540086799</v>
      </c>
      <c r="AS255" s="4">
        <f>[1]节奏总纲!BE255</f>
        <v>55.163514462811563</v>
      </c>
    </row>
    <row r="256" spans="17:45" x14ac:dyDescent="0.15">
      <c r="Q256" s="4">
        <v>253</v>
      </c>
      <c r="R256" s="4">
        <f>[1]节奏总纲!AD256</f>
        <v>79.883338076774123</v>
      </c>
      <c r="S256" s="4">
        <f>[1]节奏总纲!AE256</f>
        <v>81.991002600239142</v>
      </c>
      <c r="T256" s="4">
        <f>[1]节奏总纲!AF256</f>
        <v>84.94482536936917</v>
      </c>
      <c r="U256" s="4">
        <f>[1]节奏总纲!AG256</f>
        <v>89.870552837791877</v>
      </c>
      <c r="V256" s="4">
        <f>[1]节奏总纲!AH256</f>
        <v>98.726601896337058</v>
      </c>
      <c r="AN256" s="4">
        <v>253</v>
      </c>
      <c r="AO256" s="4">
        <f>[1]节奏总纲!BA256</f>
        <v>44.274754731175527</v>
      </c>
      <c r="AP256" s="4">
        <f>[1]节奏总纲!BB256</f>
        <v>45.785554289418052</v>
      </c>
      <c r="AQ256" s="4">
        <f>[1]节奏总纲!BC256</f>
        <v>47.730014417505458</v>
      </c>
      <c r="AR256" s="4">
        <f>[1]节奏总纲!BD256</f>
        <v>50.473884561635977</v>
      </c>
      <c r="AS256" s="4">
        <f>[1]节奏总纲!BE256</f>
        <v>55.189224284008354</v>
      </c>
    </row>
    <row r="257" spans="17:45" x14ac:dyDescent="0.15">
      <c r="Q257" s="4">
        <v>254</v>
      </c>
      <c r="R257" s="4">
        <f>[1]节奏总纲!AD257</f>
        <v>79.941669038387062</v>
      </c>
      <c r="S257" s="4">
        <f>[1]节奏总纲!AE257</f>
        <v>82.046165327855846</v>
      </c>
      <c r="T257" s="4">
        <f>[1]节奏总纲!AF257</f>
        <v>85.004450307848032</v>
      </c>
      <c r="U257" s="4">
        <f>[1]节奏总纲!AG257</f>
        <v>89.939159559335295</v>
      </c>
      <c r="V257" s="4">
        <f>[1]节奏总纲!AH257</f>
        <v>98.786042483127417</v>
      </c>
      <c r="AN257" s="4">
        <v>254</v>
      </c>
      <c r="AO257" s="4">
        <f>[1]节奏总纲!BA257</f>
        <v>44.300610177479435</v>
      </c>
      <c r="AP257" s="4">
        <f>[1]节奏总纲!BB257</f>
        <v>45.813450393445684</v>
      </c>
      <c r="AQ257" s="4">
        <f>[1]节奏总纲!BC257</f>
        <v>47.757731135269317</v>
      </c>
      <c r="AR257" s="4">
        <f>[1]节奏总纲!BD257</f>
        <v>50.500642583185162</v>
      </c>
      <c r="AS257" s="4">
        <f>[1]节奏总纲!BE257</f>
        <v>55.214934105205138</v>
      </c>
    </row>
    <row r="258" spans="17:45" x14ac:dyDescent="0.15">
      <c r="Q258" s="4">
        <v>255</v>
      </c>
      <c r="R258" s="4">
        <f>[1]节奏总纲!AD258</f>
        <v>80</v>
      </c>
      <c r="S258" s="4">
        <f>[1]节奏总纲!AE258</f>
        <v>82.100546804797787</v>
      </c>
      <c r="T258" s="4">
        <f>[1]节奏总纲!AF258</f>
        <v>85.059053968634842</v>
      </c>
      <c r="U258" s="4">
        <f>[1]节奏总纲!AG258</f>
        <v>90.006385600230558</v>
      </c>
      <c r="V258" s="4">
        <f>[1]节奏总纲!AH258</f>
        <v>98.845483069917776</v>
      </c>
      <c r="AN258" s="4">
        <v>255</v>
      </c>
      <c r="AO258" s="4">
        <f>[1]节奏总纲!BA258</f>
        <v>44.326465623783335</v>
      </c>
      <c r="AP258" s="4">
        <f>[1]节奏总纲!BB258</f>
        <v>45.84134649747331</v>
      </c>
      <c r="AQ258" s="4">
        <f>[1]节奏总纲!BC258</f>
        <v>47.785447853033176</v>
      </c>
      <c r="AR258" s="4">
        <f>[1]节奏总纲!BD258</f>
        <v>50.527400604734339</v>
      </c>
      <c r="AS258" s="4">
        <f>[1]节奏总纲!BE258</f>
        <v>55.24064392640193</v>
      </c>
    </row>
    <row r="259" spans="17:45" x14ac:dyDescent="0.15">
      <c r="Q259" s="4">
        <v>256</v>
      </c>
      <c r="R259" s="4">
        <f>[1]节奏总纲!AD259</f>
        <v>80.054424711612938</v>
      </c>
      <c r="S259" s="4">
        <f>[1]节奏总纲!AE259</f>
        <v>82.154928281739714</v>
      </c>
      <c r="T259" s="4">
        <f>[1]节奏总纲!AF259</f>
        <v>85.113657629421638</v>
      </c>
      <c r="U259" s="4">
        <f>[1]节奏总纲!AG259</f>
        <v>90.062795496260307</v>
      </c>
      <c r="V259" s="4">
        <f>[1]节奏总纲!AH259</f>
        <v>98.904923656708121</v>
      </c>
      <c r="AN259" s="4">
        <v>256</v>
      </c>
      <c r="AO259" s="4">
        <f>[1]节奏总纲!BA259</f>
        <v>44.352321070087235</v>
      </c>
      <c r="AP259" s="4">
        <f>[1]节奏总纲!BB259</f>
        <v>45.869242601500943</v>
      </c>
      <c r="AQ259" s="4">
        <f>[1]节奏总纲!BC259</f>
        <v>47.813164570797035</v>
      </c>
      <c r="AR259" s="4">
        <f>[1]节奏总纲!BD259</f>
        <v>50.554158626283517</v>
      </c>
      <c r="AS259" s="4">
        <f>[1]节奏总纲!BE259</f>
        <v>55.266353747598714</v>
      </c>
    </row>
    <row r="260" spans="17:45" x14ac:dyDescent="0.15">
      <c r="Q260" s="4">
        <v>257</v>
      </c>
      <c r="R260" s="4">
        <f>[1]节奏总纲!AD260</f>
        <v>80.108849423225877</v>
      </c>
      <c r="S260" s="4">
        <f>[1]节奏总纲!AE260</f>
        <v>82.209309758681655</v>
      </c>
      <c r="T260" s="4">
        <f>[1]节奏总纲!AF260</f>
        <v>85.168261290208434</v>
      </c>
      <c r="U260" s="4">
        <f>[1]节奏总纲!AG260</f>
        <v>90.119205392290041</v>
      </c>
      <c r="V260" s="4">
        <f>[1]节奏总纲!AH260</f>
        <v>98.96436424349848</v>
      </c>
      <c r="AN260" s="4">
        <v>257</v>
      </c>
      <c r="AO260" s="4">
        <f>[1]节奏总纲!BA260</f>
        <v>44.378176516391136</v>
      </c>
      <c r="AP260" s="4">
        <f>[1]节奏总纲!BB260</f>
        <v>45.897138705528576</v>
      </c>
      <c r="AQ260" s="4">
        <f>[1]节奏总纲!BC260</f>
        <v>47.840881288560894</v>
      </c>
      <c r="AR260" s="4">
        <f>[1]节奏总纲!BD260</f>
        <v>50.580916647832701</v>
      </c>
      <c r="AS260" s="4">
        <f>[1]节奏总纲!BE260</f>
        <v>55.292063568795498</v>
      </c>
    </row>
    <row r="261" spans="17:45" x14ac:dyDescent="0.15">
      <c r="Q261" s="4">
        <v>258</v>
      </c>
      <c r="R261" s="4">
        <f>[1]节奏总纲!AD261</f>
        <v>80.163274134838829</v>
      </c>
      <c r="S261" s="4">
        <f>[1]节奏总纲!AE261</f>
        <v>82.263691235623583</v>
      </c>
      <c r="T261" s="4">
        <f>[1]节奏总纲!AF261</f>
        <v>85.222864950995231</v>
      </c>
      <c r="U261" s="4">
        <f>[1]节奏总纲!AG261</f>
        <v>90.175615288319776</v>
      </c>
      <c r="V261" s="4">
        <f>[1]节奏总纲!AH261</f>
        <v>99.023313221876677</v>
      </c>
      <c r="AN261" s="4">
        <v>258</v>
      </c>
      <c r="AO261" s="4">
        <f>[1]节奏总纲!BA261</f>
        <v>44.404031962695043</v>
      </c>
      <c r="AP261" s="4">
        <f>[1]节奏总纲!BB261</f>
        <v>45.925034809556202</v>
      </c>
      <c r="AQ261" s="4">
        <f>[1]节奏总纲!BC261</f>
        <v>47.868598006324753</v>
      </c>
      <c r="AR261" s="4">
        <f>[1]节奏总纲!BD261</f>
        <v>50.607674669381879</v>
      </c>
      <c r="AS261" s="4">
        <f>[1]节奏总纲!BE261</f>
        <v>55.31777338999229</v>
      </c>
    </row>
    <row r="262" spans="17:45" x14ac:dyDescent="0.15">
      <c r="Q262" s="4">
        <v>259</v>
      </c>
      <c r="R262" s="4">
        <f>[1]节奏总纲!AD262</f>
        <v>80.217698846451768</v>
      </c>
      <c r="S262" s="4">
        <f>[1]节奏总纲!AE262</f>
        <v>82.318072712565524</v>
      </c>
      <c r="T262" s="4">
        <f>[1]节奏总纲!AF262</f>
        <v>85.277468611782027</v>
      </c>
      <c r="U262" s="4">
        <f>[1]节奏总纲!AG262</f>
        <v>90.23202518434951</v>
      </c>
      <c r="V262" s="4">
        <f>[1]节奏总纲!AH262</f>
        <v>99.081526263999208</v>
      </c>
      <c r="AN262" s="4">
        <v>259</v>
      </c>
      <c r="AO262" s="4">
        <f>[1]节奏总纲!BA262</f>
        <v>44.429887408998944</v>
      </c>
      <c r="AP262" s="4">
        <f>[1]节奏总纲!BB262</f>
        <v>45.952930913583835</v>
      </c>
      <c r="AQ262" s="4">
        <f>[1]节奏总纲!BC262</f>
        <v>47.896314724088612</v>
      </c>
      <c r="AR262" s="4">
        <f>[1]节奏总纲!BD262</f>
        <v>50.634432690931064</v>
      </c>
      <c r="AS262" s="4">
        <f>[1]节奏总纲!BE262</f>
        <v>55.343483211189074</v>
      </c>
    </row>
    <row r="263" spans="17:45" x14ac:dyDescent="0.15">
      <c r="Q263" s="4">
        <v>260</v>
      </c>
      <c r="R263" s="4">
        <f>[1]节奏总纲!AD263</f>
        <v>80.272123558064706</v>
      </c>
      <c r="S263" s="4">
        <f>[1]节奏总纲!AE263</f>
        <v>82.372454189507465</v>
      </c>
      <c r="T263" s="4">
        <f>[1]节奏总纲!AF263</f>
        <v>85.332072272568837</v>
      </c>
      <c r="U263" s="4">
        <f>[1]节奏总纲!AG263</f>
        <v>90.288435080379244</v>
      </c>
      <c r="V263" s="4">
        <f>[1]节奏总纲!AH263</f>
        <v>99.139739306121726</v>
      </c>
      <c r="AN263" s="4">
        <v>260</v>
      </c>
      <c r="AO263" s="4">
        <f>[1]节奏总纲!BA263</f>
        <v>44.455742855302844</v>
      </c>
      <c r="AP263" s="4">
        <f>[1]节奏总纲!BB263</f>
        <v>45.98082701761146</v>
      </c>
      <c r="AQ263" s="4">
        <f>[1]节奏总纲!BC263</f>
        <v>47.92403144185247</v>
      </c>
      <c r="AR263" s="4">
        <f>[1]节奏总纲!BD263</f>
        <v>50.661190712480241</v>
      </c>
      <c r="AS263" s="4">
        <f>[1]节奏总纲!BE263</f>
        <v>55.369193032385866</v>
      </c>
    </row>
    <row r="264" spans="17:45" x14ac:dyDescent="0.15">
      <c r="Q264" s="4">
        <v>261</v>
      </c>
      <c r="R264" s="4">
        <f>[1]节奏总纲!AD264</f>
        <v>80.326548269677644</v>
      </c>
      <c r="S264" s="4">
        <f>[1]节奏总纲!AE264</f>
        <v>82.426835666449392</v>
      </c>
      <c r="T264" s="4">
        <f>[1]节奏总纲!AF264</f>
        <v>85.386675933355633</v>
      </c>
      <c r="U264" s="4">
        <f>[1]节奏总纲!AG264</f>
        <v>90.344844976408993</v>
      </c>
      <c r="V264" s="4">
        <f>[1]节奏总纲!AH264</f>
        <v>99.197952348244257</v>
      </c>
      <c r="AN264" s="4">
        <v>261</v>
      </c>
      <c r="AO264" s="4">
        <f>[1]节奏总纲!BA264</f>
        <v>44.481598301606752</v>
      </c>
      <c r="AP264" s="4">
        <f>[1]节奏总纲!BB264</f>
        <v>46.007529841290832</v>
      </c>
      <c r="AQ264" s="4">
        <f>[1]节奏总纲!BC264</f>
        <v>47.951748159616329</v>
      </c>
      <c r="AR264" s="4">
        <f>[1]节奏总纲!BD264</f>
        <v>50.687948734029419</v>
      </c>
      <c r="AS264" s="4">
        <f>[1]节奏总纲!BE264</f>
        <v>55.39490285358265</v>
      </c>
    </row>
    <row r="265" spans="17:45" x14ac:dyDescent="0.15">
      <c r="Q265" s="4">
        <v>262</v>
      </c>
      <c r="R265" s="4">
        <f>[1]节奏总纲!AD265</f>
        <v>80.380972981290597</v>
      </c>
      <c r="S265" s="4">
        <f>[1]节奏总纲!AE265</f>
        <v>82.481217143391333</v>
      </c>
      <c r="T265" s="4">
        <f>[1]节奏总纲!AF265</f>
        <v>85.441279594142429</v>
      </c>
      <c r="U265" s="4">
        <f>[1]节奏总纲!AG265</f>
        <v>90.401254872438727</v>
      </c>
      <c r="V265" s="4">
        <f>[1]节奏总纲!AH265</f>
        <v>99.256165390366789</v>
      </c>
      <c r="AN265" s="4">
        <v>262</v>
      </c>
      <c r="AO265" s="4">
        <f>[1]节奏总纲!BA265</f>
        <v>44.507453747910652</v>
      </c>
      <c r="AP265" s="4">
        <f>[1]节奏总纲!BB265</f>
        <v>46.031609894814238</v>
      </c>
      <c r="AQ265" s="4">
        <f>[1]节奏总纲!BC265</f>
        <v>47.979464877380188</v>
      </c>
      <c r="AR265" s="4">
        <f>[1]节奏总纲!BD265</f>
        <v>50.714706755578604</v>
      </c>
      <c r="AS265" s="4">
        <f>[1]节奏总纲!BE265</f>
        <v>55.420612674779434</v>
      </c>
    </row>
    <row r="266" spans="17:45" x14ac:dyDescent="0.15">
      <c r="Q266" s="4">
        <v>263</v>
      </c>
      <c r="R266" s="4">
        <f>[1]节奏总纲!AD266</f>
        <v>80.435397692903535</v>
      </c>
      <c r="S266" s="4">
        <f>[1]节奏总纲!AE266</f>
        <v>82.535598620333275</v>
      </c>
      <c r="T266" s="4">
        <f>[1]节奏总纲!AF266</f>
        <v>85.495883254929225</v>
      </c>
      <c r="U266" s="4">
        <f>[1]节奏总纲!AG266</f>
        <v>90.457664768468462</v>
      </c>
      <c r="V266" s="4">
        <f>[1]节奏总纲!AH266</f>
        <v>99.314378432489306</v>
      </c>
      <c r="AN266" s="4">
        <v>263</v>
      </c>
      <c r="AO266" s="4">
        <f>[1]节奏总纲!BA266</f>
        <v>44.533309194214553</v>
      </c>
      <c r="AP266" s="4">
        <f>[1]节奏总纲!BB266</f>
        <v>46.055689948337651</v>
      </c>
      <c r="AQ266" s="4">
        <f>[1]节奏总纲!BC266</f>
        <v>48.006200084618079</v>
      </c>
      <c r="AR266" s="4">
        <f>[1]节奏总纲!BD266</f>
        <v>50.741464777127781</v>
      </c>
      <c r="AS266" s="4">
        <f>[1]节奏总纲!BE266</f>
        <v>55.446322495976226</v>
      </c>
    </row>
    <row r="267" spans="17:45" x14ac:dyDescent="0.15">
      <c r="Q267" s="4">
        <v>264</v>
      </c>
      <c r="R267" s="4">
        <f>[1]节奏总纲!AD267</f>
        <v>80.489822404516474</v>
      </c>
      <c r="S267" s="4">
        <f>[1]节奏总纲!AE267</f>
        <v>82.589980097275202</v>
      </c>
      <c r="T267" s="4">
        <f>[1]节奏总纲!AF267</f>
        <v>85.550486915716021</v>
      </c>
      <c r="U267" s="4">
        <f>[1]节奏总纲!AG267</f>
        <v>90.514074664498196</v>
      </c>
      <c r="V267" s="4">
        <f>[1]节奏总纲!AH267</f>
        <v>99.372591474611838</v>
      </c>
      <c r="AN267" s="4">
        <v>264</v>
      </c>
      <c r="AO267" s="4">
        <f>[1]节奏总纲!BA267</f>
        <v>44.55916464051846</v>
      </c>
      <c r="AP267" s="4">
        <f>[1]节奏总纲!BB267</f>
        <v>46.079770001861057</v>
      </c>
      <c r="AQ267" s="4">
        <f>[1]节奏总纲!BC267</f>
        <v>48.030128751164241</v>
      </c>
      <c r="AR267" s="4">
        <f>[1]节奏总纲!BD267</f>
        <v>50.768222798676959</v>
      </c>
      <c r="AS267" s="4">
        <f>[1]节奏总纲!BE267</f>
        <v>55.47203231717301</v>
      </c>
    </row>
    <row r="268" spans="17:45" x14ac:dyDescent="0.15">
      <c r="Q268" s="4">
        <v>265</v>
      </c>
      <c r="R268" s="4">
        <f>[1]节奏总纲!AD268</f>
        <v>80.544247116129412</v>
      </c>
      <c r="S268" s="4">
        <f>[1]节奏总纲!AE268</f>
        <v>82.644361574217143</v>
      </c>
      <c r="T268" s="4">
        <f>[1]节奏总纲!AF268</f>
        <v>85.605090576502832</v>
      </c>
      <c r="U268" s="4">
        <f>[1]节奏总纲!AG268</f>
        <v>90.57048456052793</v>
      </c>
      <c r="V268" s="4">
        <f>[1]节奏总纲!AH268</f>
        <v>99.430804516734369</v>
      </c>
      <c r="AN268" s="4">
        <v>265</v>
      </c>
      <c r="AO268" s="4">
        <f>[1]节奏总纲!BA268</f>
        <v>44.585020086822361</v>
      </c>
      <c r="AP268" s="4">
        <f>[1]节奏总纲!BB268</f>
        <v>46.10385005538447</v>
      </c>
      <c r="AQ268" s="4">
        <f>[1]节奏总纲!BC268</f>
        <v>48.054057417710396</v>
      </c>
      <c r="AR268" s="4">
        <f>[1]节奏总纲!BD268</f>
        <v>50.794980820226144</v>
      </c>
      <c r="AS268" s="4">
        <f>[1]节奏总纲!BE268</f>
        <v>55.497742138369794</v>
      </c>
    </row>
    <row r="269" spans="17:45" x14ac:dyDescent="0.15">
      <c r="Q269" s="4">
        <v>266</v>
      </c>
      <c r="R269" s="4">
        <f>[1]节奏总纲!AD269</f>
        <v>80.598671827742351</v>
      </c>
      <c r="S269" s="4">
        <f>[1]节奏总纲!AE269</f>
        <v>82.698743051159084</v>
      </c>
      <c r="T269" s="4">
        <f>[1]节奏总纲!AF269</f>
        <v>85.659694237289628</v>
      </c>
      <c r="U269" s="4">
        <f>[1]节奏总纲!AG269</f>
        <v>90.626894456557665</v>
      </c>
      <c r="V269" s="4">
        <f>[1]节奏总纲!AH269</f>
        <v>99.489017558856887</v>
      </c>
      <c r="AN269" s="4">
        <v>266</v>
      </c>
      <c r="AO269" s="4">
        <f>[1]节奏总纲!BA269</f>
        <v>44.610875533126261</v>
      </c>
      <c r="AP269" s="4">
        <f>[1]节奏总纲!BB269</f>
        <v>46.127930108907876</v>
      </c>
      <c r="AQ269" s="4">
        <f>[1]节奏总纲!BC269</f>
        <v>48.077986084256551</v>
      </c>
      <c r="AR269" s="4">
        <f>[1]节奏总纲!BD269</f>
        <v>50.821738841775321</v>
      </c>
      <c r="AS269" s="4">
        <f>[1]节奏总纲!BE269</f>
        <v>55.523451959566586</v>
      </c>
    </row>
    <row r="270" spans="17:45" x14ac:dyDescent="0.15">
      <c r="Q270" s="4">
        <v>267</v>
      </c>
      <c r="R270" s="4">
        <f>[1]节奏总纲!AD270</f>
        <v>80.653096539355303</v>
      </c>
      <c r="S270" s="4">
        <f>[1]节奏总纲!AE270</f>
        <v>82.753124528101011</v>
      </c>
      <c r="T270" s="4">
        <f>[1]节奏总纲!AF270</f>
        <v>85.714297898076424</v>
      </c>
      <c r="U270" s="4">
        <f>[1]节奏总纲!AG270</f>
        <v>90.683304352587413</v>
      </c>
      <c r="V270" s="4">
        <f>[1]节奏总纲!AH270</f>
        <v>99.547230600979418</v>
      </c>
      <c r="AN270" s="4">
        <v>267</v>
      </c>
      <c r="AO270" s="4">
        <f>[1]节奏总纲!BA270</f>
        <v>44.636730979430169</v>
      </c>
      <c r="AP270" s="4">
        <f>[1]节奏总纲!BB270</f>
        <v>46.152010162431289</v>
      </c>
      <c r="AQ270" s="4">
        <f>[1]节奏总纲!BC270</f>
        <v>48.101914750802706</v>
      </c>
      <c r="AR270" s="4">
        <f>[1]节奏总纲!BD270</f>
        <v>50.848496863324499</v>
      </c>
      <c r="AS270" s="4">
        <f>[1]节奏总纲!BE270</f>
        <v>55.54916178076337</v>
      </c>
    </row>
    <row r="271" spans="17:45" x14ac:dyDescent="0.15">
      <c r="Q271" s="4">
        <v>268</v>
      </c>
      <c r="R271" s="4">
        <f>[1]节奏总纲!AD271</f>
        <v>80.707521250968242</v>
      </c>
      <c r="S271" s="4">
        <f>[1]节奏总纲!AE271</f>
        <v>82.807506005042953</v>
      </c>
      <c r="T271" s="4">
        <f>[1]节奏总纲!AF271</f>
        <v>85.76890155886322</v>
      </c>
      <c r="U271" s="4">
        <f>[1]节奏总纲!AG271</f>
        <v>90.739714248617148</v>
      </c>
      <c r="V271" s="4">
        <f>[1]节奏总纲!AH271</f>
        <v>99.605443643101935</v>
      </c>
      <c r="AN271" s="4">
        <v>268</v>
      </c>
      <c r="AO271" s="4">
        <f>[1]节奏总纲!BA271</f>
        <v>44.662586425734069</v>
      </c>
      <c r="AP271" s="4">
        <f>[1]节奏总纲!BB271</f>
        <v>46.176090215954694</v>
      </c>
      <c r="AQ271" s="4">
        <f>[1]节奏总纲!BC271</f>
        <v>48.125843417348868</v>
      </c>
      <c r="AR271" s="4">
        <f>[1]节奏总纲!BD271</f>
        <v>50.875254884873684</v>
      </c>
      <c r="AS271" s="4">
        <f>[1]节奏总纲!BE271</f>
        <v>55.574871601960162</v>
      </c>
    </row>
    <row r="272" spans="17:45" x14ac:dyDescent="0.15">
      <c r="Q272" s="4">
        <v>269</v>
      </c>
      <c r="R272" s="4">
        <f>[1]节奏总纲!AD272</f>
        <v>80.76194596258118</v>
      </c>
      <c r="S272" s="4">
        <f>[1]节奏总纲!AE272</f>
        <v>82.861887481984894</v>
      </c>
      <c r="T272" s="4">
        <f>[1]节奏总纲!AF272</f>
        <v>85.823505219650016</v>
      </c>
      <c r="U272" s="4">
        <f>[1]节奏总纲!AG272</f>
        <v>90.796124144646882</v>
      </c>
      <c r="V272" s="4">
        <f>[1]节奏总纲!AH272</f>
        <v>99.663656685224467</v>
      </c>
      <c r="AN272" s="4">
        <v>269</v>
      </c>
      <c r="AO272" s="4">
        <f>[1]节奏总纲!BA272</f>
        <v>44.68844187203797</v>
      </c>
      <c r="AP272" s="4">
        <f>[1]节奏总纲!BB272</f>
        <v>46.200170269478107</v>
      </c>
      <c r="AQ272" s="4">
        <f>[1]节奏总纲!BC272</f>
        <v>48.149772083895023</v>
      </c>
      <c r="AR272" s="4">
        <f>[1]节奏总纲!BD272</f>
        <v>50.902012906422861</v>
      </c>
      <c r="AS272" s="4">
        <f>[1]节奏总纲!BE272</f>
        <v>55.600581423156946</v>
      </c>
    </row>
    <row r="273" spans="17:45" x14ac:dyDescent="0.15">
      <c r="Q273" s="4">
        <v>270</v>
      </c>
      <c r="R273" s="4">
        <f>[1]节奏总纲!AD273</f>
        <v>80.816370674194118</v>
      </c>
      <c r="S273" s="4">
        <f>[1]节奏总纲!AE273</f>
        <v>82.916268958926821</v>
      </c>
      <c r="T273" s="4">
        <f>[1]节奏总纲!AF273</f>
        <v>85.878108880436827</v>
      </c>
      <c r="U273" s="4">
        <f>[1]节奏总纲!AG273</f>
        <v>90.852534040676616</v>
      </c>
      <c r="V273" s="4">
        <f>[1]节奏总纲!AH273</f>
        <v>99.721869727346999</v>
      </c>
      <c r="AN273" s="4">
        <v>270</v>
      </c>
      <c r="AO273" s="4">
        <f>[1]节奏总纲!BA273</f>
        <v>44.714297318341877</v>
      </c>
      <c r="AP273" s="4">
        <f>[1]节奏总纲!BB273</f>
        <v>46.224250323001513</v>
      </c>
      <c r="AQ273" s="4">
        <f>[1]节奏总纲!BC273</f>
        <v>48.173700750441178</v>
      </c>
      <c r="AR273" s="4">
        <f>[1]节奏总纲!BD273</f>
        <v>50.928770927972039</v>
      </c>
      <c r="AS273" s="4">
        <f>[1]节奏总纲!BE273</f>
        <v>55.62629124435373</v>
      </c>
    </row>
    <row r="274" spans="17:45" x14ac:dyDescent="0.15">
      <c r="Q274" s="4">
        <v>271</v>
      </c>
      <c r="R274" s="4">
        <f>[1]节奏总纲!AD274</f>
        <v>80.870795385807057</v>
      </c>
      <c r="S274" s="4">
        <f>[1]节奏总纲!AE274</f>
        <v>82.970650435868762</v>
      </c>
      <c r="T274" s="4">
        <f>[1]节奏总纲!AF274</f>
        <v>85.932712541223623</v>
      </c>
      <c r="U274" s="4">
        <f>[1]节奏总纲!AG274</f>
        <v>90.908943936706351</v>
      </c>
      <c r="V274" s="4">
        <f>[1]节奏总纲!AH274</f>
        <v>99.780082769469516</v>
      </c>
      <c r="AN274" s="4">
        <v>271</v>
      </c>
      <c r="AO274" s="4">
        <f>[1]节奏总纲!BA274</f>
        <v>44.740152764645778</v>
      </c>
      <c r="AP274" s="4">
        <f>[1]节奏总纲!BB274</f>
        <v>46.248330376524919</v>
      </c>
      <c r="AQ274" s="4">
        <f>[1]节奏总纲!BC274</f>
        <v>48.19762941698734</v>
      </c>
      <c r="AR274" s="4">
        <f>[1]节奏总纲!BD274</f>
        <v>50.955528949521224</v>
      </c>
      <c r="AS274" s="4">
        <f>[1]节奏总纲!BE274</f>
        <v>55.652001065550522</v>
      </c>
    </row>
    <row r="275" spans="17:45" x14ac:dyDescent="0.15">
      <c r="Q275" s="4">
        <v>272</v>
      </c>
      <c r="R275" s="4">
        <f>[1]节奏总纲!AD275</f>
        <v>80.925220097420009</v>
      </c>
      <c r="S275" s="4">
        <f>[1]节奏总纲!AE275</f>
        <v>83.023342162088809</v>
      </c>
      <c r="T275" s="4">
        <f>[1]节奏总纲!AF275</f>
        <v>85.987316202010419</v>
      </c>
      <c r="U275" s="4">
        <f>[1]节奏总纲!AG275</f>
        <v>90.965353832736099</v>
      </c>
      <c r="V275" s="4">
        <f>[1]节奏总纲!AH275</f>
        <v>99.838295811592047</v>
      </c>
      <c r="AN275" s="4">
        <v>272</v>
      </c>
      <c r="AO275" s="4">
        <f>[1]节奏总纲!BA275</f>
        <v>44.766008210949678</v>
      </c>
      <c r="AP275" s="4">
        <f>[1]节奏总纲!BB275</f>
        <v>46.272410430048332</v>
      </c>
      <c r="AQ275" s="4">
        <f>[1]节奏总纲!BC275</f>
        <v>48.221558083533495</v>
      </c>
      <c r="AR275" s="4">
        <f>[1]节奏总纲!BD275</f>
        <v>50.982286971070401</v>
      </c>
      <c r="AS275" s="4">
        <f>[1]节奏总纲!BE275</f>
        <v>55.677710886747306</v>
      </c>
    </row>
    <row r="276" spans="17:45" x14ac:dyDescent="0.15">
      <c r="Q276" s="4">
        <v>273</v>
      </c>
      <c r="R276" s="4">
        <f>[1]节奏总纲!AD276</f>
        <v>80.979644809032948</v>
      </c>
      <c r="S276" s="4">
        <f>[1]节奏总纲!AE276</f>
        <v>83.07405267945947</v>
      </c>
      <c r="T276" s="4">
        <f>[1]节奏总纲!AF276</f>
        <v>86.038061368689995</v>
      </c>
      <c r="U276" s="4">
        <f>[1]节奏总纲!AG276</f>
        <v>91.020352770869948</v>
      </c>
      <c r="V276" s="4">
        <f>[1]节奏总纲!AH276</f>
        <v>99.896508853714579</v>
      </c>
      <c r="AN276" s="4">
        <v>273</v>
      </c>
      <c r="AO276" s="4">
        <f>[1]节奏总纲!BA276</f>
        <v>44.791863657253586</v>
      </c>
      <c r="AP276" s="4">
        <f>[1]节奏总纲!BB276</f>
        <v>46.296490483571738</v>
      </c>
      <c r="AQ276" s="4">
        <f>[1]节奏总纲!BC276</f>
        <v>48.24548675007965</v>
      </c>
      <c r="AR276" s="4">
        <f>[1]节奏总纲!BD276</f>
        <v>51.007810424246486</v>
      </c>
      <c r="AS276" s="4">
        <f>[1]节奏总纲!BE276</f>
        <v>55.703420707944098</v>
      </c>
    </row>
    <row r="277" spans="17:45" x14ac:dyDescent="0.15">
      <c r="Q277" s="4">
        <v>274</v>
      </c>
      <c r="R277" s="4">
        <f>[1]节奏总纲!AD277</f>
        <v>81.031787986768464</v>
      </c>
      <c r="S277" s="4">
        <f>[1]节奏总纲!AE277</f>
        <v>83.124763196830131</v>
      </c>
      <c r="T277" s="4">
        <f>[1]节奏总纲!AF277</f>
        <v>86.087639061133402</v>
      </c>
      <c r="U277" s="4">
        <f>[1]节奏总纲!AG277</f>
        <v>91.073105573528181</v>
      </c>
      <c r="V277" s="4">
        <f>[1]节奏总纲!AH277</f>
        <v>99.954721895837096</v>
      </c>
      <c r="AN277" s="4">
        <v>274</v>
      </c>
      <c r="AO277" s="4">
        <f>[1]节奏总纲!BA277</f>
        <v>44.817719103557486</v>
      </c>
      <c r="AP277" s="4">
        <f>[1]节奏总纲!BB277</f>
        <v>46.320570537095151</v>
      </c>
      <c r="AQ277" s="4">
        <f>[1]节奏总纲!BC277</f>
        <v>48.269415416625804</v>
      </c>
      <c r="AR277" s="4">
        <f>[1]节奏总纲!BD277</f>
        <v>51.030916192165336</v>
      </c>
      <c r="AS277" s="4">
        <f>[1]节奏总纲!BE277</f>
        <v>55.729130529140882</v>
      </c>
    </row>
    <row r="278" spans="17:45" x14ac:dyDescent="0.15">
      <c r="Q278" s="4">
        <v>275</v>
      </c>
      <c r="R278" s="4">
        <f>[1]节奏总纲!AD278</f>
        <v>81.082568038258216</v>
      </c>
      <c r="S278" s="4">
        <f>[1]节奏总纲!AE278</f>
        <v>83.175473714200777</v>
      </c>
      <c r="T278" s="4">
        <f>[1]节奏总纲!AF278</f>
        <v>86.137216753576809</v>
      </c>
      <c r="U278" s="4">
        <f>[1]节奏总纲!AG278</f>
        <v>91.125858376186414</v>
      </c>
      <c r="V278" s="4">
        <f>[1]节奏总纲!AH278</f>
        <v>100.01191770041967</v>
      </c>
      <c r="AN278" s="4">
        <v>275</v>
      </c>
      <c r="AO278" s="4">
        <f>[1]节奏总纲!BA278</f>
        <v>44.843574549861387</v>
      </c>
      <c r="AP278" s="4">
        <f>[1]节奏总纲!BB278</f>
        <v>46.344650590618556</v>
      </c>
      <c r="AQ278" s="4">
        <f>[1]节奏总纲!BC278</f>
        <v>48.293344083171966</v>
      </c>
      <c r="AR278" s="4">
        <f>[1]节奏总纲!BD278</f>
        <v>51.054021960084178</v>
      </c>
      <c r="AS278" s="4">
        <f>[1]节奏总纲!BE278</f>
        <v>55.754840350337666</v>
      </c>
    </row>
    <row r="279" spans="17:45" x14ac:dyDescent="0.15">
      <c r="Q279" s="4">
        <v>276</v>
      </c>
      <c r="R279" s="4">
        <f>[1]节奏总纲!AD279</f>
        <v>81.133348089747955</v>
      </c>
      <c r="S279" s="4">
        <f>[1]节奏总纲!AE279</f>
        <v>83.226184231571438</v>
      </c>
      <c r="T279" s="4">
        <f>[1]节奏总纲!AF279</f>
        <v>86.186794446020215</v>
      </c>
      <c r="U279" s="4">
        <f>[1]节奏总纲!AG279</f>
        <v>91.178611178844633</v>
      </c>
      <c r="V279" s="4">
        <f>[1]节奏总纲!AH279</f>
        <v>100.06555271580974</v>
      </c>
      <c r="AN279" s="4">
        <v>276</v>
      </c>
      <c r="AO279" s="4">
        <f>[1]节奏总纲!BA279</f>
        <v>44.869429996165294</v>
      </c>
      <c r="AP279" s="4">
        <f>[1]节奏总纲!BB279</f>
        <v>46.368730644141969</v>
      </c>
      <c r="AQ279" s="4">
        <f>[1]节奏总纲!BC279</f>
        <v>48.317272749718121</v>
      </c>
      <c r="AR279" s="4">
        <f>[1]节奏总纲!BD279</f>
        <v>51.077127728003028</v>
      </c>
      <c r="AS279" s="4">
        <f>[1]节奏总纲!BE279</f>
        <v>55.780550171534458</v>
      </c>
    </row>
    <row r="280" spans="17:45" x14ac:dyDescent="0.15">
      <c r="Q280" s="4">
        <v>277</v>
      </c>
      <c r="R280" s="4">
        <f>[1]节奏总纲!AD280</f>
        <v>81.184128141237707</v>
      </c>
      <c r="S280" s="4">
        <f>[1]节奏总纲!AE280</f>
        <v>83.276894748942098</v>
      </c>
      <c r="T280" s="4">
        <f>[1]节奏总纲!AF280</f>
        <v>86.236372138463622</v>
      </c>
      <c r="U280" s="4">
        <f>[1]节奏总纲!AG280</f>
        <v>91.231363981502867</v>
      </c>
      <c r="V280" s="4">
        <f>[1]节奏总纲!AH280</f>
        <v>100.11918773119983</v>
      </c>
      <c r="AN280" s="4">
        <v>277</v>
      </c>
      <c r="AO280" s="4">
        <f>[1]节奏总纲!BA280</f>
        <v>44.895285442469195</v>
      </c>
      <c r="AP280" s="4">
        <f>[1]节奏总纲!BB280</f>
        <v>46.392810697665375</v>
      </c>
      <c r="AQ280" s="4">
        <f>[1]节奏总纲!BC280</f>
        <v>48.341201416264276</v>
      </c>
      <c r="AR280" s="4">
        <f>[1]节奏总纲!BD280</f>
        <v>51.10023349592187</v>
      </c>
      <c r="AS280" s="4">
        <f>[1]节奏总纲!BE280</f>
        <v>55.806259992731242</v>
      </c>
    </row>
    <row r="281" spans="17:45" x14ac:dyDescent="0.15">
      <c r="Q281" s="4">
        <v>278</v>
      </c>
      <c r="R281" s="4">
        <f>[1]节奏总纲!AD281</f>
        <v>81.23490819272746</v>
      </c>
      <c r="S281" s="4">
        <f>[1]节奏总纲!AE281</f>
        <v>83.327605266312744</v>
      </c>
      <c r="T281" s="4">
        <f>[1]节奏总纲!AF281</f>
        <v>86.285949830907029</v>
      </c>
      <c r="U281" s="4">
        <f>[1]节奏总纲!AG281</f>
        <v>91.2841167841611</v>
      </c>
      <c r="V281" s="4">
        <f>[1]节奏总纲!AH281</f>
        <v>100.1728227465899</v>
      </c>
      <c r="AN281" s="4">
        <v>278</v>
      </c>
      <c r="AO281" s="4">
        <f>[1]节奏总纲!BA281</f>
        <v>44.921140888773095</v>
      </c>
      <c r="AP281" s="4">
        <f>[1]节奏总纲!BB281</f>
        <v>46.416890751188788</v>
      </c>
      <c r="AQ281" s="4">
        <f>[1]节奏总纲!BC281</f>
        <v>48.365130082810438</v>
      </c>
      <c r="AR281" s="4">
        <f>[1]节奏总纲!BD281</f>
        <v>51.12333926384072</v>
      </c>
      <c r="AS281" s="4">
        <f>[1]节奏总纲!BE281</f>
        <v>55.831969813928033</v>
      </c>
    </row>
    <row r="282" spans="17:45" x14ac:dyDescent="0.15">
      <c r="Q282" s="4">
        <v>279</v>
      </c>
      <c r="R282" s="4">
        <f>[1]节奏总纲!AD282</f>
        <v>81.285688244217212</v>
      </c>
      <c r="S282" s="4">
        <f>[1]节奏总纲!AE282</f>
        <v>83.378315783683405</v>
      </c>
      <c r="T282" s="4">
        <f>[1]节奏总纲!AF282</f>
        <v>86.335527523350422</v>
      </c>
      <c r="U282" s="4">
        <f>[1]节奏总纲!AG282</f>
        <v>91.336869586819319</v>
      </c>
      <c r="V282" s="4">
        <f>[1]节奏总纲!AH282</f>
        <v>100.22645776197997</v>
      </c>
      <c r="AN282" s="4">
        <v>279</v>
      </c>
      <c r="AO282" s="4">
        <f>[1]节奏总纲!BA282</f>
        <v>44.946996335076996</v>
      </c>
      <c r="AP282" s="4">
        <f>[1]节奏总纲!BB282</f>
        <v>46.440970804712194</v>
      </c>
      <c r="AQ282" s="4">
        <f>[1]节奏总纲!BC282</f>
        <v>48.389058749356593</v>
      </c>
      <c r="AR282" s="4">
        <f>[1]节奏总纲!BD282</f>
        <v>51.146445031759569</v>
      </c>
      <c r="AS282" s="4">
        <f>[1]节奏总纲!BE282</f>
        <v>55.857679635124818</v>
      </c>
    </row>
    <row r="283" spans="17:45" x14ac:dyDescent="0.15">
      <c r="Q283" s="4">
        <v>280</v>
      </c>
      <c r="R283" s="4">
        <f>[1]节奏总纲!AD283</f>
        <v>81.336468295706965</v>
      </c>
      <c r="S283" s="4">
        <f>[1]节奏总纲!AE283</f>
        <v>83.429026301054066</v>
      </c>
      <c r="T283" s="4">
        <f>[1]节奏总纲!AF283</f>
        <v>86.385105215793828</v>
      </c>
      <c r="U283" s="4">
        <f>[1]节奏总纲!AG283</f>
        <v>91.389622389477552</v>
      </c>
      <c r="V283" s="4">
        <f>[1]节奏总纲!AH283</f>
        <v>100.28009277737006</v>
      </c>
      <c r="AN283" s="4">
        <v>280</v>
      </c>
      <c r="AO283" s="4">
        <f>[1]节奏总纲!BA283</f>
        <v>44.972851781380903</v>
      </c>
      <c r="AP283" s="4">
        <f>[1]节奏总纲!BB283</f>
        <v>46.465050858235607</v>
      </c>
      <c r="AQ283" s="4">
        <f>[1]节奏总纲!BC283</f>
        <v>48.412987415902748</v>
      </c>
      <c r="AR283" s="4">
        <f>[1]节奏总纲!BD283</f>
        <v>51.169550799678412</v>
      </c>
      <c r="AS283" s="4">
        <f>[1]节奏总纲!BE283</f>
        <v>55.883389456321602</v>
      </c>
    </row>
    <row r="284" spans="17:45" x14ac:dyDescent="0.15">
      <c r="Q284" s="4">
        <v>281</v>
      </c>
      <c r="R284" s="4">
        <f>[1]节奏总纲!AD284</f>
        <v>81.387248347196717</v>
      </c>
      <c r="S284" s="4">
        <f>[1]节奏总纲!AE284</f>
        <v>83.479736818424712</v>
      </c>
      <c r="T284" s="4">
        <f>[1]节奏总纲!AF284</f>
        <v>86.434682908237235</v>
      </c>
      <c r="U284" s="4">
        <f>[1]节奏总纲!AG284</f>
        <v>91.442375192135771</v>
      </c>
      <c r="V284" s="4">
        <f>[1]节奏总纲!AH284</f>
        <v>100.33372779276013</v>
      </c>
      <c r="AN284" s="4">
        <v>281</v>
      </c>
      <c r="AO284" s="4">
        <f>[1]节奏总纲!BA284</f>
        <v>44.998707227684804</v>
      </c>
      <c r="AP284" s="4">
        <f>[1]节奏总纲!BB284</f>
        <v>46.489130911759013</v>
      </c>
      <c r="AQ284" s="4">
        <f>[1]节奏总纲!BC284</f>
        <v>48.43691608244891</v>
      </c>
      <c r="AR284" s="4">
        <f>[1]节奏总纲!BD284</f>
        <v>51.192656567597261</v>
      </c>
      <c r="AS284" s="4">
        <f>[1]节奏总纲!BE284</f>
        <v>55.909099277518393</v>
      </c>
    </row>
    <row r="285" spans="17:45" x14ac:dyDescent="0.15">
      <c r="Q285" s="4">
        <v>282</v>
      </c>
      <c r="R285" s="4">
        <f>[1]节奏总纲!AD285</f>
        <v>81.43802839868647</v>
      </c>
      <c r="S285" s="4">
        <f>[1]节奏总纲!AE285</f>
        <v>83.530447335795373</v>
      </c>
      <c r="T285" s="4">
        <f>[1]节奏总纲!AF285</f>
        <v>86.484260600680642</v>
      </c>
      <c r="U285" s="4">
        <f>[1]节奏总纲!AG285</f>
        <v>91.495127994794004</v>
      </c>
      <c r="V285" s="4">
        <f>[1]节奏总纲!AH285</f>
        <v>100.3873628081502</v>
      </c>
      <c r="AN285" s="4">
        <v>282</v>
      </c>
      <c r="AO285" s="4">
        <f>[1]节奏总纲!BA285</f>
        <v>45.021201039060998</v>
      </c>
      <c r="AP285" s="4">
        <f>[1]节奏总纲!BB285</f>
        <v>46.513210965282425</v>
      </c>
      <c r="AQ285" s="4">
        <f>[1]节奏总纲!BC285</f>
        <v>48.460844748995065</v>
      </c>
      <c r="AR285" s="4">
        <f>[1]节奏总纲!BD285</f>
        <v>51.215762335516104</v>
      </c>
      <c r="AS285" s="4">
        <f>[1]节奏总纲!BE285</f>
        <v>55.934809098715178</v>
      </c>
    </row>
    <row r="286" spans="17:45" x14ac:dyDescent="0.15">
      <c r="Q286" s="4">
        <v>283</v>
      </c>
      <c r="R286" s="4">
        <f>[1]节奏总纲!AD286</f>
        <v>81.488808450176222</v>
      </c>
      <c r="S286" s="4">
        <f>[1]节奏总纲!AE286</f>
        <v>83.581157853166033</v>
      </c>
      <c r="T286" s="4">
        <f>[1]节奏总纲!AF286</f>
        <v>86.533838293124049</v>
      </c>
      <c r="U286" s="4">
        <f>[1]节奏总纲!AG286</f>
        <v>91.547880797452237</v>
      </c>
      <c r="V286" s="4">
        <f>[1]节奏总纲!AH286</f>
        <v>100.44099782354027</v>
      </c>
      <c r="AN286" s="4">
        <v>283</v>
      </c>
      <c r="AO286" s="4">
        <f>[1]节奏总纲!BA286</f>
        <v>45.043517922283101</v>
      </c>
      <c r="AP286" s="4">
        <f>[1]节奏总纲!BB286</f>
        <v>46.537291018805831</v>
      </c>
      <c r="AQ286" s="4">
        <f>[1]节奏总纲!BC286</f>
        <v>48.48477341554122</v>
      </c>
      <c r="AR286" s="4">
        <f>[1]节奏总纲!BD286</f>
        <v>51.238868103434953</v>
      </c>
      <c r="AS286" s="4">
        <f>[1]节奏总纲!BE286</f>
        <v>55.960518919911962</v>
      </c>
    </row>
    <row r="287" spans="17:45" x14ac:dyDescent="0.15">
      <c r="Q287" s="4">
        <v>284</v>
      </c>
      <c r="R287" s="4">
        <f>[1]节奏总纲!AD287</f>
        <v>81.539588501665975</v>
      </c>
      <c r="S287" s="4">
        <f>[1]节奏总纲!AE287</f>
        <v>83.631868370536679</v>
      </c>
      <c r="T287" s="4">
        <f>[1]节奏总纲!AF287</f>
        <v>86.583415985567456</v>
      </c>
      <c r="U287" s="4">
        <f>[1]节奏总纲!AG287</f>
        <v>91.600633600110456</v>
      </c>
      <c r="V287" s="4">
        <f>[1]节奏总纲!AH287</f>
        <v>100.49463283893036</v>
      </c>
      <c r="AN287" s="4">
        <v>284</v>
      </c>
      <c r="AO287" s="4">
        <f>[1]节奏总纲!BA287</f>
        <v>45.065834805505204</v>
      </c>
      <c r="AP287" s="4">
        <f>[1]节奏总纲!BB287</f>
        <v>46.561371072329244</v>
      </c>
      <c r="AQ287" s="4">
        <f>[1]节奏总纲!BC287</f>
        <v>48.508702082087382</v>
      </c>
      <c r="AR287" s="4">
        <f>[1]节奏总纲!BD287</f>
        <v>51.261973871353796</v>
      </c>
      <c r="AS287" s="4">
        <f>[1]节奏总纲!BE287</f>
        <v>55.986228741108754</v>
      </c>
    </row>
    <row r="288" spans="17:45" x14ac:dyDescent="0.15">
      <c r="Q288" s="4">
        <v>285</v>
      </c>
      <c r="R288" s="4">
        <f>[1]节奏总纲!AD288</f>
        <v>81.590368553155727</v>
      </c>
      <c r="S288" s="4">
        <f>[1]节奏总纲!AE288</f>
        <v>83.68257888790734</v>
      </c>
      <c r="T288" s="4">
        <f>[1]节奏总纲!AF288</f>
        <v>86.632993678010848</v>
      </c>
      <c r="U288" s="4">
        <f>[1]节奏总纲!AG288</f>
        <v>91.653386402768689</v>
      </c>
      <c r="V288" s="4">
        <f>[1]节奏总纲!AH288</f>
        <v>100.54826785432043</v>
      </c>
      <c r="AN288" s="4">
        <v>285</v>
      </c>
      <c r="AO288" s="4">
        <f>[1]节奏总纲!BA288</f>
        <v>45.088151688727308</v>
      </c>
      <c r="AP288" s="4">
        <f>[1]节奏总纲!BB288</f>
        <v>46.58545112585265</v>
      </c>
      <c r="AQ288" s="4">
        <f>[1]节奏总纲!BC288</f>
        <v>48.532630748633537</v>
      </c>
      <c r="AR288" s="4">
        <f>[1]节奏总纲!BD288</f>
        <v>51.285079639272645</v>
      </c>
      <c r="AS288" s="4">
        <f>[1]节奏总纲!BE288</f>
        <v>56.010312347085055</v>
      </c>
    </row>
    <row r="289" spans="17:45" x14ac:dyDescent="0.15">
      <c r="Q289" s="4">
        <v>286</v>
      </c>
      <c r="R289" s="4">
        <f>[1]节奏总纲!AD289</f>
        <v>81.64114860464548</v>
      </c>
      <c r="S289" s="4">
        <f>[1]节奏总纲!AE289</f>
        <v>83.733289405278001</v>
      </c>
      <c r="T289" s="4">
        <f>[1]节奏总纲!AF289</f>
        <v>86.682571370454255</v>
      </c>
      <c r="U289" s="4">
        <f>[1]节奏总纲!AG289</f>
        <v>91.706139205426922</v>
      </c>
      <c r="V289" s="4">
        <f>[1]节奏总纲!AH289</f>
        <v>100.6019028697105</v>
      </c>
      <c r="AN289" s="4">
        <v>286</v>
      </c>
      <c r="AO289" s="4">
        <f>[1]节奏总纲!BA289</f>
        <v>45.110468571949411</v>
      </c>
      <c r="AP289" s="4">
        <f>[1]节奏总纲!BB289</f>
        <v>46.609531179376063</v>
      </c>
      <c r="AQ289" s="4">
        <f>[1]节奏总纲!BC289</f>
        <v>48.556559415179692</v>
      </c>
      <c r="AR289" s="4">
        <f>[1]节奏总纲!BD289</f>
        <v>51.308185407191495</v>
      </c>
      <c r="AS289" s="4">
        <f>[1]节奏总纲!BE289</f>
        <v>56.032520096468168</v>
      </c>
    </row>
    <row r="290" spans="17:45" x14ac:dyDescent="0.15">
      <c r="Q290" s="4">
        <v>287</v>
      </c>
      <c r="R290" s="4">
        <f>[1]节奏总纲!AD290</f>
        <v>81.691928656135218</v>
      </c>
      <c r="S290" s="4">
        <f>[1]节奏总纲!AE290</f>
        <v>83.783999922648647</v>
      </c>
      <c r="T290" s="4">
        <f>[1]节奏总纲!AF290</f>
        <v>86.732149062897662</v>
      </c>
      <c r="U290" s="4">
        <f>[1]节奏总纲!AG290</f>
        <v>91.758892008085141</v>
      </c>
      <c r="V290" s="4">
        <f>[1]节奏总纲!AH290</f>
        <v>100.65553788510059</v>
      </c>
      <c r="AN290" s="4">
        <v>287</v>
      </c>
      <c r="AO290" s="4">
        <f>[1]节奏总纲!BA290</f>
        <v>45.132785455171515</v>
      </c>
      <c r="AP290" s="4">
        <f>[1]节奏总纲!BB290</f>
        <v>46.633611232899469</v>
      </c>
      <c r="AQ290" s="4">
        <f>[1]节奏总纲!BC290</f>
        <v>48.580488081725846</v>
      </c>
      <c r="AR290" s="4">
        <f>[1]节奏总纲!BD290</f>
        <v>51.331291175110337</v>
      </c>
      <c r="AS290" s="4">
        <f>[1]节奏总纲!BE290</f>
        <v>56.054727845851275</v>
      </c>
    </row>
    <row r="291" spans="17:45" x14ac:dyDescent="0.15">
      <c r="Q291" s="4">
        <v>288</v>
      </c>
      <c r="R291" s="4">
        <f>[1]节奏总纲!AD291</f>
        <v>81.742708707624971</v>
      </c>
      <c r="S291" s="4">
        <f>[1]节奏总纲!AE291</f>
        <v>83.834710440019307</v>
      </c>
      <c r="T291" s="4">
        <f>[1]节奏总纲!AF291</f>
        <v>86.781726755341069</v>
      </c>
      <c r="U291" s="4">
        <f>[1]节奏总纲!AG291</f>
        <v>91.811644810743374</v>
      </c>
      <c r="V291" s="4">
        <f>[1]节奏总纲!AH291</f>
        <v>100.70917290049066</v>
      </c>
      <c r="AN291" s="4">
        <v>288</v>
      </c>
      <c r="AO291" s="4">
        <f>[1]节奏总纲!BA291</f>
        <v>45.155102338393618</v>
      </c>
      <c r="AP291" s="4">
        <f>[1]节奏总纲!BB291</f>
        <v>46.657691286422882</v>
      </c>
      <c r="AQ291" s="4">
        <f>[1]节奏总纲!BC291</f>
        <v>48.604416748272008</v>
      </c>
      <c r="AR291" s="4">
        <f>[1]节奏总纲!BD291</f>
        <v>51.354396943029187</v>
      </c>
      <c r="AS291" s="4">
        <f>[1]节奏总纲!BE291</f>
        <v>56.076935595234382</v>
      </c>
    </row>
    <row r="292" spans="17:45" x14ac:dyDescent="0.15">
      <c r="Q292" s="4">
        <v>289</v>
      </c>
      <c r="R292" s="4">
        <f>[1]节奏总纲!AD292</f>
        <v>81.793488759114723</v>
      </c>
      <c r="S292" s="4">
        <f>[1]节奏总纲!AE292</f>
        <v>83.885420957389968</v>
      </c>
      <c r="T292" s="4">
        <f>[1]节奏总纲!AF292</f>
        <v>86.831304447784476</v>
      </c>
      <c r="U292" s="4">
        <f>[1]节奏总纲!AG292</f>
        <v>91.864397613401607</v>
      </c>
      <c r="V292" s="4">
        <f>[1]节奏总纲!AH292</f>
        <v>100.76280791588073</v>
      </c>
      <c r="AN292" s="4">
        <v>289</v>
      </c>
      <c r="AO292" s="4">
        <f>[1]节奏总纲!BA292</f>
        <v>45.177419221615722</v>
      </c>
      <c r="AP292" s="4">
        <f>[1]节奏总纲!BB292</f>
        <v>46.681771339946287</v>
      </c>
      <c r="AQ292" s="4">
        <f>[1]节奏总纲!BC292</f>
        <v>48.628345414818163</v>
      </c>
      <c r="AR292" s="4">
        <f>[1]节奏总纲!BD292</f>
        <v>51.377502710948029</v>
      </c>
      <c r="AS292" s="4">
        <f>[1]节奏总纲!BE292</f>
        <v>56.099143344617488</v>
      </c>
    </row>
    <row r="293" spans="17:45" x14ac:dyDescent="0.15">
      <c r="Q293" s="4">
        <v>290</v>
      </c>
      <c r="R293" s="4">
        <f>[1]节奏总纲!AD293</f>
        <v>81.844268810604476</v>
      </c>
      <c r="S293" s="4">
        <f>[1]节奏总纲!AE293</f>
        <v>83.936131474760614</v>
      </c>
      <c r="T293" s="4">
        <f>[1]节奏总纲!AF293</f>
        <v>86.880882140227882</v>
      </c>
      <c r="U293" s="4">
        <f>[1]节奏总纲!AG293</f>
        <v>91.917150416059826</v>
      </c>
      <c r="V293" s="4">
        <f>[1]节奏总纲!AH293</f>
        <v>100.8164429312708</v>
      </c>
      <c r="AN293" s="4">
        <v>290</v>
      </c>
      <c r="AO293" s="4">
        <f>[1]节奏总纲!BA293</f>
        <v>45.199736104837825</v>
      </c>
      <c r="AP293" s="4">
        <f>[1]节奏总纲!BB293</f>
        <v>46.7058513934697</v>
      </c>
      <c r="AQ293" s="4">
        <f>[1]节奏总纲!BC293</f>
        <v>48.652274081364318</v>
      </c>
      <c r="AR293" s="4">
        <f>[1]节奏总纲!BD293</f>
        <v>51.400608478866879</v>
      </c>
      <c r="AS293" s="4">
        <f>[1]节奏总纲!BE293</f>
        <v>56.121351094000602</v>
      </c>
    </row>
    <row r="294" spans="17:45" x14ac:dyDescent="0.15">
      <c r="Q294" s="4">
        <v>291</v>
      </c>
      <c r="R294" s="4">
        <f>[1]节奏总纲!AD294</f>
        <v>81.895048862094228</v>
      </c>
      <c r="S294" s="4">
        <f>[1]节奏总纲!AE294</f>
        <v>83.986841992131275</v>
      </c>
      <c r="T294" s="4">
        <f>[1]节奏总纲!AF294</f>
        <v>86.930459832671289</v>
      </c>
      <c r="U294" s="4">
        <f>[1]节奏总纲!AG294</f>
        <v>91.969903218718059</v>
      </c>
      <c r="V294" s="4">
        <f>[1]节奏总纲!AH294</f>
        <v>100.87007794666089</v>
      </c>
      <c r="AN294" s="4">
        <v>291</v>
      </c>
      <c r="AO294" s="4">
        <f>[1]节奏总纲!BA294</f>
        <v>45.222052988059936</v>
      </c>
      <c r="AP294" s="4">
        <f>[1]节奏总纲!BB294</f>
        <v>46.729931446993106</v>
      </c>
      <c r="AQ294" s="4">
        <f>[1]节奏总纲!BC294</f>
        <v>48.67620274791048</v>
      </c>
      <c r="AR294" s="4">
        <f>[1]节奏总纲!BD294</f>
        <v>51.423714246785721</v>
      </c>
      <c r="AS294" s="4">
        <f>[1]节奏总纲!BE294</f>
        <v>56.143558843383708</v>
      </c>
    </row>
    <row r="295" spans="17:45" x14ac:dyDescent="0.15">
      <c r="Q295" s="4">
        <v>292</v>
      </c>
      <c r="R295" s="4">
        <f>[1]节奏总纲!AD295</f>
        <v>81.945828913583981</v>
      </c>
      <c r="S295" s="4">
        <f>[1]节奏总纲!AE295</f>
        <v>84.036191564035917</v>
      </c>
      <c r="T295" s="4">
        <f>[1]节奏总纲!AF295</f>
        <v>86.980037525114682</v>
      </c>
      <c r="U295" s="4">
        <f>[1]节奏总纲!AG295</f>
        <v>92.021521414287719</v>
      </c>
      <c r="V295" s="4">
        <f>[1]节奏总纲!AH295</f>
        <v>100.92371296205096</v>
      </c>
      <c r="AN295" s="4">
        <v>292</v>
      </c>
      <c r="AO295" s="4">
        <f>[1]节奏总纲!BA295</f>
        <v>45.244369871282039</v>
      </c>
      <c r="AP295" s="4">
        <f>[1]节奏总纲!BB295</f>
        <v>46.754011500516519</v>
      </c>
      <c r="AQ295" s="4">
        <f>[1]节奏总纲!BC295</f>
        <v>48.700131414456635</v>
      </c>
      <c r="AR295" s="4">
        <f>[1]节奏总纲!BD295</f>
        <v>51.446820014704571</v>
      </c>
      <c r="AS295" s="4">
        <f>[1]节奏总纲!BE295</f>
        <v>56.165766592766815</v>
      </c>
    </row>
    <row r="296" spans="17:45" x14ac:dyDescent="0.15">
      <c r="Q296" s="4">
        <v>293</v>
      </c>
      <c r="R296" s="4">
        <f>[1]节奏总纲!AD296</f>
        <v>81.996608965073733</v>
      </c>
      <c r="S296" s="4">
        <f>[1]节奏总纲!AE296</f>
        <v>84.085064274836242</v>
      </c>
      <c r="T296" s="4">
        <f>[1]节奏总纲!AF296</f>
        <v>87.029133791498197</v>
      </c>
      <c r="U296" s="4">
        <f>[1]节奏总纲!AG296</f>
        <v>92.071632371634976</v>
      </c>
      <c r="V296" s="4">
        <f>[1]节奏总纲!AH296</f>
        <v>100.97734797744103</v>
      </c>
      <c r="AN296" s="4">
        <v>293</v>
      </c>
      <c r="AO296" s="4">
        <f>[1]节奏总纲!BA296</f>
        <v>45.266686754504143</v>
      </c>
      <c r="AP296" s="4">
        <f>[1]节奏总纲!BB296</f>
        <v>46.778091554039925</v>
      </c>
      <c r="AQ296" s="4">
        <f>[1]节奏总纲!BC296</f>
        <v>48.72406008100279</v>
      </c>
      <c r="AR296" s="4">
        <f>[1]节奏总纲!BD296</f>
        <v>51.46992578262342</v>
      </c>
      <c r="AS296" s="4">
        <f>[1]节奏总纲!BE296</f>
        <v>56.187974342149921</v>
      </c>
    </row>
    <row r="297" spans="17:45" x14ac:dyDescent="0.15">
      <c r="Q297" s="4">
        <v>294</v>
      </c>
      <c r="R297" s="4">
        <f>[1]节奏总纲!AD297</f>
        <v>82.044215515890215</v>
      </c>
      <c r="S297" s="4">
        <f>[1]节奏总纲!AE297</f>
        <v>84.133936985636566</v>
      </c>
      <c r="T297" s="4">
        <f>[1]节奏总纲!AF297</f>
        <v>87.077905547159801</v>
      </c>
      <c r="U297" s="4">
        <f>[1]节奏总纲!AG297</f>
        <v>92.121743328982234</v>
      </c>
      <c r="V297" s="4">
        <f>[1]节奏总纲!AH297</f>
        <v>101.02868392415382</v>
      </c>
      <c r="AN297" s="4">
        <v>294</v>
      </c>
      <c r="AO297" s="4">
        <f>[1]节奏总纲!BA297</f>
        <v>45.289003637726246</v>
      </c>
      <c r="AP297" s="4">
        <f>[1]节奏总纲!BB297</f>
        <v>46.802171607563338</v>
      </c>
      <c r="AQ297" s="4">
        <f>[1]节奏总纲!BC297</f>
        <v>48.747988747548945</v>
      </c>
      <c r="AR297" s="4">
        <f>[1]节奏总纲!BD297</f>
        <v>51.493031550542263</v>
      </c>
      <c r="AS297" s="4">
        <f>[1]节奏总纲!BE297</f>
        <v>56.210182091533035</v>
      </c>
    </row>
    <row r="298" spans="17:45" x14ac:dyDescent="0.15">
      <c r="Q298" s="4">
        <v>295</v>
      </c>
      <c r="R298" s="4">
        <f>[1]节奏总纲!AD298</f>
        <v>82.091594979242089</v>
      </c>
      <c r="S298" s="4">
        <f>[1]节奏总纲!AE298</f>
        <v>84.182809696436891</v>
      </c>
      <c r="T298" s="4">
        <f>[1]节奏总纲!AF298</f>
        <v>87.126677302821392</v>
      </c>
      <c r="U298" s="4">
        <f>[1]节奏总纲!AG298</f>
        <v>92.171854286329506</v>
      </c>
      <c r="V298" s="4">
        <f>[1]节奏总纲!AH298</f>
        <v>101.07833899530283</v>
      </c>
      <c r="AN298" s="4">
        <v>295</v>
      </c>
      <c r="AO298" s="4">
        <f>[1]节奏总纲!BA298</f>
        <v>45.31132052094835</v>
      </c>
      <c r="AP298" s="4">
        <f>[1]节奏总纲!BB298</f>
        <v>46.826251661086744</v>
      </c>
      <c r="AQ298" s="4">
        <f>[1]节奏总纲!BC298</f>
        <v>48.771917414095107</v>
      </c>
      <c r="AR298" s="4">
        <f>[1]节奏总纲!BD298</f>
        <v>51.516137318461112</v>
      </c>
      <c r="AS298" s="4">
        <f>[1]节奏总纲!BE298</f>
        <v>56.232389840916142</v>
      </c>
    </row>
    <row r="299" spans="17:45" x14ac:dyDescent="0.15">
      <c r="Q299" s="4">
        <v>296</v>
      </c>
      <c r="R299" s="4">
        <f>[1]节奏总纲!AD299</f>
        <v>82.138974442593963</v>
      </c>
      <c r="S299" s="4">
        <f>[1]节奏总纲!AE299</f>
        <v>84.23168240723723</v>
      </c>
      <c r="T299" s="4">
        <f>[1]节奏总纲!AF299</f>
        <v>87.175449058482982</v>
      </c>
      <c r="U299" s="4">
        <f>[1]节奏总纲!AG299</f>
        <v>92.221965243676763</v>
      </c>
      <c r="V299" s="4">
        <f>[1]节奏总纲!AH299</f>
        <v>101.12799406645185</v>
      </c>
      <c r="AN299" s="4">
        <v>296</v>
      </c>
      <c r="AO299" s="4">
        <f>[1]节奏总纲!BA299</f>
        <v>45.333637404170453</v>
      </c>
      <c r="AP299" s="4">
        <f>[1]节奏总纲!BB299</f>
        <v>46.850331714610157</v>
      </c>
      <c r="AQ299" s="4">
        <f>[1]节奏总纲!BC299</f>
        <v>48.795846080641262</v>
      </c>
      <c r="AR299" s="4">
        <f>[1]节奏总纲!BD299</f>
        <v>51.539243086379955</v>
      </c>
      <c r="AS299" s="4">
        <f>[1]节奏总纲!BE299</f>
        <v>56.254597590299248</v>
      </c>
    </row>
    <row r="300" spans="17:45" x14ac:dyDescent="0.15">
      <c r="Q300" s="4">
        <v>297</v>
      </c>
      <c r="R300" s="4">
        <f>[1]节奏总纲!AD300</f>
        <v>82.186353905945836</v>
      </c>
      <c r="S300" s="4">
        <f>[1]节奏总纲!AE300</f>
        <v>84.280555118037555</v>
      </c>
      <c r="T300" s="4">
        <f>[1]节奏总纲!AF300</f>
        <v>87.224220814144587</v>
      </c>
      <c r="U300" s="4">
        <f>[1]节奏总纲!AG300</f>
        <v>92.272076201024021</v>
      </c>
      <c r="V300" s="4">
        <f>[1]节奏总纲!AH300</f>
        <v>101.17764913760085</v>
      </c>
      <c r="AN300" s="4">
        <v>297</v>
      </c>
      <c r="AO300" s="4">
        <f>[1]节奏总纲!BA300</f>
        <v>45.355954287392557</v>
      </c>
      <c r="AP300" s="4">
        <f>[1]节奏总纲!BB300</f>
        <v>46.874411768133562</v>
      </c>
      <c r="AQ300" s="4">
        <f>[1]节奏总纲!BC300</f>
        <v>48.819774747187417</v>
      </c>
      <c r="AR300" s="4">
        <f>[1]节奏总纲!BD300</f>
        <v>51.562348854298804</v>
      </c>
      <c r="AS300" s="4">
        <f>[1]节奏总纲!BE300</f>
        <v>56.276805339682355</v>
      </c>
    </row>
    <row r="301" spans="17:45" x14ac:dyDescent="0.15">
      <c r="Q301" s="4">
        <v>298</v>
      </c>
      <c r="R301" s="4">
        <f>[1]节奏总纲!AD301</f>
        <v>82.23373336929771</v>
      </c>
      <c r="S301" s="4">
        <f>[1]节奏总纲!AE301</f>
        <v>84.329427828837879</v>
      </c>
      <c r="T301" s="4">
        <f>[1]节奏总纲!AF301</f>
        <v>87.272992569806178</v>
      </c>
      <c r="U301" s="4">
        <f>[1]节奏总纲!AG301</f>
        <v>92.322187158371293</v>
      </c>
      <c r="V301" s="4">
        <f>[1]节奏总纲!AH301</f>
        <v>101.22730420874987</v>
      </c>
      <c r="AN301" s="4">
        <v>298</v>
      </c>
      <c r="AO301" s="4">
        <f>[1]节奏总纲!BA301</f>
        <v>45.37827117061466</v>
      </c>
      <c r="AP301" s="4">
        <f>[1]节奏总纲!BB301</f>
        <v>46.898491821656968</v>
      </c>
      <c r="AQ301" s="4">
        <f>[1]节奏总纲!BC301</f>
        <v>48.843703413733579</v>
      </c>
      <c r="AR301" s="4">
        <f>[1]节奏总纲!BD301</f>
        <v>51.585454622217647</v>
      </c>
      <c r="AS301" s="4">
        <f>[1]节奏总纲!BE301</f>
        <v>56.299013089065468</v>
      </c>
    </row>
    <row r="302" spans="17:45" x14ac:dyDescent="0.15">
      <c r="Q302" s="4">
        <v>299</v>
      </c>
      <c r="R302" s="4">
        <f>[1]节奏总纲!AD302</f>
        <v>82.281112832649583</v>
      </c>
      <c r="S302" s="4">
        <f>[1]节奏总纲!AE302</f>
        <v>84.378300539638204</v>
      </c>
      <c r="T302" s="4">
        <f>[1]节奏总纲!AF302</f>
        <v>87.321764325467768</v>
      </c>
      <c r="U302" s="4">
        <f>[1]节奏总纲!AG302</f>
        <v>92.37229811571855</v>
      </c>
      <c r="V302" s="4">
        <f>[1]节奏总纲!AH302</f>
        <v>101.27695927989888</v>
      </c>
      <c r="AN302" s="4">
        <v>299</v>
      </c>
      <c r="AO302" s="4">
        <f>[1]节奏总纲!BA302</f>
        <v>45.400588053836763</v>
      </c>
      <c r="AP302" s="4">
        <f>[1]节奏总纲!BB302</f>
        <v>46.922571875180381</v>
      </c>
      <c r="AQ302" s="4">
        <f>[1]节奏总纲!BC302</f>
        <v>48.867632080279733</v>
      </c>
      <c r="AR302" s="4">
        <f>[1]节奏总纲!BD302</f>
        <v>51.608560390136496</v>
      </c>
      <c r="AS302" s="4">
        <f>[1]节奏总纲!BE302</f>
        <v>56.321220838448575</v>
      </c>
    </row>
    <row r="303" spans="17:45" x14ac:dyDescent="0.15">
      <c r="Q303" s="4">
        <v>300</v>
      </c>
      <c r="R303" s="4">
        <f>[1]节奏总纲!AD303</f>
        <v>82.328492296001457</v>
      </c>
      <c r="S303" s="4">
        <f>[1]节奏总纲!AE303</f>
        <v>84.427173250438543</v>
      </c>
      <c r="T303" s="4">
        <f>[1]节奏总纲!AF303</f>
        <v>87.370536081129359</v>
      </c>
      <c r="U303" s="4">
        <f>[1]节奏总纲!AG303</f>
        <v>92.422409073065808</v>
      </c>
      <c r="V303" s="4">
        <f>[1]节奏总纲!AH303</f>
        <v>101.32661435104789</v>
      </c>
      <c r="AN303" s="4">
        <v>300</v>
      </c>
      <c r="AO303" s="4">
        <f>[1]节奏总纲!BA303</f>
        <v>45.422904937058867</v>
      </c>
      <c r="AP303" s="4">
        <f>[1]节奏总纲!BB303</f>
        <v>46.946651928703787</v>
      </c>
      <c r="AQ303" s="4">
        <f>[1]节奏总纲!BC303</f>
        <v>48.891560746825888</v>
      </c>
      <c r="AR303" s="4">
        <f>[1]节奏总纲!BD303</f>
        <v>51.631666158055346</v>
      </c>
      <c r="AS303" s="4">
        <f>[1]节奏总纲!BE303</f>
        <v>56.343428587831681</v>
      </c>
    </row>
    <row r="304" spans="17:45" x14ac:dyDescent="0.15">
      <c r="Q304" s="4">
        <v>301</v>
      </c>
      <c r="R304" s="4">
        <f>[1]节奏总纲!AD304</f>
        <v>82.375871759353331</v>
      </c>
      <c r="S304" s="4">
        <f>[1]节奏总纲!AE304</f>
        <v>84.476045961238867</v>
      </c>
      <c r="T304" s="4">
        <f>[1]节奏总纲!AF304</f>
        <v>87.419307836790964</v>
      </c>
      <c r="U304" s="4">
        <f>[1]节奏总纲!AG304</f>
        <v>92.472520030413079</v>
      </c>
      <c r="V304" s="4">
        <f>[1]节奏总纲!AH304</f>
        <v>101.3762694221969</v>
      </c>
      <c r="AN304" s="4">
        <v>301</v>
      </c>
      <c r="AO304" s="4">
        <f>[1]节奏总纲!BA304</f>
        <v>45.44522182028097</v>
      </c>
      <c r="AP304" s="4">
        <f>[1]节奏总纲!BB304</f>
        <v>46.9707319822272</v>
      </c>
      <c r="AQ304" s="4">
        <f>[1]节奏总纲!BC304</f>
        <v>48.91548941337205</v>
      </c>
      <c r="AR304" s="4">
        <f>[1]节奏总纲!BD304</f>
        <v>51.654771925974188</v>
      </c>
      <c r="AS304" s="4">
        <f>[1]节奏总纲!BE304</f>
        <v>56.365636337214795</v>
      </c>
    </row>
    <row r="305" spans="17:45" x14ac:dyDescent="0.15">
      <c r="Q305" s="4">
        <v>302</v>
      </c>
      <c r="R305" s="4">
        <f>[1]节奏总纲!AD305</f>
        <v>82.423251222705204</v>
      </c>
      <c r="S305" s="4">
        <f>[1]节奏总纲!AE305</f>
        <v>84.524918672039192</v>
      </c>
      <c r="T305" s="4">
        <f>[1]节奏总纲!AF305</f>
        <v>87.468079592452554</v>
      </c>
      <c r="U305" s="4">
        <f>[1]节奏总纲!AG305</f>
        <v>92.522630987760337</v>
      </c>
      <c r="V305" s="4">
        <f>[1]节奏总纲!AH305</f>
        <v>101.42592449334592</v>
      </c>
      <c r="AN305" s="4">
        <v>302</v>
      </c>
      <c r="AO305" s="4">
        <f>[1]节奏总纲!BA305</f>
        <v>45.467538703503074</v>
      </c>
      <c r="AP305" s="4">
        <f>[1]节奏总纲!BB305</f>
        <v>46.994812035750606</v>
      </c>
      <c r="AQ305" s="4">
        <f>[1]节奏总纲!BC305</f>
        <v>48.939418079918205</v>
      </c>
      <c r="AR305" s="4">
        <f>[1]节奏总纲!BD305</f>
        <v>51.677877693893038</v>
      </c>
      <c r="AS305" s="4">
        <f>[1]节奏总纲!BE305</f>
        <v>56.387844086597902</v>
      </c>
    </row>
    <row r="306" spans="17:45" x14ac:dyDescent="0.15">
      <c r="Q306" s="4">
        <v>303</v>
      </c>
      <c r="R306" s="4">
        <f>[1]节奏总纲!AD306</f>
        <v>82.470630686057078</v>
      </c>
      <c r="S306" s="4">
        <f>[1]节奏总纲!AE306</f>
        <v>84.573791382839516</v>
      </c>
      <c r="T306" s="4">
        <f>[1]节奏总纲!AF306</f>
        <v>87.516851348114145</v>
      </c>
      <c r="U306" s="4">
        <f>[1]节奏总纲!AG306</f>
        <v>92.572741945107595</v>
      </c>
      <c r="V306" s="4">
        <f>[1]节奏总纲!AH306</f>
        <v>101.47557956449492</v>
      </c>
      <c r="AN306" s="4">
        <v>303</v>
      </c>
      <c r="AO306" s="4">
        <f>[1]节奏总纲!BA306</f>
        <v>45.489855586725177</v>
      </c>
      <c r="AP306" s="4">
        <f>[1]节奏总纲!BB306</f>
        <v>47.016308935086101</v>
      </c>
      <c r="AQ306" s="4">
        <f>[1]节奏总纲!BC306</f>
        <v>48.96334674646436</v>
      </c>
      <c r="AR306" s="4">
        <f>[1]节奏总纲!BD306</f>
        <v>51.70098346181188</v>
      </c>
      <c r="AS306" s="4">
        <f>[1]节奏总纲!BE306</f>
        <v>56.410051835981008</v>
      </c>
    </row>
    <row r="307" spans="17:45" x14ac:dyDescent="0.15">
      <c r="Q307" s="4">
        <v>304</v>
      </c>
      <c r="R307" s="4">
        <f>[1]节奏总纲!AD307</f>
        <v>82.518010149408951</v>
      </c>
      <c r="S307" s="4">
        <f>[1]节奏总纲!AE307</f>
        <v>84.622664093639855</v>
      </c>
      <c r="T307" s="4">
        <f>[1]节奏总纲!AF307</f>
        <v>87.565623103775735</v>
      </c>
      <c r="U307" s="4">
        <f>[1]节奏总纲!AG307</f>
        <v>92.622852902454852</v>
      </c>
      <c r="V307" s="4">
        <f>[1]节奏总纲!AH307</f>
        <v>101.52523463564394</v>
      </c>
      <c r="AN307" s="4">
        <v>304</v>
      </c>
      <c r="AO307" s="4">
        <f>[1]节奏总纲!BA307</f>
        <v>45.512172469947281</v>
      </c>
      <c r="AP307" s="4">
        <f>[1]节奏总纲!BB307</f>
        <v>47.037096473408994</v>
      </c>
      <c r="AQ307" s="4">
        <f>[1]节奏总纲!BC307</f>
        <v>48.987275413010522</v>
      </c>
      <c r="AR307" s="4">
        <f>[1]节奏总纲!BD307</f>
        <v>51.72408922973073</v>
      </c>
      <c r="AS307" s="4">
        <f>[1]节奏总纲!BE307</f>
        <v>56.432259585364115</v>
      </c>
    </row>
    <row r="308" spans="17:45" x14ac:dyDescent="0.15">
      <c r="Q308" s="4">
        <v>305</v>
      </c>
      <c r="R308" s="4">
        <f>[1]节奏总纲!AD308</f>
        <v>82.565389612760825</v>
      </c>
      <c r="S308" s="4">
        <f>[1]节奏总纲!AE308</f>
        <v>84.67153680444018</v>
      </c>
      <c r="T308" s="4">
        <f>[1]节奏总纲!AF308</f>
        <v>87.61439485943734</v>
      </c>
      <c r="U308" s="4">
        <f>[1]节奏总纲!AG308</f>
        <v>92.672963859802124</v>
      </c>
      <c r="V308" s="4">
        <f>[1]节奏总纲!AH308</f>
        <v>101.57488970679294</v>
      </c>
      <c r="AN308" s="4">
        <v>305</v>
      </c>
      <c r="AO308" s="4">
        <f>[1]节奏总纲!BA308</f>
        <v>45.534489353169384</v>
      </c>
      <c r="AP308" s="4">
        <f>[1]节奏总纲!BB308</f>
        <v>47.057884011731893</v>
      </c>
      <c r="AQ308" s="4">
        <f>[1]节奏总纲!BC308</f>
        <v>49.009673493801003</v>
      </c>
      <c r="AR308" s="4">
        <f>[1]节奏总纲!BD308</f>
        <v>51.747194997649579</v>
      </c>
      <c r="AS308" s="4">
        <f>[1]节奏总纲!BE308</f>
        <v>56.454467334747228</v>
      </c>
    </row>
    <row r="309" spans="17:45" x14ac:dyDescent="0.15">
      <c r="Q309" s="4">
        <v>306</v>
      </c>
      <c r="R309" s="4">
        <f>[1]节奏总纲!AD309</f>
        <v>82.612769076112698</v>
      </c>
      <c r="S309" s="4">
        <f>[1]节奏总纲!AE309</f>
        <v>84.720409515240505</v>
      </c>
      <c r="T309" s="4">
        <f>[1]节奏总纲!AF309</f>
        <v>87.66316661509893</v>
      </c>
      <c r="U309" s="4">
        <f>[1]节奏总纲!AG309</f>
        <v>92.723074817149381</v>
      </c>
      <c r="V309" s="4">
        <f>[1]节奏总纲!AH309</f>
        <v>101.62454477794196</v>
      </c>
      <c r="AN309" s="4">
        <v>306</v>
      </c>
      <c r="AO309" s="4">
        <f>[1]节奏总纲!BA309</f>
        <v>45.556806236391488</v>
      </c>
      <c r="AP309" s="4">
        <f>[1]节奏总纲!BB309</f>
        <v>47.078671550054786</v>
      </c>
      <c r="AQ309" s="4">
        <f>[1]节奏总纲!BC309</f>
        <v>49.030333272797542</v>
      </c>
      <c r="AR309" s="4">
        <f>[1]节奏总纲!BD309</f>
        <v>51.770300765568422</v>
      </c>
      <c r="AS309" s="4">
        <f>[1]节奏总纲!BE309</f>
        <v>56.476675084130335</v>
      </c>
    </row>
    <row r="310" spans="17:45" x14ac:dyDescent="0.15">
      <c r="Q310" s="4">
        <v>307</v>
      </c>
      <c r="R310" s="4">
        <f>[1]节奏总纲!AD310</f>
        <v>82.660148539464572</v>
      </c>
      <c r="S310" s="4">
        <f>[1]节奏总纲!AE310</f>
        <v>84.769282226040829</v>
      </c>
      <c r="T310" s="4">
        <f>[1]节奏总纲!AF310</f>
        <v>87.711938370760521</v>
      </c>
      <c r="U310" s="4">
        <f>[1]节奏总纲!AG310</f>
        <v>92.773185774496639</v>
      </c>
      <c r="V310" s="4">
        <f>[1]节奏总纲!AH310</f>
        <v>101.67419984909097</v>
      </c>
      <c r="AN310" s="4">
        <v>307</v>
      </c>
      <c r="AO310" s="4">
        <f>[1]节奏总纲!BA310</f>
        <v>45.579123119613591</v>
      </c>
      <c r="AP310" s="4">
        <f>[1]节奏总纲!BB310</f>
        <v>47.099459088377678</v>
      </c>
      <c r="AQ310" s="4">
        <f>[1]节奏总纲!BC310</f>
        <v>49.05099305179408</v>
      </c>
      <c r="AR310" s="4">
        <f>[1]节奏总纲!BD310</f>
        <v>51.793406533487271</v>
      </c>
      <c r="AS310" s="4">
        <f>[1]节奏总纲!BE310</f>
        <v>56.498882833513441</v>
      </c>
    </row>
    <row r="311" spans="17:45" x14ac:dyDescent="0.15">
      <c r="Q311" s="4">
        <v>308</v>
      </c>
      <c r="R311" s="4">
        <f>[1]节奏总纲!AD311</f>
        <v>82.707528002816446</v>
      </c>
      <c r="S311" s="4">
        <f>[1]节奏总纲!AE311</f>
        <v>84.818154936841154</v>
      </c>
      <c r="T311" s="4">
        <f>[1]节奏总纲!AF311</f>
        <v>87.760710126422126</v>
      </c>
      <c r="U311" s="4">
        <f>[1]节奏总纲!AG311</f>
        <v>92.823296731843911</v>
      </c>
      <c r="V311" s="4">
        <f>[1]节奏总纲!AH311</f>
        <v>101.72385492023999</v>
      </c>
      <c r="AN311" s="4">
        <v>308</v>
      </c>
      <c r="AO311" s="4">
        <f>[1]节奏总纲!BA311</f>
        <v>45.601440002835695</v>
      </c>
      <c r="AP311" s="4">
        <f>[1]节奏总纲!BB311</f>
        <v>47.12024662670057</v>
      </c>
      <c r="AQ311" s="4">
        <f>[1]节奏总纲!BC311</f>
        <v>49.071652830790612</v>
      </c>
      <c r="AR311" s="4">
        <f>[1]节奏总纲!BD311</f>
        <v>51.816512301406114</v>
      </c>
      <c r="AS311" s="4">
        <f>[1]节奏总纲!BE311</f>
        <v>56.521090582896548</v>
      </c>
    </row>
    <row r="312" spans="17:45" x14ac:dyDescent="0.15">
      <c r="Q312" s="4">
        <v>309</v>
      </c>
      <c r="R312" s="4">
        <f>[1]节奏总纲!AD312</f>
        <v>82.754907466168319</v>
      </c>
      <c r="S312" s="4">
        <f>[1]节奏总纲!AE312</f>
        <v>84.867027647641493</v>
      </c>
      <c r="T312" s="4">
        <f>[1]节奏总纲!AF312</f>
        <v>87.809481882083716</v>
      </c>
      <c r="U312" s="4">
        <f>[1]节奏总纲!AG312</f>
        <v>92.873407689191168</v>
      </c>
      <c r="V312" s="4">
        <f>[1]节奏总纲!AH312</f>
        <v>101.77350999138899</v>
      </c>
      <c r="AN312" s="4">
        <v>309</v>
      </c>
      <c r="AO312" s="4">
        <f>[1]节奏总纲!BA312</f>
        <v>45.623756886057798</v>
      </c>
      <c r="AP312" s="4">
        <f>[1]节奏总纲!BB312</f>
        <v>47.14103416502347</v>
      </c>
      <c r="AQ312" s="4">
        <f>[1]节奏总纲!BC312</f>
        <v>49.09231260978715</v>
      </c>
      <c r="AR312" s="4">
        <f>[1]节奏总纲!BD312</f>
        <v>51.839618069324963</v>
      </c>
      <c r="AS312" s="4">
        <f>[1]节奏总纲!BE312</f>
        <v>56.543298332279662</v>
      </c>
    </row>
    <row r="313" spans="17:45" x14ac:dyDescent="0.15">
      <c r="Q313" s="4">
        <v>310</v>
      </c>
      <c r="R313" s="4">
        <f>[1]节奏总纲!AD313</f>
        <v>82.802286929520193</v>
      </c>
      <c r="S313" s="4">
        <f>[1]节奏总纲!AE313</f>
        <v>84.915900358441817</v>
      </c>
      <c r="T313" s="4">
        <f>[1]节奏总纲!AF313</f>
        <v>87.858253637745307</v>
      </c>
      <c r="U313" s="4">
        <f>[1]节奏总纲!AG313</f>
        <v>92.923518646538426</v>
      </c>
      <c r="V313" s="4">
        <f>[1]节奏总纲!AH313</f>
        <v>101.82316506253801</v>
      </c>
      <c r="AN313" s="4">
        <v>310</v>
      </c>
      <c r="AO313" s="4">
        <f>[1]节奏总纲!BA313</f>
        <v>45.646073769279901</v>
      </c>
      <c r="AP313" s="4">
        <f>[1]节奏总纲!BB313</f>
        <v>47.161821703346362</v>
      </c>
      <c r="AQ313" s="4">
        <f>[1]节奏总纲!BC313</f>
        <v>49.112972388783689</v>
      </c>
      <c r="AR313" s="4">
        <f>[1]节奏总纲!BD313</f>
        <v>51.862723837243806</v>
      </c>
      <c r="AS313" s="4">
        <f>[1]节奏总纲!BE313</f>
        <v>56.565506081662768</v>
      </c>
    </row>
    <row r="314" spans="17:45" x14ac:dyDescent="0.15">
      <c r="Q314" s="4">
        <v>311</v>
      </c>
      <c r="R314" s="4">
        <f>[1]节奏总纲!AD314</f>
        <v>82.849666392872066</v>
      </c>
      <c r="S314" s="4">
        <f>[1]节奏总纲!AE314</f>
        <v>84.964773069242142</v>
      </c>
      <c r="T314" s="4">
        <f>[1]节奏总纲!AF314</f>
        <v>87.907025393406897</v>
      </c>
      <c r="U314" s="4">
        <f>[1]节奏总纲!AG314</f>
        <v>92.973629603885698</v>
      </c>
      <c r="V314" s="4">
        <f>[1]节奏总纲!AH314</f>
        <v>101.87282013368701</v>
      </c>
      <c r="AN314" s="4">
        <v>311</v>
      </c>
      <c r="AO314" s="4">
        <f>[1]节奏总纲!BA314</f>
        <v>45.668390652502012</v>
      </c>
      <c r="AP314" s="4">
        <f>[1]节奏总纲!BB314</f>
        <v>47.182609241669255</v>
      </c>
      <c r="AQ314" s="4">
        <f>[1]节奏总纲!BC314</f>
        <v>49.133632167780227</v>
      </c>
      <c r="AR314" s="4">
        <f>[1]节奏总纲!BD314</f>
        <v>51.885829605162655</v>
      </c>
      <c r="AS314" s="4">
        <f>[1]节奏总纲!BE314</f>
        <v>56.587713831045875</v>
      </c>
    </row>
    <row r="315" spans="17:45" x14ac:dyDescent="0.15">
      <c r="Q315" s="4">
        <v>312</v>
      </c>
      <c r="R315" s="4">
        <f>[1]节奏总纲!AD315</f>
        <v>82.89704585622394</v>
      </c>
      <c r="S315" s="4">
        <f>[1]节奏总纲!AE315</f>
        <v>85.012531647506819</v>
      </c>
      <c r="T315" s="4">
        <f>[1]节奏总纲!AF315</f>
        <v>87.955797149068502</v>
      </c>
      <c r="U315" s="4">
        <f>[1]节奏总纲!AG315</f>
        <v>93.022367647203353</v>
      </c>
      <c r="V315" s="4">
        <f>[1]节奏总纲!AH315</f>
        <v>101.92247520483603</v>
      </c>
      <c r="AN315" s="4">
        <v>312</v>
      </c>
      <c r="AO315" s="4">
        <f>[1]节奏总纲!BA315</f>
        <v>45.690707535724115</v>
      </c>
      <c r="AP315" s="4">
        <f>[1]节奏总纲!BB315</f>
        <v>47.203396779992147</v>
      </c>
      <c r="AQ315" s="4">
        <f>[1]节奏总纲!BC315</f>
        <v>49.154291946776759</v>
      </c>
      <c r="AR315" s="4">
        <f>[1]节奏总纲!BD315</f>
        <v>51.908935373081505</v>
      </c>
      <c r="AS315" s="4">
        <f>[1]节奏总纲!BE315</f>
        <v>56.609921580428981</v>
      </c>
    </row>
    <row r="316" spans="17:45" x14ac:dyDescent="0.15">
      <c r="Q316" s="4">
        <v>313</v>
      </c>
      <c r="R316" s="4">
        <f>[1]节奏总纲!AD316</f>
        <v>82.944425319575814</v>
      </c>
      <c r="S316" s="4">
        <f>[1]节奏总纲!AE316</f>
        <v>85.057414064088832</v>
      </c>
      <c r="T316" s="4">
        <f>[1]节奏总纲!AF316</f>
        <v>88.004756197276762</v>
      </c>
      <c r="U316" s="4">
        <f>[1]节奏总纲!AG316</f>
        <v>93.069580693431178</v>
      </c>
      <c r="V316" s="4">
        <f>[1]节奏总纲!AH316</f>
        <v>101.97213027598504</v>
      </c>
      <c r="AN316" s="4">
        <v>313</v>
      </c>
      <c r="AO316" s="4">
        <f>[1]节奏总纲!BA316</f>
        <v>45.713024418946219</v>
      </c>
      <c r="AP316" s="4">
        <f>[1]节奏总纲!BB316</f>
        <v>47.224184318315039</v>
      </c>
      <c r="AQ316" s="4">
        <f>[1]节奏总纲!BC316</f>
        <v>49.174951725773298</v>
      </c>
      <c r="AR316" s="4">
        <f>[1]节奏总纲!BD316</f>
        <v>51.932041141000347</v>
      </c>
      <c r="AS316" s="4">
        <f>[1]节奏总纲!BE316</f>
        <v>56.632129329812095</v>
      </c>
    </row>
    <row r="317" spans="17:45" x14ac:dyDescent="0.15">
      <c r="Q317" s="4">
        <v>314</v>
      </c>
      <c r="R317" s="4">
        <f>[1]节奏总纲!AD317</f>
        <v>82.991804782927687</v>
      </c>
      <c r="S317" s="4">
        <f>[1]节奏总纲!AE317</f>
        <v>85.10229648067083</v>
      </c>
      <c r="T317" s="4">
        <f>[1]节奏总纲!AF317</f>
        <v>88.05552724748766</v>
      </c>
      <c r="U317" s="4">
        <f>[1]节奏总纲!AG317</f>
        <v>93.116793739659002</v>
      </c>
      <c r="V317" s="4">
        <f>[1]节奏总纲!AH317</f>
        <v>102.01969836502204</v>
      </c>
      <c r="AN317" s="4">
        <v>314</v>
      </c>
      <c r="AO317" s="4">
        <f>[1]节奏总纲!BA317</f>
        <v>45.735341302168322</v>
      </c>
      <c r="AP317" s="4">
        <f>[1]节奏总纲!BB317</f>
        <v>47.244971856637939</v>
      </c>
      <c r="AQ317" s="4">
        <f>[1]节奏总纲!BC317</f>
        <v>49.195611504769836</v>
      </c>
      <c r="AR317" s="4">
        <f>[1]节奏总纲!BD317</f>
        <v>51.955146908919197</v>
      </c>
      <c r="AS317" s="4">
        <f>[1]节奏总纲!BE317</f>
        <v>56.654337079195201</v>
      </c>
    </row>
    <row r="318" spans="17:45" x14ac:dyDescent="0.15">
      <c r="Q318" s="4">
        <v>315</v>
      </c>
      <c r="R318" s="4">
        <f>[1]节奏总纲!AD318</f>
        <v>83.03656019452734</v>
      </c>
      <c r="S318" s="4">
        <f>[1]节奏总纲!AE318</f>
        <v>85.147178897252829</v>
      </c>
      <c r="T318" s="4">
        <f>[1]节奏总纲!AF318</f>
        <v>88.106298297698572</v>
      </c>
      <c r="U318" s="4">
        <f>[1]节奏总纲!AG318</f>
        <v>93.164006785886826</v>
      </c>
      <c r="V318" s="4">
        <f>[1]节奏总纲!AH318</f>
        <v>102.06459660376342</v>
      </c>
      <c r="AN318" s="4">
        <v>315</v>
      </c>
      <c r="AO318" s="4">
        <f>[1]节奏总纲!BA318</f>
        <v>45.757658185390426</v>
      </c>
      <c r="AP318" s="4">
        <f>[1]节奏总纲!BB318</f>
        <v>47.265759394960831</v>
      </c>
      <c r="AQ318" s="4">
        <f>[1]节奏总纲!BC318</f>
        <v>49.216271283766375</v>
      </c>
      <c r="AR318" s="4">
        <f>[1]节奏总纲!BD318</f>
        <v>51.978252676838039</v>
      </c>
      <c r="AS318" s="4">
        <f>[1]节奏总纲!BE318</f>
        <v>56.676544828578308</v>
      </c>
    </row>
    <row r="319" spans="17:45" x14ac:dyDescent="0.15">
      <c r="Q319" s="4">
        <v>316</v>
      </c>
      <c r="R319" s="4">
        <f>[1]节奏总纲!AD319</f>
        <v>83.080766796955942</v>
      </c>
      <c r="S319" s="4">
        <f>[1]节奏总纲!AE319</f>
        <v>85.192061313834827</v>
      </c>
      <c r="T319" s="4">
        <f>[1]节奏总纲!AF319</f>
        <v>88.15706934790947</v>
      </c>
      <c r="U319" s="4">
        <f>[1]节奏总纲!AG319</f>
        <v>93.211219832114651</v>
      </c>
      <c r="V319" s="4">
        <f>[1]节奏总纲!AH319</f>
        <v>102.1094948425048</v>
      </c>
      <c r="AN319" s="4">
        <v>316</v>
      </c>
      <c r="AO319" s="4">
        <f>[1]节奏总纲!BA319</f>
        <v>45.779975068612529</v>
      </c>
      <c r="AP319" s="4">
        <f>[1]节奏总纲!BB319</f>
        <v>47.286546933283724</v>
      </c>
      <c r="AQ319" s="4">
        <f>[1]节奏总纲!BC319</f>
        <v>49.236931062762913</v>
      </c>
      <c r="AR319" s="4">
        <f>[1]节奏总纲!BD319</f>
        <v>52.001173105835825</v>
      </c>
      <c r="AS319" s="4">
        <f>[1]节奏总纲!BE319</f>
        <v>56.698752577961415</v>
      </c>
    </row>
    <row r="320" spans="17:45" x14ac:dyDescent="0.15">
      <c r="Q320" s="4">
        <v>317</v>
      </c>
      <c r="R320" s="4">
        <f>[1]节奏总纲!AD320</f>
        <v>83.124973399384558</v>
      </c>
      <c r="S320" s="4">
        <f>[1]节奏总纲!AE320</f>
        <v>85.236943730416826</v>
      </c>
      <c r="T320" s="4">
        <f>[1]节奏总纲!AF320</f>
        <v>88.207840398120382</v>
      </c>
      <c r="U320" s="4">
        <f>[1]节奏总纲!AG320</f>
        <v>93.258432878342475</v>
      </c>
      <c r="V320" s="4">
        <f>[1]节奏总纲!AH320</f>
        <v>102.15439308124618</v>
      </c>
      <c r="AN320" s="4">
        <v>317</v>
      </c>
      <c r="AO320" s="4">
        <f>[1]节奏总纲!BA320</f>
        <v>45.802291951834633</v>
      </c>
      <c r="AP320" s="4">
        <f>[1]节奏总纲!BB320</f>
        <v>47.307334471606616</v>
      </c>
      <c r="AQ320" s="4">
        <f>[1]节奏总纲!BC320</f>
        <v>49.257590841759445</v>
      </c>
      <c r="AR320" s="4">
        <f>[1]节奏总纲!BD320</f>
        <v>52.021126446631868</v>
      </c>
      <c r="AS320" s="4">
        <f>[1]节奏总纲!BE320</f>
        <v>56.720960327344528</v>
      </c>
    </row>
    <row r="321" spans="17:45" x14ac:dyDescent="0.15">
      <c r="Q321" s="4">
        <v>318</v>
      </c>
      <c r="R321" s="4">
        <f>[1]节奏总纲!AD321</f>
        <v>83.16918000181316</v>
      </c>
      <c r="S321" s="4">
        <f>[1]节奏总纲!AE321</f>
        <v>85.281826146998839</v>
      </c>
      <c r="T321" s="4">
        <f>[1]节奏总纲!AF321</f>
        <v>88.258611448331294</v>
      </c>
      <c r="U321" s="4">
        <f>[1]节奏总纲!AG321</f>
        <v>93.3056459245703</v>
      </c>
      <c r="V321" s="4">
        <f>[1]节奏总纲!AH321</f>
        <v>102.19929131998755</v>
      </c>
      <c r="AN321" s="4">
        <v>318</v>
      </c>
      <c r="AO321" s="4">
        <f>[1]节奏总纲!BA321</f>
        <v>45.824608835056736</v>
      </c>
      <c r="AP321" s="4">
        <f>[1]节奏总纲!BB321</f>
        <v>47.328122009929508</v>
      </c>
      <c r="AQ321" s="4">
        <f>[1]节奏总纲!BC321</f>
        <v>49.278250620755983</v>
      </c>
      <c r="AR321" s="4">
        <f>[1]节奏总纲!BD321</f>
        <v>52.041079787427918</v>
      </c>
      <c r="AS321" s="4">
        <f>[1]节奏总纲!BE321</f>
        <v>56.743168076727635</v>
      </c>
    </row>
    <row r="322" spans="17:45" x14ac:dyDescent="0.15">
      <c r="Q322" s="4">
        <v>319</v>
      </c>
      <c r="R322" s="4">
        <f>[1]节奏总纲!AD322</f>
        <v>83.213386604241776</v>
      </c>
      <c r="S322" s="4">
        <f>[1]节奏总纲!AE322</f>
        <v>85.326708563580837</v>
      </c>
      <c r="T322" s="4">
        <f>[1]节奏总纲!AF322</f>
        <v>88.309382498542192</v>
      </c>
      <c r="U322" s="4">
        <f>[1]节奏总纲!AG322</f>
        <v>93.352858970798124</v>
      </c>
      <c r="V322" s="4">
        <f>[1]节奏总纲!AH322</f>
        <v>102.24418955872893</v>
      </c>
      <c r="AN322" s="4">
        <v>319</v>
      </c>
      <c r="AO322" s="4">
        <f>[1]节奏总纲!BA322</f>
        <v>45.84692571827884</v>
      </c>
      <c r="AP322" s="4">
        <f>[1]节奏总纲!BB322</f>
        <v>47.348909548252408</v>
      </c>
      <c r="AQ322" s="4">
        <f>[1]节奏总纲!BC322</f>
        <v>49.298910399752522</v>
      </c>
      <c r="AR322" s="4">
        <f>[1]节奏总纲!BD322</f>
        <v>52.061033128223968</v>
      </c>
      <c r="AS322" s="4">
        <f>[1]节奏总纲!BE322</f>
        <v>56.765375826110741</v>
      </c>
    </row>
    <row r="323" spans="17:45" x14ac:dyDescent="0.15">
      <c r="Q323" s="4">
        <v>320</v>
      </c>
      <c r="R323" s="4">
        <f>[1]节奏总纲!AD323</f>
        <v>83.257593206670379</v>
      </c>
      <c r="S323" s="4">
        <f>[1]节奏总纲!AE323</f>
        <v>85.371590980162836</v>
      </c>
      <c r="T323" s="4">
        <f>[1]节奏总纲!AF323</f>
        <v>88.360153548753104</v>
      </c>
      <c r="U323" s="4">
        <f>[1]节奏总纲!AG323</f>
        <v>93.400072017025948</v>
      </c>
      <c r="V323" s="4">
        <f>[1]节奏总纲!AH323</f>
        <v>102.28908779747032</v>
      </c>
      <c r="AN323" s="4">
        <v>320</v>
      </c>
      <c r="AO323" s="4">
        <f>[1]节奏总纲!BA323</f>
        <v>45.869242601500943</v>
      </c>
      <c r="AP323" s="4">
        <f>[1]节奏总纲!BB323</f>
        <v>47.3696970865753</v>
      </c>
      <c r="AQ323" s="4">
        <f>[1]节奏总纲!BC323</f>
        <v>49.319570178749061</v>
      </c>
      <c r="AR323" s="4">
        <f>[1]节奏总纲!BD323</f>
        <v>52.080986469020011</v>
      </c>
      <c r="AS323" s="4">
        <f>[1]节奏总纲!BE323</f>
        <v>56.787583575493848</v>
      </c>
    </row>
    <row r="324" spans="17:45" x14ac:dyDescent="0.15">
      <c r="Q324" s="4">
        <v>321</v>
      </c>
      <c r="R324" s="4">
        <f>[1]节奏总纲!AD324</f>
        <v>83.301799809098995</v>
      </c>
      <c r="S324" s="4">
        <f>[1]节奏总纲!AE324</f>
        <v>85.416473396744834</v>
      </c>
      <c r="T324" s="4">
        <f>[1]节奏总纲!AF324</f>
        <v>88.410924598964016</v>
      </c>
      <c r="U324" s="4">
        <f>[1]节奏总纲!AG324</f>
        <v>93.447285063253773</v>
      </c>
      <c r="V324" s="4">
        <f>[1]节奏总纲!AH324</f>
        <v>102.3339860362117</v>
      </c>
      <c r="AN324" s="4">
        <v>321</v>
      </c>
      <c r="AO324" s="4">
        <f>[1]节奏总纲!BA324</f>
        <v>45.891559484723047</v>
      </c>
      <c r="AP324" s="4">
        <f>[1]节奏总纲!BB324</f>
        <v>47.390484624898193</v>
      </c>
      <c r="AQ324" s="4">
        <f>[1]节奏总纲!BC324</f>
        <v>49.340229957745592</v>
      </c>
      <c r="AR324" s="4">
        <f>[1]节奏总纲!BD324</f>
        <v>52.100939809816062</v>
      </c>
      <c r="AS324" s="4">
        <f>[1]节奏总纲!BE324</f>
        <v>56.809791324876961</v>
      </c>
    </row>
    <row r="325" spans="17:45" x14ac:dyDescent="0.15">
      <c r="Q325" s="4">
        <v>322</v>
      </c>
      <c r="R325" s="4">
        <f>[1]节奏总纲!AD325</f>
        <v>83.346006411527597</v>
      </c>
      <c r="S325" s="4">
        <f>[1]节奏总纲!AE325</f>
        <v>85.461355813326847</v>
      </c>
      <c r="T325" s="4">
        <f>[1]节奏总纲!AF325</f>
        <v>88.461695649174914</v>
      </c>
      <c r="U325" s="4">
        <f>[1]节奏总纲!AG325</f>
        <v>93.494498109481597</v>
      </c>
      <c r="V325" s="4">
        <f>[1]节奏总纲!AH325</f>
        <v>102.37888427495307</v>
      </c>
      <c r="AN325" s="4">
        <v>322</v>
      </c>
      <c r="AO325" s="4">
        <f>[1]节奏总纲!BA325</f>
        <v>45.91387636794515</v>
      </c>
      <c r="AP325" s="4">
        <f>[1]节奏总纲!BB325</f>
        <v>47.411272163221085</v>
      </c>
      <c r="AQ325" s="4">
        <f>[1]节奏总纲!BC325</f>
        <v>49.360889736742131</v>
      </c>
      <c r="AR325" s="4">
        <f>[1]节奏总纲!BD325</f>
        <v>52.120893150612112</v>
      </c>
      <c r="AS325" s="4">
        <f>[1]节奏总纲!BE325</f>
        <v>56.831999074260068</v>
      </c>
    </row>
    <row r="326" spans="17:45" x14ac:dyDescent="0.15">
      <c r="Q326" s="4">
        <v>323</v>
      </c>
      <c r="R326" s="4">
        <f>[1]节奏总纲!AD326</f>
        <v>83.390213013956213</v>
      </c>
      <c r="S326" s="4">
        <f>[1]节奏总纲!AE326</f>
        <v>85.506238229908845</v>
      </c>
      <c r="T326" s="4">
        <f>[1]节奏总纲!AF326</f>
        <v>88.512466699385826</v>
      </c>
      <c r="U326" s="4">
        <f>[1]节奏总纲!AG326</f>
        <v>93.541711155709422</v>
      </c>
      <c r="V326" s="4">
        <f>[1]节奏总纲!AH326</f>
        <v>102.42378251369445</v>
      </c>
      <c r="AN326" s="4">
        <v>323</v>
      </c>
      <c r="AO326" s="4">
        <f>[1]节奏总纲!BA326</f>
        <v>45.936193251167253</v>
      </c>
      <c r="AP326" s="4">
        <f>[1]节奏总纲!BB326</f>
        <v>47.432059701543984</v>
      </c>
      <c r="AQ326" s="4">
        <f>[1]节奏总纲!BC326</f>
        <v>49.381549515738669</v>
      </c>
      <c r="AR326" s="4">
        <f>[1]节奏总纲!BD326</f>
        <v>52.140846491408155</v>
      </c>
      <c r="AS326" s="4">
        <f>[1]节奏总纲!BE326</f>
        <v>56.854206823643175</v>
      </c>
    </row>
    <row r="327" spans="17:45" x14ac:dyDescent="0.15">
      <c r="Q327" s="4">
        <v>324</v>
      </c>
      <c r="R327" s="4">
        <f>[1]节奏总纲!AD327</f>
        <v>83.434419616384815</v>
      </c>
      <c r="S327" s="4">
        <f>[1]节奏总纲!AE327</f>
        <v>85.551120646490844</v>
      </c>
      <c r="T327" s="4">
        <f>[1]节奏总纲!AF327</f>
        <v>88.563237749596723</v>
      </c>
      <c r="U327" s="4">
        <f>[1]节奏总纲!AG327</f>
        <v>93.588924201937246</v>
      </c>
      <c r="V327" s="4">
        <f>[1]节奏总纲!AH327</f>
        <v>102.46868075243583</v>
      </c>
      <c r="AN327" s="4">
        <v>324</v>
      </c>
      <c r="AO327" s="4">
        <f>[1]节奏总纲!BA327</f>
        <v>45.958510134389357</v>
      </c>
      <c r="AP327" s="4">
        <f>[1]节奏总纲!BB327</f>
        <v>47.452847239866877</v>
      </c>
      <c r="AQ327" s="4">
        <f>[1]节奏总纲!BC327</f>
        <v>49.402209294735208</v>
      </c>
      <c r="AR327" s="4">
        <f>[1]节奏总纲!BD327</f>
        <v>52.160799832204205</v>
      </c>
      <c r="AS327" s="4">
        <f>[1]节奏总纲!BE327</f>
        <v>56.876414573026281</v>
      </c>
    </row>
    <row r="328" spans="17:45" x14ac:dyDescent="0.15">
      <c r="Q328" s="4">
        <v>325</v>
      </c>
      <c r="R328" s="4">
        <f>[1]节奏总纲!AD328</f>
        <v>83.478626218813432</v>
      </c>
      <c r="S328" s="4">
        <f>[1]节奏总纲!AE328</f>
        <v>85.596003063072843</v>
      </c>
      <c r="T328" s="4">
        <f>[1]节奏总纲!AF328</f>
        <v>88.614008799807635</v>
      </c>
      <c r="U328" s="4">
        <f>[1]节奏总纲!AG328</f>
        <v>93.63613724816507</v>
      </c>
      <c r="V328" s="4">
        <f>[1]节奏总纲!AH328</f>
        <v>102.51357899117721</v>
      </c>
      <c r="AN328" s="4">
        <v>325</v>
      </c>
      <c r="AO328" s="4">
        <f>[1]节奏总纲!BA328</f>
        <v>45.98082701761146</v>
      </c>
      <c r="AP328" s="4">
        <f>[1]节奏总纲!BB328</f>
        <v>47.473634778189769</v>
      </c>
      <c r="AQ328" s="4">
        <f>[1]节奏总纲!BC328</f>
        <v>49.422869073731739</v>
      </c>
      <c r="AR328" s="4">
        <f>[1]节奏总纲!BD328</f>
        <v>52.180753173000248</v>
      </c>
      <c r="AS328" s="4">
        <f>[1]节奏总纲!BE328</f>
        <v>56.898622322409395</v>
      </c>
    </row>
    <row r="329" spans="17:45" x14ac:dyDescent="0.15">
      <c r="Q329" s="4">
        <v>326</v>
      </c>
      <c r="R329" s="4">
        <f>[1]节奏总纲!AD329</f>
        <v>83.522832821242034</v>
      </c>
      <c r="S329" s="4">
        <f>[1]节奏总纲!AE329</f>
        <v>85.640885479654855</v>
      </c>
      <c r="T329" s="4">
        <f>[1]节奏总纲!AF329</f>
        <v>88.664779850018547</v>
      </c>
      <c r="U329" s="4">
        <f>[1]节奏总纲!AG329</f>
        <v>93.683350294392895</v>
      </c>
      <c r="V329" s="4">
        <f>[1]节奏总纲!AH329</f>
        <v>102.55847722991859</v>
      </c>
      <c r="AN329" s="4">
        <v>326</v>
      </c>
      <c r="AO329" s="4">
        <f>[1]节奏总纲!BA329</f>
        <v>46.002713830586146</v>
      </c>
      <c r="AP329" s="4">
        <f>[1]节奏总纲!BB329</f>
        <v>47.494422316512662</v>
      </c>
      <c r="AQ329" s="4">
        <f>[1]节奏总纲!BC329</f>
        <v>49.443528852728278</v>
      </c>
      <c r="AR329" s="4">
        <f>[1]节奏总纲!BD329</f>
        <v>52.200706513796298</v>
      </c>
      <c r="AS329" s="4">
        <f>[1]节奏总纲!BE329</f>
        <v>56.920830071792501</v>
      </c>
    </row>
    <row r="330" spans="17:45" x14ac:dyDescent="0.15">
      <c r="Q330" s="4">
        <v>327</v>
      </c>
      <c r="R330" s="4">
        <f>[1]节奏总纲!AD330</f>
        <v>83.56703942367065</v>
      </c>
      <c r="S330" s="4">
        <f>[1]节奏总纲!AE330</f>
        <v>85.685767896236854</v>
      </c>
      <c r="T330" s="4">
        <f>[1]节奏总纲!AF330</f>
        <v>88.715550900229445</v>
      </c>
      <c r="U330" s="4">
        <f>[1]节奏总纲!AG330</f>
        <v>93.730563340620719</v>
      </c>
      <c r="V330" s="4">
        <f>[1]节奏总纲!AH330</f>
        <v>102.60337546865996</v>
      </c>
      <c r="AN330" s="4">
        <v>327</v>
      </c>
      <c r="AO330" s="4">
        <f>[1]节奏总纲!BA330</f>
        <v>46.021977873404879</v>
      </c>
      <c r="AP330" s="4">
        <f>[1]节奏总纲!BB330</f>
        <v>47.515209854835554</v>
      </c>
      <c r="AQ330" s="4">
        <f>[1]节奏总纲!BC330</f>
        <v>49.464188631724817</v>
      </c>
      <c r="AR330" s="4">
        <f>[1]节奏总纲!BD330</f>
        <v>52.220659854592348</v>
      </c>
      <c r="AS330" s="4">
        <f>[1]节奏总纲!BE330</f>
        <v>56.943037821175608</v>
      </c>
    </row>
    <row r="331" spans="17:45" x14ac:dyDescent="0.15">
      <c r="Q331" s="4">
        <v>328</v>
      </c>
      <c r="R331" s="4">
        <f>[1]节奏总纲!AD331</f>
        <v>83.611246026099252</v>
      </c>
      <c r="S331" s="4">
        <f>[1]节奏总纲!AE331</f>
        <v>85.730650312818852</v>
      </c>
      <c r="T331" s="4">
        <f>[1]节奏总纲!AF331</f>
        <v>88.766321950440357</v>
      </c>
      <c r="U331" s="4">
        <f>[1]节奏总纲!AG331</f>
        <v>93.777776386848544</v>
      </c>
      <c r="V331" s="4">
        <f>[1]节奏总纲!AH331</f>
        <v>102.64827370740134</v>
      </c>
      <c r="AN331" s="4">
        <v>328</v>
      </c>
      <c r="AO331" s="4">
        <f>[1]节奏总纲!BA331</f>
        <v>46.041241916223605</v>
      </c>
      <c r="AP331" s="4">
        <f>[1]节奏总纲!BB331</f>
        <v>47.535997393158453</v>
      </c>
      <c r="AQ331" s="4">
        <f>[1]节奏总纲!BC331</f>
        <v>49.484848410721355</v>
      </c>
      <c r="AR331" s="4">
        <f>[1]节奏总纲!BD331</f>
        <v>52.240613195388391</v>
      </c>
      <c r="AS331" s="4">
        <f>[1]节奏总纲!BE331</f>
        <v>56.965245570558714</v>
      </c>
    </row>
    <row r="332" spans="17:45" x14ac:dyDescent="0.15">
      <c r="Q332" s="4">
        <v>329</v>
      </c>
      <c r="R332" s="4">
        <f>[1]节奏总纲!AD332</f>
        <v>83.655452628527868</v>
      </c>
      <c r="S332" s="4">
        <f>[1]节奏总纲!AE332</f>
        <v>85.775532729400851</v>
      </c>
      <c r="T332" s="4">
        <f>[1]节奏总纲!AF332</f>
        <v>88.817093000651269</v>
      </c>
      <c r="U332" s="4">
        <f>[1]节奏总纲!AG332</f>
        <v>93.824989433076368</v>
      </c>
      <c r="V332" s="4">
        <f>[1]节奏总纲!AH332</f>
        <v>102.69317194614273</v>
      </c>
      <c r="AN332" s="4">
        <v>329</v>
      </c>
      <c r="AO332" s="4">
        <f>[1]节奏总纲!BA332</f>
        <v>46.060505959042331</v>
      </c>
      <c r="AP332" s="4">
        <f>[1]节奏总纲!BB332</f>
        <v>47.556784931481346</v>
      </c>
      <c r="AQ332" s="4">
        <f>[1]节奏总纲!BC332</f>
        <v>49.505508189717887</v>
      </c>
      <c r="AR332" s="4">
        <f>[1]节奏总纲!BD332</f>
        <v>52.260566536184442</v>
      </c>
      <c r="AS332" s="4">
        <f>[1]节奏总纲!BE332</f>
        <v>56.987453319941828</v>
      </c>
    </row>
    <row r="333" spans="17:45" x14ac:dyDescent="0.15">
      <c r="Q333" s="4">
        <v>330</v>
      </c>
      <c r="R333" s="4">
        <f>[1]节奏总纲!AD333</f>
        <v>83.69965923095647</v>
      </c>
      <c r="S333" s="4">
        <f>[1]节奏总纲!AE333</f>
        <v>85.820415145982849</v>
      </c>
      <c r="T333" s="4">
        <f>[1]节奏总纲!AF333</f>
        <v>88.867864050862167</v>
      </c>
      <c r="U333" s="4">
        <f>[1]节奏总纲!AG333</f>
        <v>93.872202479304192</v>
      </c>
      <c r="V333" s="4">
        <f>[1]节奏总纲!AH333</f>
        <v>102.73807018488411</v>
      </c>
      <c r="AN333" s="4">
        <v>330</v>
      </c>
      <c r="AO333" s="4">
        <f>[1]节奏总纲!BA333</f>
        <v>46.079770001861057</v>
      </c>
      <c r="AP333" s="4">
        <f>[1]节奏总纲!BB333</f>
        <v>47.577572469804238</v>
      </c>
      <c r="AQ333" s="4">
        <f>[1]节奏总纲!BC333</f>
        <v>49.526167968714425</v>
      </c>
      <c r="AR333" s="4">
        <f>[1]节奏总纲!BD333</f>
        <v>52.280519876980485</v>
      </c>
      <c r="AS333" s="4">
        <f>[1]节奏总纲!BE333</f>
        <v>57.008345591208631</v>
      </c>
    </row>
    <row r="334" spans="17:45" x14ac:dyDescent="0.15">
      <c r="Q334" s="4">
        <v>331</v>
      </c>
      <c r="R334" s="4">
        <f>[1]节奏总纲!AD334</f>
        <v>83.743865833385087</v>
      </c>
      <c r="S334" s="4">
        <f>[1]节奏总纲!AE334</f>
        <v>85.865297562564862</v>
      </c>
      <c r="T334" s="4">
        <f>[1]节奏总纲!AF334</f>
        <v>88.918635101073079</v>
      </c>
      <c r="U334" s="4">
        <f>[1]节奏总纲!AG334</f>
        <v>93.919415525532017</v>
      </c>
      <c r="V334" s="4">
        <f>[1]节奏总纲!AH334</f>
        <v>102.78296842362549</v>
      </c>
      <c r="AN334" s="4">
        <v>331</v>
      </c>
      <c r="AO334" s="4">
        <f>[1]节奏总纲!BA334</f>
        <v>46.099034044679783</v>
      </c>
      <c r="AP334" s="4">
        <f>[1]节奏总纲!BB334</f>
        <v>47.598360008127131</v>
      </c>
      <c r="AQ334" s="4">
        <f>[1]节奏总纲!BC334</f>
        <v>49.546827747710964</v>
      </c>
      <c r="AR334" s="4">
        <f>[1]节奏总纲!BD334</f>
        <v>52.300473217776535</v>
      </c>
      <c r="AS334" s="4">
        <f>[1]节奏总纲!BE334</f>
        <v>57.027529471561998</v>
      </c>
    </row>
    <row r="335" spans="17:45" x14ac:dyDescent="0.15">
      <c r="Q335" s="4">
        <v>332</v>
      </c>
      <c r="R335" s="4">
        <f>[1]节奏总纲!AD335</f>
        <v>83.788072435813689</v>
      </c>
      <c r="S335" s="4">
        <f>[1]节奏总纲!AE335</f>
        <v>85.910179979146861</v>
      </c>
      <c r="T335" s="4">
        <f>[1]节奏总纲!AF335</f>
        <v>88.969406151283977</v>
      </c>
      <c r="U335" s="4">
        <f>[1]节奏总纲!AG335</f>
        <v>93.966628571759841</v>
      </c>
      <c r="V335" s="4">
        <f>[1]节奏总纲!AH335</f>
        <v>102.82786666236686</v>
      </c>
      <c r="AN335" s="4">
        <v>332</v>
      </c>
      <c r="AO335" s="4">
        <f>[1]节奏总纲!BA335</f>
        <v>46.118298087498509</v>
      </c>
      <c r="AP335" s="4">
        <f>[1]节奏总纲!BB335</f>
        <v>47.619147546450023</v>
      </c>
      <c r="AQ335" s="4">
        <f>[1]节奏总纲!BC335</f>
        <v>49.567487526707502</v>
      </c>
      <c r="AR335" s="4">
        <f>[1]节奏总纲!BD335</f>
        <v>52.320426558572585</v>
      </c>
      <c r="AS335" s="4">
        <f>[1]节奏总纲!BE335</f>
        <v>57.046713351915365</v>
      </c>
    </row>
    <row r="336" spans="17:45" x14ac:dyDescent="0.15">
      <c r="Q336" s="4">
        <v>333</v>
      </c>
      <c r="R336" s="4">
        <f>[1]节奏总纲!AD336</f>
        <v>83.832279038242305</v>
      </c>
      <c r="S336" s="4">
        <f>[1]节奏总纲!AE336</f>
        <v>85.955062395728859</v>
      </c>
      <c r="T336" s="4">
        <f>[1]节奏总纲!AF336</f>
        <v>89.018466905731287</v>
      </c>
      <c r="U336" s="4">
        <f>[1]节奏总纲!AG336</f>
        <v>94.012923283729691</v>
      </c>
      <c r="V336" s="4">
        <f>[1]节奏总纲!AH336</f>
        <v>102.87276490110824</v>
      </c>
      <c r="AN336" s="4">
        <v>333</v>
      </c>
      <c r="AO336" s="4">
        <f>[1]节奏总纲!BA336</f>
        <v>46.137562130317242</v>
      </c>
      <c r="AP336" s="4">
        <f>[1]节奏总纲!BB336</f>
        <v>47.639935084772922</v>
      </c>
      <c r="AQ336" s="4">
        <f>[1]节奏总纲!BC336</f>
        <v>49.588147305704041</v>
      </c>
      <c r="AR336" s="4">
        <f>[1]节奏总纲!BD336</f>
        <v>52.340379899368628</v>
      </c>
      <c r="AS336" s="4">
        <f>[1]节奏总纲!BE336</f>
        <v>57.065897232268732</v>
      </c>
    </row>
    <row r="337" spans="17:45" x14ac:dyDescent="0.15">
      <c r="Q337" s="4">
        <v>334</v>
      </c>
      <c r="R337" s="4">
        <f>[1]节奏总纲!AD337</f>
        <v>83.876485640670907</v>
      </c>
      <c r="S337" s="4">
        <f>[1]节奏总纲!AE337</f>
        <v>85.999944812310858</v>
      </c>
      <c r="T337" s="4">
        <f>[1]节奏总纲!AF337</f>
        <v>89.064934410075779</v>
      </c>
      <c r="U337" s="4">
        <f>[1]节奏总纲!AG337</f>
        <v>94.057003939090123</v>
      </c>
      <c r="V337" s="4">
        <f>[1]节奏总纲!AH337</f>
        <v>102.91766313984962</v>
      </c>
      <c r="AN337" s="4">
        <v>334</v>
      </c>
      <c r="AO337" s="4">
        <f>[1]节奏总纲!BA337</f>
        <v>46.156826173135968</v>
      </c>
      <c r="AP337" s="4">
        <f>[1]节奏总纲!BB337</f>
        <v>47.660722623095815</v>
      </c>
      <c r="AQ337" s="4">
        <f>[1]节奏总纲!BC337</f>
        <v>49.608807084700572</v>
      </c>
      <c r="AR337" s="4">
        <f>[1]节奏总纲!BD337</f>
        <v>52.360333240164678</v>
      </c>
      <c r="AS337" s="4">
        <f>[1]节奏总纲!BE337</f>
        <v>57.085081112622099</v>
      </c>
    </row>
    <row r="338" spans="17:45" x14ac:dyDescent="0.15">
      <c r="Q338" s="4">
        <v>335</v>
      </c>
      <c r="R338" s="4">
        <f>[1]节奏总纲!AD338</f>
        <v>83.920692243099523</v>
      </c>
      <c r="S338" s="4">
        <f>[1]节奏总纲!AE338</f>
        <v>86.041129946887025</v>
      </c>
      <c r="T338" s="4">
        <f>[1]节奏总纲!AF338</f>
        <v>89.11140191442027</v>
      </c>
      <c r="U338" s="4">
        <f>[1]节奏总纲!AG338</f>
        <v>94.101084594450555</v>
      </c>
      <c r="V338" s="4">
        <f>[1]节奏总纲!AH338</f>
        <v>102.962561378591</v>
      </c>
      <c r="AN338" s="4">
        <v>335</v>
      </c>
      <c r="AO338" s="4">
        <f>[1]节奏总纲!BA338</f>
        <v>46.176090215954694</v>
      </c>
      <c r="AP338" s="4">
        <f>[1]节奏总纲!BB338</f>
        <v>47.681510161418707</v>
      </c>
      <c r="AQ338" s="4">
        <f>[1]节奏总纲!BC338</f>
        <v>49.629466863697111</v>
      </c>
      <c r="AR338" s="4">
        <f>[1]节奏总纲!BD338</f>
        <v>52.380286580960728</v>
      </c>
      <c r="AS338" s="4">
        <f>[1]节奏总纲!BE338</f>
        <v>57.104264992975466</v>
      </c>
    </row>
    <row r="339" spans="17:45" x14ac:dyDescent="0.15">
      <c r="Q339" s="4">
        <v>336</v>
      </c>
      <c r="R339" s="4">
        <f>[1]节奏总纲!AD339</f>
        <v>83.964898845528126</v>
      </c>
      <c r="S339" s="4">
        <f>[1]节奏总纲!AE339</f>
        <v>86.082310529666103</v>
      </c>
      <c r="T339" s="4">
        <f>[1]节奏总纲!AF339</f>
        <v>89.157869418764761</v>
      </c>
      <c r="U339" s="4">
        <f>[1]节奏总纲!AG339</f>
        <v>94.145165249810972</v>
      </c>
      <c r="V339" s="4">
        <f>[1]节奏总纲!AH339</f>
        <v>103.00673656424885</v>
      </c>
      <c r="AN339" s="4">
        <v>336</v>
      </c>
      <c r="AO339" s="4">
        <f>[1]节奏总纲!BA339</f>
        <v>46.19535425877342</v>
      </c>
      <c r="AP339" s="4">
        <f>[1]节奏总纲!BB339</f>
        <v>47.7022976997416</v>
      </c>
      <c r="AQ339" s="4">
        <f>[1]节奏总纲!BC339</f>
        <v>49.65012664269365</v>
      </c>
      <c r="AR339" s="4">
        <f>[1]节奏总纲!BD339</f>
        <v>52.400239921756771</v>
      </c>
      <c r="AS339" s="4">
        <f>[1]节奏总纲!BE339</f>
        <v>57.123448873328833</v>
      </c>
    </row>
    <row r="340" spans="17:45" x14ac:dyDescent="0.15">
      <c r="Q340" s="4">
        <v>337</v>
      </c>
      <c r="R340" s="4">
        <f>[1]节奏总纲!AD340</f>
        <v>84.008495683346354</v>
      </c>
      <c r="S340" s="4">
        <f>[1]节奏总纲!AE340</f>
        <v>86.12349111244518</v>
      </c>
      <c r="T340" s="4">
        <f>[1]节奏总纲!AF340</f>
        <v>89.204336923109267</v>
      </c>
      <c r="U340" s="4">
        <f>[1]节奏总纲!AG340</f>
        <v>94.189245905171404</v>
      </c>
      <c r="V340" s="4">
        <f>[1]节奏总纲!AH340</f>
        <v>103.04728286259964</v>
      </c>
      <c r="AN340" s="4">
        <v>337</v>
      </c>
      <c r="AO340" s="4">
        <f>[1]节奏总纲!BA340</f>
        <v>46.214618301592147</v>
      </c>
      <c r="AP340" s="4">
        <f>[1]节奏总纲!BB340</f>
        <v>47.723085238064499</v>
      </c>
      <c r="AQ340" s="4">
        <f>[1]节奏总纲!BC340</f>
        <v>49.670786421690188</v>
      </c>
      <c r="AR340" s="4">
        <f>[1]节奏总纲!BD340</f>
        <v>52.420193262552822</v>
      </c>
      <c r="AS340" s="4">
        <f>[1]节奏总纲!BE340</f>
        <v>57.1426327536822</v>
      </c>
    </row>
    <row r="341" spans="17:45" x14ac:dyDescent="0.15">
      <c r="Q341" s="4">
        <v>338</v>
      </c>
      <c r="R341" s="4">
        <f>[1]节奏总纲!AD341</f>
        <v>84.049741901856009</v>
      </c>
      <c r="S341" s="4">
        <f>[1]节奏总纲!AE341</f>
        <v>86.164671695224243</v>
      </c>
      <c r="T341" s="4">
        <f>[1]节奏总纲!AF341</f>
        <v>89.250804427453758</v>
      </c>
      <c r="U341" s="4">
        <f>[1]节奏总纲!AG341</f>
        <v>94.233326560531836</v>
      </c>
      <c r="V341" s="4">
        <f>[1]节奏总纲!AH341</f>
        <v>103.08782916095045</v>
      </c>
      <c r="AN341" s="4">
        <v>338</v>
      </c>
      <c r="AO341" s="4">
        <f>[1]节奏总纲!BA341</f>
        <v>46.23388234441088</v>
      </c>
      <c r="AP341" s="4">
        <f>[1]节奏总纲!BB341</f>
        <v>47.743872776387391</v>
      </c>
      <c r="AQ341" s="4">
        <f>[1]节奏总纲!BC341</f>
        <v>49.69144620068672</v>
      </c>
      <c r="AR341" s="4">
        <f>[1]节奏总纲!BD341</f>
        <v>52.440146603348865</v>
      </c>
      <c r="AS341" s="4">
        <f>[1]节奏总纲!BE341</f>
        <v>57.161816634035567</v>
      </c>
    </row>
    <row r="342" spans="17:45" x14ac:dyDescent="0.15">
      <c r="Q342" s="4">
        <v>339</v>
      </c>
      <c r="R342" s="4">
        <f>[1]节奏总纲!AD342</f>
        <v>84.090988120365651</v>
      </c>
      <c r="S342" s="4">
        <f>[1]节奏总纲!AE342</f>
        <v>86.20585227800332</v>
      </c>
      <c r="T342" s="4">
        <f>[1]节奏总纲!AF342</f>
        <v>89.29727193179825</v>
      </c>
      <c r="U342" s="4">
        <f>[1]节奏总纲!AG342</f>
        <v>94.277407215892268</v>
      </c>
      <c r="V342" s="4">
        <f>[1]节奏总纲!AH342</f>
        <v>103.12837545930124</v>
      </c>
      <c r="AN342" s="4">
        <v>339</v>
      </c>
      <c r="AO342" s="4">
        <f>[1]节奏总纲!BA342</f>
        <v>46.253146387229606</v>
      </c>
      <c r="AP342" s="4">
        <f>[1]节奏总纲!BB342</f>
        <v>47.764660314710284</v>
      </c>
      <c r="AQ342" s="4">
        <f>[1]节奏总纲!BC342</f>
        <v>49.712105979683258</v>
      </c>
      <c r="AR342" s="4">
        <f>[1]节奏总纲!BD342</f>
        <v>52.460099944144915</v>
      </c>
      <c r="AS342" s="4">
        <f>[1]节奏总纲!BE342</f>
        <v>57.181000514388934</v>
      </c>
    </row>
    <row r="343" spans="17:45" x14ac:dyDescent="0.15">
      <c r="Q343" s="4">
        <v>340</v>
      </c>
      <c r="R343" s="4">
        <f>[1]节奏总纲!AD343</f>
        <v>84.132234338875293</v>
      </c>
      <c r="S343" s="4">
        <f>[1]节奏总纲!AE343</f>
        <v>86.247032860782397</v>
      </c>
      <c r="T343" s="4">
        <f>[1]节奏总纲!AF343</f>
        <v>89.343739436142741</v>
      </c>
      <c r="U343" s="4">
        <f>[1]节奏总纲!AG343</f>
        <v>94.3214878712527</v>
      </c>
      <c r="V343" s="4">
        <f>[1]节奏总纲!AH343</f>
        <v>103.16892175765203</v>
      </c>
      <c r="AN343" s="4">
        <v>340</v>
      </c>
      <c r="AO343" s="4">
        <f>[1]节奏总纲!BA343</f>
        <v>46.272410430048332</v>
      </c>
      <c r="AP343" s="4">
        <f>[1]节奏总纲!BB343</f>
        <v>47.785447853033176</v>
      </c>
      <c r="AQ343" s="4">
        <f>[1]节奏总纲!BC343</f>
        <v>49.732765758679797</v>
      </c>
      <c r="AR343" s="4">
        <f>[1]节奏总纲!BD343</f>
        <v>52.480053284940965</v>
      </c>
      <c r="AS343" s="4">
        <f>[1]节奏总纲!BE343</f>
        <v>57.200184394742301</v>
      </c>
    </row>
    <row r="344" spans="17:45" x14ac:dyDescent="0.15">
      <c r="Q344" s="4">
        <v>341</v>
      </c>
      <c r="R344" s="4">
        <f>[1]节奏总纲!AD344</f>
        <v>84.173480557384934</v>
      </c>
      <c r="S344" s="4">
        <f>[1]节奏总纲!AE344</f>
        <v>86.288213443561474</v>
      </c>
      <c r="T344" s="4">
        <f>[1]节奏总纲!AF344</f>
        <v>89.390206940487232</v>
      </c>
      <c r="U344" s="4">
        <f>[1]节奏总纲!AG344</f>
        <v>94.365568526613131</v>
      </c>
      <c r="V344" s="4">
        <f>[1]节奏总纲!AH344</f>
        <v>103.20946805600283</v>
      </c>
      <c r="AN344" s="4">
        <v>341</v>
      </c>
      <c r="AO344" s="4">
        <f>[1]节奏总纲!BA344</f>
        <v>46.291674472867058</v>
      </c>
      <c r="AP344" s="4">
        <f>[1]节奏总纲!BB344</f>
        <v>47.806235391356068</v>
      </c>
      <c r="AQ344" s="4">
        <f>[1]节奏总纲!BC344</f>
        <v>49.753425537676335</v>
      </c>
      <c r="AR344" s="4">
        <f>[1]节奏总纲!BD344</f>
        <v>52.500006625737008</v>
      </c>
      <c r="AS344" s="4">
        <f>[1]节奏总纲!BE344</f>
        <v>57.219368275095675</v>
      </c>
    </row>
    <row r="345" spans="17:45" x14ac:dyDescent="0.15">
      <c r="Q345" s="4">
        <v>342</v>
      </c>
      <c r="R345" s="4">
        <f>[1]节奏总纲!AD345</f>
        <v>84.214726775894576</v>
      </c>
      <c r="S345" s="4">
        <f>[1]节奏总纲!AE345</f>
        <v>86.329394026340537</v>
      </c>
      <c r="T345" s="4">
        <f>[1]节奏总纲!AF345</f>
        <v>89.436674444831723</v>
      </c>
      <c r="U345" s="4">
        <f>[1]节奏总纲!AG345</f>
        <v>94.409649181973549</v>
      </c>
      <c r="V345" s="4">
        <f>[1]节奏总纲!AH345</f>
        <v>103.25001435435362</v>
      </c>
      <c r="AN345" s="4">
        <v>342</v>
      </c>
      <c r="AO345" s="4">
        <f>[1]节奏总纲!BA345</f>
        <v>46.310938515685784</v>
      </c>
      <c r="AP345" s="4">
        <f>[1]节奏总纲!BB345</f>
        <v>47.827022929678968</v>
      </c>
      <c r="AQ345" s="4">
        <f>[1]节奏总纲!BC345</f>
        <v>49.774085316672867</v>
      </c>
      <c r="AR345" s="4">
        <f>[1]节奏总纲!BD345</f>
        <v>52.519959966533058</v>
      </c>
      <c r="AS345" s="4">
        <f>[1]节奏总纲!BE345</f>
        <v>57.238552155449042</v>
      </c>
    </row>
    <row r="346" spans="17:45" x14ac:dyDescent="0.15">
      <c r="Q346" s="4">
        <v>343</v>
      </c>
      <c r="R346" s="4">
        <f>[1]节奏总纲!AD346</f>
        <v>84.255972994404218</v>
      </c>
      <c r="S346" s="4">
        <f>[1]节奏总纲!AE346</f>
        <v>86.370574609119615</v>
      </c>
      <c r="T346" s="4">
        <f>[1]节奏总纲!AF346</f>
        <v>89.483141949176215</v>
      </c>
      <c r="U346" s="4">
        <f>[1]节奏总纲!AG346</f>
        <v>94.453729837333981</v>
      </c>
      <c r="V346" s="4">
        <f>[1]节奏总纲!AH346</f>
        <v>103.29056065270443</v>
      </c>
      <c r="AN346" s="4">
        <v>343</v>
      </c>
      <c r="AO346" s="4">
        <f>[1]节奏总纲!BA346</f>
        <v>46.330202558504517</v>
      </c>
      <c r="AP346" s="4">
        <f>[1]节奏总纲!BB346</f>
        <v>47.84781046800186</v>
      </c>
      <c r="AQ346" s="4">
        <f>[1]节奏总纲!BC346</f>
        <v>49.794745095669406</v>
      </c>
      <c r="AR346" s="4">
        <f>[1]节奏总纲!BD346</f>
        <v>52.539913307329101</v>
      </c>
      <c r="AS346" s="4">
        <f>[1]节奏总纲!BE346</f>
        <v>57.257736035802409</v>
      </c>
    </row>
    <row r="347" spans="17:45" x14ac:dyDescent="0.15">
      <c r="Q347" s="4">
        <v>344</v>
      </c>
      <c r="R347" s="4">
        <f>[1]节奏总纲!AD347</f>
        <v>84.297219212913859</v>
      </c>
      <c r="S347" s="4">
        <f>[1]节奏总纲!AE347</f>
        <v>86.411755191898692</v>
      </c>
      <c r="T347" s="4">
        <f>[1]节奏总纲!AF347</f>
        <v>89.529609453520706</v>
      </c>
      <c r="U347" s="4">
        <f>[1]节奏总纲!AG347</f>
        <v>94.497810492694413</v>
      </c>
      <c r="V347" s="4">
        <f>[1]节奏总纲!AH347</f>
        <v>103.33110695105522</v>
      </c>
      <c r="AN347" s="4">
        <v>344</v>
      </c>
      <c r="AO347" s="4">
        <f>[1]节奏总纲!BA347</f>
        <v>46.349466601323243</v>
      </c>
      <c r="AP347" s="4">
        <f>[1]节奏总纲!BB347</f>
        <v>47.868598006324753</v>
      </c>
      <c r="AQ347" s="4">
        <f>[1]节奏总纲!BC347</f>
        <v>49.815404874665944</v>
      </c>
      <c r="AR347" s="4">
        <f>[1]节奏总纲!BD347</f>
        <v>52.559866648125151</v>
      </c>
      <c r="AS347" s="4">
        <f>[1]节奏总纲!BE347</f>
        <v>57.276919916155776</v>
      </c>
    </row>
    <row r="348" spans="17:45" x14ac:dyDescent="0.15">
      <c r="Q348" s="4">
        <v>345</v>
      </c>
      <c r="R348" s="4">
        <f>[1]节奏总纲!AD348</f>
        <v>84.338465431423501</v>
      </c>
      <c r="S348" s="4">
        <f>[1]节奏总纲!AE348</f>
        <v>86.452935774677769</v>
      </c>
      <c r="T348" s="4">
        <f>[1]节奏总纲!AF348</f>
        <v>89.576076957865197</v>
      </c>
      <c r="U348" s="4">
        <f>[1]节奏总纲!AG348</f>
        <v>94.541891148054845</v>
      </c>
      <c r="V348" s="4">
        <f>[1]节奏总纲!AH348</f>
        <v>103.37165324940601</v>
      </c>
      <c r="AN348" s="4">
        <v>345</v>
      </c>
      <c r="AO348" s="4">
        <f>[1]节奏总纲!BA348</f>
        <v>46.368730644141969</v>
      </c>
      <c r="AP348" s="4">
        <f>[1]节奏总纲!BB348</f>
        <v>47.889385544647645</v>
      </c>
      <c r="AQ348" s="4">
        <f>[1]节奏总纲!BC348</f>
        <v>49.836064653662483</v>
      </c>
      <c r="AR348" s="4">
        <f>[1]节奏总纲!BD348</f>
        <v>52.579819988921201</v>
      </c>
      <c r="AS348" s="4">
        <f>[1]节奏总纲!BE348</f>
        <v>57.296103796509144</v>
      </c>
    </row>
    <row r="349" spans="17:45" x14ac:dyDescent="0.15">
      <c r="Q349" s="4">
        <v>346</v>
      </c>
      <c r="R349" s="4">
        <f>[1]节奏总纲!AD349</f>
        <v>84.379711649933142</v>
      </c>
      <c r="S349" s="4">
        <f>[1]节奏总纲!AE349</f>
        <v>86.494116357456846</v>
      </c>
      <c r="T349" s="4">
        <f>[1]节奏总纲!AF349</f>
        <v>89.622544462209689</v>
      </c>
      <c r="U349" s="4">
        <f>[1]节奏总纲!AG349</f>
        <v>94.585971803415276</v>
      </c>
      <c r="V349" s="4">
        <f>[1]节奏总纲!AH349</f>
        <v>103.41219954775681</v>
      </c>
      <c r="AN349" s="4">
        <v>346</v>
      </c>
      <c r="AO349" s="4">
        <f>[1]节奏总纲!BA349</f>
        <v>46.387994686960695</v>
      </c>
      <c r="AP349" s="4">
        <f>[1]节奏总纲!BB349</f>
        <v>47.910173082970537</v>
      </c>
      <c r="AQ349" s="4">
        <f>[1]节奏总纲!BC349</f>
        <v>49.856724432659014</v>
      </c>
      <c r="AR349" s="4">
        <f>[1]节奏总纲!BD349</f>
        <v>52.599773329717245</v>
      </c>
      <c r="AS349" s="4">
        <f>[1]节奏总纲!BE349</f>
        <v>57.315287676862511</v>
      </c>
    </row>
    <row r="350" spans="17:45" x14ac:dyDescent="0.15">
      <c r="Q350" s="4">
        <v>347</v>
      </c>
      <c r="R350" s="4">
        <f>[1]节奏总纲!AD350</f>
        <v>84.420957868442784</v>
      </c>
      <c r="S350" s="4">
        <f>[1]节奏总纲!AE350</f>
        <v>86.535296940235909</v>
      </c>
      <c r="T350" s="4">
        <f>[1]节奏总纲!AF350</f>
        <v>89.66901196655418</v>
      </c>
      <c r="U350" s="4">
        <f>[1]节奏总纲!AG350</f>
        <v>94.630052458775694</v>
      </c>
      <c r="V350" s="4">
        <f>[1]节奏总纲!AH350</f>
        <v>103.4527458461076</v>
      </c>
      <c r="AN350" s="4">
        <v>347</v>
      </c>
      <c r="AO350" s="4">
        <f>[1]节奏总纲!BA350</f>
        <v>46.407258729779421</v>
      </c>
      <c r="AP350" s="4">
        <f>[1]节奏总纲!BB350</f>
        <v>47.930960621293437</v>
      </c>
      <c r="AQ350" s="4">
        <f>[1]节奏总纲!BC350</f>
        <v>49.877384211655553</v>
      </c>
      <c r="AR350" s="4">
        <f>[1]节奏总纲!BD350</f>
        <v>52.619726670513295</v>
      </c>
      <c r="AS350" s="4">
        <f>[1]节奏总纲!BE350</f>
        <v>57.334471557215878</v>
      </c>
    </row>
    <row r="351" spans="17:45" x14ac:dyDescent="0.15">
      <c r="Q351" s="4">
        <v>348</v>
      </c>
      <c r="R351" s="4">
        <f>[1]节奏总纲!AD351</f>
        <v>84.462204086952426</v>
      </c>
      <c r="S351" s="4">
        <f>[1]节奏总纲!AE351</f>
        <v>86.576477523014987</v>
      </c>
      <c r="T351" s="4">
        <f>[1]节奏总纲!AF351</f>
        <v>89.715479470898671</v>
      </c>
      <c r="U351" s="4">
        <f>[1]节奏总纲!AG351</f>
        <v>94.674133114136126</v>
      </c>
      <c r="V351" s="4">
        <f>[1]节奏总纲!AH351</f>
        <v>103.49329214445841</v>
      </c>
      <c r="AN351" s="4">
        <v>348</v>
      </c>
      <c r="AO351" s="4">
        <f>[1]节奏总纲!BA351</f>
        <v>46.426522772598148</v>
      </c>
      <c r="AP351" s="4">
        <f>[1]节奏总纲!BB351</f>
        <v>47.951748159616329</v>
      </c>
      <c r="AQ351" s="4">
        <f>[1]节奏总纲!BC351</f>
        <v>49.898043990652091</v>
      </c>
      <c r="AR351" s="4">
        <f>[1]节奏总纲!BD351</f>
        <v>52.639680011309345</v>
      </c>
      <c r="AS351" s="4">
        <f>[1]节奏总纲!BE351</f>
        <v>57.353655437569245</v>
      </c>
    </row>
    <row r="352" spans="17:45" x14ac:dyDescent="0.15">
      <c r="Q352" s="4">
        <v>349</v>
      </c>
      <c r="R352" s="4">
        <f>[1]节奏总纲!AD352</f>
        <v>84.503450305462081</v>
      </c>
      <c r="S352" s="4">
        <f>[1]节奏总纲!AE352</f>
        <v>86.617658105794064</v>
      </c>
      <c r="T352" s="4">
        <f>[1]节奏总纲!AF352</f>
        <v>89.761946975243163</v>
      </c>
      <c r="U352" s="4">
        <f>[1]节奏总纲!AG352</f>
        <v>94.718213769496558</v>
      </c>
      <c r="V352" s="4">
        <f>[1]节奏总纲!AH352</f>
        <v>103.5338384428092</v>
      </c>
      <c r="AN352" s="4">
        <v>349</v>
      </c>
      <c r="AO352" s="4">
        <f>[1]节奏总纲!BA352</f>
        <v>46.445786815416881</v>
      </c>
      <c r="AP352" s="4">
        <f>[1]节奏总纲!BB352</f>
        <v>47.972535697939222</v>
      </c>
      <c r="AQ352" s="4">
        <f>[1]节奏总纲!BC352</f>
        <v>49.91870376964863</v>
      </c>
      <c r="AR352" s="4">
        <f>[1]节奏总纲!BD352</f>
        <v>52.659633352105388</v>
      </c>
      <c r="AS352" s="4">
        <f>[1]节奏总纲!BE352</f>
        <v>57.372839317922612</v>
      </c>
    </row>
    <row r="353" spans="17:45" x14ac:dyDescent="0.15">
      <c r="Q353" s="4">
        <v>350</v>
      </c>
      <c r="R353" s="4">
        <f>[1]节奏总纲!AD353</f>
        <v>84.544696523971723</v>
      </c>
      <c r="S353" s="4">
        <f>[1]节奏总纲!AE353</f>
        <v>86.658838688573141</v>
      </c>
      <c r="T353" s="4">
        <f>[1]节奏总纲!AF353</f>
        <v>89.808414479587654</v>
      </c>
      <c r="U353" s="4">
        <f>[1]节奏总纲!AG353</f>
        <v>94.762294424856989</v>
      </c>
      <c r="V353" s="4">
        <f>[1]节奏总纲!AH353</f>
        <v>103.57438474115999</v>
      </c>
      <c r="AN353" s="4">
        <v>350</v>
      </c>
      <c r="AO353" s="4">
        <f>[1]节奏总纲!BA353</f>
        <v>46.465050858235607</v>
      </c>
      <c r="AP353" s="4">
        <f>[1]节奏总纲!BB353</f>
        <v>47.993323236262114</v>
      </c>
      <c r="AQ353" s="4">
        <f>[1]节奏总纲!BC353</f>
        <v>49.939363548645169</v>
      </c>
      <c r="AR353" s="4">
        <f>[1]节奏总纲!BD353</f>
        <v>52.679586692901438</v>
      </c>
      <c r="AS353" s="4">
        <f>[1]节奏总纲!BE353</f>
        <v>57.392023198275979</v>
      </c>
    </row>
    <row r="354" spans="17:45" x14ac:dyDescent="0.15">
      <c r="Q354" s="4">
        <v>351</v>
      </c>
      <c r="R354" s="4">
        <f>[1]节奏总纲!AD354</f>
        <v>84.585942742481365</v>
      </c>
      <c r="S354" s="4">
        <f>[1]节奏总纲!AE354</f>
        <v>86.700019271352204</v>
      </c>
      <c r="T354" s="4">
        <f>[1]节奏总纲!AF354</f>
        <v>89.854881983932145</v>
      </c>
      <c r="U354" s="4">
        <f>[1]节奏总纲!AG354</f>
        <v>94.806375080217421</v>
      </c>
      <c r="V354" s="4">
        <f>[1]节奏总纲!AH354</f>
        <v>103.61493103951079</v>
      </c>
      <c r="AN354" s="4">
        <v>351</v>
      </c>
      <c r="AO354" s="4">
        <f>[1]节奏总纲!BA354</f>
        <v>46.484314901054333</v>
      </c>
      <c r="AP354" s="4">
        <f>[1]节奏总纲!BB354</f>
        <v>48.012182251254622</v>
      </c>
      <c r="AQ354" s="4">
        <f>[1]节奏总纲!BC354</f>
        <v>49.9600233276417</v>
      </c>
      <c r="AR354" s="4">
        <f>[1]节奏总纲!BD354</f>
        <v>52.699540033697481</v>
      </c>
      <c r="AS354" s="4">
        <f>[1]节奏总纲!BE354</f>
        <v>57.411207078629346</v>
      </c>
    </row>
    <row r="355" spans="17:45" x14ac:dyDescent="0.15">
      <c r="Q355" s="4">
        <v>352</v>
      </c>
      <c r="R355" s="4">
        <f>[1]节奏总纲!AD355</f>
        <v>84.627188960991006</v>
      </c>
      <c r="S355" s="4">
        <f>[1]节奏总纲!AE355</f>
        <v>86.741199854131281</v>
      </c>
      <c r="T355" s="4">
        <f>[1]节奏总纲!AF355</f>
        <v>89.901349488276637</v>
      </c>
      <c r="U355" s="4">
        <f>[1]节奏总纲!AG355</f>
        <v>94.850455735577853</v>
      </c>
      <c r="V355" s="4">
        <f>[1]节奏总纲!AH355</f>
        <v>103.65547733786158</v>
      </c>
      <c r="AN355" s="4">
        <v>352</v>
      </c>
      <c r="AO355" s="4">
        <f>[1]节奏总纲!BA355</f>
        <v>46.503578943873059</v>
      </c>
      <c r="AP355" s="4">
        <f>[1]节奏总纲!BB355</f>
        <v>48.030128751164234</v>
      </c>
      <c r="AQ355" s="4">
        <f>[1]节奏总纲!BC355</f>
        <v>49.980683106638239</v>
      </c>
      <c r="AR355" s="4">
        <f>[1]节奏总纲!BD355</f>
        <v>52.719493374493531</v>
      </c>
      <c r="AS355" s="4">
        <f>[1]节奏总纲!BE355</f>
        <v>57.430390958982713</v>
      </c>
    </row>
    <row r="356" spans="17:45" x14ac:dyDescent="0.15">
      <c r="Q356" s="4">
        <v>353</v>
      </c>
      <c r="R356" s="4">
        <f>[1]节奏总纲!AD356</f>
        <v>84.668435179500648</v>
      </c>
      <c r="S356" s="4">
        <f>[1]节奏总纲!AE356</f>
        <v>86.782380436910358</v>
      </c>
      <c r="T356" s="4">
        <f>[1]节奏总纲!AF356</f>
        <v>89.947816992621142</v>
      </c>
      <c r="U356" s="4">
        <f>[1]节奏总纲!AG356</f>
        <v>94.894536390938271</v>
      </c>
      <c r="V356" s="4">
        <f>[1]节奏总纲!AH356</f>
        <v>103.69602363621237</v>
      </c>
      <c r="AN356" s="4">
        <v>353</v>
      </c>
      <c r="AO356" s="4">
        <f>[1]节奏总纲!BA356</f>
        <v>46.522842986691785</v>
      </c>
      <c r="AP356" s="4">
        <f>[1]节奏总纲!BB356</f>
        <v>48.048075251073854</v>
      </c>
      <c r="AQ356" s="4">
        <f>[1]节奏总纲!BC356</f>
        <v>50.00115951426713</v>
      </c>
      <c r="AR356" s="4">
        <f>[1]节奏总纲!BD356</f>
        <v>52.739446715289581</v>
      </c>
      <c r="AS356" s="4">
        <f>[1]节奏总纲!BE356</f>
        <v>57.44957483933608</v>
      </c>
    </row>
    <row r="357" spans="17:45" x14ac:dyDescent="0.15">
      <c r="Q357" s="4">
        <v>354</v>
      </c>
      <c r="R357" s="4">
        <f>[1]节奏总纲!AD357</f>
        <v>84.709681398010289</v>
      </c>
      <c r="S357" s="4">
        <f>[1]节奏总纲!AE357</f>
        <v>86.823561019689436</v>
      </c>
      <c r="T357" s="4">
        <f>[1]节奏总纲!AF357</f>
        <v>89.994284496965633</v>
      </c>
      <c r="U357" s="4">
        <f>[1]节奏总纲!AG357</f>
        <v>94.938617046298702</v>
      </c>
      <c r="V357" s="4">
        <f>[1]节奏总纲!AH357</f>
        <v>103.73656993456318</v>
      </c>
      <c r="AN357" s="4">
        <v>354</v>
      </c>
      <c r="AO357" s="4">
        <f>[1]节奏总纲!BA357</f>
        <v>46.542107029510518</v>
      </c>
      <c r="AP357" s="4">
        <f>[1]节奏总纲!BB357</f>
        <v>48.066021750983474</v>
      </c>
      <c r="AQ357" s="4">
        <f>[1]节奏总纲!BC357</f>
        <v>50.018998195299922</v>
      </c>
      <c r="AR357" s="4">
        <f>[1]节奏总纲!BD357</f>
        <v>52.759400056085624</v>
      </c>
      <c r="AS357" s="4">
        <f>[1]节奏总纲!BE357</f>
        <v>57.468758719689447</v>
      </c>
    </row>
    <row r="358" spans="17:45" x14ac:dyDescent="0.15">
      <c r="Q358" s="4">
        <v>355</v>
      </c>
      <c r="R358" s="4">
        <f>[1]节奏总纲!AD358</f>
        <v>84.750927616519931</v>
      </c>
      <c r="S358" s="4">
        <f>[1]节奏总纲!AE358</f>
        <v>86.864741602468499</v>
      </c>
      <c r="T358" s="4">
        <f>[1]节奏总纲!AF358</f>
        <v>90.036066635925749</v>
      </c>
      <c r="U358" s="4">
        <f>[1]节奏总纲!AG358</f>
        <v>94.982697701659134</v>
      </c>
      <c r="V358" s="4">
        <f>[1]节奏总纲!AH358</f>
        <v>103.77711623291397</v>
      </c>
      <c r="AN358" s="4">
        <v>355</v>
      </c>
      <c r="AO358" s="4">
        <f>[1]节奏总纲!BA358</f>
        <v>46.561371072329244</v>
      </c>
      <c r="AP358" s="4">
        <f>[1]节奏总纲!BB358</f>
        <v>48.083968250893093</v>
      </c>
      <c r="AQ358" s="4">
        <f>[1]节奏总纲!BC358</f>
        <v>50.036836876332707</v>
      </c>
      <c r="AR358" s="4">
        <f>[1]节奏总纲!BD358</f>
        <v>52.779353396881675</v>
      </c>
      <c r="AS358" s="4">
        <f>[1]节奏总纲!BE358</f>
        <v>57.487942600042821</v>
      </c>
    </row>
    <row r="359" spans="17:45" x14ac:dyDescent="0.15">
      <c r="Q359" s="4">
        <v>356</v>
      </c>
      <c r="R359" s="4">
        <f>[1]节奏总纲!AD359</f>
        <v>84.792173835029573</v>
      </c>
      <c r="S359" s="4">
        <f>[1]节奏总纲!AE359</f>
        <v>86.905922185247576</v>
      </c>
      <c r="T359" s="4">
        <f>[1]节奏总纲!AF359</f>
        <v>90.077191648383845</v>
      </c>
      <c r="U359" s="4">
        <f>[1]节奏总纲!AG359</f>
        <v>95.024001308619916</v>
      </c>
      <c r="V359" s="4">
        <f>[1]节奏总纲!AH359</f>
        <v>103.81766253126477</v>
      </c>
      <c r="AN359" s="4">
        <v>356</v>
      </c>
      <c r="AO359" s="4">
        <f>[1]节奏总纲!BA359</f>
        <v>46.58063511514797</v>
      </c>
      <c r="AP359" s="4">
        <f>[1]节奏总纲!BB359</f>
        <v>48.101914750802706</v>
      </c>
      <c r="AQ359" s="4">
        <f>[1]节奏总纲!BC359</f>
        <v>50.054675557365492</v>
      </c>
      <c r="AR359" s="4">
        <f>[1]节奏总纲!BD359</f>
        <v>52.799306737677718</v>
      </c>
      <c r="AS359" s="4">
        <f>[1]节奏总纲!BE359</f>
        <v>57.507126480396188</v>
      </c>
    </row>
    <row r="360" spans="17:45" x14ac:dyDescent="0.15">
      <c r="Q360" s="4">
        <v>357</v>
      </c>
      <c r="R360" s="4">
        <f>[1]节奏总纲!AD360</f>
        <v>84.833420053539214</v>
      </c>
      <c r="S360" s="4">
        <f>[1]节奏总纲!AE360</f>
        <v>86.947102768026653</v>
      </c>
      <c r="T360" s="4">
        <f>[1]节奏总纲!AF360</f>
        <v>90.118316660841927</v>
      </c>
      <c r="U360" s="4">
        <f>[1]节奏总纲!AG360</f>
        <v>95.063510581451752</v>
      </c>
      <c r="V360" s="4">
        <f>[1]节奏总纲!AH360</f>
        <v>103.85820882961556</v>
      </c>
      <c r="AN360" s="4">
        <v>357</v>
      </c>
      <c r="AO360" s="4">
        <f>[1]节奏总纲!BA360</f>
        <v>46.599899157966696</v>
      </c>
      <c r="AP360" s="4">
        <f>[1]节奏总纲!BB360</f>
        <v>48.119861250712326</v>
      </c>
      <c r="AQ360" s="4">
        <f>[1]节奏总纲!BC360</f>
        <v>50.072514238398277</v>
      </c>
      <c r="AR360" s="4">
        <f>[1]节奏总纲!BD360</f>
        <v>52.819260078473768</v>
      </c>
      <c r="AS360" s="4">
        <f>[1]节奏总纲!BE360</f>
        <v>57.526310360749555</v>
      </c>
    </row>
    <row r="361" spans="17:45" x14ac:dyDescent="0.15">
      <c r="Q361" s="4">
        <v>358</v>
      </c>
      <c r="R361" s="4">
        <f>[1]节奏总纲!AD361</f>
        <v>84.874666272048856</v>
      </c>
      <c r="S361" s="4">
        <f>[1]节奏总纲!AE361</f>
        <v>86.98828335080573</v>
      </c>
      <c r="T361" s="4">
        <f>[1]节奏总纲!AF361</f>
        <v>90.159441673300023</v>
      </c>
      <c r="U361" s="4">
        <f>[1]节奏总纲!AG361</f>
        <v>95.103019854283588</v>
      </c>
      <c r="V361" s="4">
        <f>[1]节奏总纲!AH361</f>
        <v>103.89875512796635</v>
      </c>
      <c r="AN361" s="4">
        <v>358</v>
      </c>
      <c r="AO361" s="4">
        <f>[1]节奏总纲!BA361</f>
        <v>46.619163200785422</v>
      </c>
      <c r="AP361" s="4">
        <f>[1]节奏总纲!BB361</f>
        <v>48.137807750621946</v>
      </c>
      <c r="AQ361" s="4">
        <f>[1]节奏总纲!BC361</f>
        <v>50.090352919431069</v>
      </c>
      <c r="AR361" s="4">
        <f>[1]节奏总纲!BD361</f>
        <v>52.839213419269818</v>
      </c>
      <c r="AS361" s="4">
        <f>[1]节奏总纲!BE361</f>
        <v>57.545494241102922</v>
      </c>
    </row>
    <row r="362" spans="17:45" x14ac:dyDescent="0.15">
      <c r="Q362" s="4">
        <v>359</v>
      </c>
      <c r="R362" s="4">
        <f>[1]节奏总纲!AD362</f>
        <v>84.915912490558497</v>
      </c>
      <c r="S362" s="4">
        <f>[1]节奏总纲!AE362</f>
        <v>87.027010646912942</v>
      </c>
      <c r="T362" s="4">
        <f>[1]节奏总纲!AF362</f>
        <v>90.200566685758119</v>
      </c>
      <c r="U362" s="4">
        <f>[1]节奏总纲!AG362</f>
        <v>95.142529127115409</v>
      </c>
      <c r="V362" s="4">
        <f>[1]节奏总纲!AH362</f>
        <v>103.93930142631716</v>
      </c>
      <c r="AN362" s="4">
        <v>359</v>
      </c>
      <c r="AO362" s="4">
        <f>[1]节奏总纲!BA362</f>
        <v>46.638427243604156</v>
      </c>
      <c r="AP362" s="4">
        <f>[1]节奏总纲!BB362</f>
        <v>48.155754250531558</v>
      </c>
      <c r="AQ362" s="4">
        <f>[1]节奏总纲!BC362</f>
        <v>50.108191600463854</v>
      </c>
      <c r="AR362" s="4">
        <f>[1]节奏总纲!BD362</f>
        <v>52.859166760065861</v>
      </c>
      <c r="AS362" s="4">
        <f>[1]节奏总纲!BE362</f>
        <v>57.564678121456289</v>
      </c>
    </row>
    <row r="363" spans="17:45" x14ac:dyDescent="0.15">
      <c r="Q363" s="4">
        <v>360</v>
      </c>
      <c r="R363" s="4">
        <f>[1]节奏总纲!AD363</f>
        <v>84.957158709068153</v>
      </c>
      <c r="S363" s="4">
        <f>[1]节奏总纲!AE363</f>
        <v>87.064762367263285</v>
      </c>
      <c r="T363" s="4">
        <f>[1]节奏总纲!AF363</f>
        <v>90.241691698216215</v>
      </c>
      <c r="U363" s="4">
        <f>[1]节奏总纲!AG363</f>
        <v>95.182038399947245</v>
      </c>
      <c r="V363" s="4">
        <f>[1]节奏总纲!AH363</f>
        <v>103.97984772466795</v>
      </c>
      <c r="AN363" s="4">
        <v>360</v>
      </c>
      <c r="AO363" s="4">
        <f>[1]节奏总纲!BA363</f>
        <v>46.657691286422882</v>
      </c>
      <c r="AP363" s="4">
        <f>[1]节奏总纲!BB363</f>
        <v>48.173700750441178</v>
      </c>
      <c r="AQ363" s="4">
        <f>[1]节奏总纲!BC363</f>
        <v>50.126030281496639</v>
      </c>
      <c r="AR363" s="4">
        <f>[1]节奏总纲!BD363</f>
        <v>52.879120100861911</v>
      </c>
      <c r="AS363" s="4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F6CD-DC9D-4760-BE66-B83FE66B9949}">
  <sheetPr codeName="Sheet4"/>
  <dimension ref="C1:AD223"/>
  <sheetViews>
    <sheetView topLeftCell="A52" workbookViewId="0">
      <selection activeCell="T65" sqref="T65:Y84"/>
    </sheetView>
  </sheetViews>
  <sheetFormatPr defaultColWidth="6.625" defaultRowHeight="11.25" x14ac:dyDescent="0.15"/>
  <cols>
    <col min="1" max="2" width="6.625" style="1"/>
    <col min="3" max="8" width="6.625" style="5"/>
    <col min="9" max="19" width="6.625" style="1"/>
    <col min="20" max="20" width="10.5" style="1" bestFit="1" customWidth="1"/>
    <col min="21" max="16384" width="6.625" style="1"/>
  </cols>
  <sheetData>
    <row r="1" spans="3:30" x14ac:dyDescent="0.15">
      <c r="C1" s="6"/>
    </row>
    <row r="2" spans="3:30" x14ac:dyDescent="0.15">
      <c r="C2" s="6"/>
      <c r="D2" s="18" t="s">
        <v>21</v>
      </c>
      <c r="E2" s="18"/>
      <c r="F2" s="18"/>
      <c r="G2" s="18"/>
      <c r="H2" s="18"/>
      <c r="M2" s="16" t="s">
        <v>27</v>
      </c>
      <c r="N2" s="16"/>
      <c r="O2" s="16"/>
      <c r="P2" s="16"/>
      <c r="S2" s="17" t="s">
        <v>54</v>
      </c>
      <c r="T2" s="17"/>
    </row>
    <row r="3" spans="3:30" x14ac:dyDescent="0.15">
      <c r="C3" s="5" t="s">
        <v>20</v>
      </c>
      <c r="D3" s="6" t="s">
        <v>0</v>
      </c>
      <c r="E3" s="6" t="s">
        <v>1</v>
      </c>
      <c r="F3" s="6" t="s">
        <v>2</v>
      </c>
      <c r="G3" s="6" t="s">
        <v>3</v>
      </c>
      <c r="H3" s="6" t="s">
        <v>4</v>
      </c>
      <c r="L3" s="7" t="s">
        <v>22</v>
      </c>
      <c r="M3" s="7" t="s">
        <v>23</v>
      </c>
      <c r="N3" s="7" t="s">
        <v>24</v>
      </c>
      <c r="O3" s="7" t="s">
        <v>25</v>
      </c>
      <c r="P3" s="7" t="s">
        <v>26</v>
      </c>
      <c r="S3" s="17"/>
      <c r="T3" s="17"/>
      <c r="U3" s="17" t="s">
        <v>67</v>
      </c>
      <c r="V3" s="17"/>
      <c r="W3" s="17"/>
      <c r="X3" s="17"/>
      <c r="Y3" s="17"/>
      <c r="Z3" s="17" t="s">
        <v>61</v>
      </c>
      <c r="AA3" s="17"/>
      <c r="AB3" s="17"/>
      <c r="AC3" s="17"/>
      <c r="AD3" s="17"/>
    </row>
    <row r="4" spans="3:30" x14ac:dyDescent="0.15">
      <c r="C4" s="5">
        <v>1</v>
      </c>
      <c r="D4" s="5">
        <f>'[1]功能-实力'!BF5</f>
        <v>22716</v>
      </c>
      <c r="E4" s="5">
        <f>'[1]功能-实力'!BG5</f>
        <v>22782</v>
      </c>
      <c r="F4" s="5">
        <f>'[1]功能-实力'!BH5</f>
        <v>22866</v>
      </c>
      <c r="G4" s="5">
        <f>'[1]功能-实力'!BI5</f>
        <v>22956</v>
      </c>
      <c r="H4" s="5">
        <f>'[1]功能-实力'!BJ5</f>
        <v>23034</v>
      </c>
      <c r="L4" s="7">
        <f>[2]数据引用!AH7</f>
        <v>1</v>
      </c>
      <c r="M4" s="7">
        <f>[2]数据引用!AI7</f>
        <v>8</v>
      </c>
      <c r="N4" s="7">
        <f>[2]数据引用!AJ7</f>
        <v>14</v>
      </c>
      <c r="O4" s="7">
        <f>[2]数据引用!AK7</f>
        <v>14</v>
      </c>
      <c r="P4" s="7">
        <f>[2]数据引用!AL7</f>
        <v>14</v>
      </c>
      <c r="S4" s="12" t="s">
        <v>55</v>
      </c>
      <c r="T4" s="12" t="s">
        <v>56</v>
      </c>
      <c r="U4" s="12" t="s">
        <v>62</v>
      </c>
      <c r="V4" s="12" t="s">
        <v>63</v>
      </c>
      <c r="W4" s="12" t="s">
        <v>64</v>
      </c>
      <c r="X4" s="12" t="s">
        <v>65</v>
      </c>
      <c r="Y4" s="12" t="s">
        <v>66</v>
      </c>
      <c r="Z4" s="12" t="s">
        <v>62</v>
      </c>
      <c r="AA4" s="12" t="s">
        <v>63</v>
      </c>
      <c r="AB4" s="12" t="s">
        <v>64</v>
      </c>
      <c r="AC4" s="12" t="s">
        <v>65</v>
      </c>
      <c r="AD4" s="12" t="s">
        <v>66</v>
      </c>
    </row>
    <row r="5" spans="3:30" x14ac:dyDescent="0.15">
      <c r="C5" s="5">
        <v>2</v>
      </c>
      <c r="D5" s="5">
        <f>'[1]功能-实力'!BF6</f>
        <v>27276</v>
      </c>
      <c r="E5" s="5">
        <f>'[1]功能-实力'!BG6</f>
        <v>27450</v>
      </c>
      <c r="F5" s="5">
        <f>'[1]功能-实力'!BH6</f>
        <v>27714</v>
      </c>
      <c r="G5" s="5">
        <f>'[1]功能-实力'!BI6</f>
        <v>28086</v>
      </c>
      <c r="H5" s="5">
        <f>'[1]功能-实力'!BJ6</f>
        <v>28314</v>
      </c>
      <c r="L5" s="7">
        <f>[2]数据引用!AH8</f>
        <v>3</v>
      </c>
      <c r="M5" s="7">
        <f>[2]数据引用!AI8</f>
        <v>7</v>
      </c>
      <c r="N5" s="7">
        <f>[2]数据引用!AJ8</f>
        <v>12</v>
      </c>
      <c r="O5" s="7">
        <f>[2]数据引用!AK8</f>
        <v>12</v>
      </c>
      <c r="P5" s="7">
        <f>[2]数据引用!AL8</f>
        <v>12</v>
      </c>
      <c r="S5" s="12">
        <f>IF([3]基础状态预期!C17="","",[3]基础状态预期!C17)</f>
        <v>1</v>
      </c>
      <c r="T5" s="12">
        <f>IF([3]基础状态预期!D17="","",[3]基础状态预期!D17)</f>
        <v>10</v>
      </c>
      <c r="U5" s="14">
        <f>IF([3]基础状态预期!F17="",0,[3]基础状态预期!F17)</f>
        <v>0</v>
      </c>
      <c r="V5" s="14">
        <f>IF([3]基础状态预期!G17="",0,[3]基础状态预期!G17)</f>
        <v>0</v>
      </c>
      <c r="W5" s="14">
        <f>IF([3]基础状态预期!H17="",0,[3]基础状态预期!H17)</f>
        <v>2</v>
      </c>
      <c r="X5" s="14">
        <f>IF([3]基础状态预期!I17="",0,[3]基础状态预期!I17)</f>
        <v>4</v>
      </c>
      <c r="Y5" s="14">
        <f>IF([3]基础状态预期!J17="",0,[3]基础状态预期!J17)</f>
        <v>0</v>
      </c>
      <c r="Z5" s="14">
        <f>IF([3]基础状态预期!K17="",MIN(8,Z6),[3]基础状态预期!K17)</f>
        <v>8</v>
      </c>
      <c r="AA5" s="14">
        <f>IF([3]基础状态预期!L17="",MIN(8,AA6),[3]基础状态预期!L17)</f>
        <v>8</v>
      </c>
      <c r="AB5" s="14">
        <f>IF([3]基础状态预期!M17="",MIN(8,AB6),[3]基础状态预期!M17)</f>
        <v>0.43623504450335049</v>
      </c>
      <c r="AC5" s="14">
        <f>IF([3]基础状态预期!N17="",MIN(8,AC6),[3]基础状态预期!N17)</f>
        <v>0</v>
      </c>
      <c r="AD5" s="14">
        <f>IF([3]基础状态预期!O17="",MIN(8,AD6),[3]基础状态预期!O17)</f>
        <v>0</v>
      </c>
    </row>
    <row r="6" spans="3:30" x14ac:dyDescent="0.15">
      <c r="C6" s="5">
        <v>3</v>
      </c>
      <c r="D6" s="5">
        <f>'[1]功能-实力'!BF7</f>
        <v>31857</v>
      </c>
      <c r="E6" s="5">
        <f>'[1]功能-实力'!BG7</f>
        <v>32166</v>
      </c>
      <c r="F6" s="5">
        <f>'[1]功能-实力'!BH7</f>
        <v>32676</v>
      </c>
      <c r="G6" s="5">
        <f>'[1]功能-实力'!BI7</f>
        <v>33426</v>
      </c>
      <c r="H6" s="5">
        <f>'[1]功能-实力'!BJ7</f>
        <v>33876</v>
      </c>
      <c r="L6" s="7">
        <f>[2]数据引用!AH9</f>
        <v>6</v>
      </c>
      <c r="M6" s="7">
        <f>[2]数据引用!AI9</f>
        <v>6</v>
      </c>
      <c r="N6" s="7">
        <f>[2]数据引用!AJ9</f>
        <v>9.5</v>
      </c>
      <c r="O6" s="7">
        <f>[2]数据引用!AK9</f>
        <v>9.5</v>
      </c>
      <c r="P6" s="7">
        <f>[2]数据引用!AL9</f>
        <v>9.5</v>
      </c>
      <c r="S6" s="12">
        <f>IF([3]基础状态预期!C18="","",[3]基础状态预期!C18)</f>
        <v>3</v>
      </c>
      <c r="T6" s="12">
        <f>IF([3]基础状态预期!D18="","",[3]基础状态预期!D18)</f>
        <v>20</v>
      </c>
      <c r="U6" s="14">
        <f>IF([3]基础状态预期!F18="",0,[3]基础状态预期!F18)</f>
        <v>0</v>
      </c>
      <c r="V6" s="14">
        <f>IF([3]基础状态预期!G18="",0,[3]基础状态预期!G18)</f>
        <v>0</v>
      </c>
      <c r="W6" s="14">
        <f>IF([3]基础状态预期!H18="",0,[3]基础状态预期!H18)</f>
        <v>0</v>
      </c>
      <c r="X6" s="14">
        <f>IF([3]基础状态预期!I18="",0,[3]基础状态预期!I18)</f>
        <v>6</v>
      </c>
      <c r="Y6" s="14">
        <f>IF([3]基础状态预期!J18="",0,[3]基础状态预期!J18)</f>
        <v>0</v>
      </c>
      <c r="Z6" s="14">
        <f>IF([3]基础状态预期!K18="",MIN(8,Z7),[3]基础状态预期!K18)</f>
        <v>8</v>
      </c>
      <c r="AA6" s="14">
        <f>IF([3]基础状态预期!L18="",MIN(8,AA7),[3]基础状态预期!L18)</f>
        <v>8</v>
      </c>
      <c r="AB6" s="14">
        <f>IF([3]基础状态预期!M18="",MIN(8,AB7),[3]基础状态预期!M18)</f>
        <v>8</v>
      </c>
      <c r="AC6" s="14">
        <f>IF([3]基础状态预期!N18="",MIN(8,AC7),[3]基础状态预期!N18)</f>
        <v>0</v>
      </c>
      <c r="AD6" s="14">
        <f>IF([3]基础状态预期!O18="",MIN(8,AD7),[3]基础状态预期!O18)</f>
        <v>0</v>
      </c>
    </row>
    <row r="7" spans="3:30" x14ac:dyDescent="0.15">
      <c r="C7" s="5">
        <v>4</v>
      </c>
      <c r="D7" s="5">
        <f>'[1]功能-实力'!BF8</f>
        <v>42955.5</v>
      </c>
      <c r="E7" s="5">
        <f>'[1]功能-实力'!BG8</f>
        <v>43515.5</v>
      </c>
      <c r="F7" s="5">
        <f>'[1]功能-实力'!BH8</f>
        <v>44464</v>
      </c>
      <c r="G7" s="5">
        <f>'[1]功能-实力'!BI8</f>
        <v>45860.5</v>
      </c>
      <c r="H7" s="5">
        <f>'[1]功能-实力'!BJ8</f>
        <v>46704</v>
      </c>
      <c r="L7" s="7">
        <f>[2]数据引用!AH10</f>
        <v>12</v>
      </c>
      <c r="M7" s="7">
        <f>[2]数据引用!AI10</f>
        <v>5.6</v>
      </c>
      <c r="N7" s="7">
        <f>[2]数据引用!AJ10</f>
        <v>8.9</v>
      </c>
      <c r="O7" s="7">
        <f>[2]数据引用!AK10</f>
        <v>8.9</v>
      </c>
      <c r="P7" s="7">
        <f>[2]数据引用!AL10</f>
        <v>8.9</v>
      </c>
      <c r="S7" s="12">
        <f>IF([3]基础状态预期!C19="","",[3]基础状态预期!C19)</f>
        <v>6</v>
      </c>
      <c r="T7" s="12">
        <f>IF([3]基础状态预期!D19="","",[3]基础状态预期!D19)</f>
        <v>28.071211008105138</v>
      </c>
      <c r="U7" s="14">
        <f>IF([3]基础状态预期!F19="",0,[3]基础状态预期!F19)</f>
        <v>0</v>
      </c>
      <c r="V7" s="14">
        <f>IF([3]基础状态预期!G19="",0,[3]基础状态预期!G19)</f>
        <v>0</v>
      </c>
      <c r="W7" s="14">
        <f>IF([3]基础状态预期!H19="",0,[3]基础状态预期!H19)</f>
        <v>0</v>
      </c>
      <c r="X7" s="14">
        <f>IF([3]基础状态预期!I19="",0,[3]基础状态预期!I19)</f>
        <v>6</v>
      </c>
      <c r="Y7" s="14">
        <f>IF([3]基础状态预期!J19="",0,[3]基础状态预期!J19)</f>
        <v>0</v>
      </c>
      <c r="Z7" s="14">
        <f>IF([3]基础状态预期!K19="",MIN(8,Z8),[3]基础状态预期!K19)</f>
        <v>8</v>
      </c>
      <c r="AA7" s="14">
        <f>IF([3]基础状态预期!L19="",MIN(8,AA8),[3]基础状态预期!L19)</f>
        <v>8</v>
      </c>
      <c r="AB7" s="14">
        <f>IF([3]基础状态预期!M19="",MIN(8,AB8),[3]基础状态预期!M19)</f>
        <v>8</v>
      </c>
      <c r="AC7" s="14">
        <f>IF([3]基础状态预期!N19="",MIN(8,AC8),[3]基础状态预期!N19)</f>
        <v>4.7045651841869152E-2</v>
      </c>
      <c r="AD7" s="14">
        <f>IF([3]基础状态预期!O19="",MIN(8,AD8),[3]基础状态预期!O19)</f>
        <v>0</v>
      </c>
    </row>
    <row r="8" spans="3:30" x14ac:dyDescent="0.15">
      <c r="C8" s="5">
        <v>5</v>
      </c>
      <c r="D8" s="5">
        <f>'[1]功能-实力'!BF9</f>
        <v>56256</v>
      </c>
      <c r="E8" s="5">
        <f>'[1]功能-实力'!BG9</f>
        <v>57168</v>
      </c>
      <c r="F8" s="5">
        <f>'[1]功能-实力'!BH9</f>
        <v>58724</v>
      </c>
      <c r="G8" s="5">
        <f>'[1]功能-实力'!BI9</f>
        <v>61028</v>
      </c>
      <c r="H8" s="5">
        <f>'[1]功能-实力'!BJ9</f>
        <v>62428</v>
      </c>
      <c r="L8" s="7">
        <f>[2]数据引用!AH11</f>
        <v>18</v>
      </c>
      <c r="M8" s="7">
        <f>[2]数据引用!AI11</f>
        <v>5.2</v>
      </c>
      <c r="N8" s="7">
        <f>[2]数据引用!AJ11</f>
        <v>8.25</v>
      </c>
      <c r="O8" s="7">
        <f>[2]数据引用!AK11</f>
        <v>8.25</v>
      </c>
      <c r="P8" s="7">
        <f>[2]数据引用!AL11</f>
        <v>8.25</v>
      </c>
      <c r="S8" s="12">
        <f>IF([3]基础状态预期!C20="","",[3]基础状态预期!C20)</f>
        <v>10</v>
      </c>
      <c r="T8" s="12">
        <f>IF([3]基础状态预期!D20="","",[3]基础状态预期!D20)</f>
        <v>34.585942742481357</v>
      </c>
      <c r="U8" s="14">
        <f>IF([3]基础状态预期!F20="",0,[3]基础状态预期!F20)</f>
        <v>0</v>
      </c>
      <c r="V8" s="14">
        <f>IF([3]基础状态预期!G20="",0,[3]基础状态预期!G20)</f>
        <v>0</v>
      </c>
      <c r="W8" s="14">
        <f>IF([3]基础状态预期!H20="",0,[3]基础状态预期!H20)</f>
        <v>0</v>
      </c>
      <c r="X8" s="14">
        <f>IF([3]基础状态预期!I20="",0,[3]基础状态预期!I20)</f>
        <v>6</v>
      </c>
      <c r="Y8" s="14">
        <f>IF([3]基础状态预期!J20="",0,[3]基础状态预期!J20)</f>
        <v>0</v>
      </c>
      <c r="Z8" s="14">
        <f>IF([3]基础状态预期!K20="",MIN(8,Z9),[3]基础状态预期!K20)</f>
        <v>8</v>
      </c>
      <c r="AA8" s="14">
        <f>IF([3]基础状态预期!L20="",MIN(8,AA9),[3]基础状态预期!L20)</f>
        <v>8</v>
      </c>
      <c r="AB8" s="14">
        <f>IF([3]基础状态预期!M20="",MIN(8,AB9),[3]基础状态预期!M20)</f>
        <v>8</v>
      </c>
      <c r="AC8" s="14">
        <f>IF([3]基础状态预期!N20="",MIN(8,AC9),[3]基础状态预期!N20)</f>
        <v>0.43977415772159079</v>
      </c>
      <c r="AD8" s="14">
        <f>IF([3]基础状态预期!O20="",MIN(8,AD9),[3]基础状态预期!O20)</f>
        <v>0</v>
      </c>
    </row>
    <row r="9" spans="3:30" x14ac:dyDescent="0.15">
      <c r="C9" s="5">
        <v>6</v>
      </c>
      <c r="D9" s="5">
        <f>'[1]功能-实力'!BF10</f>
        <v>63984</v>
      </c>
      <c r="E9" s="5">
        <f>'[1]功能-实力'!BG10</f>
        <v>65212</v>
      </c>
      <c r="F9" s="5">
        <f>'[1]功能-实力'!BH10</f>
        <v>67324</v>
      </c>
      <c r="G9" s="5">
        <f>'[1]功能-实力'!BI10</f>
        <v>70456</v>
      </c>
      <c r="H9" s="5">
        <f>'[1]功能-实力'!BJ10</f>
        <v>72368</v>
      </c>
      <c r="L9" s="7">
        <f>[2]数据引用!AH12</f>
        <v>30</v>
      </c>
      <c r="M9" s="7">
        <f>[2]数据引用!AI12</f>
        <v>4.4000000000000004</v>
      </c>
      <c r="N9" s="7">
        <f>[2]数据引用!AJ12</f>
        <v>7</v>
      </c>
      <c r="O9" s="7">
        <f>[2]数据引用!AK12</f>
        <v>7</v>
      </c>
      <c r="P9" s="7">
        <f>[2]数据引用!AL12</f>
        <v>7</v>
      </c>
      <c r="S9" s="12">
        <f>IF([3]基础状态预期!C21="","",[3]基础状态预期!C21)</f>
        <v>15</v>
      </c>
      <c r="T9" s="12">
        <f>IF([3]基础状态预期!D21="","",[3]基础状态预期!D21)</f>
        <v>40</v>
      </c>
      <c r="U9" s="14">
        <f>IF([3]基础状态预期!F21="",0,[3]基础状态预期!F21)</f>
        <v>0</v>
      </c>
      <c r="V9" s="14">
        <f>IF([3]基础状态预期!G21="",0,[3]基础状态预期!G21)</f>
        <v>0</v>
      </c>
      <c r="W9" s="14">
        <f>IF([3]基础状态预期!H21="",0,[3]基础状态预期!H21)</f>
        <v>0</v>
      </c>
      <c r="X9" s="14">
        <f>IF([3]基础状态预期!I21="",0,[3]基础状态预期!I21)</f>
        <v>6</v>
      </c>
      <c r="Y9" s="14">
        <f>IF([3]基础状态预期!J21="",0,[3]基础状态预期!J21)</f>
        <v>0</v>
      </c>
      <c r="Z9" s="14">
        <f>IF([3]基础状态预期!K21="",MIN(8,Z10),[3]基础状态预期!K21)</f>
        <v>8</v>
      </c>
      <c r="AA9" s="14">
        <f>IF([3]基础状态预期!L21="",MIN(8,AA10),[3]基础状态预期!L21)</f>
        <v>8</v>
      </c>
      <c r="AB9" s="14">
        <f>IF([3]基础状态预期!M21="",MIN(8,AB10),[3]基础状态预期!M21)</f>
        <v>8</v>
      </c>
      <c r="AC9" s="14">
        <f>IF([3]基础状态预期!N21="",MIN(8,AC10),[3]基础状态预期!N21)</f>
        <v>0.8551154668875014</v>
      </c>
      <c r="AD9" s="14">
        <f>IF([3]基础状态预期!O21="",MIN(8,AD10),[3]基础状态预期!O21)</f>
        <v>0</v>
      </c>
    </row>
    <row r="10" spans="3:30" x14ac:dyDescent="0.15">
      <c r="C10" s="5">
        <v>7</v>
      </c>
      <c r="D10" s="5">
        <f>'[1]功能-实力'!BF11</f>
        <v>72304</v>
      </c>
      <c r="E10" s="5">
        <f>'[1]功能-实力'!BG11</f>
        <v>73888</v>
      </c>
      <c r="F10" s="5">
        <f>'[1]功能-实力'!BH11</f>
        <v>76652</v>
      </c>
      <c r="G10" s="5">
        <f>'[1]功能-实力'!BI11</f>
        <v>80644</v>
      </c>
      <c r="H10" s="5">
        <f>'[1]功能-实力'!BJ11</f>
        <v>82920</v>
      </c>
      <c r="L10" s="7">
        <f>[2]数据引用!AH13</f>
        <v>68</v>
      </c>
      <c r="M10" s="7">
        <f>[2]数据引用!AI13</f>
        <v>3.9000000000000004</v>
      </c>
      <c r="N10" s="7">
        <f>[2]数据引用!AJ13</f>
        <v>6.25</v>
      </c>
      <c r="O10" s="7">
        <f>[2]数据引用!AK13</f>
        <v>6.25</v>
      </c>
      <c r="P10" s="7">
        <f>[2]数据引用!AL13</f>
        <v>6.25</v>
      </c>
      <c r="S10" s="12">
        <f>IF([3]基础状态预期!C22="","",[3]基础状态预期!C22)</f>
        <v>20</v>
      </c>
      <c r="T10" s="12">
        <f>IF([3]基础状态预期!D22="","",[3]基础状态预期!D22)</f>
        <v>43.920692243099523</v>
      </c>
      <c r="U10" s="14">
        <f>IF([3]基础状态预期!F22="",0,[3]基础状态预期!F22)</f>
        <v>0</v>
      </c>
      <c r="V10" s="14">
        <f>IF([3]基础状态预期!G22="",0,[3]基础状态预期!G22)</f>
        <v>0</v>
      </c>
      <c r="W10" s="14">
        <f>IF([3]基础状态预期!H22="",0,[3]基础状态预期!H22)</f>
        <v>0</v>
      </c>
      <c r="X10" s="14">
        <f>IF([3]基础状态预期!I22="",0,[3]基础状态预期!I22)</f>
        <v>6</v>
      </c>
      <c r="Y10" s="14">
        <f>IF([3]基础状态预期!J22="",0,[3]基础状态预期!J22)</f>
        <v>0</v>
      </c>
      <c r="Z10" s="14">
        <f>IF([3]基础状态预期!K22="",MIN(8,Z11),[3]基础状态预期!K22)</f>
        <v>8</v>
      </c>
      <c r="AA10" s="14">
        <f>IF([3]基础状态预期!L22="",MIN(8,AA11),[3]基础状态预期!L22)</f>
        <v>8</v>
      </c>
      <c r="AB10" s="14">
        <f>IF([3]基础状态预期!M22="",MIN(8,AB11),[3]基础状态预期!M22)</f>
        <v>8</v>
      </c>
      <c r="AC10" s="14">
        <f>IF([3]基础状态预期!N22="",MIN(8,AC11),[3]基础状态预期!N22)</f>
        <v>1.2619829796568007</v>
      </c>
      <c r="AD10" s="14">
        <f>IF([3]基础状态预期!O22="",MIN(8,AD11),[3]基础状态预期!O22)</f>
        <v>0</v>
      </c>
    </row>
    <row r="11" spans="3:30" x14ac:dyDescent="0.15">
      <c r="C11" s="5">
        <v>8</v>
      </c>
      <c r="D11" s="5">
        <f>'[1]功能-实力'!BF12</f>
        <v>81240</v>
      </c>
      <c r="E11" s="5">
        <f>'[1]功能-实力'!BG12</f>
        <v>83092</v>
      </c>
      <c r="F11" s="5">
        <f>'[1]功能-实力'!BH12</f>
        <v>86368</v>
      </c>
      <c r="G11" s="5">
        <f>'[1]功能-实力'!BI12</f>
        <v>91236</v>
      </c>
      <c r="H11" s="5">
        <f>'[1]功能-实力'!BJ12</f>
        <v>94124</v>
      </c>
      <c r="L11" s="7">
        <f>[2]数据引用!AH14</f>
        <v>98</v>
      </c>
      <c r="M11" s="7">
        <f>[2]数据引用!AI14</f>
        <v>3.4</v>
      </c>
      <c r="N11" s="7">
        <f>[2]数据引用!AJ14</f>
        <v>5.5</v>
      </c>
      <c r="O11" s="7">
        <f>[2]数据引用!AK14</f>
        <v>5.5</v>
      </c>
      <c r="P11" s="7">
        <f>[2]数据引用!AL14</f>
        <v>5.5</v>
      </c>
      <c r="S11" s="12">
        <f>IF([3]基础状态预期!C23="","",[3]基础状态预期!C23)</f>
        <v>30</v>
      </c>
      <c r="T11" s="12">
        <f>IF([3]基础状态预期!D23="","",[3]基础状态预期!D23)</f>
        <v>49.533352307096472</v>
      </c>
      <c r="U11" s="14">
        <f>IF([3]基础状态预期!F23="",0,[3]基础状态预期!F23)</f>
        <v>0</v>
      </c>
      <c r="V11" s="14">
        <f>IF([3]基础状态预期!G23="",0,[3]基础状态预期!G23)</f>
        <v>0</v>
      </c>
      <c r="W11" s="14">
        <f>IF([3]基础状态预期!H23="",0,[3]基础状态预期!H23)</f>
        <v>0</v>
      </c>
      <c r="X11" s="14">
        <f>IF([3]基础状态预期!I23="",0,[3]基础状态预期!I23)</f>
        <v>6</v>
      </c>
      <c r="Y11" s="14">
        <f>IF([3]基础状态预期!J23="",0,[3]基础状态预期!J23)</f>
        <v>0</v>
      </c>
      <c r="Z11" s="14">
        <f>IF([3]基础状态预期!K23="",MIN(8,Z12),[3]基础状态预期!K23)</f>
        <v>8</v>
      </c>
      <c r="AA11" s="14">
        <f>IF([3]基础状态预期!L23="",MIN(8,AA12),[3]基础状态预期!L23)</f>
        <v>8</v>
      </c>
      <c r="AB11" s="14">
        <f>IF([3]基础状态预期!M23="",MIN(8,AB12),[3]基础状态预期!M23)</f>
        <v>8</v>
      </c>
      <c r="AC11" s="14">
        <f>IF([3]基础状态预期!N23="",MIN(8,AC12),[3]基础状态预期!N23)</f>
        <v>1.9888569327398566</v>
      </c>
      <c r="AD11" s="14">
        <f>IF([3]基础状态预期!O23="",MIN(8,AD12),[3]基础状态预期!O23)</f>
        <v>0</v>
      </c>
    </row>
    <row r="12" spans="3:30" x14ac:dyDescent="0.15">
      <c r="C12" s="5">
        <v>9</v>
      </c>
      <c r="D12" s="5">
        <f>'[1]功能-实力'!BF13</f>
        <v>99413.6</v>
      </c>
      <c r="E12" s="5">
        <f>'[1]功能-实力'!BG13</f>
        <v>101864.40000000001</v>
      </c>
      <c r="F12" s="5">
        <f>'[1]功能-实力'!BH13</f>
        <v>106304</v>
      </c>
      <c r="G12" s="5">
        <f>'[1]功能-实力'!BI13</f>
        <v>112882.00000000001</v>
      </c>
      <c r="H12" s="5">
        <f>'[1]功能-实力'!BJ13</f>
        <v>116820</v>
      </c>
      <c r="L12" s="7">
        <f>[2]数据引用!AH15</f>
        <v>128</v>
      </c>
      <c r="M12" s="7">
        <f>[2]数据引用!AI15</f>
        <v>2.9</v>
      </c>
      <c r="N12" s="7">
        <f>[2]数据引用!AJ15</f>
        <v>4.8</v>
      </c>
      <c r="O12" s="7">
        <f>[2]数据引用!AK15</f>
        <v>4.8</v>
      </c>
      <c r="P12" s="7">
        <f>[2]数据引用!AL15</f>
        <v>4.8</v>
      </c>
      <c r="S12" s="12">
        <f>IF([3]基础状态预期!C24="","",[3]基础状态预期!C24)</f>
        <v>40</v>
      </c>
      <c r="T12" s="12">
        <f>IF([3]基础状态预期!D24="","",[3]基础状态预期!D24)</f>
        <v>53.567039423670657</v>
      </c>
      <c r="U12" s="14">
        <f>IF([3]基础状态预期!F24="",0,[3]基础状态预期!F24)</f>
        <v>0</v>
      </c>
      <c r="V12" s="14">
        <f>IF([3]基础状态预期!G24="",0,[3]基础状态预期!G24)</f>
        <v>0</v>
      </c>
      <c r="W12" s="14">
        <f>IF([3]基础状态预期!H24="",0,[3]基础状态预期!H24)</f>
        <v>0</v>
      </c>
      <c r="X12" s="14">
        <f>IF([3]基础状态预期!I24="",0,[3]基础状态预期!I24)</f>
        <v>5</v>
      </c>
      <c r="Y12" s="14">
        <f>IF([3]基础状态预期!J24="",0,[3]基础状态预期!J24)</f>
        <v>1</v>
      </c>
      <c r="Z12" s="14">
        <f>IF([3]基础状态预期!K24="",MIN(8,Z13),[3]基础状态预期!K24)</f>
        <v>8</v>
      </c>
      <c r="AA12" s="14">
        <f>IF([3]基础状态预期!L24="",MIN(8,AA13),[3]基础状态预期!L24)</f>
        <v>8</v>
      </c>
      <c r="AB12" s="14">
        <f>IF([3]基础状态预期!M24="",MIN(8,AB13),[3]基础状态预期!M24)</f>
        <v>8</v>
      </c>
      <c r="AC12" s="14">
        <f>IF([3]基础状态预期!N24="",MIN(8,AC13),[3]基础状态预期!N24)</f>
        <v>2.6684648357611023</v>
      </c>
      <c r="AD12" s="14">
        <f>IF([3]基础状态预期!O24="",MIN(8,AD13),[3]基础状态预期!O24)</f>
        <v>0</v>
      </c>
    </row>
    <row r="13" spans="3:30" x14ac:dyDescent="0.15">
      <c r="C13" s="5">
        <v>10</v>
      </c>
      <c r="D13" s="5">
        <f>'[1]功能-实力'!BF14</f>
        <v>120374.39999999999</v>
      </c>
      <c r="E13" s="5">
        <f>'[1]功能-实力'!BG14</f>
        <v>123321.59999999999</v>
      </c>
      <c r="F13" s="5">
        <f>'[1]功能-实力'!BH14</f>
        <v>129148.79999999999</v>
      </c>
      <c r="G13" s="5">
        <f>'[1]功能-实力'!BI14</f>
        <v>137803.20000000001</v>
      </c>
      <c r="H13" s="5">
        <f>'[1]功能-实力'!BJ14</f>
        <v>143035.20000000001</v>
      </c>
      <c r="L13" s="7">
        <f>[2]数据引用!AH16</f>
        <v>198</v>
      </c>
      <c r="M13" s="7">
        <f>[2]数据引用!AI16</f>
        <v>2.8</v>
      </c>
      <c r="N13" s="7">
        <f>[2]数据引用!AJ16</f>
        <v>4.5</v>
      </c>
      <c r="O13" s="7">
        <f>[2]数据引用!AK16</f>
        <v>4.5</v>
      </c>
      <c r="P13" s="7">
        <f>[2]数据引用!AL16</f>
        <v>4.5</v>
      </c>
      <c r="S13" s="12">
        <f>IF([3]基础状态预期!C25="","",[3]基础状态预期!C25)</f>
        <v>60</v>
      </c>
      <c r="T13" s="12">
        <f>IF([3]基础状态预期!D25="","",[3]基础状态预期!D25)</f>
        <v>59.300028460644697</v>
      </c>
      <c r="U13" s="14">
        <f>IF([3]基础状态预期!F25="",0,[3]基础状态预期!F25)</f>
        <v>0</v>
      </c>
      <c r="V13" s="14">
        <f>IF([3]基础状态预期!G25="",0,[3]基础状态预期!G25)</f>
        <v>0</v>
      </c>
      <c r="W13" s="14">
        <f>IF([3]基础状态预期!H25="",0,[3]基础状态预期!H25)</f>
        <v>0</v>
      </c>
      <c r="X13" s="14">
        <f>IF([3]基础状态预期!I25="",0,[3]基础状态预期!I25)</f>
        <v>4</v>
      </c>
      <c r="Y13" s="14">
        <f>IF([3]基础状态预期!J25="",0,[3]基础状态预期!J25)</f>
        <v>2</v>
      </c>
      <c r="Z13" s="14">
        <f>IF([3]基础状态预期!K25="",MIN(8,Z14),[3]基础状态预期!K25)</f>
        <v>8</v>
      </c>
      <c r="AA13" s="14">
        <f>IF([3]基础状态预期!L25="",MIN(8,AA14),[3]基础状态预期!L25)</f>
        <v>8</v>
      </c>
      <c r="AB13" s="14">
        <f>IF([3]基础状态预期!M25="",MIN(8,AB14),[3]基础状态预期!M25)</f>
        <v>8</v>
      </c>
      <c r="AC13" s="14">
        <f>IF([3]基础状态预期!N25="",MIN(8,AC14),[3]基础状态预期!N25)</f>
        <v>3.3339039024093222</v>
      </c>
      <c r="AD13" s="14">
        <f>IF([3]基础状态预期!O25="",MIN(8,AD14),[3]基础状态预期!O25)</f>
        <v>0.52656349948043157</v>
      </c>
    </row>
    <row r="14" spans="3:30" x14ac:dyDescent="0.15">
      <c r="C14" s="5">
        <v>11</v>
      </c>
      <c r="D14" s="5">
        <f>'[1]功能-实力'!BF15</f>
        <v>139575</v>
      </c>
      <c r="E14" s="5">
        <f>'[1]功能-实力'!BG15</f>
        <v>143025</v>
      </c>
      <c r="F14" s="5">
        <f>'[1]功能-实力'!BH15</f>
        <v>149780</v>
      </c>
      <c r="G14" s="5">
        <f>'[1]功能-实力'!BI15</f>
        <v>160330</v>
      </c>
      <c r="H14" s="5">
        <f>'[1]功能-实力'!BJ15</f>
        <v>166520</v>
      </c>
      <c r="L14" s="7">
        <f>[2]数据引用!AH17</f>
        <v>328</v>
      </c>
      <c r="M14" s="7">
        <f>[2]数据引用!AI17</f>
        <v>2.6</v>
      </c>
      <c r="N14" s="7">
        <f>[2]数据引用!AJ17</f>
        <v>4.25</v>
      </c>
      <c r="O14" s="7">
        <f>[2]数据引用!AK17</f>
        <v>4.25</v>
      </c>
      <c r="P14" s="7">
        <f>[2]数据引用!AL17</f>
        <v>4.25</v>
      </c>
      <c r="S14" s="12">
        <f>IF([3]基础状态预期!C26="","",[3]基础状态预期!C26)</f>
        <v>90</v>
      </c>
      <c r="T14" s="12">
        <f>IF([3]基础状态预期!D26="","",[3]基础状态预期!D26)</f>
        <v>65.075479910097457</v>
      </c>
      <c r="U14" s="14">
        <f>IF([3]基础状态预期!F26="",0,[3]基础状态预期!F26)</f>
        <v>0</v>
      </c>
      <c r="V14" s="14">
        <f>IF([3]基础状态预期!G26="",0,[3]基础状态预期!G26)</f>
        <v>0</v>
      </c>
      <c r="W14" s="14">
        <f>IF([3]基础状态预期!H26="",0,[3]基础状态预期!H26)</f>
        <v>0</v>
      </c>
      <c r="X14" s="14">
        <f>IF([3]基础状态预期!I26="",0,[3]基础状态预期!I26)</f>
        <v>3</v>
      </c>
      <c r="Y14" s="14">
        <f>IF([3]基础状态预期!J26="",0,[3]基础状态预期!J26)</f>
        <v>3</v>
      </c>
      <c r="Z14" s="14">
        <f>IF([3]基础状态预期!K26="",MIN(8,Z15),[3]基础状态预期!K26)</f>
        <v>8</v>
      </c>
      <c r="AA14" s="14">
        <f>IF([3]基础状态预期!L26="",MIN(8,AA15),[3]基础状态预期!L26)</f>
        <v>8</v>
      </c>
      <c r="AB14" s="14">
        <f>IF([3]基础状态预期!M26="",MIN(8,AB15),[3]基础状态预期!M26)</f>
        <v>8</v>
      </c>
      <c r="AC14" s="14">
        <f>IF([3]基础状态预期!N26="",MIN(8,AC15),[3]基础状态预期!N26)</f>
        <v>3.6966112348502564</v>
      </c>
      <c r="AD14" s="14">
        <f>IF([3]基础状态预期!O26="",MIN(8,AD15),[3]基础状态预期!O26)</f>
        <v>2.1885912509308629</v>
      </c>
    </row>
    <row r="15" spans="3:30" x14ac:dyDescent="0.15">
      <c r="C15" s="5">
        <v>12</v>
      </c>
      <c r="D15" s="5">
        <f>'[1]功能-实力'!BF16</f>
        <v>151335</v>
      </c>
      <c r="E15" s="5">
        <f>'[1]功能-实力'!BG16</f>
        <v>155545</v>
      </c>
      <c r="F15" s="5">
        <f>'[1]功能-实力'!BH16</f>
        <v>162445</v>
      </c>
      <c r="G15" s="5">
        <f>'[1]功能-实力'!BI16</f>
        <v>174130</v>
      </c>
      <c r="H15" s="5">
        <f>'[1]功能-实力'!BJ16</f>
        <v>181420</v>
      </c>
      <c r="L15" s="7">
        <f>[2]数据引用!AH18</f>
        <v>648</v>
      </c>
      <c r="M15" s="7">
        <f>[2]数据引用!AI18</f>
        <v>2.4</v>
      </c>
      <c r="N15" s="7">
        <f>[2]数据引用!AJ18</f>
        <v>4</v>
      </c>
      <c r="O15" s="7">
        <f>[2]数据引用!AK18</f>
        <v>4</v>
      </c>
      <c r="P15" s="7">
        <f>[2]数据引用!AL18</f>
        <v>4</v>
      </c>
      <c r="S15" s="12">
        <f>IF([3]基础状态预期!C27="","",[3]基础状态预期!C27)</f>
        <v>120</v>
      </c>
      <c r="T15" s="12">
        <f>IF([3]基础状态预期!D27="","",[3]基础状态预期!D27)</f>
        <v>69.18336653741882</v>
      </c>
      <c r="U15" s="14">
        <f>IF([3]基础状态预期!F27="",0,[3]基础状态预期!F27)</f>
        <v>0</v>
      </c>
      <c r="V15" s="14">
        <f>IF([3]基础状态预期!G27="",0,[3]基础状态预期!G27)</f>
        <v>0</v>
      </c>
      <c r="W15" s="14">
        <f>IF([3]基础状态预期!H27="",0,[3]基础状态预期!H27)</f>
        <v>0</v>
      </c>
      <c r="X15" s="14">
        <f>IF([3]基础状态预期!I27="",0,[3]基础状态预期!I27)</f>
        <v>2</v>
      </c>
      <c r="Y15" s="14">
        <f>IF([3]基础状态预期!J27="",0,[3]基础状态预期!J27)</f>
        <v>4</v>
      </c>
      <c r="Z15" s="14">
        <f>IF([3]基础状态预期!K27="",MIN(8,Z16),[3]基础状态预期!K27)</f>
        <v>8</v>
      </c>
      <c r="AA15" s="14">
        <f>IF([3]基础状态预期!L27="",MIN(8,AA16),[3]基础状态预期!L27)</f>
        <v>8</v>
      </c>
      <c r="AB15" s="14">
        <f>IF([3]基础状态预期!M27="",MIN(8,AB16),[3]基础状态预期!M27)</f>
        <v>8</v>
      </c>
      <c r="AC15" s="14">
        <f>IF([3]基础状态预期!N27="",MIN(8,AC16),[3]基础状态预期!N27)</f>
        <v>3.978844251174479</v>
      </c>
      <c r="AD15" s="14">
        <f>IF([3]基础状态预期!O27="",MIN(8,AD16),[3]基础状态预期!O27)</f>
        <v>2.4797565893731432</v>
      </c>
    </row>
    <row r="16" spans="3:30" x14ac:dyDescent="0.15">
      <c r="C16" s="5">
        <v>13</v>
      </c>
      <c r="D16" s="5">
        <f>'[1]功能-实力'!BF17</f>
        <v>163705</v>
      </c>
      <c r="E16" s="5">
        <f>'[1]功能-实力'!BG17</f>
        <v>168280</v>
      </c>
      <c r="F16" s="5">
        <f>'[1]功能-实力'!BH17</f>
        <v>176240</v>
      </c>
      <c r="G16" s="5">
        <f>'[1]功能-实力'!BI17</f>
        <v>188405</v>
      </c>
      <c r="H16" s="5">
        <f>'[1]功能-实力'!BJ17</f>
        <v>196955</v>
      </c>
      <c r="S16" s="12">
        <f>IF([3]基础状态预期!C28="","",[3]基础状态预期!C28)</f>
        <v>150</v>
      </c>
      <c r="T16" s="12">
        <f>IF([3]基础状态预期!D28="","",[3]基础状态预期!D28)</f>
        <v>72.375871759353331</v>
      </c>
      <c r="U16" s="14">
        <f>IF([3]基础状态预期!F28="",0,[3]基础状态预期!F28)</f>
        <v>0</v>
      </c>
      <c r="V16" s="14">
        <f>IF([3]基础状态预期!G28="",0,[3]基础状态预期!G28)</f>
        <v>0</v>
      </c>
      <c r="W16" s="14">
        <f>IF([3]基础状态预期!H28="",0,[3]基础状态预期!H28)</f>
        <v>0</v>
      </c>
      <c r="X16" s="14">
        <f>IF([3]基础状态预期!I28="",0,[3]基础状态预期!I28)</f>
        <v>1</v>
      </c>
      <c r="Y16" s="14">
        <f>IF([3]基础状态预期!J28="",0,[3]基础状态预期!J28)</f>
        <v>5</v>
      </c>
      <c r="Z16" s="14">
        <f>IF([3]基础状态预期!K28="",MIN(8,Z17),[3]基础状态预期!K28)</f>
        <v>8</v>
      </c>
      <c r="AA16" s="14">
        <f>IF([3]基础状态预期!L28="",MIN(8,AA17),[3]基础状态预期!L28)</f>
        <v>8</v>
      </c>
      <c r="AB16" s="14">
        <f>IF([3]基础状态预期!M28="",MIN(8,AB17),[3]基础状态预期!M28)</f>
        <v>8</v>
      </c>
      <c r="AC16" s="14">
        <f>IF([3]基础状态预期!N28="",MIN(8,AC17),[3]基础状态预期!N28)</f>
        <v>4.2558384119749606</v>
      </c>
      <c r="AD16" s="14">
        <f>IF([3]基础状态预期!O28="",MIN(8,AD17),[3]基础状态预期!O28)</f>
        <v>2.626340601127763</v>
      </c>
    </row>
    <row r="17" spans="3:30" x14ac:dyDescent="0.15">
      <c r="C17" s="5">
        <v>14</v>
      </c>
      <c r="D17" s="5">
        <f>'[1]功能-实力'!BF18</f>
        <v>176570</v>
      </c>
      <c r="E17" s="5">
        <f>'[1]功能-实力'!BG18</f>
        <v>181520</v>
      </c>
      <c r="F17" s="5">
        <f>'[1]功能-实力'!BH18</f>
        <v>189810</v>
      </c>
      <c r="G17" s="5">
        <f>'[1]功能-实力'!BI18</f>
        <v>203045</v>
      </c>
      <c r="H17" s="5">
        <f>'[1]功能-实力'!BJ18</f>
        <v>212530</v>
      </c>
      <c r="S17" s="12">
        <f>IF([3]基础状态预期!C29="","",[3]基础状态预期!C29)</f>
        <v>180</v>
      </c>
      <c r="T17" s="12">
        <f>IF([3]基础状态预期!D29="","",[3]基础状态预期!D29)</f>
        <v>74.998404927577795</v>
      </c>
      <c r="U17" s="14">
        <f>IF([3]基础状态预期!F29="",0,[3]基础状态预期!F29)</f>
        <v>0</v>
      </c>
      <c r="V17" s="14">
        <f>IF([3]基础状态预期!G29="",0,[3]基础状态预期!G29)</f>
        <v>0</v>
      </c>
      <c r="W17" s="14">
        <f>IF([3]基础状态预期!H29="",0,[3]基础状态预期!H29)</f>
        <v>0</v>
      </c>
      <c r="X17" s="14">
        <f>IF([3]基础状态预期!I29="",0,[3]基础状态预期!I29)</f>
        <v>0.5</v>
      </c>
      <c r="Y17" s="14">
        <f>IF([3]基础状态预期!J29="",0,[3]基础状态预期!J29)</f>
        <v>5.5</v>
      </c>
      <c r="Z17" s="14">
        <f>IF([3]基础状态预期!K29="",MIN(8,Z18),[3]基础状态预期!K29)</f>
        <v>8</v>
      </c>
      <c r="AA17" s="14">
        <f>IF([3]基础状态预期!L29="",MIN(8,AA18),[3]基础状态预期!L29)</f>
        <v>8</v>
      </c>
      <c r="AB17" s="14">
        <f>IF([3]基础状态预期!M29="",MIN(8,AB18),[3]基础状态预期!M29)</f>
        <v>8</v>
      </c>
      <c r="AC17" s="14">
        <f>IF([3]基础状态预期!N29="",MIN(8,AC18),[3]基础状态预期!N29)</f>
        <v>4.5246098820410872</v>
      </c>
      <c r="AD17" s="14">
        <f>IF([3]基础状态预期!O29="",MIN(8,AD18),[3]基础状态预期!O29)</f>
        <v>3.0112488593102924</v>
      </c>
    </row>
    <row r="18" spans="3:30" x14ac:dyDescent="0.15">
      <c r="C18" s="5">
        <v>15</v>
      </c>
      <c r="D18" s="5">
        <f>'[1]功能-实力'!BF19</f>
        <v>189960</v>
      </c>
      <c r="E18" s="5">
        <f>'[1]功能-实力'!BG19</f>
        <v>195240</v>
      </c>
      <c r="F18" s="5">
        <f>'[1]功能-实力'!BH19</f>
        <v>204085</v>
      </c>
      <c r="G18" s="5">
        <f>'[1]功能-实力'!BI19</f>
        <v>218170</v>
      </c>
      <c r="H18" s="5">
        <f>'[1]功能-实力'!BJ19</f>
        <v>229965</v>
      </c>
      <c r="S18" s="12">
        <f>IF([3]基础状态预期!C30="","",[3]基础状态预期!C30)</f>
        <v>220</v>
      </c>
      <c r="T18" s="12">
        <f>IF([3]基础状态预期!D30="","",[3]基础状态预期!D30)</f>
        <v>77.875308029777003</v>
      </c>
      <c r="U18" s="14">
        <f>IF([3]基础状态预期!F30="",0,[3]基础状态预期!F30)</f>
        <v>0</v>
      </c>
      <c r="V18" s="14">
        <f>IF([3]基础状态预期!G30="",0,[3]基础状态预期!G30)</f>
        <v>0</v>
      </c>
      <c r="W18" s="14">
        <f>IF([3]基础状态预期!H30="",0,[3]基础状态预期!H30)</f>
        <v>0</v>
      </c>
      <c r="X18" s="14">
        <f>IF([3]基础状态预期!I30="",0,[3]基础状态预期!I30)</f>
        <v>0</v>
      </c>
      <c r="Y18" s="14">
        <f>IF([3]基础状态预期!J30="",0,[3]基础状态预期!J30)</f>
        <v>6</v>
      </c>
      <c r="Z18" s="14">
        <f>IF([3]基础状态预期!K30="",MIN(8,Z19),[3]基础状态预期!K30)</f>
        <v>8</v>
      </c>
      <c r="AA18" s="14">
        <f>IF([3]基础状态预期!L30="",MIN(8,AA19),[3]基础状态预期!L30)</f>
        <v>8</v>
      </c>
      <c r="AB18" s="14">
        <f>IF([3]基础状态预期!M30="",MIN(8,AB19),[3]基础状态预期!M30)</f>
        <v>8</v>
      </c>
      <c r="AC18" s="14">
        <f>IF([3]基础状态预期!N30="",MIN(8,AC19),[3]基础状态预期!N30)</f>
        <v>8</v>
      </c>
      <c r="AD18" s="14">
        <f>IF([3]基础状态预期!O30="",MIN(8,AD19),[3]基础状态预期!O30)</f>
        <v>3.4030429372377271</v>
      </c>
    </row>
    <row r="19" spans="3:30" x14ac:dyDescent="0.15">
      <c r="C19" s="5">
        <v>16</v>
      </c>
      <c r="D19" s="5">
        <f>'[1]功能-实力'!BF20</f>
        <v>216112.8</v>
      </c>
      <c r="E19" s="5">
        <f>'[1]功能-实力'!BG20</f>
        <v>222080.59999999998</v>
      </c>
      <c r="F19" s="5">
        <f>'[1]功能-实力'!BH20</f>
        <v>231901.5</v>
      </c>
      <c r="G19" s="5">
        <f>'[1]功能-实力'!BI20</f>
        <v>249656.5</v>
      </c>
      <c r="H19" s="5">
        <f>'[1]功能-实力'!BJ20</f>
        <v>262482.5</v>
      </c>
      <c r="S19" s="12">
        <f>IF([3]基础状态预期!C31="","",[3]基础状态预期!C31)</f>
        <v>260</v>
      </c>
      <c r="T19" s="12">
        <f>IF([3]基础状态预期!D31="","",[3]基础状态预期!D31)</f>
        <v>80.272123558064706</v>
      </c>
      <c r="U19" s="14">
        <f>IF([3]基础状态预期!F31="",0,[3]基础状态预期!F31)</f>
        <v>0</v>
      </c>
      <c r="V19" s="14">
        <f>IF([3]基础状态预期!G31="",0,[3]基础状态预期!G31)</f>
        <v>0</v>
      </c>
      <c r="W19" s="14">
        <f>IF([3]基础状态预期!H31="",0,[3]基础状态预期!H31)</f>
        <v>0</v>
      </c>
      <c r="X19" s="14">
        <f>IF([3]基础状态预期!I31="",0,[3]基础状态预期!I31)</f>
        <v>0</v>
      </c>
      <c r="Y19" s="14">
        <f>IF([3]基础状态预期!J31="",0,[3]基础状态预期!J31)</f>
        <v>6</v>
      </c>
      <c r="Z19" s="14">
        <f>IF([3]基础状态预期!K31="",MIN(8,Z20),[3]基础状态预期!K31)</f>
        <v>8</v>
      </c>
      <c r="AA19" s="14">
        <f>IF([3]基础状态预期!L31="",MIN(8,AA20),[3]基础状态预期!L31)</f>
        <v>8</v>
      </c>
      <c r="AB19" s="14">
        <f>IF([3]基础状态预期!M31="",MIN(8,AB20),[3]基础状态预期!M31)</f>
        <v>8</v>
      </c>
      <c r="AC19" s="14">
        <f>IF([3]基础状态预期!N31="",MIN(8,AC20),[3]基础状态预期!N31)</f>
        <v>8</v>
      </c>
      <c r="AD19" s="14">
        <f>IF([3]基础状态预期!O31="",MIN(8,AD20),[3]基础状态预期!O31)</f>
        <v>3.9296944372122797</v>
      </c>
    </row>
    <row r="20" spans="3:30" x14ac:dyDescent="0.15">
      <c r="C20" s="5">
        <v>17</v>
      </c>
      <c r="D20" s="5">
        <f>'[1]功能-实力'!BF21</f>
        <v>244473.59999999998</v>
      </c>
      <c r="E20" s="5">
        <f>'[1]功能-实力'!BG21</f>
        <v>251126.39999999997</v>
      </c>
      <c r="F20" s="5">
        <f>'[1]功能-实力'!BH21</f>
        <v>263060</v>
      </c>
      <c r="G20" s="5">
        <f>'[1]功能-实力'!BI21</f>
        <v>282436</v>
      </c>
      <c r="H20" s="5">
        <f>'[1]功能-实力'!BJ21</f>
        <v>297242.39999999997</v>
      </c>
      <c r="S20" s="12">
        <f>IF([3]基础状态预期!C32="","",[3]基础状态预期!C32)</f>
        <v>300</v>
      </c>
      <c r="T20" s="12">
        <f>IF([3]基础状态预期!D32="","",[3]基础状态预期!D32)</f>
        <v>82.328492296001457</v>
      </c>
      <c r="U20" s="14">
        <f>IF([3]基础状态预期!F32="",0,[3]基础状态预期!F32)</f>
        <v>0</v>
      </c>
      <c r="V20" s="14">
        <f>IF([3]基础状态预期!G32="",0,[3]基础状态预期!G32)</f>
        <v>0</v>
      </c>
      <c r="W20" s="14">
        <f>IF([3]基础状态预期!H32="",0,[3]基础状态预期!H32)</f>
        <v>0</v>
      </c>
      <c r="X20" s="14">
        <f>IF([3]基础状态预期!I32="",0,[3]基础状态预期!I32)</f>
        <v>0</v>
      </c>
      <c r="Y20" s="14">
        <f>IF([3]基础状态预期!J32="",0,[3]基础状态预期!J32)</f>
        <v>6</v>
      </c>
      <c r="Z20" s="14">
        <f>IF([3]基础状态预期!K32="",MIN(8,Z21),[3]基础状态预期!K32)</f>
        <v>8</v>
      </c>
      <c r="AA20" s="14">
        <f>IF([3]基础状态预期!L32="",MIN(8,AA21),[3]基础状态预期!L32)</f>
        <v>8</v>
      </c>
      <c r="AB20" s="14">
        <f>IF([3]基础状态预期!M32="",MIN(8,AB21),[3]基础状态预期!M32)</f>
        <v>8</v>
      </c>
      <c r="AC20" s="14">
        <f>IF([3]基础状态预期!N32="",MIN(8,AC21),[3]基础状态预期!N32)</f>
        <v>8</v>
      </c>
      <c r="AD20" s="14">
        <f>IF([3]基础状态预期!O32="",MIN(8,AD21),[3]基础状态预期!O32)</f>
        <v>4.4592653995492668</v>
      </c>
    </row>
    <row r="21" spans="3:30" x14ac:dyDescent="0.15">
      <c r="C21" s="5">
        <v>18</v>
      </c>
      <c r="D21" s="5">
        <f>'[1]功能-实力'!BF22</f>
        <v>275299.90000000002</v>
      </c>
      <c r="E21" s="5">
        <f>'[1]功能-实力'!BG22</f>
        <v>283831.30000000005</v>
      </c>
      <c r="F21" s="5">
        <f>'[1]功能-实力'!BH22</f>
        <v>296427.80000000005</v>
      </c>
      <c r="G21" s="5">
        <f>'[1]功能-实力'!BI22</f>
        <v>318216.5</v>
      </c>
      <c r="H21" s="5">
        <f>'[1]功能-实力'!BJ22</f>
        <v>335249.80000000005</v>
      </c>
      <c r="S21" s="12">
        <f>IF([3]基础状态预期!C33="","",[3]基础状态预期!C33)</f>
        <v>340</v>
      </c>
      <c r="T21" s="12">
        <f>IF([3]基础状态预期!D33="","",[3]基础状态预期!D33)</f>
        <v>84.132234338875293</v>
      </c>
      <c r="U21" s="14">
        <f>IF([3]基础状态预期!F33="",0,[3]基础状态预期!F33)</f>
        <v>0</v>
      </c>
      <c r="V21" s="14">
        <f>IF([3]基础状态预期!G33="",0,[3]基础状态预期!G33)</f>
        <v>0</v>
      </c>
      <c r="W21" s="14">
        <f>IF([3]基础状态预期!H33="",0,[3]基础状态预期!H33)</f>
        <v>0</v>
      </c>
      <c r="X21" s="14">
        <f>IF([3]基础状态预期!I33="",0,[3]基础状态预期!I33)</f>
        <v>0</v>
      </c>
      <c r="Y21" s="14">
        <f>IF([3]基础状态预期!J33="",0,[3]基础状态预期!J33)</f>
        <v>6</v>
      </c>
      <c r="Z21" s="14">
        <f>IF([3]基础状态预期!K33="",MIN(8,Z22),[3]基础状态预期!K33)</f>
        <v>8</v>
      </c>
      <c r="AA21" s="14">
        <f>IF([3]基础状态预期!L33="",MIN(8,AA22),[3]基础状态预期!L33)</f>
        <v>8</v>
      </c>
      <c r="AB21" s="14">
        <f>IF([3]基础状态预期!M33="",MIN(8,AB22),[3]基础状态预期!M33)</f>
        <v>8</v>
      </c>
      <c r="AC21" s="14">
        <f>IF([3]基础状态预期!N33="",MIN(8,AC22),[3]基础状态预期!N33)</f>
        <v>8</v>
      </c>
      <c r="AD21" s="14">
        <f>IF([3]基础状态预期!O33="",MIN(8,AD22),[3]基础状态预期!O33)</f>
        <v>4.9598473167480783</v>
      </c>
    </row>
    <row r="22" spans="3:30" x14ac:dyDescent="0.15">
      <c r="C22" s="5">
        <v>19</v>
      </c>
      <c r="D22" s="5">
        <f>'[1]功能-实力'!BF23</f>
        <v>299772</v>
      </c>
      <c r="E22" s="5">
        <f>'[1]功能-实力'!BG23</f>
        <v>308118</v>
      </c>
      <c r="F22" s="5">
        <f>'[1]功能-实力'!BH23</f>
        <v>321666</v>
      </c>
      <c r="G22" s="5">
        <f>'[1]功能-实力'!BI23</f>
        <v>345120</v>
      </c>
      <c r="H22" s="5">
        <f>'[1]功能-实力'!BJ23</f>
        <v>364074</v>
      </c>
      <c r="S22" s="12">
        <f>IF([3]基础状态预期!C34="","",[3]基础状态预期!C34)</f>
        <v>400</v>
      </c>
      <c r="T22" s="12">
        <f>IF([3]基础状态预期!D34="","",[3]基础状态预期!D34)</f>
        <v>86.465948248806328</v>
      </c>
      <c r="U22" s="14">
        <f>IF([3]基础状态预期!F34="",0,[3]基础状态预期!F34)</f>
        <v>0</v>
      </c>
      <c r="V22" s="14">
        <f>IF([3]基础状态预期!G34="",0,[3]基础状态预期!G34)</f>
        <v>0</v>
      </c>
      <c r="W22" s="14">
        <f>IF([3]基础状态预期!H34="",0,[3]基础状态预期!H34)</f>
        <v>0</v>
      </c>
      <c r="X22" s="14">
        <f>IF([3]基础状态预期!I34="",0,[3]基础状态预期!I34)</f>
        <v>0</v>
      </c>
      <c r="Y22" s="14">
        <f>IF([3]基础状态预期!J34="",0,[3]基础状态预期!J34)</f>
        <v>6</v>
      </c>
      <c r="Z22" s="14">
        <f>IF([3]基础状态预期!K34="",MIN(8,Z23),[3]基础状态预期!K34)</f>
        <v>8</v>
      </c>
      <c r="AA22" s="14">
        <f>IF([3]基础状态预期!L34="",MIN(8,AA23),[3]基础状态预期!L34)</f>
        <v>8</v>
      </c>
      <c r="AB22" s="14">
        <f>IF([3]基础状态预期!M34="",MIN(8,AB23),[3]基础状态预期!M34)</f>
        <v>8</v>
      </c>
      <c r="AC22" s="14">
        <f>IF([3]基础状态预期!N34="",MIN(8,AC23),[3]基础状态预期!N34)</f>
        <v>8</v>
      </c>
      <c r="AD22" s="14">
        <f>IF([3]基础状态预期!O34="",MIN(8,AD23),[3]基础状态预期!O34)</f>
        <v>5.4010357087932102</v>
      </c>
    </row>
    <row r="23" spans="3:30" x14ac:dyDescent="0.15">
      <c r="C23" s="5">
        <v>20</v>
      </c>
      <c r="D23" s="5">
        <f>'[1]功能-实力'!BF24</f>
        <v>319686</v>
      </c>
      <c r="E23" s="5">
        <f>'[1]功能-实力'!BG24</f>
        <v>327474</v>
      </c>
      <c r="F23" s="5">
        <f>'[1]功能-实力'!BH24</f>
        <v>341910</v>
      </c>
      <c r="G23" s="5">
        <f>'[1]功能-实力'!BI24</f>
        <v>365976</v>
      </c>
      <c r="H23" s="5">
        <f>'[1]功能-实力'!BJ24</f>
        <v>386118</v>
      </c>
      <c r="S23" s="12">
        <f>IF([3]基础状态预期!C35="","",[3]基础状态预期!C35)</f>
        <v>520</v>
      </c>
      <c r="T23" s="12">
        <f>IF([3]基础状态预期!D35="","",[3]基础状态预期!D35)</f>
        <v>90.244911202258237</v>
      </c>
      <c r="U23" s="14">
        <f>IF([3]基础状态预期!F35="",0,[3]基础状态预期!F35)</f>
        <v>0</v>
      </c>
      <c r="V23" s="14">
        <f>IF([3]基础状态预期!G35="",0,[3]基础状态预期!G35)</f>
        <v>0</v>
      </c>
      <c r="W23" s="14">
        <f>IF([3]基础状态预期!H35="",0,[3]基础状态预期!H35)</f>
        <v>0</v>
      </c>
      <c r="X23" s="14">
        <f>IF([3]基础状态预期!I35="",0,[3]基础状态预期!I35)</f>
        <v>0</v>
      </c>
      <c r="Y23" s="14">
        <f>IF([3]基础状态预期!J35="",0,[3]基础状态预期!J35)</f>
        <v>6</v>
      </c>
      <c r="Z23" s="14">
        <f>IF([3]基础状态预期!K35="",MIN(8,Z24),[3]基础状态预期!K35)</f>
        <v>8</v>
      </c>
      <c r="AA23" s="14">
        <f>IF([3]基础状态预期!L35="",MIN(8,AA24),[3]基础状态预期!L35)</f>
        <v>8</v>
      </c>
      <c r="AB23" s="14">
        <f>IF([3]基础状态预期!M35="",MIN(8,AB24),[3]基础状态预期!M35)</f>
        <v>8</v>
      </c>
      <c r="AC23" s="14">
        <f>IF([3]基础状态预期!N35="",MIN(8,AC24),[3]基础状态预期!N35)</f>
        <v>8</v>
      </c>
      <c r="AD23" s="14">
        <f>IF([3]基础状态预期!O35="",MIN(8,AD24),[3]基础状态预期!O35)</f>
        <v>6.0289722383316526</v>
      </c>
    </row>
    <row r="24" spans="3:30" x14ac:dyDescent="0.15">
      <c r="C24" s="5">
        <v>21</v>
      </c>
      <c r="D24" s="5">
        <f>'[1]功能-实力'!BF25</f>
        <v>339636</v>
      </c>
      <c r="E24" s="5">
        <f>'[1]功能-实力'!BG25</f>
        <v>348258</v>
      </c>
      <c r="F24" s="5">
        <f>'[1]功能-实力'!BH25</f>
        <v>363978</v>
      </c>
      <c r="G24" s="5">
        <f>'[1]功能-实力'!BI25</f>
        <v>389910</v>
      </c>
      <c r="H24" s="5">
        <f>'[1]功能-实力'!BJ25</f>
        <v>411870</v>
      </c>
      <c r="S24" s="12">
        <f>IF([3]基础状态预期!C36="","",[3]基础状态预期!C36)</f>
        <v>640</v>
      </c>
      <c r="T24" s="12">
        <f>IF([3]基础状态预期!D36="","",[3]基础状态预期!D36)</f>
        <v>93.235489905456092</v>
      </c>
      <c r="U24" s="14">
        <f>IF([3]基础状态预期!F36="",0,[3]基础状态预期!F36)</f>
        <v>0</v>
      </c>
      <c r="V24" s="14">
        <f>IF([3]基础状态预期!G36="",0,[3]基础状态预期!G36)</f>
        <v>0</v>
      </c>
      <c r="W24" s="14">
        <f>IF([3]基础状态预期!H36="",0,[3]基础状态预期!H36)</f>
        <v>0</v>
      </c>
      <c r="X24" s="14">
        <f>IF([3]基础状态预期!I36="",0,[3]基础状态预期!I36)</f>
        <v>0</v>
      </c>
      <c r="Y24" s="14">
        <f>IF([3]基础状态预期!J36="",0,[3]基础状态预期!J36)</f>
        <v>6</v>
      </c>
      <c r="Z24" s="14">
        <f>IF([3]基础状态预期!K36="",MIN(8,Z25),[3]基础状态预期!K36)</f>
        <v>8</v>
      </c>
      <c r="AA24" s="14">
        <f>IF([3]基础状态预期!L36="",MIN(8,AA25),[3]基础状态预期!L36)</f>
        <v>8</v>
      </c>
      <c r="AB24" s="14">
        <f>IF([3]基础状态预期!M36="",MIN(8,AB25),[3]基础状态预期!M36)</f>
        <v>8</v>
      </c>
      <c r="AC24" s="14">
        <f>IF([3]基础状态预期!N36="",MIN(8,AC25),[3]基础状态预期!N36)</f>
        <v>8</v>
      </c>
      <c r="AD24" s="14">
        <f>IF([3]基础状态预期!O36="",MIN(8,AD25),[3]基础状态预期!O36)</f>
        <v>6.4951236311719809</v>
      </c>
    </row>
    <row r="25" spans="3:30" x14ac:dyDescent="0.15">
      <c r="C25" s="5">
        <v>22</v>
      </c>
      <c r="D25" s="5">
        <f>'[1]功能-实力'!BF26</f>
        <v>360222</v>
      </c>
      <c r="E25" s="5">
        <f>'[1]功能-实力'!BG26</f>
        <v>369666</v>
      </c>
      <c r="F25" s="5">
        <f>'[1]功能-实力'!BH26</f>
        <v>386538</v>
      </c>
      <c r="G25" s="5">
        <f>'[1]功能-实力'!BI26</f>
        <v>414318</v>
      </c>
      <c r="H25" s="5">
        <f>'[1]功能-实力'!BJ26</f>
        <v>439956</v>
      </c>
      <c r="S25" s="12">
        <f>IF([3]基础状态预期!C37="","",[3]基础状态预期!C37)</f>
        <v>820</v>
      </c>
      <c r="T25" s="12">
        <f>IF([3]基础状态预期!D37="","",[3]基础状态预期!D37)</f>
        <v>96.807063977001675</v>
      </c>
      <c r="U25" s="14">
        <f>IF([3]基础状态预期!F37="",0,[3]基础状态预期!F37)</f>
        <v>0</v>
      </c>
      <c r="V25" s="14">
        <f>IF([3]基础状态预期!G37="",0,[3]基础状态预期!G37)</f>
        <v>0</v>
      </c>
      <c r="W25" s="14">
        <f>IF([3]基础状态预期!H37="",0,[3]基础状态预期!H37)</f>
        <v>0</v>
      </c>
      <c r="X25" s="14">
        <f>IF([3]基础状态预期!I37="",0,[3]基础状态预期!I37)</f>
        <v>0</v>
      </c>
      <c r="Y25" s="14">
        <f>IF([3]基础状态预期!J37="",0,[3]基础状态预期!J37)</f>
        <v>6</v>
      </c>
      <c r="Z25" s="14">
        <f>IF([3]基础状态预期!K37="",MIN(8,Z26),[3]基础状态预期!K37)</f>
        <v>8</v>
      </c>
      <c r="AA25" s="14">
        <f>IF([3]基础状态预期!L37="",MIN(8,AA26),[3]基础状态预期!L37)</f>
        <v>8</v>
      </c>
      <c r="AB25" s="14">
        <f>IF([3]基础状态预期!M37="",MIN(8,AB26),[3]基础状态预期!M37)</f>
        <v>8</v>
      </c>
      <c r="AC25" s="14">
        <f>IF([3]基础状态预期!N37="",MIN(8,AC26),[3]基础状态预期!N37)</f>
        <v>8</v>
      </c>
      <c r="AD25" s="14">
        <f>IF([3]基础状态预期!O37="",MIN(8,AD26),[3]基础状态预期!O37)</f>
        <v>6.9889086609311235</v>
      </c>
    </row>
    <row r="26" spans="3:30" x14ac:dyDescent="0.15">
      <c r="C26" s="5">
        <v>23</v>
      </c>
      <c r="D26" s="5">
        <f>'[1]功能-实力'!BF27</f>
        <v>381264</v>
      </c>
      <c r="E26" s="5">
        <f>'[1]功能-实力'!BG27</f>
        <v>391674</v>
      </c>
      <c r="F26" s="5">
        <f>'[1]功能-实力'!BH27</f>
        <v>409326</v>
      </c>
      <c r="G26" s="5">
        <f>'[1]功能-实力'!BI27</f>
        <v>439428</v>
      </c>
      <c r="H26" s="5">
        <f>'[1]功能-实力'!BJ27</f>
        <v>468192</v>
      </c>
      <c r="S26" s="12">
        <f>IF([3]基础状态预期!C38="","",[3]基础状态预期!C38)</f>
        <v>1060</v>
      </c>
      <c r="T26" s="12">
        <f>IF([3]基础状态预期!D38="","",[3]基础状态预期!D38)</f>
        <v>100.50342858241972</v>
      </c>
      <c r="U26" s="14">
        <f>IF([3]基础状态预期!F38="",0,[3]基础状态预期!F38)</f>
        <v>0</v>
      </c>
      <c r="V26" s="14">
        <f>IF([3]基础状态预期!G38="",0,[3]基础状态预期!G38)</f>
        <v>0</v>
      </c>
      <c r="W26" s="14">
        <f>IF([3]基础状态预期!H38="",0,[3]基础状态预期!H38)</f>
        <v>0</v>
      </c>
      <c r="X26" s="14">
        <f>IF([3]基础状态预期!I38="",0,[3]基础状态预期!I38)</f>
        <v>0</v>
      </c>
      <c r="Y26" s="14">
        <f>IF([3]基础状态预期!J38="",0,[3]基础状态预期!J38)</f>
        <v>6</v>
      </c>
      <c r="Z26" s="14">
        <f>IF([3]基础状态预期!K38="",MIN(8,Z27),[3]基础状态预期!K38)</f>
        <v>8</v>
      </c>
      <c r="AA26" s="14">
        <f>IF([3]基础状态预期!L38="",MIN(8,AA27),[3]基础状态预期!L38)</f>
        <v>8</v>
      </c>
      <c r="AB26" s="14">
        <f>IF([3]基础状态预期!M38="",MIN(8,AB27),[3]基础状态预期!M38)</f>
        <v>8</v>
      </c>
      <c r="AC26" s="14">
        <f>IF([3]基础状态预期!N38="",MIN(8,AC27),[3]基础状态预期!N38)</f>
        <v>8</v>
      </c>
      <c r="AD26" s="14">
        <f>IF([3]基础状态预期!O38="",MIN(8,AD27),[3]基础状态预期!O38)</f>
        <v>7.3404766417816241</v>
      </c>
    </row>
    <row r="27" spans="3:30" x14ac:dyDescent="0.15">
      <c r="C27" s="5">
        <v>24</v>
      </c>
      <c r="D27" s="5">
        <f>'[1]功能-实力'!BF28</f>
        <v>402726</v>
      </c>
      <c r="E27" s="5">
        <f>'[1]功能-实力'!BG28</f>
        <v>414024</v>
      </c>
      <c r="F27" s="5">
        <f>'[1]功能-实力'!BH28</f>
        <v>433044</v>
      </c>
      <c r="G27" s="5">
        <f>'[1]功能-实力'!BI28</f>
        <v>466230</v>
      </c>
      <c r="H27" s="5">
        <f>'[1]功能-实力'!BJ28</f>
        <v>497856</v>
      </c>
      <c r="S27" s="12">
        <f>IF([3]基础状态预期!C39="","",[3]基础状态预期!C39)</f>
        <v>1360</v>
      </c>
      <c r="T27" s="12">
        <f>IF([3]基础状态预期!D39="","",[3]基础状态预期!D39)</f>
        <v>104.10129967499306</v>
      </c>
      <c r="U27" s="14">
        <f>IF([3]基础状态预期!F39="",0,[3]基础状态预期!F39)</f>
        <v>0</v>
      </c>
      <c r="V27" s="14">
        <f>IF([3]基础状态预期!G39="",0,[3]基础状态预期!G39)</f>
        <v>0</v>
      </c>
      <c r="W27" s="14">
        <f>IF([3]基础状态预期!H39="",0,[3]基础状态预期!H39)</f>
        <v>0</v>
      </c>
      <c r="X27" s="14">
        <f>IF([3]基础状态预期!I39="",0,[3]基础状态预期!I39)</f>
        <v>0</v>
      </c>
      <c r="Y27" s="14">
        <f>IF([3]基础状态预期!J39="",0,[3]基础状态预期!J39)</f>
        <v>6</v>
      </c>
      <c r="Z27" s="14">
        <f>IF([3]基础状态预期!K39="",MIN(8,Z28),[3]基础状态预期!K39)</f>
        <v>8</v>
      </c>
      <c r="AA27" s="14">
        <f>IF([3]基础状态预期!L39="",MIN(8,AA28),[3]基础状态预期!L39)</f>
        <v>8</v>
      </c>
      <c r="AB27" s="14">
        <f>IF([3]基础状态预期!M39="",MIN(8,AB28),[3]基础状态预期!M39)</f>
        <v>8</v>
      </c>
      <c r="AC27" s="14">
        <f>IF([3]基础状态预期!N39="",MIN(8,AC28),[3]基础状态预期!N39)</f>
        <v>8</v>
      </c>
      <c r="AD27" s="14">
        <f>IF([3]基础状态预期!O39="",MIN(8,AD28),[3]基础状态预期!O39)</f>
        <v>7.7764141371298576</v>
      </c>
    </row>
    <row r="28" spans="3:30" x14ac:dyDescent="0.15">
      <c r="C28" s="5">
        <v>25</v>
      </c>
      <c r="D28" s="5">
        <f>'[1]功能-实力'!BF29</f>
        <v>424542</v>
      </c>
      <c r="E28" s="5">
        <f>'[1]功能-实力'!BG29</f>
        <v>436890</v>
      </c>
      <c r="F28" s="5">
        <f>'[1]功能-实力'!BH29</f>
        <v>458004</v>
      </c>
      <c r="G28" s="5">
        <f>'[1]功能-实力'!BI29</f>
        <v>494154</v>
      </c>
      <c r="H28" s="5">
        <f>'[1]功能-实力'!BJ29</f>
        <v>528090</v>
      </c>
      <c r="S28" s="12">
        <f>IF([3]基础状态预期!C40="","",[3]基础状态预期!C40)</f>
        <v>1720</v>
      </c>
      <c r="T28" s="12">
        <f>IF([3]基础状态预期!D40="","",[3]基础状态预期!D40)</f>
        <v>107.48165553683219</v>
      </c>
      <c r="U28" s="14">
        <f>IF([3]基础状态预期!F40="",0,[3]基础状态预期!F40)</f>
        <v>0</v>
      </c>
      <c r="V28" s="14">
        <f>IF([3]基础状态预期!G40="",0,[3]基础状态预期!G40)</f>
        <v>0</v>
      </c>
      <c r="W28" s="14">
        <f>IF([3]基础状态预期!H40="",0,[3]基础状态预期!H40)</f>
        <v>0</v>
      </c>
      <c r="X28" s="14">
        <f>IF([3]基础状态预期!I40="",0,[3]基础状态预期!I40)</f>
        <v>0</v>
      </c>
      <c r="Y28" s="14">
        <f>IF([3]基础状态预期!J40="",0,[3]基础状态预期!J40)</f>
        <v>6</v>
      </c>
      <c r="Z28" s="14">
        <f>IF([3]基础状态预期!K40="",MIN(8,Z29),[3]基础状态预期!K40)</f>
        <v>8</v>
      </c>
      <c r="AA28" s="14">
        <f>IF([3]基础状态预期!L40="",MIN(8,AA29),[3]基础状态预期!L40)</f>
        <v>8</v>
      </c>
      <c r="AB28" s="14">
        <f>IF([3]基础状态预期!M40="",MIN(8,AB29),[3]基础状态预期!M40)</f>
        <v>8</v>
      </c>
      <c r="AC28" s="14">
        <f>IF([3]基础状态预期!N40="",MIN(8,AC29),[3]基础状态预期!N40)</f>
        <v>8</v>
      </c>
      <c r="AD28" s="14">
        <f>IF([3]基础状态预期!O40="",MIN(8,AD29),[3]基础状态预期!O40)</f>
        <v>8</v>
      </c>
    </row>
    <row r="29" spans="3:30" x14ac:dyDescent="0.15">
      <c r="C29" s="5">
        <v>26</v>
      </c>
      <c r="D29" s="5">
        <f>'[1]功能-实力'!BF30</f>
        <v>446916</v>
      </c>
      <c r="E29" s="5">
        <f>'[1]功能-实力'!BG30</f>
        <v>460956</v>
      </c>
      <c r="F29" s="5">
        <f>'[1]功能-实力'!BH30</f>
        <v>484104</v>
      </c>
      <c r="G29" s="5">
        <f>'[1]功能-实力'!BI30</f>
        <v>522564</v>
      </c>
      <c r="H29" s="5">
        <f>'[1]功能-实力'!BJ30</f>
        <v>559548</v>
      </c>
      <c r="S29" s="12">
        <f>IF([3]基础状态预期!C41="","",[3]基础状态预期!C41)</f>
        <v>2200</v>
      </c>
      <c r="T29" s="12">
        <f>IF([3]基础状态预期!D41="","",[3]基础状态预期!D41)</f>
        <v>111.03813549320469</v>
      </c>
      <c r="U29" s="14">
        <f>IF([3]基础状态预期!F41="",0,[3]基础状态预期!F41)</f>
        <v>0</v>
      </c>
      <c r="V29" s="14">
        <f>IF([3]基础状态预期!G41="",0,[3]基础状态预期!G41)</f>
        <v>0</v>
      </c>
      <c r="W29" s="14">
        <f>IF([3]基础状态预期!H41="",0,[3]基础状态预期!H41)</f>
        <v>0</v>
      </c>
      <c r="X29" s="14">
        <f>IF([3]基础状态预期!I41="",0,[3]基础状态预期!I41)</f>
        <v>0</v>
      </c>
      <c r="Y29" s="14">
        <f>IF([3]基础状态预期!J41="",0,[3]基础状态预期!J41)</f>
        <v>6</v>
      </c>
      <c r="Z29" s="14">
        <f>IF([3]基础状态预期!K41="",MIN(8,Z30),[3]基础状态预期!K41)</f>
        <v>8</v>
      </c>
      <c r="AA29" s="14">
        <f>IF([3]基础状态预期!L41="",MIN(8,AA30),[3]基础状态预期!L41)</f>
        <v>8</v>
      </c>
      <c r="AB29" s="14">
        <f>IF([3]基础状态预期!M41="",MIN(8,AB30),[3]基础状态预期!M41)</f>
        <v>8</v>
      </c>
      <c r="AC29" s="14">
        <f>IF([3]基础状态预期!N41="",MIN(8,AC30),[3]基础状态预期!N41)</f>
        <v>8</v>
      </c>
      <c r="AD29" s="14">
        <f>IF([3]基础状态预期!O41="",MIN(8,AD30),[3]基础状态预期!O41)</f>
        <v>8</v>
      </c>
    </row>
    <row r="30" spans="3:30" x14ac:dyDescent="0.15">
      <c r="C30" s="5">
        <v>27</v>
      </c>
      <c r="D30" s="5">
        <f>'[1]功能-实力'!BF31</f>
        <v>470418</v>
      </c>
      <c r="E30" s="5">
        <f>'[1]功能-实力'!BG31</f>
        <v>486222</v>
      </c>
      <c r="F30" s="5">
        <f>'[1]功能-实力'!BH31</f>
        <v>510864</v>
      </c>
      <c r="G30" s="5">
        <f>'[1]功能-实力'!BI31</f>
        <v>552060</v>
      </c>
      <c r="H30" s="5">
        <f>'[1]功能-实力'!BJ31</f>
        <v>591858</v>
      </c>
      <c r="S30" s="12">
        <f>IF([3]基础状态预期!C42="","",[3]基础状态预期!C42)</f>
        <v>2800</v>
      </c>
      <c r="T30" s="12">
        <f>IF([3]基础状态预期!D42="","",[3]基础状态预期!D42)</f>
        <v>114.50860608277577</v>
      </c>
      <c r="U30" s="14">
        <f>IF([3]基础状态预期!F42="",0,[3]基础状态预期!F42)</f>
        <v>0</v>
      </c>
      <c r="V30" s="14">
        <f>IF([3]基础状态预期!G42="",0,[3]基础状态预期!G42)</f>
        <v>0</v>
      </c>
      <c r="W30" s="14">
        <f>IF([3]基础状态预期!H42="",0,[3]基础状态预期!H42)</f>
        <v>0</v>
      </c>
      <c r="X30" s="14">
        <f>IF([3]基础状态预期!I42="",0,[3]基础状态预期!I42)</f>
        <v>0</v>
      </c>
      <c r="Y30" s="14">
        <f>IF([3]基础状态预期!J42="",0,[3]基础状态预期!J42)</f>
        <v>6</v>
      </c>
      <c r="Z30" s="14">
        <f>IF([3]基础状态预期!K42="",MIN(8,Z31),[3]基础状态预期!K42)</f>
        <v>8</v>
      </c>
      <c r="AA30" s="14">
        <f>IF([3]基础状态预期!L42="",MIN(8,AA31),[3]基础状态预期!L42)</f>
        <v>8</v>
      </c>
      <c r="AB30" s="14">
        <f>IF([3]基础状态预期!M42="",MIN(8,AB31),[3]基础状态预期!M42)</f>
        <v>8</v>
      </c>
      <c r="AC30" s="14">
        <f>IF([3]基础状态预期!N42="",MIN(8,AC31),[3]基础状态预期!N42)</f>
        <v>8</v>
      </c>
      <c r="AD30" s="14">
        <f>IF([3]基础状态预期!O42="",MIN(8,AD31),[3]基础状态预期!O42)</f>
        <v>8</v>
      </c>
    </row>
    <row r="31" spans="3:30" x14ac:dyDescent="0.15">
      <c r="C31" s="5">
        <v>28</v>
      </c>
      <c r="D31" s="5">
        <f>'[1]功能-实力'!BF32</f>
        <v>495072</v>
      </c>
      <c r="E31" s="5">
        <f>'[1]功能-实力'!BG32</f>
        <v>513486</v>
      </c>
      <c r="F31" s="5">
        <f>'[1]功能-实力'!BH32</f>
        <v>540870</v>
      </c>
      <c r="G31" s="5">
        <f>'[1]功能-实力'!BI32</f>
        <v>592788</v>
      </c>
      <c r="H31" s="5">
        <f>'[1]功能-实力'!BJ32</f>
        <v>639876</v>
      </c>
      <c r="S31" s="12">
        <f>IF([3]基础状态预期!C43="","",[3]基础状态预期!C43)</f>
        <v>3580</v>
      </c>
      <c r="T31" s="12">
        <f>IF([3]基础状态预期!D43="","",[3]基础状态预期!D43)</f>
        <v>118.05948896247369</v>
      </c>
      <c r="U31" s="14">
        <f>IF([3]基础状态预期!F43="",0,[3]基础状态预期!F43)</f>
        <v>0</v>
      </c>
      <c r="V31" s="14">
        <f>IF([3]基础状态预期!G43="",0,[3]基础状态预期!G43)</f>
        <v>0</v>
      </c>
      <c r="W31" s="14">
        <f>IF([3]基础状态预期!H43="",0,[3]基础状态预期!H43)</f>
        <v>0</v>
      </c>
      <c r="X31" s="14">
        <f>IF([3]基础状态预期!I43="",0,[3]基础状态预期!I43)</f>
        <v>0</v>
      </c>
      <c r="Y31" s="14">
        <f>IF([3]基础状态预期!J43="",0,[3]基础状态预期!J43)</f>
        <v>6</v>
      </c>
      <c r="Z31" s="14">
        <f>IF([3]基础状态预期!K43="",MIN(8,Z32),[3]基础状态预期!K43)</f>
        <v>8</v>
      </c>
      <c r="AA31" s="14">
        <f>IF([3]基础状态预期!L43="",MIN(8,AA32),[3]基础状态预期!L43)</f>
        <v>8</v>
      </c>
      <c r="AB31" s="14">
        <f>IF([3]基础状态预期!M43="",MIN(8,AB32),[3]基础状态预期!M43)</f>
        <v>8</v>
      </c>
      <c r="AC31" s="14">
        <f>IF([3]基础状态预期!N43="",MIN(8,AC32),[3]基础状态预期!N43)</f>
        <v>8</v>
      </c>
      <c r="AD31" s="14">
        <f>IF([3]基础状态预期!O43="",MIN(8,AD32),[3]基础状态预期!O43)</f>
        <v>8</v>
      </c>
    </row>
    <row r="32" spans="3:30" x14ac:dyDescent="0.15">
      <c r="C32" s="5">
        <v>29</v>
      </c>
      <c r="D32" s="5">
        <f>'[1]功能-实力'!BF33</f>
        <v>524136</v>
      </c>
      <c r="E32" s="5">
        <f>'[1]功能-实力'!BG33</f>
        <v>546504</v>
      </c>
      <c r="F32" s="5">
        <f>'[1]功能-实力'!BH33</f>
        <v>580836</v>
      </c>
      <c r="G32" s="5">
        <f>'[1]功能-实力'!BI33</f>
        <v>641064</v>
      </c>
      <c r="H32" s="5">
        <f>'[1]功能-实力'!BJ33</f>
        <v>692844</v>
      </c>
      <c r="S32" s="12">
        <f>IF([3]基础状态预期!C44="","",[3]基础状态预期!C44)</f>
        <v>4540</v>
      </c>
      <c r="T32" s="12">
        <f>IF([3]基础状态预期!D44="","",[3]基础状态预期!D44)</f>
        <v>121.47928719052189</v>
      </c>
      <c r="U32" s="14">
        <f>IF([3]基础状态预期!F44="",0,[3]基础状态预期!F44)</f>
        <v>0</v>
      </c>
      <c r="V32" s="14">
        <f>IF([3]基础状态预期!G44="",0,[3]基础状态预期!G44)</f>
        <v>0</v>
      </c>
      <c r="W32" s="14">
        <f>IF([3]基础状态预期!H44="",0,[3]基础状态预期!H44)</f>
        <v>0</v>
      </c>
      <c r="X32" s="14">
        <f>IF([3]基础状态预期!I44="",0,[3]基础状态预期!I44)</f>
        <v>0</v>
      </c>
      <c r="Y32" s="14">
        <f>IF([3]基础状态预期!J44="",0,[3]基础状态预期!J44)</f>
        <v>6</v>
      </c>
      <c r="Z32" s="14">
        <f>IF([3]基础状态预期!K44="",MIN(8,Z33),[3]基础状态预期!K44)</f>
        <v>8</v>
      </c>
      <c r="AA32" s="14">
        <f>IF([3]基础状态预期!L44="",MIN(8,AA33),[3]基础状态预期!L44)</f>
        <v>8</v>
      </c>
      <c r="AB32" s="14">
        <f>IF([3]基础状态预期!M44="",MIN(8,AB33),[3]基础状态预期!M44)</f>
        <v>8</v>
      </c>
      <c r="AC32" s="14">
        <f>IF([3]基础状态预期!N44="",MIN(8,AC33),[3]基础状态预期!N44)</f>
        <v>8</v>
      </c>
      <c r="AD32" s="14">
        <f>IF([3]基础状态预期!O44="",MIN(8,AD33),[3]基础状态预期!O44)</f>
        <v>8</v>
      </c>
    </row>
    <row r="33" spans="3:30" x14ac:dyDescent="0.15">
      <c r="C33" s="5">
        <v>30</v>
      </c>
      <c r="D33" s="5">
        <f>'[1]功能-实力'!BF34</f>
        <v>554232</v>
      </c>
      <c r="E33" s="5">
        <f>'[1]功能-实力'!BG34</f>
        <v>580752</v>
      </c>
      <c r="F33" s="5">
        <f>'[1]功能-实力'!BH34</f>
        <v>622416</v>
      </c>
      <c r="G33" s="5">
        <f>'[1]功能-实力'!BI34</f>
        <v>691548</v>
      </c>
      <c r="H33" s="5">
        <f>'[1]功能-实力'!BJ34</f>
        <v>748668</v>
      </c>
      <c r="S33" s="12">
        <f>IF([3]基础状态预期!C45="","",[3]基础状态预期!C45)</f>
        <v>5800</v>
      </c>
      <c r="T33" s="12">
        <f>IF([3]基础状态预期!D45="","",[3]基础状态预期!D45)</f>
        <v>125.02015904129435</v>
      </c>
      <c r="U33" s="14">
        <f>IF([3]基础状态预期!F45="",0,[3]基础状态预期!F45)</f>
        <v>0</v>
      </c>
      <c r="V33" s="14">
        <f>IF([3]基础状态预期!G45="",0,[3]基础状态预期!G45)</f>
        <v>0</v>
      </c>
      <c r="W33" s="14">
        <f>IF([3]基础状态预期!H45="",0,[3]基础状态预期!H45)</f>
        <v>0</v>
      </c>
      <c r="X33" s="14">
        <f>IF([3]基础状态预期!I45="",0,[3]基础状态预期!I45)</f>
        <v>0</v>
      </c>
      <c r="Y33" s="14">
        <f>IF([3]基础状态预期!J45="",0,[3]基础状态预期!J45)</f>
        <v>6</v>
      </c>
      <c r="Z33" s="14">
        <f>IF([3]基础状态预期!K45="",MIN(8,Z34),[3]基础状态预期!K45)</f>
        <v>8</v>
      </c>
      <c r="AA33" s="14">
        <f>IF([3]基础状态预期!L45="",MIN(8,AA34),[3]基础状态预期!L45)</f>
        <v>8</v>
      </c>
      <c r="AB33" s="14">
        <f>IF([3]基础状态预期!M45="",MIN(8,AB34),[3]基础状态预期!M45)</f>
        <v>8</v>
      </c>
      <c r="AC33" s="14">
        <f>IF([3]基础状态预期!N45="",MIN(8,AC34),[3]基础状态预期!N45)</f>
        <v>8</v>
      </c>
      <c r="AD33" s="14">
        <f>IF([3]基础状态预期!O45="",MIN(8,AD34),[3]基础状态预期!O45)</f>
        <v>8</v>
      </c>
    </row>
    <row r="34" spans="3:30" x14ac:dyDescent="0.15">
      <c r="C34" s="5">
        <v>31</v>
      </c>
      <c r="D34" s="5">
        <f>'[1]功能-实力'!BF35</f>
        <v>590184</v>
      </c>
      <c r="E34" s="5">
        <f>'[1]功能-实力'!BG35</f>
        <v>621192</v>
      </c>
      <c r="F34" s="5">
        <f>'[1]功能-实力'!BH35</f>
        <v>671202</v>
      </c>
      <c r="G34" s="5">
        <f>'[1]功能-实力'!BI35</f>
        <v>750420</v>
      </c>
      <c r="H34" s="5">
        <f>'[1]功能-实力'!BJ35</f>
        <v>813120</v>
      </c>
      <c r="S34" s="12">
        <f>IF([3]基础状态预期!C46="","",[3]基础状态预期!C46)</f>
        <v>7420</v>
      </c>
      <c r="T34" s="12">
        <f>IF([3]基础状态预期!D46="","",[3]基础状态预期!D46)</f>
        <v>128.56549059889721</v>
      </c>
      <c r="U34" s="14">
        <f>IF([3]基础状态预期!F46="",0,[3]基础状态预期!F46)</f>
        <v>0</v>
      </c>
      <c r="V34" s="14">
        <f>IF([3]基础状态预期!G46="",0,[3]基础状态预期!G46)</f>
        <v>0</v>
      </c>
      <c r="W34" s="14">
        <f>IF([3]基础状态预期!H46="",0,[3]基础状态预期!H46)</f>
        <v>0</v>
      </c>
      <c r="X34" s="14">
        <f>IF([3]基础状态预期!I46="",0,[3]基础状态预期!I46)</f>
        <v>0</v>
      </c>
      <c r="Y34" s="14">
        <f>IF([3]基础状态预期!J46="",0,[3]基础状态预期!J46)</f>
        <v>6</v>
      </c>
      <c r="Z34" s="14">
        <f>IF([3]基础状态预期!K46="",MIN(8,Z35),[3]基础状态预期!K46)</f>
        <v>8</v>
      </c>
      <c r="AA34" s="14">
        <f>IF([3]基础状态预期!L46="",MIN(8,AA35),[3]基础状态预期!L46)</f>
        <v>8</v>
      </c>
      <c r="AB34" s="14">
        <f>IF([3]基础状态预期!M46="",MIN(8,AB35),[3]基础状态预期!M46)</f>
        <v>8</v>
      </c>
      <c r="AC34" s="14">
        <f>IF([3]基础状态预期!N46="",MIN(8,AC35),[3]基础状态预期!N46)</f>
        <v>8</v>
      </c>
      <c r="AD34" s="14">
        <f>IF([3]基础状态预期!O46="",MIN(8,AD35),[3]基础状态预期!O46)</f>
        <v>8</v>
      </c>
    </row>
    <row r="35" spans="3:30" x14ac:dyDescent="0.15">
      <c r="C35" s="5">
        <v>32</v>
      </c>
      <c r="D35" s="5">
        <f>'[1]功能-实力'!BF36</f>
        <v>627360</v>
      </c>
      <c r="E35" s="5">
        <f>'[1]功能-实力'!BG36</f>
        <v>663546</v>
      </c>
      <c r="F35" s="5">
        <f>'[1]功能-实力'!BH36</f>
        <v>722364</v>
      </c>
      <c r="G35" s="5">
        <f>'[1]功能-实力'!BI36</f>
        <v>812550</v>
      </c>
      <c r="H35" s="5">
        <f>'[1]功能-实力'!BJ36</f>
        <v>881466</v>
      </c>
      <c r="S35" s="12">
        <f>IF([3]基础状态预期!C47="","",[3]基础状态预期!C47)</f>
        <v>9460</v>
      </c>
      <c r="T35" s="12">
        <f>IF([3]基础状态预期!D47="","",[3]基础状态预期!D47)</f>
        <v>132.07530828871487</v>
      </c>
      <c r="U35" s="14">
        <f>IF([3]基础状态预期!F47="",0,[3]基础状态预期!F47)</f>
        <v>0</v>
      </c>
      <c r="V35" s="14">
        <f>IF([3]基础状态预期!G47="",0,[3]基础状态预期!G47)</f>
        <v>0</v>
      </c>
      <c r="W35" s="14">
        <f>IF([3]基础状态预期!H47="",0,[3]基础状态预期!H47)</f>
        <v>0</v>
      </c>
      <c r="X35" s="14">
        <f>IF([3]基础状态预期!I47="",0,[3]基础状态预期!I47)</f>
        <v>0</v>
      </c>
      <c r="Y35" s="14">
        <f>IF([3]基础状态预期!J47="",0,[3]基础状态预期!J47)</f>
        <v>6</v>
      </c>
      <c r="Z35" s="14">
        <f>IF([3]基础状态预期!K47="",MIN(8,Z36),[3]基础状态预期!K47)</f>
        <v>8</v>
      </c>
      <c r="AA35" s="14">
        <f>IF([3]基础状态预期!L47="",MIN(8,AA36),[3]基础状态预期!L47)</f>
        <v>8</v>
      </c>
      <c r="AB35" s="14">
        <f>IF([3]基础状态预期!M47="",MIN(8,AB36),[3]基础状态预期!M47)</f>
        <v>8</v>
      </c>
      <c r="AC35" s="14">
        <f>IF([3]基础状态预期!N47="",MIN(8,AC36),[3]基础状态预期!N47)</f>
        <v>8</v>
      </c>
      <c r="AD35" s="14">
        <f>IF([3]基础状态预期!O47="",MIN(8,AD36),[3]基础状态预期!O47)</f>
        <v>8</v>
      </c>
    </row>
    <row r="36" spans="3:30" x14ac:dyDescent="0.15">
      <c r="C36" s="5">
        <v>33</v>
      </c>
      <c r="D36" s="5">
        <f>'[1]功能-实力'!BF37</f>
        <v>666216</v>
      </c>
      <c r="E36" s="5">
        <f>'[1]功能-实力'!BG37</f>
        <v>707448</v>
      </c>
      <c r="F36" s="5">
        <f>'[1]功能-实力'!BH37</f>
        <v>776118</v>
      </c>
      <c r="G36" s="5">
        <f>'[1]功能-实力'!BI37</f>
        <v>878016</v>
      </c>
      <c r="H36" s="5">
        <f>'[1]功能-实力'!BJ37</f>
        <v>952974</v>
      </c>
      <c r="S36" s="12">
        <f>IF([3]基础状态预期!C48="","",[3]基础状态预期!C48)</f>
        <v>12040</v>
      </c>
      <c r="T36" s="12">
        <f>IF([3]基础状态预期!D48="","",[3]基础状态预期!D48)</f>
        <v>135.54811255008914</v>
      </c>
      <c r="U36" s="14">
        <f>IF([3]基础状态预期!F48="",0,[3]基础状态预期!F48)</f>
        <v>0</v>
      </c>
      <c r="V36" s="14">
        <f>IF([3]基础状态预期!G48="",0,[3]基础状态预期!G48)</f>
        <v>0</v>
      </c>
      <c r="W36" s="14">
        <f>IF([3]基础状态预期!H48="",0,[3]基础状态预期!H48)</f>
        <v>0</v>
      </c>
      <c r="X36" s="14">
        <f>IF([3]基础状态预期!I48="",0,[3]基础状态预期!I48)</f>
        <v>0</v>
      </c>
      <c r="Y36" s="14">
        <f>IF([3]基础状态预期!J48="",0,[3]基础状态预期!J48)</f>
        <v>6</v>
      </c>
      <c r="Z36" s="14">
        <f>IF([3]基础状态预期!K48="",MIN(8,Z37),[3]基础状态预期!K48)</f>
        <v>8</v>
      </c>
      <c r="AA36" s="14">
        <f>IF([3]基础状态预期!L48="",MIN(8,AA37),[3]基础状态预期!L48)</f>
        <v>8</v>
      </c>
      <c r="AB36" s="14">
        <f>IF([3]基础状态预期!M48="",MIN(8,AB37),[3]基础状态预期!M48)</f>
        <v>8</v>
      </c>
      <c r="AC36" s="14">
        <f>IF([3]基础状态预期!N48="",MIN(8,AC37),[3]基础状态预期!N48)</f>
        <v>8</v>
      </c>
      <c r="AD36" s="14">
        <f>IF([3]基础状态预期!O48="",MIN(8,AD37),[3]基础状态预期!O48)</f>
        <v>8</v>
      </c>
    </row>
    <row r="37" spans="3:30" x14ac:dyDescent="0.15">
      <c r="C37" s="5">
        <v>34</v>
      </c>
      <c r="D37" s="5">
        <f>'[1]功能-实力'!BF38</f>
        <v>706434</v>
      </c>
      <c r="E37" s="5">
        <f>'[1]功能-实力'!BG38</f>
        <v>753570</v>
      </c>
      <c r="F37" s="5">
        <f>'[1]功能-实力'!BH38</f>
        <v>832476</v>
      </c>
      <c r="G37" s="5">
        <f>'[1]功能-实力'!BI38</f>
        <v>942594</v>
      </c>
      <c r="H37" s="5">
        <f>'[1]功能-实力'!BJ38</f>
        <v>1019580</v>
      </c>
      <c r="S37" s="12">
        <f>IF([3]基础状态预期!C49="","",[3]基础状态预期!C49)</f>
        <v>15340</v>
      </c>
      <c r="T37" s="12">
        <f>IF([3]基础状态预期!D49="","",[3]基础状态预期!D49)</f>
        <v>139.0493876099641</v>
      </c>
      <c r="U37" s="14">
        <f>IF([3]基础状态预期!F49="",0,[3]基础状态预期!F49)</f>
        <v>0</v>
      </c>
      <c r="V37" s="14">
        <f>IF([3]基础状态预期!G49="",0,[3]基础状态预期!G49)</f>
        <v>0</v>
      </c>
      <c r="W37" s="14">
        <f>IF([3]基础状态预期!H49="",0,[3]基础状态预期!H49)</f>
        <v>0</v>
      </c>
      <c r="X37" s="14">
        <f>IF([3]基础状态预期!I49="",0,[3]基础状态预期!I49)</f>
        <v>0</v>
      </c>
      <c r="Y37" s="14">
        <f>IF([3]基础状态预期!J49="",0,[3]基础状态预期!J49)</f>
        <v>6</v>
      </c>
      <c r="Z37" s="14">
        <f>IF([3]基础状态预期!K49="",MIN(8,Z38),[3]基础状态预期!K49)</f>
        <v>8</v>
      </c>
      <c r="AA37" s="14">
        <f>IF([3]基础状态预期!L49="",MIN(8,AA38),[3]基础状态预期!L49)</f>
        <v>8</v>
      </c>
      <c r="AB37" s="14">
        <f>IF([3]基础状态预期!M49="",MIN(8,AB38),[3]基础状态预期!M49)</f>
        <v>8</v>
      </c>
      <c r="AC37" s="14">
        <f>IF([3]基础状态预期!N49="",MIN(8,AC38),[3]基础状态预期!N49)</f>
        <v>8</v>
      </c>
      <c r="AD37" s="14">
        <f>IF([3]基础状态预期!O49="",MIN(8,AD38),[3]基础状态预期!O49)</f>
        <v>8</v>
      </c>
    </row>
    <row r="38" spans="3:30" x14ac:dyDescent="0.15">
      <c r="C38" s="5">
        <v>35</v>
      </c>
      <c r="D38" s="5">
        <f>'[1]功能-实力'!BF39</f>
        <v>752082</v>
      </c>
      <c r="E38" s="5">
        <f>'[1]功能-实力'!BG39</f>
        <v>802908</v>
      </c>
      <c r="F38" s="5">
        <f>'[1]功能-实力'!BH39</f>
        <v>883836</v>
      </c>
      <c r="G38" s="5">
        <f>'[1]功能-实力'!BI39</f>
        <v>1000482</v>
      </c>
      <c r="H38" s="5">
        <f>'[1]功能-实力'!BJ39</f>
        <v>1082262</v>
      </c>
      <c r="S38" s="12">
        <f>IF([3]基础状态预期!C50="","",[3]基础状态预期!C50)</f>
        <v>19540</v>
      </c>
      <c r="T38" s="12">
        <f>IF([3]基础状态预期!D50="","",[3]基础状态预期!D50)</f>
        <v>142.53355653582128</v>
      </c>
      <c r="U38" s="14">
        <f>IF([3]基础状态预期!F50="",0,[3]基础状态预期!F50)</f>
        <v>0</v>
      </c>
      <c r="V38" s="14">
        <f>IF([3]基础状态预期!G50="",0,[3]基础状态预期!G50)</f>
        <v>0</v>
      </c>
      <c r="W38" s="14">
        <f>IF([3]基础状态预期!H50="",0,[3]基础状态预期!H50)</f>
        <v>0</v>
      </c>
      <c r="X38" s="14">
        <f>IF([3]基础状态预期!I50="",0,[3]基础状态预期!I50)</f>
        <v>0</v>
      </c>
      <c r="Y38" s="14">
        <f>IF([3]基础状态预期!J50="",0,[3]基础状态预期!J50)</f>
        <v>6</v>
      </c>
      <c r="Z38" s="14">
        <f>IF([3]基础状态预期!K50="",MIN(8,Z39),[3]基础状态预期!K50)</f>
        <v>8</v>
      </c>
      <c r="AA38" s="14">
        <f>IF([3]基础状态预期!L50="",MIN(8,AA39),[3]基础状态预期!L50)</f>
        <v>8</v>
      </c>
      <c r="AB38" s="14">
        <f>IF([3]基础状态预期!M50="",MIN(8,AB39),[3]基础状态预期!M50)</f>
        <v>8</v>
      </c>
      <c r="AC38" s="14">
        <f>IF([3]基础状态预期!N50="",MIN(8,AC39),[3]基础状态预期!N50)</f>
        <v>8</v>
      </c>
      <c r="AD38" s="14">
        <f>IF([3]基础状态预期!O50="",MIN(8,AD39),[3]基础状态预期!O50)</f>
        <v>8</v>
      </c>
    </row>
    <row r="39" spans="3:30" x14ac:dyDescent="0.15">
      <c r="C39" s="5">
        <v>36</v>
      </c>
      <c r="D39" s="5">
        <f>'[1]功能-实力'!BF40</f>
        <v>804888</v>
      </c>
      <c r="E39" s="5">
        <f>'[1]功能-实力'!BG40</f>
        <v>855180</v>
      </c>
      <c r="F39" s="5">
        <f>'[1]功能-实力'!BH40</f>
        <v>934506</v>
      </c>
      <c r="G39" s="5">
        <f>'[1]功能-实力'!BI40</f>
        <v>1060482</v>
      </c>
      <c r="H39" s="5">
        <f>'[1]功能-实力'!BJ40</f>
        <v>1146834</v>
      </c>
      <c r="S39" s="12">
        <f>IF([3]基础状态预期!C51="","",[3]基础状态预期!C51)</f>
        <v>24880</v>
      </c>
      <c r="T39" s="12">
        <f>IF([3]基础状态预期!D51="","",[3]基础状态预期!D51)</f>
        <v>146.02664953963369</v>
      </c>
      <c r="U39" s="14">
        <f>IF([3]基础状态预期!F51="",0,[3]基础状态预期!F51)</f>
        <v>0</v>
      </c>
      <c r="V39" s="14">
        <f>IF([3]基础状态预期!G51="",0,[3]基础状态预期!G51)</f>
        <v>0</v>
      </c>
      <c r="W39" s="14">
        <f>IF([3]基础状态预期!H51="",0,[3]基础状态预期!H51)</f>
        <v>0</v>
      </c>
      <c r="X39" s="14">
        <f>IF([3]基础状态预期!I51="",0,[3]基础状态预期!I51)</f>
        <v>0</v>
      </c>
      <c r="Y39" s="14">
        <f>IF([3]基础状态预期!J51="",0,[3]基础状态预期!J51)</f>
        <v>6</v>
      </c>
      <c r="Z39" s="14">
        <f>IF([3]基础状态预期!K51="",MIN(8,Z40),[3]基础状态预期!K51)</f>
        <v>8</v>
      </c>
      <c r="AA39" s="14">
        <f>IF([3]基础状态预期!L51="",MIN(8,AA40),[3]基础状态预期!L51)</f>
        <v>8</v>
      </c>
      <c r="AB39" s="14">
        <f>IF([3]基础状态预期!M51="",MIN(8,AB40),[3]基础状态预期!M51)</f>
        <v>8</v>
      </c>
      <c r="AC39" s="14">
        <f>IF([3]基础状态预期!N51="",MIN(8,AC40),[3]基础状态预期!N51)</f>
        <v>8</v>
      </c>
      <c r="AD39" s="14">
        <f>IF([3]基础状态预期!O51="",MIN(8,AD40),[3]基础状态预期!O51)</f>
        <v>8</v>
      </c>
    </row>
    <row r="40" spans="3:30" x14ac:dyDescent="0.15">
      <c r="C40" s="5">
        <v>37</v>
      </c>
      <c r="D40" s="5">
        <f>'[1]功能-实力'!BF41</f>
        <v>860058</v>
      </c>
      <c r="E40" s="5">
        <f>'[1]功能-实力'!BG41</f>
        <v>909258</v>
      </c>
      <c r="F40" s="5">
        <f>'[1]功能-实力'!BH41</f>
        <v>987078</v>
      </c>
      <c r="G40" s="5">
        <f>'[1]功能-实力'!BI41</f>
        <v>1121976</v>
      </c>
      <c r="H40" s="5">
        <f>'[1]功能-实力'!BJ41</f>
        <v>1214364</v>
      </c>
      <c r="S40" s="12">
        <f>IF([3]基础状态预期!C52="","",[3]基础状态预期!C52)</f>
        <v>31720</v>
      </c>
      <c r="T40" s="12">
        <f>IF([3]基础状态预期!D52="","",[3]基础状态预期!D52)</f>
        <v>149.52287096243165</v>
      </c>
      <c r="U40" s="14">
        <f>IF([3]基础状态预期!F52="",0,[3]基础状态预期!F52)</f>
        <v>0</v>
      </c>
      <c r="V40" s="14">
        <f>IF([3]基础状态预期!G52="",0,[3]基础状态预期!G52)</f>
        <v>0</v>
      </c>
      <c r="W40" s="14">
        <f>IF([3]基础状态预期!H52="",0,[3]基础状态预期!H52)</f>
        <v>0</v>
      </c>
      <c r="X40" s="14">
        <f>IF([3]基础状态预期!I52="",0,[3]基础状态预期!I52)</f>
        <v>0</v>
      </c>
      <c r="Y40" s="14">
        <f>IF([3]基础状态预期!J52="",0,[3]基础状态预期!J52)</f>
        <v>6</v>
      </c>
      <c r="Z40" s="14">
        <f>IF([3]基础状态预期!K52="",MIN(8,Z41),[3]基础状态预期!K52)</f>
        <v>8</v>
      </c>
      <c r="AA40" s="14">
        <f>IF([3]基础状态预期!L52="",MIN(8,AA41),[3]基础状态预期!L52)</f>
        <v>8</v>
      </c>
      <c r="AB40" s="14">
        <f>IF([3]基础状态预期!M52="",MIN(8,AB41),[3]基础状态预期!M52)</f>
        <v>8</v>
      </c>
      <c r="AC40" s="14">
        <f>IF([3]基础状态预期!N52="",MIN(8,AC41),[3]基础状态预期!N52)</f>
        <v>8</v>
      </c>
      <c r="AD40" s="14">
        <f>IF([3]基础状态预期!O52="",MIN(8,AD41),[3]基础状态预期!O52)</f>
        <v>8</v>
      </c>
    </row>
    <row r="41" spans="3:30" x14ac:dyDescent="0.15">
      <c r="C41" s="5">
        <v>38</v>
      </c>
      <c r="D41" s="5">
        <f>'[1]功能-实力'!BF42</f>
        <v>917460</v>
      </c>
      <c r="E41" s="5">
        <f>'[1]功能-实力'!BG42</f>
        <v>965472</v>
      </c>
      <c r="F41" s="5">
        <f>'[1]功能-实力'!BH42</f>
        <v>1041144</v>
      </c>
      <c r="G41" s="5">
        <f>'[1]功能-实力'!BI42</f>
        <v>1185966</v>
      </c>
      <c r="H41" s="5">
        <f>'[1]功能-实力'!BJ42</f>
        <v>1284528</v>
      </c>
      <c r="S41" s="12">
        <f>IF([3]基础状态预期!C53="","",[3]基础状态预期!C53)</f>
        <v>40420</v>
      </c>
      <c r="T41" s="12">
        <f>IF([3]基础状态预期!D53="","",[3]基础状态预期!D53)</f>
        <v>153.02723536432757</v>
      </c>
      <c r="U41" s="14">
        <f>IF([3]基础状态预期!F53="",0,[3]基础状态预期!F53)</f>
        <v>0</v>
      </c>
      <c r="V41" s="14">
        <f>IF([3]基础状态预期!G53="",0,[3]基础状态预期!G53)</f>
        <v>0</v>
      </c>
      <c r="W41" s="14">
        <f>IF([3]基础状态预期!H53="",0,[3]基础状态预期!H53)</f>
        <v>0</v>
      </c>
      <c r="X41" s="14">
        <f>IF([3]基础状态预期!I53="",0,[3]基础状态预期!I53)</f>
        <v>0</v>
      </c>
      <c r="Y41" s="14">
        <f>IF([3]基础状态预期!J53="",0,[3]基础状态预期!J53)</f>
        <v>6</v>
      </c>
      <c r="Z41" s="14">
        <f>IF([3]基础状态预期!K53="",MIN(8,Z42),[3]基础状态预期!K53)</f>
        <v>8</v>
      </c>
      <c r="AA41" s="14">
        <f>IF([3]基础状态预期!L53="",MIN(8,AA42),[3]基础状态预期!L53)</f>
        <v>8</v>
      </c>
      <c r="AB41" s="14">
        <f>IF([3]基础状态预期!M53="",MIN(8,AB42),[3]基础状态预期!M53)</f>
        <v>8</v>
      </c>
      <c r="AC41" s="14">
        <f>IF([3]基础状态预期!N53="",MIN(8,AC42),[3]基础状态预期!N53)</f>
        <v>8</v>
      </c>
      <c r="AD41" s="14">
        <f>IF([3]基础状态预期!O53="",MIN(8,AD42),[3]基础状态预期!O53)</f>
        <v>8</v>
      </c>
    </row>
    <row r="42" spans="3:30" x14ac:dyDescent="0.15">
      <c r="C42" s="5">
        <v>39</v>
      </c>
      <c r="D42" s="5">
        <f>'[1]功能-实力'!BF43</f>
        <v>977358</v>
      </c>
      <c r="E42" s="5">
        <f>'[1]功能-实力'!BG43</f>
        <v>1023654</v>
      </c>
      <c r="F42" s="5">
        <f>'[1]功能-实力'!BH43</f>
        <v>1097184</v>
      </c>
      <c r="G42" s="5">
        <f>'[1]功能-实力'!BI43</f>
        <v>1252716</v>
      </c>
      <c r="H42" s="5">
        <f>'[1]功能-实力'!BJ43</f>
        <v>1357716</v>
      </c>
      <c r="S42" s="12">
        <f>IF([3]基础状态预期!C54="","",[3]基础状态预期!C54)</f>
        <v>51520</v>
      </c>
      <c r="T42" s="12">
        <f>IF([3]基础状态预期!D54="","",[3]基础状态预期!D54)</f>
        <v>156.52008914974525</v>
      </c>
      <c r="U42" s="14">
        <f>IF([3]基础状态预期!F54="",0,[3]基础状态预期!F54)</f>
        <v>0</v>
      </c>
      <c r="V42" s="14">
        <f>IF([3]基础状态预期!G54="",0,[3]基础状态预期!G54)</f>
        <v>0</v>
      </c>
      <c r="W42" s="14">
        <f>IF([3]基础状态预期!H54="",0,[3]基础状态预期!H54)</f>
        <v>0</v>
      </c>
      <c r="X42" s="14">
        <f>IF([3]基础状态预期!I54="",0,[3]基础状态预期!I54)</f>
        <v>0</v>
      </c>
      <c r="Y42" s="14">
        <f>IF([3]基础状态预期!J54="",0,[3]基础状态预期!J54)</f>
        <v>6</v>
      </c>
      <c r="Z42" s="14">
        <f>IF([3]基础状态预期!K54="",MIN(8,Z43),[3]基础状态预期!K54)</f>
        <v>8</v>
      </c>
      <c r="AA42" s="14">
        <f>IF([3]基础状态预期!L54="",MIN(8,AA43),[3]基础状态预期!L54)</f>
        <v>8</v>
      </c>
      <c r="AB42" s="14">
        <f>IF([3]基础状态预期!M54="",MIN(8,AB43),[3]基础状态预期!M54)</f>
        <v>8</v>
      </c>
      <c r="AC42" s="14">
        <f>IF([3]基础状态预期!N54="",MIN(8,AC43),[3]基础状态预期!N54)</f>
        <v>8</v>
      </c>
      <c r="AD42" s="14">
        <f>IF([3]基础状态预期!O54="",MIN(8,AD43),[3]基础状态预期!O54)</f>
        <v>8</v>
      </c>
    </row>
    <row r="43" spans="3:30" x14ac:dyDescent="0.15">
      <c r="C43" s="5">
        <v>40</v>
      </c>
      <c r="D43" s="5">
        <f>'[1]功能-实力'!BF44</f>
        <v>1039956</v>
      </c>
      <c r="E43" s="5">
        <f>'[1]功能-实力'!BG44</f>
        <v>1080510</v>
      </c>
      <c r="F43" s="5">
        <f>'[1]功能-实力'!BH44</f>
        <v>1154922</v>
      </c>
      <c r="G43" s="5">
        <f>'[1]功能-实力'!BI44</f>
        <v>1323294</v>
      </c>
      <c r="H43" s="5">
        <f>'[1]功能-实力'!BJ44</f>
        <v>1434768</v>
      </c>
      <c r="S43" s="12">
        <f>IF([3]基础状态预期!C55="","",[3]基础状态预期!C55)</f>
        <v>65500</v>
      </c>
      <c r="T43" s="12">
        <f>IF([3]基础状态预期!D55="","",[3]基础状态预期!D55)</f>
        <v>159.99202506384199</v>
      </c>
      <c r="U43" s="14">
        <f>IF([3]基础状态预期!F55="",0,[3]基础状态预期!F55)</f>
        <v>0</v>
      </c>
      <c r="V43" s="14">
        <f>IF([3]基础状态预期!G55="",0,[3]基础状态预期!G55)</f>
        <v>0</v>
      </c>
      <c r="W43" s="14">
        <f>IF([3]基础状态预期!H55="",0,[3]基础状态预期!H55)</f>
        <v>0</v>
      </c>
      <c r="X43" s="14">
        <f>IF([3]基础状态预期!I55="",0,[3]基础状态预期!I55)</f>
        <v>0</v>
      </c>
      <c r="Y43" s="14">
        <f>IF([3]基础状态预期!J55="",0,[3]基础状态预期!J55)</f>
        <v>6</v>
      </c>
      <c r="Z43" s="14">
        <f>IF([3]基础状态预期!K55="",MIN(8,Z44),[3]基础状态预期!K55)</f>
        <v>8</v>
      </c>
      <c r="AA43" s="14">
        <f>IF([3]基础状态预期!L55="",MIN(8,AA44),[3]基础状态预期!L55)</f>
        <v>8</v>
      </c>
      <c r="AB43" s="14">
        <f>IF([3]基础状态预期!M55="",MIN(8,AB44),[3]基础状态预期!M55)</f>
        <v>8</v>
      </c>
      <c r="AC43" s="14">
        <f>IF([3]基础状态预期!N55="",MIN(8,AC44),[3]基础状态预期!N55)</f>
        <v>8</v>
      </c>
      <c r="AD43" s="14">
        <f>IF([3]基础状态预期!O55="",MIN(8,AD44),[3]基础状态预期!O55)</f>
        <v>8</v>
      </c>
    </row>
    <row r="44" spans="3:30" x14ac:dyDescent="0.15">
      <c r="C44" s="5">
        <v>41</v>
      </c>
      <c r="D44" s="5">
        <f>'[1]功能-实力'!BF45</f>
        <v>1083990</v>
      </c>
      <c r="E44" s="5">
        <f>'[1]功能-实力'!BG45</f>
        <v>1123992</v>
      </c>
      <c r="F44" s="5">
        <f>'[1]功能-实力'!BH45</f>
        <v>1204488</v>
      </c>
      <c r="G44" s="5">
        <f>'[1]功能-实力'!BI45</f>
        <v>1386138</v>
      </c>
      <c r="H44" s="5">
        <f>'[1]功能-实力'!BJ45</f>
        <v>1504656</v>
      </c>
      <c r="S44" s="13"/>
      <c r="T44" s="13"/>
    </row>
    <row r="45" spans="3:30" x14ac:dyDescent="0.15">
      <c r="C45" s="5">
        <v>42</v>
      </c>
      <c r="D45" s="5">
        <f>'[1]功能-实力'!BF46</f>
        <v>1129710</v>
      </c>
      <c r="E45" s="5">
        <f>'[1]功能-实力'!BG46</f>
        <v>1169460</v>
      </c>
      <c r="F45" s="5">
        <f>'[1]功能-实力'!BH46</f>
        <v>1255398</v>
      </c>
      <c r="G45" s="5">
        <f>'[1]功能-实力'!BI46</f>
        <v>1451814</v>
      </c>
      <c r="H45" s="5">
        <f>'[1]功能-实力'!BJ46</f>
        <v>1576116</v>
      </c>
      <c r="S45" s="13"/>
      <c r="T45" s="13"/>
    </row>
    <row r="46" spans="3:30" x14ac:dyDescent="0.15">
      <c r="C46" s="5">
        <v>43</v>
      </c>
      <c r="D46" s="5">
        <f>'[1]功能-实力'!BF47</f>
        <v>1177194</v>
      </c>
      <c r="E46" s="5">
        <f>'[1]功能-实力'!BG47</f>
        <v>1218108</v>
      </c>
      <c r="F46" s="5">
        <f>'[1]功能-实力'!BH47</f>
        <v>1307406</v>
      </c>
      <c r="G46" s="5">
        <f>'[1]功能-实力'!BI47</f>
        <v>1519506</v>
      </c>
      <c r="H46" s="5">
        <f>'[1]功能-实力'!BJ47</f>
        <v>1651386</v>
      </c>
      <c r="S46" s="13"/>
      <c r="T46" s="13"/>
    </row>
    <row r="47" spans="3:30" x14ac:dyDescent="0.15">
      <c r="C47" s="5">
        <v>44</v>
      </c>
      <c r="D47" s="5">
        <f>'[1]功能-实力'!BF48</f>
        <v>1226382</v>
      </c>
      <c r="E47" s="5">
        <f>'[1]功能-实力'!BG48</f>
        <v>1268790</v>
      </c>
      <c r="F47" s="5">
        <f>'[1]功能-实力'!BH48</f>
        <v>1362888</v>
      </c>
      <c r="G47" s="5">
        <f>'[1]功能-实力'!BI48</f>
        <v>1591950</v>
      </c>
      <c r="H47" s="5">
        <f>'[1]功能-实力'!BJ48</f>
        <v>1727340</v>
      </c>
      <c r="S47" s="17" t="s">
        <v>57</v>
      </c>
      <c r="T47" s="17"/>
    </row>
    <row r="48" spans="3:30" x14ac:dyDescent="0.15">
      <c r="C48" s="5">
        <v>45</v>
      </c>
      <c r="D48" s="5">
        <f>'[1]功能-实力'!BF49</f>
        <v>1276404</v>
      </c>
      <c r="E48" s="5">
        <f>'[1]功能-实力'!BG49</f>
        <v>1322472</v>
      </c>
      <c r="F48" s="5">
        <f>'[1]功能-实力'!BH49</f>
        <v>1422756</v>
      </c>
      <c r="G48" s="5">
        <f>'[1]功能-实力'!BI49</f>
        <v>1665660</v>
      </c>
      <c r="H48" s="5">
        <f>'[1]功能-实力'!BJ49</f>
        <v>1805226</v>
      </c>
      <c r="S48" s="17"/>
      <c r="T48" s="17"/>
      <c r="U48" s="17" t="s">
        <v>67</v>
      </c>
      <c r="V48" s="17"/>
      <c r="W48" s="17"/>
      <c r="X48" s="17"/>
      <c r="Y48" s="17"/>
      <c r="Z48" s="17" t="s">
        <v>61</v>
      </c>
      <c r="AA48" s="17"/>
      <c r="AB48" s="17"/>
      <c r="AC48" s="17"/>
      <c r="AD48" s="17"/>
    </row>
    <row r="49" spans="3:30" x14ac:dyDescent="0.15">
      <c r="C49" s="5">
        <v>46</v>
      </c>
      <c r="D49" s="5">
        <f>'[1]功能-实力'!BF50</f>
        <v>1328442</v>
      </c>
      <c r="E49" s="5">
        <f>'[1]功能-实力'!BG50</f>
        <v>1377858</v>
      </c>
      <c r="F49" s="5">
        <f>'[1]功能-实力'!BH50</f>
        <v>1486728</v>
      </c>
      <c r="G49" s="5">
        <f>'[1]功能-实力'!BI50</f>
        <v>1738350</v>
      </c>
      <c r="H49" s="5">
        <f>'[1]功能-实力'!BJ50</f>
        <v>1884918</v>
      </c>
      <c r="S49" s="12" t="s">
        <v>55</v>
      </c>
      <c r="T49" s="12" t="s">
        <v>56</v>
      </c>
      <c r="U49" s="12" t="s">
        <v>62</v>
      </c>
      <c r="V49" s="12" t="s">
        <v>63</v>
      </c>
      <c r="W49" s="12" t="s">
        <v>64</v>
      </c>
      <c r="X49" s="12" t="s">
        <v>65</v>
      </c>
      <c r="Y49" s="12" t="s">
        <v>66</v>
      </c>
      <c r="Z49" s="12" t="s">
        <v>62</v>
      </c>
      <c r="AA49" s="12" t="s">
        <v>63</v>
      </c>
      <c r="AB49" s="12" t="s">
        <v>64</v>
      </c>
      <c r="AC49" s="12" t="s">
        <v>65</v>
      </c>
      <c r="AD49" s="12" t="s">
        <v>66</v>
      </c>
    </row>
    <row r="50" spans="3:30" x14ac:dyDescent="0.15">
      <c r="C50" s="5">
        <v>47</v>
      </c>
      <c r="D50" s="5">
        <f>'[1]功能-实力'!BF51</f>
        <v>1382172</v>
      </c>
      <c r="E50" s="5">
        <f>'[1]功能-实力'!BG51</f>
        <v>1435038</v>
      </c>
      <c r="F50" s="5">
        <f>'[1]功能-实力'!BH51</f>
        <v>1550148</v>
      </c>
      <c r="G50" s="5">
        <f>'[1]功能-实力'!BI51</f>
        <v>1813302</v>
      </c>
      <c r="H50" s="5">
        <f>'[1]功能-实力'!BJ51</f>
        <v>1966938</v>
      </c>
      <c r="S50" s="12">
        <f>IF([3]基础状态预期!C62="","",[3]基础状态预期!C62)</f>
        <v>0.85</v>
      </c>
      <c r="T50" s="12">
        <f>IF([3]基础状态预期!D62="","",[3]基础状态预期!D62)</f>
        <v>9.9592453074578113</v>
      </c>
      <c r="U50" s="14">
        <f>IF([3]基础状态预期!F62="",0,[3]基础状态预期!F62)</f>
        <v>0</v>
      </c>
      <c r="V50" s="14">
        <f>IF([3]基础状态预期!G62="",0,[3]基础状态预期!G62)</f>
        <v>0</v>
      </c>
      <c r="W50" s="14">
        <f>IF([3]基础状态预期!H62="",0,[3]基础状态预期!H62)</f>
        <v>2</v>
      </c>
      <c r="X50" s="14">
        <f>IF([3]基础状态预期!I62="",0,[3]基础状态预期!I62)</f>
        <v>4</v>
      </c>
      <c r="Y50" s="14">
        <f>IF([3]基础状态预期!J62="",0,[3]基础状态预期!J62)</f>
        <v>0</v>
      </c>
      <c r="Z50" s="14">
        <f>IF([3]基础状态预期!K62="",MIN(8,Z51),[3]基础状态预期!K62)</f>
        <v>8</v>
      </c>
      <c r="AA50" s="14">
        <f>IF([3]基础状态预期!L62="",MIN(8,AA51),[3]基础状态预期!L62)</f>
        <v>8</v>
      </c>
      <c r="AB50" s="14">
        <f>IF([3]基础状态预期!M62="",MIN(8,AB51),[3]基础状态预期!M62)</f>
        <v>0.60153846226280661</v>
      </c>
      <c r="AC50" s="14">
        <f>IF([3]基础状态预期!N62="",MIN(8,AC51),[3]基础状态预期!N62)</f>
        <v>0</v>
      </c>
      <c r="AD50" s="14">
        <f>IF([3]基础状态预期!O62="",MIN(8,AD51),[3]基础状态预期!O62)</f>
        <v>0</v>
      </c>
    </row>
    <row r="51" spans="3:30" x14ac:dyDescent="0.15">
      <c r="C51" s="5">
        <v>48</v>
      </c>
      <c r="D51" s="5">
        <f>'[1]功能-实力'!BF52</f>
        <v>1438056</v>
      </c>
      <c r="E51" s="5">
        <f>'[1]功能-实力'!BG52</f>
        <v>1492830</v>
      </c>
      <c r="F51" s="5">
        <f>'[1]功能-实力'!BH52</f>
        <v>1614942</v>
      </c>
      <c r="G51" s="5">
        <f>'[1]功能-实力'!BI52</f>
        <v>1889850</v>
      </c>
      <c r="H51" s="5">
        <f>'[1]功能-实力'!BJ52</f>
        <v>2051340</v>
      </c>
      <c r="S51" s="12">
        <f>IF([3]基础状态预期!C63="","",[3]基础状态预期!C63)</f>
        <v>2.5499999999999998</v>
      </c>
      <c r="T51" s="12">
        <f>IF([3]基础状态预期!D63="","",[3]基础状态预期!D63)</f>
        <v>19.766822802328868</v>
      </c>
      <c r="U51" s="14">
        <f>IF([3]基础状态预期!F63="",0,[3]基础状态预期!F63)</f>
        <v>0</v>
      </c>
      <c r="V51" s="14">
        <f>IF([3]基础状态预期!G63="",0,[3]基础状态预期!G63)</f>
        <v>0</v>
      </c>
      <c r="W51" s="14">
        <f>IF([3]基础状态预期!H63="",0,[3]基础状态预期!H63)</f>
        <v>0</v>
      </c>
      <c r="X51" s="14">
        <f>IF([3]基础状态预期!I63="",0,[3]基础状态预期!I63)</f>
        <v>6</v>
      </c>
      <c r="Y51" s="14">
        <f>IF([3]基础状态预期!J63="",0,[3]基础状态预期!J63)</f>
        <v>0</v>
      </c>
      <c r="Z51" s="14">
        <f>IF([3]基础状态预期!K63="",MIN(8,Z52),[3]基础状态预期!K63)</f>
        <v>8</v>
      </c>
      <c r="AA51" s="14">
        <f>IF([3]基础状态预期!L63="",MIN(8,AA52),[3]基础状态预期!L63)</f>
        <v>8</v>
      </c>
      <c r="AB51" s="14">
        <f>IF([3]基础状态预期!M63="",MIN(8,AB52),[3]基础状态预期!M63)</f>
        <v>8</v>
      </c>
      <c r="AC51" s="14">
        <f>IF([3]基础状态预期!N63="",MIN(8,AC52),[3]基础状态预期!N63)</f>
        <v>0</v>
      </c>
      <c r="AD51" s="14">
        <f>IF([3]基础状态预期!O63="",MIN(8,AD52),[3]基础状态预期!O63)</f>
        <v>0</v>
      </c>
    </row>
    <row r="52" spans="3:30" x14ac:dyDescent="0.15">
      <c r="C52" s="5">
        <v>49</v>
      </c>
      <c r="D52" s="5">
        <f>'[1]功能-实力'!BF53</f>
        <v>1495404</v>
      </c>
      <c r="E52" s="5">
        <f>'[1]功能-实力'!BG53</f>
        <v>1550610</v>
      </c>
      <c r="F52" s="5">
        <f>'[1]功能-实力'!BH53</f>
        <v>1681242</v>
      </c>
      <c r="G52" s="5">
        <f>'[1]功能-实力'!BI53</f>
        <v>1994556</v>
      </c>
      <c r="H52" s="5">
        <f>'[1]功能-实力'!BJ53</f>
        <v>2137476</v>
      </c>
      <c r="S52" s="12">
        <f>IF([3]基础状态预期!C64="","",[3]基础状态预期!C64)</f>
        <v>5.0999999999999996</v>
      </c>
      <c r="T52" s="12">
        <f>IF([3]基础状态预期!D64="","",[3]基础状态预期!D64)</f>
        <v>27.773265580596355</v>
      </c>
      <c r="U52" s="14">
        <f>IF([3]基础状态预期!F64="",0,[3]基础状态预期!F64)</f>
        <v>0</v>
      </c>
      <c r="V52" s="14">
        <f>IF([3]基础状态预期!G64="",0,[3]基础状态预期!G64)</f>
        <v>0</v>
      </c>
      <c r="W52" s="14">
        <f>IF([3]基础状态预期!H64="",0,[3]基础状态预期!H64)</f>
        <v>0</v>
      </c>
      <c r="X52" s="14">
        <f>IF([3]基础状态预期!I64="",0,[3]基础状态预期!I64)</f>
        <v>6</v>
      </c>
      <c r="Y52" s="14">
        <f>IF([3]基础状态预期!J64="",0,[3]基础状态预期!J64)</f>
        <v>0</v>
      </c>
      <c r="Z52" s="14">
        <f>IF([3]基础状态预期!K64="",MIN(8,Z53),[3]基础状态预期!K64)</f>
        <v>8</v>
      </c>
      <c r="AA52" s="14">
        <f>IF([3]基础状态预期!L64="",MIN(8,AA53),[3]基础状态预期!L64)</f>
        <v>8</v>
      </c>
      <c r="AB52" s="14">
        <f>IF([3]基础状态预期!M64="",MIN(8,AB53),[3]基础状态预期!M64)</f>
        <v>8</v>
      </c>
      <c r="AC52" s="14">
        <f>IF([3]基础状态预期!N64="",MIN(8,AC53),[3]基础状态预期!N64)</f>
        <v>0.19267669652269426</v>
      </c>
      <c r="AD52" s="14">
        <f>IF([3]基础状态预期!O64="",MIN(8,AD53),[3]基础状态预期!O64)</f>
        <v>0</v>
      </c>
    </row>
    <row r="53" spans="3:30" x14ac:dyDescent="0.15">
      <c r="C53" s="5">
        <v>50</v>
      </c>
      <c r="D53" s="5">
        <f>'[1]功能-实力'!BF54</f>
        <v>1554810</v>
      </c>
      <c r="E53" s="5">
        <f>'[1]功能-实力'!BG54</f>
        <v>1615872</v>
      </c>
      <c r="F53" s="5">
        <f>'[1]功能-实力'!BH54</f>
        <v>1791768</v>
      </c>
      <c r="G53" s="5">
        <f>'[1]功能-实力'!BI54</f>
        <v>2076912</v>
      </c>
      <c r="H53" s="5">
        <f>'[1]功能-实力'!BJ54</f>
        <v>2226168</v>
      </c>
      <c r="S53" s="12">
        <f>IF([3]基础状态预期!C65="","",[3]基础状态预期!C65)</f>
        <v>8.5</v>
      </c>
      <c r="T53" s="12">
        <f>IF([3]基础状态预期!D65="","",[3]基础状态预期!D65)</f>
        <v>34.250806171891597</v>
      </c>
      <c r="U53" s="14">
        <f>IF([3]基础状态预期!F65="",0,[3]基础状态预期!F65)</f>
        <v>0</v>
      </c>
      <c r="V53" s="14">
        <f>IF([3]基础状态预期!G65="",0,[3]基础状态预期!G65)</f>
        <v>0</v>
      </c>
      <c r="W53" s="14">
        <f>IF([3]基础状态预期!H65="",0,[3]基础状态预期!H65)</f>
        <v>0</v>
      </c>
      <c r="X53" s="14">
        <f>IF([3]基础状态预期!I65="",0,[3]基础状态预期!I65)</f>
        <v>6</v>
      </c>
      <c r="Y53" s="14">
        <f>IF([3]基础状态预期!J65="",0,[3]基础状态预期!J65)</f>
        <v>0</v>
      </c>
      <c r="Z53" s="14">
        <f>IF([3]基础状态预期!K65="",MIN(8,Z54),[3]基础状态预期!K65)</f>
        <v>8</v>
      </c>
      <c r="AA53" s="14">
        <f>IF([3]基础状态预期!L65="",MIN(8,AA54),[3]基础状态预期!L65)</f>
        <v>8</v>
      </c>
      <c r="AB53" s="14">
        <f>IF([3]基础状态预期!M65="",MIN(8,AB54),[3]基础状态预期!M65)</f>
        <v>8</v>
      </c>
      <c r="AC53" s="14">
        <f>IF([3]基础状态预期!N65="",MIN(8,AC54),[3]基础状态预期!N65)</f>
        <v>0.70232068556910843</v>
      </c>
      <c r="AD53" s="14">
        <f>IF([3]基础状态预期!O65="",MIN(8,AD54),[3]基础状态预期!O65)</f>
        <v>0</v>
      </c>
    </row>
    <row r="54" spans="3:30" x14ac:dyDescent="0.15">
      <c r="C54" s="5">
        <v>51</v>
      </c>
      <c r="D54" s="5">
        <f>'[1]功能-实力'!BF55</f>
        <v>1630014</v>
      </c>
      <c r="E54" s="5">
        <f>'[1]功能-实力'!BG55</f>
        <v>1694178</v>
      </c>
      <c r="F54" s="5">
        <f>'[1]功能-实力'!BH55</f>
        <v>1928148</v>
      </c>
      <c r="G54" s="5">
        <f>'[1]功能-实力'!BI55</f>
        <v>2182542</v>
      </c>
      <c r="H54" s="5">
        <f>'[1]功能-实力'!BJ55</f>
        <v>2346540</v>
      </c>
      <c r="S54" s="12">
        <f>IF([3]基础状态预期!C66="","",[3]基础状态预期!C66)</f>
        <v>12.75</v>
      </c>
      <c r="T54" s="12">
        <f>IF([3]基础状态预期!D66="","",[3]基础状态预期!D66)</f>
        <v>39.661158518499626</v>
      </c>
      <c r="U54" s="14">
        <f>IF([3]基础状态预期!F66="",0,[3]基础状态预期!F66)</f>
        <v>0</v>
      </c>
      <c r="V54" s="14">
        <f>IF([3]基础状态预期!G66="",0,[3]基础状态预期!G66)</f>
        <v>0</v>
      </c>
      <c r="W54" s="14">
        <f>IF([3]基础状态预期!H66="",0,[3]基础状态预期!H66)</f>
        <v>0</v>
      </c>
      <c r="X54" s="14">
        <f>IF([3]基础状态预期!I66="",0,[3]基础状态预期!I66)</f>
        <v>6</v>
      </c>
      <c r="Y54" s="14">
        <f>IF([3]基础状态预期!J66="",0,[3]基础状态预期!J66)</f>
        <v>0</v>
      </c>
      <c r="Z54" s="14">
        <f>IF([3]基础状态预期!K66="",MIN(8,Z55),[3]基础状态预期!K66)</f>
        <v>8</v>
      </c>
      <c r="AA54" s="14">
        <f>IF([3]基础状态预期!L66="",MIN(8,AA55),[3]基础状态预期!L66)</f>
        <v>8</v>
      </c>
      <c r="AB54" s="14">
        <f>IF([3]基础状态预期!M66="",MIN(8,AB55),[3]基础状态预期!M66)</f>
        <v>8</v>
      </c>
      <c r="AC54" s="14">
        <f>IF([3]基础状态预期!N66="",MIN(8,AC55),[3]基础状态预期!N66)</f>
        <v>1.1883428916839716</v>
      </c>
      <c r="AD54" s="14">
        <f>IF([3]基础状态预期!O66="",MIN(8,AD55),[3]基础状态预期!O66)</f>
        <v>0</v>
      </c>
    </row>
    <row r="55" spans="3:30" x14ac:dyDescent="0.15">
      <c r="C55" s="5">
        <v>52</v>
      </c>
      <c r="D55" s="5">
        <f>'[1]功能-实力'!BF56</f>
        <v>1707486</v>
      </c>
      <c r="E55" s="5">
        <f>'[1]功能-实力'!BG56</f>
        <v>1776780</v>
      </c>
      <c r="F55" s="5">
        <f>'[1]功能-实力'!BH56</f>
        <v>2069394</v>
      </c>
      <c r="G55" s="5">
        <f>'[1]功能-实力'!BI56</f>
        <v>2292270</v>
      </c>
      <c r="H55" s="5">
        <f>'[1]功能-实力'!BJ56</f>
        <v>2471412</v>
      </c>
      <c r="S55" s="12">
        <f>IF([3]基础状态预期!C67="","",[3]基础状态预期!C67)</f>
        <v>17</v>
      </c>
      <c r="T55" s="12">
        <f>IF([3]基础状态预期!D67="","",[3]基础状态预期!D67)</f>
        <v>43.535389560453282</v>
      </c>
      <c r="U55" s="14">
        <f>IF([3]基础状态预期!F67="",0,[3]基础状态预期!F67)</f>
        <v>0</v>
      </c>
      <c r="V55" s="14">
        <f>IF([3]基础状态预期!G67="",0,[3]基础状态预期!G67)</f>
        <v>0</v>
      </c>
      <c r="W55" s="14">
        <f>IF([3]基础状态预期!H67="",0,[3]基础状态预期!H67)</f>
        <v>0</v>
      </c>
      <c r="X55" s="14">
        <f>IF([3]基础状态预期!I67="",0,[3]基础状态预期!I67)</f>
        <v>6</v>
      </c>
      <c r="Y55" s="14">
        <f>IF([3]基础状态预期!J67="",0,[3]基础状态预期!J67)</f>
        <v>0</v>
      </c>
      <c r="Z55" s="14">
        <f>IF([3]基础状态预期!K67="",MIN(8,Z56),[3]基础状态预期!K67)</f>
        <v>8</v>
      </c>
      <c r="AA55" s="14">
        <f>IF([3]基础状态预期!L67="",MIN(8,AA56),[3]基础状态预期!L67)</f>
        <v>8</v>
      </c>
      <c r="AB55" s="14">
        <f>IF([3]基础状态预期!M67="",MIN(8,AB56),[3]基础状态预期!M67)</f>
        <v>8</v>
      </c>
      <c r="AC55" s="14">
        <f>IF([3]基础状态预期!N67="",MIN(8,AC56),[3]基础状态预期!N67)</f>
        <v>1.653959520897577</v>
      </c>
      <c r="AD55" s="14">
        <f>IF([3]基础状态预期!O67="",MIN(8,AD56),[3]基础状态预期!O67)</f>
        <v>0</v>
      </c>
    </row>
    <row r="56" spans="3:30" x14ac:dyDescent="0.15">
      <c r="C56" s="5">
        <v>53</v>
      </c>
      <c r="D56" s="5">
        <f>'[1]功能-实力'!BF57</f>
        <v>1787772</v>
      </c>
      <c r="E56" s="5">
        <f>'[1]功能-实力'!BG57</f>
        <v>1862490</v>
      </c>
      <c r="F56" s="5">
        <f>'[1]功能-实力'!BH57</f>
        <v>2216058</v>
      </c>
      <c r="G56" s="5">
        <f>'[1]功能-实力'!BI57</f>
        <v>2407830</v>
      </c>
      <c r="H56" s="5">
        <f>'[1]功能-实力'!BJ57</f>
        <v>2599458</v>
      </c>
      <c r="S56" s="12">
        <f>IF([3]基础状态预期!C68="","",[3]基础状态预期!C68)</f>
        <v>25.5</v>
      </c>
      <c r="T56" s="12">
        <f>IF([3]基础状态预期!D68="","",[3]基础状态预期!D68)</f>
        <v>49.178590903134719</v>
      </c>
      <c r="U56" s="14">
        <f>IF([3]基础状态预期!F68="",0,[3]基础状态预期!F68)</f>
        <v>0</v>
      </c>
      <c r="V56" s="14">
        <f>IF([3]基础状态预期!G68="",0,[3]基础状态预期!G68)</f>
        <v>0</v>
      </c>
      <c r="W56" s="14">
        <f>IF([3]基础状态预期!H68="",0,[3]基础状态预期!H68)</f>
        <v>0</v>
      </c>
      <c r="X56" s="14">
        <f>IF([3]基础状态预期!I68="",0,[3]基础状态预期!I68)</f>
        <v>6</v>
      </c>
      <c r="Y56" s="14">
        <f>IF([3]基础状态预期!J68="",0,[3]基础状态预期!J68)</f>
        <v>0</v>
      </c>
      <c r="Z56" s="14">
        <f>IF([3]基础状态预期!K68="",MIN(8,Z57),[3]基础状态预期!K68)</f>
        <v>8</v>
      </c>
      <c r="AA56" s="14">
        <f>IF([3]基础状态预期!L68="",MIN(8,AA57),[3]基础状态预期!L68)</f>
        <v>8</v>
      </c>
      <c r="AB56" s="14">
        <f>IF([3]基础状态预期!M68="",MIN(8,AB57),[3]基础状态预期!M68)</f>
        <v>8</v>
      </c>
      <c r="AC56" s="14">
        <f>IF([3]基础状态预期!N68="",MIN(8,AC57),[3]基础状态预期!N68)</f>
        <v>2.4741487993894928</v>
      </c>
      <c r="AD56" s="14">
        <f>IF([3]基础状态预期!O68="",MIN(8,AD57),[3]基础状态预期!O68)</f>
        <v>0</v>
      </c>
    </row>
    <row r="57" spans="3:30" x14ac:dyDescent="0.15">
      <c r="C57" s="5">
        <v>54</v>
      </c>
      <c r="D57" s="5">
        <f>'[1]功能-实力'!BF58</f>
        <v>1872696</v>
      </c>
      <c r="E57" s="5">
        <f>'[1]功能-实力'!BG58</f>
        <v>1955484</v>
      </c>
      <c r="F57" s="5">
        <f>'[1]功能-实力'!BH58</f>
        <v>2303316</v>
      </c>
      <c r="G57" s="5">
        <f>'[1]功能-实力'!BI58</f>
        <v>2537130</v>
      </c>
      <c r="H57" s="5">
        <f>'[1]功能-实力'!BJ58</f>
        <v>2730582</v>
      </c>
      <c r="S57" s="12">
        <f>IF([3]基础状态预期!C69="","",[3]基础状态预期!C69)</f>
        <v>34</v>
      </c>
      <c r="T57" s="12">
        <f>IF([3]基础状态预期!D69="","",[3]基础状态预期!D69)</f>
        <v>53.226994578658328</v>
      </c>
      <c r="U57" s="14">
        <f>IF([3]基础状态预期!F69="",0,[3]基础状态预期!F69)</f>
        <v>0</v>
      </c>
      <c r="V57" s="14">
        <f>IF([3]基础状态预期!G69="",0,[3]基础状态预期!G69)</f>
        <v>0</v>
      </c>
      <c r="W57" s="14">
        <f>IF([3]基础状态预期!H69="",0,[3]基础状态预期!H69)</f>
        <v>0</v>
      </c>
      <c r="X57" s="14">
        <f>IF([3]基础状态预期!I69="",0,[3]基础状态预期!I69)</f>
        <v>5</v>
      </c>
      <c r="Y57" s="14">
        <f>IF([3]基础状态预期!J69="",0,[3]基础状态预期!J69)</f>
        <v>1</v>
      </c>
      <c r="Z57" s="14">
        <f>IF([3]基础状态预期!K69="",MIN(8,Z58),[3]基础状态预期!K69)</f>
        <v>8</v>
      </c>
      <c r="AA57" s="14">
        <f>IF([3]基础状态预期!L69="",MIN(8,AA58),[3]基础状态预期!L69)</f>
        <v>8</v>
      </c>
      <c r="AB57" s="14">
        <f>IF([3]基础状态预期!M69="",MIN(8,AB58),[3]基础状态预期!M69)</f>
        <v>8</v>
      </c>
      <c r="AC57" s="14">
        <f>IF([3]基础状态预期!N69="",MIN(8,AC58),[3]基础状态预期!N69)</f>
        <v>3.1142606863941475</v>
      </c>
      <c r="AD57" s="14">
        <f>IF([3]基础状态预期!O69="",MIN(8,AD58),[3]基础状态预期!O69)</f>
        <v>0</v>
      </c>
    </row>
    <row r="58" spans="3:30" x14ac:dyDescent="0.15">
      <c r="C58" s="5">
        <v>55</v>
      </c>
      <c r="D58" s="5">
        <f>'[1]功能-实力'!BF59</f>
        <v>1963668</v>
      </c>
      <c r="E58" s="5">
        <f>'[1]功能-实力'!BG59</f>
        <v>2052402</v>
      </c>
      <c r="F58" s="5">
        <f>'[1]功能-实力'!BH59</f>
        <v>2378004</v>
      </c>
      <c r="G58" s="5">
        <f>'[1]功能-实力'!BI59</f>
        <v>2670438</v>
      </c>
      <c r="H58" s="5">
        <f>'[1]功能-实力'!BJ59</f>
        <v>2867016</v>
      </c>
      <c r="S58" s="12">
        <f>IF([3]基础状态预期!C70="","",[3]基础状态预期!C70)</f>
        <v>51</v>
      </c>
      <c r="T58" s="12">
        <f>IF([3]基础状态预期!D70="","",[3]基础状态预期!D70)</f>
        <v>59.016342740868758</v>
      </c>
      <c r="U58" s="14">
        <f>IF([3]基础状态预期!F70="",0,[3]基础状态预期!F70)</f>
        <v>0</v>
      </c>
      <c r="V58" s="14">
        <f>IF([3]基础状态预期!G70="",0,[3]基础状态预期!G70)</f>
        <v>0</v>
      </c>
      <c r="W58" s="14">
        <f>IF([3]基础状态预期!H70="",0,[3]基础状态预期!H70)</f>
        <v>0</v>
      </c>
      <c r="X58" s="14">
        <f>IF([3]基础状态预期!I70="",0,[3]基础状态预期!I70)</f>
        <v>4</v>
      </c>
      <c r="Y58" s="14">
        <f>IF([3]基础状态预期!J70="",0,[3]基础状态预期!J70)</f>
        <v>2</v>
      </c>
      <c r="Z58" s="14">
        <f>IF([3]基础状态预期!K70="",MIN(8,Z59),[3]基础状态预期!K70)</f>
        <v>8</v>
      </c>
      <c r="AA58" s="14">
        <f>IF([3]基础状态预期!L70="",MIN(8,AA59),[3]基础状态预期!L70)</f>
        <v>8</v>
      </c>
      <c r="AB58" s="14">
        <f>IF([3]基础状态预期!M70="",MIN(8,AB59),[3]基础状态预期!M70)</f>
        <v>8</v>
      </c>
      <c r="AC58" s="14">
        <f>IF([3]基础状态预期!N70="",MIN(8,AC59),[3]基础状态预期!N70)</f>
        <v>3.6754923015801979</v>
      </c>
      <c r="AD58" s="14">
        <f>IF([3]基础状态预期!O70="",MIN(8,AD59),[3]基础状态预期!O70)</f>
        <v>0.78513108697634304</v>
      </c>
    </row>
    <row r="59" spans="3:30" x14ac:dyDescent="0.15">
      <c r="C59" s="5">
        <v>56</v>
      </c>
      <c r="D59" s="5">
        <f>'[1]功能-实力'!BF60</f>
        <v>2059608</v>
      </c>
      <c r="E59" s="5">
        <f>'[1]功能-实力'!BG60</f>
        <v>2152062</v>
      </c>
      <c r="F59" s="5">
        <f>'[1]功能-实力'!BH60</f>
        <v>2454306</v>
      </c>
      <c r="G59" s="5">
        <f>'[1]功能-实力'!BI60</f>
        <v>2808192</v>
      </c>
      <c r="H59" s="5">
        <f>'[1]功能-实力'!BJ60</f>
        <v>3007662</v>
      </c>
      <c r="S59" s="12">
        <f>IF([3]基础状态预期!C71="","",[3]基础状态预期!C71)</f>
        <v>76.5</v>
      </c>
      <c r="T59" s="12">
        <f>IF([3]基础状态预期!D71="","",[3]基础状态预期!D71)</f>
        <v>64.781009552500748</v>
      </c>
      <c r="U59" s="14">
        <f>IF([3]基础状态预期!F71="",0,[3]基础状态预期!F71)</f>
        <v>0</v>
      </c>
      <c r="V59" s="14">
        <f>IF([3]基础状态预期!G71="",0,[3]基础状态预期!G71)</f>
        <v>0</v>
      </c>
      <c r="W59" s="14">
        <f>IF([3]基础状态预期!H71="",0,[3]基础状态预期!H71)</f>
        <v>0</v>
      </c>
      <c r="X59" s="14">
        <f>IF([3]基础状态预期!I71="",0,[3]基础状态预期!I71)</f>
        <v>3</v>
      </c>
      <c r="Y59" s="14">
        <f>IF([3]基础状态预期!J71="",0,[3]基础状态预期!J71)</f>
        <v>3</v>
      </c>
      <c r="Z59" s="14">
        <f>IF([3]基础状态预期!K71="",MIN(8,Z60),[3]基础状态预期!K71)</f>
        <v>8</v>
      </c>
      <c r="AA59" s="14">
        <f>IF([3]基础状态预期!L71="",MIN(8,AA60),[3]基础状态预期!L71)</f>
        <v>8</v>
      </c>
      <c r="AB59" s="14">
        <f>IF([3]基础状态预期!M71="",MIN(8,AB60),[3]基础状态预期!M71)</f>
        <v>8</v>
      </c>
      <c r="AC59" s="14">
        <f>IF([3]基础状态预期!N71="",MIN(8,AC60),[3]基础状态预期!N71)</f>
        <v>4.0641300960881974</v>
      </c>
      <c r="AD59" s="14">
        <f>IF([3]基础状态预期!O71="",MIN(8,AD60),[3]基础状态预期!O71)</f>
        <v>2.7539032199724485</v>
      </c>
    </row>
    <row r="60" spans="3:30" x14ac:dyDescent="0.15">
      <c r="C60" s="5">
        <v>57</v>
      </c>
      <c r="D60" s="5">
        <f>'[1]功能-实力'!BF61</f>
        <v>2158614</v>
      </c>
      <c r="E60" s="5">
        <f>'[1]功能-实力'!BG61</f>
        <v>2255322</v>
      </c>
      <c r="F60" s="5">
        <f>'[1]功能-实力'!BH61</f>
        <v>2532810</v>
      </c>
      <c r="G60" s="5">
        <f>'[1]功能-实力'!BI61</f>
        <v>2951220</v>
      </c>
      <c r="H60" s="5">
        <f>'[1]功能-实力'!BJ61</f>
        <v>3153324</v>
      </c>
      <c r="S60" s="12">
        <f>IF([3]基础状态预期!C72="","",[3]基础状态预期!C72)</f>
        <v>102</v>
      </c>
      <c r="T60" s="12">
        <f>IF([3]基础状态预期!D72="","",[3]基础状态预期!D72)</f>
        <v>68.923431594456531</v>
      </c>
      <c r="U60" s="14">
        <f>IF([3]基础状态预期!F72="",0,[3]基础状态预期!F72)</f>
        <v>0</v>
      </c>
      <c r="V60" s="14">
        <f>IF([3]基础状态预期!G72="",0,[3]基础状态预期!G72)</f>
        <v>0</v>
      </c>
      <c r="W60" s="14">
        <f>IF([3]基础状态预期!H72="",0,[3]基础状态预期!H72)</f>
        <v>0</v>
      </c>
      <c r="X60" s="14">
        <f>IF([3]基础状态预期!I72="",0,[3]基础状态预期!I72)</f>
        <v>2</v>
      </c>
      <c r="Y60" s="14">
        <f>IF([3]基础状态预期!J72="",0,[3]基础状态预期!J72)</f>
        <v>4</v>
      </c>
      <c r="Z60" s="14">
        <f>IF([3]基础状态预期!K72="",MIN(8,Z61),[3]基础状态预期!K72)</f>
        <v>8</v>
      </c>
      <c r="AA60" s="14">
        <f>IF([3]基础状态预期!L72="",MIN(8,AA61),[3]基础状态预期!L72)</f>
        <v>8</v>
      </c>
      <c r="AB60" s="14">
        <f>IF([3]基础状态预期!M72="",MIN(8,AB61),[3]基础状态预期!M72)</f>
        <v>8</v>
      </c>
      <c r="AC60" s="14">
        <f>IF([3]基础状态预期!N72="",MIN(8,AC61),[3]基础状态预期!N72)</f>
        <v>4.4087554283024417</v>
      </c>
      <c r="AD60" s="14">
        <f>IF([3]基础状态预期!O72="",MIN(8,AD61),[3]基础状态预期!O72)</f>
        <v>3.2215195092916113</v>
      </c>
    </row>
    <row r="61" spans="3:30" x14ac:dyDescent="0.15">
      <c r="C61" s="5">
        <v>58</v>
      </c>
      <c r="D61" s="5">
        <f>'[1]功能-实力'!BF62</f>
        <v>2261250</v>
      </c>
      <c r="E61" s="5">
        <f>'[1]功能-实力'!BG62</f>
        <v>2361006</v>
      </c>
      <c r="F61" s="5">
        <f>'[1]功能-实力'!BH62</f>
        <v>2614206</v>
      </c>
      <c r="G61" s="5">
        <f>'[1]功能-实力'!BI62</f>
        <v>3100434</v>
      </c>
      <c r="H61" s="5">
        <f>'[1]功能-实力'!BJ62</f>
        <v>3395928</v>
      </c>
      <c r="S61" s="12">
        <f>IF([3]基础状态预期!C73="","",[3]基础状态预期!C73)</f>
        <v>127.5</v>
      </c>
      <c r="T61" s="12">
        <f>IF([3]基础状态预期!D73="","",[3]基础状态预期!D73)</f>
        <v>72.103942950990486</v>
      </c>
      <c r="U61" s="14">
        <f>IF([3]基础状态预期!F73="",0,[3]基础状态预期!F73)</f>
        <v>0</v>
      </c>
      <c r="V61" s="14">
        <f>IF([3]基础状态预期!G73="",0,[3]基础状态预期!G73)</f>
        <v>0</v>
      </c>
      <c r="W61" s="14">
        <f>IF([3]基础状态预期!H73="",0,[3]基础状态预期!H73)</f>
        <v>0</v>
      </c>
      <c r="X61" s="14">
        <f>IF([3]基础状态预期!I73="",0,[3]基础状态预期!I73)</f>
        <v>1</v>
      </c>
      <c r="Y61" s="14">
        <f>IF([3]基础状态预期!J73="",0,[3]基础状态预期!J73)</f>
        <v>5</v>
      </c>
      <c r="Z61" s="14">
        <f>IF([3]基础状态预期!K73="",MIN(8,Z62),[3]基础状态预期!K73)</f>
        <v>8</v>
      </c>
      <c r="AA61" s="14">
        <f>IF([3]基础状态预期!L73="",MIN(8,AA62),[3]基础状态预期!L73)</f>
        <v>8</v>
      </c>
      <c r="AB61" s="14">
        <f>IF([3]基础状态预期!M73="",MIN(8,AB62),[3]基础状态预期!M73)</f>
        <v>8</v>
      </c>
      <c r="AC61" s="14">
        <f>IF([3]基础状态预期!N73="",MIN(8,AC62),[3]基础状态预期!N73)</f>
        <v>4.7104647364651591</v>
      </c>
      <c r="AD61" s="14">
        <f>IF([3]基础状态预期!O73="",MIN(8,AD62),[3]基础状态预期!O73)</f>
        <v>3.3131022510032468</v>
      </c>
    </row>
    <row r="62" spans="3:30" x14ac:dyDescent="0.15">
      <c r="C62" s="5">
        <v>59</v>
      </c>
      <c r="D62" s="5">
        <f>'[1]功能-实力'!BF63</f>
        <v>2366742</v>
      </c>
      <c r="E62" s="5">
        <f>'[1]功能-实力'!BG63</f>
        <v>2470260</v>
      </c>
      <c r="F62" s="5">
        <f>'[1]功能-实力'!BH63</f>
        <v>2698734</v>
      </c>
      <c r="G62" s="5">
        <f>'[1]功能-实力'!BI63</f>
        <v>3257340</v>
      </c>
      <c r="H62" s="5">
        <f>'[1]功能-实力'!BJ63</f>
        <v>3562044</v>
      </c>
      <c r="S62" s="12">
        <f>IF([3]基础状态预期!C74="","",[3]基础状态预期!C74)</f>
        <v>153</v>
      </c>
      <c r="T62" s="12">
        <f>IF([3]基础状态预期!D74="","",[3]基础状态预期!D74)</f>
        <v>74.74003809013405</v>
      </c>
      <c r="U62" s="14">
        <f>IF([3]基础状态预期!F74="",0,[3]基础状态预期!F74)</f>
        <v>0</v>
      </c>
      <c r="V62" s="14">
        <f>IF([3]基础状态预期!G74="",0,[3]基础状态预期!G74)</f>
        <v>0</v>
      </c>
      <c r="W62" s="14">
        <f>IF([3]基础状态预期!H74="",0,[3]基础状态预期!H74)</f>
        <v>0</v>
      </c>
      <c r="X62" s="14">
        <f>IF([3]基础状态预期!I74="",0,[3]基础状态预期!I74)</f>
        <v>0.5</v>
      </c>
      <c r="Y62" s="14">
        <f>IF([3]基础状态预期!J74="",0,[3]基础状态预期!J74)</f>
        <v>5.5</v>
      </c>
      <c r="Z62" s="14">
        <f>IF([3]基础状态预期!K74="",MIN(8,Z63),[3]基础状态预期!K74)</f>
        <v>8</v>
      </c>
      <c r="AA62" s="14">
        <f>IF([3]基础状态预期!L74="",MIN(8,AA63),[3]基础状态预期!L74)</f>
        <v>8</v>
      </c>
      <c r="AB62" s="14">
        <f>IF([3]基础状态预期!M74="",MIN(8,AB63),[3]基础状态预期!M74)</f>
        <v>8</v>
      </c>
      <c r="AC62" s="14">
        <f>IF([3]基础状态预期!N74="",MIN(8,AC63),[3]基础状态预期!N74)</f>
        <v>5.0010869039450361</v>
      </c>
      <c r="AD62" s="14">
        <f>IF([3]基础状态预期!O74="",MIN(8,AD63),[3]基础状态预期!O74)</f>
        <v>3.5642696938186416</v>
      </c>
    </row>
    <row r="63" spans="3:30" x14ac:dyDescent="0.15">
      <c r="C63" s="5">
        <v>60</v>
      </c>
      <c r="D63" s="5">
        <f>'[1]功能-实力'!BF64</f>
        <v>2490414</v>
      </c>
      <c r="E63" s="5">
        <f>'[1]功能-实力'!BG64</f>
        <v>2630544</v>
      </c>
      <c r="F63" s="5">
        <f>'[1]功能-实力'!BH64</f>
        <v>2868030</v>
      </c>
      <c r="G63" s="5">
        <f>'[1]功能-实力'!BI64</f>
        <v>3475218</v>
      </c>
      <c r="H63" s="5">
        <f>'[1]功能-实力'!BJ64</f>
        <v>3796824</v>
      </c>
      <c r="S63" s="12">
        <f>IF([3]基础状态预期!C75="","",[3]基础状态预期!C75)</f>
        <v>187</v>
      </c>
      <c r="T63" s="12">
        <f>IF([3]基础状态预期!D75="","",[3]基础状态预期!D75)</f>
        <v>77.609642525433856</v>
      </c>
      <c r="U63" s="14">
        <f>IF([3]基础状态预期!F75="",0,[3]基础状态预期!F75)</f>
        <v>0</v>
      </c>
      <c r="V63" s="14">
        <f>IF([3]基础状态预期!G75="",0,[3]基础状态预期!G75)</f>
        <v>0</v>
      </c>
      <c r="W63" s="14">
        <f>IF([3]基础状态预期!H75="",0,[3]基础状态预期!H75)</f>
        <v>0</v>
      </c>
      <c r="X63" s="14">
        <f>IF([3]基础状态预期!I75="",0,[3]基础状态预期!I75)</f>
        <v>0</v>
      </c>
      <c r="Y63" s="14">
        <f>IF([3]基础状态预期!J75="",0,[3]基础状态预期!J75)</f>
        <v>6</v>
      </c>
      <c r="Z63" s="14">
        <f>IF([3]基础状态预期!K75="",MIN(8,Z64),[3]基础状态预期!K75)</f>
        <v>8</v>
      </c>
      <c r="AA63" s="14">
        <f>IF([3]基础状态预期!L75="",MIN(8,AA64),[3]基础状态预期!L75)</f>
        <v>8</v>
      </c>
      <c r="AB63" s="14">
        <f>IF([3]基础状态预期!M75="",MIN(8,AB64),[3]基础状态预期!M75)</f>
        <v>8</v>
      </c>
      <c r="AC63" s="14">
        <f>IF([3]基础状态预期!N75="",MIN(8,AC64),[3]基础状态预期!N75)</f>
        <v>8</v>
      </c>
      <c r="AD63" s="14">
        <f>IF([3]基础状态预期!O75="",MIN(8,AD64),[3]基础状态预期!O75)</f>
        <v>3.943805617628612</v>
      </c>
    </row>
    <row r="64" spans="3:30" x14ac:dyDescent="0.15">
      <c r="C64" s="5">
        <v>61</v>
      </c>
      <c r="D64" s="5">
        <f>'[1]功能-实力'!BF65</f>
        <v>2642196</v>
      </c>
      <c r="E64" s="5">
        <f>'[1]功能-实力'!BG65</f>
        <v>2823774</v>
      </c>
      <c r="F64" s="5">
        <f>'[1]功能-实力'!BH65</f>
        <v>3085332</v>
      </c>
      <c r="G64" s="5">
        <f>'[1]功能-实力'!BI65</f>
        <v>3732240</v>
      </c>
      <c r="H64" s="5">
        <f>'[1]功能-实力'!BJ65</f>
        <v>4058118</v>
      </c>
      <c r="S64" s="12">
        <f>IF([3]基础状态预期!C76="","",[3]基础状态预期!C76)</f>
        <v>221</v>
      </c>
      <c r="T64" s="12">
        <f>IF([3]基础状态预期!D76="","",[3]基础状态预期!D76)</f>
        <v>79.994335665275713</v>
      </c>
      <c r="U64" s="14">
        <f>IF([3]基础状态预期!F76="",0,[3]基础状态预期!F76)</f>
        <v>0</v>
      </c>
      <c r="V64" s="14">
        <f>IF([3]基础状态预期!G76="",0,[3]基础状态预期!G76)</f>
        <v>0</v>
      </c>
      <c r="W64" s="14">
        <f>IF([3]基础状态预期!H76="",0,[3]基础状态预期!H76)</f>
        <v>0</v>
      </c>
      <c r="X64" s="14">
        <f>IF([3]基础状态预期!I76="",0,[3]基础状态预期!I76)</f>
        <v>0</v>
      </c>
      <c r="Y64" s="14">
        <f>IF([3]基础状态预期!J76="",0,[3]基础状态预期!J76)</f>
        <v>6</v>
      </c>
      <c r="Z64" s="14">
        <f>IF([3]基础状态预期!K76="",MIN(8,Z65),[3]基础状态预期!K76)</f>
        <v>8</v>
      </c>
      <c r="AA64" s="14">
        <f>IF([3]基础状态预期!L76="",MIN(8,AA65),[3]基础状态预期!L76)</f>
        <v>8</v>
      </c>
      <c r="AB64" s="14">
        <f>IF([3]基础状态预期!M76="",MIN(8,AB65),[3]基础状态预期!M76)</f>
        <v>8</v>
      </c>
      <c r="AC64" s="14">
        <f>IF([3]基础状态预期!N76="",MIN(8,AC65),[3]基础状态预期!N76)</f>
        <v>8</v>
      </c>
      <c r="AD64" s="14">
        <f>IF([3]基础状态预期!O76="",MIN(8,AD65),[3]基础状态预期!O76)</f>
        <v>4.5790528363518757</v>
      </c>
    </row>
    <row r="65" spans="3:30" x14ac:dyDescent="0.15">
      <c r="C65" s="5">
        <v>62</v>
      </c>
      <c r="D65" s="5">
        <f>'[1]功能-实力'!BF66</f>
        <v>2800536</v>
      </c>
      <c r="E65" s="5">
        <f>'[1]功能-实力'!BG66</f>
        <v>3022926</v>
      </c>
      <c r="F65" s="5">
        <f>'[1]功能-实力'!BH66</f>
        <v>3313938</v>
      </c>
      <c r="G65" s="5">
        <f>'[1]功能-实力'!BI66</f>
        <v>4001838</v>
      </c>
      <c r="H65" s="5">
        <f>'[1]功能-实力'!BJ66</f>
        <v>4331904</v>
      </c>
      <c r="S65" s="12">
        <f>IF([3]基础状态预期!C77="","",[3]基础状态预期!C77)</f>
        <v>255</v>
      </c>
      <c r="T65" s="12">
        <f>IF([3]基础状态预期!D77="","",[3]基础状态预期!D77)</f>
        <v>82.100546804797787</v>
      </c>
      <c r="U65" s="14">
        <f>IF([3]基础状态预期!F77="",0,[3]基础状态预期!F77)</f>
        <v>0</v>
      </c>
      <c r="V65" s="14">
        <f>IF([3]基础状态预期!G77="",0,[3]基础状态预期!G77)</f>
        <v>0</v>
      </c>
      <c r="W65" s="14">
        <f>IF([3]基础状态预期!H77="",0,[3]基础状态预期!H77)</f>
        <v>0</v>
      </c>
      <c r="X65" s="14">
        <f>IF([3]基础状态预期!I77="",0,[3]基础状态预期!I77)</f>
        <v>0</v>
      </c>
      <c r="Y65" s="14">
        <f>IF([3]基础状态预期!J77="",0,[3]基础状态预期!J77)</f>
        <v>6</v>
      </c>
      <c r="Z65" s="14">
        <f>IF([3]基础状态预期!K77="",MIN(8,Z66),[3]基础状态预期!K77)</f>
        <v>8</v>
      </c>
      <c r="AA65" s="14">
        <f>IF([3]基础状态预期!L77="",MIN(8,AA66),[3]基础状态预期!L77)</f>
        <v>8</v>
      </c>
      <c r="AB65" s="14">
        <f>IF([3]基础状态预期!M77="",MIN(8,AB66),[3]基础状态预期!M77)</f>
        <v>8</v>
      </c>
      <c r="AC65" s="14">
        <f>IF([3]基础状态预期!N77="",MIN(8,AC66),[3]基础状态预期!N77)</f>
        <v>8</v>
      </c>
      <c r="AD65" s="14">
        <f>IF([3]基础状态预期!O77="",MIN(8,AD66),[3]基础状态预期!O77)</f>
        <v>5.1459428419746001</v>
      </c>
    </row>
    <row r="66" spans="3:30" x14ac:dyDescent="0.15">
      <c r="C66" s="5">
        <v>63</v>
      </c>
      <c r="D66" s="5">
        <f>'[1]功能-实力'!BF67</f>
        <v>2964798</v>
      </c>
      <c r="E66" s="5">
        <f>'[1]功能-实力'!BG67</f>
        <v>3231210</v>
      </c>
      <c r="F66" s="5">
        <f>'[1]功能-实力'!BH67</f>
        <v>3553128</v>
      </c>
      <c r="G66" s="5">
        <f>'[1]功能-实力'!BI67</f>
        <v>4285242</v>
      </c>
      <c r="H66" s="5">
        <f>'[1]功能-实力'!BJ67</f>
        <v>4617648</v>
      </c>
      <c r="S66" s="12">
        <f>IF([3]基础状态预期!C78="","",[3]基础状态预期!C78)</f>
        <v>289</v>
      </c>
      <c r="T66" s="12">
        <f>IF([3]基础状态预期!D78="","",[3]基础状态预期!D78)</f>
        <v>83.885420957389968</v>
      </c>
      <c r="U66" s="14">
        <f>IF([3]基础状态预期!F78="",0,[3]基础状态预期!F78)</f>
        <v>0</v>
      </c>
      <c r="V66" s="14">
        <f>IF([3]基础状态预期!G78="",0,[3]基础状态预期!G78)</f>
        <v>0</v>
      </c>
      <c r="W66" s="14">
        <f>IF([3]基础状态预期!H78="",0,[3]基础状态预期!H78)</f>
        <v>0</v>
      </c>
      <c r="X66" s="14">
        <f>IF([3]基础状态预期!I78="",0,[3]基础状态预期!I78)</f>
        <v>0</v>
      </c>
      <c r="Y66" s="14">
        <f>IF([3]基础状态预期!J78="",0,[3]基础状态预期!J78)</f>
        <v>6</v>
      </c>
      <c r="Z66" s="14">
        <f>IF([3]基础状态预期!K78="",MIN(8,Z67),[3]基础状态预期!K78)</f>
        <v>8</v>
      </c>
      <c r="AA66" s="14">
        <f>IF([3]基础状态预期!L78="",MIN(8,AA67),[3]基础状态预期!L78)</f>
        <v>8</v>
      </c>
      <c r="AB66" s="14">
        <f>IF([3]基础状态预期!M78="",MIN(8,AB67),[3]基础状态预期!M78)</f>
        <v>8</v>
      </c>
      <c r="AC66" s="14">
        <f>IF([3]基础状态预期!N78="",MIN(8,AC67),[3]基础状态预期!N78)</f>
        <v>8</v>
      </c>
      <c r="AD66" s="14">
        <f>IF([3]基础状态预期!O78="",MIN(8,AD67),[3]基础状态预期!O78)</f>
        <v>5.551758238011117</v>
      </c>
    </row>
    <row r="67" spans="3:30" x14ac:dyDescent="0.15">
      <c r="C67" s="5">
        <v>64</v>
      </c>
      <c r="D67" s="5">
        <f>'[1]功能-实力'!BF68</f>
        <v>3136764</v>
      </c>
      <c r="E67" s="5">
        <f>'[1]功能-实力'!BG68</f>
        <v>3447708</v>
      </c>
      <c r="F67" s="5">
        <f>'[1]功能-实力'!BH68</f>
        <v>3805398</v>
      </c>
      <c r="G67" s="5">
        <f>'[1]功能-实力'!BI68</f>
        <v>4581732</v>
      </c>
      <c r="H67" s="5">
        <f>'[1]功能-实力'!BJ68</f>
        <v>4913484</v>
      </c>
      <c r="S67" s="12">
        <f>IF([3]基础状态预期!C79="","",[3]基础状态预期!C79)</f>
        <v>340</v>
      </c>
      <c r="T67" s="12">
        <f>IF([3]基础状态预期!D79="","",[3]基础状态预期!D79)</f>
        <v>86.247032860782397</v>
      </c>
      <c r="U67" s="14">
        <f>IF([3]基础状态预期!F79="",0,[3]基础状态预期!F79)</f>
        <v>0</v>
      </c>
      <c r="V67" s="14">
        <f>IF([3]基础状态预期!G79="",0,[3]基础状态预期!G79)</f>
        <v>0</v>
      </c>
      <c r="W67" s="14">
        <f>IF([3]基础状态预期!H79="",0,[3]基础状态预期!H79)</f>
        <v>0</v>
      </c>
      <c r="X67" s="14">
        <f>IF([3]基础状态预期!I79="",0,[3]基础状态预期!I79)</f>
        <v>0</v>
      </c>
      <c r="Y67" s="14">
        <f>IF([3]基础状态预期!J79="",0,[3]基础状态预期!J79)</f>
        <v>6</v>
      </c>
      <c r="Z67" s="14">
        <f>IF([3]基础状态预期!K79="",MIN(8,Z68),[3]基础状态预期!K79)</f>
        <v>8</v>
      </c>
      <c r="AA67" s="14">
        <f>IF([3]基础状态预期!L79="",MIN(8,AA68),[3]基础状态预期!L79)</f>
        <v>8</v>
      </c>
      <c r="AB67" s="14">
        <f>IF([3]基础状态预期!M79="",MIN(8,AB68),[3]基础状态预期!M79)</f>
        <v>8</v>
      </c>
      <c r="AC67" s="14">
        <f>IF([3]基础状态预期!N79="",MIN(8,AC68),[3]基础状态预期!N79)</f>
        <v>8</v>
      </c>
      <c r="AD67" s="14">
        <f>IF([3]基础状态预期!O79="",MIN(8,AD68),[3]基础状态预期!O79)</f>
        <v>6.1535692191017892</v>
      </c>
    </row>
    <row r="68" spans="3:30" x14ac:dyDescent="0.15">
      <c r="C68" s="5">
        <v>65</v>
      </c>
      <c r="D68" s="5">
        <f>'[1]功能-实力'!BF69</f>
        <v>3316092</v>
      </c>
      <c r="E68" s="5">
        <f>'[1]功能-实力'!BG69</f>
        <v>3676338</v>
      </c>
      <c r="F68" s="5">
        <f>'[1]功能-实力'!BH69</f>
        <v>4072902</v>
      </c>
      <c r="G68" s="5">
        <f>'[1]功能-实力'!BI69</f>
        <v>4884288</v>
      </c>
      <c r="H68" s="5">
        <f>'[1]功能-实力'!BJ69</f>
        <v>5212716</v>
      </c>
      <c r="S68" s="12">
        <f>IF([3]基础状态预期!C80="","",[3]基础状态预期!C80)</f>
        <v>442</v>
      </c>
      <c r="T68" s="12">
        <f>IF([3]基础状态预期!D80="","",[3]基础状态预期!D80)</f>
        <v>90.122782504866933</v>
      </c>
      <c r="U68" s="14">
        <f>IF([3]基础状态预期!F80="",0,[3]基础状态预期!F80)</f>
        <v>0</v>
      </c>
      <c r="V68" s="14">
        <f>IF([3]基础状态预期!G80="",0,[3]基础状态预期!G80)</f>
        <v>0</v>
      </c>
      <c r="W68" s="14">
        <f>IF([3]基础状态预期!H80="",0,[3]基础状态预期!H80)</f>
        <v>0</v>
      </c>
      <c r="X68" s="14">
        <f>IF([3]基础状态预期!I80="",0,[3]基础状态预期!I80)</f>
        <v>0</v>
      </c>
      <c r="Y68" s="14">
        <f>IF([3]基础状态预期!J80="",0,[3]基础状态预期!J80)</f>
        <v>6</v>
      </c>
      <c r="Z68" s="14">
        <f>IF([3]基础状态预期!K80="",MIN(8,Z69),[3]基础状态预期!K80)</f>
        <v>8</v>
      </c>
      <c r="AA68" s="14">
        <f>IF([3]基础状态预期!L80="",MIN(8,AA69),[3]基础状态预期!L80)</f>
        <v>8</v>
      </c>
      <c r="AB68" s="14">
        <f>IF([3]基础状态预期!M80="",MIN(8,AB69),[3]基础状态预期!M80)</f>
        <v>8</v>
      </c>
      <c r="AC68" s="14">
        <f>IF([3]基础状态预期!N80="",MIN(8,AC69),[3]基础状态预期!N80)</f>
        <v>8</v>
      </c>
      <c r="AD68" s="14">
        <f>IF([3]基础状态预期!O80="",MIN(8,AD69),[3]基础状态预期!O80)</f>
        <v>7.1446025137701881</v>
      </c>
    </row>
    <row r="69" spans="3:30" x14ac:dyDescent="0.15">
      <c r="C69" s="5">
        <v>66</v>
      </c>
      <c r="D69" s="5">
        <f>'[1]功能-实力'!BF70</f>
        <v>3489840</v>
      </c>
      <c r="E69" s="5">
        <f>'[1]功能-实力'!BG70</f>
        <v>3907932</v>
      </c>
      <c r="F69" s="5">
        <f>'[1]功能-实力'!BH70</f>
        <v>4345710</v>
      </c>
      <c r="G69" s="5">
        <f>'[1]功能-实力'!BI70</f>
        <v>5184936</v>
      </c>
      <c r="H69" s="5">
        <f>'[1]功能-实力'!BJ70</f>
        <v>5526288</v>
      </c>
      <c r="S69" s="12">
        <f>IF([3]基础状态预期!C81="","",[3]基础状态预期!C81)</f>
        <v>544</v>
      </c>
      <c r="T69" s="12">
        <f>IF([3]基础状态预期!D81="","",[3]基础状态预期!D81)</f>
        <v>93.149045658279036</v>
      </c>
      <c r="U69" s="14">
        <f>IF([3]基础状态预期!F81="",0,[3]基础状态预期!F81)</f>
        <v>0</v>
      </c>
      <c r="V69" s="14">
        <f>IF([3]基础状态预期!G81="",0,[3]基础状态预期!G81)</f>
        <v>0</v>
      </c>
      <c r="W69" s="14">
        <f>IF([3]基础状态预期!H81="",0,[3]基础状态预期!H81)</f>
        <v>0</v>
      </c>
      <c r="X69" s="14">
        <f>IF([3]基础状态预期!I81="",0,[3]基础状态预期!I81)</f>
        <v>0</v>
      </c>
      <c r="Y69" s="14">
        <f>IF([3]基础状态预期!J81="",0,[3]基础状态预期!J81)</f>
        <v>6</v>
      </c>
      <c r="Z69" s="14">
        <f>IF([3]基础状态预期!K81="",MIN(8,Z70),[3]基础状态预期!K81)</f>
        <v>8</v>
      </c>
      <c r="AA69" s="14">
        <f>IF([3]基础状态预期!L81="",MIN(8,AA70),[3]基础状态预期!L81)</f>
        <v>8</v>
      </c>
      <c r="AB69" s="14">
        <f>IF([3]基础状态预期!M81="",MIN(8,AB70),[3]基础状态预期!M81)</f>
        <v>8</v>
      </c>
      <c r="AC69" s="14">
        <f>IF([3]基础状态预期!N81="",MIN(8,AC70),[3]基础状态预期!N81)</f>
        <v>8</v>
      </c>
      <c r="AD69" s="14">
        <f>IF([3]基础状态预期!O81="",MIN(8,AD70),[3]基础状态预期!O81)</f>
        <v>7.7118886473333328</v>
      </c>
    </row>
    <row r="70" spans="3:30" x14ac:dyDescent="0.15">
      <c r="C70" s="5">
        <v>67</v>
      </c>
      <c r="D70" s="5">
        <f>'[1]功能-实力'!BF71</f>
        <v>3669258</v>
      </c>
      <c r="E70" s="5">
        <f>'[1]功能-实力'!BG71</f>
        <v>4149894</v>
      </c>
      <c r="F70" s="5">
        <f>'[1]功能-实力'!BH71</f>
        <v>4624320</v>
      </c>
      <c r="G70" s="5">
        <f>'[1]功能-实力'!BI71</f>
        <v>5500842</v>
      </c>
      <c r="H70" s="5">
        <f>'[1]功能-实力'!BJ71</f>
        <v>5860674</v>
      </c>
      <c r="S70" s="12">
        <f>IF([3]基础状态预期!C82="","",[3]基础状态预期!C82)</f>
        <v>697</v>
      </c>
      <c r="T70" s="12">
        <f>IF([3]基础状态预期!D82="","",[3]基础状态预期!D82)</f>
        <v>96.770480813454071</v>
      </c>
      <c r="U70" s="14">
        <f>IF([3]基础状态预期!F82="",0,[3]基础状态预期!F82)</f>
        <v>0</v>
      </c>
      <c r="V70" s="14">
        <f>IF([3]基础状态预期!G82="",0,[3]基础状态预期!G82)</f>
        <v>0</v>
      </c>
      <c r="W70" s="14">
        <f>IF([3]基础状态预期!H82="",0,[3]基础状态预期!H82)</f>
        <v>0</v>
      </c>
      <c r="X70" s="14">
        <f>IF([3]基础状态预期!I82="",0,[3]基础状态预期!I82)</f>
        <v>0</v>
      </c>
      <c r="Y70" s="14">
        <f>IF([3]基础状态预期!J82="",0,[3]基础状态预期!J82)</f>
        <v>6</v>
      </c>
      <c r="Z70" s="14">
        <f>IF([3]基础状态预期!K82="",MIN(8,Z71),[3]基础状态预期!K82)</f>
        <v>8</v>
      </c>
      <c r="AA70" s="14">
        <f>IF([3]基础状态预期!L82="",MIN(8,AA71),[3]基础状态预期!L82)</f>
        <v>8</v>
      </c>
      <c r="AB70" s="14">
        <f>IF([3]基础状态预期!M82="",MIN(8,AB71),[3]基础状态预期!M82)</f>
        <v>8</v>
      </c>
      <c r="AC70" s="14">
        <f>IF([3]基础状态预期!N82="",MIN(8,AC71),[3]基础状态预期!N82)</f>
        <v>8</v>
      </c>
      <c r="AD70" s="14">
        <f>IF([3]基础状态预期!O82="",MIN(8,AD71),[3]基础状态预期!O82)</f>
        <v>8</v>
      </c>
    </row>
    <row r="71" spans="3:30" x14ac:dyDescent="0.15">
      <c r="C71" s="5">
        <v>68</v>
      </c>
      <c r="D71" s="5">
        <f>'[1]功能-实力'!BF72</f>
        <v>3853356</v>
      </c>
      <c r="E71" s="5">
        <f>'[1]功能-实力'!BG72</f>
        <v>4399938</v>
      </c>
      <c r="F71" s="5">
        <f>'[1]功能-实力'!BH72</f>
        <v>4913328</v>
      </c>
      <c r="G71" s="5">
        <f>'[1]功能-实力'!BI72</f>
        <v>5844066</v>
      </c>
      <c r="H71" s="5">
        <f>'[1]功能-实力'!BJ72</f>
        <v>6220290</v>
      </c>
      <c r="S71" s="12">
        <f>IF([3]基础状态预期!C83="","",[3]基础状态预期!C83)</f>
        <v>901</v>
      </c>
      <c r="T71" s="12">
        <f>IF([3]基础状态预期!D83="","",[3]基础状态预期!D83)</f>
        <v>100.40175326279811</v>
      </c>
      <c r="U71" s="14">
        <f>IF([3]基础状态预期!F83="",0,[3]基础状态预期!F83)</f>
        <v>0</v>
      </c>
      <c r="V71" s="14">
        <f>IF([3]基础状态预期!G83="",0,[3]基础状态预期!G83)</f>
        <v>0</v>
      </c>
      <c r="W71" s="14">
        <f>IF([3]基础状态预期!H83="",0,[3]基础状态预期!H83)</f>
        <v>0</v>
      </c>
      <c r="X71" s="14">
        <f>IF([3]基础状态预期!I83="",0,[3]基础状态预期!I83)</f>
        <v>0</v>
      </c>
      <c r="Y71" s="14">
        <f>IF([3]基础状态预期!J83="",0,[3]基础状态预期!J83)</f>
        <v>6</v>
      </c>
      <c r="Z71" s="14">
        <f>IF([3]基础状态预期!K83="",MIN(8,Z72),[3]基础状态预期!K83)</f>
        <v>8</v>
      </c>
      <c r="AA71" s="14">
        <f>IF([3]基础状态预期!L83="",MIN(8,AA72),[3]基础状态预期!L83)</f>
        <v>8</v>
      </c>
      <c r="AB71" s="14">
        <f>IF([3]基础状态预期!M83="",MIN(8,AB72),[3]基础状态预期!M83)</f>
        <v>8</v>
      </c>
      <c r="AC71" s="14">
        <f>IF([3]基础状态预期!N83="",MIN(8,AC72),[3]基础状态预期!N83)</f>
        <v>8</v>
      </c>
      <c r="AD71" s="14">
        <f>IF([3]基础状态预期!O83="",MIN(8,AD72),[3]基础状态预期!O83)</f>
        <v>8</v>
      </c>
    </row>
    <row r="72" spans="3:30" x14ac:dyDescent="0.15">
      <c r="C72" s="5">
        <v>69</v>
      </c>
      <c r="D72" s="5">
        <f>'[1]功能-实力'!BF73</f>
        <v>4043166</v>
      </c>
      <c r="E72" s="5">
        <f>'[1]功能-实力'!BG73</f>
        <v>4658892</v>
      </c>
      <c r="F72" s="5">
        <f>'[1]功能-实力'!BH73</f>
        <v>5224170</v>
      </c>
      <c r="G72" s="5">
        <f>'[1]功能-实力'!BI73</f>
        <v>6195210</v>
      </c>
      <c r="H72" s="5">
        <f>'[1]功能-实力'!BJ73</f>
        <v>6597648</v>
      </c>
      <c r="S72" s="12">
        <f>IF([3]基础状态预期!C84="","",[3]基础状态预期!C84)</f>
        <v>1156</v>
      </c>
      <c r="T72" s="12">
        <f>IF([3]基础状态预期!D84="","",[3]基础状态预期!D84)</f>
        <v>104.06236366727887</v>
      </c>
      <c r="U72" s="14">
        <f>IF([3]基础状态预期!F84="",0,[3]基础状态预期!F84)</f>
        <v>0</v>
      </c>
      <c r="V72" s="14">
        <f>IF([3]基础状态预期!G84="",0,[3]基础状态预期!G84)</f>
        <v>0</v>
      </c>
      <c r="W72" s="14">
        <f>IF([3]基础状态预期!H84="",0,[3]基础状态预期!H84)</f>
        <v>0</v>
      </c>
      <c r="X72" s="14">
        <f>IF([3]基础状态预期!I84="",0,[3]基础状态预期!I84)</f>
        <v>0</v>
      </c>
      <c r="Y72" s="14">
        <f>IF([3]基础状态预期!J84="",0,[3]基础状态预期!J84)</f>
        <v>6</v>
      </c>
      <c r="Z72" s="14">
        <f>IF([3]基础状态预期!K84="",MIN(8,Z73),[3]基础状态预期!K84)</f>
        <v>8</v>
      </c>
      <c r="AA72" s="14">
        <f>IF([3]基础状态预期!L84="",MIN(8,AA73),[3]基础状态预期!L84)</f>
        <v>8</v>
      </c>
      <c r="AB72" s="14">
        <f>IF([3]基础状态预期!M84="",MIN(8,AB73),[3]基础状态预期!M84)</f>
        <v>8</v>
      </c>
      <c r="AC72" s="14">
        <f>IF([3]基础状态预期!N84="",MIN(8,AC73),[3]基础状态预期!N84)</f>
        <v>8</v>
      </c>
      <c r="AD72" s="14">
        <f>IF([3]基础状态预期!O84="",MIN(8,AD73),[3]基础状态预期!O84)</f>
        <v>8</v>
      </c>
    </row>
    <row r="73" spans="3:30" x14ac:dyDescent="0.15">
      <c r="C73" s="5">
        <v>70</v>
      </c>
      <c r="D73" s="5">
        <f>'[1]功能-实力'!BF74</f>
        <v>4260048</v>
      </c>
      <c r="E73" s="5">
        <f>'[1]功能-实力'!BG74</f>
        <v>4960356</v>
      </c>
      <c r="F73" s="5">
        <f>'[1]功能-实力'!BH74</f>
        <v>5670456</v>
      </c>
      <c r="G73" s="5">
        <f>'[1]功能-实力'!BI74</f>
        <v>6767100</v>
      </c>
      <c r="H73" s="5">
        <f>'[1]功能-实力'!BJ74</f>
        <v>7085184</v>
      </c>
      <c r="S73" s="12">
        <f>IF([3]基础状态预期!C85="","",[3]基础状态预期!C85)</f>
        <v>1462</v>
      </c>
      <c r="T73" s="12">
        <f>IF([3]基础状态预期!D85="","",[3]基础状态预期!D85)</f>
        <v>107.42257994053838</v>
      </c>
      <c r="U73" s="14">
        <f>IF([3]基础状态预期!F85="",0,[3]基础状态预期!F85)</f>
        <v>0</v>
      </c>
      <c r="V73" s="14">
        <f>IF([3]基础状态预期!G85="",0,[3]基础状态预期!G85)</f>
        <v>0</v>
      </c>
      <c r="W73" s="14">
        <f>IF([3]基础状态预期!H85="",0,[3]基础状态预期!H85)</f>
        <v>0</v>
      </c>
      <c r="X73" s="14">
        <f>IF([3]基础状态预期!I85="",0,[3]基础状态预期!I85)</f>
        <v>0</v>
      </c>
      <c r="Y73" s="14">
        <f>IF([3]基础状态预期!J85="",0,[3]基础状态预期!J85)</f>
        <v>6</v>
      </c>
      <c r="Z73" s="14">
        <f>IF([3]基础状态预期!K85="",MIN(8,Z74),[3]基础状态预期!K85)</f>
        <v>8</v>
      </c>
      <c r="AA73" s="14">
        <f>IF([3]基础状态预期!L85="",MIN(8,AA74),[3]基础状态预期!L85)</f>
        <v>8</v>
      </c>
      <c r="AB73" s="14">
        <f>IF([3]基础状态预期!M85="",MIN(8,AB74),[3]基础状态预期!M85)</f>
        <v>8</v>
      </c>
      <c r="AC73" s="14">
        <f>IF([3]基础状态预期!N85="",MIN(8,AC74),[3]基础状态预期!N85)</f>
        <v>8</v>
      </c>
      <c r="AD73" s="14">
        <f>IF([3]基础状态预期!O85="",MIN(8,AD74),[3]基础状态预期!O85)</f>
        <v>8</v>
      </c>
    </row>
    <row r="74" spans="3:30" x14ac:dyDescent="0.15">
      <c r="C74" s="5">
        <v>71</v>
      </c>
      <c r="D74" s="5">
        <f>'[1]功能-实力'!BF75</f>
        <v>4510182</v>
      </c>
      <c r="E74" s="5">
        <f>'[1]功能-实力'!BG75</f>
        <v>5254344</v>
      </c>
      <c r="F74" s="5">
        <f>'[1]功能-实力'!BH75</f>
        <v>5976282</v>
      </c>
      <c r="G74" s="5">
        <f>'[1]功能-实力'!BI75</f>
        <v>7156476</v>
      </c>
      <c r="H74" s="5">
        <f>'[1]功能-实力'!BJ75</f>
        <v>7512150</v>
      </c>
      <c r="S74" s="12">
        <f>IF([3]基础状态预期!C86="","",[3]基础状态预期!C86)</f>
        <v>1870</v>
      </c>
      <c r="T74" s="12">
        <f>IF([3]基础状态预期!D86="","",[3]基础状态预期!D86)</f>
        <v>111.00691759243479</v>
      </c>
      <c r="U74" s="14">
        <f>IF([3]基础状态预期!F86="",0,[3]基础状态预期!F86)</f>
        <v>0</v>
      </c>
      <c r="V74" s="14">
        <f>IF([3]基础状态预期!G86="",0,[3]基础状态预期!G86)</f>
        <v>0</v>
      </c>
      <c r="W74" s="14">
        <f>IF([3]基础状态预期!H86="",0,[3]基础状态预期!H86)</f>
        <v>0</v>
      </c>
      <c r="X74" s="14">
        <f>IF([3]基础状态预期!I86="",0,[3]基础状态预期!I86)</f>
        <v>0</v>
      </c>
      <c r="Y74" s="14">
        <f>IF([3]基础状态预期!J86="",0,[3]基础状态预期!J86)</f>
        <v>6</v>
      </c>
      <c r="Z74" s="14">
        <f>IF([3]基础状态预期!K86="",MIN(8,Z75),[3]基础状态预期!K86)</f>
        <v>8</v>
      </c>
      <c r="AA74" s="14">
        <f>IF([3]基础状态预期!L86="",MIN(8,AA75),[3]基础状态预期!L86)</f>
        <v>8</v>
      </c>
      <c r="AB74" s="14">
        <f>IF([3]基础状态预期!M86="",MIN(8,AB75),[3]基础状态预期!M86)</f>
        <v>8</v>
      </c>
      <c r="AC74" s="14">
        <f>IF([3]基础状态预期!N86="",MIN(8,AC75),[3]基础状态预期!N86)</f>
        <v>8</v>
      </c>
      <c r="AD74" s="14">
        <f>IF([3]基础状态预期!O86="",MIN(8,AD75),[3]基础状态预期!O86)</f>
        <v>8</v>
      </c>
    </row>
    <row r="75" spans="3:30" x14ac:dyDescent="0.15">
      <c r="C75" s="5">
        <v>72</v>
      </c>
      <c r="D75" s="5">
        <f>'[1]功能-实力'!BF76</f>
        <v>4781742</v>
      </c>
      <c r="E75" s="5">
        <f>'[1]功能-实力'!BG76</f>
        <v>5563848</v>
      </c>
      <c r="F75" s="5">
        <f>'[1]功能-实力'!BH76</f>
        <v>6295554</v>
      </c>
      <c r="G75" s="5">
        <f>'[1]功能-实力'!BI76</f>
        <v>7571568</v>
      </c>
      <c r="H75" s="5">
        <f>'[1]功能-实力'!BJ76</f>
        <v>7977000</v>
      </c>
      <c r="S75" s="12">
        <f>IF([3]基础状态预期!C87="","",[3]基础状态预期!C87)</f>
        <v>2380</v>
      </c>
      <c r="T75" s="12">
        <f>IF([3]基础状态预期!D87="","",[3]基础状态预期!D87)</f>
        <v>114.47614359759058</v>
      </c>
      <c r="U75" s="14">
        <f>IF([3]基础状态预期!F87="",0,[3]基础状态预期!F87)</f>
        <v>0</v>
      </c>
      <c r="V75" s="14">
        <f>IF([3]基础状态预期!G87="",0,[3]基础状态预期!G87)</f>
        <v>0</v>
      </c>
      <c r="W75" s="14">
        <f>IF([3]基础状态预期!H87="",0,[3]基础状态预期!H87)</f>
        <v>0</v>
      </c>
      <c r="X75" s="14">
        <f>IF([3]基础状态预期!I87="",0,[3]基础状态预期!I87)</f>
        <v>0</v>
      </c>
      <c r="Y75" s="14">
        <f>IF([3]基础状态预期!J87="",0,[3]基础状态预期!J87)</f>
        <v>6</v>
      </c>
      <c r="Z75" s="14">
        <f>IF([3]基础状态预期!K87="",MIN(8,Z76),[3]基础状态预期!K87)</f>
        <v>8</v>
      </c>
      <c r="AA75" s="14">
        <f>IF([3]基础状态预期!L87="",MIN(8,AA76),[3]基础状态预期!L87)</f>
        <v>8</v>
      </c>
      <c r="AB75" s="14">
        <f>IF([3]基础状态预期!M87="",MIN(8,AB76),[3]基础状态预期!M87)</f>
        <v>8</v>
      </c>
      <c r="AC75" s="14">
        <f>IF([3]基础状态预期!N87="",MIN(8,AC76),[3]基础状态预期!N87)</f>
        <v>8</v>
      </c>
      <c r="AD75" s="14">
        <f>IF([3]基础状态预期!O87="",MIN(8,AD76),[3]基础状态预期!O87)</f>
        <v>8</v>
      </c>
    </row>
    <row r="76" spans="3:30" x14ac:dyDescent="0.15">
      <c r="C76" s="5">
        <v>73</v>
      </c>
      <c r="D76" s="5">
        <f>'[1]功能-实力'!BF77</f>
        <v>5070846</v>
      </c>
      <c r="E76" s="5">
        <f>'[1]功能-实力'!BG77</f>
        <v>5879160</v>
      </c>
      <c r="F76" s="5">
        <f>'[1]功能-实力'!BH77</f>
        <v>6644778</v>
      </c>
      <c r="G76" s="5">
        <f>'[1]功能-实力'!BI77</f>
        <v>8077662</v>
      </c>
      <c r="H76" s="5">
        <f>'[1]功能-实力'!BJ77</f>
        <v>8507952</v>
      </c>
      <c r="S76" s="12">
        <f>IF([3]基础状态预期!C88="","",[3]基础状态预期!C88)</f>
        <v>3043</v>
      </c>
      <c r="T76" s="12">
        <f>IF([3]基础状态预期!D88="","",[3]基础状态预期!D88)</f>
        <v>118.05724034557241</v>
      </c>
      <c r="U76" s="14">
        <f>IF([3]基础状态预期!F88="",0,[3]基础状态预期!F88)</f>
        <v>0</v>
      </c>
      <c r="V76" s="14">
        <f>IF([3]基础状态预期!G88="",0,[3]基础状态预期!G88)</f>
        <v>0</v>
      </c>
      <c r="W76" s="14">
        <f>IF([3]基础状态预期!H88="",0,[3]基础状态预期!H88)</f>
        <v>0</v>
      </c>
      <c r="X76" s="14">
        <f>IF([3]基础状态预期!I88="",0,[3]基础状态预期!I88)</f>
        <v>0</v>
      </c>
      <c r="Y76" s="14">
        <f>IF([3]基础状态预期!J88="",0,[3]基础状态预期!J88)</f>
        <v>6</v>
      </c>
      <c r="Z76" s="14">
        <f>IF([3]基础状态预期!K88="",MIN(8,Z77),[3]基础状态预期!K88)</f>
        <v>8</v>
      </c>
      <c r="AA76" s="14">
        <f>IF([3]基础状态预期!L88="",MIN(8,AA77),[3]基础状态预期!L88)</f>
        <v>8</v>
      </c>
      <c r="AB76" s="14">
        <f>IF([3]基础状态预期!M88="",MIN(8,AB77),[3]基础状态预期!M88)</f>
        <v>8</v>
      </c>
      <c r="AC76" s="14">
        <f>IF([3]基础状态预期!N88="",MIN(8,AC77),[3]基础状态预期!N88)</f>
        <v>8</v>
      </c>
      <c r="AD76" s="14">
        <f>IF([3]基础状态预期!O88="",MIN(8,AD77),[3]基础状态预期!O88)</f>
        <v>8</v>
      </c>
    </row>
    <row r="77" spans="3:30" x14ac:dyDescent="0.15">
      <c r="C77" s="5">
        <v>74</v>
      </c>
      <c r="D77" s="5">
        <f>'[1]功能-实力'!BF78</f>
        <v>5375628</v>
      </c>
      <c r="E77" s="5">
        <f>'[1]功能-实力'!BG78</f>
        <v>6209016</v>
      </c>
      <c r="F77" s="5">
        <f>'[1]功能-实力'!BH78</f>
        <v>7020798</v>
      </c>
      <c r="G77" s="5">
        <f>'[1]功能-实力'!BI78</f>
        <v>8618682</v>
      </c>
      <c r="H77" s="5">
        <f>'[1]功能-实力'!BJ78</f>
        <v>9108474</v>
      </c>
      <c r="S77" s="12">
        <f>IF([3]基础状态预期!C89="","",[3]基础状态预期!C89)</f>
        <v>3859</v>
      </c>
      <c r="T77" s="12">
        <f>IF([3]基础状态预期!D89="","",[3]基础状态预期!D89)</f>
        <v>121.49411884885473</v>
      </c>
      <c r="U77" s="14">
        <f>IF([3]基础状态预期!F89="",0,[3]基础状态预期!F89)</f>
        <v>0</v>
      </c>
      <c r="V77" s="14">
        <f>IF([3]基础状态预期!G89="",0,[3]基础状态预期!G89)</f>
        <v>0</v>
      </c>
      <c r="W77" s="14">
        <f>IF([3]基础状态预期!H89="",0,[3]基础状态预期!H89)</f>
        <v>0</v>
      </c>
      <c r="X77" s="14">
        <f>IF([3]基础状态预期!I89="",0,[3]基础状态预期!I89)</f>
        <v>0</v>
      </c>
      <c r="Y77" s="14">
        <f>IF([3]基础状态预期!J89="",0,[3]基础状态预期!J89)</f>
        <v>6</v>
      </c>
      <c r="Z77" s="14">
        <f>IF([3]基础状态预期!K89="",MIN(8,Z78),[3]基础状态预期!K89)</f>
        <v>8</v>
      </c>
      <c r="AA77" s="14">
        <f>IF([3]基础状态预期!L89="",MIN(8,AA78),[3]基础状态预期!L89)</f>
        <v>8</v>
      </c>
      <c r="AB77" s="14">
        <f>IF([3]基础状态预期!M89="",MIN(8,AB78),[3]基础状态预期!M89)</f>
        <v>8</v>
      </c>
      <c r="AC77" s="14">
        <f>IF([3]基础状态预期!N89="",MIN(8,AC78),[3]基础状态预期!N89)</f>
        <v>8</v>
      </c>
      <c r="AD77" s="14">
        <f>IF([3]基础状态预期!O89="",MIN(8,AD78),[3]基础状态预期!O89)</f>
        <v>8</v>
      </c>
    </row>
    <row r="78" spans="3:30" x14ac:dyDescent="0.15">
      <c r="C78" s="5">
        <v>75</v>
      </c>
      <c r="D78" s="5">
        <f>'[1]功能-实力'!BF79</f>
        <v>5699256</v>
      </c>
      <c r="E78" s="5">
        <f>'[1]功能-实力'!BG79</f>
        <v>6577158</v>
      </c>
      <c r="F78" s="5">
        <f>'[1]功能-实力'!BH79</f>
        <v>7429542</v>
      </c>
      <c r="G78" s="5">
        <f>'[1]功能-实力'!BI79</f>
        <v>9191712</v>
      </c>
      <c r="H78" s="5">
        <f>'[1]功能-实力'!BJ79</f>
        <v>9743712</v>
      </c>
      <c r="S78" s="12">
        <f>IF([3]基础状态预期!C90="","",[3]基础状态预期!C90)</f>
        <v>4930</v>
      </c>
      <c r="T78" s="12">
        <f>IF([3]基础状态预期!D90="","",[3]基础状态预期!D90)</f>
        <v>125.03100311549058</v>
      </c>
      <c r="U78" s="14">
        <f>IF([3]基础状态预期!F90="",0,[3]基础状态预期!F90)</f>
        <v>0</v>
      </c>
      <c r="V78" s="14">
        <f>IF([3]基础状态预期!G90="",0,[3]基础状态预期!G90)</f>
        <v>0</v>
      </c>
      <c r="W78" s="14">
        <f>IF([3]基础状态预期!H90="",0,[3]基础状态预期!H90)</f>
        <v>0</v>
      </c>
      <c r="X78" s="14">
        <f>IF([3]基础状态预期!I90="",0,[3]基础状态预期!I90)</f>
        <v>0</v>
      </c>
      <c r="Y78" s="14">
        <f>IF([3]基础状态预期!J90="",0,[3]基础状态预期!J90)</f>
        <v>6</v>
      </c>
      <c r="Z78" s="14">
        <f>IF([3]基础状态预期!K90="",MIN(8,Z79),[3]基础状态预期!K90)</f>
        <v>8</v>
      </c>
      <c r="AA78" s="14">
        <f>IF([3]基础状态预期!L90="",MIN(8,AA79),[3]基础状态预期!L90)</f>
        <v>8</v>
      </c>
      <c r="AB78" s="14">
        <f>IF([3]基础状态预期!M90="",MIN(8,AB79),[3]基础状态预期!M90)</f>
        <v>8</v>
      </c>
      <c r="AC78" s="14">
        <f>IF([3]基础状态预期!N90="",MIN(8,AC79),[3]基础状态预期!N90)</f>
        <v>8</v>
      </c>
      <c r="AD78" s="14">
        <f>IF([3]基础状态预期!O90="",MIN(8,AD79),[3]基础状态预期!O90)</f>
        <v>8</v>
      </c>
    </row>
    <row r="79" spans="3:30" x14ac:dyDescent="0.15">
      <c r="C79" s="5">
        <v>76</v>
      </c>
      <c r="D79" s="5">
        <f>'[1]功能-实力'!BF80</f>
        <v>6075402</v>
      </c>
      <c r="E79" s="5">
        <f>'[1]功能-实力'!BG80</f>
        <v>6981126</v>
      </c>
      <c r="F79" s="5">
        <f>'[1]功能-实力'!BH80</f>
        <v>7883688</v>
      </c>
      <c r="G79" s="5">
        <f>'[1]功能-实力'!BI80</f>
        <v>9796842</v>
      </c>
      <c r="H79" s="5">
        <f>'[1]功能-实力'!BJ80</f>
        <v>10449306</v>
      </c>
      <c r="S79" s="12">
        <f>IF([3]基础状态预期!C91="","",[3]基础状态预期!C91)</f>
        <v>6307</v>
      </c>
      <c r="T79" s="12">
        <f>IF([3]基础状态预期!D91="","",[3]基础状态预期!D91)</f>
        <v>128.62542789463421</v>
      </c>
      <c r="U79" s="14">
        <f>IF([3]基础状态预期!F91="",0,[3]基础状态预期!F91)</f>
        <v>0</v>
      </c>
      <c r="V79" s="14">
        <f>IF([3]基础状态预期!G91="",0,[3]基础状态预期!G91)</f>
        <v>0</v>
      </c>
      <c r="W79" s="14">
        <f>IF([3]基础状态预期!H91="",0,[3]基础状态预期!H91)</f>
        <v>0</v>
      </c>
      <c r="X79" s="14">
        <f>IF([3]基础状态预期!I91="",0,[3]基础状态预期!I91)</f>
        <v>0</v>
      </c>
      <c r="Y79" s="14">
        <f>IF([3]基础状态预期!J91="",0,[3]基础状态预期!J91)</f>
        <v>6</v>
      </c>
      <c r="Z79" s="14">
        <f>IF([3]基础状态预期!K91="",MIN(8,Z80),[3]基础状态预期!K91)</f>
        <v>8</v>
      </c>
      <c r="AA79" s="14">
        <f>IF([3]基础状态预期!L91="",MIN(8,AA80),[3]基础状态预期!L91)</f>
        <v>8</v>
      </c>
      <c r="AB79" s="14">
        <f>IF([3]基础状态预期!M91="",MIN(8,AB80),[3]基础状态预期!M91)</f>
        <v>8</v>
      </c>
      <c r="AC79" s="14">
        <f>IF([3]基础状态预期!N91="",MIN(8,AC80),[3]基础状态预期!N91)</f>
        <v>8</v>
      </c>
      <c r="AD79" s="14">
        <f>IF([3]基础状态预期!O91="",MIN(8,AD80),[3]基础状态预期!O91)</f>
        <v>8</v>
      </c>
    </row>
    <row r="80" spans="3:30" x14ac:dyDescent="0.15">
      <c r="C80" s="5">
        <v>77</v>
      </c>
      <c r="D80" s="5">
        <f>'[1]功能-实力'!BF81</f>
        <v>6475530</v>
      </c>
      <c r="E80" s="5">
        <f>'[1]功能-实力'!BG81</f>
        <v>7407126</v>
      </c>
      <c r="F80" s="5">
        <f>'[1]功能-实力'!BH81</f>
        <v>8366514</v>
      </c>
      <c r="G80" s="5">
        <f>'[1]功能-实力'!BI81</f>
        <v>10424136</v>
      </c>
      <c r="H80" s="5">
        <f>'[1]功能-实力'!BJ81</f>
        <v>11183118</v>
      </c>
      <c r="S80" s="12">
        <f>IF([3]基础状态预期!C92="","",[3]基础状态预期!C92)</f>
        <v>8041</v>
      </c>
      <c r="T80" s="12">
        <f>IF([3]基础状态预期!D92="","",[3]基础状态预期!D92)</f>
        <v>132.09902390525281</v>
      </c>
      <c r="U80" s="14">
        <f>IF([3]基础状态预期!F92="",0,[3]基础状态预期!F92)</f>
        <v>0</v>
      </c>
      <c r="V80" s="14">
        <f>IF([3]基础状态预期!G92="",0,[3]基础状态预期!G92)</f>
        <v>0</v>
      </c>
      <c r="W80" s="14">
        <f>IF([3]基础状态预期!H92="",0,[3]基础状态预期!H92)</f>
        <v>0</v>
      </c>
      <c r="X80" s="14">
        <f>IF([3]基础状态预期!I92="",0,[3]基础状态预期!I92)</f>
        <v>0</v>
      </c>
      <c r="Y80" s="14">
        <f>IF([3]基础状态预期!J92="",0,[3]基础状态预期!J92)</f>
        <v>6</v>
      </c>
      <c r="Z80" s="14">
        <f>IF([3]基础状态预期!K92="",MIN(8,Z81),[3]基础状态预期!K92)</f>
        <v>8</v>
      </c>
      <c r="AA80" s="14">
        <f>IF([3]基础状态预期!L92="",MIN(8,AA81),[3]基础状态预期!L92)</f>
        <v>8</v>
      </c>
      <c r="AB80" s="14">
        <f>IF([3]基础状态预期!M92="",MIN(8,AB81),[3]基础状态预期!M92)</f>
        <v>8</v>
      </c>
      <c r="AC80" s="14">
        <f>IF([3]基础状态预期!N92="",MIN(8,AC81),[3]基础状态预期!N92)</f>
        <v>8</v>
      </c>
      <c r="AD80" s="14">
        <f>IF([3]基础状态预期!O92="",MIN(8,AD81),[3]基础状态预期!O92)</f>
        <v>8</v>
      </c>
    </row>
    <row r="81" spans="3:30" x14ac:dyDescent="0.15">
      <c r="C81" s="5">
        <v>78</v>
      </c>
      <c r="D81" s="5">
        <f>'[1]功能-实力'!BF82</f>
        <v>6837246</v>
      </c>
      <c r="E81" s="5">
        <f>'[1]功能-实力'!BG82</f>
        <v>7815510</v>
      </c>
      <c r="F81" s="5">
        <f>'[1]功能-实力'!BH82</f>
        <v>8852100</v>
      </c>
      <c r="G81" s="5">
        <f>'[1]功能-实力'!BI82</f>
        <v>11092050</v>
      </c>
      <c r="H81" s="5">
        <f>'[1]功能-实力'!BJ82</f>
        <v>11898732</v>
      </c>
      <c r="S81" s="12">
        <f>IF([3]基础状态预期!C93="","",[3]基础状态预期!C93)</f>
        <v>10234</v>
      </c>
      <c r="T81" s="12">
        <f>IF([3]基础状态预期!D93="","",[3]基础状态预期!D93)</f>
        <v>135.61521761503846</v>
      </c>
      <c r="U81" s="14">
        <f>IF([3]基础状态预期!F93="",0,[3]基础状态预期!F93)</f>
        <v>0</v>
      </c>
      <c r="V81" s="14">
        <f>IF([3]基础状态预期!G93="",0,[3]基础状态预期!G93)</f>
        <v>0</v>
      </c>
      <c r="W81" s="14">
        <f>IF([3]基础状态预期!H93="",0,[3]基础状态预期!H93)</f>
        <v>0</v>
      </c>
      <c r="X81" s="14">
        <f>IF([3]基础状态预期!I93="",0,[3]基础状态预期!I93)</f>
        <v>0</v>
      </c>
      <c r="Y81" s="14">
        <f>IF([3]基础状态预期!J93="",0,[3]基础状态预期!J93)</f>
        <v>6</v>
      </c>
      <c r="Z81" s="14">
        <f>IF([3]基础状态预期!K93="",MIN(8,Z82),[3]基础状态预期!K93)</f>
        <v>8</v>
      </c>
      <c r="AA81" s="14">
        <f>IF([3]基础状态预期!L93="",MIN(8,AA82),[3]基础状态预期!L93)</f>
        <v>8</v>
      </c>
      <c r="AB81" s="14">
        <f>IF([3]基础状态预期!M93="",MIN(8,AB82),[3]基础状态预期!M93)</f>
        <v>8</v>
      </c>
      <c r="AC81" s="14">
        <f>IF([3]基础状态预期!N93="",MIN(8,AC82),[3]基础状态预期!N93)</f>
        <v>8</v>
      </c>
      <c r="AD81" s="14">
        <f>IF([3]基础状态预期!O93="",MIN(8,AD82),[3]基础状态预期!O93)</f>
        <v>8</v>
      </c>
    </row>
    <row r="82" spans="3:30" x14ac:dyDescent="0.15">
      <c r="C82" s="5">
        <v>79</v>
      </c>
      <c r="D82" s="5">
        <f>'[1]功能-实力'!BF83</f>
        <v>7206294</v>
      </c>
      <c r="E82" s="5">
        <f>'[1]功能-实力'!BG83</f>
        <v>8283150</v>
      </c>
      <c r="F82" s="5">
        <f>'[1]功能-实力'!BH83</f>
        <v>9352434</v>
      </c>
      <c r="G82" s="5">
        <f>'[1]功能-实力'!BI83</f>
        <v>11790144</v>
      </c>
      <c r="H82" s="5">
        <f>'[1]功能-实力'!BJ83</f>
        <v>12651816</v>
      </c>
      <c r="S82" s="12">
        <f>IF([3]基础状态预期!C94="","",[3]基础状态预期!C94)</f>
        <v>13039</v>
      </c>
      <c r="T82" s="12">
        <f>IF([3]基础状态预期!D94="","",[3]基础状态预期!D94)</f>
        <v>139.08794136138388</v>
      </c>
      <c r="U82" s="14">
        <f>IF([3]基础状态预期!F94="",0,[3]基础状态预期!F94)</f>
        <v>0</v>
      </c>
      <c r="V82" s="14">
        <f>IF([3]基础状态预期!G94="",0,[3]基础状态预期!G94)</f>
        <v>0</v>
      </c>
      <c r="W82" s="14">
        <f>IF([3]基础状态预期!H94="",0,[3]基础状态预期!H94)</f>
        <v>0</v>
      </c>
      <c r="X82" s="14">
        <f>IF([3]基础状态预期!I94="",0,[3]基础状态预期!I94)</f>
        <v>0</v>
      </c>
      <c r="Y82" s="14">
        <f>IF([3]基础状态预期!J94="",0,[3]基础状态预期!J94)</f>
        <v>6</v>
      </c>
      <c r="Z82" s="14">
        <f>IF([3]基础状态预期!K94="",MIN(8,Z83),[3]基础状态预期!K94)</f>
        <v>8</v>
      </c>
      <c r="AA82" s="14">
        <f>IF([3]基础状态预期!L94="",MIN(8,AA83),[3]基础状态预期!L94)</f>
        <v>8</v>
      </c>
      <c r="AB82" s="14">
        <f>IF([3]基础状态预期!M94="",MIN(8,AB83),[3]基础状态预期!M94)</f>
        <v>8</v>
      </c>
      <c r="AC82" s="14">
        <f>IF([3]基础状态预期!N94="",MIN(8,AC83),[3]基础状态预期!N94)</f>
        <v>8</v>
      </c>
      <c r="AD82" s="14">
        <f>IF([3]基础状态预期!O94="",MIN(8,AD83),[3]基础状态预期!O94)</f>
        <v>8</v>
      </c>
    </row>
    <row r="83" spans="3:30" x14ac:dyDescent="0.15">
      <c r="C83" s="5">
        <v>80</v>
      </c>
      <c r="D83" s="5">
        <f>'[1]功能-实力'!BF84</f>
        <v>7591818</v>
      </c>
      <c r="E83" s="5">
        <f>'[1]功能-实力'!BG84</f>
        <v>8793300</v>
      </c>
      <c r="F83" s="5">
        <f>'[1]功能-实力'!BH84</f>
        <v>9867750</v>
      </c>
      <c r="G83" s="5">
        <f>'[1]功能-实力'!BI84</f>
        <v>12527832</v>
      </c>
      <c r="H83" s="5">
        <f>'[1]功能-实力'!BJ84</f>
        <v>13460526</v>
      </c>
      <c r="S83" s="12">
        <f>IF([3]基础状态预期!C95="","",[3]基础状态预期!C95)</f>
        <v>16609</v>
      </c>
      <c r="T83" s="12">
        <f>IF([3]基础状态预期!D95="","",[3]基础状态预期!D95)</f>
        <v>142.60670974426387</v>
      </c>
      <c r="U83" s="14">
        <f>IF([3]基础状态预期!F95="",0,[3]基础状态预期!F95)</f>
        <v>0</v>
      </c>
      <c r="V83" s="14">
        <f>IF([3]基础状态预期!G95="",0,[3]基础状态预期!G95)</f>
        <v>0</v>
      </c>
      <c r="W83" s="14">
        <f>IF([3]基础状态预期!H95="",0,[3]基础状态预期!H95)</f>
        <v>0</v>
      </c>
      <c r="X83" s="14">
        <f>IF([3]基础状态预期!I95="",0,[3]基础状态预期!I95)</f>
        <v>0</v>
      </c>
      <c r="Y83" s="14">
        <f>IF([3]基础状态预期!J95="",0,[3]基础状态预期!J95)</f>
        <v>6</v>
      </c>
      <c r="Z83" s="14">
        <f>IF([3]基础状态预期!K95="",MIN(8,Z84),[3]基础状态预期!K95)</f>
        <v>8</v>
      </c>
      <c r="AA83" s="14">
        <f>IF([3]基础状态预期!L95="",MIN(8,AA84),[3]基础状态预期!L95)</f>
        <v>8</v>
      </c>
      <c r="AB83" s="14">
        <f>IF([3]基础状态预期!M95="",MIN(8,AB84),[3]基础状态预期!M95)</f>
        <v>8</v>
      </c>
      <c r="AC83" s="14">
        <f>IF([3]基础状态预期!N95="",MIN(8,AC84),[3]基础状态预期!N95)</f>
        <v>8</v>
      </c>
      <c r="AD83" s="14">
        <f>IF([3]基础状态预期!O95="",MIN(8,AD84),[3]基础状态预期!O95)</f>
        <v>8</v>
      </c>
    </row>
    <row r="84" spans="3:30" x14ac:dyDescent="0.15">
      <c r="C84" s="5">
        <v>81</v>
      </c>
      <c r="D84" s="5">
        <f>'[1]功能-实力'!BF85</f>
        <v>7998912</v>
      </c>
      <c r="E84" s="5">
        <f>'[1]功能-实力'!BG85</f>
        <v>9374640</v>
      </c>
      <c r="F84" s="5">
        <f>'[1]功能-实力'!BH85</f>
        <v>10450206</v>
      </c>
      <c r="G84" s="5">
        <f>'[1]功能-实力'!BI85</f>
        <v>13491456</v>
      </c>
      <c r="H84" s="5">
        <f>'[1]功能-实力'!BJ85</f>
        <v>14500794</v>
      </c>
      <c r="S84" s="12">
        <f>IF([3]基础状态预期!C96="","",[3]基础状态预期!C96)</f>
        <v>21148</v>
      </c>
      <c r="T84" s="12">
        <f>IF([3]基础状态预期!D96="","",[3]基础状态预期!D96)</f>
        <v>146.07830147206653</v>
      </c>
      <c r="U84" s="14">
        <f>IF([3]基础状态预期!F96="",0,[3]基础状态预期!F96)</f>
        <v>0</v>
      </c>
      <c r="V84" s="14">
        <f>IF([3]基础状态预期!G96="",0,[3]基础状态预期!G96)</f>
        <v>0</v>
      </c>
      <c r="W84" s="14">
        <f>IF([3]基础状态预期!H96="",0,[3]基础状态预期!H96)</f>
        <v>0</v>
      </c>
      <c r="X84" s="14">
        <f>IF([3]基础状态预期!I96="",0,[3]基础状态预期!I96)</f>
        <v>0</v>
      </c>
      <c r="Y84" s="14">
        <f>IF([3]基础状态预期!J96="",0,[3]基础状态预期!J96)</f>
        <v>6</v>
      </c>
      <c r="Z84" s="14">
        <f>IF([3]基础状态预期!K96="",MIN(8,Z85),[3]基础状态预期!K96)</f>
        <v>8</v>
      </c>
      <c r="AA84" s="14">
        <f>IF([3]基础状态预期!L96="",MIN(8,AA85),[3]基础状态预期!L96)</f>
        <v>8</v>
      </c>
      <c r="AB84" s="14">
        <f>IF([3]基础状态预期!M96="",MIN(8,AB85),[3]基础状态预期!M96)</f>
        <v>8</v>
      </c>
      <c r="AC84" s="14">
        <f>IF([3]基础状态预期!N96="",MIN(8,AC85),[3]基础状态预期!N96)</f>
        <v>8</v>
      </c>
      <c r="AD84" s="14">
        <f>IF([3]基础状态预期!O96="",MIN(8,AD85),[3]基础状态预期!O96)</f>
        <v>8</v>
      </c>
    </row>
    <row r="85" spans="3:30" x14ac:dyDescent="0.15">
      <c r="C85" s="5">
        <v>82</v>
      </c>
      <c r="D85" s="5">
        <f>'[1]功能-实力'!BF86</f>
        <v>8473962</v>
      </c>
      <c r="E85" s="5">
        <f>'[1]功能-实力'!BG86</f>
        <v>9940014</v>
      </c>
      <c r="F85" s="5">
        <f>'[1]功能-实力'!BH86</f>
        <v>11067426</v>
      </c>
      <c r="G85" s="5">
        <f>'[1]功能-实力'!BI86</f>
        <v>14520438</v>
      </c>
      <c r="H85" s="5">
        <f>'[1]功能-实力'!BJ86</f>
        <v>15569310</v>
      </c>
      <c r="S85" s="12">
        <f>IF([3]基础状态预期!C97="","",[3]基础状态预期!C97)</f>
        <v>26962</v>
      </c>
      <c r="T85" s="12">
        <f>IF([3]基础状态预期!D97="","",[3]基础状态预期!D97)</f>
        <v>149.61701338734093</v>
      </c>
      <c r="U85" s="14">
        <f>IF([3]基础状态预期!F97="",0,[3]基础状态预期!F97)</f>
        <v>0</v>
      </c>
      <c r="V85" s="14">
        <f>IF([3]基础状态预期!G97="",0,[3]基础状态预期!G97)</f>
        <v>0</v>
      </c>
      <c r="W85" s="14">
        <f>IF([3]基础状态预期!H97="",0,[3]基础状态预期!H97)</f>
        <v>0</v>
      </c>
      <c r="X85" s="14">
        <f>IF([3]基础状态预期!I97="",0,[3]基础状态预期!I97)</f>
        <v>0</v>
      </c>
      <c r="Y85" s="14">
        <f>IF([3]基础状态预期!J97="",0,[3]基础状态预期!J97)</f>
        <v>6</v>
      </c>
      <c r="Z85" s="14">
        <f>IF([3]基础状态预期!K97="",MIN(8,Z86),[3]基础状态预期!K97)</f>
        <v>8</v>
      </c>
      <c r="AA85" s="14">
        <f>IF([3]基础状态预期!L97="",MIN(8,AA86),[3]基础状态预期!L97)</f>
        <v>8</v>
      </c>
      <c r="AB85" s="14">
        <f>IF([3]基础状态预期!M97="",MIN(8,AB86),[3]基础状态预期!M97)</f>
        <v>8</v>
      </c>
      <c r="AC85" s="14">
        <f>IF([3]基础状态预期!N97="",MIN(8,AC86),[3]基础状态预期!N97)</f>
        <v>8</v>
      </c>
      <c r="AD85" s="14">
        <f>IF([3]基础状态预期!O97="",MIN(8,AD86),[3]基础状态预期!O97)</f>
        <v>8</v>
      </c>
    </row>
    <row r="86" spans="3:30" x14ac:dyDescent="0.15">
      <c r="C86" s="5">
        <v>83</v>
      </c>
      <c r="D86" s="5">
        <f>'[1]功能-实力'!BF87</f>
        <v>8962314</v>
      </c>
      <c r="E86" s="5">
        <f>'[1]功能-实力'!BG87</f>
        <v>10490964</v>
      </c>
      <c r="F86" s="5">
        <f>'[1]功能-实力'!BH87</f>
        <v>11759286</v>
      </c>
      <c r="G86" s="5">
        <f>'[1]功能-实力'!BI87</f>
        <v>15579732</v>
      </c>
      <c r="H86" s="5">
        <f>'[1]功能-实力'!BJ87</f>
        <v>16522008</v>
      </c>
      <c r="S86" s="12">
        <f>IF([3]基础状态预期!C98="","",[3]基础状态预期!C98)</f>
        <v>34357</v>
      </c>
      <c r="T86" s="12">
        <f>IF([3]基础状态预期!D98="","",[3]基础状态预期!D98)</f>
        <v>153.01012120353457</v>
      </c>
      <c r="U86" s="14">
        <f>IF([3]基础状态预期!F98="",0,[3]基础状态预期!F98)</f>
        <v>0</v>
      </c>
      <c r="V86" s="14">
        <f>IF([3]基础状态预期!G98="",0,[3]基础状态预期!G98)</f>
        <v>0</v>
      </c>
      <c r="W86" s="14">
        <f>IF([3]基础状态预期!H98="",0,[3]基础状态预期!H98)</f>
        <v>0</v>
      </c>
      <c r="X86" s="14">
        <f>IF([3]基础状态预期!I98="",0,[3]基础状态预期!I98)</f>
        <v>0</v>
      </c>
      <c r="Y86" s="14">
        <f>IF([3]基础状态预期!J98="",0,[3]基础状态预期!J98)</f>
        <v>6</v>
      </c>
      <c r="Z86" s="14">
        <f>IF([3]基础状态预期!K98="",MIN(8,Z87),[3]基础状态预期!K98)</f>
        <v>8</v>
      </c>
      <c r="AA86" s="14">
        <f>IF([3]基础状态预期!L98="",MIN(8,AA87),[3]基础状态预期!L98)</f>
        <v>8</v>
      </c>
      <c r="AB86" s="14">
        <f>IF([3]基础状态预期!M98="",MIN(8,AB87),[3]基础状态预期!M98)</f>
        <v>8</v>
      </c>
      <c r="AC86" s="14">
        <f>IF([3]基础状态预期!N98="",MIN(8,AC87),[3]基础状态预期!N98)</f>
        <v>8</v>
      </c>
      <c r="AD86" s="14">
        <f>IF([3]基础状态预期!O98="",MIN(8,AD87),[3]基础状态预期!O98)</f>
        <v>8</v>
      </c>
    </row>
    <row r="87" spans="3:30" x14ac:dyDescent="0.15">
      <c r="C87" s="5">
        <v>84</v>
      </c>
      <c r="D87" s="5">
        <f>'[1]功能-实力'!BF88</f>
        <v>9470388</v>
      </c>
      <c r="E87" s="5">
        <f>'[1]功能-实力'!BG88</f>
        <v>11081778</v>
      </c>
      <c r="F87" s="5">
        <f>'[1]功能-实力'!BH88</f>
        <v>12496626</v>
      </c>
      <c r="G87" s="5">
        <f>'[1]功能-实力'!BI88</f>
        <v>16675014</v>
      </c>
      <c r="H87" s="5">
        <f>'[1]功能-实力'!BJ88</f>
        <v>17589486</v>
      </c>
      <c r="S87" s="12">
        <f>IF([3]基础状态预期!C99="","",[3]基础状态预期!C99)</f>
        <v>43792</v>
      </c>
      <c r="T87" s="12">
        <f>IF([3]基础状态预期!D99="","",[3]基础状态预期!D99)</f>
        <v>154.95970315183646</v>
      </c>
      <c r="U87" s="14">
        <f>IF([3]基础状态预期!F99="",0,[3]基础状态预期!F99)</f>
        <v>0</v>
      </c>
      <c r="V87" s="14">
        <f>IF([3]基础状态预期!G99="",0,[3]基础状态预期!G99)</f>
        <v>0</v>
      </c>
      <c r="W87" s="14">
        <f>IF([3]基础状态预期!H99="",0,[3]基础状态预期!H99)</f>
        <v>0</v>
      </c>
      <c r="X87" s="14">
        <f>IF([3]基础状态预期!I99="",0,[3]基础状态预期!I99)</f>
        <v>0</v>
      </c>
      <c r="Y87" s="14">
        <f>IF([3]基础状态预期!J99="",0,[3]基础状态预期!J99)</f>
        <v>6</v>
      </c>
      <c r="Z87" s="14">
        <f>IF([3]基础状态预期!K99="",MIN(8,Z88),[3]基础状态预期!K99)</f>
        <v>8</v>
      </c>
      <c r="AA87" s="14">
        <f>IF([3]基础状态预期!L99="",MIN(8,AA88),[3]基础状态预期!L99)</f>
        <v>8</v>
      </c>
      <c r="AB87" s="14">
        <f>IF([3]基础状态预期!M99="",MIN(8,AB88),[3]基础状态预期!M99)</f>
        <v>8</v>
      </c>
      <c r="AC87" s="14">
        <f>IF([3]基础状态预期!N99="",MIN(8,AC88),[3]基础状态预期!N99)</f>
        <v>8</v>
      </c>
      <c r="AD87" s="14">
        <f>IF([3]基础状态预期!O99="",MIN(8,AD88),[3]基础状态预期!O99)</f>
        <v>8</v>
      </c>
    </row>
    <row r="88" spans="3:30" x14ac:dyDescent="0.15">
      <c r="C88" s="5">
        <v>85</v>
      </c>
      <c r="D88" s="5">
        <f>'[1]功能-实力'!BF89</f>
        <v>9947994</v>
      </c>
      <c r="E88" s="5">
        <f>'[1]功能-实力'!BG89</f>
        <v>11742942</v>
      </c>
      <c r="F88" s="5">
        <f>'[1]功能-实力'!BH89</f>
        <v>13311852</v>
      </c>
      <c r="G88" s="5">
        <f>'[1]功能-实力'!BI89</f>
        <v>17662194</v>
      </c>
      <c r="H88" s="5">
        <f>'[1]功能-实力'!BJ89</f>
        <v>18698364</v>
      </c>
      <c r="S88" s="12">
        <f>IF([3]基础状态预期!C100="","",[3]基础状态预期!C100)</f>
        <v>55675</v>
      </c>
      <c r="T88" s="12">
        <f>IF([3]基础状态预期!D100="","",[3]基础状态预期!D100)</f>
        <v>157.63974470288184</v>
      </c>
      <c r="U88" s="14">
        <f>IF([3]基础状态预期!F100="",0,[3]基础状态预期!F100)</f>
        <v>0</v>
      </c>
      <c r="V88" s="14">
        <f>IF([3]基础状态预期!G100="",0,[3]基础状态预期!G100)</f>
        <v>0</v>
      </c>
      <c r="W88" s="14">
        <f>IF([3]基础状态预期!H100="",0,[3]基础状态预期!H100)</f>
        <v>0</v>
      </c>
      <c r="X88" s="14">
        <f>IF([3]基础状态预期!I100="",0,[3]基础状态预期!I100)</f>
        <v>0</v>
      </c>
      <c r="Y88" s="14">
        <f>IF([3]基础状态预期!J100="",0,[3]基础状态预期!J100)</f>
        <v>6</v>
      </c>
      <c r="Z88" s="14">
        <f>IF([3]基础状态预期!K100="",MIN(8,Z89),[3]基础状态预期!K100)</f>
        <v>8</v>
      </c>
      <c r="AA88" s="14">
        <f>IF([3]基础状态预期!L100="",MIN(8,AA89),[3]基础状态预期!L100)</f>
        <v>8</v>
      </c>
      <c r="AB88" s="14">
        <f>IF([3]基础状态预期!M100="",MIN(8,AB89),[3]基础状态预期!M100)</f>
        <v>8</v>
      </c>
      <c r="AC88" s="14">
        <f>IF([3]基础状态预期!N100="",MIN(8,AC89),[3]基础状态预期!N100)</f>
        <v>8</v>
      </c>
      <c r="AD88" s="14">
        <f>IF([3]基础状态预期!O100="",MIN(8,AD89),[3]基础状态预期!O100)</f>
        <v>8</v>
      </c>
    </row>
    <row r="89" spans="3:30" x14ac:dyDescent="0.15">
      <c r="C89" s="5">
        <v>86</v>
      </c>
      <c r="D89" s="5">
        <f>'[1]功能-实力'!BF90</f>
        <v>10503738</v>
      </c>
      <c r="E89" s="5">
        <f>'[1]功能-实力'!BG90</f>
        <v>12486912</v>
      </c>
      <c r="F89" s="5">
        <f>'[1]功能-实力'!BH90</f>
        <v>14185926</v>
      </c>
      <c r="G89" s="5">
        <f>'[1]功能-实力'!BI90</f>
        <v>18664938</v>
      </c>
      <c r="H89" s="5">
        <f>'[1]功能-实力'!BJ90</f>
        <v>19665288</v>
      </c>
      <c r="S89" s="13"/>
      <c r="T89" s="13"/>
    </row>
    <row r="90" spans="3:30" x14ac:dyDescent="0.15">
      <c r="C90" s="5">
        <v>87</v>
      </c>
      <c r="D90" s="5">
        <f>'[1]功能-实力'!BF91</f>
        <v>11122080</v>
      </c>
      <c r="E90" s="5">
        <f>'[1]功能-实力'!BG91</f>
        <v>13262310</v>
      </c>
      <c r="F90" s="5">
        <f>'[1]功能-实力'!BH91</f>
        <v>15057924</v>
      </c>
      <c r="G90" s="5">
        <f>'[1]功能-实力'!BI91</f>
        <v>19678122</v>
      </c>
      <c r="H90" s="5">
        <f>'[1]功能-实力'!BJ91</f>
        <v>20700282</v>
      </c>
      <c r="S90" s="13"/>
      <c r="T90" s="13"/>
    </row>
    <row r="91" spans="3:30" x14ac:dyDescent="0.15">
      <c r="C91" s="5">
        <v>88</v>
      </c>
      <c r="D91" s="5">
        <f>'[1]功能-实力'!BF92</f>
        <v>11679168</v>
      </c>
      <c r="E91" s="5">
        <f>'[1]功能-实力'!BG92</f>
        <v>14063940</v>
      </c>
      <c r="F91" s="5">
        <f>'[1]功能-实力'!BH92</f>
        <v>15989436</v>
      </c>
      <c r="G91" s="5">
        <f>'[1]功能-实力'!BI92</f>
        <v>20694960</v>
      </c>
      <c r="H91" s="5">
        <f>'[1]功能-实力'!BJ92</f>
        <v>21716076</v>
      </c>
      <c r="S91" s="13"/>
      <c r="T91" s="13"/>
    </row>
    <row r="92" spans="3:30" x14ac:dyDescent="0.15">
      <c r="C92" s="5">
        <v>89</v>
      </c>
      <c r="D92" s="5">
        <f>'[1]功能-实力'!BF93</f>
        <v>12159522</v>
      </c>
      <c r="E92" s="5">
        <f>'[1]功能-实力'!BG93</f>
        <v>14800722</v>
      </c>
      <c r="F92" s="5">
        <f>'[1]功能-实力'!BH93</f>
        <v>16941942</v>
      </c>
      <c r="G92" s="5">
        <f>'[1]功能-实力'!BI93</f>
        <v>21744762</v>
      </c>
      <c r="H92" s="5">
        <f>'[1]功能-实力'!BJ93</f>
        <v>22696080</v>
      </c>
      <c r="S92" s="17" t="s">
        <v>58</v>
      </c>
      <c r="T92" s="17"/>
    </row>
    <row r="93" spans="3:30" x14ac:dyDescent="0.15">
      <c r="C93" s="5">
        <v>90</v>
      </c>
      <c r="D93" s="5">
        <f>'[1]功能-实力'!BF94</f>
        <v>12616074</v>
      </c>
      <c r="E93" s="5">
        <f>'[1]功能-实力'!BG94</f>
        <v>15503874</v>
      </c>
      <c r="F93" s="5">
        <f>'[1]功能-实力'!BH94</f>
        <v>18005070</v>
      </c>
      <c r="G93" s="5">
        <f>'[1]功能-实力'!BI94</f>
        <v>22780392</v>
      </c>
      <c r="H93" s="5">
        <f>'[1]功能-实力'!BJ94</f>
        <v>23732160</v>
      </c>
      <c r="S93" s="17"/>
      <c r="T93" s="17"/>
      <c r="U93" s="17" t="s">
        <v>67</v>
      </c>
      <c r="V93" s="17"/>
      <c r="W93" s="17"/>
      <c r="X93" s="17"/>
      <c r="Y93" s="17"/>
      <c r="Z93" s="17" t="s">
        <v>61</v>
      </c>
      <c r="AA93" s="17"/>
      <c r="AB93" s="17"/>
      <c r="AC93" s="17"/>
      <c r="AD93" s="17"/>
    </row>
    <row r="94" spans="3:30" x14ac:dyDescent="0.15">
      <c r="C94" s="5">
        <v>91</v>
      </c>
      <c r="D94" s="5">
        <f>'[1]功能-实力'!BF95</f>
        <v>13100052</v>
      </c>
      <c r="E94" s="5">
        <f>'[1]功能-实力'!BG95</f>
        <v>16326048</v>
      </c>
      <c r="F94" s="5">
        <f>'[1]功能-实力'!BH95</f>
        <v>18893484</v>
      </c>
      <c r="G94" s="5">
        <f>'[1]功能-实力'!BI95</f>
        <v>23760276</v>
      </c>
      <c r="H94" s="5">
        <f>'[1]功能-实力'!BJ95</f>
        <v>24821616</v>
      </c>
      <c r="S94" s="12" t="s">
        <v>55</v>
      </c>
      <c r="T94" s="12" t="s">
        <v>56</v>
      </c>
      <c r="U94" s="12" t="s">
        <v>62</v>
      </c>
      <c r="V94" s="12" t="s">
        <v>63</v>
      </c>
      <c r="W94" s="12" t="s">
        <v>64</v>
      </c>
      <c r="X94" s="12" t="s">
        <v>65</v>
      </c>
      <c r="Y94" s="12" t="s">
        <v>66</v>
      </c>
      <c r="Z94" s="12" t="s">
        <v>62</v>
      </c>
      <c r="AA94" s="12" t="s">
        <v>63</v>
      </c>
      <c r="AB94" s="12" t="s">
        <v>64</v>
      </c>
      <c r="AC94" s="12" t="s">
        <v>65</v>
      </c>
      <c r="AD94" s="12" t="s">
        <v>66</v>
      </c>
    </row>
    <row r="95" spans="3:30" x14ac:dyDescent="0.15">
      <c r="C95" s="5">
        <v>92</v>
      </c>
      <c r="D95" s="5">
        <f>'[1]功能-实力'!BF96</f>
        <v>13656246</v>
      </c>
      <c r="E95" s="5">
        <f>'[1]功能-实力'!BG96</f>
        <v>17131674</v>
      </c>
      <c r="F95" s="5">
        <f>'[1]功能-实力'!BH96</f>
        <v>19715808</v>
      </c>
      <c r="G95" s="5">
        <f>'[1]功能-实力'!BI96</f>
        <v>24802782</v>
      </c>
      <c r="H95" s="5">
        <f>'[1]功能-实力'!BJ96</f>
        <v>25859334</v>
      </c>
      <c r="S95" s="12">
        <f>IF([3]基础状态预期!C107="","",[3]基础状态预期!C107)</f>
        <v>0.7</v>
      </c>
      <c r="T95" s="12">
        <f>IF([3]基础状态预期!D107="","",[3]基础状态预期!D107)</f>
        <v>10.099965341977441</v>
      </c>
      <c r="U95" s="14">
        <f>IF([3]基础状态预期!F107="",0,[3]基础状态预期!F107)</f>
        <v>0</v>
      </c>
      <c r="V95" s="14">
        <f>IF([3]基础状态预期!G107="",0,[3]基础状态预期!G107)</f>
        <v>0</v>
      </c>
      <c r="W95" s="14">
        <f>IF([3]基础状态预期!H107="",0,[3]基础状态预期!H107)</f>
        <v>2</v>
      </c>
      <c r="X95" s="14">
        <f>IF([3]基础状态预期!I107="",0,[3]基础状态预期!I107)</f>
        <v>4</v>
      </c>
      <c r="Y95" s="14">
        <f>IF([3]基础状态预期!J107="",0,[3]基础状态预期!J107)</f>
        <v>0</v>
      </c>
      <c r="Z95" s="14">
        <f>IF([3]基础状态预期!K107="",MIN(8,Z96),[3]基础状态预期!K107)</f>
        <v>8</v>
      </c>
      <c r="AA95" s="14">
        <f>IF([3]基础状态预期!L107="",MIN(8,AA96),[3]基础状态预期!L107)</f>
        <v>8</v>
      </c>
      <c r="AB95" s="14">
        <f>IF([3]基础状态预期!M107="",MIN(8,AB96),[3]基础状态预期!M107)</f>
        <v>1.0326149957378159</v>
      </c>
      <c r="AC95" s="14">
        <f>IF([3]基础状态预期!N107="",MIN(8,AC96),[3]基础状态预期!N107)</f>
        <v>0</v>
      </c>
      <c r="AD95" s="14">
        <f>IF([3]基础状态预期!O107="",MIN(8,AD96),[3]基础状态预期!O107)</f>
        <v>0</v>
      </c>
    </row>
    <row r="96" spans="3:30" x14ac:dyDescent="0.15">
      <c r="C96" s="5">
        <v>93</v>
      </c>
      <c r="D96" s="5">
        <f>'[1]功能-实力'!BF97</f>
        <v>14197410</v>
      </c>
      <c r="E96" s="5">
        <f>'[1]功能-实力'!BG97</f>
        <v>17953662</v>
      </c>
      <c r="F96" s="5">
        <f>'[1]功能-实力'!BH97</f>
        <v>20587878</v>
      </c>
      <c r="G96" s="5">
        <f>'[1]功能-实力'!BI97</f>
        <v>25890600</v>
      </c>
      <c r="H96" s="5">
        <f>'[1]功能-实力'!BJ97</f>
        <v>26910522</v>
      </c>
      <c r="S96" s="12">
        <f>IF([3]基础状态预期!C108="","",[3]基础状态预期!C108)</f>
        <v>2.0999999999999996</v>
      </c>
      <c r="T96" s="12">
        <f>IF([3]基础状态预期!D108="","",[3]基础状态预期!D108)</f>
        <v>19.800198258084681</v>
      </c>
      <c r="U96" s="14">
        <f>IF([3]基础状态预期!F108="",0,[3]基础状态预期!F108)</f>
        <v>0</v>
      </c>
      <c r="V96" s="14">
        <f>IF([3]基础状态预期!G108="",0,[3]基础状态预期!G108)</f>
        <v>0</v>
      </c>
      <c r="W96" s="14">
        <f>IF([3]基础状态预期!H108="",0,[3]基础状态预期!H108)</f>
        <v>0</v>
      </c>
      <c r="X96" s="14">
        <f>IF([3]基础状态预期!I108="",0,[3]基础状态预期!I108)</f>
        <v>6</v>
      </c>
      <c r="Y96" s="14">
        <f>IF([3]基础状态预期!J108="",0,[3]基础状态预期!J108)</f>
        <v>0</v>
      </c>
      <c r="Z96" s="14">
        <f>IF([3]基础状态预期!K108="",MIN(8,Z97),[3]基础状态预期!K108)</f>
        <v>8</v>
      </c>
      <c r="AA96" s="14">
        <f>IF([3]基础状态预期!L108="",MIN(8,AA97),[3]基础状态预期!L108)</f>
        <v>8</v>
      </c>
      <c r="AB96" s="14">
        <f>IF([3]基础状态预期!M108="",MIN(8,AB97),[3]基础状态预期!M108)</f>
        <v>8</v>
      </c>
      <c r="AC96" s="14">
        <f>IF([3]基础状态预期!N108="",MIN(8,AC97),[3]基础状态预期!N108)</f>
        <v>0</v>
      </c>
      <c r="AD96" s="14">
        <f>IF([3]基础状态预期!O108="",MIN(8,AD97),[3]基础状态预期!O108)</f>
        <v>0</v>
      </c>
    </row>
    <row r="97" spans="3:30" x14ac:dyDescent="0.15">
      <c r="C97" s="5">
        <v>94</v>
      </c>
      <c r="D97" s="5">
        <f>'[1]功能-实力'!BF98</f>
        <v>14731860</v>
      </c>
      <c r="E97" s="5">
        <f>'[1]功能-实力'!BG98</f>
        <v>18714858</v>
      </c>
      <c r="F97" s="5">
        <f>'[1]功能-实力'!BH98</f>
        <v>21530886</v>
      </c>
      <c r="G97" s="5">
        <f>'[1]功能-实力'!BI98</f>
        <v>26996544</v>
      </c>
      <c r="H97" s="5">
        <f>'[1]功能-实力'!BJ98</f>
        <v>27983832</v>
      </c>
      <c r="S97" s="12">
        <f>IF([3]基础状态预期!C109="","",[3]基础状态预期!C109)</f>
        <v>4.1999999999999993</v>
      </c>
      <c r="T97" s="12">
        <f>IF([3]基础状态预期!D109="","",[3]基础状态预期!D109)</f>
        <v>27.769105021676069</v>
      </c>
      <c r="U97" s="14">
        <f>IF([3]基础状态预期!F109="",0,[3]基础状态预期!F109)</f>
        <v>0</v>
      </c>
      <c r="V97" s="14">
        <f>IF([3]基础状态预期!G109="",0,[3]基础状态预期!G109)</f>
        <v>0</v>
      </c>
      <c r="W97" s="14">
        <f>IF([3]基础状态预期!H109="",0,[3]基础状态预期!H109)</f>
        <v>0</v>
      </c>
      <c r="X97" s="14">
        <f>IF([3]基础状态预期!I109="",0,[3]基础状态预期!I109)</f>
        <v>6</v>
      </c>
      <c r="Y97" s="14">
        <f>IF([3]基础状态预期!J109="",0,[3]基础状态预期!J109)</f>
        <v>0</v>
      </c>
      <c r="Z97" s="14">
        <f>IF([3]基础状态预期!K109="",MIN(8,Z98),[3]基础状态预期!K109)</f>
        <v>8</v>
      </c>
      <c r="AA97" s="14">
        <f>IF([3]基础状态预期!L109="",MIN(8,AA98),[3]基础状态预期!L109)</f>
        <v>8</v>
      </c>
      <c r="AB97" s="14">
        <f>IF([3]基础状态预期!M109="",MIN(8,AB98),[3]基础状态预期!M109)</f>
        <v>8</v>
      </c>
      <c r="AC97" s="14">
        <f>IF([3]基础状态预期!N109="",MIN(8,AC98),[3]基础状态预期!N109)</f>
        <v>0.50487719990469726</v>
      </c>
      <c r="AD97" s="14">
        <f>IF([3]基础状态预期!O109="",MIN(8,AD98),[3]基础状态预期!O109)</f>
        <v>0</v>
      </c>
    </row>
    <row r="98" spans="3:30" x14ac:dyDescent="0.15">
      <c r="C98" s="5">
        <v>95</v>
      </c>
      <c r="D98" s="5">
        <f>'[1]功能-实力'!BF99</f>
        <v>15294642</v>
      </c>
      <c r="E98" s="5">
        <f>'[1]功能-实力'!BG99</f>
        <v>19516122</v>
      </c>
      <c r="F98" s="5">
        <f>'[1]功能-实力'!BH99</f>
        <v>22450212</v>
      </c>
      <c r="G98" s="5">
        <f>'[1]功能-实力'!BI99</f>
        <v>27991794</v>
      </c>
      <c r="H98" s="5">
        <f>'[1]功能-实力'!BJ99</f>
        <v>29108670</v>
      </c>
      <c r="S98" s="12">
        <f>IF([3]基础状态预期!C110="","",[3]基础状态预期!C110)</f>
        <v>7</v>
      </c>
      <c r="T98" s="12">
        <f>IF([3]基础状态预期!D110="","",[3]基础状态预期!D110)</f>
        <v>34.192155176139416</v>
      </c>
      <c r="U98" s="14">
        <f>IF([3]基础状态预期!F110="",0,[3]基础状态预期!F110)</f>
        <v>0</v>
      </c>
      <c r="V98" s="14">
        <f>IF([3]基础状态预期!G110="",0,[3]基础状态预期!G110)</f>
        <v>0</v>
      </c>
      <c r="W98" s="14">
        <f>IF([3]基础状态预期!H110="",0,[3]基础状态预期!H110)</f>
        <v>0</v>
      </c>
      <c r="X98" s="14">
        <f>IF([3]基础状态预期!I110="",0,[3]基础状态预期!I110)</f>
        <v>6</v>
      </c>
      <c r="Y98" s="14">
        <f>IF([3]基础状态预期!J110="",0,[3]基础状态预期!J110)</f>
        <v>0</v>
      </c>
      <c r="Z98" s="14">
        <f>IF([3]基础状态预期!K110="",MIN(8,Z99),[3]基础状态预期!K110)</f>
        <v>8</v>
      </c>
      <c r="AA98" s="14">
        <f>IF([3]基础状态预期!L110="",MIN(8,AA99),[3]基础状态预期!L110)</f>
        <v>8</v>
      </c>
      <c r="AB98" s="14">
        <f>IF([3]基础状态预期!M110="",MIN(8,AB99),[3]基础状态预期!M110)</f>
        <v>8</v>
      </c>
      <c r="AC98" s="14">
        <f>IF([3]基础状态预期!N110="",MIN(8,AC99),[3]基础状态预期!N110)</f>
        <v>1.2365341482786838</v>
      </c>
      <c r="AD98" s="14">
        <f>IF([3]基础状态预期!O110="",MIN(8,AD99),[3]基础状态预期!O110)</f>
        <v>0</v>
      </c>
    </row>
    <row r="99" spans="3:30" x14ac:dyDescent="0.15">
      <c r="C99" s="5">
        <v>96</v>
      </c>
      <c r="D99" s="5">
        <f>'[1]功能-实力'!BF100</f>
        <v>15897222</v>
      </c>
      <c r="E99" s="5">
        <f>'[1]功能-实力'!BG100</f>
        <v>20473518</v>
      </c>
      <c r="F99" s="5">
        <f>'[1]功能-实力'!BH100</f>
        <v>23320272</v>
      </c>
      <c r="G99" s="5">
        <f>'[1]功能-实力'!BI100</f>
        <v>29063004</v>
      </c>
      <c r="H99" s="5">
        <f>'[1]功能-实力'!BJ100</f>
        <v>30279324</v>
      </c>
      <c r="S99" s="12">
        <f>IF([3]基础状态预期!C111="","",[3]基础状态预期!C111)</f>
        <v>10.5</v>
      </c>
      <c r="T99" s="12">
        <f>IF([3]基础状态预期!D111="","",[3]基础状态预期!D111)</f>
        <v>39.631851677253941</v>
      </c>
      <c r="U99" s="14">
        <f>IF([3]基础状态预期!F111="",0,[3]基础状态预期!F111)</f>
        <v>0</v>
      </c>
      <c r="V99" s="14">
        <f>IF([3]基础状态预期!G111="",0,[3]基础状态预期!G111)</f>
        <v>0</v>
      </c>
      <c r="W99" s="14">
        <f>IF([3]基础状态预期!H111="",0,[3]基础状态预期!H111)</f>
        <v>0</v>
      </c>
      <c r="X99" s="14">
        <f>IF([3]基础状态预期!I111="",0,[3]基础状态预期!I111)</f>
        <v>6</v>
      </c>
      <c r="Y99" s="14">
        <f>IF([3]基础状态预期!J111="",0,[3]基础状态预期!J111)</f>
        <v>0</v>
      </c>
      <c r="Z99" s="14">
        <f>IF([3]基础状态预期!K111="",MIN(8,Z100),[3]基础状态预期!K111)</f>
        <v>8</v>
      </c>
      <c r="AA99" s="14">
        <f>IF([3]基础状态预期!L111="",MIN(8,AA100),[3]基础状态预期!L111)</f>
        <v>8</v>
      </c>
      <c r="AB99" s="14">
        <f>IF([3]基础状态预期!M111="",MIN(8,AB100),[3]基础状态预期!M111)</f>
        <v>8</v>
      </c>
      <c r="AC99" s="14">
        <f>IF([3]基础状态预期!N111="",MIN(8,AC100),[3]基础状态预期!N111)</f>
        <v>1.9019352566302885</v>
      </c>
      <c r="AD99" s="14">
        <f>IF([3]基础状态预期!O111="",MIN(8,AD100),[3]基础状态预期!O111)</f>
        <v>0</v>
      </c>
    </row>
    <row r="100" spans="3:30" x14ac:dyDescent="0.15">
      <c r="C100" s="5">
        <v>97</v>
      </c>
      <c r="D100" s="5">
        <f>'[1]功能-实力'!BF101</f>
        <v>16567974</v>
      </c>
      <c r="E100" s="5">
        <f>'[1]功能-实力'!BG101</f>
        <v>21220404</v>
      </c>
      <c r="F100" s="5">
        <f>'[1]功能-实力'!BH101</f>
        <v>24256206</v>
      </c>
      <c r="G100" s="5">
        <f>'[1]功能-实力'!BI101</f>
        <v>30195174</v>
      </c>
      <c r="H100" s="5">
        <f>'[1]功能-实力'!BJ101</f>
        <v>31511208</v>
      </c>
      <c r="S100" s="12">
        <f>IF([3]基础状态预期!C112="","",[3]基础状态预期!C112)</f>
        <v>14</v>
      </c>
      <c r="T100" s="12">
        <f>IF([3]基础状态预期!D112="","",[3]基础状态预期!D112)</f>
        <v>43.484929789964411</v>
      </c>
      <c r="U100" s="14">
        <f>IF([3]基础状态预期!F112="",0,[3]基础状态预期!F112)</f>
        <v>0</v>
      </c>
      <c r="V100" s="14">
        <f>IF([3]基础状态预期!G112="",0,[3]基础状态预期!G112)</f>
        <v>0</v>
      </c>
      <c r="W100" s="14">
        <f>IF([3]基础状态预期!H112="",0,[3]基础状态预期!H112)</f>
        <v>0</v>
      </c>
      <c r="X100" s="14">
        <f>IF([3]基础状态预期!I112="",0,[3]基础状态预期!I112)</f>
        <v>6</v>
      </c>
      <c r="Y100" s="14">
        <f>IF([3]基础状态预期!J112="",0,[3]基础状态预期!J112)</f>
        <v>0</v>
      </c>
      <c r="Z100" s="14">
        <f>IF([3]基础状态预期!K112="",MIN(8,Z101),[3]基础状态预期!K112)</f>
        <v>8</v>
      </c>
      <c r="AA100" s="14">
        <f>IF([3]基础状态预期!L112="",MIN(8,AA101),[3]基础状态预期!L112)</f>
        <v>8</v>
      </c>
      <c r="AB100" s="14">
        <f>IF([3]基础状态预期!M112="",MIN(8,AB101),[3]基础状态预期!M112)</f>
        <v>8</v>
      </c>
      <c r="AC100" s="14">
        <f>IF([3]基础状态预期!N112="",MIN(8,AC101),[3]基础状态预期!N112)</f>
        <v>2.5436151871782715</v>
      </c>
      <c r="AD100" s="14">
        <f>IF([3]基础状态预期!O112="",MIN(8,AD101),[3]基础状态预期!O112)</f>
        <v>0</v>
      </c>
    </row>
    <row r="101" spans="3:30" x14ac:dyDescent="0.15">
      <c r="C101" s="5">
        <v>98</v>
      </c>
      <c r="D101" s="5">
        <f>'[1]功能-实力'!BF102</f>
        <v>17170146</v>
      </c>
      <c r="E101" s="5">
        <f>'[1]功能-实力'!BG102</f>
        <v>21927630</v>
      </c>
      <c r="F101" s="5">
        <f>'[1]功能-实力'!BH102</f>
        <v>25229964</v>
      </c>
      <c r="G101" s="5">
        <f>'[1]功能-实力'!BI102</f>
        <v>31332024</v>
      </c>
      <c r="H101" s="5">
        <f>'[1]功能-实力'!BJ102</f>
        <v>32779164</v>
      </c>
      <c r="S101" s="12">
        <f>IF([3]基础状态预期!C113="","",[3]基础状态预期!C113)</f>
        <v>21</v>
      </c>
      <c r="T101" s="12">
        <f>IF([3]基础状态预期!D113="","",[3]基础状态预期!D113)</f>
        <v>49.18886033229559</v>
      </c>
      <c r="U101" s="14">
        <f>IF([3]基础状态预期!F113="",0,[3]基础状态预期!F113)</f>
        <v>0</v>
      </c>
      <c r="V101" s="14">
        <f>IF([3]基础状态预期!G113="",0,[3]基础状态预期!G113)</f>
        <v>0</v>
      </c>
      <c r="W101" s="14">
        <f>IF([3]基础状态预期!H113="",0,[3]基础状态预期!H113)</f>
        <v>0</v>
      </c>
      <c r="X101" s="14">
        <f>IF([3]基础状态预期!I113="",0,[3]基础状态预期!I113)</f>
        <v>6</v>
      </c>
      <c r="Y101" s="14">
        <f>IF([3]基础状态预期!J113="",0,[3]基础状态预期!J113)</f>
        <v>0</v>
      </c>
      <c r="Z101" s="14">
        <f>IF([3]基础状态预期!K113="",MIN(8,Z102),[3]基础状态预期!K113)</f>
        <v>8</v>
      </c>
      <c r="AA101" s="14">
        <f>IF([3]基础状态预期!L113="",MIN(8,AA102),[3]基础状态预期!L113)</f>
        <v>8</v>
      </c>
      <c r="AB101" s="14">
        <f>IF([3]基础状态预期!M113="",MIN(8,AB102),[3]基础状态预期!M113)</f>
        <v>8</v>
      </c>
      <c r="AC101" s="14">
        <f>IF([3]基础状态预期!N113="",MIN(8,AC102),[3]基础状态预期!N113)</f>
        <v>3.3045105408802526</v>
      </c>
      <c r="AD101" s="14">
        <f>IF([3]基础状态预期!O113="",MIN(8,AD102),[3]基础状态预期!O113)</f>
        <v>0</v>
      </c>
    </row>
    <row r="102" spans="3:30" x14ac:dyDescent="0.15">
      <c r="C102" s="5">
        <v>99</v>
      </c>
      <c r="D102" s="5">
        <f>'[1]功能-实力'!BF103</f>
        <v>17823042</v>
      </c>
      <c r="E102" s="5">
        <f>'[1]功能-实力'!BG103</f>
        <v>22660758</v>
      </c>
      <c r="F102" s="5">
        <f>'[1]功能-实力'!BH103</f>
        <v>26231892</v>
      </c>
      <c r="G102" s="5">
        <f>'[1]功能-实力'!BI103</f>
        <v>32496552</v>
      </c>
      <c r="H102" s="5">
        <f>'[1]功能-实力'!BJ103</f>
        <v>33886782</v>
      </c>
      <c r="S102" s="12">
        <f>IF([3]基础状态预期!C114="","",[3]基础状态预期!C114)</f>
        <v>28</v>
      </c>
      <c r="T102" s="12">
        <f>IF([3]基础状态预期!D114="","",[3]基础状态预期!D114)</f>
        <v>53.212684955585161</v>
      </c>
      <c r="U102" s="14">
        <f>IF([3]基础状态预期!F114="",0,[3]基础状态预期!F114)</f>
        <v>0</v>
      </c>
      <c r="V102" s="14">
        <f>IF([3]基础状态预期!G114="",0,[3]基础状态预期!G114)</f>
        <v>0</v>
      </c>
      <c r="W102" s="14">
        <f>IF([3]基础状态预期!H114="",0,[3]基础状态预期!H114)</f>
        <v>0</v>
      </c>
      <c r="X102" s="14">
        <f>IF([3]基础状态预期!I114="",0,[3]基础状态预期!I114)</f>
        <v>5</v>
      </c>
      <c r="Y102" s="14">
        <f>IF([3]基础状态预期!J114="",0,[3]基础状态预期!J114)</f>
        <v>1</v>
      </c>
      <c r="Z102" s="14">
        <f>IF([3]基础状态预期!K114="",MIN(8,Z103),[3]基础状态预期!K114)</f>
        <v>8</v>
      </c>
      <c r="AA102" s="14">
        <f>IF([3]基础状态预期!L114="",MIN(8,AA103),[3]基础状态预期!L114)</f>
        <v>8</v>
      </c>
      <c r="AB102" s="14">
        <f>IF([3]基础状态预期!M114="",MIN(8,AB103),[3]基础状态预期!M114)</f>
        <v>8</v>
      </c>
      <c r="AC102" s="14">
        <f>IF([3]基础状态预期!N114="",MIN(8,AC103),[3]基础状态预期!N114)</f>
        <v>3.7809358891243576</v>
      </c>
      <c r="AD102" s="14">
        <f>IF([3]基础状态预期!O114="",MIN(8,AD103),[3]基础状态预期!O114)</f>
        <v>0</v>
      </c>
    </row>
    <row r="103" spans="3:30" x14ac:dyDescent="0.15">
      <c r="C103" s="5">
        <v>100</v>
      </c>
      <c r="D103" s="5">
        <f>'[1]功能-实力'!BF104</f>
        <v>18506772</v>
      </c>
      <c r="E103" s="5">
        <f>'[1]功能-实力'!BG104</f>
        <v>23414310</v>
      </c>
      <c r="F103" s="5">
        <f>'[1]功能-实力'!BH104</f>
        <v>27260196</v>
      </c>
      <c r="G103" s="5">
        <f>'[1]功能-实力'!BI104</f>
        <v>33675408</v>
      </c>
      <c r="H103" s="5">
        <f>'[1]功能-实力'!BJ104</f>
        <v>35022594</v>
      </c>
      <c r="S103" s="12">
        <f>IF([3]基础状态预期!C115="","",[3]基础状态预期!C115)</f>
        <v>42</v>
      </c>
      <c r="T103" s="12">
        <f>IF([3]基础状态预期!D115="","",[3]基础状态预期!D115)</f>
        <v>59.09095196730258</v>
      </c>
      <c r="U103" s="14">
        <f>IF([3]基础状态预期!F115="",0,[3]基础状态预期!F115)</f>
        <v>0</v>
      </c>
      <c r="V103" s="14">
        <f>IF([3]基础状态预期!G115="",0,[3]基础状态预期!G115)</f>
        <v>0</v>
      </c>
      <c r="W103" s="14">
        <f>IF([3]基础状态预期!H115="",0,[3]基础状态预期!H115)</f>
        <v>0</v>
      </c>
      <c r="X103" s="14">
        <f>IF([3]基础状态预期!I115="",0,[3]基础状态预期!I115)</f>
        <v>4</v>
      </c>
      <c r="Y103" s="14">
        <f>IF([3]基础状态预期!J115="",0,[3]基础状态预期!J115)</f>
        <v>2</v>
      </c>
      <c r="Z103" s="14">
        <f>IF([3]基础状态预期!K115="",MIN(8,Z104),[3]基础状态预期!K115)</f>
        <v>8</v>
      </c>
      <c r="AA103" s="14">
        <f>IF([3]基础状态预期!L115="",MIN(8,AA104),[3]基础状态预期!L115)</f>
        <v>8</v>
      </c>
      <c r="AB103" s="14">
        <f>IF([3]基础状态预期!M115="",MIN(8,AB104),[3]基础状态预期!M115)</f>
        <v>8</v>
      </c>
      <c r="AC103" s="14">
        <f>IF([3]基础状态预期!N115="",MIN(8,AC104),[3]基础状态预期!N115)</f>
        <v>4.4981936992670777</v>
      </c>
      <c r="AD103" s="14">
        <f>IF([3]基础状态预期!O115="",MIN(8,AD104),[3]基础状态预期!O115)</f>
        <v>1.0433467237278569</v>
      </c>
    </row>
    <row r="104" spans="3:30" x14ac:dyDescent="0.15">
      <c r="C104" s="5">
        <v>101</v>
      </c>
      <c r="D104" s="5">
        <f>'[1]功能-实力'!BF105</f>
        <v>19252938</v>
      </c>
      <c r="E104" s="5">
        <f>'[1]功能-实力'!BG105</f>
        <v>24234468</v>
      </c>
      <c r="F104" s="5">
        <f>'[1]功能-实力'!BH105</f>
        <v>28194312</v>
      </c>
      <c r="G104" s="5">
        <f>'[1]功能-实力'!BI105</f>
        <v>34514820</v>
      </c>
      <c r="H104" s="5">
        <f>'[1]功能-实力'!BJ105</f>
        <v>35839044</v>
      </c>
      <c r="S104" s="12">
        <f>IF([3]基础状态预期!C116="","",[3]基础状态预期!C116)</f>
        <v>62.999999999999993</v>
      </c>
      <c r="T104" s="12">
        <f>IF([3]基础状态预期!D116="","",[3]基础状态预期!D116)</f>
        <v>64.819145630244321</v>
      </c>
      <c r="U104" s="14">
        <f>IF([3]基础状态预期!F116="",0,[3]基础状态预期!F116)</f>
        <v>0</v>
      </c>
      <c r="V104" s="14">
        <f>IF([3]基础状态预期!G116="",0,[3]基础状态预期!G116)</f>
        <v>0</v>
      </c>
      <c r="W104" s="14">
        <f>IF([3]基础状态预期!H116="",0,[3]基础状态预期!H116)</f>
        <v>0</v>
      </c>
      <c r="X104" s="14">
        <f>IF([3]基础状态预期!I116="",0,[3]基础状态预期!I116)</f>
        <v>3</v>
      </c>
      <c r="Y104" s="14">
        <f>IF([3]基础状态预期!J116="",0,[3]基础状态预期!J116)</f>
        <v>3</v>
      </c>
      <c r="Z104" s="14">
        <f>IF([3]基础状态预期!K116="",MIN(8,Z105),[3]基础状态预期!K116)</f>
        <v>8</v>
      </c>
      <c r="AA104" s="14">
        <f>IF([3]基础状态预期!L116="",MIN(8,AA105),[3]基础状态预期!L116)</f>
        <v>8</v>
      </c>
      <c r="AB104" s="14">
        <f>IF([3]基础状态预期!M116="",MIN(8,AB105),[3]基础状态预期!M116)</f>
        <v>8</v>
      </c>
      <c r="AC104" s="14">
        <f>IF([3]基础状态预期!N116="",MIN(8,AC105),[3]基础状态预期!N116)</f>
        <v>4.9699331003486034</v>
      </c>
      <c r="AD104" s="14">
        <f>IF([3]基础状态预期!O116="",MIN(8,AD105),[3]基础状态预期!O116)</f>
        <v>3.1674499453884692</v>
      </c>
    </row>
    <row r="105" spans="3:30" x14ac:dyDescent="0.15">
      <c r="C105" s="5">
        <v>102</v>
      </c>
      <c r="D105" s="5">
        <f>'[1]功能-实力'!BF106</f>
        <v>19991094</v>
      </c>
      <c r="E105" s="5">
        <f>'[1]功能-实力'!BG106</f>
        <v>25076274</v>
      </c>
      <c r="F105" s="5">
        <f>'[1]功能-实力'!BH106</f>
        <v>29140740</v>
      </c>
      <c r="G105" s="5">
        <f>'[1]功能-实力'!BI106</f>
        <v>35381760</v>
      </c>
      <c r="H105" s="5">
        <f>'[1]功能-实力'!BJ106</f>
        <v>36679266</v>
      </c>
      <c r="S105" s="12">
        <f>IF([3]基础状态预期!C117="","",[3]基础状态预期!C117)</f>
        <v>84</v>
      </c>
      <c r="T105" s="12">
        <f>IF([3]基础状态预期!D117="","",[3]基础状态预期!D117)</f>
        <v>69.01697485309198</v>
      </c>
      <c r="U105" s="14">
        <f>IF([3]基础状态预期!F117="",0,[3]基础状态预期!F117)</f>
        <v>0</v>
      </c>
      <c r="V105" s="14">
        <f>IF([3]基础状态预期!G117="",0,[3]基础状态预期!G117)</f>
        <v>0</v>
      </c>
      <c r="W105" s="14">
        <f>IF([3]基础状态预期!H117="",0,[3]基础状态预期!H117)</f>
        <v>0</v>
      </c>
      <c r="X105" s="14">
        <f>IF([3]基础状态预期!I117="",0,[3]基础状态预期!I117)</f>
        <v>2</v>
      </c>
      <c r="Y105" s="14">
        <f>IF([3]基础状态预期!J117="",0,[3]基础状态预期!J117)</f>
        <v>4</v>
      </c>
      <c r="Z105" s="14">
        <f>IF([3]基础状态预期!K117="",MIN(8,Z106),[3]基础状态预期!K117)</f>
        <v>8</v>
      </c>
      <c r="AA105" s="14">
        <f>IF([3]基础状态预期!L117="",MIN(8,AA106),[3]基础状态预期!L117)</f>
        <v>8</v>
      </c>
      <c r="AB105" s="14">
        <f>IF([3]基础状态预期!M117="",MIN(8,AB106),[3]基础状态预期!M117)</f>
        <v>8</v>
      </c>
      <c r="AC105" s="14">
        <f>IF([3]基础状态预期!N117="",MIN(8,AC106),[3]基础状态预期!N117)</f>
        <v>5.2834892943641778</v>
      </c>
      <c r="AD105" s="14">
        <f>IF([3]基础状态预期!O117="",MIN(8,AD106),[3]基础状态预期!O117)</f>
        <v>3.6930773774846344</v>
      </c>
    </row>
    <row r="106" spans="3:30" x14ac:dyDescent="0.15">
      <c r="C106" s="5">
        <v>103</v>
      </c>
      <c r="D106" s="5">
        <f>'[1]功能-实力'!BF107</f>
        <v>20752038</v>
      </c>
      <c r="E106" s="5">
        <f>'[1]功能-实力'!BG107</f>
        <v>25941888</v>
      </c>
      <c r="F106" s="5">
        <f>'[1]功能-实力'!BH107</f>
        <v>30129378</v>
      </c>
      <c r="G106" s="5">
        <f>'[1]功能-实力'!BI107</f>
        <v>36282246</v>
      </c>
      <c r="H106" s="5">
        <f>'[1]功能-实力'!BJ107</f>
        <v>37557378</v>
      </c>
      <c r="S106" s="12">
        <f>IF([3]基础状态预期!C118="","",[3]基础状态预期!C118)</f>
        <v>105</v>
      </c>
      <c r="T106" s="12">
        <f>IF([3]基础状态预期!D118="","",[3]基础状态预期!D118)</f>
        <v>72.23150684883845</v>
      </c>
      <c r="U106" s="14">
        <f>IF([3]基础状态预期!F118="",0,[3]基础状态预期!F118)</f>
        <v>0</v>
      </c>
      <c r="V106" s="14">
        <f>IF([3]基础状态预期!G118="",0,[3]基础状态预期!G118)</f>
        <v>0</v>
      </c>
      <c r="W106" s="14">
        <f>IF([3]基础状态预期!H118="",0,[3]基础状态预期!H118)</f>
        <v>0</v>
      </c>
      <c r="X106" s="14">
        <f>IF([3]基础状态预期!I118="",0,[3]基础状态预期!I118)</f>
        <v>1</v>
      </c>
      <c r="Y106" s="14">
        <f>IF([3]基础状态预期!J118="",0,[3]基础状态预期!J118)</f>
        <v>5</v>
      </c>
      <c r="Z106" s="14">
        <f>IF([3]基础状态预期!K118="",MIN(8,Z107),[3]基础状态预期!K118)</f>
        <v>8</v>
      </c>
      <c r="AA106" s="14">
        <f>IF([3]基础状态预期!L118="",MIN(8,AA107),[3]基础状态预期!L118)</f>
        <v>8</v>
      </c>
      <c r="AB106" s="14">
        <f>IF([3]基础状态预期!M118="",MIN(8,AB107),[3]基础状态预期!M118)</f>
        <v>8</v>
      </c>
      <c r="AC106" s="14">
        <f>IF([3]基础状态预期!N118="",MIN(8,AC107),[3]基础状态预期!N118)</f>
        <v>5.5494928387544045</v>
      </c>
      <c r="AD106" s="14">
        <f>IF([3]基础状态预期!O118="",MIN(8,AD107),[3]基础状态预期!O118)</f>
        <v>3.8789741301339893</v>
      </c>
    </row>
    <row r="107" spans="3:30" x14ac:dyDescent="0.15">
      <c r="C107" s="5">
        <v>104</v>
      </c>
      <c r="D107" s="5">
        <f>'[1]功能-实力'!BF108</f>
        <v>21533604</v>
      </c>
      <c r="E107" s="5">
        <f>'[1]功能-实力'!BG108</f>
        <v>26774538</v>
      </c>
      <c r="F107" s="5">
        <f>'[1]功能-实力'!BH108</f>
        <v>31162236</v>
      </c>
      <c r="G107" s="5">
        <f>'[1]功能-实力'!BI108</f>
        <v>37234152</v>
      </c>
      <c r="H107" s="5">
        <f>'[1]功能-实力'!BJ108</f>
        <v>38464338</v>
      </c>
      <c r="S107" s="12">
        <f>IF([3]基础状态预期!C119="","",[3]基础状态预期!C119)</f>
        <v>125.99999999999999</v>
      </c>
      <c r="T107" s="12">
        <f>IF([3]基础状态预期!D119="","",[3]基础状态预期!D119)</f>
        <v>74.840792411391348</v>
      </c>
      <c r="U107" s="14">
        <f>IF([3]基础状态预期!F119="",0,[3]基础状态预期!F119)</f>
        <v>0</v>
      </c>
      <c r="V107" s="14">
        <f>IF([3]基础状态预期!G119="",0,[3]基础状态预期!G119)</f>
        <v>0</v>
      </c>
      <c r="W107" s="14">
        <f>IF([3]基础状态预期!H119="",0,[3]基础状态预期!H119)</f>
        <v>0</v>
      </c>
      <c r="X107" s="14">
        <f>IF([3]基础状态预期!I119="",0,[3]基础状态预期!I119)</f>
        <v>0.5</v>
      </c>
      <c r="Y107" s="14">
        <f>IF([3]基础状态预期!J119="",0,[3]基础状态预期!J119)</f>
        <v>5.5</v>
      </c>
      <c r="Z107" s="14">
        <f>IF([3]基础状态预期!K119="",MIN(8,Z108),[3]基础状态预期!K119)</f>
        <v>8</v>
      </c>
      <c r="AA107" s="14">
        <f>IF([3]基础状态预期!L119="",MIN(8,AA108),[3]基础状态预期!L119)</f>
        <v>8</v>
      </c>
      <c r="AB107" s="14">
        <f>IF([3]基础状态预期!M119="",MIN(8,AB108),[3]基础状态预期!M119)</f>
        <v>8</v>
      </c>
      <c r="AC107" s="14">
        <f>IF([3]基础状态预期!N119="",MIN(8,AC108),[3]基础状态预期!N119)</f>
        <v>5.7932570276018689</v>
      </c>
      <c r="AD107" s="14">
        <f>IF([3]基础状态预期!O119="",MIN(8,AD108),[3]基础状态预期!O119)</f>
        <v>4.2061459833252215</v>
      </c>
    </row>
    <row r="108" spans="3:30" x14ac:dyDescent="0.15">
      <c r="C108" s="5">
        <v>105</v>
      </c>
      <c r="D108" s="5">
        <f>'[1]功能-实力'!BF109</f>
        <v>22276314</v>
      </c>
      <c r="E108" s="5">
        <f>'[1]功能-实力'!BG109</f>
        <v>27616176</v>
      </c>
      <c r="F108" s="5">
        <f>'[1]功能-实力'!BH109</f>
        <v>32235042</v>
      </c>
      <c r="G108" s="5">
        <f>'[1]功能-实力'!BI109</f>
        <v>38197164</v>
      </c>
      <c r="H108" s="5">
        <f>'[1]功能-实力'!BJ109</f>
        <v>39410628</v>
      </c>
      <c r="S108" s="12">
        <f>IF([3]基础状态预期!C120="","",[3]基础状态预期!C120)</f>
        <v>154</v>
      </c>
      <c r="T108" s="12">
        <f>IF([3]基础状态预期!D120="","",[3]基础状态预期!D120)</f>
        <v>77.697893604818219</v>
      </c>
      <c r="U108" s="14">
        <f>IF([3]基础状态预期!F120="",0,[3]基础状态预期!F120)</f>
        <v>0</v>
      </c>
      <c r="V108" s="14">
        <f>IF([3]基础状态预期!G120="",0,[3]基础状态预期!G120)</f>
        <v>0</v>
      </c>
      <c r="W108" s="14">
        <f>IF([3]基础状态预期!H120="",0,[3]基础状态预期!H120)</f>
        <v>0</v>
      </c>
      <c r="X108" s="14">
        <f>IF([3]基础状态预期!I120="",0,[3]基础状态预期!I120)</f>
        <v>0</v>
      </c>
      <c r="Y108" s="14">
        <f>IF([3]基础状态预期!J120="",0,[3]基础状态预期!J120)</f>
        <v>6</v>
      </c>
      <c r="Z108" s="14">
        <f>IF([3]基础状态预期!K120="",MIN(8,Z109),[3]基础状态预期!K120)</f>
        <v>8</v>
      </c>
      <c r="AA108" s="14">
        <f>IF([3]基础状态预期!L120="",MIN(8,AA109),[3]基础状态预期!L120)</f>
        <v>8</v>
      </c>
      <c r="AB108" s="14">
        <f>IF([3]基础状态预期!M120="",MIN(8,AB109),[3]基础状态预期!M120)</f>
        <v>8</v>
      </c>
      <c r="AC108" s="14">
        <f>IF([3]基础状态预期!N120="",MIN(8,AC109),[3]基础状态预期!N120)</f>
        <v>8</v>
      </c>
      <c r="AD108" s="14">
        <f>IF([3]基础状态预期!O120="",MIN(8,AD109),[3]基础状态预期!O120)</f>
        <v>4.6655437804667841</v>
      </c>
    </row>
    <row r="109" spans="3:30" x14ac:dyDescent="0.15">
      <c r="C109" s="5">
        <v>106</v>
      </c>
      <c r="D109" s="5">
        <f>'[1]功能-实力'!BF110</f>
        <v>23036070</v>
      </c>
      <c r="E109" s="5">
        <f>'[1]功能-实力'!BG110</f>
        <v>28512012</v>
      </c>
      <c r="F109" s="5">
        <f>'[1]功能-实力'!BH110</f>
        <v>33223680</v>
      </c>
      <c r="G109" s="5">
        <f>'[1]功能-实力'!BI110</f>
        <v>39214986</v>
      </c>
      <c r="H109" s="5">
        <f>'[1]功能-实力'!BJ110</f>
        <v>40279830</v>
      </c>
      <c r="S109" s="12">
        <f>IF([3]基础状态预期!C121="","",[3]基础状态预期!C121)</f>
        <v>182</v>
      </c>
      <c r="T109" s="12">
        <f>IF([3]基础状态预期!D121="","",[3]基础状态预期!D121)</f>
        <v>80.134867890916794</v>
      </c>
      <c r="U109" s="14">
        <f>IF([3]基础状态预期!F121="",0,[3]基础状态预期!F121)</f>
        <v>0</v>
      </c>
      <c r="V109" s="14">
        <f>IF([3]基础状态预期!G121="",0,[3]基础状态预期!G121)</f>
        <v>0</v>
      </c>
      <c r="W109" s="14">
        <f>IF([3]基础状态预期!H121="",0,[3]基础状态预期!H121)</f>
        <v>0</v>
      </c>
      <c r="X109" s="14">
        <f>IF([3]基础状态预期!I121="",0,[3]基础状态预期!I121)</f>
        <v>0</v>
      </c>
      <c r="Y109" s="14">
        <f>IF([3]基础状态预期!J121="",0,[3]基础状态预期!J121)</f>
        <v>6</v>
      </c>
      <c r="Z109" s="14">
        <f>IF([3]基础状态预期!K121="",MIN(8,Z110),[3]基础状态预期!K121)</f>
        <v>8</v>
      </c>
      <c r="AA109" s="14">
        <f>IF([3]基础状态预期!L121="",MIN(8,AA110),[3]基础状态预期!L121)</f>
        <v>8</v>
      </c>
      <c r="AB109" s="14">
        <f>IF([3]基础状态预期!M121="",MIN(8,AB110),[3]基础状态预期!M121)</f>
        <v>8</v>
      </c>
      <c r="AC109" s="14">
        <f>IF([3]基础状态预期!N121="",MIN(8,AC110),[3]基础状态预期!N121)</f>
        <v>8</v>
      </c>
      <c r="AD109" s="14">
        <f>IF([3]基础状态预期!O121="",MIN(8,AD110),[3]基础状态预期!O121)</f>
        <v>5.2364976406316144</v>
      </c>
    </row>
    <row r="110" spans="3:30" x14ac:dyDescent="0.15">
      <c r="C110" s="5">
        <v>107</v>
      </c>
      <c r="D110" s="5">
        <f>'[1]功能-实力'!BF111</f>
        <v>23827356</v>
      </c>
      <c r="E110" s="5">
        <f>'[1]功能-实力'!BG111</f>
        <v>29425776</v>
      </c>
      <c r="F110" s="5">
        <f>'[1]功能-实力'!BH111</f>
        <v>34163082</v>
      </c>
      <c r="G110" s="5">
        <f>'[1]功能-实力'!BI111</f>
        <v>40194282</v>
      </c>
      <c r="H110" s="5">
        <f>'[1]功能-实力'!BJ111</f>
        <v>41139438</v>
      </c>
      <c r="S110" s="12">
        <f>IF([3]基础状态预期!C122="","",[3]基础状态预期!C122)</f>
        <v>210</v>
      </c>
      <c r="T110" s="12">
        <f>IF([3]基础状态预期!D122="","",[3]基础状态预期!D122)</f>
        <v>82.238672852681816</v>
      </c>
      <c r="U110" s="14">
        <f>IF([3]基础状态预期!F122="",0,[3]基础状态预期!F122)</f>
        <v>0</v>
      </c>
      <c r="V110" s="14">
        <f>IF([3]基础状态预期!G122="",0,[3]基础状态预期!G122)</f>
        <v>0</v>
      </c>
      <c r="W110" s="14">
        <f>IF([3]基础状态预期!H122="",0,[3]基础状态预期!H122)</f>
        <v>0</v>
      </c>
      <c r="X110" s="14">
        <f>IF([3]基础状态预期!I122="",0,[3]基础状态预期!I122)</f>
        <v>0</v>
      </c>
      <c r="Y110" s="14">
        <f>IF([3]基础状态预期!J122="",0,[3]基础状态预期!J122)</f>
        <v>6</v>
      </c>
      <c r="Z110" s="14">
        <f>IF([3]基础状态预期!K122="",MIN(8,Z111),[3]基础状态预期!K122)</f>
        <v>8</v>
      </c>
      <c r="AA110" s="14">
        <f>IF([3]基础状态预期!L122="",MIN(8,AA111),[3]基础状态预期!L122)</f>
        <v>8</v>
      </c>
      <c r="AB110" s="14">
        <f>IF([3]基础状态预期!M122="",MIN(8,AB111),[3]基础状态预期!M122)</f>
        <v>8</v>
      </c>
      <c r="AC110" s="14">
        <f>IF([3]基础状态预期!N122="",MIN(8,AC111),[3]基础状态预期!N122)</f>
        <v>8</v>
      </c>
      <c r="AD110" s="14">
        <f>IF([3]基础状态预期!O122="",MIN(8,AD111),[3]基础状态预期!O122)</f>
        <v>5.7481389093589303</v>
      </c>
    </row>
    <row r="111" spans="3:30" x14ac:dyDescent="0.15">
      <c r="C111" s="5">
        <v>108</v>
      </c>
      <c r="D111" s="5">
        <f>'[1]功能-实力'!BF112</f>
        <v>24582768</v>
      </c>
      <c r="E111" s="5">
        <f>'[1]功能-实力'!BG112</f>
        <v>30363228</v>
      </c>
      <c r="F111" s="5">
        <f>'[1]功能-实力'!BH112</f>
        <v>35070582</v>
      </c>
      <c r="G111" s="5">
        <f>'[1]功能-实力'!BI112</f>
        <v>41114910</v>
      </c>
      <c r="H111" s="5">
        <f>'[1]功能-实力'!BJ112</f>
        <v>41999040</v>
      </c>
      <c r="S111" s="12">
        <f>IF([3]基础状态预期!C123="","",[3]基础状态预期!C123)</f>
        <v>237.99999999999997</v>
      </c>
      <c r="T111" s="12">
        <f>IF([3]基础状态预期!D123="","",[3]基础状态预期!D123)</f>
        <v>84.043767921022209</v>
      </c>
      <c r="U111" s="14">
        <f>IF([3]基础状态预期!F123="",0,[3]基础状态预期!F123)</f>
        <v>0</v>
      </c>
      <c r="V111" s="14">
        <f>IF([3]基础状态预期!G123="",0,[3]基础状态预期!G123)</f>
        <v>0</v>
      </c>
      <c r="W111" s="14">
        <f>IF([3]基础状态预期!H123="",0,[3]基础状态预期!H123)</f>
        <v>0</v>
      </c>
      <c r="X111" s="14">
        <f>IF([3]基础状态预期!I123="",0,[3]基础状态预期!I123)</f>
        <v>0</v>
      </c>
      <c r="Y111" s="14">
        <f>IF([3]基础状态预期!J123="",0,[3]基础状态预期!J123)</f>
        <v>6</v>
      </c>
      <c r="Z111" s="14">
        <f>IF([3]基础状态预期!K123="",MIN(8,Z112),[3]基础状态预期!K123)</f>
        <v>8</v>
      </c>
      <c r="AA111" s="14">
        <f>IF([3]基础状态预期!L123="",MIN(8,AA112),[3]基础状态预期!L123)</f>
        <v>8</v>
      </c>
      <c r="AB111" s="14">
        <f>IF([3]基础状态预期!M123="",MIN(8,AB112),[3]基础状态预期!M123)</f>
        <v>8</v>
      </c>
      <c r="AC111" s="14">
        <f>IF([3]基础状态预期!N123="",MIN(8,AC112),[3]基础状态预期!N123)</f>
        <v>8</v>
      </c>
      <c r="AD111" s="14">
        <f>IF([3]基础状态预期!O123="",MIN(8,AD112),[3]基础状态预期!O123)</f>
        <v>6.2348727916122204</v>
      </c>
    </row>
    <row r="112" spans="3:30" x14ac:dyDescent="0.15">
      <c r="C112" s="5">
        <v>109</v>
      </c>
      <c r="D112" s="5">
        <f>'[1]功能-实力'!BF113</f>
        <v>25313802</v>
      </c>
      <c r="E112" s="5">
        <f>'[1]功能-实力'!BG113</f>
        <v>31301478</v>
      </c>
      <c r="F112" s="5">
        <f>'[1]功能-实力'!BH113</f>
        <v>36008808</v>
      </c>
      <c r="G112" s="5">
        <f>'[1]功能-实力'!BI113</f>
        <v>42045108</v>
      </c>
      <c r="H112" s="5">
        <f>'[1]功能-实力'!BJ113</f>
        <v>42882372</v>
      </c>
      <c r="S112" s="12">
        <f>IF([3]基础状态预期!C124="","",[3]基础状态预期!C124)</f>
        <v>280</v>
      </c>
      <c r="T112" s="12">
        <f>IF([3]基础状态预期!D124="","",[3]基础状态预期!D124)</f>
        <v>86.385105215793828</v>
      </c>
      <c r="U112" s="14">
        <f>IF([3]基础状态预期!F124="",0,[3]基础状态预期!F124)</f>
        <v>0</v>
      </c>
      <c r="V112" s="14">
        <f>IF([3]基础状态预期!G124="",0,[3]基础状态预期!G124)</f>
        <v>0</v>
      </c>
      <c r="W112" s="14">
        <f>IF([3]基础状态预期!H124="",0,[3]基础状态预期!H124)</f>
        <v>0</v>
      </c>
      <c r="X112" s="14">
        <f>IF([3]基础状态预期!I124="",0,[3]基础状态预期!I124)</f>
        <v>0</v>
      </c>
      <c r="Y112" s="14">
        <f>IF([3]基础状态预期!J124="",0,[3]基础状态预期!J124)</f>
        <v>6</v>
      </c>
      <c r="Z112" s="14">
        <f>IF([3]基础状态预期!K124="",MIN(8,Z113),[3]基础状态预期!K124)</f>
        <v>8</v>
      </c>
      <c r="AA112" s="14">
        <f>IF([3]基础状态预期!L124="",MIN(8,AA113),[3]基础状态预期!L124)</f>
        <v>8</v>
      </c>
      <c r="AB112" s="14">
        <f>IF([3]基础状态预期!M124="",MIN(8,AB113),[3]基础状态预期!M124)</f>
        <v>8</v>
      </c>
      <c r="AC112" s="14">
        <f>IF([3]基础状态预期!N124="",MIN(8,AC113),[3]基础状态预期!N124)</f>
        <v>8</v>
      </c>
      <c r="AD112" s="14">
        <f>IF([3]基础状态预期!O124="",MIN(8,AD113),[3]基础状态预期!O124)</f>
        <v>6.9567357183278178</v>
      </c>
    </row>
    <row r="113" spans="3:30" x14ac:dyDescent="0.15">
      <c r="C113" s="5">
        <v>110</v>
      </c>
      <c r="D113" s="5">
        <f>'[1]功能-实力'!BF114</f>
        <v>26049816</v>
      </c>
      <c r="E113" s="5">
        <f>'[1]功能-实力'!BG114</f>
        <v>32270460</v>
      </c>
      <c r="F113" s="5">
        <f>'[1]功能-实力'!BH114</f>
        <v>36973272</v>
      </c>
      <c r="G113" s="5">
        <f>'[1]功能-实力'!BI114</f>
        <v>43013550</v>
      </c>
      <c r="H113" s="5">
        <f>'[1]功能-实力'!BJ114</f>
        <v>43850544</v>
      </c>
      <c r="S113" s="12">
        <f>IF([3]基础状态预期!C125="","",[3]基础状态预期!C125)</f>
        <v>364</v>
      </c>
      <c r="T113" s="12">
        <f>IF([3]基础状态预期!D125="","",[3]基础状态预期!D125)</f>
        <v>90.406191748048585</v>
      </c>
      <c r="U113" s="14">
        <f>IF([3]基础状态预期!F125="",0,[3]基础状态预期!F125)</f>
        <v>0</v>
      </c>
      <c r="V113" s="14">
        <f>IF([3]基础状态预期!G125="",0,[3]基础状态预期!G125)</f>
        <v>0</v>
      </c>
      <c r="W113" s="14">
        <f>IF([3]基础状态预期!H125="",0,[3]基础状态预期!H125)</f>
        <v>0</v>
      </c>
      <c r="X113" s="14">
        <f>IF([3]基础状态预期!I125="",0,[3]基础状态预期!I125)</f>
        <v>0</v>
      </c>
      <c r="Y113" s="14">
        <f>IF([3]基础状态预期!J125="",0,[3]基础状态预期!J125)</f>
        <v>6</v>
      </c>
      <c r="Z113" s="14">
        <f>IF([3]基础状态预期!K125="",MIN(8,Z114),[3]基础状态预期!K125)</f>
        <v>8</v>
      </c>
      <c r="AA113" s="14">
        <f>IF([3]基础状态预期!L125="",MIN(8,AA114),[3]基础状态预期!L125)</f>
        <v>8</v>
      </c>
      <c r="AB113" s="14">
        <f>IF([3]基础状态预期!M125="",MIN(8,AB114),[3]基础状态预期!M125)</f>
        <v>8</v>
      </c>
      <c r="AC113" s="14">
        <f>IF([3]基础状态预期!N125="",MIN(8,AC114),[3]基础状态预期!N125)</f>
        <v>8</v>
      </c>
      <c r="AD113" s="14">
        <f>IF([3]基础状态预期!O125="",MIN(8,AD114),[3]基础状态预期!O125)</f>
        <v>7.9800670580097339</v>
      </c>
    </row>
    <row r="114" spans="3:30" x14ac:dyDescent="0.15">
      <c r="C114" s="5">
        <v>111</v>
      </c>
      <c r="D114" s="5">
        <f>'[1]功能-实力'!BF115</f>
        <v>26923824</v>
      </c>
      <c r="E114" s="5">
        <f>'[1]功能-实力'!BG115</f>
        <v>33246702</v>
      </c>
      <c r="F114" s="5">
        <f>'[1]功能-实力'!BH115</f>
        <v>37993992</v>
      </c>
      <c r="G114" s="5">
        <f>'[1]功能-实力'!BI115</f>
        <v>43952730</v>
      </c>
      <c r="H114" s="5">
        <f>'[1]功能-实力'!BJ115</f>
        <v>44833722</v>
      </c>
      <c r="S114" s="12">
        <f>IF([3]基础状态预期!C126="","",[3]基础状态预期!C126)</f>
        <v>448</v>
      </c>
      <c r="T114" s="12">
        <f>IF([3]基础状态预期!D126="","",[3]基础状态预期!D126)</f>
        <v>93.471491811086082</v>
      </c>
      <c r="U114" s="14">
        <f>IF([3]基础状态预期!F126="",0,[3]基础状态预期!F126)</f>
        <v>0</v>
      </c>
      <c r="V114" s="14">
        <f>IF([3]基础状态预期!G126="",0,[3]基础状态预期!G126)</f>
        <v>0</v>
      </c>
      <c r="W114" s="14">
        <f>IF([3]基础状态预期!H126="",0,[3]基础状态预期!H126)</f>
        <v>0</v>
      </c>
      <c r="X114" s="14">
        <f>IF([3]基础状态预期!I126="",0,[3]基础状态预期!I126)</f>
        <v>0</v>
      </c>
      <c r="Y114" s="14">
        <f>IF([3]基础状态预期!J126="",0,[3]基础状态预期!J126)</f>
        <v>6</v>
      </c>
      <c r="Z114" s="14">
        <f>IF([3]基础状态预期!K126="",MIN(8,Z115),[3]基础状态预期!K126)</f>
        <v>8</v>
      </c>
      <c r="AA114" s="14">
        <f>IF([3]基础状态预期!L126="",MIN(8,AA115),[3]基础状态预期!L126)</f>
        <v>8</v>
      </c>
      <c r="AB114" s="14">
        <f>IF([3]基础状态预期!M126="",MIN(8,AB115),[3]基础状态预期!M126)</f>
        <v>8</v>
      </c>
      <c r="AC114" s="14">
        <f>IF([3]基础状态预期!N126="",MIN(8,AC115),[3]基础状态预期!N126)</f>
        <v>8</v>
      </c>
      <c r="AD114" s="14">
        <f>IF([3]基础状态预期!O126="",MIN(8,AD115),[3]基础状态预期!O126)</f>
        <v>8</v>
      </c>
    </row>
    <row r="115" spans="3:30" x14ac:dyDescent="0.15">
      <c r="C115" s="5">
        <v>112</v>
      </c>
      <c r="D115" s="5">
        <f>'[1]功能-实力'!BF116</f>
        <v>27815082</v>
      </c>
      <c r="E115" s="5">
        <f>'[1]功能-实力'!BG116</f>
        <v>34246032</v>
      </c>
      <c r="F115" s="5">
        <f>'[1]功能-实力'!BH116</f>
        <v>39081354</v>
      </c>
      <c r="G115" s="5">
        <f>'[1]功能-实力'!BI116</f>
        <v>44931522</v>
      </c>
      <c r="H115" s="5">
        <f>'[1]功能-实力'!BJ116</f>
        <v>45808692</v>
      </c>
      <c r="S115" s="12">
        <f>IF([3]基础状态预期!C127="","",[3]基础状态预期!C127)</f>
        <v>574</v>
      </c>
      <c r="T115" s="12">
        <f>IF([3]基础状态预期!D127="","",[3]基础状态预期!D127)</f>
        <v>97.107381566993553</v>
      </c>
      <c r="U115" s="14">
        <f>IF([3]基础状态预期!F127="",0,[3]基础状态预期!F127)</f>
        <v>0</v>
      </c>
      <c r="V115" s="14">
        <f>IF([3]基础状态预期!G127="",0,[3]基础状态预期!G127)</f>
        <v>0</v>
      </c>
      <c r="W115" s="14">
        <f>IF([3]基础状态预期!H127="",0,[3]基础状态预期!H127)</f>
        <v>0</v>
      </c>
      <c r="X115" s="14">
        <f>IF([3]基础状态预期!I127="",0,[3]基础状态预期!I127)</f>
        <v>0</v>
      </c>
      <c r="Y115" s="14">
        <f>IF([3]基础状态预期!J127="",0,[3]基础状态预期!J127)</f>
        <v>6</v>
      </c>
      <c r="Z115" s="14">
        <f>IF([3]基础状态预期!K127="",MIN(8,Z116),[3]基础状态预期!K127)</f>
        <v>8</v>
      </c>
      <c r="AA115" s="14">
        <f>IF([3]基础状态预期!L127="",MIN(8,AA116),[3]基础状态预期!L127)</f>
        <v>8</v>
      </c>
      <c r="AB115" s="14">
        <f>IF([3]基础状态预期!M127="",MIN(8,AB116),[3]基础状态预期!M127)</f>
        <v>8</v>
      </c>
      <c r="AC115" s="14">
        <f>IF([3]基础状态预期!N127="",MIN(8,AC116),[3]基础状态预期!N127)</f>
        <v>8</v>
      </c>
      <c r="AD115" s="14">
        <f>IF([3]基础状态预期!O127="",MIN(8,AD116),[3]基础状态预期!O127)</f>
        <v>8</v>
      </c>
    </row>
    <row r="116" spans="3:30" x14ac:dyDescent="0.15">
      <c r="C116" s="5">
        <v>113</v>
      </c>
      <c r="D116" s="5">
        <f>'[1]功能-实力'!BF117</f>
        <v>28734972</v>
      </c>
      <c r="E116" s="5">
        <f>'[1]功能-实力'!BG117</f>
        <v>35312970</v>
      </c>
      <c r="F116" s="5">
        <f>'[1]功能-实力'!BH117</f>
        <v>40222434</v>
      </c>
      <c r="G116" s="5">
        <f>'[1]功能-实力'!BI117</f>
        <v>45914280</v>
      </c>
      <c r="H116" s="5">
        <f>'[1]功能-实力'!BJ117</f>
        <v>46805844</v>
      </c>
      <c r="S116" s="12">
        <f>IF([3]基础状态预期!C128="","",[3]基础状态预期!C128)</f>
        <v>742</v>
      </c>
      <c r="T116" s="12">
        <f>IF([3]基础状态预期!D128="","",[3]基础状态预期!D128)</f>
        <v>100.71243145193914</v>
      </c>
      <c r="U116" s="14">
        <f>IF([3]基础状态预期!F128="",0,[3]基础状态预期!F128)</f>
        <v>0</v>
      </c>
      <c r="V116" s="14">
        <f>IF([3]基础状态预期!G128="",0,[3]基础状态预期!G128)</f>
        <v>0</v>
      </c>
      <c r="W116" s="14">
        <f>IF([3]基础状态预期!H128="",0,[3]基础状态预期!H128)</f>
        <v>0</v>
      </c>
      <c r="X116" s="14">
        <f>IF([3]基础状态预期!I128="",0,[3]基础状态预期!I128)</f>
        <v>0</v>
      </c>
      <c r="Y116" s="14">
        <f>IF([3]基础状态预期!J128="",0,[3]基础状态预期!J128)</f>
        <v>6</v>
      </c>
      <c r="Z116" s="14">
        <f>IF([3]基础状态预期!K128="",MIN(8,Z117),[3]基础状态预期!K128)</f>
        <v>8</v>
      </c>
      <c r="AA116" s="14">
        <f>IF([3]基础状态预期!L128="",MIN(8,AA117),[3]基础状态预期!L128)</f>
        <v>8</v>
      </c>
      <c r="AB116" s="14">
        <f>IF([3]基础状态预期!M128="",MIN(8,AB117),[3]基础状态预期!M128)</f>
        <v>8</v>
      </c>
      <c r="AC116" s="14">
        <f>IF([3]基础状态预期!N128="",MIN(8,AC117),[3]基础状态预期!N128)</f>
        <v>8</v>
      </c>
      <c r="AD116" s="14">
        <f>IF([3]基础状态预期!O128="",MIN(8,AD117),[3]基础状态预期!O128)</f>
        <v>8</v>
      </c>
    </row>
    <row r="117" spans="3:30" x14ac:dyDescent="0.15">
      <c r="C117" s="5">
        <v>114</v>
      </c>
      <c r="D117" s="5">
        <f>'[1]功能-实力'!BF118</f>
        <v>29720820</v>
      </c>
      <c r="E117" s="5">
        <f>'[1]功能-实力'!BG118</f>
        <v>36429468</v>
      </c>
      <c r="F117" s="5">
        <f>'[1]功能-实力'!BH118</f>
        <v>41373456</v>
      </c>
      <c r="G117" s="5">
        <f>'[1]功能-实力'!BI118</f>
        <v>46911804</v>
      </c>
      <c r="H117" s="5">
        <f>'[1]功能-实力'!BJ118</f>
        <v>47819280</v>
      </c>
      <c r="S117" s="12">
        <f>IF([3]基础状态预期!C129="","",[3]基础状态预期!C129)</f>
        <v>951.99999999999989</v>
      </c>
      <c r="T117" s="12">
        <f>IF([3]基础状态预期!D129="","",[3]基础状态预期!D129)</f>
        <v>104.39233713204413</v>
      </c>
      <c r="U117" s="14">
        <f>IF([3]基础状态预期!F129="",0,[3]基础状态预期!F129)</f>
        <v>0</v>
      </c>
      <c r="V117" s="14">
        <f>IF([3]基础状态预期!G129="",0,[3]基础状态预期!G129)</f>
        <v>0</v>
      </c>
      <c r="W117" s="14">
        <f>IF([3]基础状态预期!H129="",0,[3]基础状态预期!H129)</f>
        <v>0</v>
      </c>
      <c r="X117" s="14">
        <f>IF([3]基础状态预期!I129="",0,[3]基础状态预期!I129)</f>
        <v>0</v>
      </c>
      <c r="Y117" s="14">
        <f>IF([3]基础状态预期!J129="",0,[3]基础状态预期!J129)</f>
        <v>6</v>
      </c>
      <c r="Z117" s="14">
        <f>IF([3]基础状态预期!K129="",MIN(8,Z118),[3]基础状态预期!K129)</f>
        <v>8</v>
      </c>
      <c r="AA117" s="14">
        <f>IF([3]基础状态预期!L129="",MIN(8,AA118),[3]基础状态预期!L129)</f>
        <v>8</v>
      </c>
      <c r="AB117" s="14">
        <f>IF([3]基础状态预期!M129="",MIN(8,AB118),[3]基础状态预期!M129)</f>
        <v>8</v>
      </c>
      <c r="AC117" s="14">
        <f>IF([3]基础状态预期!N129="",MIN(8,AC118),[3]基础状态预期!N129)</f>
        <v>8</v>
      </c>
      <c r="AD117" s="14">
        <f>IF([3]基础状态预期!O129="",MIN(8,AD118),[3]基础状态预期!O129)</f>
        <v>8</v>
      </c>
    </row>
    <row r="118" spans="3:30" x14ac:dyDescent="0.15">
      <c r="C118" s="5">
        <v>115</v>
      </c>
      <c r="D118" s="5">
        <f>'[1]功能-实力'!BF119</f>
        <v>30733320</v>
      </c>
      <c r="E118" s="5">
        <f>'[1]功能-实力'!BG119</f>
        <v>37551636</v>
      </c>
      <c r="F118" s="5">
        <f>'[1]功能-实力'!BH119</f>
        <v>42542544</v>
      </c>
      <c r="G118" s="5">
        <f>'[1]功能-实力'!BI119</f>
        <v>47926926</v>
      </c>
      <c r="H118" s="5">
        <f>'[1]功能-实力'!BJ119</f>
        <v>48856398</v>
      </c>
      <c r="S118" s="12">
        <f>IF([3]基础状态预期!C130="","",[3]基础状态预期!C130)</f>
        <v>1204</v>
      </c>
      <c r="T118" s="12">
        <f>IF([3]基础状态预期!D130="","",[3]基础状态预期!D130)</f>
        <v>107.81562240612369</v>
      </c>
      <c r="U118" s="14">
        <f>IF([3]基础状态预期!F130="",0,[3]基础状态预期!F130)</f>
        <v>0</v>
      </c>
      <c r="V118" s="14">
        <f>IF([3]基础状态预期!G130="",0,[3]基础状态预期!G130)</f>
        <v>0</v>
      </c>
      <c r="W118" s="14">
        <f>IF([3]基础状态预期!H130="",0,[3]基础状态预期!H130)</f>
        <v>0</v>
      </c>
      <c r="X118" s="14">
        <f>IF([3]基础状态预期!I130="",0,[3]基础状态预期!I130)</f>
        <v>0</v>
      </c>
      <c r="Y118" s="14">
        <f>IF([3]基础状态预期!J130="",0,[3]基础状态预期!J130)</f>
        <v>6</v>
      </c>
      <c r="Z118" s="14">
        <f>IF([3]基础状态预期!K130="",MIN(8,Z119),[3]基础状态预期!K130)</f>
        <v>8</v>
      </c>
      <c r="AA118" s="14">
        <f>IF([3]基础状态预期!L130="",MIN(8,AA119),[3]基础状态预期!L130)</f>
        <v>8</v>
      </c>
      <c r="AB118" s="14">
        <f>IF([3]基础状态预期!M130="",MIN(8,AB119),[3]基础状态预期!M130)</f>
        <v>8</v>
      </c>
      <c r="AC118" s="14">
        <f>IF([3]基础状态预期!N130="",MIN(8,AC119),[3]基础状态预期!N130)</f>
        <v>8</v>
      </c>
      <c r="AD118" s="14">
        <f>IF([3]基础状态预期!O130="",MIN(8,AD119),[3]基础状态预期!O130)</f>
        <v>8</v>
      </c>
    </row>
    <row r="119" spans="3:30" x14ac:dyDescent="0.15">
      <c r="C119" s="5">
        <v>116</v>
      </c>
      <c r="D119" s="5">
        <f>'[1]功能-实力'!BF120</f>
        <v>31750446</v>
      </c>
      <c r="E119" s="5">
        <f>'[1]功能-实力'!BG120</f>
        <v>38555172</v>
      </c>
      <c r="F119" s="5">
        <f>'[1]功能-实力'!BH120</f>
        <v>43753650</v>
      </c>
      <c r="G119" s="5">
        <f>'[1]功能-实力'!BI120</f>
        <v>48960150</v>
      </c>
      <c r="H119" s="5">
        <f>'[1]功能-实力'!BJ120</f>
        <v>49905690</v>
      </c>
      <c r="S119" s="12">
        <f>IF([3]基础状态预期!C131="","",[3]基础状态预期!C131)</f>
        <v>1540</v>
      </c>
      <c r="T119" s="12">
        <f>IF([3]基础状态预期!D131="","",[3]基础状态预期!D131)</f>
        <v>111.36292001894914</v>
      </c>
      <c r="U119" s="14">
        <f>IF([3]基础状态预期!F131="",0,[3]基础状态预期!F131)</f>
        <v>0</v>
      </c>
      <c r="V119" s="14">
        <f>IF([3]基础状态预期!G131="",0,[3]基础状态预期!G131)</f>
        <v>0</v>
      </c>
      <c r="W119" s="14">
        <f>IF([3]基础状态预期!H131="",0,[3]基础状态预期!H131)</f>
        <v>0</v>
      </c>
      <c r="X119" s="14">
        <f>IF([3]基础状态预期!I131="",0,[3]基础状态预期!I131)</f>
        <v>0</v>
      </c>
      <c r="Y119" s="14">
        <f>IF([3]基础状态预期!J131="",0,[3]基础状态预期!J131)</f>
        <v>6</v>
      </c>
      <c r="Z119" s="14">
        <f>IF([3]基础状态预期!K131="",MIN(8,Z120),[3]基础状态预期!K131)</f>
        <v>8</v>
      </c>
      <c r="AA119" s="14">
        <f>IF([3]基础状态预期!L131="",MIN(8,AA120),[3]基础状态预期!L131)</f>
        <v>8</v>
      </c>
      <c r="AB119" s="14">
        <f>IF([3]基础状态预期!M131="",MIN(8,AB120),[3]基础状态预期!M131)</f>
        <v>8</v>
      </c>
      <c r="AC119" s="14">
        <f>IF([3]基础状态预期!N131="",MIN(8,AC120),[3]基础状态预期!N131)</f>
        <v>8</v>
      </c>
      <c r="AD119" s="14">
        <f>IF([3]基础状态预期!O131="",MIN(8,AD120),[3]基础状态预期!O131)</f>
        <v>8</v>
      </c>
    </row>
    <row r="120" spans="3:30" x14ac:dyDescent="0.15">
      <c r="C120" s="5">
        <v>117</v>
      </c>
      <c r="D120" s="5">
        <f>'[1]功能-实力'!BF121</f>
        <v>32776254</v>
      </c>
      <c r="E120" s="5">
        <f>'[1]功能-实力'!BG121</f>
        <v>39572286</v>
      </c>
      <c r="F120" s="5">
        <f>'[1]功能-实力'!BH121</f>
        <v>44937444</v>
      </c>
      <c r="G120" s="5">
        <f>'[1]功能-实力'!BI121</f>
        <v>49962888</v>
      </c>
      <c r="H120" s="5">
        <f>'[1]功能-实力'!BJ121</f>
        <v>50936640</v>
      </c>
      <c r="S120" s="12">
        <f>IF([3]基础状态预期!C132="","",[3]基础状态预期!C132)</f>
        <v>1959.9999999999998</v>
      </c>
      <c r="T120" s="12">
        <f>IF([3]基础状态预期!D132="","",[3]基础状态预期!D132)</f>
        <v>114.91934497223426</v>
      </c>
      <c r="U120" s="14">
        <f>IF([3]基础状态预期!F132="",0,[3]基础状态预期!F132)</f>
        <v>0</v>
      </c>
      <c r="V120" s="14">
        <f>IF([3]基础状态预期!G132="",0,[3]基础状态预期!G132)</f>
        <v>0</v>
      </c>
      <c r="W120" s="14">
        <f>IF([3]基础状态预期!H132="",0,[3]基础状态预期!H132)</f>
        <v>0</v>
      </c>
      <c r="X120" s="14">
        <f>IF([3]基础状态预期!I132="",0,[3]基础状态预期!I132)</f>
        <v>0</v>
      </c>
      <c r="Y120" s="14">
        <f>IF([3]基础状态预期!J132="",0,[3]基础状态预期!J132)</f>
        <v>6</v>
      </c>
      <c r="Z120" s="14">
        <f>IF([3]基础状态预期!K132="",MIN(8,Z121),[3]基础状态预期!K132)</f>
        <v>8</v>
      </c>
      <c r="AA120" s="14">
        <f>IF([3]基础状态预期!L132="",MIN(8,AA121),[3]基础状态预期!L132)</f>
        <v>8</v>
      </c>
      <c r="AB120" s="14">
        <f>IF([3]基础状态预期!M132="",MIN(8,AB121),[3]基础状态预期!M132)</f>
        <v>8</v>
      </c>
      <c r="AC120" s="14">
        <f>IF([3]基础状态预期!N132="",MIN(8,AC121),[3]基础状态预期!N132)</f>
        <v>8</v>
      </c>
      <c r="AD120" s="14">
        <f>IF([3]基础状态预期!O132="",MIN(8,AD121),[3]基础状态预期!O132)</f>
        <v>8</v>
      </c>
    </row>
    <row r="121" spans="3:30" x14ac:dyDescent="0.15">
      <c r="C121" s="5">
        <v>118</v>
      </c>
      <c r="D121" s="5">
        <f>'[1]功能-实力'!BF122</f>
        <v>33828222</v>
      </c>
      <c r="E121" s="5">
        <f>'[1]功能-实力'!BG122</f>
        <v>40599006</v>
      </c>
      <c r="F121" s="5">
        <f>'[1]功能-实力'!BH122</f>
        <v>46154676</v>
      </c>
      <c r="G121" s="5">
        <f>'[1]功能-实力'!BI122</f>
        <v>50978514</v>
      </c>
      <c r="H121" s="5">
        <f>'[1]功能-实力'!BJ122</f>
        <v>51970404</v>
      </c>
      <c r="S121" s="12">
        <f>IF([3]基础状态预期!C133="","",[3]基础状态预期!C133)</f>
        <v>2506</v>
      </c>
      <c r="T121" s="12">
        <f>IF([3]基础状态预期!D133="","",[3]基础状态预期!D133)</f>
        <v>118.44741987029688</v>
      </c>
      <c r="U121" s="14">
        <f>IF([3]基础状态预期!F133="",0,[3]基础状态预期!F133)</f>
        <v>0</v>
      </c>
      <c r="V121" s="14">
        <f>IF([3]基础状态预期!G133="",0,[3]基础状态预期!G133)</f>
        <v>0</v>
      </c>
      <c r="W121" s="14">
        <f>IF([3]基础状态预期!H133="",0,[3]基础状态预期!H133)</f>
        <v>0</v>
      </c>
      <c r="X121" s="14">
        <f>IF([3]基础状态预期!I133="",0,[3]基础状态预期!I133)</f>
        <v>0</v>
      </c>
      <c r="Y121" s="14">
        <f>IF([3]基础状态预期!J133="",0,[3]基础状态预期!J133)</f>
        <v>6</v>
      </c>
      <c r="Z121" s="14">
        <f>IF([3]基础状态预期!K133="",MIN(8,Z122),[3]基础状态预期!K133)</f>
        <v>8</v>
      </c>
      <c r="AA121" s="14">
        <f>IF([3]基础状态预期!L133="",MIN(8,AA122),[3]基础状态预期!L133)</f>
        <v>8</v>
      </c>
      <c r="AB121" s="14">
        <f>IF([3]基础状态预期!M133="",MIN(8,AB122),[3]基础状态预期!M133)</f>
        <v>8</v>
      </c>
      <c r="AC121" s="14">
        <f>IF([3]基础状态预期!N133="",MIN(8,AC122),[3]基础状态预期!N133)</f>
        <v>8</v>
      </c>
      <c r="AD121" s="14">
        <f>IF([3]基础状态预期!O133="",MIN(8,AD122),[3]基础状态预期!O133)</f>
        <v>8</v>
      </c>
    </row>
    <row r="122" spans="3:30" x14ac:dyDescent="0.15">
      <c r="C122" s="5">
        <v>119</v>
      </c>
      <c r="D122" s="5">
        <f>'[1]功能-实力'!BF123</f>
        <v>34908366</v>
      </c>
      <c r="E122" s="5">
        <f>'[1]功能-实力'!BG123</f>
        <v>41653224</v>
      </c>
      <c r="F122" s="5">
        <f>'[1]功能-实力'!BH123</f>
        <v>47391414</v>
      </c>
      <c r="G122" s="5">
        <f>'[1]功能-实力'!BI123</f>
        <v>52016652</v>
      </c>
      <c r="H122" s="5">
        <f>'[1]功能-实力'!BJ123</f>
        <v>53002092</v>
      </c>
      <c r="S122" s="12">
        <f>IF([3]基础状态预期!C134="","",[3]基础状态预期!C134)</f>
        <v>3178</v>
      </c>
      <c r="T122" s="12">
        <f>IF([3]基础状态预期!D134="","",[3]基础状态预期!D134)</f>
        <v>121.97211685892326</v>
      </c>
      <c r="U122" s="14">
        <f>IF([3]基础状态预期!F134="",0,[3]基础状态预期!F134)</f>
        <v>0</v>
      </c>
      <c r="V122" s="14">
        <f>IF([3]基础状态预期!G134="",0,[3]基础状态预期!G134)</f>
        <v>0</v>
      </c>
      <c r="W122" s="14">
        <f>IF([3]基础状态预期!H134="",0,[3]基础状态预期!H134)</f>
        <v>0</v>
      </c>
      <c r="X122" s="14">
        <f>IF([3]基础状态预期!I134="",0,[3]基础状态预期!I134)</f>
        <v>0</v>
      </c>
      <c r="Y122" s="14">
        <f>IF([3]基础状态预期!J134="",0,[3]基础状态预期!J134)</f>
        <v>6</v>
      </c>
      <c r="Z122" s="14">
        <f>IF([3]基础状态预期!K134="",MIN(8,Z123),[3]基础状态预期!K134)</f>
        <v>8</v>
      </c>
      <c r="AA122" s="14">
        <f>IF([3]基础状态预期!L134="",MIN(8,AA123),[3]基础状态预期!L134)</f>
        <v>8</v>
      </c>
      <c r="AB122" s="14">
        <f>IF([3]基础状态预期!M134="",MIN(8,AB123),[3]基础状态预期!M134)</f>
        <v>8</v>
      </c>
      <c r="AC122" s="14">
        <f>IF([3]基础状态预期!N134="",MIN(8,AC123),[3]基础状态预期!N134)</f>
        <v>8</v>
      </c>
      <c r="AD122" s="14">
        <f>IF([3]基础状态预期!O134="",MIN(8,AD123),[3]基础状态预期!O134)</f>
        <v>8</v>
      </c>
    </row>
    <row r="123" spans="3:30" x14ac:dyDescent="0.15">
      <c r="C123" s="5">
        <v>120</v>
      </c>
      <c r="D123" s="5">
        <f>'[1]功能-实力'!BF124</f>
        <v>36017922</v>
      </c>
      <c r="E123" s="5">
        <f>'[1]功能-实力'!BG124</f>
        <v>42725610</v>
      </c>
      <c r="F123" s="5">
        <f>'[1]功能-实力'!BH124</f>
        <v>48657816</v>
      </c>
      <c r="G123" s="5">
        <f>'[1]功能-实力'!BI124</f>
        <v>53046354</v>
      </c>
      <c r="H123" s="5">
        <f>'[1]功能-实力'!BJ124</f>
        <v>54060498</v>
      </c>
      <c r="S123" s="12">
        <f>IF([3]基础状态预期!C135="","",[3]基础状态预期!C135)</f>
        <v>4059.9999999999995</v>
      </c>
      <c r="T123" s="12">
        <f>IF([3]基础状态预期!D135="","",[3]基础状态预期!D135)</f>
        <v>125.41953077529134</v>
      </c>
      <c r="U123" s="14">
        <f>IF([3]基础状态预期!F135="",0,[3]基础状态预期!F135)</f>
        <v>0</v>
      </c>
      <c r="V123" s="14">
        <f>IF([3]基础状态预期!G135="",0,[3]基础状态预期!G135)</f>
        <v>0</v>
      </c>
      <c r="W123" s="14">
        <f>IF([3]基础状态预期!H135="",0,[3]基础状态预期!H135)</f>
        <v>0</v>
      </c>
      <c r="X123" s="14">
        <f>IF([3]基础状态预期!I135="",0,[3]基础状态预期!I135)</f>
        <v>0</v>
      </c>
      <c r="Y123" s="14">
        <f>IF([3]基础状态预期!J135="",0,[3]基础状态预期!J135)</f>
        <v>6</v>
      </c>
      <c r="Z123" s="14">
        <f>IF([3]基础状态预期!K135="",MIN(8,Z124),[3]基础状态预期!K135)</f>
        <v>8</v>
      </c>
      <c r="AA123" s="14">
        <f>IF([3]基础状态预期!L135="",MIN(8,AA124),[3]基础状态预期!L135)</f>
        <v>8</v>
      </c>
      <c r="AB123" s="14">
        <f>IF([3]基础状态预期!M135="",MIN(8,AB124),[3]基础状态预期!M135)</f>
        <v>8</v>
      </c>
      <c r="AC123" s="14">
        <f>IF([3]基础状态预期!N135="",MIN(8,AC124),[3]基础状态预期!N135)</f>
        <v>8</v>
      </c>
      <c r="AD123" s="14">
        <f>IF([3]基础状态预期!O135="",MIN(8,AD124),[3]基础状态预期!O135)</f>
        <v>8</v>
      </c>
    </row>
    <row r="124" spans="3:30" x14ac:dyDescent="0.15">
      <c r="C124" s="5">
        <v>121</v>
      </c>
      <c r="D124" s="5">
        <f>'[1]功能-实力'!BF125</f>
        <v>37002204</v>
      </c>
      <c r="E124" s="5">
        <f>'[1]功能-实力'!BG125</f>
        <v>43765122</v>
      </c>
      <c r="F124" s="5">
        <f>'[1]功能-实力'!BH125</f>
        <v>49847604</v>
      </c>
      <c r="G124" s="5">
        <f>'[1]功能-实力'!BI125</f>
        <v>54105162</v>
      </c>
      <c r="H124" s="5">
        <f>'[1]功能-实力'!BJ125</f>
        <v>55130538</v>
      </c>
      <c r="S124" s="12">
        <f>IF([3]基础状态预期!C136="","",[3]基础状态预期!C136)</f>
        <v>5194</v>
      </c>
      <c r="T124" s="12">
        <f>IF([3]基础状态预期!D136="","",[3]基础状态预期!D136)</f>
        <v>129.09045404756728</v>
      </c>
      <c r="U124" s="14">
        <f>IF([3]基础状态预期!F136="",0,[3]基础状态预期!F136)</f>
        <v>0</v>
      </c>
      <c r="V124" s="14">
        <f>IF([3]基础状态预期!G136="",0,[3]基础状态预期!G136)</f>
        <v>0</v>
      </c>
      <c r="W124" s="14">
        <f>IF([3]基础状态预期!H136="",0,[3]基础状态预期!H136)</f>
        <v>0</v>
      </c>
      <c r="X124" s="14">
        <f>IF([3]基础状态预期!I136="",0,[3]基础状态预期!I136)</f>
        <v>0</v>
      </c>
      <c r="Y124" s="14">
        <f>IF([3]基础状态预期!J136="",0,[3]基础状态预期!J136)</f>
        <v>6</v>
      </c>
      <c r="Z124" s="14">
        <f>IF([3]基础状态预期!K136="",MIN(8,Z125),[3]基础状态预期!K136)</f>
        <v>8</v>
      </c>
      <c r="AA124" s="14">
        <f>IF([3]基础状态预期!L136="",MIN(8,AA125),[3]基础状态预期!L136)</f>
        <v>8</v>
      </c>
      <c r="AB124" s="14">
        <f>IF([3]基础状态预期!M136="",MIN(8,AB125),[3]基础状态预期!M136)</f>
        <v>8</v>
      </c>
      <c r="AC124" s="14">
        <f>IF([3]基础状态预期!N136="",MIN(8,AC125),[3]基础状态预期!N136)</f>
        <v>8</v>
      </c>
      <c r="AD124" s="14">
        <f>IF([3]基础状态预期!O136="",MIN(8,AD125),[3]基础状态预期!O136)</f>
        <v>8</v>
      </c>
    </row>
    <row r="125" spans="3:30" x14ac:dyDescent="0.15">
      <c r="C125" s="5">
        <v>122</v>
      </c>
      <c r="D125" s="5">
        <f>'[1]功能-实力'!BF126</f>
        <v>38008968</v>
      </c>
      <c r="E125" s="5">
        <f>'[1]功能-实力'!BG126</f>
        <v>44814594</v>
      </c>
      <c r="F125" s="5">
        <f>'[1]功能-实力'!BH126</f>
        <v>51081696</v>
      </c>
      <c r="G125" s="5">
        <f>'[1]功能-实力'!BI126</f>
        <v>55178130</v>
      </c>
      <c r="H125" s="5">
        <f>'[1]功能-实力'!BJ126</f>
        <v>56215740</v>
      </c>
      <c r="S125" s="12">
        <f>IF([3]基础状态预期!C137="","",[3]基础状态预期!C137)</f>
        <v>6622</v>
      </c>
      <c r="T125" s="12">
        <f>IF([3]基础状态预期!D137="","",[3]基础状态预期!D137)</f>
        <v>132.53488795708068</v>
      </c>
      <c r="U125" s="14">
        <f>IF([3]基础状态预期!F137="",0,[3]基础状态预期!F137)</f>
        <v>0</v>
      </c>
      <c r="V125" s="14">
        <f>IF([3]基础状态预期!G137="",0,[3]基础状态预期!G137)</f>
        <v>0</v>
      </c>
      <c r="W125" s="14">
        <f>IF([3]基础状态预期!H137="",0,[3]基础状态预期!H137)</f>
        <v>0</v>
      </c>
      <c r="X125" s="14">
        <f>IF([3]基础状态预期!I137="",0,[3]基础状态预期!I137)</f>
        <v>0</v>
      </c>
      <c r="Y125" s="14">
        <f>IF([3]基础状态预期!J137="",0,[3]基础状态预期!J137)</f>
        <v>6</v>
      </c>
      <c r="Z125" s="14">
        <f>IF([3]基础状态预期!K137="",MIN(8,Z126),[3]基础状态预期!K137)</f>
        <v>8</v>
      </c>
      <c r="AA125" s="14">
        <f>IF([3]基础状态预期!L137="",MIN(8,AA126),[3]基础状态预期!L137)</f>
        <v>8</v>
      </c>
      <c r="AB125" s="14">
        <f>IF([3]基础状态预期!M137="",MIN(8,AB126),[3]基础状态预期!M137)</f>
        <v>8</v>
      </c>
      <c r="AC125" s="14">
        <f>IF([3]基础状态预期!N137="",MIN(8,AC126),[3]基础状态预期!N137)</f>
        <v>8</v>
      </c>
      <c r="AD125" s="14">
        <f>IF([3]基础状态预期!O137="",MIN(8,AD126),[3]基础状态预期!O137)</f>
        <v>8</v>
      </c>
    </row>
    <row r="126" spans="3:30" x14ac:dyDescent="0.15">
      <c r="C126" s="5">
        <v>123</v>
      </c>
      <c r="D126" s="5">
        <f>'[1]功能-实力'!BF127</f>
        <v>39003354</v>
      </c>
      <c r="E126" s="5">
        <f>'[1]功能-实力'!BG127</f>
        <v>45907158</v>
      </c>
      <c r="F126" s="5">
        <f>'[1]功能-实力'!BH127</f>
        <v>52342254</v>
      </c>
      <c r="G126" s="5">
        <f>'[1]功能-实力'!BI127</f>
        <v>56290146</v>
      </c>
      <c r="H126" s="5">
        <f>'[1]功能-实力'!BJ127</f>
        <v>57299976</v>
      </c>
      <c r="S126" s="12">
        <f>IF([3]基础状态预期!C138="","",[3]基础状态预期!C138)</f>
        <v>8428</v>
      </c>
      <c r="T126" s="12">
        <f>IF([3]基础状态预期!D138="","",[3]基础状态预期!D138)</f>
        <v>136.07141427598387</v>
      </c>
      <c r="U126" s="14">
        <f>IF([3]基础状态预期!F138="",0,[3]基础状态预期!F138)</f>
        <v>0</v>
      </c>
      <c r="V126" s="14">
        <f>IF([3]基础状态预期!G138="",0,[3]基础状态预期!G138)</f>
        <v>0</v>
      </c>
      <c r="W126" s="14">
        <f>IF([3]基础状态预期!H138="",0,[3]基础状态预期!H138)</f>
        <v>0</v>
      </c>
      <c r="X126" s="14">
        <f>IF([3]基础状态预期!I138="",0,[3]基础状态预期!I138)</f>
        <v>0</v>
      </c>
      <c r="Y126" s="14">
        <f>IF([3]基础状态预期!J138="",0,[3]基础状态预期!J138)</f>
        <v>6</v>
      </c>
      <c r="Z126" s="14">
        <f>IF([3]基础状态预期!K138="",MIN(8,Z127),[3]基础状态预期!K138)</f>
        <v>8</v>
      </c>
      <c r="AA126" s="14">
        <f>IF([3]基础状态预期!L138="",MIN(8,AA127),[3]基础状态预期!L138)</f>
        <v>8</v>
      </c>
      <c r="AB126" s="14">
        <f>IF([3]基础状态预期!M138="",MIN(8,AB127),[3]基础状态预期!M138)</f>
        <v>8</v>
      </c>
      <c r="AC126" s="14">
        <f>IF([3]基础状态预期!N138="",MIN(8,AC127),[3]基础状态预期!N138)</f>
        <v>8</v>
      </c>
      <c r="AD126" s="14">
        <f>IF([3]基础状态预期!O138="",MIN(8,AD127),[3]基础状态预期!O138)</f>
        <v>8</v>
      </c>
    </row>
    <row r="127" spans="3:30" x14ac:dyDescent="0.15">
      <c r="C127" s="5">
        <v>124</v>
      </c>
      <c r="D127" s="5">
        <f>'[1]功能-实力'!BF128</f>
        <v>40014336</v>
      </c>
      <c r="E127" s="5">
        <f>'[1]功能-实力'!BG128</f>
        <v>47018916</v>
      </c>
      <c r="F127" s="5">
        <f>'[1]功能-实力'!BH128</f>
        <v>53630706</v>
      </c>
      <c r="G127" s="5">
        <f>'[1]功能-实力'!BI128</f>
        <v>57369606</v>
      </c>
      <c r="H127" s="5">
        <f>'[1]功能-实力'!BJ128</f>
        <v>58393974</v>
      </c>
      <c r="S127" s="12">
        <f>IF([3]基础状态预期!C139="","",[3]基础状态预期!C139)</f>
        <v>10738</v>
      </c>
      <c r="T127" s="12">
        <f>IF([3]基础状态预期!D139="","",[3]基础状态预期!D139)</f>
        <v>139.56936219880694</v>
      </c>
      <c r="U127" s="14">
        <f>IF([3]基础状态预期!F139="",0,[3]基础状态预期!F139)</f>
        <v>0</v>
      </c>
      <c r="V127" s="14">
        <f>IF([3]基础状态预期!G139="",0,[3]基础状态预期!G139)</f>
        <v>0</v>
      </c>
      <c r="W127" s="14">
        <f>IF([3]基础状态预期!H139="",0,[3]基础状态预期!H139)</f>
        <v>0</v>
      </c>
      <c r="X127" s="14">
        <f>IF([3]基础状态预期!I139="",0,[3]基础状态预期!I139)</f>
        <v>0</v>
      </c>
      <c r="Y127" s="14">
        <f>IF([3]基础状态预期!J139="",0,[3]基础状态预期!J139)</f>
        <v>6</v>
      </c>
      <c r="Z127" s="14">
        <f>IF([3]基础状态预期!K139="",MIN(8,Z128),[3]基础状态预期!K139)</f>
        <v>8</v>
      </c>
      <c r="AA127" s="14">
        <f>IF([3]基础状态预期!L139="",MIN(8,AA128),[3]基础状态预期!L139)</f>
        <v>8</v>
      </c>
      <c r="AB127" s="14">
        <f>IF([3]基础状态预期!M139="",MIN(8,AB128),[3]基础状态预期!M139)</f>
        <v>8</v>
      </c>
      <c r="AC127" s="14">
        <f>IF([3]基础状态预期!N139="",MIN(8,AC128),[3]基础状态预期!N139)</f>
        <v>8</v>
      </c>
      <c r="AD127" s="14">
        <f>IF([3]基础状态预期!O139="",MIN(8,AD128),[3]基础状态预期!O139)</f>
        <v>8</v>
      </c>
    </row>
    <row r="128" spans="3:30" x14ac:dyDescent="0.15">
      <c r="C128" s="5">
        <v>125</v>
      </c>
      <c r="D128" s="5">
        <f>'[1]功能-实力'!BF129</f>
        <v>41040822</v>
      </c>
      <c r="E128" s="5">
        <f>'[1]功能-实力'!BG129</f>
        <v>48139596</v>
      </c>
      <c r="F128" s="5">
        <f>'[1]功能-实力'!BH129</f>
        <v>54900438</v>
      </c>
      <c r="G128" s="5">
        <f>'[1]功能-实力'!BI129</f>
        <v>58463418</v>
      </c>
      <c r="H128" s="5">
        <f>'[1]功能-实力'!BJ129</f>
        <v>59462364</v>
      </c>
      <c r="S128" s="12">
        <f>IF([3]基础状态预期!C140="","",[3]基础状态预期!C140)</f>
        <v>13678</v>
      </c>
      <c r="T128" s="12">
        <f>IF([3]基础状态预期!D140="","",[3]基础状态预期!D140)</f>
        <v>143.08413721822018</v>
      </c>
      <c r="U128" s="14">
        <f>IF([3]基础状态预期!F140="",0,[3]基础状态预期!F140)</f>
        <v>0</v>
      </c>
      <c r="V128" s="14">
        <f>IF([3]基础状态预期!G140="",0,[3]基础状态预期!G140)</f>
        <v>0</v>
      </c>
      <c r="W128" s="14">
        <f>IF([3]基础状态预期!H140="",0,[3]基础状态预期!H140)</f>
        <v>0</v>
      </c>
      <c r="X128" s="14">
        <f>IF([3]基础状态预期!I140="",0,[3]基础状态预期!I140)</f>
        <v>0</v>
      </c>
      <c r="Y128" s="14">
        <f>IF([3]基础状态预期!J140="",0,[3]基础状态预期!J140)</f>
        <v>6</v>
      </c>
      <c r="Z128" s="14">
        <f>IF([3]基础状态预期!K140="",MIN(8,Z129),[3]基础状态预期!K140)</f>
        <v>8</v>
      </c>
      <c r="AA128" s="14">
        <f>IF([3]基础状态预期!L140="",MIN(8,AA129),[3]基础状态预期!L140)</f>
        <v>8</v>
      </c>
      <c r="AB128" s="14">
        <f>IF([3]基础状态预期!M140="",MIN(8,AB129),[3]基础状态预期!M140)</f>
        <v>8</v>
      </c>
      <c r="AC128" s="14">
        <f>IF([3]基础状态预期!N140="",MIN(8,AC129),[3]基础状态预期!N140)</f>
        <v>8</v>
      </c>
      <c r="AD128" s="14">
        <f>IF([3]基础状态预期!O140="",MIN(8,AD129),[3]基础状态预期!O140)</f>
        <v>8</v>
      </c>
    </row>
    <row r="129" spans="3:30" x14ac:dyDescent="0.15">
      <c r="C129" s="5">
        <v>126</v>
      </c>
      <c r="D129" s="5">
        <f>'[1]功能-实力'!BF130</f>
        <v>42090096</v>
      </c>
      <c r="E129" s="5">
        <f>'[1]功能-实力'!BG130</f>
        <v>49184340</v>
      </c>
      <c r="F129" s="5">
        <f>'[1]功能-实力'!BH130</f>
        <v>56132442</v>
      </c>
      <c r="G129" s="5">
        <f>'[1]功能-实力'!BI130</f>
        <v>59484066</v>
      </c>
      <c r="H129" s="5">
        <f>'[1]功能-实力'!BJ130</f>
        <v>60499716</v>
      </c>
      <c r="S129" s="12">
        <f>IF([3]基础状态预期!C141="","",[3]基础状态预期!C141)</f>
        <v>17416</v>
      </c>
      <c r="T129" s="12">
        <f>IF([3]基础状态预期!D141="","",[3]基础状态预期!D141)</f>
        <v>146.62302564097175</v>
      </c>
      <c r="U129" s="14">
        <f>IF([3]基础状态预期!F141="",0,[3]基础状态预期!F141)</f>
        <v>0</v>
      </c>
      <c r="V129" s="14">
        <f>IF([3]基础状态预期!G141="",0,[3]基础状态预期!G141)</f>
        <v>0</v>
      </c>
      <c r="W129" s="14">
        <f>IF([3]基础状态预期!H141="",0,[3]基础状态预期!H141)</f>
        <v>0</v>
      </c>
      <c r="X129" s="14">
        <f>IF([3]基础状态预期!I141="",0,[3]基础状态预期!I141)</f>
        <v>0</v>
      </c>
      <c r="Y129" s="14">
        <f>IF([3]基础状态预期!J141="",0,[3]基础状态预期!J141)</f>
        <v>6</v>
      </c>
      <c r="Z129" s="14">
        <f>IF([3]基础状态预期!K141="",MIN(8,Z130),[3]基础状态预期!K141)</f>
        <v>8</v>
      </c>
      <c r="AA129" s="14">
        <f>IF([3]基础状态预期!L141="",MIN(8,AA130),[3]基础状态预期!L141)</f>
        <v>8</v>
      </c>
      <c r="AB129" s="14">
        <f>IF([3]基础状态预期!M141="",MIN(8,AB130),[3]基础状态预期!M141)</f>
        <v>8</v>
      </c>
      <c r="AC129" s="14">
        <f>IF([3]基础状态预期!N141="",MIN(8,AC130),[3]基础状态预期!N141)</f>
        <v>8</v>
      </c>
      <c r="AD129" s="14">
        <f>IF([3]基础状态预期!O141="",MIN(8,AD130),[3]基础状态预期!O141)</f>
        <v>8</v>
      </c>
    </row>
    <row r="130" spans="3:30" x14ac:dyDescent="0.15">
      <c r="C130" s="5">
        <v>127</v>
      </c>
      <c r="D130" s="5">
        <f>'[1]功能-实力'!BF131</f>
        <v>43152864</v>
      </c>
      <c r="E130" s="5">
        <f>'[1]功能-实力'!BG131</f>
        <v>50258622</v>
      </c>
      <c r="F130" s="5">
        <f>'[1]功能-实力'!BH131</f>
        <v>57361332</v>
      </c>
      <c r="G130" s="5">
        <f>'[1]功能-实力'!BI131</f>
        <v>60520260</v>
      </c>
      <c r="H130" s="5">
        <f>'[1]功能-实力'!BJ131</f>
        <v>61552422</v>
      </c>
      <c r="S130" s="12">
        <f>IF([3]基础状态预期!C142="","",[3]基础状态预期!C142)</f>
        <v>22204</v>
      </c>
      <c r="T130" s="12">
        <f>IF([3]基础状态预期!D142="","",[3]基础状态预期!D142)</f>
        <v>150.12999034316616</v>
      </c>
      <c r="U130" s="14">
        <f>IF([3]基础状态预期!F142="",0,[3]基础状态预期!F142)</f>
        <v>0</v>
      </c>
      <c r="V130" s="14">
        <f>IF([3]基础状态预期!G142="",0,[3]基础状态预期!G142)</f>
        <v>0</v>
      </c>
      <c r="W130" s="14">
        <f>IF([3]基础状态预期!H142="",0,[3]基础状态预期!H142)</f>
        <v>0</v>
      </c>
      <c r="X130" s="14">
        <f>IF([3]基础状态预期!I142="",0,[3]基础状态预期!I142)</f>
        <v>0</v>
      </c>
      <c r="Y130" s="14">
        <f>IF([3]基础状态预期!J142="",0,[3]基础状态预期!J142)</f>
        <v>6</v>
      </c>
      <c r="Z130" s="14">
        <f>IF([3]基础状态预期!K142="",MIN(8,Z131),[3]基础状态预期!K142)</f>
        <v>8</v>
      </c>
      <c r="AA130" s="14">
        <f>IF([3]基础状态预期!L142="",MIN(8,AA131),[3]基础状态预期!L142)</f>
        <v>8</v>
      </c>
      <c r="AB130" s="14">
        <f>IF([3]基础状态预期!M142="",MIN(8,AB131),[3]基础状态预期!M142)</f>
        <v>8</v>
      </c>
      <c r="AC130" s="14">
        <f>IF([3]基础状态预期!N142="",MIN(8,AC131),[3]基础状态预期!N142)</f>
        <v>8</v>
      </c>
      <c r="AD130" s="14">
        <f>IF([3]基础状态预期!O142="",MIN(8,AD131),[3]基础状态预期!O142)</f>
        <v>8</v>
      </c>
    </row>
    <row r="131" spans="3:30" x14ac:dyDescent="0.15">
      <c r="C131" s="5">
        <v>128</v>
      </c>
      <c r="D131" s="5">
        <f>'[1]功能-实力'!BF132</f>
        <v>44250168</v>
      </c>
      <c r="E131" s="5">
        <f>'[1]功能-实力'!BG132</f>
        <v>51330948</v>
      </c>
      <c r="F131" s="5">
        <f>'[1]功能-实力'!BH132</f>
        <v>58618800</v>
      </c>
      <c r="G131" s="5">
        <f>'[1]功能-实力'!BI132</f>
        <v>61575516</v>
      </c>
      <c r="H131" s="5">
        <f>'[1]功能-实力'!BJ132</f>
        <v>62631204</v>
      </c>
      <c r="S131" s="12">
        <f>IF([3]基础状态预期!C143="","",[3]基础状态预期!C143)</f>
        <v>28294</v>
      </c>
      <c r="T131" s="12">
        <f>IF([3]基础状态预期!D143="","",[3]基础状态预期!D143)</f>
        <v>153.11600330857166</v>
      </c>
      <c r="U131" s="14">
        <f>IF([3]基础状态预期!F143="",0,[3]基础状态预期!F143)</f>
        <v>0</v>
      </c>
      <c r="V131" s="14">
        <f>IF([3]基础状态预期!G143="",0,[3]基础状态预期!G143)</f>
        <v>0</v>
      </c>
      <c r="W131" s="14">
        <f>IF([3]基础状态预期!H143="",0,[3]基础状态预期!H143)</f>
        <v>0</v>
      </c>
      <c r="X131" s="14">
        <f>IF([3]基础状态预期!I143="",0,[3]基础状态预期!I143)</f>
        <v>0</v>
      </c>
      <c r="Y131" s="14">
        <f>IF([3]基础状态预期!J143="",0,[3]基础状态预期!J143)</f>
        <v>6</v>
      </c>
      <c r="Z131" s="14">
        <f>IF([3]基础状态预期!K143="",MIN(8,Z132),[3]基础状态预期!K143)</f>
        <v>8</v>
      </c>
      <c r="AA131" s="14">
        <f>IF([3]基础状态预期!L143="",MIN(8,AA132),[3]基础状态预期!L143)</f>
        <v>8</v>
      </c>
      <c r="AB131" s="14">
        <f>IF([3]基础状态预期!M143="",MIN(8,AB132),[3]基础状态预期!M143)</f>
        <v>8</v>
      </c>
      <c r="AC131" s="14">
        <f>IF([3]基础状态预期!N143="",MIN(8,AC132),[3]基础状态预期!N143)</f>
        <v>8</v>
      </c>
      <c r="AD131" s="14">
        <f>IF([3]基础状态预期!O143="",MIN(8,AD132),[3]基础状态预期!O143)</f>
        <v>8</v>
      </c>
    </row>
    <row r="132" spans="3:30" x14ac:dyDescent="0.15">
      <c r="C132" s="5">
        <v>129</v>
      </c>
      <c r="D132" s="5">
        <f>'[1]功能-实力'!BF133</f>
        <v>45358890</v>
      </c>
      <c r="E132" s="5">
        <f>'[1]功能-实力'!BG133</f>
        <v>52445892</v>
      </c>
      <c r="F132" s="5">
        <f>'[1]功能-实力'!BH133</f>
        <v>59921280</v>
      </c>
      <c r="G132" s="5">
        <f>'[1]功能-实力'!BI133</f>
        <v>62675856</v>
      </c>
      <c r="H132" s="5">
        <f>'[1]功能-实力'!BJ133</f>
        <v>63747906</v>
      </c>
      <c r="S132" s="12">
        <f>IF([3]基础状态预期!C144="","",[3]基础状态预期!C144)</f>
        <v>36064</v>
      </c>
      <c r="T132" s="12">
        <f>IF([3]基础状态预期!D144="","",[3]基础状态预期!D144)</f>
        <v>154.20294442048996</v>
      </c>
      <c r="U132" s="14">
        <f>IF([3]基础状态预期!F144="",0,[3]基础状态预期!F144)</f>
        <v>0</v>
      </c>
      <c r="V132" s="14">
        <f>IF([3]基础状态预期!G144="",0,[3]基础状态预期!G144)</f>
        <v>0</v>
      </c>
      <c r="W132" s="14">
        <f>IF([3]基础状态预期!H144="",0,[3]基础状态预期!H144)</f>
        <v>0</v>
      </c>
      <c r="X132" s="14">
        <f>IF([3]基础状态预期!I144="",0,[3]基础状态预期!I144)</f>
        <v>0</v>
      </c>
      <c r="Y132" s="14">
        <f>IF([3]基础状态预期!J144="",0,[3]基础状态预期!J144)</f>
        <v>6</v>
      </c>
      <c r="Z132" s="14">
        <f>IF([3]基础状态预期!K144="",MIN(8,Z133),[3]基础状态预期!K144)</f>
        <v>8</v>
      </c>
      <c r="AA132" s="14">
        <f>IF([3]基础状态预期!L144="",MIN(8,AA133),[3]基础状态预期!L144)</f>
        <v>8</v>
      </c>
      <c r="AB132" s="14">
        <f>IF([3]基础状态预期!M144="",MIN(8,AB133),[3]基础状态预期!M144)</f>
        <v>8</v>
      </c>
      <c r="AC132" s="14">
        <f>IF([3]基础状态预期!N144="",MIN(8,AC133),[3]基础状态预期!N144)</f>
        <v>8</v>
      </c>
      <c r="AD132" s="14">
        <f>IF([3]基础状态预期!O144="",MIN(8,AD133),[3]基础状态预期!O144)</f>
        <v>8</v>
      </c>
    </row>
    <row r="133" spans="3:30" x14ac:dyDescent="0.15">
      <c r="C133" s="5">
        <v>130</v>
      </c>
      <c r="D133" s="5">
        <f>'[1]功能-实力'!BF134</f>
        <v>46502736</v>
      </c>
      <c r="E133" s="5">
        <f>'[1]功能-实力'!BG134</f>
        <v>53579772</v>
      </c>
      <c r="F133" s="5">
        <f>'[1]功能-实力'!BH134</f>
        <v>61255326</v>
      </c>
      <c r="G133" s="5">
        <f>'[1]功能-实力'!BI134</f>
        <v>63797202</v>
      </c>
      <c r="H133" s="5">
        <f>'[1]功能-实力'!BJ134</f>
        <v>64883658</v>
      </c>
      <c r="S133" s="12">
        <f>IF([3]基础状态预期!C145="","",[3]基础状态预期!C145)</f>
        <v>45850</v>
      </c>
      <c r="T133" s="12">
        <f>IF([3]基础状态预期!D145="","",[3]基础状态预期!D145)</f>
        <v>155.2512378743358</v>
      </c>
      <c r="U133" s="14">
        <f>IF([3]基础状态预期!F145="",0,[3]基础状态预期!F145)</f>
        <v>0</v>
      </c>
      <c r="V133" s="14">
        <f>IF([3]基础状态预期!G145="",0,[3]基础状态预期!G145)</f>
        <v>0</v>
      </c>
      <c r="W133" s="14">
        <f>IF([3]基础状态预期!H145="",0,[3]基础状态预期!H145)</f>
        <v>0</v>
      </c>
      <c r="X133" s="14">
        <f>IF([3]基础状态预期!I145="",0,[3]基础状态预期!I145)</f>
        <v>0</v>
      </c>
      <c r="Y133" s="14">
        <f>IF([3]基础状态预期!J145="",0,[3]基础状态预期!J145)</f>
        <v>6</v>
      </c>
      <c r="Z133" s="14">
        <f>IF([3]基础状态预期!K145="",MIN(8,Z134),[3]基础状态预期!K145)</f>
        <v>8</v>
      </c>
      <c r="AA133" s="14">
        <f>IF([3]基础状态预期!L145="",MIN(8,AA134),[3]基础状态预期!L145)</f>
        <v>8</v>
      </c>
      <c r="AB133" s="14">
        <f>IF([3]基础状态预期!M145="",MIN(8,AB134),[3]基础状态预期!M145)</f>
        <v>8</v>
      </c>
      <c r="AC133" s="14">
        <f>IF([3]基础状态预期!N145="",MIN(8,AC134),[3]基础状态预期!N145)</f>
        <v>8</v>
      </c>
      <c r="AD133" s="14">
        <f>IF([3]基础状态预期!O145="",MIN(8,AD134),[3]基础状态预期!O145)</f>
        <v>8</v>
      </c>
    </row>
    <row r="134" spans="3:30" x14ac:dyDescent="0.15">
      <c r="C134" s="5">
        <v>131</v>
      </c>
      <c r="D134" s="5">
        <f>'[1]功能-实力'!BF135</f>
        <v>47627226</v>
      </c>
      <c r="E134" s="5">
        <f>'[1]功能-实力'!BG135</f>
        <v>54818400</v>
      </c>
      <c r="F134" s="5">
        <f>'[1]功能-实力'!BH135</f>
        <v>62410368</v>
      </c>
      <c r="G134" s="5">
        <f>'[1]功能-实力'!BI135</f>
        <v>64932024</v>
      </c>
      <c r="H134" s="5">
        <f>'[1]功能-实力'!BJ135</f>
        <v>65975178</v>
      </c>
      <c r="S134" s="13"/>
      <c r="T134" s="13"/>
    </row>
    <row r="135" spans="3:30" x14ac:dyDescent="0.15">
      <c r="C135" s="5">
        <v>132</v>
      </c>
      <c r="D135" s="5">
        <f>'[1]功能-实力'!BF136</f>
        <v>48783966</v>
      </c>
      <c r="E135" s="5">
        <f>'[1]功能-实力'!BG136</f>
        <v>56079516</v>
      </c>
      <c r="F135" s="5">
        <f>'[1]功能-实力'!BH136</f>
        <v>63588834</v>
      </c>
      <c r="G135" s="5">
        <f>'[1]功能-实力'!BI136</f>
        <v>66028164</v>
      </c>
      <c r="H135" s="5">
        <f>'[1]功能-实力'!BJ136</f>
        <v>67000548</v>
      </c>
      <c r="S135" s="13"/>
      <c r="T135" s="13"/>
    </row>
    <row r="136" spans="3:30" x14ac:dyDescent="0.15">
      <c r="C136" s="5">
        <v>133</v>
      </c>
      <c r="D136" s="5">
        <f>'[1]功能-实力'!BF137</f>
        <v>49956942</v>
      </c>
      <c r="E136" s="5">
        <f>'[1]功能-实力'!BG137</f>
        <v>57369486</v>
      </c>
      <c r="F136" s="5">
        <f>'[1]功能-实力'!BH137</f>
        <v>64722318</v>
      </c>
      <c r="G136" s="5">
        <f>'[1]功能-实力'!BI137</f>
        <v>67050018</v>
      </c>
      <c r="H136" s="5">
        <f>'[1]功能-实力'!BJ137</f>
        <v>68042988</v>
      </c>
      <c r="S136" s="13"/>
      <c r="T136" s="13"/>
    </row>
    <row r="137" spans="3:30" x14ac:dyDescent="0.15">
      <c r="C137" s="5">
        <v>134</v>
      </c>
      <c r="D137" s="5">
        <f>'[1]功能-实力'!BF138</f>
        <v>51160452</v>
      </c>
      <c r="E137" s="5">
        <f>'[1]功能-实力'!BG138</f>
        <v>58620756</v>
      </c>
      <c r="F137" s="5">
        <f>'[1]功能-实力'!BH138</f>
        <v>65796990</v>
      </c>
      <c r="G137" s="5">
        <f>'[1]功能-实力'!BI138</f>
        <v>68097480</v>
      </c>
      <c r="H137" s="5">
        <f>'[1]功能-实力'!BJ138</f>
        <v>69092844</v>
      </c>
      <c r="S137" s="17" t="s">
        <v>59</v>
      </c>
      <c r="T137" s="17"/>
    </row>
    <row r="138" spans="3:30" x14ac:dyDescent="0.15">
      <c r="C138" s="5">
        <v>135</v>
      </c>
      <c r="D138" s="5">
        <f>'[1]功能-实力'!BF139</f>
        <v>52321428</v>
      </c>
      <c r="E138" s="5">
        <f>'[1]功能-实力'!BG139</f>
        <v>59849754</v>
      </c>
      <c r="F138" s="5">
        <f>'[1]功能-实力'!BH139</f>
        <v>66909720</v>
      </c>
      <c r="G138" s="5">
        <f>'[1]功能-实力'!BI139</f>
        <v>69161376</v>
      </c>
      <c r="H138" s="5">
        <f>'[1]功能-实力'!BJ139</f>
        <v>70185852</v>
      </c>
      <c r="S138" s="17"/>
      <c r="T138" s="17"/>
      <c r="U138" s="17" t="s">
        <v>67</v>
      </c>
      <c r="V138" s="17"/>
      <c r="W138" s="17"/>
      <c r="X138" s="17"/>
      <c r="Y138" s="17"/>
      <c r="Z138" s="17" t="s">
        <v>61</v>
      </c>
      <c r="AA138" s="17"/>
      <c r="AB138" s="17"/>
      <c r="AC138" s="17"/>
      <c r="AD138" s="17"/>
    </row>
    <row r="139" spans="3:30" x14ac:dyDescent="0.15">
      <c r="C139" s="5">
        <v>136</v>
      </c>
      <c r="D139" s="5">
        <f>'[1]功能-实力'!BF140</f>
        <v>53424132</v>
      </c>
      <c r="E139" s="5">
        <f>'[1]功能-实力'!BG140</f>
        <v>61164660</v>
      </c>
      <c r="F139" s="5">
        <f>'[1]功能-实力'!BH140</f>
        <v>68099028</v>
      </c>
      <c r="G139" s="5">
        <f>'[1]功能-实力'!BI140</f>
        <v>70319790</v>
      </c>
      <c r="H139" s="5">
        <f>'[1]功能-实力'!BJ140</f>
        <v>71338614</v>
      </c>
      <c r="S139" s="12" t="s">
        <v>55</v>
      </c>
      <c r="T139" s="12" t="s">
        <v>56</v>
      </c>
      <c r="U139" s="12" t="s">
        <v>62</v>
      </c>
      <c r="V139" s="12" t="s">
        <v>63</v>
      </c>
      <c r="W139" s="12" t="s">
        <v>64</v>
      </c>
      <c r="X139" s="12" t="s">
        <v>65</v>
      </c>
      <c r="Y139" s="12" t="s">
        <v>66</v>
      </c>
      <c r="Z139" s="12" t="s">
        <v>62</v>
      </c>
      <c r="AA139" s="12" t="s">
        <v>63</v>
      </c>
      <c r="AB139" s="12" t="s">
        <v>64</v>
      </c>
      <c r="AC139" s="12" t="s">
        <v>65</v>
      </c>
      <c r="AD139" s="12" t="s">
        <v>66</v>
      </c>
    </row>
    <row r="140" spans="3:30" x14ac:dyDescent="0.15">
      <c r="C140" s="5">
        <v>137</v>
      </c>
      <c r="D140" s="5">
        <f>'[1]功能-实力'!BF141</f>
        <v>54544188</v>
      </c>
      <c r="E140" s="5">
        <f>'[1]功能-实力'!BG141</f>
        <v>62500152</v>
      </c>
      <c r="F140" s="5">
        <f>'[1]功能-实力'!BH141</f>
        <v>69309144</v>
      </c>
      <c r="G140" s="5">
        <f>'[1]功能-实力'!BI141</f>
        <v>71471448</v>
      </c>
      <c r="H140" s="5">
        <f>'[1]功能-实力'!BJ141</f>
        <v>72510960</v>
      </c>
      <c r="S140" s="12">
        <f>IF([3]基础状态预期!C152="","",[3]基础状态预期!C152)</f>
        <v>0.5</v>
      </c>
      <c r="T140" s="12">
        <f>IF([3]基础状态预期!D152="","",[3]基础状态预期!D152)</f>
        <v>10.00263241450434</v>
      </c>
      <c r="U140" s="14">
        <f>IF([3]基础状态预期!F152="",0,[3]基础状态预期!F152)</f>
        <v>0</v>
      </c>
      <c r="V140" s="14">
        <f>IF([3]基础状态预期!G152="",0,[3]基础状态预期!G152)</f>
        <v>0</v>
      </c>
      <c r="W140" s="14">
        <f>IF([3]基础状态预期!H152="",0,[3]基础状态预期!H152)</f>
        <v>0</v>
      </c>
      <c r="X140" s="14">
        <f>IF([3]基础状态预期!I152="",0,[3]基础状态预期!I152)</f>
        <v>6</v>
      </c>
      <c r="Y140" s="14">
        <f>IF([3]基础状态预期!J152="",0,[3]基础状态预期!J152)</f>
        <v>0</v>
      </c>
      <c r="Z140" s="14">
        <f>IF([3]基础状态预期!K152="",MIN(8,Z141),[3]基础状态预期!K152)</f>
        <v>8</v>
      </c>
      <c r="AA140" s="14">
        <f>IF([3]基础状态预期!L152="",MIN(8,AA141),[3]基础状态预期!L152)</f>
        <v>8</v>
      </c>
      <c r="AB140" s="14">
        <f>IF([3]基础状态预期!M152="",MIN(8,AB141),[3]基础状态预期!M152)</f>
        <v>8</v>
      </c>
      <c r="AC140" s="14">
        <f>IF([3]基础状态预期!N152="",MIN(8,AC141),[3]基础状态预期!N152)</f>
        <v>0</v>
      </c>
      <c r="AD140" s="14">
        <f>IF([3]基础状态预期!O152="",MIN(8,AD141),[3]基础状态预期!O152)</f>
        <v>0.4961190038417973</v>
      </c>
    </row>
    <row r="141" spans="3:30" x14ac:dyDescent="0.15">
      <c r="C141" s="5">
        <v>138</v>
      </c>
      <c r="D141" s="5">
        <f>'[1]功能-实力'!BF142</f>
        <v>55684854</v>
      </c>
      <c r="E141" s="5">
        <f>'[1]功能-实力'!BG142</f>
        <v>63862974</v>
      </c>
      <c r="F141" s="5">
        <f>'[1]功能-实力'!BH142</f>
        <v>70521954</v>
      </c>
      <c r="G141" s="5">
        <f>'[1]功能-实力'!BI142</f>
        <v>72645078</v>
      </c>
      <c r="H141" s="5">
        <f>'[1]功能-实力'!BJ142</f>
        <v>73660146</v>
      </c>
      <c r="S141" s="12">
        <f>IF([3]基础状态预期!C153="","",[3]基础状态预期!C153)</f>
        <v>1.5</v>
      </c>
      <c r="T141" s="12">
        <f>IF([3]基础状态预期!D153="","",[3]基础状态预期!D153)</f>
        <v>19.43005414991557</v>
      </c>
      <c r="U141" s="14">
        <f>IF([3]基础状态预期!F153="",0,[3]基础状态预期!F153)</f>
        <v>0</v>
      </c>
      <c r="V141" s="14">
        <f>IF([3]基础状态预期!G153="",0,[3]基础状态预期!G153)</f>
        <v>0</v>
      </c>
      <c r="W141" s="14">
        <f>IF([3]基础状态预期!H153="",0,[3]基础状态预期!H153)</f>
        <v>0</v>
      </c>
      <c r="X141" s="14">
        <f>IF([3]基础状态预期!I153="",0,[3]基础状态预期!I153)</f>
        <v>6</v>
      </c>
      <c r="Y141" s="14">
        <f>IF([3]基础状态预期!J153="",0,[3]基础状态预期!J153)</f>
        <v>0</v>
      </c>
      <c r="Z141" s="14">
        <f>IF([3]基础状态预期!K153="",MIN(8,Z142),[3]基础状态预期!K153)</f>
        <v>8</v>
      </c>
      <c r="AA141" s="14">
        <f>IF([3]基础状态预期!L153="",MIN(8,AA142),[3]基础状态预期!L153)</f>
        <v>8</v>
      </c>
      <c r="AB141" s="14">
        <f>IF([3]基础状态预期!M153="",MIN(8,AB142),[3]基础状态预期!M153)</f>
        <v>8</v>
      </c>
      <c r="AC141" s="14">
        <f>IF([3]基础状态预期!N153="",MIN(8,AC142),[3]基础状态预期!N153)</f>
        <v>0.2881216723694302</v>
      </c>
      <c r="AD141" s="14">
        <f>IF([3]基础状态预期!O153="",MIN(8,AD142),[3]基础状态预期!O153)</f>
        <v>0.4961190038417973</v>
      </c>
    </row>
    <row r="142" spans="3:30" x14ac:dyDescent="0.15">
      <c r="C142" s="5">
        <v>139</v>
      </c>
      <c r="D142" s="5">
        <f>'[1]功能-实力'!BF143</f>
        <v>56846382</v>
      </c>
      <c r="E142" s="5">
        <f>'[1]功能-实力'!BG143</f>
        <v>65243964</v>
      </c>
      <c r="F142" s="5">
        <f>'[1]功能-实力'!BH143</f>
        <v>71760234</v>
      </c>
      <c r="G142" s="5">
        <f>'[1]功能-实力'!BI143</f>
        <v>73796994</v>
      </c>
      <c r="H142" s="5">
        <f>'[1]功能-实力'!BJ143</f>
        <v>74845578</v>
      </c>
      <c r="S142" s="12">
        <f>IF([3]基础状态预期!C154="","",[3]基础状态预期!C154)</f>
        <v>3</v>
      </c>
      <c r="T142" s="12">
        <f>IF([3]基础状态预期!D154="","",[3]基础状态预期!D154)</f>
        <v>27.324610510337703</v>
      </c>
      <c r="U142" s="14">
        <f>IF([3]基础状态预期!F154="",0,[3]基础状态预期!F154)</f>
        <v>0</v>
      </c>
      <c r="V142" s="14">
        <f>IF([3]基础状态预期!G154="",0,[3]基础状态预期!G154)</f>
        <v>0</v>
      </c>
      <c r="W142" s="14">
        <f>IF([3]基础状态预期!H154="",0,[3]基础状态预期!H154)</f>
        <v>0</v>
      </c>
      <c r="X142" s="14">
        <f>IF([3]基础状态预期!I154="",0,[3]基础状态预期!I154)</f>
        <v>6</v>
      </c>
      <c r="Y142" s="14">
        <f>IF([3]基础状态预期!J154="",0,[3]基础状态预期!J154)</f>
        <v>0</v>
      </c>
      <c r="Z142" s="14">
        <f>IF([3]基础状态预期!K154="",MIN(8,Z143),[3]基础状态预期!K154)</f>
        <v>8</v>
      </c>
      <c r="AA142" s="14">
        <f>IF([3]基础状态预期!L154="",MIN(8,AA143),[3]基础状态预期!L154)</f>
        <v>8</v>
      </c>
      <c r="AB142" s="14">
        <f>IF([3]基础状态预期!M154="",MIN(8,AB143),[3]基础状态预期!M154)</f>
        <v>8</v>
      </c>
      <c r="AC142" s="14">
        <f>IF([3]基础状态预期!N154="",MIN(8,AC143),[3]基础状态预期!N154)</f>
        <v>1.1562389193142368</v>
      </c>
      <c r="AD142" s="14">
        <f>IF([3]基础状态预期!O154="",MIN(8,AD143),[3]基础状态预期!O154)</f>
        <v>0.4961190038417973</v>
      </c>
    </row>
    <row r="143" spans="3:30" x14ac:dyDescent="0.15">
      <c r="C143" s="5">
        <v>140</v>
      </c>
      <c r="D143" s="5">
        <f>'[1]功能-实力'!BF144</f>
        <v>58026048</v>
      </c>
      <c r="E143" s="5">
        <f>'[1]功能-实力'!BG144</f>
        <v>66653022</v>
      </c>
      <c r="F143" s="5">
        <f>'[1]功能-实力'!BH144</f>
        <v>72982314</v>
      </c>
      <c r="G143" s="5">
        <f>'[1]功能-实力'!BI144</f>
        <v>74980842</v>
      </c>
      <c r="H143" s="5">
        <f>'[1]功能-实力'!BJ144</f>
        <v>76106532</v>
      </c>
      <c r="S143" s="12">
        <f>IF([3]基础状态预期!C155="","",[3]基础状态预期!C155)</f>
        <v>5</v>
      </c>
      <c r="T143" s="12">
        <f>IF([3]基础状态预期!D155="","",[3]基础状态预期!D155)</f>
        <v>33.672145166817529</v>
      </c>
      <c r="U143" s="14">
        <f>IF([3]基础状态预期!F155="",0,[3]基础状态预期!F155)</f>
        <v>0</v>
      </c>
      <c r="V143" s="14">
        <f>IF([3]基础状态预期!G155="",0,[3]基础状态预期!G155)</f>
        <v>0</v>
      </c>
      <c r="W143" s="14">
        <f>IF([3]基础状态预期!H155="",0,[3]基础状态预期!H155)</f>
        <v>0</v>
      </c>
      <c r="X143" s="14">
        <f>IF([3]基础状态预期!I155="",0,[3]基础状态预期!I155)</f>
        <v>6</v>
      </c>
      <c r="Y143" s="14">
        <f>IF([3]基础状态预期!J155="",0,[3]基础状态预期!J155)</f>
        <v>0</v>
      </c>
      <c r="Z143" s="14">
        <f>IF([3]基础状态预期!K155="",MIN(8,Z144),[3]基础状态预期!K155)</f>
        <v>8</v>
      </c>
      <c r="AA143" s="14">
        <f>IF([3]基础状态预期!L155="",MIN(8,AA144),[3]基础状态预期!L155)</f>
        <v>8</v>
      </c>
      <c r="AB143" s="14">
        <f>IF([3]基础状态预期!M155="",MIN(8,AB144),[3]基础状态预期!M155)</f>
        <v>8</v>
      </c>
      <c r="AC143" s="14">
        <f>IF([3]基础状态预期!N155="",MIN(8,AC144),[3]基础状态预期!N155)</f>
        <v>2.2705780229974541</v>
      </c>
      <c r="AD143" s="14">
        <f>IF([3]基础状态预期!O155="",MIN(8,AD144),[3]基础状态预期!O155)</f>
        <v>0.4961190038417973</v>
      </c>
    </row>
    <row r="144" spans="3:30" x14ac:dyDescent="0.15">
      <c r="C144" s="5">
        <v>141</v>
      </c>
      <c r="D144" s="5">
        <f>'[1]功能-实力'!BF145</f>
        <v>59207712</v>
      </c>
      <c r="E144" s="5">
        <f>'[1]功能-实力'!BG145</f>
        <v>68030802</v>
      </c>
      <c r="F144" s="5">
        <f>'[1]功能-实力'!BH145</f>
        <v>74247138</v>
      </c>
      <c r="G144" s="5">
        <f>'[1]功能-实力'!BI145</f>
        <v>76264980</v>
      </c>
      <c r="H144" s="5">
        <f>'[1]功能-实力'!BJ145</f>
        <v>77425500</v>
      </c>
      <c r="S144" s="12">
        <f>IF([3]基础状态预期!C156="","",[3]基础状态预期!C156)</f>
        <v>7.5</v>
      </c>
      <c r="T144" s="12">
        <f>IF([3]基础状态预期!D156="","",[3]基础状态预期!D156)</f>
        <v>39.138098927718012</v>
      </c>
      <c r="U144" s="14">
        <f>IF([3]基础状态预期!F156="",0,[3]基础状态预期!F156)</f>
        <v>0</v>
      </c>
      <c r="V144" s="14">
        <f>IF([3]基础状态预期!G156="",0,[3]基础状态预期!G156)</f>
        <v>0</v>
      </c>
      <c r="W144" s="14">
        <f>IF([3]基础状态预期!H156="",0,[3]基础状态预期!H156)</f>
        <v>0</v>
      </c>
      <c r="X144" s="14">
        <f>IF([3]基础状态预期!I156="",0,[3]基础状态预期!I156)</f>
        <v>6</v>
      </c>
      <c r="Y144" s="14">
        <f>IF([3]基础状态预期!J156="",0,[3]基础状态预期!J156)</f>
        <v>0</v>
      </c>
      <c r="Z144" s="14">
        <f>IF([3]基础状态预期!K156="",MIN(8,Z145),[3]基础状态预期!K156)</f>
        <v>8</v>
      </c>
      <c r="AA144" s="14">
        <f>IF([3]基础状态预期!L156="",MIN(8,AA145),[3]基础状态预期!L156)</f>
        <v>8</v>
      </c>
      <c r="AB144" s="14">
        <f>IF([3]基础状态预期!M156="",MIN(8,AB145),[3]基础状态预期!M156)</f>
        <v>8</v>
      </c>
      <c r="AC144" s="14">
        <f>IF([3]基础状态预期!N156="",MIN(8,AC145),[3]基础状态预期!N156)</f>
        <v>3.3016174378919372</v>
      </c>
      <c r="AD144" s="14">
        <f>IF([3]基础状态预期!O156="",MIN(8,AD145),[3]基础状态预期!O156)</f>
        <v>0.4961190038417973</v>
      </c>
    </row>
    <row r="145" spans="3:30" x14ac:dyDescent="0.15">
      <c r="C145" s="5">
        <v>142</v>
      </c>
      <c r="D145" s="5">
        <f>'[1]功能-实力'!BF146</f>
        <v>60404046</v>
      </c>
      <c r="E145" s="5">
        <f>'[1]功能-实力'!BG146</f>
        <v>69458388</v>
      </c>
      <c r="F145" s="5">
        <f>'[1]功能-实力'!BH146</f>
        <v>75598494</v>
      </c>
      <c r="G145" s="5">
        <f>'[1]功能-实力'!BI146</f>
        <v>77597262</v>
      </c>
      <c r="H145" s="5">
        <f>'[1]功能-实力'!BJ146</f>
        <v>78777054</v>
      </c>
      <c r="S145" s="12">
        <f>IF([3]基础状态预期!C157="","",[3]基础状态预期!C157)</f>
        <v>10</v>
      </c>
      <c r="T145" s="12">
        <f>IF([3]基础状态预期!D157="","",[3]基础状态预期!D157)</f>
        <v>42.970748198558951</v>
      </c>
      <c r="U145" s="14">
        <f>IF([3]基础状态预期!F157="",0,[3]基础状态预期!F157)</f>
        <v>0</v>
      </c>
      <c r="V145" s="14">
        <f>IF([3]基础状态预期!G157="",0,[3]基础状态预期!G157)</f>
        <v>0</v>
      </c>
      <c r="W145" s="14">
        <f>IF([3]基础状态预期!H157="",0,[3]基础状态预期!H157)</f>
        <v>0</v>
      </c>
      <c r="X145" s="14">
        <f>IF([3]基础状态预期!I157="",0,[3]基础状态预期!I157)</f>
        <v>6</v>
      </c>
      <c r="Y145" s="14">
        <f>IF([3]基础状态预期!J157="",0,[3]基础状态预期!J157)</f>
        <v>0</v>
      </c>
      <c r="Z145" s="14">
        <f>IF([3]基础状态预期!K157="",MIN(8,Z146),[3]基础状态预期!K157)</f>
        <v>8</v>
      </c>
      <c r="AA145" s="14">
        <f>IF([3]基础状态预期!L157="",MIN(8,AA146),[3]基础状态预期!L157)</f>
        <v>8</v>
      </c>
      <c r="AB145" s="14">
        <f>IF([3]基础状态预期!M157="",MIN(8,AB146),[3]基础状态预期!M157)</f>
        <v>8</v>
      </c>
      <c r="AC145" s="14">
        <f>IF([3]基础状态预期!N157="",MIN(8,AC146),[3]基础状态预期!N157)</f>
        <v>3.9013933796273426</v>
      </c>
      <c r="AD145" s="14">
        <f>IF([3]基础状态预期!O157="",MIN(8,AD146),[3]基础状态预期!O157)</f>
        <v>0.4961190038417973</v>
      </c>
    </row>
    <row r="146" spans="3:30" x14ac:dyDescent="0.15">
      <c r="C146" s="5">
        <v>143</v>
      </c>
      <c r="D146" s="5">
        <f>'[1]功能-实力'!BF147</f>
        <v>61643514</v>
      </c>
      <c r="E146" s="5">
        <f>'[1]功能-实力'!BG147</f>
        <v>70916670</v>
      </c>
      <c r="F146" s="5">
        <f>'[1]功能-实力'!BH147</f>
        <v>76982052</v>
      </c>
      <c r="G146" s="5">
        <f>'[1]功能-实力'!BI147</f>
        <v>78946452</v>
      </c>
      <c r="H146" s="5">
        <f>'[1]功能-实力'!BJ147</f>
        <v>80161932</v>
      </c>
      <c r="S146" s="12">
        <f>IF([3]基础状态预期!C158="","",[3]基础状态预期!C158)</f>
        <v>15</v>
      </c>
      <c r="T146" s="12">
        <f>IF([3]基础状态预期!D158="","",[3]基础状态预期!D158)</f>
        <v>48.731413734867289</v>
      </c>
      <c r="U146" s="14">
        <f>IF([3]基础状态预期!F158="",0,[3]基础状态预期!F158)</f>
        <v>0</v>
      </c>
      <c r="V146" s="14">
        <f>IF([3]基础状态预期!G158="",0,[3]基础状态预期!G158)</f>
        <v>0</v>
      </c>
      <c r="W146" s="14">
        <f>IF([3]基础状态预期!H158="",0,[3]基础状态预期!H158)</f>
        <v>0</v>
      </c>
      <c r="X146" s="14">
        <f>IF([3]基础状态预期!I158="",0,[3]基础状态预期!I158)</f>
        <v>6</v>
      </c>
      <c r="Y146" s="14">
        <f>IF([3]基础状态预期!J158="",0,[3]基础状态预期!J158)</f>
        <v>0</v>
      </c>
      <c r="Z146" s="14">
        <f>IF([3]基础状态预期!K158="",MIN(8,Z147),[3]基础状态预期!K158)</f>
        <v>8</v>
      </c>
      <c r="AA146" s="14">
        <f>IF([3]基础状态预期!L158="",MIN(8,AA147),[3]基础状态预期!L158)</f>
        <v>8</v>
      </c>
      <c r="AB146" s="14">
        <f>IF([3]基础状态预期!M158="",MIN(8,AB147),[3]基础状态预期!M158)</f>
        <v>8</v>
      </c>
      <c r="AC146" s="14">
        <f>IF([3]基础状态预期!N158="",MIN(8,AC147),[3]基础状态预期!N158)</f>
        <v>4.9339480100489519</v>
      </c>
      <c r="AD146" s="14">
        <f>IF([3]基础状态预期!O158="",MIN(8,AD147),[3]基础状态预期!O158)</f>
        <v>0.4961190038417973</v>
      </c>
    </row>
    <row r="147" spans="3:30" x14ac:dyDescent="0.15">
      <c r="C147" s="5">
        <v>144</v>
      </c>
      <c r="D147" s="5">
        <f>'[1]功能-实力'!BF148</f>
        <v>62923578</v>
      </c>
      <c r="E147" s="5">
        <f>'[1]功能-实力'!BG148</f>
        <v>72436602</v>
      </c>
      <c r="F147" s="5">
        <f>'[1]功能-实力'!BH148</f>
        <v>78377814</v>
      </c>
      <c r="G147" s="5">
        <f>'[1]功能-实力'!BI148</f>
        <v>80324262</v>
      </c>
      <c r="H147" s="5">
        <f>'[1]功能-实力'!BJ148</f>
        <v>81537624</v>
      </c>
      <c r="S147" s="12">
        <f>IF([3]基础状态预期!C159="","",[3]基础状态预期!C159)</f>
        <v>20</v>
      </c>
      <c r="T147" s="12">
        <f>IF([3]基础状态预期!D159="","",[3]基础状态预期!D159)</f>
        <v>52.769987980532711</v>
      </c>
      <c r="U147" s="14">
        <f>IF([3]基础状态预期!F159="",0,[3]基础状态预期!F159)</f>
        <v>0</v>
      </c>
      <c r="V147" s="14">
        <f>IF([3]基础状态预期!G159="",0,[3]基础状态预期!G159)</f>
        <v>0</v>
      </c>
      <c r="W147" s="14">
        <f>IF([3]基础状态预期!H159="",0,[3]基础状态预期!H159)</f>
        <v>0</v>
      </c>
      <c r="X147" s="14">
        <f>IF([3]基础状态预期!I159="",0,[3]基础状态预期!I159)</f>
        <v>5</v>
      </c>
      <c r="Y147" s="14">
        <f>IF([3]基础状态预期!J159="",0,[3]基础状态预期!J159)</f>
        <v>1</v>
      </c>
      <c r="Z147" s="14">
        <f>IF([3]基础状态预期!K159="",MIN(8,Z148),[3]基础状态预期!K159)</f>
        <v>8</v>
      </c>
      <c r="AA147" s="14">
        <f>IF([3]基础状态预期!L159="",MIN(8,AA148),[3]基础状态预期!L159)</f>
        <v>8</v>
      </c>
      <c r="AB147" s="14">
        <f>IF([3]基础状态预期!M159="",MIN(8,AB148),[3]基础状态预期!M159)</f>
        <v>8</v>
      </c>
      <c r="AC147" s="14">
        <f>IF([3]基础状态预期!N159="",MIN(8,AC148),[3]基础状态预期!N159)</f>
        <v>5.5130796727785496</v>
      </c>
      <c r="AD147" s="14">
        <f>IF([3]基础状态预期!O159="",MIN(8,AD148),[3]基础状态预期!O159)</f>
        <v>0.4961190038417973</v>
      </c>
    </row>
    <row r="148" spans="3:30" x14ac:dyDescent="0.15">
      <c r="C148" s="5">
        <v>145</v>
      </c>
      <c r="D148" s="5">
        <f>'[1]功能-实力'!BF149</f>
        <v>64236936</v>
      </c>
      <c r="E148" s="5">
        <f>'[1]功能-实力'!BG149</f>
        <v>73976298</v>
      </c>
      <c r="F148" s="5">
        <f>'[1]功能-实力'!BH149</f>
        <v>79808718</v>
      </c>
      <c r="G148" s="5">
        <f>'[1]功能-实力'!BI149</f>
        <v>81698334</v>
      </c>
      <c r="H148" s="5">
        <f>'[1]功能-实力'!BJ149</f>
        <v>82926462</v>
      </c>
      <c r="S148" s="12">
        <f>IF([3]基础状态预期!C160="","",[3]基础状态预期!C160)</f>
        <v>30</v>
      </c>
      <c r="T148" s="12">
        <f>IF([3]基础状态预期!D160="","",[3]基础状态预期!D160)</f>
        <v>58.701446767877648</v>
      </c>
      <c r="U148" s="14">
        <f>IF([3]基础状态预期!F160="",0,[3]基础状态预期!F160)</f>
        <v>0</v>
      </c>
      <c r="V148" s="14">
        <f>IF([3]基础状态预期!G160="",0,[3]基础状态预期!G160)</f>
        <v>0</v>
      </c>
      <c r="W148" s="14">
        <f>IF([3]基础状态预期!H160="",0,[3]基础状态预期!H160)</f>
        <v>0</v>
      </c>
      <c r="X148" s="14">
        <f>IF([3]基础状态预期!I160="",0,[3]基础状态预期!I160)</f>
        <v>4</v>
      </c>
      <c r="Y148" s="14">
        <f>IF([3]基础状态预期!J160="",0,[3]基础状态预期!J160)</f>
        <v>2</v>
      </c>
      <c r="Z148" s="14">
        <f>IF([3]基础状态预期!K160="",MIN(8,Z149),[3]基础状态预期!K160)</f>
        <v>8</v>
      </c>
      <c r="AA148" s="14">
        <f>IF([3]基础状态预期!L160="",MIN(8,AA149),[3]基础状态预期!L160)</f>
        <v>8</v>
      </c>
      <c r="AB148" s="14">
        <f>IF([3]基础状态预期!M160="",MIN(8,AB149),[3]基础状态预期!M160)</f>
        <v>8</v>
      </c>
      <c r="AC148" s="14">
        <f>IF([3]基础状态预期!N160="",MIN(8,AC149),[3]基础状态预期!N160)</f>
        <v>6.3050759788193709</v>
      </c>
      <c r="AD148" s="14">
        <f>IF([3]基础状态预期!O160="",MIN(8,AD149),[3]基础状态预期!O160)</f>
        <v>2.0144863309688246</v>
      </c>
    </row>
    <row r="149" spans="3:30" x14ac:dyDescent="0.15">
      <c r="C149" s="5">
        <v>146</v>
      </c>
      <c r="D149" s="5">
        <f>'[1]功能-实力'!BF150</f>
        <v>65561028</v>
      </c>
      <c r="E149" s="5">
        <f>'[1]功能-实力'!BG150</f>
        <v>75554136</v>
      </c>
      <c r="F149" s="5">
        <f>'[1]功能-实力'!BH150</f>
        <v>81231456</v>
      </c>
      <c r="G149" s="5">
        <f>'[1]功能-实力'!BI150</f>
        <v>83081244</v>
      </c>
      <c r="H149" s="5">
        <f>'[1]功能-实力'!BJ150</f>
        <v>84332826</v>
      </c>
      <c r="S149" s="12">
        <f>IF([3]基础状态预期!C161="","",[3]基础状态预期!C161)</f>
        <v>45</v>
      </c>
      <c r="T149" s="12">
        <f>IF([3]基础状态预期!D161="","",[3]基础状态预期!D161)</f>
        <v>64.399012521055653</v>
      </c>
      <c r="U149" s="14">
        <f>IF([3]基础状态预期!F161="",0,[3]基础状态预期!F161)</f>
        <v>0</v>
      </c>
      <c r="V149" s="14">
        <f>IF([3]基础状态预期!G161="",0,[3]基础状态预期!G161)</f>
        <v>0</v>
      </c>
      <c r="W149" s="14">
        <f>IF([3]基础状态预期!H161="",0,[3]基础状态预期!H161)</f>
        <v>0</v>
      </c>
      <c r="X149" s="14">
        <f>IF([3]基础状态预期!I161="",0,[3]基础状态预期!I161)</f>
        <v>3</v>
      </c>
      <c r="Y149" s="14">
        <f>IF([3]基础状态预期!J161="",0,[3]基础状态预期!J161)</f>
        <v>3</v>
      </c>
      <c r="Z149" s="14">
        <f>IF([3]基础状态预期!K161="",MIN(8,Z150),[3]基础状态预期!K161)</f>
        <v>8</v>
      </c>
      <c r="AA149" s="14">
        <f>IF([3]基础状态预期!L161="",MIN(8,AA150),[3]基础状态预期!L161)</f>
        <v>8</v>
      </c>
      <c r="AB149" s="14">
        <f>IF([3]基础状态预期!M161="",MIN(8,AB150),[3]基础状态预期!M161)</f>
        <v>8</v>
      </c>
      <c r="AC149" s="14">
        <f>IF([3]基础状态预期!N161="",MIN(8,AC150),[3]基础状态预期!N161)</f>
        <v>6.8212092060373228</v>
      </c>
      <c r="AD149" s="14">
        <f>IF([3]基础状态预期!O161="",MIN(8,AD150),[3]基础状态预期!O161)</f>
        <v>4.2863004907422919</v>
      </c>
    </row>
    <row r="150" spans="3:30" x14ac:dyDescent="0.15">
      <c r="C150" s="5">
        <v>147</v>
      </c>
      <c r="D150" s="5">
        <f>'[1]功能-实力'!BF151</f>
        <v>66922524</v>
      </c>
      <c r="E150" s="5">
        <f>'[1]功能-实力'!BG151</f>
        <v>77133216</v>
      </c>
      <c r="F150" s="5">
        <f>'[1]功能-实力'!BH151</f>
        <v>82674714</v>
      </c>
      <c r="G150" s="5">
        <f>'[1]功能-实力'!BI151</f>
        <v>84483024</v>
      </c>
      <c r="H150" s="5">
        <f>'[1]功能-实力'!BJ151</f>
        <v>85766646</v>
      </c>
      <c r="S150" s="12">
        <f>IF([3]基础状态预期!C162="","",[3]基础状态预期!C162)</f>
        <v>60</v>
      </c>
      <c r="T150" s="12">
        <f>IF([3]基础状态预期!D162="","",[3]基础状态预期!D162)</f>
        <v>68.627579426319684</v>
      </c>
      <c r="U150" s="14">
        <f>IF([3]基础状态预期!F162="",0,[3]基础状态预期!F162)</f>
        <v>0</v>
      </c>
      <c r="V150" s="14">
        <f>IF([3]基础状态预期!G162="",0,[3]基础状态预期!G162)</f>
        <v>0</v>
      </c>
      <c r="W150" s="14">
        <f>IF([3]基础状态预期!H162="",0,[3]基础状态预期!H162)</f>
        <v>0</v>
      </c>
      <c r="X150" s="14">
        <f>IF([3]基础状态预期!I162="",0,[3]基础状态预期!I162)</f>
        <v>2</v>
      </c>
      <c r="Y150" s="14">
        <f>IF([3]基础状态预期!J162="",0,[3]基础状态预期!J162)</f>
        <v>4</v>
      </c>
      <c r="Z150" s="14">
        <f>IF([3]基础状态预期!K162="",MIN(8,Z151),[3]基础状态预期!K162)</f>
        <v>8</v>
      </c>
      <c r="AA150" s="14">
        <f>IF([3]基础状态预期!L162="",MIN(8,AA151),[3]基础状态预期!L162)</f>
        <v>8</v>
      </c>
      <c r="AB150" s="14">
        <f>IF([3]基础状态预期!M162="",MIN(8,AB151),[3]基础状态预期!M162)</f>
        <v>8</v>
      </c>
      <c r="AC150" s="14">
        <f>IF([3]基础状态预期!N162="",MIN(8,AC151),[3]基础状态预期!N162)</f>
        <v>7.2386458819816148</v>
      </c>
      <c r="AD150" s="14">
        <f>IF([3]基础状态预期!O162="",MIN(8,AD151),[3]基础状态预期!O162)</f>
        <v>5.0713442011257754</v>
      </c>
    </row>
    <row r="151" spans="3:30" x14ac:dyDescent="0.15">
      <c r="C151" s="5">
        <v>148</v>
      </c>
      <c r="D151" s="5">
        <f>'[1]功能-实力'!BF152</f>
        <v>68291448</v>
      </c>
      <c r="E151" s="5">
        <f>'[1]功能-实力'!BG152</f>
        <v>78765414</v>
      </c>
      <c r="F151" s="5">
        <f>'[1]功能-实力'!BH152</f>
        <v>84163860</v>
      </c>
      <c r="G151" s="5">
        <f>'[1]功能-实力'!BI152</f>
        <v>85932822</v>
      </c>
      <c r="H151" s="5">
        <f>'[1]功能-实力'!BJ152</f>
        <v>87224178</v>
      </c>
      <c r="S151" s="12">
        <f>IF([3]基础状态预期!C163="","",[3]基础状态预期!C163)</f>
        <v>75</v>
      </c>
      <c r="T151" s="12">
        <f>IF([3]基础状态预期!D163="","",[3]基础状态预期!D163)</f>
        <v>71.882008108111634</v>
      </c>
      <c r="U151" s="14">
        <f>IF([3]基础状态预期!F163="",0,[3]基础状态预期!F163)</f>
        <v>0</v>
      </c>
      <c r="V151" s="14">
        <f>IF([3]基础状态预期!G163="",0,[3]基础状态预期!G163)</f>
        <v>0</v>
      </c>
      <c r="W151" s="14">
        <f>IF([3]基础状态预期!H163="",0,[3]基础状态预期!H163)</f>
        <v>0</v>
      </c>
      <c r="X151" s="14">
        <f>IF([3]基础状态预期!I163="",0,[3]基础状态预期!I163)</f>
        <v>1</v>
      </c>
      <c r="Y151" s="14">
        <f>IF([3]基础状态预期!J163="",0,[3]基础状态预期!J163)</f>
        <v>5</v>
      </c>
      <c r="Z151" s="14">
        <f>IF([3]基础状态预期!K163="",MIN(8,Z152),[3]基础状态预期!K163)</f>
        <v>8</v>
      </c>
      <c r="AA151" s="14">
        <f>IF([3]基础状态预期!L163="",MIN(8,AA152),[3]基础状态预期!L163)</f>
        <v>8</v>
      </c>
      <c r="AB151" s="14">
        <f>IF([3]基础状态预期!M163="",MIN(8,AB152),[3]基础状态预期!M163)</f>
        <v>8</v>
      </c>
      <c r="AC151" s="14">
        <f>IF([3]基础状态预期!N163="",MIN(8,AC152),[3]基础状态预期!N163)</f>
        <v>7.5985625950208622</v>
      </c>
      <c r="AD151" s="14">
        <f>IF([3]基础状态预期!O163="",MIN(8,AD152),[3]基础状态预期!O163)</f>
        <v>5.3668625164453632</v>
      </c>
    </row>
    <row r="152" spans="3:30" x14ac:dyDescent="0.15">
      <c r="C152" s="5">
        <v>149</v>
      </c>
      <c r="D152" s="5">
        <f>'[1]功能-实力'!BF153</f>
        <v>69700770</v>
      </c>
      <c r="E152" s="5">
        <f>'[1]功能-实力'!BG153</f>
        <v>80429268</v>
      </c>
      <c r="F152" s="5">
        <f>'[1]功能-实力'!BH153</f>
        <v>85684278</v>
      </c>
      <c r="G152" s="5">
        <f>'[1]功能-实力'!BI153</f>
        <v>87402738</v>
      </c>
      <c r="H152" s="5">
        <f>'[1]功能-实力'!BJ153</f>
        <v>88743072</v>
      </c>
      <c r="S152" s="12">
        <f>IF([3]基础状态预期!C164="","",[3]基础状态预期!C164)</f>
        <v>90</v>
      </c>
      <c r="T152" s="12">
        <f>IF([3]基础状态预期!D164="","",[3]基础状态预期!D164)</f>
        <v>74.493385467679886</v>
      </c>
      <c r="U152" s="14">
        <f>IF([3]基础状态预期!F164="",0,[3]基础状态预期!F164)</f>
        <v>0</v>
      </c>
      <c r="V152" s="14">
        <f>IF([3]基础状态预期!G164="",0,[3]基础状态预期!G164)</f>
        <v>0</v>
      </c>
      <c r="W152" s="14">
        <f>IF([3]基础状态预期!H164="",0,[3]基础状态预期!H164)</f>
        <v>0</v>
      </c>
      <c r="X152" s="14">
        <f>IF([3]基础状态预期!I164="",0,[3]基础状态预期!I164)</f>
        <v>0.5</v>
      </c>
      <c r="Y152" s="14">
        <f>IF([3]基础状态预期!J164="",0,[3]基础状态预期!J164)</f>
        <v>5.5</v>
      </c>
      <c r="Z152" s="14">
        <f>IF([3]基础状态预期!K164="",MIN(8,Z153),[3]基础状态预期!K164)</f>
        <v>8</v>
      </c>
      <c r="AA152" s="14">
        <f>IF([3]基础状态预期!L164="",MIN(8,AA153),[3]基础状态预期!L164)</f>
        <v>8</v>
      </c>
      <c r="AB152" s="14">
        <f>IF([3]基础状态预期!M164="",MIN(8,AB153),[3]基础状态预期!M164)</f>
        <v>8</v>
      </c>
      <c r="AC152" s="14">
        <f>IF([3]基础状态预期!N164="",MIN(8,AC153),[3]基础状态预期!N164)</f>
        <v>7.9381183123196752</v>
      </c>
      <c r="AD152" s="14">
        <f>IF([3]基础状态预期!O164="",MIN(8,AD153),[3]基础状态预期!O164)</f>
        <v>5.8102569844324226</v>
      </c>
    </row>
    <row r="153" spans="3:30" x14ac:dyDescent="0.15">
      <c r="C153" s="5">
        <v>150</v>
      </c>
      <c r="D153" s="5">
        <f>'[1]功能-实力'!BF154</f>
        <v>71068494</v>
      </c>
      <c r="E153" s="5">
        <f>'[1]功能-实力'!BG154</f>
        <v>82077498</v>
      </c>
      <c r="F153" s="5">
        <f>'[1]功能-实力'!BH154</f>
        <v>87225186</v>
      </c>
      <c r="G153" s="5">
        <f>'[1]功能-实力'!BI154</f>
        <v>88944828</v>
      </c>
      <c r="H153" s="5">
        <f>'[1]功能-实力'!BJ154</f>
        <v>90510666</v>
      </c>
      <c r="S153" s="12">
        <f>IF([3]基础状态预期!C165="","",[3]基础状态预期!C165)</f>
        <v>110</v>
      </c>
      <c r="T153" s="12">
        <f>IF([3]基础状态预期!D165="","",[3]基础状态预期!D165)</f>
        <v>77.332919927503724</v>
      </c>
      <c r="U153" s="14">
        <f>IF([3]基础状态预期!F165="",0,[3]基础状态预期!F165)</f>
        <v>0</v>
      </c>
      <c r="V153" s="14">
        <f>IF([3]基础状态预期!G165="",0,[3]基础状态预期!G165)</f>
        <v>0</v>
      </c>
      <c r="W153" s="14">
        <f>IF([3]基础状态预期!H165="",0,[3]基础状态预期!H165)</f>
        <v>0</v>
      </c>
      <c r="X153" s="14">
        <f>IF([3]基础状态预期!I165="",0,[3]基础状态预期!I165)</f>
        <v>0</v>
      </c>
      <c r="Y153" s="14">
        <f>IF([3]基础状态预期!J165="",0,[3]基础状态预期!J165)</f>
        <v>6</v>
      </c>
      <c r="Z153" s="14">
        <f>IF([3]基础状态预期!K165="",MIN(8,Z154),[3]基础状态预期!K165)</f>
        <v>8</v>
      </c>
      <c r="AA153" s="14">
        <f>IF([3]基础状态预期!L165="",MIN(8,AA154),[3]基础状态预期!L165)</f>
        <v>8</v>
      </c>
      <c r="AB153" s="14">
        <f>IF([3]基础状态预期!M165="",MIN(8,AB154),[3]基础状态预期!M165)</f>
        <v>8</v>
      </c>
      <c r="AC153" s="14">
        <f>IF([3]基础状态预期!N165="",MIN(8,AC154),[3]基础状态预期!N165)</f>
        <v>8</v>
      </c>
      <c r="AD153" s="14">
        <f>IF([3]基础状态预期!O165="",MIN(8,AD154),[3]基础状态预期!O165)</f>
        <v>6.3496907222445262</v>
      </c>
    </row>
    <row r="154" spans="3:30" x14ac:dyDescent="0.15">
      <c r="C154" s="5">
        <v>151</v>
      </c>
      <c r="D154" s="5">
        <f>'[1]功能-实力'!BF155</f>
        <v>72431904</v>
      </c>
      <c r="E154" s="5">
        <f>'[1]功能-实力'!BG155</f>
        <v>83506566</v>
      </c>
      <c r="F154" s="5">
        <f>'[1]功能-实力'!BH155</f>
        <v>88634460</v>
      </c>
      <c r="G154" s="5">
        <f>'[1]功能-实力'!BI155</f>
        <v>90571038</v>
      </c>
      <c r="H154" s="5">
        <f>'[1]功能-实力'!BJ155</f>
        <v>92272992</v>
      </c>
      <c r="S154" s="12">
        <f>IF([3]基础状态预期!C166="","",[3]基础状态预期!C166)</f>
        <v>130</v>
      </c>
      <c r="T154" s="12">
        <f>IF([3]基础状态预期!D166="","",[3]基础状态预期!D166)</f>
        <v>79.813360188853366</v>
      </c>
      <c r="U154" s="14">
        <f>IF([3]基础状态预期!F166="",0,[3]基础状态预期!F166)</f>
        <v>0</v>
      </c>
      <c r="V154" s="14">
        <f>IF([3]基础状态预期!G166="",0,[3]基础状态预期!G166)</f>
        <v>0</v>
      </c>
      <c r="W154" s="14">
        <f>IF([3]基础状态预期!H166="",0,[3]基础状态预期!H166)</f>
        <v>0</v>
      </c>
      <c r="X154" s="14">
        <f>IF([3]基础状态预期!I166="",0,[3]基础状态预期!I166)</f>
        <v>0</v>
      </c>
      <c r="Y154" s="14">
        <f>IF([3]基础状态预期!J166="",0,[3]基础状态预期!J166)</f>
        <v>6</v>
      </c>
      <c r="Z154" s="14">
        <f>IF([3]基础状态预期!K166="",MIN(8,Z155),[3]基础状态预期!K166)</f>
        <v>8</v>
      </c>
      <c r="AA154" s="14">
        <f>IF([3]基础状态预期!L166="",MIN(8,AA155),[3]基础状态预期!L166)</f>
        <v>8</v>
      </c>
      <c r="AB154" s="14">
        <f>IF([3]基础状态预期!M166="",MIN(8,AB155),[3]基础状态预期!M166)</f>
        <v>8</v>
      </c>
      <c r="AC154" s="14">
        <f>IF([3]基础状态预期!N166="",MIN(8,AC155),[3]基础状态预期!N166)</f>
        <v>8</v>
      </c>
      <c r="AD154" s="14">
        <f>IF([3]基础状态预期!O166="",MIN(8,AD155),[3]基础状态预期!O166)</f>
        <v>7.0939455011047023</v>
      </c>
    </row>
    <row r="155" spans="3:30" x14ac:dyDescent="0.15">
      <c r="C155" s="5">
        <v>152</v>
      </c>
      <c r="D155" s="5">
        <f>'[1]功能-实力'!BF156</f>
        <v>73805280</v>
      </c>
      <c r="E155" s="5">
        <f>'[1]功能-实力'!BG156</f>
        <v>84958302</v>
      </c>
      <c r="F155" s="5">
        <f>'[1]功能-实力'!BH156</f>
        <v>90185028</v>
      </c>
      <c r="G155" s="5">
        <f>'[1]功能-实力'!BI156</f>
        <v>92220450</v>
      </c>
      <c r="H155" s="5">
        <f>'[1]功能-实力'!BJ156</f>
        <v>93141078</v>
      </c>
      <c r="S155" s="12">
        <f>IF([3]基础状态预期!C167="","",[3]基础状态预期!C167)</f>
        <v>150</v>
      </c>
      <c r="T155" s="12">
        <f>IF([3]基础状态预期!D167="","",[3]基础状态预期!D167)</f>
        <v>81.919202803497143</v>
      </c>
      <c r="U155" s="14">
        <f>IF([3]基础状态预期!F167="",0,[3]基础状态预期!F167)</f>
        <v>0</v>
      </c>
      <c r="V155" s="14">
        <f>IF([3]基础状态预期!G167="",0,[3]基础状态预期!G167)</f>
        <v>0</v>
      </c>
      <c r="W155" s="14">
        <f>IF([3]基础状态预期!H167="",0,[3]基础状态预期!H167)</f>
        <v>0</v>
      </c>
      <c r="X155" s="14">
        <f>IF([3]基础状态预期!I167="",0,[3]基础状态预期!I167)</f>
        <v>0</v>
      </c>
      <c r="Y155" s="14">
        <f>IF([3]基础状态预期!J167="",0,[3]基础状态预期!J167)</f>
        <v>6</v>
      </c>
      <c r="Z155" s="14">
        <f>IF([3]基础状态预期!K167="",MIN(8,Z156),[3]基础状态预期!K167)</f>
        <v>8</v>
      </c>
      <c r="AA155" s="14">
        <f>IF([3]基础状态预期!L167="",MIN(8,AA156),[3]基础状态预期!L167)</f>
        <v>8</v>
      </c>
      <c r="AB155" s="14">
        <f>IF([3]基础状态预期!M167="",MIN(8,AB156),[3]基础状态预期!M167)</f>
        <v>8</v>
      </c>
      <c r="AC155" s="14">
        <f>IF([3]基础状态预期!N167="",MIN(8,AC156),[3]基础状态预期!N167)</f>
        <v>8</v>
      </c>
      <c r="AD155" s="14">
        <f>IF([3]基础状态预期!O167="",MIN(8,AD156),[3]基础状态预期!O167)</f>
        <v>7.6811033029454014</v>
      </c>
    </row>
    <row r="156" spans="3:30" x14ac:dyDescent="0.15">
      <c r="C156" s="5">
        <v>153</v>
      </c>
      <c r="D156" s="5">
        <f>'[1]功能-实力'!BF157</f>
        <v>75275982</v>
      </c>
      <c r="E156" s="5">
        <f>'[1]功能-实力'!BG157</f>
        <v>86536560</v>
      </c>
      <c r="F156" s="5">
        <f>'[1]功能-实力'!BH157</f>
        <v>91781490</v>
      </c>
      <c r="G156" s="5">
        <f>'[1]功能-实力'!BI157</f>
        <v>93098634</v>
      </c>
      <c r="H156" s="5">
        <f>'[1]功能-实力'!BJ157</f>
        <v>93739848</v>
      </c>
      <c r="S156" s="12">
        <f>IF([3]基础状态预期!C168="","",[3]基础状态预期!C168)</f>
        <v>170</v>
      </c>
      <c r="T156" s="12">
        <f>IF([3]基础状态预期!D168="","",[3]基础状态预期!D168)</f>
        <v>83.738783536778797</v>
      </c>
      <c r="U156" s="14">
        <f>IF([3]基础状态预期!F168="",0,[3]基础状态预期!F168)</f>
        <v>0</v>
      </c>
      <c r="V156" s="14">
        <f>IF([3]基础状态预期!G168="",0,[3]基础状态预期!G168)</f>
        <v>0</v>
      </c>
      <c r="W156" s="14">
        <f>IF([3]基础状态预期!H168="",0,[3]基础状态预期!H168)</f>
        <v>0</v>
      </c>
      <c r="X156" s="14">
        <f>IF([3]基础状态预期!I168="",0,[3]基础状态预期!I168)</f>
        <v>0</v>
      </c>
      <c r="Y156" s="14">
        <f>IF([3]基础状态预期!J168="",0,[3]基础状态预期!J168)</f>
        <v>6</v>
      </c>
      <c r="Z156" s="14">
        <f>IF([3]基础状态预期!K168="",MIN(8,Z157),[3]基础状态预期!K168)</f>
        <v>8</v>
      </c>
      <c r="AA156" s="14">
        <f>IF([3]基础状态预期!L168="",MIN(8,AA157),[3]基础状态预期!L168)</f>
        <v>8</v>
      </c>
      <c r="AB156" s="14">
        <f>IF([3]基础状态预期!M168="",MIN(8,AB157),[3]基础状态预期!M168)</f>
        <v>8</v>
      </c>
      <c r="AC156" s="14">
        <f>IF([3]基础状态预期!N168="",MIN(8,AC157),[3]基础状态预期!N168)</f>
        <v>8</v>
      </c>
      <c r="AD156" s="14">
        <f>IF([3]基础状态预期!O168="",MIN(8,AD157),[3]基础状态预期!O168)</f>
        <v>8</v>
      </c>
    </row>
    <row r="157" spans="3:30" x14ac:dyDescent="0.15">
      <c r="C157" s="5">
        <v>154</v>
      </c>
      <c r="D157" s="5">
        <f>'[1]功能-实力'!BF158</f>
        <v>76763100</v>
      </c>
      <c r="E157" s="5">
        <f>'[1]功能-实力'!BG158</f>
        <v>88137198</v>
      </c>
      <c r="F157" s="5">
        <f>'[1]功能-实力'!BH158</f>
        <v>92634120</v>
      </c>
      <c r="G157" s="5">
        <f>'[1]功能-实力'!BI158</f>
        <v>93695208</v>
      </c>
      <c r="H157" s="5">
        <f>'[1]功能-实力'!BJ158</f>
        <v>93862482</v>
      </c>
      <c r="S157" s="12">
        <f>IF([3]基础状态预期!C169="","",[3]基础状态预期!C169)</f>
        <v>200</v>
      </c>
      <c r="T157" s="12">
        <f>IF([3]基础状态预期!D169="","",[3]基础状态预期!D169)</f>
        <v>86.045919706798657</v>
      </c>
      <c r="U157" s="14">
        <f>IF([3]基础状态预期!F169="",0,[3]基础状态预期!F169)</f>
        <v>0</v>
      </c>
      <c r="V157" s="14">
        <f>IF([3]基础状态预期!G169="",0,[3]基础状态预期!G169)</f>
        <v>0</v>
      </c>
      <c r="W157" s="14">
        <f>IF([3]基础状态预期!H169="",0,[3]基础状态预期!H169)</f>
        <v>0</v>
      </c>
      <c r="X157" s="14">
        <f>IF([3]基础状态预期!I169="",0,[3]基础状态预期!I169)</f>
        <v>0</v>
      </c>
      <c r="Y157" s="14">
        <f>IF([3]基础状态预期!J169="",0,[3]基础状态预期!J169)</f>
        <v>6</v>
      </c>
      <c r="Z157" s="14">
        <f>IF([3]基础状态预期!K169="",MIN(8,Z158),[3]基础状态预期!K169)</f>
        <v>8</v>
      </c>
      <c r="AA157" s="14">
        <f>IF([3]基础状态预期!L169="",MIN(8,AA158),[3]基础状态预期!L169)</f>
        <v>8</v>
      </c>
      <c r="AB157" s="14">
        <f>IF([3]基础状态预期!M169="",MIN(8,AB158),[3]基础状态预期!M169)</f>
        <v>8</v>
      </c>
      <c r="AC157" s="14">
        <f>IF([3]基础状态预期!N169="",MIN(8,AC158),[3]基础状态预期!N169)</f>
        <v>8</v>
      </c>
      <c r="AD157" s="14">
        <f>IF([3]基础状态预期!O169="",MIN(8,AD158),[3]基础状态预期!O169)</f>
        <v>8</v>
      </c>
    </row>
    <row r="158" spans="3:30" x14ac:dyDescent="0.15">
      <c r="C158" s="5">
        <v>155</v>
      </c>
      <c r="D158" s="5">
        <f>'[1]功能-实力'!BF159</f>
        <v>78283638</v>
      </c>
      <c r="E158" s="5">
        <f>'[1]功能-实力'!BG159</f>
        <v>89430822</v>
      </c>
      <c r="F158" s="5">
        <f>'[1]功能-实力'!BH159</f>
        <v>93224682</v>
      </c>
      <c r="G158" s="5">
        <f>'[1]功能-实力'!BI159</f>
        <v>93840378</v>
      </c>
      <c r="H158" s="5">
        <f>'[1]功能-实力'!BJ159</f>
        <v>93943086</v>
      </c>
      <c r="S158" s="12">
        <f>IF([3]基础状态预期!C170="","",[3]基础状态预期!C170)</f>
        <v>260</v>
      </c>
      <c r="T158" s="12">
        <f>IF([3]基础状态预期!D170="","",[3]基础状态预期!D170)</f>
        <v>90.288435080379244</v>
      </c>
      <c r="U158" s="14">
        <f>IF([3]基础状态预期!F170="",0,[3]基础状态预期!F170)</f>
        <v>0</v>
      </c>
      <c r="V158" s="14">
        <f>IF([3]基础状态预期!G170="",0,[3]基础状态预期!G170)</f>
        <v>0</v>
      </c>
      <c r="W158" s="14">
        <f>IF([3]基础状态预期!H170="",0,[3]基础状态预期!H170)</f>
        <v>0</v>
      </c>
      <c r="X158" s="14">
        <f>IF([3]基础状态预期!I170="",0,[3]基础状态预期!I170)</f>
        <v>0</v>
      </c>
      <c r="Y158" s="14">
        <f>IF([3]基础状态预期!J170="",0,[3]基础状态预期!J170)</f>
        <v>6</v>
      </c>
      <c r="Z158" s="14">
        <f>IF([3]基础状态预期!K170="",MIN(8,Z159),[3]基础状态预期!K170)</f>
        <v>8</v>
      </c>
      <c r="AA158" s="14">
        <f>IF([3]基础状态预期!L170="",MIN(8,AA159),[3]基础状态预期!L170)</f>
        <v>8</v>
      </c>
      <c r="AB158" s="14">
        <f>IF([3]基础状态预期!M170="",MIN(8,AB159),[3]基础状态预期!M170)</f>
        <v>8</v>
      </c>
      <c r="AC158" s="14">
        <f>IF([3]基础状态预期!N170="",MIN(8,AC159),[3]基础状态预期!N170)</f>
        <v>8</v>
      </c>
      <c r="AD158" s="14">
        <f>IF([3]基础状态预期!O170="",MIN(8,AD159),[3]基础状态预期!O170)</f>
        <v>8</v>
      </c>
    </row>
    <row r="159" spans="3:30" x14ac:dyDescent="0.15">
      <c r="C159" s="5">
        <v>156</v>
      </c>
      <c r="D159" s="5">
        <f>'[1]功能-实力'!BF160</f>
        <v>79355910</v>
      </c>
      <c r="E159" s="5">
        <f>'[1]功能-实力'!BG160</f>
        <v>90331476</v>
      </c>
      <c r="F159" s="5">
        <f>'[1]功能-实力'!BH160</f>
        <v>93380550</v>
      </c>
      <c r="G159" s="5">
        <f>'[1]功能-实力'!BI160</f>
        <v>93920352</v>
      </c>
      <c r="H159" s="5">
        <f>'[1]功能-实力'!BJ160</f>
        <v>94023702</v>
      </c>
      <c r="S159" s="12">
        <f>IF([3]基础状态预期!C171="","",[3]基础状态预期!C171)</f>
        <v>320</v>
      </c>
      <c r="T159" s="12">
        <f>IF([3]基础状态预期!D171="","",[3]基础状态预期!D171)</f>
        <v>93.400072017025948</v>
      </c>
      <c r="U159" s="14">
        <f>IF([3]基础状态预期!F171="",0,[3]基础状态预期!F171)</f>
        <v>0</v>
      </c>
      <c r="V159" s="14">
        <f>IF([3]基础状态预期!G171="",0,[3]基础状态预期!G171)</f>
        <v>0</v>
      </c>
      <c r="W159" s="14">
        <f>IF([3]基础状态预期!H171="",0,[3]基础状态预期!H171)</f>
        <v>0</v>
      </c>
      <c r="X159" s="14">
        <f>IF([3]基础状态预期!I171="",0,[3]基础状态预期!I171)</f>
        <v>0</v>
      </c>
      <c r="Y159" s="14">
        <f>IF([3]基础状态预期!J171="",0,[3]基础状态预期!J171)</f>
        <v>6</v>
      </c>
      <c r="Z159" s="14">
        <f>IF([3]基础状态预期!K171="",MIN(8,Z160),[3]基础状态预期!K171)</f>
        <v>8</v>
      </c>
      <c r="AA159" s="14">
        <f>IF([3]基础状态预期!L171="",MIN(8,AA160),[3]基础状态预期!L171)</f>
        <v>8</v>
      </c>
      <c r="AB159" s="14">
        <f>IF([3]基础状态预期!M171="",MIN(8,AB160),[3]基础状态预期!M171)</f>
        <v>8</v>
      </c>
      <c r="AC159" s="14">
        <f>IF([3]基础状态预期!N171="",MIN(8,AC160),[3]基础状态预期!N171)</f>
        <v>8</v>
      </c>
      <c r="AD159" s="14">
        <f>IF([3]基础状态预期!O171="",MIN(8,AD160),[3]基础状态预期!O171)</f>
        <v>8</v>
      </c>
    </row>
    <row r="160" spans="3:30" x14ac:dyDescent="0.15">
      <c r="C160" s="5">
        <v>157</v>
      </c>
      <c r="D160" s="5">
        <f>'[1]功能-实力'!BF161</f>
        <v>80171352</v>
      </c>
      <c r="E160" s="5">
        <f>'[1]功能-实力'!BG161</f>
        <v>91035978</v>
      </c>
      <c r="F160" s="5">
        <f>'[1]功能-实力'!BH161</f>
        <v>93459918</v>
      </c>
      <c r="G160" s="5">
        <f>'[1]功能-实力'!BI161</f>
        <v>94000338</v>
      </c>
      <c r="H160" s="5">
        <f>'[1]功能-实力'!BJ161</f>
        <v>94104342</v>
      </c>
      <c r="S160" s="12">
        <f>IF([3]基础状态预期!C172="","",[3]基础状态预期!C172)</f>
        <v>410</v>
      </c>
      <c r="T160" s="12">
        <f>IF([3]基础状态预期!D172="","",[3]基础状态预期!D172)</f>
        <v>97.006001686863456</v>
      </c>
      <c r="U160" s="14">
        <f>IF([3]基础状态预期!F172="",0,[3]基础状态预期!F172)</f>
        <v>0</v>
      </c>
      <c r="V160" s="14">
        <f>IF([3]基础状态预期!G172="",0,[3]基础状态预期!G172)</f>
        <v>0</v>
      </c>
      <c r="W160" s="14">
        <f>IF([3]基础状态预期!H172="",0,[3]基础状态预期!H172)</f>
        <v>0</v>
      </c>
      <c r="X160" s="14">
        <f>IF([3]基础状态预期!I172="",0,[3]基础状态预期!I172)</f>
        <v>0</v>
      </c>
      <c r="Y160" s="14">
        <f>IF([3]基础状态预期!J172="",0,[3]基础状态预期!J172)</f>
        <v>6</v>
      </c>
      <c r="Z160" s="14">
        <f>IF([3]基础状态预期!K172="",MIN(8,Z161),[3]基础状态预期!K172)</f>
        <v>8</v>
      </c>
      <c r="AA160" s="14">
        <f>IF([3]基础状态预期!L172="",MIN(8,AA161),[3]基础状态预期!L172)</f>
        <v>8</v>
      </c>
      <c r="AB160" s="14">
        <f>IF([3]基础状态预期!M172="",MIN(8,AB161),[3]基础状态预期!M172)</f>
        <v>8</v>
      </c>
      <c r="AC160" s="14">
        <f>IF([3]基础状态预期!N172="",MIN(8,AC161),[3]基础状态预期!N172)</f>
        <v>8</v>
      </c>
      <c r="AD160" s="14">
        <f>IF([3]基础状态预期!O172="",MIN(8,AD161),[3]基础状态预期!O172)</f>
        <v>8</v>
      </c>
    </row>
    <row r="161" spans="3:30" x14ac:dyDescent="0.15">
      <c r="C161" s="5">
        <v>158</v>
      </c>
      <c r="D161" s="5">
        <f>'[1]功能-实力'!BF162</f>
        <v>80713668</v>
      </c>
      <c r="E161" s="5">
        <f>'[1]功能-实力'!BG162</f>
        <v>91464654</v>
      </c>
      <c r="F161" s="5">
        <f>'[1]功能-实力'!BH162</f>
        <v>93539298</v>
      </c>
      <c r="G161" s="5">
        <f>'[1]功能-实力'!BI162</f>
        <v>94080354</v>
      </c>
      <c r="H161" s="5">
        <f>'[1]功能-实力'!BJ162</f>
        <v>94184994</v>
      </c>
      <c r="S161" s="12">
        <f>IF([3]基础状态预期!C173="","",[3]基础状态预期!C173)</f>
        <v>530</v>
      </c>
      <c r="T161" s="12">
        <f>IF([3]基础状态预期!D173="","",[3]基础状态预期!D173)</f>
        <v>100.64473135315967</v>
      </c>
      <c r="U161" s="14">
        <f>IF([3]基础状态预期!F173="",0,[3]基础状态预期!F173)</f>
        <v>0</v>
      </c>
      <c r="V161" s="14">
        <f>IF([3]基础状态预期!G173="",0,[3]基础状态预期!G173)</f>
        <v>0</v>
      </c>
      <c r="W161" s="14">
        <f>IF([3]基础状态预期!H173="",0,[3]基础状态预期!H173)</f>
        <v>0</v>
      </c>
      <c r="X161" s="14">
        <f>IF([3]基础状态预期!I173="",0,[3]基础状态预期!I173)</f>
        <v>0</v>
      </c>
      <c r="Y161" s="14">
        <f>IF([3]基础状态预期!J173="",0,[3]基础状态预期!J173)</f>
        <v>6</v>
      </c>
      <c r="Z161" s="14">
        <f>IF([3]基础状态预期!K173="",MIN(8,Z162),[3]基础状态预期!K173)</f>
        <v>8</v>
      </c>
      <c r="AA161" s="14">
        <f>IF([3]基础状态预期!L173="",MIN(8,AA162),[3]基础状态预期!L173)</f>
        <v>8</v>
      </c>
      <c r="AB161" s="14">
        <f>IF([3]基础状态预期!M173="",MIN(8,AB162),[3]基础状态预期!M173)</f>
        <v>8</v>
      </c>
      <c r="AC161" s="14">
        <f>IF([3]基础状态预期!N173="",MIN(8,AC162),[3]基础状态预期!N173)</f>
        <v>8</v>
      </c>
      <c r="AD161" s="14">
        <f>IF([3]基础状态预期!O173="",MIN(8,AD162),[3]基础状态预期!O173)</f>
        <v>8</v>
      </c>
    </row>
    <row r="162" spans="3:30" x14ac:dyDescent="0.15">
      <c r="C162" s="5">
        <v>159</v>
      </c>
      <c r="D162" s="5">
        <f>'[1]功能-实力'!BF163</f>
        <v>81105744</v>
      </c>
      <c r="E162" s="5">
        <f>'[1]功能-实力'!BG163</f>
        <v>91748052</v>
      </c>
      <c r="F162" s="5">
        <f>'[1]功能-实力'!BH163</f>
        <v>93618702</v>
      </c>
      <c r="G162" s="5">
        <f>'[1]功能-实力'!BI163</f>
        <v>94160388</v>
      </c>
      <c r="H162" s="5">
        <f>'[1]功能-实力'!BJ163</f>
        <v>94265676</v>
      </c>
      <c r="S162" s="12">
        <f>IF([3]基础状态预期!C174="","",[3]基础状态预期!C174)</f>
        <v>680</v>
      </c>
      <c r="T162" s="12">
        <f>IF([3]基础状态预期!D174="","",[3]基础状态预期!D174)</f>
        <v>104.30731379164318</v>
      </c>
      <c r="U162" s="14">
        <f>IF([3]基础状态预期!F174="",0,[3]基础状态预期!F174)</f>
        <v>0</v>
      </c>
      <c r="V162" s="14">
        <f>IF([3]基础状态预期!G174="",0,[3]基础状态预期!G174)</f>
        <v>0</v>
      </c>
      <c r="W162" s="14">
        <f>IF([3]基础状态预期!H174="",0,[3]基础状态预期!H174)</f>
        <v>0</v>
      </c>
      <c r="X162" s="14">
        <f>IF([3]基础状态预期!I174="",0,[3]基础状态预期!I174)</f>
        <v>0</v>
      </c>
      <c r="Y162" s="14">
        <f>IF([3]基础状态预期!J174="",0,[3]基础状态预期!J174)</f>
        <v>6</v>
      </c>
      <c r="Z162" s="14">
        <f>IF([3]基础状态预期!K174="",MIN(8,Z163),[3]基础状态预期!K174)</f>
        <v>8</v>
      </c>
      <c r="AA162" s="14">
        <f>IF([3]基础状态预期!L174="",MIN(8,AA163),[3]基础状态预期!L174)</f>
        <v>8</v>
      </c>
      <c r="AB162" s="14">
        <f>IF([3]基础状态预期!M174="",MIN(8,AB163),[3]基础状态预期!M174)</f>
        <v>8</v>
      </c>
      <c r="AC162" s="14">
        <f>IF([3]基础状态预期!N174="",MIN(8,AC163),[3]基础状态预期!N174)</f>
        <v>8</v>
      </c>
      <c r="AD162" s="14">
        <f>IF([3]基础状态预期!O174="",MIN(8,AD163),[3]基础状态预期!O174)</f>
        <v>8</v>
      </c>
    </row>
    <row r="163" spans="3:30" x14ac:dyDescent="0.15">
      <c r="C163" s="5">
        <v>160</v>
      </c>
      <c r="D163" s="5">
        <f>'[1]功能-实力'!BF164</f>
        <v>81498114</v>
      </c>
      <c r="E163" s="5">
        <f>'[1]功能-实力'!BG164</f>
        <v>92031654</v>
      </c>
      <c r="F163" s="5">
        <f>'[1]功能-实力'!BH164</f>
        <v>93698106</v>
      </c>
      <c r="G163" s="5">
        <f>'[1]功能-实力'!BI164</f>
        <v>94240416</v>
      </c>
      <c r="H163" s="5">
        <f>'[1]功能-实力'!BJ164</f>
        <v>94346352</v>
      </c>
      <c r="S163" s="12">
        <f>IF([3]基础状态预期!C175="","",[3]基础状态预期!C175)</f>
        <v>860</v>
      </c>
      <c r="T163" s="12">
        <f>IF([3]基础状态预期!D175="","",[3]基础状态预期!D175)</f>
        <v>107.78950972208385</v>
      </c>
      <c r="U163" s="14">
        <f>IF([3]基础状态预期!F175="",0,[3]基础状态预期!F175)</f>
        <v>0</v>
      </c>
      <c r="V163" s="14">
        <f>IF([3]基础状态预期!G175="",0,[3]基础状态预期!G175)</f>
        <v>0</v>
      </c>
      <c r="W163" s="14">
        <f>IF([3]基础状态预期!H175="",0,[3]基础状态预期!H175)</f>
        <v>0</v>
      </c>
      <c r="X163" s="14">
        <f>IF([3]基础状态预期!I175="",0,[3]基础状态预期!I175)</f>
        <v>0</v>
      </c>
      <c r="Y163" s="14">
        <f>IF([3]基础状态预期!J175="",0,[3]基础状态预期!J175)</f>
        <v>6</v>
      </c>
      <c r="Z163" s="14">
        <f>IF([3]基础状态预期!K175="",MIN(8,Z164),[3]基础状态预期!K175)</f>
        <v>8</v>
      </c>
      <c r="AA163" s="14">
        <f>IF([3]基础状态预期!L175="",MIN(8,AA164),[3]基础状态预期!L175)</f>
        <v>8</v>
      </c>
      <c r="AB163" s="14">
        <f>IF([3]基础状态预期!M175="",MIN(8,AB164),[3]基础状态预期!M175)</f>
        <v>8</v>
      </c>
      <c r="AC163" s="14">
        <f>IF([3]基础状态预期!N175="",MIN(8,AC164),[3]基础状态预期!N175)</f>
        <v>8</v>
      </c>
      <c r="AD163" s="14">
        <f>IF([3]基础状态预期!O175="",MIN(8,AD164),[3]基础状态预期!O175)</f>
        <v>8</v>
      </c>
    </row>
    <row r="164" spans="3:30" x14ac:dyDescent="0.15">
      <c r="S164" s="12">
        <f>IF([3]基础状态预期!C176="","",[3]基础状态预期!C176)</f>
        <v>1100</v>
      </c>
      <c r="T164" s="12">
        <f>IF([3]基础状态预期!D176="","",[3]基础状态预期!D176)</f>
        <v>111.29737083030383</v>
      </c>
      <c r="U164" s="14">
        <f>IF([3]基础状态预期!F176="",0,[3]基础状态预期!F176)</f>
        <v>0</v>
      </c>
      <c r="V164" s="14">
        <f>IF([3]基础状态预期!G176="",0,[3]基础状态预期!G176)</f>
        <v>0</v>
      </c>
      <c r="W164" s="14">
        <f>IF([3]基础状态预期!H176="",0,[3]基础状态预期!H176)</f>
        <v>0</v>
      </c>
      <c r="X164" s="14">
        <f>IF([3]基础状态预期!I176="",0,[3]基础状态预期!I176)</f>
        <v>0</v>
      </c>
      <c r="Y164" s="14">
        <f>IF([3]基础状态预期!J176="",0,[3]基础状态预期!J176)</f>
        <v>6</v>
      </c>
      <c r="Z164" s="14">
        <f>IF([3]基础状态预期!K176="",MIN(8,Z165),[3]基础状态预期!K176)</f>
        <v>8</v>
      </c>
      <c r="AA164" s="14">
        <f>IF([3]基础状态预期!L176="",MIN(8,AA165),[3]基础状态预期!L176)</f>
        <v>8</v>
      </c>
      <c r="AB164" s="14">
        <f>IF([3]基础状态预期!M176="",MIN(8,AB165),[3]基础状态预期!M176)</f>
        <v>8</v>
      </c>
      <c r="AC164" s="14">
        <f>IF([3]基础状态预期!N176="",MIN(8,AC165),[3]基础状态预期!N176)</f>
        <v>8</v>
      </c>
      <c r="AD164" s="14">
        <f>IF([3]基础状态预期!O176="",MIN(8,AD165),[3]基础状态预期!O176)</f>
        <v>8</v>
      </c>
    </row>
    <row r="165" spans="3:30" x14ac:dyDescent="0.15">
      <c r="S165" s="12">
        <f>IF([3]基础状态预期!C177="","",[3]基础状态预期!C177)</f>
        <v>1400</v>
      </c>
      <c r="T165" s="12">
        <f>IF([3]基础状态预期!D177="","",[3]基础状态预期!D177)</f>
        <v>114.91888401282834</v>
      </c>
      <c r="U165" s="14">
        <f>IF([3]基础状态预期!F177="",0,[3]基础状态预期!F177)</f>
        <v>0</v>
      </c>
      <c r="V165" s="14">
        <f>IF([3]基础状态预期!G177="",0,[3]基础状态预期!G177)</f>
        <v>0</v>
      </c>
      <c r="W165" s="14">
        <f>IF([3]基础状态预期!H177="",0,[3]基础状态预期!H177)</f>
        <v>0</v>
      </c>
      <c r="X165" s="14">
        <f>IF([3]基础状态预期!I177="",0,[3]基础状态预期!I177)</f>
        <v>0</v>
      </c>
      <c r="Y165" s="14">
        <f>IF([3]基础状态预期!J177="",0,[3]基础状态预期!J177)</f>
        <v>6</v>
      </c>
      <c r="Z165" s="14">
        <f>IF([3]基础状态预期!K177="",MIN(8,Z166),[3]基础状态预期!K177)</f>
        <v>8</v>
      </c>
      <c r="AA165" s="14">
        <f>IF([3]基础状态预期!L177="",MIN(8,AA166),[3]基础状态预期!L177)</f>
        <v>8</v>
      </c>
      <c r="AB165" s="14">
        <f>IF([3]基础状态预期!M177="",MIN(8,AB166),[3]基础状态预期!M177)</f>
        <v>8</v>
      </c>
      <c r="AC165" s="14">
        <f>IF([3]基础状态预期!N177="",MIN(8,AC166),[3]基础状态预期!N177)</f>
        <v>8</v>
      </c>
      <c r="AD165" s="14">
        <f>IF([3]基础状态预期!O177="",MIN(8,AD166),[3]基础状态预期!O177)</f>
        <v>8</v>
      </c>
    </row>
    <row r="166" spans="3:30" x14ac:dyDescent="0.15">
      <c r="S166" s="12">
        <f>IF([3]基础状态预期!C178="","",[3]基础状态预期!C178)</f>
        <v>1790</v>
      </c>
      <c r="T166" s="12">
        <f>IF([3]基础状态预期!D178="","",[3]基础状态预期!D178)</f>
        <v>118.4172728380062</v>
      </c>
      <c r="U166" s="14">
        <f>IF([3]基础状态预期!F178="",0,[3]基础状态预期!F178)</f>
        <v>0</v>
      </c>
      <c r="V166" s="14">
        <f>IF([3]基础状态预期!G178="",0,[3]基础状态预期!G178)</f>
        <v>0</v>
      </c>
      <c r="W166" s="14">
        <f>IF([3]基础状态预期!H178="",0,[3]基础状态预期!H178)</f>
        <v>0</v>
      </c>
      <c r="X166" s="14">
        <f>IF([3]基础状态预期!I178="",0,[3]基础状态预期!I178)</f>
        <v>0</v>
      </c>
      <c r="Y166" s="14">
        <f>IF([3]基础状态预期!J178="",0,[3]基础状态预期!J178)</f>
        <v>6</v>
      </c>
      <c r="Z166" s="14">
        <f>IF([3]基础状态预期!K178="",MIN(8,Z167),[3]基础状态预期!K178)</f>
        <v>8</v>
      </c>
      <c r="AA166" s="14">
        <f>IF([3]基础状态预期!L178="",MIN(8,AA167),[3]基础状态预期!L178)</f>
        <v>8</v>
      </c>
      <c r="AB166" s="14">
        <f>IF([3]基础状态预期!M178="",MIN(8,AB167),[3]基础状态预期!M178)</f>
        <v>8</v>
      </c>
      <c r="AC166" s="14">
        <f>IF([3]基础状态预期!N178="",MIN(8,AC167),[3]基础状态预期!N178)</f>
        <v>8</v>
      </c>
      <c r="AD166" s="14">
        <f>IF([3]基础状态预期!O178="",MIN(8,AD167),[3]基础状态预期!O178)</f>
        <v>8</v>
      </c>
    </row>
    <row r="167" spans="3:30" x14ac:dyDescent="0.15">
      <c r="S167" s="12">
        <f>IF([3]基础状态预期!C179="","",[3]基础状态预期!C179)</f>
        <v>2270</v>
      </c>
      <c r="T167" s="12">
        <f>IF([3]基础状态预期!D179="","",[3]基础状态预期!D179)</f>
        <v>121.99245722798884</v>
      </c>
      <c r="U167" s="14">
        <f>IF([3]基础状态预期!F179="",0,[3]基础状态预期!F179)</f>
        <v>0</v>
      </c>
      <c r="V167" s="14">
        <f>IF([3]基础状态预期!G179="",0,[3]基础状态预期!G179)</f>
        <v>0</v>
      </c>
      <c r="W167" s="14">
        <f>IF([3]基础状态预期!H179="",0,[3]基础状态预期!H179)</f>
        <v>0</v>
      </c>
      <c r="X167" s="14">
        <f>IF([3]基础状态预期!I179="",0,[3]基础状态预期!I179)</f>
        <v>0</v>
      </c>
      <c r="Y167" s="14">
        <f>IF([3]基础状态预期!J179="",0,[3]基础状态预期!J179)</f>
        <v>6</v>
      </c>
      <c r="Z167" s="14">
        <f>IF([3]基础状态预期!K179="",MIN(8,Z168),[3]基础状态预期!K179)</f>
        <v>8</v>
      </c>
      <c r="AA167" s="14">
        <f>IF([3]基础状态预期!L179="",MIN(8,AA168),[3]基础状态预期!L179)</f>
        <v>8</v>
      </c>
      <c r="AB167" s="14">
        <f>IF([3]基础状态预期!M179="",MIN(8,AB168),[3]基础状态预期!M179)</f>
        <v>8</v>
      </c>
      <c r="AC167" s="14">
        <f>IF([3]基础状态预期!N179="",MIN(8,AC168),[3]基础状态预期!N179)</f>
        <v>8</v>
      </c>
      <c r="AD167" s="14">
        <f>IF([3]基础状态预期!O179="",MIN(8,AD168),[3]基础状态预期!O179)</f>
        <v>8</v>
      </c>
    </row>
    <row r="168" spans="3:30" x14ac:dyDescent="0.15">
      <c r="S168" s="12">
        <f>IF([3]基础状态预期!C180="","",[3]基础状态预期!C180)</f>
        <v>2900</v>
      </c>
      <c r="T168" s="12">
        <f>IF([3]基础状态预期!D180="","",[3]基础状态预期!D180)</f>
        <v>125.43876546297123</v>
      </c>
      <c r="U168" s="14">
        <f>IF([3]基础状态预期!F180="",0,[3]基础状态预期!F180)</f>
        <v>0</v>
      </c>
      <c r="V168" s="14">
        <f>IF([3]基础状态预期!G180="",0,[3]基础状态预期!G180)</f>
        <v>0</v>
      </c>
      <c r="W168" s="14">
        <f>IF([3]基础状态预期!H180="",0,[3]基础状态预期!H180)</f>
        <v>0</v>
      </c>
      <c r="X168" s="14">
        <f>IF([3]基础状态预期!I180="",0,[3]基础状态预期!I180)</f>
        <v>0</v>
      </c>
      <c r="Y168" s="14">
        <f>IF([3]基础状态预期!J180="",0,[3]基础状态预期!J180)</f>
        <v>6</v>
      </c>
      <c r="Z168" s="14">
        <f>IF([3]基础状态预期!K180="",MIN(8,Z169),[3]基础状态预期!K180)</f>
        <v>8</v>
      </c>
      <c r="AA168" s="14">
        <f>IF([3]基础状态预期!L180="",MIN(8,AA169),[3]基础状态预期!L180)</f>
        <v>8</v>
      </c>
      <c r="AB168" s="14">
        <f>IF([3]基础状态预期!M180="",MIN(8,AB169),[3]基础状态预期!M180)</f>
        <v>8</v>
      </c>
      <c r="AC168" s="14">
        <f>IF([3]基础状态预期!N180="",MIN(8,AC169),[3]基础状态预期!N180)</f>
        <v>8</v>
      </c>
      <c r="AD168" s="14">
        <f>IF([3]基础状态预期!O180="",MIN(8,AD169),[3]基础状态预期!O180)</f>
        <v>8</v>
      </c>
    </row>
    <row r="169" spans="3:30" x14ac:dyDescent="0.15">
      <c r="S169" s="12">
        <f>IF([3]基础状态预期!C181="","",[3]基础状态预期!C181)</f>
        <v>3710</v>
      </c>
      <c r="T169" s="12">
        <f>IF([3]基础状态预期!D181="","",[3]基础状态预期!D181)</f>
        <v>129.12105302323599</v>
      </c>
      <c r="U169" s="14">
        <f>IF([3]基础状态预期!F181="",0,[3]基础状态预期!F181)</f>
        <v>0</v>
      </c>
      <c r="V169" s="14">
        <f>IF([3]基础状态预期!G181="",0,[3]基础状态预期!G181)</f>
        <v>0</v>
      </c>
      <c r="W169" s="14">
        <f>IF([3]基础状态预期!H181="",0,[3]基础状态预期!H181)</f>
        <v>0</v>
      </c>
      <c r="X169" s="14">
        <f>IF([3]基础状态预期!I181="",0,[3]基础状态预期!I181)</f>
        <v>0</v>
      </c>
      <c r="Y169" s="14">
        <f>IF([3]基础状态预期!J181="",0,[3]基础状态预期!J181)</f>
        <v>6</v>
      </c>
      <c r="Z169" s="14">
        <f>IF([3]基础状态预期!K181="",MIN(8,Z170),[3]基础状态预期!K181)</f>
        <v>8</v>
      </c>
      <c r="AA169" s="14">
        <f>IF([3]基础状态预期!L181="",MIN(8,AA170),[3]基础状态预期!L181)</f>
        <v>8</v>
      </c>
      <c r="AB169" s="14">
        <f>IF([3]基础状态预期!M181="",MIN(8,AB170),[3]基础状态预期!M181)</f>
        <v>8</v>
      </c>
      <c r="AC169" s="14">
        <f>IF([3]基础状态预期!N181="",MIN(8,AC170),[3]基础状态预期!N181)</f>
        <v>8</v>
      </c>
      <c r="AD169" s="14">
        <f>IF([3]基础状态预期!O181="",MIN(8,AD170),[3]基础状态预期!O181)</f>
        <v>8</v>
      </c>
    </row>
    <row r="170" spans="3:30" x14ac:dyDescent="0.15">
      <c r="S170" s="12">
        <f>IF([3]基础状态预期!C182="","",[3]基础状态预期!C182)</f>
        <v>4730</v>
      </c>
      <c r="T170" s="12">
        <f>IF([3]基础状态预期!D182="","",[3]基础状态预期!D182)</f>
        <v>132.61179169042359</v>
      </c>
      <c r="U170" s="14">
        <f>IF([3]基础状态预期!F182="",0,[3]基础状态预期!F182)</f>
        <v>0</v>
      </c>
      <c r="V170" s="14">
        <f>IF([3]基础状态预期!G182="",0,[3]基础状态预期!G182)</f>
        <v>0</v>
      </c>
      <c r="W170" s="14">
        <f>IF([3]基础状态预期!H182="",0,[3]基础状态预期!H182)</f>
        <v>0</v>
      </c>
      <c r="X170" s="14">
        <f>IF([3]基础状态预期!I182="",0,[3]基础状态预期!I182)</f>
        <v>0</v>
      </c>
      <c r="Y170" s="14">
        <f>IF([3]基础状态预期!J182="",0,[3]基础状态预期!J182)</f>
        <v>6</v>
      </c>
      <c r="Z170" s="14">
        <f>IF([3]基础状态预期!K182="",MIN(8,Z171),[3]基础状态预期!K182)</f>
        <v>8</v>
      </c>
      <c r="AA170" s="14">
        <f>IF([3]基础状态预期!L182="",MIN(8,AA171),[3]基础状态预期!L182)</f>
        <v>8</v>
      </c>
      <c r="AB170" s="14">
        <f>IF([3]基础状态预期!M182="",MIN(8,AB171),[3]基础状态预期!M182)</f>
        <v>8</v>
      </c>
      <c r="AC170" s="14">
        <f>IF([3]基础状态预期!N182="",MIN(8,AC171),[3]基础状态预期!N182)</f>
        <v>8</v>
      </c>
      <c r="AD170" s="14">
        <f>IF([3]基础状态预期!O182="",MIN(8,AD171),[3]基础状态预期!O182)</f>
        <v>8</v>
      </c>
    </row>
    <row r="171" spans="3:30" x14ac:dyDescent="0.15">
      <c r="S171" s="12">
        <f>IF([3]基础状态预期!C183="","",[3]基础状态预期!C183)</f>
        <v>6020</v>
      </c>
      <c r="T171" s="12">
        <f>IF([3]基础状态预期!D183="","",[3]基础状态预期!D183)</f>
        <v>136.12035534953262</v>
      </c>
      <c r="U171" s="14">
        <f>IF([3]基础状态预期!F183="",0,[3]基础状态预期!F183)</f>
        <v>0</v>
      </c>
      <c r="V171" s="14">
        <f>IF([3]基础状态预期!G183="",0,[3]基础状态预期!G183)</f>
        <v>0</v>
      </c>
      <c r="W171" s="14">
        <f>IF([3]基础状态预期!H183="",0,[3]基础状态预期!H183)</f>
        <v>0</v>
      </c>
      <c r="X171" s="14">
        <f>IF([3]基础状态预期!I183="",0,[3]基础状态预期!I183)</f>
        <v>0</v>
      </c>
      <c r="Y171" s="14">
        <f>IF([3]基础状态预期!J183="",0,[3]基础状态预期!J183)</f>
        <v>6</v>
      </c>
      <c r="Z171" s="14">
        <f>IF([3]基础状态预期!K183="",MIN(8,Z172),[3]基础状态预期!K183)</f>
        <v>8</v>
      </c>
      <c r="AA171" s="14">
        <f>IF([3]基础状态预期!L183="",MIN(8,AA172),[3]基础状态预期!L183)</f>
        <v>8</v>
      </c>
      <c r="AB171" s="14">
        <f>IF([3]基础状态预期!M183="",MIN(8,AB172),[3]基础状态预期!M183)</f>
        <v>8</v>
      </c>
      <c r="AC171" s="14">
        <f>IF([3]基础状态预期!N183="",MIN(8,AC172),[3]基础状态预期!N183)</f>
        <v>8</v>
      </c>
      <c r="AD171" s="14">
        <f>IF([3]基础状态预期!O183="",MIN(8,AD172),[3]基础状态预期!O183)</f>
        <v>8</v>
      </c>
    </row>
    <row r="172" spans="3:30" x14ac:dyDescent="0.15">
      <c r="S172" s="12">
        <f>IF([3]基础状态预期!C184="","",[3]基础状态预期!C184)</f>
        <v>7670</v>
      </c>
      <c r="T172" s="12">
        <f>IF([3]基础状态预期!D184="","",[3]基础状态预期!D184)</f>
        <v>139.6793621861803</v>
      </c>
      <c r="U172" s="14">
        <f>IF([3]基础状态预期!F184="",0,[3]基础状态预期!F184)</f>
        <v>0</v>
      </c>
      <c r="V172" s="14">
        <f>IF([3]基础状态预期!G184="",0,[3]基础状态预期!G184)</f>
        <v>0</v>
      </c>
      <c r="W172" s="14">
        <f>IF([3]基础状态预期!H184="",0,[3]基础状态预期!H184)</f>
        <v>0</v>
      </c>
      <c r="X172" s="14">
        <f>IF([3]基础状态预期!I184="",0,[3]基础状态预期!I184)</f>
        <v>0</v>
      </c>
      <c r="Y172" s="14">
        <f>IF([3]基础状态预期!J184="",0,[3]基础状态预期!J184)</f>
        <v>6</v>
      </c>
      <c r="Z172" s="14">
        <f>IF([3]基础状态预期!K184="",MIN(8,Z173),[3]基础状态预期!K184)</f>
        <v>8</v>
      </c>
      <c r="AA172" s="14">
        <f>IF([3]基础状态预期!L184="",MIN(8,AA173),[3]基础状态预期!L184)</f>
        <v>8</v>
      </c>
      <c r="AB172" s="14">
        <f>IF([3]基础状态预期!M184="",MIN(8,AB173),[3]基础状态预期!M184)</f>
        <v>8</v>
      </c>
      <c r="AC172" s="14">
        <f>IF([3]基础状态预期!N184="",MIN(8,AC173),[3]基础状态预期!N184)</f>
        <v>8</v>
      </c>
      <c r="AD172" s="14">
        <f>IF([3]基础状态预期!O184="",MIN(8,AD173),[3]基础状态预期!O184)</f>
        <v>8</v>
      </c>
    </row>
    <row r="173" spans="3:30" x14ac:dyDescent="0.15">
      <c r="S173" s="12">
        <f>IF([3]基础状态预期!C185="","",[3]基础状态预期!C185)</f>
        <v>9770</v>
      </c>
      <c r="T173" s="12">
        <f>IF([3]基础状态预期!D185="","",[3]基础状态预期!D185)</f>
        <v>143.14123736077869</v>
      </c>
      <c r="U173" s="14">
        <f>IF([3]基础状态预期!F185="",0,[3]基础状态预期!F185)</f>
        <v>0</v>
      </c>
      <c r="V173" s="14">
        <f>IF([3]基础状态预期!G185="",0,[3]基础状态预期!G185)</f>
        <v>0</v>
      </c>
      <c r="W173" s="14">
        <f>IF([3]基础状态预期!H185="",0,[3]基础状态预期!H185)</f>
        <v>0</v>
      </c>
      <c r="X173" s="14">
        <f>IF([3]基础状态预期!I185="",0,[3]基础状态预期!I185)</f>
        <v>0</v>
      </c>
      <c r="Y173" s="14">
        <f>IF([3]基础状态预期!J185="",0,[3]基础状态预期!J185)</f>
        <v>6</v>
      </c>
      <c r="Z173" s="14">
        <f>IF([3]基础状态预期!K185="",MIN(8,Z174),[3]基础状态预期!K185)</f>
        <v>8</v>
      </c>
      <c r="AA173" s="14">
        <f>IF([3]基础状态预期!L185="",MIN(8,AA174),[3]基础状态预期!L185)</f>
        <v>8</v>
      </c>
      <c r="AB173" s="14">
        <f>IF([3]基础状态预期!M185="",MIN(8,AB174),[3]基础状态预期!M185)</f>
        <v>8</v>
      </c>
      <c r="AC173" s="14">
        <f>IF([3]基础状态预期!N185="",MIN(8,AC174),[3]基础状态预期!N185)</f>
        <v>8</v>
      </c>
      <c r="AD173" s="14">
        <f>IF([3]基础状态预期!O185="",MIN(8,AD174),[3]基础状态预期!O185)</f>
        <v>8</v>
      </c>
    </row>
    <row r="174" spans="3:30" x14ac:dyDescent="0.15">
      <c r="S174" s="12">
        <f>IF([3]基础状态预期!C186="","",[3]基础状态预期!C186)</f>
        <v>12440</v>
      </c>
      <c r="T174" s="12">
        <f>IF([3]基础状态预期!D186="","",[3]基础状态预期!D186)</f>
        <v>146.75578521325724</v>
      </c>
      <c r="U174" s="14">
        <f>IF([3]基础状态预期!F186="",0,[3]基础状态预期!F186)</f>
        <v>0</v>
      </c>
      <c r="V174" s="14">
        <f>IF([3]基础状态预期!G186="",0,[3]基础状态预期!G186)</f>
        <v>0</v>
      </c>
      <c r="W174" s="14">
        <f>IF([3]基础状态预期!H186="",0,[3]基础状态预期!H186)</f>
        <v>0</v>
      </c>
      <c r="X174" s="14">
        <f>IF([3]基础状态预期!I186="",0,[3]基础状态预期!I186)</f>
        <v>0</v>
      </c>
      <c r="Y174" s="14">
        <f>IF([3]基础状态预期!J186="",0,[3]基础状态预期!J186)</f>
        <v>6</v>
      </c>
      <c r="Z174" s="14">
        <f>IF([3]基础状态预期!K186="",MIN(8,Z175),[3]基础状态预期!K186)</f>
        <v>8</v>
      </c>
      <c r="AA174" s="14">
        <f>IF([3]基础状态预期!L186="",MIN(8,AA175),[3]基础状态预期!L186)</f>
        <v>8</v>
      </c>
      <c r="AB174" s="14">
        <f>IF([3]基础状态预期!M186="",MIN(8,AB175),[3]基础状态预期!M186)</f>
        <v>8</v>
      </c>
      <c r="AC174" s="14">
        <f>IF([3]基础状态预期!N186="",MIN(8,AC175),[3]基础状态预期!N186)</f>
        <v>8</v>
      </c>
      <c r="AD174" s="14">
        <f>IF([3]基础状态预期!O186="",MIN(8,AD175),[3]基础状态预期!O186)</f>
        <v>8</v>
      </c>
    </row>
    <row r="175" spans="3:30" x14ac:dyDescent="0.15">
      <c r="S175" s="12">
        <f>IF([3]基础状态预期!C187="","",[3]基础状态预期!C187)</f>
        <v>15860</v>
      </c>
      <c r="T175" s="12">
        <f>IF([3]基础状态预期!D187="","",[3]基础状态预期!D187)</f>
        <v>150.21349802228445</v>
      </c>
      <c r="U175" s="14">
        <f>IF([3]基础状态预期!F187="",0,[3]基础状态预期!F187)</f>
        <v>0</v>
      </c>
      <c r="V175" s="14">
        <f>IF([3]基础状态预期!G187="",0,[3]基础状态预期!G187)</f>
        <v>0</v>
      </c>
      <c r="W175" s="14">
        <f>IF([3]基础状态预期!H187="",0,[3]基础状态预期!H187)</f>
        <v>0</v>
      </c>
      <c r="X175" s="14">
        <f>IF([3]基础状态预期!I187="",0,[3]基础状态预期!I187)</f>
        <v>0</v>
      </c>
      <c r="Y175" s="14">
        <f>IF([3]基础状态预期!J187="",0,[3]基础状态预期!J187)</f>
        <v>6</v>
      </c>
      <c r="Z175" s="14">
        <f>IF([3]基础状态预期!K187="",MIN(8,Z176),[3]基础状态预期!K187)</f>
        <v>8</v>
      </c>
      <c r="AA175" s="14">
        <f>IF([3]基础状态预期!L187="",MIN(8,AA176),[3]基础状态预期!L187)</f>
        <v>8</v>
      </c>
      <c r="AB175" s="14">
        <f>IF([3]基础状态预期!M187="",MIN(8,AB176),[3]基础状态预期!M187)</f>
        <v>8</v>
      </c>
      <c r="AC175" s="14">
        <f>IF([3]基础状态预期!N187="",MIN(8,AC176),[3]基础状态预期!N187)</f>
        <v>8</v>
      </c>
      <c r="AD175" s="14">
        <f>IF([3]基础状态预期!O187="",MIN(8,AD176),[3]基础状态预期!O187)</f>
        <v>8</v>
      </c>
    </row>
    <row r="176" spans="3:30" x14ac:dyDescent="0.15">
      <c r="S176" s="12">
        <f>IF([3]基础状态预期!C188="","",[3]基础状态预期!C188)</f>
        <v>20210</v>
      </c>
      <c r="T176" s="12">
        <f>IF([3]基础状态预期!D188="","",[3]基础状态预期!D188)</f>
        <v>152.32856849044819</v>
      </c>
      <c r="U176" s="14">
        <f>IF([3]基础状态预期!F188="",0,[3]基础状态预期!F188)</f>
        <v>0</v>
      </c>
      <c r="V176" s="14">
        <f>IF([3]基础状态预期!G188="",0,[3]基础状态预期!G188)</f>
        <v>0</v>
      </c>
      <c r="W176" s="14">
        <f>IF([3]基础状态预期!H188="",0,[3]基础状态预期!H188)</f>
        <v>0</v>
      </c>
      <c r="X176" s="14">
        <f>IF([3]基础状态预期!I188="",0,[3]基础状态预期!I188)</f>
        <v>0</v>
      </c>
      <c r="Y176" s="14">
        <f>IF([3]基础状态预期!J188="",0,[3]基础状态预期!J188)</f>
        <v>6</v>
      </c>
      <c r="Z176" s="14">
        <f>IF([3]基础状态预期!K188="",MIN(8,Z177),[3]基础状态预期!K188)</f>
        <v>8</v>
      </c>
      <c r="AA176" s="14">
        <f>IF([3]基础状态预期!L188="",MIN(8,AA177),[3]基础状态预期!L188)</f>
        <v>8</v>
      </c>
      <c r="AB176" s="14">
        <f>IF([3]基础状态预期!M188="",MIN(8,AB177),[3]基础状态预期!M188)</f>
        <v>8</v>
      </c>
      <c r="AC176" s="14">
        <f>IF([3]基础状态预期!N188="",MIN(8,AC177),[3]基础状态预期!N188)</f>
        <v>8</v>
      </c>
      <c r="AD176" s="14">
        <f>IF([3]基础状态预期!O188="",MIN(8,AD177),[3]基础状态预期!O188)</f>
        <v>8</v>
      </c>
    </row>
    <row r="177" spans="19:30" x14ac:dyDescent="0.15">
      <c r="S177" s="12">
        <f>IF([3]基础状态预期!C189="","",[3]基础状态预期!C189)</f>
        <v>25760</v>
      </c>
      <c r="T177" s="12">
        <f>IF([3]基础状态预期!D189="","",[3]基础状态预期!D189)</f>
        <v>153.15627769682186</v>
      </c>
      <c r="U177" s="14">
        <f>IF([3]基础状态预期!F189="",0,[3]基础状态预期!F189)</f>
        <v>0</v>
      </c>
      <c r="V177" s="14">
        <f>IF([3]基础状态预期!G189="",0,[3]基础状态预期!G189)</f>
        <v>0</v>
      </c>
      <c r="W177" s="14">
        <f>IF([3]基础状态预期!H189="",0,[3]基础状态预期!H189)</f>
        <v>0</v>
      </c>
      <c r="X177" s="14">
        <f>IF([3]基础状态预期!I189="",0,[3]基础状态预期!I189)</f>
        <v>0</v>
      </c>
      <c r="Y177" s="14">
        <f>IF([3]基础状态预期!J189="",0,[3]基础状态预期!J189)</f>
        <v>6</v>
      </c>
      <c r="Z177" s="14">
        <f>IF([3]基础状态预期!K189="",MIN(8,Z178),[3]基础状态预期!K189)</f>
        <v>8</v>
      </c>
      <c r="AA177" s="14">
        <f>IF([3]基础状态预期!L189="",MIN(8,AA178),[3]基础状态预期!L189)</f>
        <v>8</v>
      </c>
      <c r="AB177" s="14">
        <f>IF([3]基础状态预期!M189="",MIN(8,AB178),[3]基础状态预期!M189)</f>
        <v>8</v>
      </c>
      <c r="AC177" s="14">
        <f>IF([3]基础状态预期!N189="",MIN(8,AC178),[3]基础状态预期!N189)</f>
        <v>8</v>
      </c>
      <c r="AD177" s="14">
        <f>IF([3]基础状态预期!O189="",MIN(8,AD178),[3]基础状态预期!O189)</f>
        <v>8</v>
      </c>
    </row>
    <row r="178" spans="19:30" x14ac:dyDescent="0.15">
      <c r="S178" s="12">
        <f>IF([3]基础状态预期!C190="","",[3]基础状态预期!C190)</f>
        <v>32750</v>
      </c>
      <c r="T178" s="12">
        <f>IF([3]基础状态预期!D190="","",[3]基础状态预期!D190)</f>
        <v>153.85863088955028</v>
      </c>
      <c r="U178" s="14">
        <f>IF([3]基础状态预期!F190="",0,[3]基础状态预期!F190)</f>
        <v>0</v>
      </c>
      <c r="V178" s="14">
        <f>IF([3]基础状态预期!G190="",0,[3]基础状态预期!G190)</f>
        <v>0</v>
      </c>
      <c r="W178" s="14">
        <f>IF([3]基础状态预期!H190="",0,[3]基础状态预期!H190)</f>
        <v>0</v>
      </c>
      <c r="X178" s="14">
        <f>IF([3]基础状态预期!I190="",0,[3]基础状态预期!I190)</f>
        <v>0</v>
      </c>
      <c r="Y178" s="14">
        <f>IF([3]基础状态预期!J190="",0,[3]基础状态预期!J190)</f>
        <v>6</v>
      </c>
      <c r="Z178" s="14">
        <f>IF([3]基础状态预期!K190="",MIN(8,Z179),[3]基础状态预期!K190)</f>
        <v>8</v>
      </c>
      <c r="AA178" s="14">
        <f>IF([3]基础状态预期!L190="",MIN(8,AA179),[3]基础状态预期!L190)</f>
        <v>8</v>
      </c>
      <c r="AB178" s="14">
        <f>IF([3]基础状态预期!M190="",MIN(8,AB179),[3]基础状态预期!M190)</f>
        <v>8</v>
      </c>
      <c r="AC178" s="14">
        <f>IF([3]基础状态预期!N190="",MIN(8,AC179),[3]基础状态预期!N190)</f>
        <v>8</v>
      </c>
      <c r="AD178" s="14">
        <f>IF([3]基础状态预期!O190="",MIN(8,AD179),[3]基础状态预期!O190)</f>
        <v>8</v>
      </c>
    </row>
    <row r="179" spans="19:30" x14ac:dyDescent="0.15">
      <c r="S179" s="13"/>
      <c r="T179" s="13"/>
    </row>
    <row r="180" spans="19:30" x14ac:dyDescent="0.15">
      <c r="S180" s="13"/>
      <c r="T180" s="13"/>
    </row>
    <row r="181" spans="19:30" x14ac:dyDescent="0.15">
      <c r="S181" s="13"/>
      <c r="T181" s="13"/>
    </row>
    <row r="182" spans="19:30" x14ac:dyDescent="0.15">
      <c r="S182" s="17" t="s">
        <v>60</v>
      </c>
      <c r="T182" s="17"/>
    </row>
    <row r="183" spans="19:30" x14ac:dyDescent="0.15">
      <c r="S183" s="17"/>
      <c r="T183" s="17"/>
      <c r="U183" s="17" t="s">
        <v>67</v>
      </c>
      <c r="V183" s="17"/>
      <c r="W183" s="17"/>
      <c r="X183" s="17"/>
      <c r="Y183" s="17"/>
      <c r="Z183" s="17" t="s">
        <v>61</v>
      </c>
      <c r="AA183" s="17"/>
      <c r="AB183" s="17"/>
      <c r="AC183" s="17"/>
      <c r="AD183" s="17"/>
    </row>
    <row r="184" spans="19:30" x14ac:dyDescent="0.15">
      <c r="S184" s="12" t="s">
        <v>55</v>
      </c>
      <c r="T184" s="12" t="s">
        <v>56</v>
      </c>
      <c r="U184" s="12" t="s">
        <v>62</v>
      </c>
      <c r="V184" s="12" t="s">
        <v>63</v>
      </c>
      <c r="W184" s="12" t="s">
        <v>64</v>
      </c>
      <c r="X184" s="12" t="s">
        <v>65</v>
      </c>
      <c r="Y184" s="12" t="s">
        <v>66</v>
      </c>
      <c r="Z184" s="12" t="s">
        <v>62</v>
      </c>
      <c r="AA184" s="12" t="s">
        <v>63</v>
      </c>
      <c r="AB184" s="12" t="s">
        <v>64</v>
      </c>
      <c r="AC184" s="12" t="s">
        <v>65</v>
      </c>
      <c r="AD184" s="12" t="s">
        <v>66</v>
      </c>
    </row>
    <row r="185" spans="19:30" x14ac:dyDescent="0.15">
      <c r="S185" s="12">
        <f>IF([3]基础状态预期!C197="","",[3]基础状态预期!C197)</f>
        <v>0.27500000000000002</v>
      </c>
      <c r="T185" s="12">
        <f>IF([3]基础状态预期!D197="","",[3]基础状态预期!D197)</f>
        <v>10.040470049930473</v>
      </c>
      <c r="U185" s="14">
        <f>IF([3]基础状态预期!F197="",0,[3]基础状态预期!F197)</f>
        <v>0</v>
      </c>
      <c r="V185" s="14">
        <f>IF([3]基础状态预期!G197="",0,[3]基础状态预期!G197)</f>
        <v>0</v>
      </c>
      <c r="W185" s="14">
        <f>IF([3]基础状态预期!H197="",0,[3]基础状态预期!H197)</f>
        <v>0</v>
      </c>
      <c r="X185" s="14">
        <f>IF([3]基础状态预期!I197="",0,[3]基础状态预期!I197)</f>
        <v>6</v>
      </c>
      <c r="Y185" s="14">
        <f>IF([3]基础状态预期!J197="",0,[3]基础状态预期!J197)</f>
        <v>0</v>
      </c>
      <c r="Z185" s="14">
        <f>IF([3]基础状态预期!K197="",MIN(8,Z186),[3]基础状态预期!K197)</f>
        <v>8</v>
      </c>
      <c r="AA185" s="14">
        <f>IF([3]基础状态预期!L197="",MIN(8,AA186),[3]基础状态预期!L197)</f>
        <v>8</v>
      </c>
      <c r="AB185" s="14">
        <f>IF([3]基础状态预期!M197="",MIN(8,AB186),[3]基础状态预期!M197)</f>
        <v>8</v>
      </c>
      <c r="AC185" s="14">
        <f>IF([3]基础状态预期!N197="",MIN(8,AC186),[3]基础状态预期!N197)</f>
        <v>0</v>
      </c>
      <c r="AD185" s="14">
        <f>IF([3]基础状态预期!O197="",MIN(8,AD186),[3]基础状态预期!O197)</f>
        <v>0.73795613038542918</v>
      </c>
    </row>
    <row r="186" spans="19:30" x14ac:dyDescent="0.15">
      <c r="S186" s="12">
        <f>IF([3]基础状态预期!C198="","",[3]基础状态预期!C198)</f>
        <v>0.82500000000000007</v>
      </c>
      <c r="T186" s="12">
        <f>IF([3]基础状态预期!D198="","",[3]基础状态预期!D198)</f>
        <v>19.288856680060892</v>
      </c>
      <c r="U186" s="14">
        <f>IF([3]基础状态预期!F198="",0,[3]基础状态预期!F198)</f>
        <v>0</v>
      </c>
      <c r="V186" s="14">
        <f>IF([3]基础状态预期!G198="",0,[3]基础状态预期!G198)</f>
        <v>0</v>
      </c>
      <c r="W186" s="14">
        <f>IF([3]基础状态预期!H198="",0,[3]基础状态预期!H198)</f>
        <v>0</v>
      </c>
      <c r="X186" s="14">
        <f>IF([3]基础状态预期!I198="",0,[3]基础状态预期!I198)</f>
        <v>6</v>
      </c>
      <c r="Y186" s="14">
        <f>IF([3]基础状态预期!J198="",0,[3]基础状态预期!J198)</f>
        <v>0</v>
      </c>
      <c r="Z186" s="14">
        <f>IF([3]基础状态预期!K198="",MIN(8,Z187),[3]基础状态预期!K198)</f>
        <v>8</v>
      </c>
      <c r="AA186" s="14">
        <f>IF([3]基础状态预期!L198="",MIN(8,AA187),[3]基础状态预期!L198)</f>
        <v>8</v>
      </c>
      <c r="AB186" s="14">
        <f>IF([3]基础状态预期!M198="",MIN(8,AB187),[3]基础状态预期!M198)</f>
        <v>8</v>
      </c>
      <c r="AC186" s="14">
        <f>IF([3]基础状态预期!N198="",MIN(8,AC187),[3]基础状态预期!N198)</f>
        <v>0.56217053029943909</v>
      </c>
      <c r="AD186" s="14">
        <f>IF([3]基础状态预期!O198="",MIN(8,AD187),[3]基础状态预期!O198)</f>
        <v>0.73795613038542918</v>
      </c>
    </row>
    <row r="187" spans="19:30" x14ac:dyDescent="0.15">
      <c r="S187" s="12">
        <f>IF([3]基础状态预期!C199="","",[3]基础状态预期!C199)</f>
        <v>1.6500000000000001</v>
      </c>
      <c r="T187" s="12">
        <f>IF([3]基础状态预期!D199="","",[3]基础状态预期!D199)</f>
        <v>27.144641112884834</v>
      </c>
      <c r="U187" s="14">
        <f>IF([3]基础状态预期!F199="",0,[3]基础状态预期!F199)</f>
        <v>0</v>
      </c>
      <c r="V187" s="14">
        <f>IF([3]基础状态预期!G199="",0,[3]基础状态预期!G199)</f>
        <v>0</v>
      </c>
      <c r="W187" s="14">
        <f>IF([3]基础状态预期!H199="",0,[3]基础状态预期!H199)</f>
        <v>0</v>
      </c>
      <c r="X187" s="14">
        <f>IF([3]基础状态预期!I199="",0,[3]基础状态预期!I199)</f>
        <v>6</v>
      </c>
      <c r="Y187" s="14">
        <f>IF([3]基础状态预期!J199="",0,[3]基础状态预期!J199)</f>
        <v>0</v>
      </c>
      <c r="Z187" s="14">
        <f>IF([3]基础状态预期!K199="",MIN(8,Z188),[3]基础状态预期!K199)</f>
        <v>8</v>
      </c>
      <c r="AA187" s="14">
        <f>IF([3]基础状态预期!L199="",MIN(8,AA188),[3]基础状态预期!L199)</f>
        <v>8</v>
      </c>
      <c r="AB187" s="14">
        <f>IF([3]基础状态预期!M199="",MIN(8,AB188),[3]基础状态预期!M199)</f>
        <v>8</v>
      </c>
      <c r="AC187" s="14">
        <f>IF([3]基础状态预期!N199="",MIN(8,AC188),[3]基础状态预期!N199)</f>
        <v>1.4845642658755764</v>
      </c>
      <c r="AD187" s="14">
        <f>IF([3]基础状态预期!O199="",MIN(8,AD188),[3]基础状态预期!O199)</f>
        <v>0.73795613038542918</v>
      </c>
    </row>
    <row r="188" spans="19:30" x14ac:dyDescent="0.15">
      <c r="S188" s="12">
        <f>IF([3]基础状态预期!C200="","",[3]基础状态预期!C200)</f>
        <v>2.75</v>
      </c>
      <c r="T188" s="12">
        <f>IF([3]基础状态预期!D200="","",[3]基础状态预期!D200)</f>
        <v>33.399598377161809</v>
      </c>
      <c r="U188" s="14">
        <f>IF([3]基础状态预期!F200="",0,[3]基础状态预期!F200)</f>
        <v>0</v>
      </c>
      <c r="V188" s="14">
        <f>IF([3]基础状态预期!G200="",0,[3]基础状态预期!G200)</f>
        <v>0</v>
      </c>
      <c r="W188" s="14">
        <f>IF([3]基础状态预期!H200="",0,[3]基础状态预期!H200)</f>
        <v>0</v>
      </c>
      <c r="X188" s="14">
        <f>IF([3]基础状态预期!I200="",0,[3]基础状态预期!I200)</f>
        <v>6</v>
      </c>
      <c r="Y188" s="14">
        <f>IF([3]基础状态预期!J200="",0,[3]基础状态预期!J200)</f>
        <v>0</v>
      </c>
      <c r="Z188" s="14">
        <f>IF([3]基础状态预期!K200="",MIN(8,Z189),[3]基础状态预期!K200)</f>
        <v>8</v>
      </c>
      <c r="AA188" s="14">
        <f>IF([3]基础状态预期!L200="",MIN(8,AA189),[3]基础状态预期!L200)</f>
        <v>8</v>
      </c>
      <c r="AB188" s="14">
        <f>IF([3]基础状态预期!M200="",MIN(8,AB189),[3]基础状态预期!M200)</f>
        <v>8</v>
      </c>
      <c r="AC188" s="14">
        <f>IF([3]基础状态预期!N200="",MIN(8,AC189),[3]基础状态预期!N200)</f>
        <v>2.4973800712743328</v>
      </c>
      <c r="AD188" s="14">
        <f>IF([3]基础状态预期!O200="",MIN(8,AD189),[3]基础状态预期!O200)</f>
        <v>0.73795613038542918</v>
      </c>
    </row>
    <row r="189" spans="19:30" x14ac:dyDescent="0.15">
      <c r="S189" s="12">
        <f>IF([3]基础状态预期!C201="","",[3]基础状态预期!C201)</f>
        <v>4.125</v>
      </c>
      <c r="T189" s="12">
        <f>IF([3]基础状态预期!D201="","",[3]基础状态预期!D201)</f>
        <v>38.848984787984186</v>
      </c>
      <c r="U189" s="14">
        <f>IF([3]基础状态预期!F201="",0,[3]基础状态预期!F201)</f>
        <v>0</v>
      </c>
      <c r="V189" s="14">
        <f>IF([3]基础状态预期!G201="",0,[3]基础状态预期!G201)</f>
        <v>0</v>
      </c>
      <c r="W189" s="14">
        <f>IF([3]基础状态预期!H201="",0,[3]基础状态预期!H201)</f>
        <v>0</v>
      </c>
      <c r="X189" s="14">
        <f>IF([3]基础状态预期!I201="",0,[3]基础状态预期!I201)</f>
        <v>6</v>
      </c>
      <c r="Y189" s="14">
        <f>IF([3]基础状态预期!J201="",0,[3]基础状态预期!J201)</f>
        <v>0</v>
      </c>
      <c r="Z189" s="14">
        <f>IF([3]基础状态预期!K201="",MIN(8,Z190),[3]基础状态预期!K201)</f>
        <v>8</v>
      </c>
      <c r="AA189" s="14">
        <f>IF([3]基础状态预期!L201="",MIN(8,AA190),[3]基础状态预期!L201)</f>
        <v>8</v>
      </c>
      <c r="AB189" s="14">
        <f>IF([3]基础状态预期!M201="",MIN(8,AB190),[3]基础状态预期!M201)</f>
        <v>8</v>
      </c>
      <c r="AC189" s="14">
        <f>IF([3]基础状态预期!N201="",MIN(8,AC190),[3]基础状态预期!N201)</f>
        <v>3.3618865238020277</v>
      </c>
      <c r="AD189" s="14">
        <f>IF([3]基础状态预期!O201="",MIN(8,AD190),[3]基础状态预期!O201)</f>
        <v>0.73795613038542918</v>
      </c>
    </row>
    <row r="190" spans="19:30" x14ac:dyDescent="0.15">
      <c r="S190" s="12">
        <f>IF([3]基础状态预期!C202="","",[3]基础状态预期!C202)</f>
        <v>5.5</v>
      </c>
      <c r="T190" s="12">
        <f>IF([3]基础状态预期!D202="","",[3]基础状态预期!D202)</f>
        <v>42.643360270022924</v>
      </c>
      <c r="U190" s="14">
        <f>IF([3]基础状态预期!F202="",0,[3]基础状态预期!F202)</f>
        <v>0</v>
      </c>
      <c r="V190" s="14">
        <f>IF([3]基础状态预期!G202="",0,[3]基础状态预期!G202)</f>
        <v>0</v>
      </c>
      <c r="W190" s="14">
        <f>IF([3]基础状态预期!H202="",0,[3]基础状态预期!H202)</f>
        <v>0</v>
      </c>
      <c r="X190" s="14">
        <f>IF([3]基础状态预期!I202="",0,[3]基础状态预期!I202)</f>
        <v>6</v>
      </c>
      <c r="Y190" s="14">
        <f>IF([3]基础状态预期!J202="",0,[3]基础状态预期!J202)</f>
        <v>0</v>
      </c>
      <c r="Z190" s="14">
        <f>IF([3]基础状态预期!K202="",MIN(8,Z191),[3]基础状态预期!K202)</f>
        <v>8</v>
      </c>
      <c r="AA190" s="14">
        <f>IF([3]基础状态预期!L202="",MIN(8,AA191),[3]基础状态预期!L202)</f>
        <v>8</v>
      </c>
      <c r="AB190" s="14">
        <f>IF([3]基础状态预期!M202="",MIN(8,AB191),[3]基础状态预期!M202)</f>
        <v>8</v>
      </c>
      <c r="AC190" s="14">
        <f>IF([3]基础状态预期!N202="",MIN(8,AC191),[3]基础状态预期!N202)</f>
        <v>3.9628973560014482</v>
      </c>
      <c r="AD190" s="14">
        <f>IF([3]基础状态预期!O202="",MIN(8,AD191),[3]基础状态预期!O202)</f>
        <v>0.73795613038542918</v>
      </c>
    </row>
    <row r="191" spans="19:30" x14ac:dyDescent="0.15">
      <c r="S191" s="12">
        <f>IF([3]基础状态预期!C203="","",[3]基础状态预期!C203)</f>
        <v>8.25</v>
      </c>
      <c r="T191" s="12">
        <f>IF([3]基础状态预期!D203="","",[3]基础状态预期!D203)</f>
        <v>48.493134765265182</v>
      </c>
      <c r="U191" s="14">
        <f>IF([3]基础状态预期!F203="",0,[3]基础状态预期!F203)</f>
        <v>0</v>
      </c>
      <c r="V191" s="14">
        <f>IF([3]基础状态预期!G203="",0,[3]基础状态预期!G203)</f>
        <v>0</v>
      </c>
      <c r="W191" s="14">
        <f>IF([3]基础状态预期!H203="",0,[3]基础状态预期!H203)</f>
        <v>0</v>
      </c>
      <c r="X191" s="14">
        <f>IF([3]基础状态预期!I203="",0,[3]基础状态预期!I203)</f>
        <v>6</v>
      </c>
      <c r="Y191" s="14">
        <f>IF([3]基础状态预期!J203="",0,[3]基础状态预期!J203)</f>
        <v>0</v>
      </c>
      <c r="Z191" s="14">
        <f>IF([3]基础状态预期!K203="",MIN(8,Z192),[3]基础状态预期!K203)</f>
        <v>8</v>
      </c>
      <c r="AA191" s="14">
        <f>IF([3]基础状态预期!L203="",MIN(8,AA192),[3]基础状态预期!L203)</f>
        <v>8</v>
      </c>
      <c r="AB191" s="14">
        <f>IF([3]基础状态预期!M203="",MIN(8,AB192),[3]基础状态预期!M203)</f>
        <v>8</v>
      </c>
      <c r="AC191" s="14">
        <f>IF([3]基础状态预期!N203="",MIN(8,AC192),[3]基础状态预期!N203)</f>
        <v>5.029482388135496</v>
      </c>
      <c r="AD191" s="14">
        <f>IF([3]基础状态预期!O203="",MIN(8,AD192),[3]基础状态预期!O203)</f>
        <v>0.73795613038542918</v>
      </c>
    </row>
    <row r="192" spans="19:30" x14ac:dyDescent="0.15">
      <c r="S192" s="12">
        <f>IF([3]基础状态预期!C204="","",[3]基础状态预期!C204)</f>
        <v>11</v>
      </c>
      <c r="T192" s="12">
        <f>IF([3]基础状态预期!D204="","",[3]基础状态预期!D204)</f>
        <v>52.559419343629337</v>
      </c>
      <c r="U192" s="14">
        <f>IF([3]基础状态预期!F204="",0,[3]基础状态预期!F204)</f>
        <v>0</v>
      </c>
      <c r="V192" s="14">
        <f>IF([3]基础状态预期!G204="",0,[3]基础状态预期!G204)</f>
        <v>0</v>
      </c>
      <c r="W192" s="14">
        <f>IF([3]基础状态预期!H204="",0,[3]基础状态预期!H204)</f>
        <v>0</v>
      </c>
      <c r="X192" s="14">
        <f>IF([3]基础状态预期!I204="",0,[3]基础状态预期!I204)</f>
        <v>5</v>
      </c>
      <c r="Y192" s="14">
        <f>IF([3]基础状态预期!J204="",0,[3]基础状态预期!J204)</f>
        <v>1</v>
      </c>
      <c r="Z192" s="14">
        <f>IF([3]基础状态预期!K204="",MIN(8,Z193),[3]基础状态预期!K204)</f>
        <v>8</v>
      </c>
      <c r="AA192" s="14">
        <f>IF([3]基础状态预期!L204="",MIN(8,AA193),[3]基础状态预期!L204)</f>
        <v>8</v>
      </c>
      <c r="AB192" s="14">
        <f>IF([3]基础状态预期!M204="",MIN(8,AB193),[3]基础状态预期!M204)</f>
        <v>8</v>
      </c>
      <c r="AC192" s="14">
        <f>IF([3]基础状态预期!N204="",MIN(8,AC193),[3]基础状态预期!N204)</f>
        <v>5.6824425510243763</v>
      </c>
      <c r="AD192" s="14">
        <f>IF([3]基础状态预期!O204="",MIN(8,AD193),[3]基础状态预期!O204)</f>
        <v>0.73795613038542918</v>
      </c>
    </row>
    <row r="193" spans="19:30" x14ac:dyDescent="0.15">
      <c r="S193" s="12">
        <f>IF([3]基础状态预期!C205="","",[3]基础状态预期!C205)</f>
        <v>16.5</v>
      </c>
      <c r="T193" s="12">
        <f>IF([3]基础状态预期!D205="","",[3]基础状态预期!D205)</f>
        <v>58.560986008166232</v>
      </c>
      <c r="U193" s="14">
        <f>IF([3]基础状态预期!F205="",0,[3]基础状态预期!F205)</f>
        <v>0</v>
      </c>
      <c r="V193" s="14">
        <f>IF([3]基础状态预期!G205="",0,[3]基础状态预期!G205)</f>
        <v>0</v>
      </c>
      <c r="W193" s="14">
        <f>IF([3]基础状态预期!H205="",0,[3]基础状态预期!H205)</f>
        <v>0</v>
      </c>
      <c r="X193" s="14">
        <f>IF([3]基础状态预期!I205="",0,[3]基础状态预期!I205)</f>
        <v>4</v>
      </c>
      <c r="Y193" s="14">
        <f>IF([3]基础状态预期!J205="",0,[3]基础状态预期!J205)</f>
        <v>2</v>
      </c>
      <c r="Z193" s="14">
        <f>IF([3]基础状态预期!K205="",MIN(8,Z194),[3]基础状态预期!K205)</f>
        <v>8</v>
      </c>
      <c r="AA193" s="14">
        <f>IF([3]基础状态预期!L205="",MIN(8,AA194),[3]基础状态预期!L205)</f>
        <v>8</v>
      </c>
      <c r="AB193" s="14">
        <f>IF([3]基础状态预期!M205="",MIN(8,AB194),[3]基础状态预期!M205)</f>
        <v>8</v>
      </c>
      <c r="AC193" s="14">
        <f>IF([3]基础状态预期!N205="",MIN(8,AC194),[3]基础状态预期!N205)</f>
        <v>6.748880653534667</v>
      </c>
      <c r="AD193" s="14">
        <f>IF([3]基础状态预期!O205="",MIN(8,AD194),[3]基础状态预期!O205)</f>
        <v>2.3607284196376939</v>
      </c>
    </row>
    <row r="194" spans="19:30" x14ac:dyDescent="0.15">
      <c r="S194" s="12">
        <f>IF([3]基础状态预期!C206="","",[3]基础状态预期!C206)</f>
        <v>24.750000000000004</v>
      </c>
      <c r="T194" s="12">
        <f>IF([3]基础状态预期!D206="","",[3]基础状态预期!D206)</f>
        <v>64.247064283227857</v>
      </c>
      <c r="U194" s="14">
        <f>IF([3]基础状态预期!F206="",0,[3]基础状态预期!F206)</f>
        <v>0</v>
      </c>
      <c r="V194" s="14">
        <f>IF([3]基础状态预期!G206="",0,[3]基础状态预期!G206)</f>
        <v>0</v>
      </c>
      <c r="W194" s="14">
        <f>IF([3]基础状态预期!H206="",0,[3]基础状态预期!H206)</f>
        <v>0</v>
      </c>
      <c r="X194" s="14">
        <f>IF([3]基础状态预期!I206="",0,[3]基础状态预期!I206)</f>
        <v>3</v>
      </c>
      <c r="Y194" s="14">
        <f>IF([3]基础状态预期!J206="",0,[3]基础状态预期!J206)</f>
        <v>3</v>
      </c>
      <c r="Z194" s="14">
        <f>IF([3]基础状态预期!K206="",MIN(8,Z195),[3]基础状态预期!K206)</f>
        <v>8</v>
      </c>
      <c r="AA194" s="14">
        <f>IF([3]基础状态预期!L206="",MIN(8,AA195),[3]基础状态预期!L206)</f>
        <v>8</v>
      </c>
      <c r="AB194" s="14">
        <f>IF([3]基础状态预期!M206="",MIN(8,AB195),[3]基础状态预期!M206)</f>
        <v>8</v>
      </c>
      <c r="AC194" s="14">
        <f>IF([3]基础状态预期!N206="",MIN(8,AC195),[3]基础状态预期!N206)</f>
        <v>7.2543183245899128</v>
      </c>
      <c r="AD194" s="14">
        <f>IF([3]基础状态预期!O206="",MIN(8,AD195),[3]基础状态预期!O206)</f>
        <v>4.2983828492336773</v>
      </c>
    </row>
    <row r="195" spans="19:30" x14ac:dyDescent="0.15">
      <c r="S195" s="12">
        <f>IF([3]基础状态预期!C207="","",[3]基础状态预期!C207)</f>
        <v>33</v>
      </c>
      <c r="T195" s="12">
        <f>IF([3]基础状态预期!D207="","",[3]基础状态预期!D207)</f>
        <v>68.518369035696878</v>
      </c>
      <c r="U195" s="14">
        <f>IF([3]基础状态预期!F207="",0,[3]基础状态预期!F207)</f>
        <v>0</v>
      </c>
      <c r="V195" s="14">
        <f>IF([3]基础状态预期!G207="",0,[3]基础状态预期!G207)</f>
        <v>0</v>
      </c>
      <c r="W195" s="14">
        <f>IF([3]基础状态预期!H207="",0,[3]基础状态预期!H207)</f>
        <v>0</v>
      </c>
      <c r="X195" s="14">
        <f>IF([3]基础状态预期!I207="",0,[3]基础状态预期!I207)</f>
        <v>2</v>
      </c>
      <c r="Y195" s="14">
        <f>IF([3]基础状态预期!J207="",0,[3]基础状态预期!J207)</f>
        <v>4</v>
      </c>
      <c r="Z195" s="14">
        <f>IF([3]基础状态预期!K207="",MIN(8,Z196),[3]基础状态预期!K207)</f>
        <v>8</v>
      </c>
      <c r="AA195" s="14">
        <f>IF([3]基础状态预期!L207="",MIN(8,AA196),[3]基础状态预期!L207)</f>
        <v>8</v>
      </c>
      <c r="AB195" s="14">
        <f>IF([3]基础状态预期!M207="",MIN(8,AB196),[3]基础状态预期!M207)</f>
        <v>8</v>
      </c>
      <c r="AC195" s="14">
        <f>IF([3]基础状态预期!N207="",MIN(8,AC196),[3]基础状态预期!N207)</f>
        <v>7.6932830503396366</v>
      </c>
      <c r="AD195" s="14">
        <f>IF([3]基础状态预期!O207="",MIN(8,AD196),[3]基础状态预期!O207)</f>
        <v>5.0621568348661308</v>
      </c>
    </row>
    <row r="196" spans="19:30" x14ac:dyDescent="0.15">
      <c r="S196" s="12">
        <f>IF([3]基础状态预期!C208="","",[3]基础状态预期!C208)</f>
        <v>41.25</v>
      </c>
      <c r="T196" s="12">
        <f>IF([3]基础状态预期!D208="","",[3]基础状态预期!D208)</f>
        <v>71.7664716439551</v>
      </c>
      <c r="U196" s="14">
        <f>IF([3]基础状态预期!F208="",0,[3]基础状态预期!F208)</f>
        <v>0</v>
      </c>
      <c r="V196" s="14">
        <f>IF([3]基础状态预期!G208="",0,[3]基础状态预期!G208)</f>
        <v>0</v>
      </c>
      <c r="W196" s="14">
        <f>IF([3]基础状态预期!H208="",0,[3]基础状态预期!H208)</f>
        <v>0</v>
      </c>
      <c r="X196" s="14">
        <f>IF([3]基础状态预期!I208="",0,[3]基础状态预期!I208)</f>
        <v>1</v>
      </c>
      <c r="Y196" s="14">
        <f>IF([3]基础状态预期!J208="",0,[3]基础状态预期!J208)</f>
        <v>5</v>
      </c>
      <c r="Z196" s="14">
        <f>IF([3]基础状态预期!K208="",MIN(8,Z197),[3]基础状态预期!K208)</f>
        <v>8</v>
      </c>
      <c r="AA196" s="14">
        <f>IF([3]基础状态预期!L208="",MIN(8,AA197),[3]基础状态预期!L208)</f>
        <v>8</v>
      </c>
      <c r="AB196" s="14">
        <f>IF([3]基础状态预期!M208="",MIN(8,AB197),[3]基础状态预期!M208)</f>
        <v>8</v>
      </c>
      <c r="AC196" s="14">
        <f>IF([3]基础状态预期!N208="",MIN(8,AC197),[3]基础状态预期!N208)</f>
        <v>8</v>
      </c>
      <c r="AD196" s="14">
        <f>IF([3]基础状态预期!O208="",MIN(8,AD197),[3]基础状态预期!O208)</f>
        <v>5.3887907423150816</v>
      </c>
    </row>
    <row r="197" spans="19:30" x14ac:dyDescent="0.15">
      <c r="S197" s="12">
        <f>IF([3]基础状态预期!C209="","",[3]基础状态预期!C209)</f>
        <v>49.500000000000007</v>
      </c>
      <c r="T197" s="12">
        <f>IF([3]基础状态预期!D209="","",[3]基础状态预期!D209)</f>
        <v>74.370993278111257</v>
      </c>
      <c r="U197" s="14">
        <f>IF([3]基础状态预期!F209="",0,[3]基础状态预期!F209)</f>
        <v>0</v>
      </c>
      <c r="V197" s="14">
        <f>IF([3]基础状态预期!G209="",0,[3]基础状态预期!G209)</f>
        <v>0</v>
      </c>
      <c r="W197" s="14">
        <f>IF([3]基础状态预期!H209="",0,[3]基础状态预期!H209)</f>
        <v>0</v>
      </c>
      <c r="X197" s="14">
        <f>IF([3]基础状态预期!I209="",0,[3]基础状态预期!I209)</f>
        <v>0.5</v>
      </c>
      <c r="Y197" s="14">
        <f>IF([3]基础状态预期!J209="",0,[3]基础状态预期!J209)</f>
        <v>5.5</v>
      </c>
      <c r="Z197" s="14">
        <f>IF([3]基础状态预期!K209="",MIN(8,Z198),[3]基础状态预期!K209)</f>
        <v>8</v>
      </c>
      <c r="AA197" s="14">
        <f>IF([3]基础状态预期!L209="",MIN(8,AA198),[3]基础状态预期!L209)</f>
        <v>8</v>
      </c>
      <c r="AB197" s="14">
        <f>IF([3]基础状态预期!M209="",MIN(8,AB198),[3]基础状态预期!M209)</f>
        <v>8</v>
      </c>
      <c r="AC197" s="14">
        <f>IF([3]基础状态预期!N209="",MIN(8,AC198),[3]基础状态预期!N209)</f>
        <v>8</v>
      </c>
      <c r="AD197" s="14">
        <f>IF([3]基础状态预期!O209="",MIN(8,AD198),[3]基础状态预期!O209)</f>
        <v>5.8610119766838622</v>
      </c>
    </row>
    <row r="198" spans="19:30" x14ac:dyDescent="0.15">
      <c r="S198" s="12">
        <f>IF([3]基础状态预期!C210="","",[3]基础状态预期!C210)</f>
        <v>60.500000000000007</v>
      </c>
      <c r="T198" s="12">
        <f>IF([3]基础状态预期!D210="","",[3]基础状态预期!D210)</f>
        <v>77.234275947206214</v>
      </c>
      <c r="U198" s="14">
        <f>IF([3]基础状态预期!F210="",0,[3]基础状态预期!F210)</f>
        <v>0</v>
      </c>
      <c r="V198" s="14">
        <f>IF([3]基础状态预期!G210="",0,[3]基础状态预期!G210)</f>
        <v>0</v>
      </c>
      <c r="W198" s="14">
        <f>IF([3]基础状态预期!H210="",0,[3]基础状态预期!H210)</f>
        <v>0</v>
      </c>
      <c r="X198" s="14">
        <f>IF([3]基础状态预期!I210="",0,[3]基础状态预期!I210)</f>
        <v>0</v>
      </c>
      <c r="Y198" s="14">
        <f>IF([3]基础状态预期!J210="",0,[3]基础状态预期!J210)</f>
        <v>6</v>
      </c>
      <c r="Z198" s="14">
        <f>IF([3]基础状态预期!K210="",MIN(8,Z199),[3]基础状态预期!K210)</f>
        <v>8</v>
      </c>
      <c r="AA198" s="14">
        <f>IF([3]基础状态预期!L210="",MIN(8,AA199),[3]基础状态预期!L210)</f>
        <v>8</v>
      </c>
      <c r="AB198" s="14">
        <f>IF([3]基础状态预期!M210="",MIN(8,AB199),[3]基础状态预期!M210)</f>
        <v>8</v>
      </c>
      <c r="AC198" s="14">
        <f>IF([3]基础状态预期!N210="",MIN(8,AC199),[3]基础状态预期!N210)</f>
        <v>8</v>
      </c>
      <c r="AD198" s="14">
        <f>IF([3]基础状态预期!O210="",MIN(8,AD199),[3]基础状态预期!O210)</f>
        <v>6.4852296962609</v>
      </c>
    </row>
    <row r="199" spans="19:30" x14ac:dyDescent="0.15">
      <c r="S199" s="12">
        <f>IF([3]基础状态预期!C211="","",[3]基础状态预期!C211)</f>
        <v>71.5</v>
      </c>
      <c r="T199" s="12">
        <f>IF([3]基础状态预期!D211="","",[3]基础状态预期!D211)</f>
        <v>79.725666247801229</v>
      </c>
      <c r="U199" s="14">
        <f>IF([3]基础状态预期!F211="",0,[3]基础状态预期!F211)</f>
        <v>0</v>
      </c>
      <c r="V199" s="14">
        <f>IF([3]基础状态预期!G211="",0,[3]基础状态预期!G211)</f>
        <v>0</v>
      </c>
      <c r="W199" s="14">
        <f>IF([3]基础状态预期!H211="",0,[3]基础状态预期!H211)</f>
        <v>0</v>
      </c>
      <c r="X199" s="14">
        <f>IF([3]基础状态预期!I211="",0,[3]基础状态预期!I211)</f>
        <v>0</v>
      </c>
      <c r="Y199" s="14">
        <f>IF([3]基础状态预期!J211="",0,[3]基础状态预期!J211)</f>
        <v>6</v>
      </c>
      <c r="Z199" s="14">
        <f>IF([3]基础状态预期!K211="",MIN(8,Z200),[3]基础状态预期!K211)</f>
        <v>8</v>
      </c>
      <c r="AA199" s="14">
        <f>IF([3]基础状态预期!L211="",MIN(8,AA200),[3]基础状态预期!L211)</f>
        <v>8</v>
      </c>
      <c r="AB199" s="14">
        <f>IF([3]基础状态预期!M211="",MIN(8,AB200),[3]基础状态预期!M211)</f>
        <v>8</v>
      </c>
      <c r="AC199" s="14">
        <f>IF([3]基础状态预期!N211="",MIN(8,AC200),[3]基础状态预期!N211)</f>
        <v>8</v>
      </c>
      <c r="AD199" s="14">
        <f>IF([3]基础状态预期!O211="",MIN(8,AD200),[3]基础状态预期!O211)</f>
        <v>7.2621278609270217</v>
      </c>
    </row>
    <row r="200" spans="19:30" x14ac:dyDescent="0.15">
      <c r="S200" s="12">
        <f>IF([3]基础状态预期!C212="","",[3]基础状态预期!C212)</f>
        <v>82.5</v>
      </c>
      <c r="T200" s="12">
        <f>IF([3]基础状态预期!D212="","",[3]基础状态预期!D212)</f>
        <v>81.863982387630472</v>
      </c>
      <c r="U200" s="14">
        <f>IF([3]基础状态预期!F212="",0,[3]基础状态预期!F212)</f>
        <v>0</v>
      </c>
      <c r="V200" s="14">
        <f>IF([3]基础状态预期!G212="",0,[3]基础状态预期!G212)</f>
        <v>0</v>
      </c>
      <c r="W200" s="14">
        <f>IF([3]基础状态预期!H212="",0,[3]基础状态预期!H212)</f>
        <v>0</v>
      </c>
      <c r="X200" s="14">
        <f>IF([3]基础状态预期!I212="",0,[3]基础状态预期!I212)</f>
        <v>0</v>
      </c>
      <c r="Y200" s="14">
        <f>IF([3]基础状态预期!J212="",0,[3]基础状态预期!J212)</f>
        <v>6</v>
      </c>
      <c r="Z200" s="14">
        <f>IF([3]基础状态预期!K212="",MIN(8,Z201),[3]基础状态预期!K212)</f>
        <v>8</v>
      </c>
      <c r="AA200" s="14">
        <f>IF([3]基础状态预期!L212="",MIN(8,AA201),[3]基础状态预期!L212)</f>
        <v>8</v>
      </c>
      <c r="AB200" s="14">
        <f>IF([3]基础状态预期!M212="",MIN(8,AB201),[3]基础状态预期!M212)</f>
        <v>8</v>
      </c>
      <c r="AC200" s="14">
        <f>IF([3]基础状态预期!N212="",MIN(8,AC201),[3]基础状态预期!N212)</f>
        <v>8</v>
      </c>
      <c r="AD200" s="14">
        <f>IF([3]基础状态预期!O212="",MIN(8,AD201),[3]基础状态预期!O212)</f>
        <v>7.9148493227646313</v>
      </c>
    </row>
    <row r="201" spans="19:30" x14ac:dyDescent="0.15">
      <c r="S201" s="12">
        <f>IF([3]基础状态预期!C213="","",[3]基础状态预期!C213)</f>
        <v>93.500000000000014</v>
      </c>
      <c r="T201" s="12">
        <f>IF([3]基础状态预期!D213="","",[3]基础状态预期!D213)</f>
        <v>83.667042947574714</v>
      </c>
      <c r="U201" s="14">
        <f>IF([3]基础状态预期!F213="",0,[3]基础状态预期!F213)</f>
        <v>0</v>
      </c>
      <c r="V201" s="14">
        <f>IF([3]基础状态预期!G213="",0,[3]基础状态预期!G213)</f>
        <v>0</v>
      </c>
      <c r="W201" s="14">
        <f>IF([3]基础状态预期!H213="",0,[3]基础状态预期!H213)</f>
        <v>0</v>
      </c>
      <c r="X201" s="14">
        <f>IF([3]基础状态预期!I213="",0,[3]基础状态预期!I213)</f>
        <v>0</v>
      </c>
      <c r="Y201" s="14">
        <f>IF([3]基础状态预期!J213="",0,[3]基础状态预期!J213)</f>
        <v>6</v>
      </c>
      <c r="Z201" s="14">
        <f>IF([3]基础状态预期!K213="",MIN(8,Z202),[3]基础状态预期!K213)</f>
        <v>8</v>
      </c>
      <c r="AA201" s="14">
        <f>IF([3]基础状态预期!L213="",MIN(8,AA202),[3]基础状态预期!L213)</f>
        <v>8</v>
      </c>
      <c r="AB201" s="14">
        <f>IF([3]基础状态预期!M213="",MIN(8,AB202),[3]基础状态预期!M213)</f>
        <v>8</v>
      </c>
      <c r="AC201" s="14">
        <f>IF([3]基础状态预期!N213="",MIN(8,AC202),[3]基础状态预期!N213)</f>
        <v>8</v>
      </c>
      <c r="AD201" s="14">
        <f>IF([3]基础状态预期!O213="",MIN(8,AD202),[3]基础状态预期!O213)</f>
        <v>8</v>
      </c>
    </row>
    <row r="202" spans="19:30" x14ac:dyDescent="0.15">
      <c r="S202" s="12">
        <f>IF([3]基础状态预期!C214="","",[3]基础状态预期!C214)</f>
        <v>110.00000000000001</v>
      </c>
      <c r="T202" s="12">
        <f>IF([3]基础状态预期!D214="","",[3]基础状态预期!D214)</f>
        <v>86.154780808490059</v>
      </c>
      <c r="U202" s="14">
        <f>IF([3]基础状态预期!F214="",0,[3]基础状态预期!F214)</f>
        <v>0</v>
      </c>
      <c r="V202" s="14">
        <f>IF([3]基础状态预期!G214="",0,[3]基础状态预期!G214)</f>
        <v>0</v>
      </c>
      <c r="W202" s="14">
        <f>IF([3]基础状态预期!H214="",0,[3]基础状态预期!H214)</f>
        <v>0</v>
      </c>
      <c r="X202" s="14">
        <f>IF([3]基础状态预期!I214="",0,[3]基础状态预期!I214)</f>
        <v>0</v>
      </c>
      <c r="Y202" s="14">
        <f>IF([3]基础状态预期!J214="",0,[3]基础状态预期!J214)</f>
        <v>6</v>
      </c>
      <c r="Z202" s="14">
        <f>IF([3]基础状态预期!K214="",MIN(8,Z203),[3]基础状态预期!K214)</f>
        <v>8</v>
      </c>
      <c r="AA202" s="14">
        <f>IF([3]基础状态预期!L214="",MIN(8,AA203),[3]基础状态预期!L214)</f>
        <v>8</v>
      </c>
      <c r="AB202" s="14">
        <f>IF([3]基础状态预期!M214="",MIN(8,AB203),[3]基础状态预期!M214)</f>
        <v>8</v>
      </c>
      <c r="AC202" s="14">
        <f>IF([3]基础状态预期!N214="",MIN(8,AC203),[3]基础状态预期!N214)</f>
        <v>8</v>
      </c>
      <c r="AD202" s="14">
        <f>IF([3]基础状态预期!O214="",MIN(8,AD203),[3]基础状态预期!O214)</f>
        <v>8</v>
      </c>
    </row>
    <row r="203" spans="19:30" x14ac:dyDescent="0.15">
      <c r="S203" s="12">
        <f>IF([3]基础状态预期!C215="","",[3]基础状态预期!C215)</f>
        <v>143</v>
      </c>
      <c r="T203" s="12">
        <f>IF([3]基础状态预期!D215="","",[3]基础状态预期!D215)</f>
        <v>90.480184629206022</v>
      </c>
      <c r="U203" s="14">
        <f>IF([3]基础状态预期!F215="",0,[3]基础状态预期!F215)</f>
        <v>0</v>
      </c>
      <c r="V203" s="14">
        <f>IF([3]基础状态预期!G215="",0,[3]基础状态预期!G215)</f>
        <v>0</v>
      </c>
      <c r="W203" s="14">
        <f>IF([3]基础状态预期!H215="",0,[3]基础状态预期!H215)</f>
        <v>0</v>
      </c>
      <c r="X203" s="14">
        <f>IF([3]基础状态预期!I215="",0,[3]基础状态预期!I215)</f>
        <v>0</v>
      </c>
      <c r="Y203" s="14">
        <f>IF([3]基础状态预期!J215="",0,[3]基础状态预期!J215)</f>
        <v>6</v>
      </c>
      <c r="Z203" s="14">
        <f>IF([3]基础状态预期!K215="",MIN(8,Z204),[3]基础状态预期!K215)</f>
        <v>8</v>
      </c>
      <c r="AA203" s="14">
        <f>IF([3]基础状态预期!L215="",MIN(8,AA204),[3]基础状态预期!L215)</f>
        <v>8</v>
      </c>
      <c r="AB203" s="14">
        <f>IF([3]基础状态预期!M215="",MIN(8,AB204),[3]基础状态预期!M215)</f>
        <v>8</v>
      </c>
      <c r="AC203" s="14">
        <f>IF([3]基础状态预期!N215="",MIN(8,AC204),[3]基础状态预期!N215)</f>
        <v>8</v>
      </c>
      <c r="AD203" s="14">
        <f>IF([3]基础状态预期!O215="",MIN(8,AD204),[3]基础状态预期!O215)</f>
        <v>8</v>
      </c>
    </row>
    <row r="204" spans="19:30" x14ac:dyDescent="0.15">
      <c r="S204" s="12">
        <f>IF([3]基础状态预期!C216="","",[3]基础状态预期!C216)</f>
        <v>176</v>
      </c>
      <c r="T204" s="12">
        <f>IF([3]基础状态预期!D216="","",[3]基础状态预期!D216)</f>
        <v>93.6774218048877</v>
      </c>
      <c r="U204" s="14">
        <f>IF([3]基础状态预期!F216="",0,[3]基础状态预期!F216)</f>
        <v>0</v>
      </c>
      <c r="V204" s="14">
        <f>IF([3]基础状态预期!G216="",0,[3]基础状态预期!G216)</f>
        <v>0</v>
      </c>
      <c r="W204" s="14">
        <f>IF([3]基础状态预期!H216="",0,[3]基础状态预期!H216)</f>
        <v>0</v>
      </c>
      <c r="X204" s="14">
        <f>IF([3]基础状态预期!I216="",0,[3]基础状态预期!I216)</f>
        <v>0</v>
      </c>
      <c r="Y204" s="14">
        <f>IF([3]基础状态预期!J216="",0,[3]基础状态预期!J216)</f>
        <v>6</v>
      </c>
      <c r="Z204" s="14">
        <f>IF([3]基础状态预期!K216="",MIN(8,Z205),[3]基础状态预期!K216)</f>
        <v>8</v>
      </c>
      <c r="AA204" s="14">
        <f>IF([3]基础状态预期!L216="",MIN(8,AA205),[3]基础状态预期!L216)</f>
        <v>8</v>
      </c>
      <c r="AB204" s="14">
        <f>IF([3]基础状态预期!M216="",MIN(8,AB205),[3]基础状态预期!M216)</f>
        <v>8</v>
      </c>
      <c r="AC204" s="14">
        <f>IF([3]基础状态预期!N216="",MIN(8,AC205),[3]基础状态预期!N216)</f>
        <v>8</v>
      </c>
      <c r="AD204" s="14">
        <f>IF([3]基础状态预期!O216="",MIN(8,AD205),[3]基础状态预期!O216)</f>
        <v>8</v>
      </c>
    </row>
    <row r="205" spans="19:30" x14ac:dyDescent="0.15">
      <c r="S205" s="12">
        <f>IF([3]基础状态预期!C217="","",[3]基础状态预期!C217)</f>
        <v>225.50000000000003</v>
      </c>
      <c r="T205" s="12">
        <f>IF([3]基础状态预期!D217="","",[3]基础状态预期!D217)</f>
        <v>97.125654465362558</v>
      </c>
      <c r="U205" s="14">
        <f>IF([3]基础状态预期!F217="",0,[3]基础状态预期!F217)</f>
        <v>0</v>
      </c>
      <c r="V205" s="14">
        <f>IF([3]基础状态预期!G217="",0,[3]基础状态预期!G217)</f>
        <v>0</v>
      </c>
      <c r="W205" s="14">
        <f>IF([3]基础状态预期!H217="",0,[3]基础状态预期!H217)</f>
        <v>0</v>
      </c>
      <c r="X205" s="14">
        <f>IF([3]基础状态预期!I217="",0,[3]基础状态预期!I217)</f>
        <v>0</v>
      </c>
      <c r="Y205" s="14">
        <f>IF([3]基础状态预期!J217="",0,[3]基础状态预期!J217)</f>
        <v>6</v>
      </c>
      <c r="Z205" s="14">
        <f>IF([3]基础状态预期!K217="",MIN(8,Z206),[3]基础状态预期!K217)</f>
        <v>8</v>
      </c>
      <c r="AA205" s="14">
        <f>IF([3]基础状态预期!L217="",MIN(8,AA206),[3]基础状态预期!L217)</f>
        <v>8</v>
      </c>
      <c r="AB205" s="14">
        <f>IF([3]基础状态预期!M217="",MIN(8,AB206),[3]基础状态预期!M217)</f>
        <v>8</v>
      </c>
      <c r="AC205" s="14">
        <f>IF([3]基础状态预期!N217="",MIN(8,AC206),[3]基础状态预期!N217)</f>
        <v>8</v>
      </c>
      <c r="AD205" s="14">
        <f>IF([3]基础状态预期!O217="",MIN(8,AD206),[3]基础状态预期!O217)</f>
        <v>8</v>
      </c>
    </row>
    <row r="206" spans="19:30" x14ac:dyDescent="0.15">
      <c r="S206" s="12">
        <f>IF([3]基础状态预期!C218="","",[3]基础状态预期!C218)</f>
        <v>291.5</v>
      </c>
      <c r="T206" s="12">
        <f>IF([3]基础状态预期!D218="","",[3]基础状态预期!D218)</f>
        <v>100.89689545435591</v>
      </c>
      <c r="U206" s="14">
        <f>IF([3]基础状态预期!F218="",0,[3]基础状态预期!F218)</f>
        <v>0</v>
      </c>
      <c r="V206" s="14">
        <f>IF([3]基础状态预期!G218="",0,[3]基础状态预期!G218)</f>
        <v>0</v>
      </c>
      <c r="W206" s="14">
        <f>IF([3]基础状态预期!H218="",0,[3]基础状态预期!H218)</f>
        <v>0</v>
      </c>
      <c r="X206" s="14">
        <f>IF([3]基础状态预期!I218="",0,[3]基础状态预期!I218)</f>
        <v>0</v>
      </c>
      <c r="Y206" s="14">
        <f>IF([3]基础状态预期!J218="",0,[3]基础状态预期!J218)</f>
        <v>6</v>
      </c>
      <c r="Z206" s="14">
        <f>IF([3]基础状态预期!K218="",MIN(8,Z207),[3]基础状态预期!K218)</f>
        <v>8</v>
      </c>
      <c r="AA206" s="14">
        <f>IF([3]基础状态预期!L218="",MIN(8,AA207),[3]基础状态预期!L218)</f>
        <v>8</v>
      </c>
      <c r="AB206" s="14">
        <f>IF([3]基础状态预期!M218="",MIN(8,AB207),[3]基础状态预期!M218)</f>
        <v>8</v>
      </c>
      <c r="AC206" s="14">
        <f>IF([3]基础状态预期!N218="",MIN(8,AC207),[3]基础状态预期!N218)</f>
        <v>8</v>
      </c>
      <c r="AD206" s="14">
        <f>IF([3]基础状态预期!O218="",MIN(8,AD207),[3]基础状态预期!O218)</f>
        <v>8</v>
      </c>
    </row>
    <row r="207" spans="19:30" x14ac:dyDescent="0.15">
      <c r="S207" s="12">
        <f>IF([3]基础状态预期!C219="","",[3]基础状态预期!C219)</f>
        <v>374.00000000000006</v>
      </c>
      <c r="T207" s="12">
        <f>IF([3]基础状态预期!D219="","",[3]基础状态预期!D219)</f>
        <v>104.52148587104635</v>
      </c>
      <c r="U207" s="14">
        <f>IF([3]基础状态预期!F219="",0,[3]基础状态预期!F219)</f>
        <v>0</v>
      </c>
      <c r="V207" s="14">
        <f>IF([3]基础状态预期!G219="",0,[3]基础状态预期!G219)</f>
        <v>0</v>
      </c>
      <c r="W207" s="14">
        <f>IF([3]基础状态预期!H219="",0,[3]基础状态预期!H219)</f>
        <v>0</v>
      </c>
      <c r="X207" s="14">
        <f>IF([3]基础状态预期!I219="",0,[3]基础状态预期!I219)</f>
        <v>0</v>
      </c>
      <c r="Y207" s="14">
        <f>IF([3]基础状态预期!J219="",0,[3]基础状态预期!J219)</f>
        <v>6</v>
      </c>
      <c r="Z207" s="14">
        <f>IF([3]基础状态预期!K219="",MIN(8,Z208),[3]基础状态预期!K219)</f>
        <v>8</v>
      </c>
      <c r="AA207" s="14">
        <f>IF([3]基础状态预期!L219="",MIN(8,AA208),[3]基础状态预期!L219)</f>
        <v>8</v>
      </c>
      <c r="AB207" s="14">
        <f>IF([3]基础状态预期!M219="",MIN(8,AB208),[3]基础状态预期!M219)</f>
        <v>8</v>
      </c>
      <c r="AC207" s="14">
        <f>IF([3]基础状态预期!N219="",MIN(8,AC208),[3]基础状态预期!N219)</f>
        <v>8</v>
      </c>
      <c r="AD207" s="14">
        <f>IF([3]基础状态预期!O219="",MIN(8,AD208),[3]基础状态预期!O219)</f>
        <v>8</v>
      </c>
    </row>
    <row r="208" spans="19:30" x14ac:dyDescent="0.15">
      <c r="S208" s="12">
        <f>IF([3]基础状态预期!C220="","",[3]基础状态预期!C220)</f>
        <v>473.00000000000006</v>
      </c>
      <c r="T208" s="12">
        <f>IF([3]基础状态预期!D220="","",[3]基础状态预期!D220)</f>
        <v>108.05586950728798</v>
      </c>
      <c r="U208" s="14">
        <f>IF([3]基础状态预期!F220="",0,[3]基础状态预期!F220)</f>
        <v>0</v>
      </c>
      <c r="V208" s="14">
        <f>IF([3]基础状态预期!G220="",0,[3]基础状态预期!G220)</f>
        <v>0</v>
      </c>
      <c r="W208" s="14">
        <f>IF([3]基础状态预期!H220="",0,[3]基础状态预期!H220)</f>
        <v>0</v>
      </c>
      <c r="X208" s="14">
        <f>IF([3]基础状态预期!I220="",0,[3]基础状态预期!I220)</f>
        <v>0</v>
      </c>
      <c r="Y208" s="14">
        <f>IF([3]基础状态预期!J220="",0,[3]基础状态预期!J220)</f>
        <v>6</v>
      </c>
      <c r="Z208" s="14">
        <f>IF([3]基础状态预期!K220="",MIN(8,Z209),[3]基础状态预期!K220)</f>
        <v>8</v>
      </c>
      <c r="AA208" s="14">
        <f>IF([3]基础状态预期!L220="",MIN(8,AA209),[3]基础状态预期!L220)</f>
        <v>8</v>
      </c>
      <c r="AB208" s="14">
        <f>IF([3]基础状态预期!M220="",MIN(8,AB209),[3]基础状态预期!M220)</f>
        <v>8</v>
      </c>
      <c r="AC208" s="14">
        <f>IF([3]基础状态预期!N220="",MIN(8,AC209),[3]基础状态预期!N220)</f>
        <v>8</v>
      </c>
      <c r="AD208" s="14">
        <f>IF([3]基础状态预期!O220="",MIN(8,AD209),[3]基础状态预期!O220)</f>
        <v>8</v>
      </c>
    </row>
    <row r="209" spans="19:30" x14ac:dyDescent="0.15">
      <c r="S209" s="12">
        <f>IF([3]基础状态预期!C221="","",[3]基础状态预期!C221)</f>
        <v>605</v>
      </c>
      <c r="T209" s="12">
        <f>IF([3]基础状态预期!D221="","",[3]基础状态预期!D221)</f>
        <v>111.54601176466306</v>
      </c>
      <c r="U209" s="14">
        <f>IF([3]基础状态预期!F221="",0,[3]基础状态预期!F221)</f>
        <v>0</v>
      </c>
      <c r="V209" s="14">
        <f>IF([3]基础状态预期!G221="",0,[3]基础状态预期!G221)</f>
        <v>0</v>
      </c>
      <c r="W209" s="14">
        <f>IF([3]基础状态预期!H221="",0,[3]基础状态预期!H221)</f>
        <v>0</v>
      </c>
      <c r="X209" s="14">
        <f>IF([3]基础状态预期!I221="",0,[3]基础状态预期!I221)</f>
        <v>0</v>
      </c>
      <c r="Y209" s="14">
        <f>IF([3]基础状态预期!J221="",0,[3]基础状态预期!J221)</f>
        <v>6</v>
      </c>
      <c r="Z209" s="14">
        <f>IF([3]基础状态预期!K221="",MIN(8,Z210),[3]基础状态预期!K221)</f>
        <v>8</v>
      </c>
      <c r="AA209" s="14">
        <f>IF([3]基础状态预期!L221="",MIN(8,AA210),[3]基础状态预期!L221)</f>
        <v>8</v>
      </c>
      <c r="AB209" s="14">
        <f>IF([3]基础状态预期!M221="",MIN(8,AB210),[3]基础状态预期!M221)</f>
        <v>8</v>
      </c>
      <c r="AC209" s="14">
        <f>IF([3]基础状态预期!N221="",MIN(8,AC210),[3]基础状态预期!N221)</f>
        <v>8</v>
      </c>
      <c r="AD209" s="14">
        <f>IF([3]基础状态预期!O221="",MIN(8,AD210),[3]基础状态预期!O221)</f>
        <v>8</v>
      </c>
    </row>
    <row r="210" spans="19:30" x14ac:dyDescent="0.15">
      <c r="S210" s="12">
        <f>IF([3]基础状态预期!C222="","",[3]基础状态预期!C222)</f>
        <v>770.00000000000011</v>
      </c>
      <c r="T210" s="12">
        <f>IF([3]基础状态预期!D222="","",[3]基础状态预期!D222)</f>
        <v>115.20444967370992</v>
      </c>
      <c r="U210" s="14">
        <f>IF([3]基础状态预期!F222="",0,[3]基础状态预期!F222)</f>
        <v>0</v>
      </c>
      <c r="V210" s="14">
        <f>IF([3]基础状态预期!G222="",0,[3]基础状态预期!G222)</f>
        <v>0</v>
      </c>
      <c r="W210" s="14">
        <f>IF([3]基础状态预期!H222="",0,[3]基础状态预期!H222)</f>
        <v>0</v>
      </c>
      <c r="X210" s="14">
        <f>IF([3]基础状态预期!I222="",0,[3]基础状态预期!I222)</f>
        <v>0</v>
      </c>
      <c r="Y210" s="14">
        <f>IF([3]基础状态预期!J222="",0,[3]基础状态预期!J222)</f>
        <v>6</v>
      </c>
      <c r="Z210" s="14">
        <f>IF([3]基础状态预期!K222="",MIN(8,Z211),[3]基础状态预期!K222)</f>
        <v>8</v>
      </c>
      <c r="AA210" s="14">
        <f>IF([3]基础状态预期!L222="",MIN(8,AA211),[3]基础状态预期!L222)</f>
        <v>8</v>
      </c>
      <c r="AB210" s="14">
        <f>IF([3]基础状态预期!M222="",MIN(8,AB211),[3]基础状态预期!M222)</f>
        <v>8</v>
      </c>
      <c r="AC210" s="14">
        <f>IF([3]基础状态预期!N222="",MIN(8,AC211),[3]基础状态预期!N222)</f>
        <v>8</v>
      </c>
      <c r="AD210" s="14">
        <f>IF([3]基础状态预期!O222="",MIN(8,AD211),[3]基础状态预期!O222)</f>
        <v>8</v>
      </c>
    </row>
    <row r="211" spans="19:30" x14ac:dyDescent="0.15">
      <c r="S211" s="12">
        <f>IF([3]基础状态预期!C223="","",[3]基础状态预期!C223)</f>
        <v>984.50000000000011</v>
      </c>
      <c r="T211" s="12">
        <f>IF([3]基础状态预期!D223="","",[3]基础状态预期!D223)</f>
        <v>118.75432507225094</v>
      </c>
      <c r="U211" s="14">
        <f>IF([3]基础状态预期!F223="",0,[3]基础状态预期!F223)</f>
        <v>0</v>
      </c>
      <c r="V211" s="14">
        <f>IF([3]基础状态预期!G223="",0,[3]基础状态预期!G223)</f>
        <v>0</v>
      </c>
      <c r="W211" s="14">
        <f>IF([3]基础状态预期!H223="",0,[3]基础状态预期!H223)</f>
        <v>0</v>
      </c>
      <c r="X211" s="14">
        <f>IF([3]基础状态预期!I223="",0,[3]基础状态预期!I223)</f>
        <v>0</v>
      </c>
      <c r="Y211" s="14">
        <f>IF([3]基础状态预期!J223="",0,[3]基础状态预期!J223)</f>
        <v>6</v>
      </c>
      <c r="Z211" s="14">
        <f>IF([3]基础状态预期!K223="",MIN(8,Z212),[3]基础状态预期!K223)</f>
        <v>8</v>
      </c>
      <c r="AA211" s="14">
        <f>IF([3]基础状态预期!L223="",MIN(8,AA212),[3]基础状态预期!L223)</f>
        <v>8</v>
      </c>
      <c r="AB211" s="14">
        <f>IF([3]基础状态预期!M223="",MIN(8,AB212),[3]基础状态预期!M223)</f>
        <v>8</v>
      </c>
      <c r="AC211" s="14">
        <f>IF([3]基础状态预期!N223="",MIN(8,AC212),[3]基础状态预期!N223)</f>
        <v>8</v>
      </c>
      <c r="AD211" s="14">
        <f>IF([3]基础状态预期!O223="",MIN(8,AD212),[3]基础状态预期!O223)</f>
        <v>8</v>
      </c>
    </row>
    <row r="212" spans="19:30" x14ac:dyDescent="0.15">
      <c r="S212" s="12">
        <f>IF([3]基础状态预期!C224="","",[3]基础状态预期!C224)</f>
        <v>1248.5</v>
      </c>
      <c r="T212" s="12">
        <f>IF([3]基础状态预期!D224="","",[3]基础状态预期!D224)</f>
        <v>122.26514676047371</v>
      </c>
      <c r="U212" s="14">
        <f>IF([3]基础状态预期!F224="",0,[3]基础状态预期!F224)</f>
        <v>0</v>
      </c>
      <c r="V212" s="14">
        <f>IF([3]基础状态预期!G224="",0,[3]基础状态预期!G224)</f>
        <v>0</v>
      </c>
      <c r="W212" s="14">
        <f>IF([3]基础状态预期!H224="",0,[3]基础状态预期!H224)</f>
        <v>0</v>
      </c>
      <c r="X212" s="14">
        <f>IF([3]基础状态预期!I224="",0,[3]基础状态预期!I224)</f>
        <v>0</v>
      </c>
      <c r="Y212" s="14">
        <f>IF([3]基础状态预期!J224="",0,[3]基础状态预期!J224)</f>
        <v>6</v>
      </c>
      <c r="Z212" s="14">
        <f>IF([3]基础状态预期!K224="",MIN(8,Z213),[3]基础状态预期!K224)</f>
        <v>8</v>
      </c>
      <c r="AA212" s="14">
        <f>IF([3]基础状态预期!L224="",MIN(8,AA213),[3]基础状态预期!L224)</f>
        <v>8</v>
      </c>
      <c r="AB212" s="14">
        <f>IF([3]基础状态预期!M224="",MIN(8,AB213),[3]基础状态预期!M224)</f>
        <v>8</v>
      </c>
      <c r="AC212" s="14">
        <f>IF([3]基础状态预期!N224="",MIN(8,AC213),[3]基础状态预期!N224)</f>
        <v>8</v>
      </c>
      <c r="AD212" s="14">
        <f>IF([3]基础状态预期!O224="",MIN(8,AD213),[3]基础状态预期!O224)</f>
        <v>8</v>
      </c>
    </row>
    <row r="213" spans="19:30" x14ac:dyDescent="0.15">
      <c r="S213" s="12">
        <f>IF([3]基础状态预期!C225="","",[3]基础状态预期!C225)</f>
        <v>1595.0000000000002</v>
      </c>
      <c r="T213" s="12">
        <f>IF([3]基础状态预期!D225="","",[3]基础状态预期!D225)</f>
        <v>125.84855083483956</v>
      </c>
      <c r="U213" s="14">
        <f>IF([3]基础状态预期!F225="",0,[3]基础状态预期!F225)</f>
        <v>0</v>
      </c>
      <c r="V213" s="14">
        <f>IF([3]基础状态预期!G225="",0,[3]基础状态预期!G225)</f>
        <v>0</v>
      </c>
      <c r="W213" s="14">
        <f>IF([3]基础状态预期!H225="",0,[3]基础状态预期!H225)</f>
        <v>0</v>
      </c>
      <c r="X213" s="14">
        <f>IF([3]基础状态预期!I225="",0,[3]基础状态预期!I225)</f>
        <v>0</v>
      </c>
      <c r="Y213" s="14">
        <f>IF([3]基础状态预期!J225="",0,[3]基础状态预期!J225)</f>
        <v>6</v>
      </c>
      <c r="Z213" s="14">
        <f>IF([3]基础状态预期!K225="",MIN(8,Z214),[3]基础状态预期!K225)</f>
        <v>8</v>
      </c>
      <c r="AA213" s="14">
        <f>IF([3]基础状态预期!L225="",MIN(8,AA214),[3]基础状态预期!L225)</f>
        <v>8</v>
      </c>
      <c r="AB213" s="14">
        <f>IF([3]基础状态预期!M225="",MIN(8,AB214),[3]基础状态预期!M225)</f>
        <v>8</v>
      </c>
      <c r="AC213" s="14">
        <f>IF([3]基础状态预期!N225="",MIN(8,AC214),[3]基础状态预期!N225)</f>
        <v>8</v>
      </c>
      <c r="AD213" s="14">
        <f>IF([3]基础状态预期!O225="",MIN(8,AD214),[3]基础状态预期!O225)</f>
        <v>8</v>
      </c>
    </row>
    <row r="214" spans="19:30" x14ac:dyDescent="0.15">
      <c r="S214" s="12">
        <f>IF([3]基础状态预期!C226="","",[3]基础状态预期!C226)</f>
        <v>2040.5000000000002</v>
      </c>
      <c r="T214" s="12">
        <f>IF([3]基础状态预期!D226="","",[3]基础状态预期!D226)</f>
        <v>129.43528964176323</v>
      </c>
      <c r="U214" s="14">
        <f>IF([3]基础状态预期!F226="",0,[3]基础状态预期!F226)</f>
        <v>0</v>
      </c>
      <c r="V214" s="14">
        <f>IF([3]基础状态预期!G226="",0,[3]基础状态预期!G226)</f>
        <v>0</v>
      </c>
      <c r="W214" s="14">
        <f>IF([3]基础状态预期!H226="",0,[3]基础状态预期!H226)</f>
        <v>0</v>
      </c>
      <c r="X214" s="14">
        <f>IF([3]基础状态预期!I226="",0,[3]基础状态预期!I226)</f>
        <v>0</v>
      </c>
      <c r="Y214" s="14">
        <f>IF([3]基础状态预期!J226="",0,[3]基础状态预期!J226)</f>
        <v>6</v>
      </c>
      <c r="Z214" s="14">
        <f>IF([3]基础状态预期!K226="",MIN(8,Z215),[3]基础状态预期!K226)</f>
        <v>8</v>
      </c>
      <c r="AA214" s="14">
        <f>IF([3]基础状态预期!L226="",MIN(8,AA215),[3]基础状态预期!L226)</f>
        <v>8</v>
      </c>
      <c r="AB214" s="14">
        <f>IF([3]基础状态预期!M226="",MIN(8,AB215),[3]基础状态预期!M226)</f>
        <v>8</v>
      </c>
      <c r="AC214" s="14">
        <f>IF([3]基础状态预期!N226="",MIN(8,AC215),[3]基础状态预期!N226)</f>
        <v>8</v>
      </c>
      <c r="AD214" s="14">
        <f>IF([3]基础状态预期!O226="",MIN(8,AD215),[3]基础状态预期!O226)</f>
        <v>8</v>
      </c>
    </row>
    <row r="215" spans="19:30" x14ac:dyDescent="0.15">
      <c r="S215" s="12">
        <f>IF([3]基础状态预期!C227="","",[3]基础状态预期!C227)</f>
        <v>2601.5</v>
      </c>
      <c r="T215" s="12">
        <f>IF([3]基础状态预期!D227="","",[3]基础状态预期!D227)</f>
        <v>133.03192104200832</v>
      </c>
      <c r="U215" s="14">
        <f>IF([3]基础状态预期!F227="",0,[3]基础状态预期!F227)</f>
        <v>0</v>
      </c>
      <c r="V215" s="14">
        <f>IF([3]基础状态预期!G227="",0,[3]基础状态预期!G227)</f>
        <v>0</v>
      </c>
      <c r="W215" s="14">
        <f>IF([3]基础状态预期!H227="",0,[3]基础状态预期!H227)</f>
        <v>0</v>
      </c>
      <c r="X215" s="14">
        <f>IF([3]基础状态预期!I227="",0,[3]基础状态预期!I227)</f>
        <v>0</v>
      </c>
      <c r="Y215" s="14">
        <f>IF([3]基础状态预期!J227="",0,[3]基础状态预期!J227)</f>
        <v>6</v>
      </c>
      <c r="Z215" s="14">
        <f>IF([3]基础状态预期!K227="",MIN(8,Z216),[3]基础状态预期!K227)</f>
        <v>8</v>
      </c>
      <c r="AA215" s="14">
        <f>IF([3]基础状态预期!L227="",MIN(8,AA216),[3]基础状态预期!L227)</f>
        <v>8</v>
      </c>
      <c r="AB215" s="14">
        <f>IF([3]基础状态预期!M227="",MIN(8,AB216),[3]基础状态预期!M227)</f>
        <v>8</v>
      </c>
      <c r="AC215" s="14">
        <f>IF([3]基础状态预期!N227="",MIN(8,AC216),[3]基础状态预期!N227)</f>
        <v>8</v>
      </c>
      <c r="AD215" s="14">
        <f>IF([3]基础状态预期!O227="",MIN(8,AD216),[3]基础状态预期!O227)</f>
        <v>8</v>
      </c>
    </row>
    <row r="216" spans="19:30" x14ac:dyDescent="0.15">
      <c r="S216" s="12">
        <f>IF([3]基础状态预期!C228="","",[3]基础状态预期!C228)</f>
        <v>3311.0000000000005</v>
      </c>
      <c r="T216" s="12">
        <f>IF([3]基础状态预期!D228="","",[3]基础状态预期!D228)</f>
        <v>136.45508882162355</v>
      </c>
      <c r="U216" s="14">
        <f>IF([3]基础状态预期!F228="",0,[3]基础状态预期!F228)</f>
        <v>0</v>
      </c>
      <c r="V216" s="14">
        <f>IF([3]基础状态预期!G228="",0,[3]基础状态预期!G228)</f>
        <v>0</v>
      </c>
      <c r="W216" s="14">
        <f>IF([3]基础状态预期!H228="",0,[3]基础状态预期!H228)</f>
        <v>0</v>
      </c>
      <c r="X216" s="14">
        <f>IF([3]基础状态预期!I228="",0,[3]基础状态预期!I228)</f>
        <v>0</v>
      </c>
      <c r="Y216" s="14">
        <f>IF([3]基础状态预期!J228="",0,[3]基础状态预期!J228)</f>
        <v>6</v>
      </c>
      <c r="Z216" s="14">
        <f>IF([3]基础状态预期!K228="",MIN(8,Z217),[3]基础状态预期!K228)</f>
        <v>8</v>
      </c>
      <c r="AA216" s="14">
        <f>IF([3]基础状态预期!L228="",MIN(8,AA217),[3]基础状态预期!L228)</f>
        <v>8</v>
      </c>
      <c r="AB216" s="14">
        <f>IF([3]基础状态预期!M228="",MIN(8,AB217),[3]基础状态预期!M228)</f>
        <v>8</v>
      </c>
      <c r="AC216" s="14">
        <f>IF([3]基础状态预期!N228="",MIN(8,AC217),[3]基础状态预期!N228)</f>
        <v>8</v>
      </c>
      <c r="AD216" s="14">
        <f>IF([3]基础状态预期!O228="",MIN(8,AD217),[3]基础状态预期!O228)</f>
        <v>8</v>
      </c>
    </row>
    <row r="217" spans="19:30" x14ac:dyDescent="0.15">
      <c r="S217" s="12">
        <f>IF([3]基础状态预期!C229="","",[3]基础状态预期!C229)</f>
        <v>4218.5</v>
      </c>
      <c r="T217" s="12">
        <f>IF([3]基础状态预期!D229="","",[3]基础状态预期!D229)</f>
        <v>140.08772492574531</v>
      </c>
      <c r="U217" s="14">
        <f>IF([3]基础状态预期!F229="",0,[3]基础状态预期!F229)</f>
        <v>0</v>
      </c>
      <c r="V217" s="14">
        <f>IF([3]基础状态预期!G229="",0,[3]基础状态预期!G229)</f>
        <v>0</v>
      </c>
      <c r="W217" s="14">
        <f>IF([3]基础状态预期!H229="",0,[3]基础状态预期!H229)</f>
        <v>0</v>
      </c>
      <c r="X217" s="14">
        <f>IF([3]基础状态预期!I229="",0,[3]基础状态预期!I229)</f>
        <v>0</v>
      </c>
      <c r="Y217" s="14">
        <f>IF([3]基础状态预期!J229="",0,[3]基础状态预期!J229)</f>
        <v>6</v>
      </c>
      <c r="Z217" s="14">
        <f>IF([3]基础状态预期!K229="",MIN(8,Z218),[3]基础状态预期!K229)</f>
        <v>8</v>
      </c>
      <c r="AA217" s="14">
        <f>IF([3]基础状态预期!L229="",MIN(8,AA218),[3]基础状态预期!L229)</f>
        <v>8</v>
      </c>
      <c r="AB217" s="14">
        <f>IF([3]基础状态预期!M229="",MIN(8,AB218),[3]基础状态预期!M229)</f>
        <v>8</v>
      </c>
      <c r="AC217" s="14">
        <f>IF([3]基础状态预期!N229="",MIN(8,AC218),[3]基础状态预期!N229)</f>
        <v>8</v>
      </c>
      <c r="AD217" s="14">
        <f>IF([3]基础状态预期!O229="",MIN(8,AD218),[3]基础状态预期!O229)</f>
        <v>8</v>
      </c>
    </row>
    <row r="218" spans="19:30" x14ac:dyDescent="0.15">
      <c r="S218" s="12">
        <f>IF([3]基础状态预期!C230="","",[3]基础状态预期!C230)</f>
        <v>5373.5</v>
      </c>
      <c r="T218" s="12">
        <f>IF([3]基础状态预期!D230="","",[3]基础状态预期!D230)</f>
        <v>143.51956656528549</v>
      </c>
      <c r="U218" s="14">
        <f>IF([3]基础状态预期!F230="",0,[3]基础状态预期!F230)</f>
        <v>0</v>
      </c>
      <c r="V218" s="14">
        <f>IF([3]基础状态预期!G230="",0,[3]基础状态预期!G230)</f>
        <v>0</v>
      </c>
      <c r="W218" s="14">
        <f>IF([3]基础状态预期!H230="",0,[3]基础状态预期!H230)</f>
        <v>0</v>
      </c>
      <c r="X218" s="14">
        <f>IF([3]基础状态预期!I230="",0,[3]基础状态预期!I230)</f>
        <v>0</v>
      </c>
      <c r="Y218" s="14">
        <f>IF([3]基础状态预期!J230="",0,[3]基础状态预期!J230)</f>
        <v>6</v>
      </c>
      <c r="Z218" s="14">
        <f>IF([3]基础状态预期!K230="",MIN(8,Z219),[3]基础状态预期!K230)</f>
        <v>8</v>
      </c>
      <c r="AA218" s="14">
        <f>IF([3]基础状态预期!L230="",MIN(8,AA219),[3]基础状态预期!L230)</f>
        <v>8</v>
      </c>
      <c r="AB218" s="14">
        <f>IF([3]基础状态预期!M230="",MIN(8,AB219),[3]基础状态预期!M230)</f>
        <v>8</v>
      </c>
      <c r="AC218" s="14">
        <f>IF([3]基础状态预期!N230="",MIN(8,AC219),[3]基础状态预期!N230)</f>
        <v>8</v>
      </c>
      <c r="AD218" s="14">
        <f>IF([3]基础状态预期!O230="",MIN(8,AD219),[3]基础状态预期!O230)</f>
        <v>8</v>
      </c>
    </row>
    <row r="219" spans="19:30" x14ac:dyDescent="0.15">
      <c r="S219" s="12">
        <f>IF([3]基础状态预期!C231="","",[3]基础状态预期!C231)</f>
        <v>6842.0000000000009</v>
      </c>
      <c r="T219" s="12">
        <f>IF([3]基础状态预期!D231="","",[3]基础状态预期!D231)</f>
        <v>147.17868266109423</v>
      </c>
      <c r="U219" s="14">
        <f>IF([3]基础状态预期!F231="",0,[3]基础状态预期!F231)</f>
        <v>0</v>
      </c>
      <c r="V219" s="14">
        <f>IF([3]基础状态预期!G231="",0,[3]基础状态预期!G231)</f>
        <v>0</v>
      </c>
      <c r="W219" s="14">
        <f>IF([3]基础状态预期!H231="",0,[3]基础状态预期!H231)</f>
        <v>0</v>
      </c>
      <c r="X219" s="14">
        <f>IF([3]基础状态预期!I231="",0,[3]基础状态预期!I231)</f>
        <v>0</v>
      </c>
      <c r="Y219" s="14">
        <f>IF([3]基础状态预期!J231="",0,[3]基础状态预期!J231)</f>
        <v>6</v>
      </c>
      <c r="Z219" s="14">
        <f>IF([3]基础状态预期!K231="",MIN(8,Z220),[3]基础状态预期!K231)</f>
        <v>8</v>
      </c>
      <c r="AA219" s="14">
        <f>IF([3]基础状态预期!L231="",MIN(8,AA220),[3]基础状态预期!L231)</f>
        <v>8</v>
      </c>
      <c r="AB219" s="14">
        <f>IF([3]基础状态预期!M231="",MIN(8,AB220),[3]基础状态预期!M231)</f>
        <v>8</v>
      </c>
      <c r="AC219" s="14">
        <f>IF([3]基础状态预期!N231="",MIN(8,AC220),[3]基础状态预期!N231)</f>
        <v>8</v>
      </c>
      <c r="AD219" s="14">
        <f>IF([3]基础状态预期!O231="",MIN(8,AD220),[3]基础状态预期!O231)</f>
        <v>8</v>
      </c>
    </row>
    <row r="220" spans="19:30" x14ac:dyDescent="0.15">
      <c r="S220" s="12">
        <f>IF([3]基础状态预期!C232="","",[3]基础状态预期!C232)</f>
        <v>8723</v>
      </c>
      <c r="T220" s="12">
        <f>IF([3]基础状态预期!D232="","",[3]基础状态预期!D232)</f>
        <v>150.49637054967232</v>
      </c>
      <c r="U220" s="14">
        <f>IF([3]基础状态预期!F232="",0,[3]基础状态预期!F232)</f>
        <v>0</v>
      </c>
      <c r="V220" s="14">
        <f>IF([3]基础状态预期!G232="",0,[3]基础状态预期!G232)</f>
        <v>0</v>
      </c>
      <c r="W220" s="14">
        <f>IF([3]基础状态预期!H232="",0,[3]基础状态预期!H232)</f>
        <v>0</v>
      </c>
      <c r="X220" s="14">
        <f>IF([3]基础状态预期!I232="",0,[3]基础状态预期!I232)</f>
        <v>0</v>
      </c>
      <c r="Y220" s="14">
        <f>IF([3]基础状态预期!J232="",0,[3]基础状态预期!J232)</f>
        <v>6</v>
      </c>
      <c r="Z220" s="14">
        <f>IF([3]基础状态预期!K232="",MIN(8,Z221),[3]基础状态预期!K232)</f>
        <v>8</v>
      </c>
      <c r="AA220" s="14">
        <f>IF([3]基础状态预期!L232="",MIN(8,AA221),[3]基础状态预期!L232)</f>
        <v>8</v>
      </c>
      <c r="AB220" s="14">
        <f>IF([3]基础状态预期!M232="",MIN(8,AB221),[3]基础状态预期!M232)</f>
        <v>8</v>
      </c>
      <c r="AC220" s="14">
        <f>IF([3]基础状态预期!N232="",MIN(8,AC221),[3]基础状态预期!N232)</f>
        <v>8</v>
      </c>
      <c r="AD220" s="14">
        <f>IF([3]基础状态预期!O232="",MIN(8,AD221),[3]基础状态预期!O232)</f>
        <v>8</v>
      </c>
    </row>
    <row r="221" spans="19:30" x14ac:dyDescent="0.15">
      <c r="S221" s="12">
        <f>IF([3]基础状态预期!C233="","",[3]基础状态预期!C233)</f>
        <v>11115.5</v>
      </c>
      <c r="T221" s="12">
        <f>IF([3]基础状态预期!D233="","",[3]基础状态预期!D233)</f>
        <v>151.40240982411487</v>
      </c>
      <c r="U221" s="14">
        <f>IF([3]基础状态预期!F233="",0,[3]基础状态预期!F233)</f>
        <v>0</v>
      </c>
      <c r="V221" s="14">
        <f>IF([3]基础状态预期!G233="",0,[3]基础状态预期!G233)</f>
        <v>0</v>
      </c>
      <c r="W221" s="14">
        <f>IF([3]基础状态预期!H233="",0,[3]基础状态预期!H233)</f>
        <v>0</v>
      </c>
      <c r="X221" s="14">
        <f>IF([3]基础状态预期!I233="",0,[3]基础状态预期!I233)</f>
        <v>0</v>
      </c>
      <c r="Y221" s="14">
        <f>IF([3]基础状态预期!J233="",0,[3]基础状态预期!J233)</f>
        <v>6</v>
      </c>
      <c r="Z221" s="14">
        <f>IF([3]基础状态预期!K233="",MIN(8,Z222),[3]基础状态预期!K233)</f>
        <v>8</v>
      </c>
      <c r="AA221" s="14">
        <f>IF([3]基础状态预期!L233="",MIN(8,AA222),[3]基础状态预期!L233)</f>
        <v>8</v>
      </c>
      <c r="AB221" s="14">
        <f>IF([3]基础状态预期!M233="",MIN(8,AB222),[3]基础状态预期!M233)</f>
        <v>8</v>
      </c>
      <c r="AC221" s="14">
        <f>IF([3]基础状态预期!N233="",MIN(8,AC222),[3]基础状态预期!N233)</f>
        <v>8</v>
      </c>
      <c r="AD221" s="14">
        <f>IF([3]基础状态预期!O233="",MIN(8,AD222),[3]基础状态预期!O233)</f>
        <v>8</v>
      </c>
    </row>
    <row r="222" spans="19:30" x14ac:dyDescent="0.15">
      <c r="S222" s="12">
        <f>IF([3]基础状态预期!C234="","",[3]基础状态预期!C234)</f>
        <v>14168.000000000002</v>
      </c>
      <c r="T222" s="12">
        <f>IF([3]基础状态预期!D234="","",[3]基础状态预期!D234)</f>
        <v>152.00526961196863</v>
      </c>
      <c r="U222" s="14">
        <f>IF([3]基础状态预期!F234="",0,[3]基础状态预期!F234)</f>
        <v>0</v>
      </c>
      <c r="V222" s="14">
        <f>IF([3]基础状态预期!G234="",0,[3]基础状态预期!G234)</f>
        <v>0</v>
      </c>
      <c r="W222" s="14">
        <f>IF([3]基础状态预期!H234="",0,[3]基础状态预期!H234)</f>
        <v>0</v>
      </c>
      <c r="X222" s="14">
        <f>IF([3]基础状态预期!I234="",0,[3]基础状态预期!I234)</f>
        <v>0</v>
      </c>
      <c r="Y222" s="14">
        <f>IF([3]基础状态预期!J234="",0,[3]基础状态预期!J234)</f>
        <v>6</v>
      </c>
      <c r="Z222" s="14">
        <f>IF([3]基础状态预期!K234="",MIN(8,Z223),[3]基础状态预期!K234)</f>
        <v>8</v>
      </c>
      <c r="AA222" s="14">
        <f>IF([3]基础状态预期!L234="",MIN(8,AA223),[3]基础状态预期!L234)</f>
        <v>8</v>
      </c>
      <c r="AB222" s="14">
        <f>IF([3]基础状态预期!M234="",MIN(8,AB223),[3]基础状态预期!M234)</f>
        <v>8</v>
      </c>
      <c r="AC222" s="14">
        <f>IF([3]基础状态预期!N234="",MIN(8,AC223),[3]基础状态预期!N234)</f>
        <v>8</v>
      </c>
      <c r="AD222" s="14">
        <f>IF([3]基础状态预期!O234="",MIN(8,AD223),[3]基础状态预期!O234)</f>
        <v>8</v>
      </c>
    </row>
    <row r="223" spans="19:30" x14ac:dyDescent="0.15">
      <c r="S223" s="12">
        <f>IF([3]基础状态预期!C235="","",[3]基础状态预期!C235)</f>
        <v>18012.5</v>
      </c>
      <c r="T223" s="12">
        <f>IF([3]基础状态预期!D235="","",[3]基础状态预期!D235)</f>
        <v>152.38629594951036</v>
      </c>
      <c r="U223" s="14">
        <f>IF([3]基础状态预期!F235="",0,[3]基础状态预期!F235)</f>
        <v>0</v>
      </c>
      <c r="V223" s="14">
        <f>IF([3]基础状态预期!G235="",0,[3]基础状态预期!G235)</f>
        <v>0</v>
      </c>
      <c r="W223" s="14">
        <f>IF([3]基础状态预期!H235="",0,[3]基础状态预期!H235)</f>
        <v>0</v>
      </c>
      <c r="X223" s="14">
        <f>IF([3]基础状态预期!I235="",0,[3]基础状态预期!I235)</f>
        <v>0</v>
      </c>
      <c r="Y223" s="14">
        <f>IF([3]基础状态预期!J235="",0,[3]基础状态预期!J235)</f>
        <v>6</v>
      </c>
      <c r="Z223" s="14">
        <f>IF([3]基础状态预期!K235="",MIN(8,Z224),[3]基础状态预期!K235)</f>
        <v>8</v>
      </c>
      <c r="AA223" s="14">
        <f>IF([3]基础状态预期!L235="",MIN(8,AA224),[3]基础状态预期!L235)</f>
        <v>8</v>
      </c>
      <c r="AB223" s="14">
        <f>IF([3]基础状态预期!M235="",MIN(8,AB224),[3]基础状态预期!M235)</f>
        <v>8</v>
      </c>
      <c r="AC223" s="14">
        <f>IF([3]基础状态预期!N235="",MIN(8,AC224),[3]基础状态预期!N235)</f>
        <v>8</v>
      </c>
      <c r="AD223" s="14">
        <f>IF([3]基础状态预期!O235="",MIN(8,AD224),[3]基础状态预期!O235)</f>
        <v>8</v>
      </c>
    </row>
  </sheetData>
  <mergeCells count="17">
    <mergeCell ref="D2:H2"/>
    <mergeCell ref="M2:P2"/>
    <mergeCell ref="S2:T3"/>
    <mergeCell ref="S47:T48"/>
    <mergeCell ref="S92:T93"/>
    <mergeCell ref="S137:T138"/>
    <mergeCell ref="S182:T183"/>
    <mergeCell ref="Z3:AD3"/>
    <mergeCell ref="Z48:AD48"/>
    <mergeCell ref="Z93:AD93"/>
    <mergeCell ref="Z138:AD138"/>
    <mergeCell ref="U3:Y3"/>
    <mergeCell ref="U48:Y48"/>
    <mergeCell ref="U93:Y93"/>
    <mergeCell ref="U138:Y138"/>
    <mergeCell ref="U183:Y183"/>
    <mergeCell ref="Z183:AD18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7AADC-479C-4C18-BF6D-61AFC348AF76}">
  <dimension ref="A1:D11"/>
  <sheetViews>
    <sheetView workbookViewId="0">
      <selection activeCell="E43" sqref="E43"/>
    </sheetView>
  </sheetViews>
  <sheetFormatPr defaultRowHeight="11.25" x14ac:dyDescent="0.15"/>
  <cols>
    <col min="1" max="1" width="9" style="3"/>
    <col min="2" max="16384" width="9" style="8"/>
  </cols>
  <sheetData>
    <row r="1" spans="1:4" x14ac:dyDescent="0.15">
      <c r="A1" s="3" t="s">
        <v>28</v>
      </c>
    </row>
    <row r="2" spans="1:4" x14ac:dyDescent="0.15">
      <c r="A2" s="3" t="s">
        <v>29</v>
      </c>
    </row>
    <row r="3" spans="1:4" x14ac:dyDescent="0.15">
      <c r="A3" s="3" t="s">
        <v>30</v>
      </c>
    </row>
    <row r="4" spans="1:4" x14ac:dyDescent="0.15">
      <c r="A4" s="3" t="s">
        <v>31</v>
      </c>
    </row>
    <row r="5" spans="1:4" x14ac:dyDescent="0.15">
      <c r="A5" s="3" t="s">
        <v>37</v>
      </c>
    </row>
    <row r="6" spans="1:4" x14ac:dyDescent="0.15">
      <c r="B6" s="8" t="s">
        <v>32</v>
      </c>
      <c r="C6" s="19" t="s">
        <v>36</v>
      </c>
      <c r="D6" s="20" t="s">
        <v>38</v>
      </c>
    </row>
    <row r="7" spans="1:4" x14ac:dyDescent="0.15">
      <c r="B7" s="8" t="s">
        <v>33</v>
      </c>
      <c r="C7" s="19"/>
      <c r="D7" s="20"/>
    </row>
    <row r="8" spans="1:4" x14ac:dyDescent="0.15">
      <c r="B8" s="8" t="s">
        <v>34</v>
      </c>
      <c r="C8" s="19" t="s">
        <v>36</v>
      </c>
      <c r="D8" s="20" t="s">
        <v>39</v>
      </c>
    </row>
    <row r="9" spans="1:4" x14ac:dyDescent="0.15">
      <c r="B9" s="8" t="s">
        <v>35</v>
      </c>
      <c r="C9" s="19"/>
      <c r="D9" s="20"/>
    </row>
    <row r="10" spans="1:4" x14ac:dyDescent="0.15">
      <c r="C10" s="3"/>
    </row>
    <row r="11" spans="1:4" x14ac:dyDescent="0.15">
      <c r="C11" s="3"/>
    </row>
  </sheetData>
  <mergeCells count="4">
    <mergeCell ref="C8:C9"/>
    <mergeCell ref="C6:C7"/>
    <mergeCell ref="D8:D9"/>
    <mergeCell ref="D6:D7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146C7-8610-4885-AA0F-A4844F57FDD2}">
  <dimension ref="C4:AI165"/>
  <sheetViews>
    <sheetView tabSelected="1" topLeftCell="H1" workbookViewId="0">
      <selection activeCell="AB14" sqref="AB14"/>
    </sheetView>
  </sheetViews>
  <sheetFormatPr defaultRowHeight="11.25" x14ac:dyDescent="0.15"/>
  <cols>
    <col min="1" max="2" width="6.625" style="8" customWidth="1"/>
    <col min="3" max="3" width="9" style="8"/>
    <col min="4" max="4" width="12.25" style="8" bestFit="1" customWidth="1"/>
    <col min="5" max="6" width="6.625" style="8" customWidth="1"/>
    <col min="7" max="12" width="9" style="8"/>
    <col min="13" max="22" width="6.625" style="8" customWidth="1"/>
    <col min="23" max="16384" width="9" style="8"/>
  </cols>
  <sheetData>
    <row r="4" spans="3:35" x14ac:dyDescent="0.15">
      <c r="H4" s="19" t="s">
        <v>45</v>
      </c>
      <c r="I4" s="19"/>
      <c r="J4" s="19"/>
      <c r="K4" s="19"/>
      <c r="L4" s="19"/>
      <c r="P4" s="19" t="s">
        <v>53</v>
      </c>
      <c r="Q4" s="19"/>
      <c r="R4" s="19"/>
      <c r="S4" s="19"/>
      <c r="T4" s="19"/>
      <c r="X4" s="19" t="s">
        <v>51</v>
      </c>
      <c r="Y4" s="19"/>
      <c r="Z4" s="19"/>
      <c r="AA4" s="19"/>
      <c r="AB4" s="19"/>
      <c r="AE4" s="19" t="s">
        <v>68</v>
      </c>
      <c r="AF4" s="19"/>
      <c r="AG4" s="19"/>
      <c r="AH4" s="19"/>
      <c r="AI4" s="19"/>
    </row>
    <row r="5" spans="3:35" x14ac:dyDescent="0.15">
      <c r="C5" s="8" t="s">
        <v>33</v>
      </c>
      <c r="D5" s="8" t="s">
        <v>40</v>
      </c>
      <c r="G5" s="8" t="s">
        <v>33</v>
      </c>
      <c r="H5" s="8">
        <v>100</v>
      </c>
      <c r="I5" s="8">
        <v>110</v>
      </c>
      <c r="J5" s="8">
        <v>120</v>
      </c>
      <c r="K5" s="8">
        <v>130</v>
      </c>
      <c r="L5" s="8">
        <v>140</v>
      </c>
      <c r="O5" s="8" t="s">
        <v>33</v>
      </c>
      <c r="P5" s="8">
        <v>100</v>
      </c>
      <c r="Q5" s="8">
        <v>110</v>
      </c>
      <c r="R5" s="8">
        <v>120</v>
      </c>
      <c r="S5" s="8">
        <v>130</v>
      </c>
      <c r="T5" s="8">
        <v>140</v>
      </c>
      <c r="W5" s="8" t="s">
        <v>49</v>
      </c>
      <c r="X5" s="8" t="s">
        <v>0</v>
      </c>
      <c r="Y5" s="8" t="s">
        <v>1</v>
      </c>
      <c r="Z5" s="8" t="s">
        <v>2</v>
      </c>
      <c r="AA5" s="8" t="s">
        <v>3</v>
      </c>
      <c r="AB5" s="8" t="s">
        <v>4</v>
      </c>
      <c r="AD5" s="8" t="s">
        <v>49</v>
      </c>
      <c r="AE5" s="8" t="s">
        <v>0</v>
      </c>
      <c r="AF5" s="8" t="s">
        <v>1</v>
      </c>
      <c r="AG5" s="8" t="s">
        <v>2</v>
      </c>
      <c r="AH5" s="8" t="s">
        <v>3</v>
      </c>
      <c r="AI5" s="8" t="s">
        <v>4</v>
      </c>
    </row>
    <row r="6" spans="3:35" x14ac:dyDescent="0.15">
      <c r="C6" s="8">
        <v>0</v>
      </c>
      <c r="D6" s="8">
        <v>1</v>
      </c>
      <c r="G6" s="8">
        <v>0</v>
      </c>
      <c r="H6" s="10">
        <f t="shared" ref="H6:L14" si="0">INDEX($D$6:$D$14,MATCH($G6,$C$6:$C$14,0))*INDEX($D$19:$D$23,MATCH(H$5,$C$19:$C$23,0))/($D$14*$D$23)</f>
        <v>3.2150205761316875E-5</v>
      </c>
      <c r="I6" s="10">
        <f t="shared" si="0"/>
        <v>6.9444444444444447E-4</v>
      </c>
      <c r="J6" s="10">
        <f t="shared" si="0"/>
        <v>6.1728395061728392E-3</v>
      </c>
      <c r="K6" s="10">
        <f t="shared" si="0"/>
        <v>1.8518518518518517E-2</v>
      </c>
      <c r="L6" s="10">
        <f t="shared" si="0"/>
        <v>5.5555555555555552E-2</v>
      </c>
      <c r="O6" s="8">
        <v>0</v>
      </c>
      <c r="P6" s="10"/>
      <c r="Q6" s="15">
        <f>IFERROR(求节点(其他调用!AB$5:AB$43,其他调用!$T$5:$T$43,$O6),0)</f>
        <v>0</v>
      </c>
      <c r="R6" s="15">
        <f>IFERROR(求节点(其他调用!AC$5:AC$43,其他调用!$T$5:$T$43,$O6),0)</f>
        <v>20</v>
      </c>
      <c r="S6" s="15">
        <f>IFERROR(求节点(其他调用!AD$5:AD$43,其他调用!$T$5:$T$43,$O6),0)</f>
        <v>53.567039423670657</v>
      </c>
      <c r="T6" s="10"/>
      <c r="W6" s="8">
        <v>1</v>
      </c>
      <c r="X6" s="8">
        <f>MIN((IFERROR(INDEX(其他调用!$W$5:$W$43,MATCH($W6,其他调用!$T$5:$T$43,1))*求节点($G$34:$G$42,$I$34:$I$42,求节点($Q$6:$Q$14,$O$6:$O$14,$W6)),0)+IFERROR(INDEX(其他调用!$X$5:$X$43,MATCH($W6,其他调用!$T$5:$T$43,1))*求节点($G$34:$G$42,$J$34:$J$42,求节点($R$6:$R$14,$O$6:$O$14,$W6)),0)+IFERROR(INDEX(其他调用!$Y$5:$Y$43,MATCH($W6,其他调用!$T$5:$T$43,1))*求节点($G$34:$G$42,$K$34:$K$42,求节点($S$6:$S$14,$O$6:$O$14,$W6)),0))/6,1)</f>
        <v>0</v>
      </c>
      <c r="Y6" s="8">
        <f>MIN((IFERROR(INDEX(其他调用!$W$50:$W$88,MATCH($W6,其他调用!$T$50:$T$88,1))*求节点($G$34:$G$42,$I$34:$I$42,求节点($Q$20:$Q$28,$O$20:$O$28,$W6)),0)+IFERROR(INDEX(其他调用!$X$50:$X$88,MATCH($W6,其他调用!$T$50:$T$88,1))*求节点($G$34:$G$42,$J$34:$J$42,求节点($R$20:$R$28,$O$20:$O$28,$W6)),0)+IFERROR(INDEX(其他调用!$Y$50:$Y$88,MATCH($W6,其他调用!$T$50:$T$88,1))*求节点($G$34:$G$42,$K$34:$K$42,求节点($S$20:$S$28,$O$20:$O$28,$W6)),0))/6,1)</f>
        <v>0</v>
      </c>
      <c r="Z6" s="8">
        <f>MIN((IFERROR(INDEX(其他调用!$W$95:$W$133,MATCH($W6,其他调用!$T$95:$T$133,1))*求节点($G$34:$G$42,$I$34:$I$42,求节点($Q$34:$Q$42,$O$34:$O$42,$W6)),0)+IFERROR(INDEX(其他调用!$X$95:$X$133,MATCH($W6,其他调用!$T$95:$T$133,1))*求节点($G$34:$G$42,$J$34:$J$42,求节点($R$34:$R$42,$O$34:$O$42,$W6)),0)+IFERROR(INDEX(其他调用!$Y$95:$Y$133,MATCH($W6,其他调用!$T$95:$T$133,1))*求节点($G$34:$G$42,$K$34:$K$42,求节点($S$34:$S$42,$O$34:$O$42,$W6)),0))/6,1)</f>
        <v>0</v>
      </c>
      <c r="AA6" s="8">
        <f>MIN((IFERROR(INDEX(其他调用!$W$140:$W$178,MATCH($W6,其他调用!$T$140:$T$178,1))*求节点($G$34:$G$42,$I$34:$I$42,求节点($Q$48:$Q$56,$O$48:$O$56,$W6)),0)+IFERROR(INDEX(其他调用!$X$140:$X$178,MATCH($W6,其他调用!$T$140:$T$178,1))*求节点($G$34:$G$42,$J$34:$J$42,求节点($R$48:$R$56,$O$48:$O$56,$W6)),0)+IFERROR(INDEX(其他调用!$Y$140:$Y$178,MATCH($W6,其他调用!$T$140:$T$178,1))*求节点($G$34:$G$42,$K$34:$K$42,求节点($S$48:$S$56,$O$48:$O$56,$W6)),0))/6,1)</f>
        <v>0</v>
      </c>
      <c r="AB6" s="8">
        <f>MIN((IFERROR(INDEX(其他调用!$W$185:$W$223,MATCH($W6,其他调用!$T$185:$T$223,1))*求节点($G$34:$G$42,$I$34:$I$42,求节点($Q$62:$Q$70,$O$62:$O$70,$W6)),0)+IFERROR(INDEX(其他调用!$X$185:$X$223,MATCH($W6,其他调用!$T$185:$T$223,1))*求节点($G$34:$G$42,$J$34:$J$42,求节点($R$62:$R$70,$O$62:$O$70,$W6)),0)+IFERROR(INDEX(其他调用!$Y$185:$Y$223,MATCH($W6,其他调用!$T$185:$T$223,1))*求节点($G$34:$G$42,$K$34:$K$42,求节点($S$62:$S$70,$O$62:$O$70,$W6)),0))/6,1)</f>
        <v>0</v>
      </c>
      <c r="AD6" s="8">
        <v>1</v>
      </c>
      <c r="AE6" s="8">
        <f>X6/士兵加成武将!W6</f>
        <v>0</v>
      </c>
      <c r="AF6" s="8">
        <f>Y6/士兵加成武将!X6</f>
        <v>0</v>
      </c>
      <c r="AG6" s="8">
        <f>Z6/士兵加成武将!Y6</f>
        <v>0</v>
      </c>
      <c r="AH6" s="8">
        <f>AA6/士兵加成武将!Z6</f>
        <v>0</v>
      </c>
      <c r="AI6" s="8">
        <f>AB6/士兵加成武将!AA6</f>
        <v>0</v>
      </c>
    </row>
    <row r="7" spans="3:35" x14ac:dyDescent="0.15">
      <c r="C7" s="8">
        <v>1</v>
      </c>
      <c r="D7" s="8">
        <v>2</v>
      </c>
      <c r="G7" s="8">
        <v>1</v>
      </c>
      <c r="H7" s="10">
        <f t="shared" si="0"/>
        <v>6.430041152263375E-5</v>
      </c>
      <c r="I7" s="10">
        <f t="shared" si="0"/>
        <v>1.3888888888888889E-3</v>
      </c>
      <c r="J7" s="10">
        <f t="shared" si="0"/>
        <v>1.2345679012345678E-2</v>
      </c>
      <c r="K7" s="10">
        <f t="shared" si="0"/>
        <v>3.7037037037037035E-2</v>
      </c>
      <c r="L7" s="10">
        <f t="shared" si="0"/>
        <v>0.1111111111111111</v>
      </c>
      <c r="O7" s="8">
        <v>1</v>
      </c>
      <c r="P7" s="10"/>
      <c r="Q7" s="15">
        <f>IFERROR(求节点(其他调用!AB$5:AB$43,其他调用!$T$5:$T$43,$O7),0)</f>
        <v>10.745349649035507</v>
      </c>
      <c r="R7" s="15">
        <f>IFERROR(求节点(其他调用!AC$5:AC$43,其他调用!$T$5:$T$43,$O7),0)</f>
        <v>41.396148985336566</v>
      </c>
      <c r="S7" s="15">
        <f>IFERROR(求节点(其他调用!AD$5:AD$43,其他调用!$T$5:$T$43,$O7),0)</f>
        <v>60.945193242498299</v>
      </c>
      <c r="T7" s="10"/>
      <c r="W7" s="8">
        <v>2</v>
      </c>
      <c r="X7" s="8">
        <f>MIN((IFERROR(INDEX(其他调用!$W$5:$W$43,MATCH($W7,其他调用!$T$5:$T$43,1))*求节点($G$34:$G$42,$I$34:$I$42,求节点($Q$6:$Q$14,$O$6:$O$14,$W7)),0)+IFERROR(INDEX(其他调用!$X$5:$X$43,MATCH($W7,其他调用!$T$5:$T$43,1))*求节点($G$34:$G$42,$J$34:$J$42,求节点($R$6:$R$14,$O$6:$O$14,$W7)),0)+IFERROR(INDEX(其他调用!$Y$5:$Y$43,MATCH($W7,其他调用!$T$5:$T$43,1))*求节点($G$34:$G$42,$K$34:$K$42,求节点($S$6:$S$14,$O$6:$O$14,$W7)),0))/6,1)</f>
        <v>0</v>
      </c>
      <c r="Y7" s="8">
        <f>MIN((IFERROR(INDEX(其他调用!$W$50:$W$88,MATCH($W7,其他调用!$T$50:$T$88,1))*求节点($G$34:$G$42,$I$34:$I$42,求节点($Q$20:$Q$28,$O$20:$O$28,$W7)),0)+IFERROR(INDEX(其他调用!$X$50:$X$88,MATCH($W7,其他调用!$T$50:$T$88,1))*求节点($G$34:$G$42,$J$34:$J$42,求节点($R$20:$R$28,$O$20:$O$28,$W7)),0)+IFERROR(INDEX(其他调用!$Y$50:$Y$88,MATCH($W7,其他调用!$T$50:$T$88,1))*求节点($G$34:$G$42,$K$34:$K$42,求节点($S$20:$S$28,$O$20:$O$28,$W7)),0))/6,1)</f>
        <v>0</v>
      </c>
      <c r="Z7" s="8">
        <f>MIN((IFERROR(INDEX(其他调用!$W$95:$W$133,MATCH($W7,其他调用!$T$95:$T$133,1))*求节点($G$34:$G$42,$I$34:$I$42,求节点($Q$34:$Q$42,$O$34:$O$42,$W7)),0)+IFERROR(INDEX(其他调用!$X$95:$X$133,MATCH($W7,其他调用!$T$95:$T$133,1))*求节点($G$34:$G$42,$J$34:$J$42,求节点($R$34:$R$42,$O$34:$O$42,$W7)),0)+IFERROR(INDEX(其他调用!$Y$95:$Y$133,MATCH($W7,其他调用!$T$95:$T$133,1))*求节点($G$34:$G$42,$K$34:$K$42,求节点($S$34:$S$42,$O$34:$O$42,$W7)),0))/6,1)</f>
        <v>0</v>
      </c>
      <c r="AA7" s="8">
        <f>MIN((IFERROR(INDEX(其他调用!$W$140:$W$178,MATCH($W7,其他调用!$T$140:$T$178,1))*求节点($G$34:$G$42,$I$34:$I$42,求节点($Q$48:$Q$56,$O$48:$O$56,$W7)),0)+IFERROR(INDEX(其他调用!$X$140:$X$178,MATCH($W7,其他调用!$T$140:$T$178,1))*求节点($G$34:$G$42,$J$34:$J$42,求节点($R$48:$R$56,$O$48:$O$56,$W7)),0)+IFERROR(INDEX(其他调用!$Y$140:$Y$178,MATCH($W7,其他调用!$T$140:$T$178,1))*求节点($G$34:$G$42,$K$34:$K$42,求节点($S$48:$S$56,$O$48:$O$56,$W7)),0))/6,1)</f>
        <v>0</v>
      </c>
      <c r="AB7" s="8">
        <f>MIN((IFERROR(INDEX(其他调用!$W$185:$W$223,MATCH($W7,其他调用!$T$185:$T$223,1))*求节点($G$34:$G$42,$I$34:$I$42,求节点($Q$62:$Q$70,$O$62:$O$70,$W7)),0)+IFERROR(INDEX(其他调用!$X$185:$X$223,MATCH($W7,其他调用!$T$185:$T$223,1))*求节点($G$34:$G$42,$J$34:$J$42,求节点($R$62:$R$70,$O$62:$O$70,$W7)),0)+IFERROR(INDEX(其他调用!$Y$185:$Y$223,MATCH($W7,其他调用!$T$185:$T$223,1))*求节点($G$34:$G$42,$K$34:$K$42,求节点($S$62:$S$70,$O$62:$O$70,$W7)),0))/6,1)</f>
        <v>0</v>
      </c>
      <c r="AD7" s="8">
        <v>2</v>
      </c>
      <c r="AE7" s="8">
        <f>X7/士兵加成武将!W7</f>
        <v>0</v>
      </c>
      <c r="AF7" s="8">
        <f>Y7/士兵加成武将!X7</f>
        <v>0</v>
      </c>
      <c r="AG7" s="8">
        <f>Z7/士兵加成武将!Y7</f>
        <v>0</v>
      </c>
      <c r="AH7" s="8">
        <f>AA7/士兵加成武将!Z7</f>
        <v>0</v>
      </c>
      <c r="AI7" s="8">
        <f>AB7/士兵加成武将!AA7</f>
        <v>0</v>
      </c>
    </row>
    <row r="8" spans="3:35" x14ac:dyDescent="0.15">
      <c r="C8" s="8">
        <v>2</v>
      </c>
      <c r="D8" s="8">
        <v>3</v>
      </c>
      <c r="G8" s="8">
        <v>2</v>
      </c>
      <c r="H8" s="10">
        <f t="shared" si="0"/>
        <v>9.6450617283950612E-5</v>
      </c>
      <c r="I8" s="10">
        <f t="shared" si="0"/>
        <v>2.0833333333333333E-3</v>
      </c>
      <c r="J8" s="10">
        <f t="shared" si="0"/>
        <v>1.8518518518518517E-2</v>
      </c>
      <c r="K8" s="10">
        <f t="shared" si="0"/>
        <v>5.5555555555555552E-2</v>
      </c>
      <c r="L8" s="10">
        <f t="shared" si="0"/>
        <v>0.16666666666666666</v>
      </c>
      <c r="O8" s="8">
        <v>2</v>
      </c>
      <c r="P8" s="10"/>
      <c r="Q8" s="15">
        <f>IFERROR(求节点(其他调用!AB$5:AB$43,其他调用!$T$5:$T$43,$O8),0)</f>
        <v>12.067442556316148</v>
      </c>
      <c r="R8" s="15">
        <f>IFERROR(求节点(其他调用!AC$5:AC$43,其他调用!$T$5:$T$43,$O8),0)</f>
        <v>49.599489923575831</v>
      </c>
      <c r="S8" s="15">
        <f>IFERROR(求节点(其他调用!AD$5:AD$43,其他调用!$T$5:$T$43,$O8),0)</f>
        <v>64.420136091324139</v>
      </c>
      <c r="T8" s="10"/>
      <c r="W8" s="8">
        <v>3</v>
      </c>
      <c r="X8" s="8">
        <f>MIN((IFERROR(INDEX(其他调用!$W$5:$W$43,MATCH($W8,其他调用!$T$5:$T$43,1))*求节点($G$34:$G$42,$I$34:$I$42,求节点($Q$6:$Q$14,$O$6:$O$14,$W8)),0)+IFERROR(INDEX(其他调用!$X$5:$X$43,MATCH($W8,其他调用!$T$5:$T$43,1))*求节点($G$34:$G$42,$J$34:$J$42,求节点($R$6:$R$14,$O$6:$O$14,$W8)),0)+IFERROR(INDEX(其他调用!$Y$5:$Y$43,MATCH($W8,其他调用!$T$5:$T$43,1))*求节点($G$34:$G$42,$K$34:$K$42,求节点($S$6:$S$14,$O$6:$O$14,$W8)),0))/6,1)</f>
        <v>0</v>
      </c>
      <c r="Y8" s="8">
        <f>MIN((IFERROR(INDEX(其他调用!$W$50:$W$88,MATCH($W8,其他调用!$T$50:$T$88,1))*求节点($G$34:$G$42,$I$34:$I$42,求节点($Q$20:$Q$28,$O$20:$O$28,$W8)),0)+IFERROR(INDEX(其他调用!$X$50:$X$88,MATCH($W8,其他调用!$T$50:$T$88,1))*求节点($G$34:$G$42,$J$34:$J$42,求节点($R$20:$R$28,$O$20:$O$28,$W8)),0)+IFERROR(INDEX(其他调用!$Y$50:$Y$88,MATCH($W8,其他调用!$T$50:$T$88,1))*求节点($G$34:$G$42,$K$34:$K$42,求节点($S$20:$S$28,$O$20:$O$28,$W8)),0))/6,1)</f>
        <v>0</v>
      </c>
      <c r="Z8" s="8">
        <f>MIN((IFERROR(INDEX(其他调用!$W$95:$W$133,MATCH($W8,其他调用!$T$95:$T$133,1))*求节点($G$34:$G$42,$I$34:$I$42,求节点($Q$34:$Q$42,$O$34:$O$42,$W8)),0)+IFERROR(INDEX(其他调用!$X$95:$X$133,MATCH($W8,其他调用!$T$95:$T$133,1))*求节点($G$34:$G$42,$J$34:$J$42,求节点($R$34:$R$42,$O$34:$O$42,$W8)),0)+IFERROR(INDEX(其他调用!$Y$95:$Y$133,MATCH($W8,其他调用!$T$95:$T$133,1))*求节点($G$34:$G$42,$K$34:$K$42,求节点($S$34:$S$42,$O$34:$O$42,$W8)),0))/6,1)</f>
        <v>0</v>
      </c>
      <c r="AA8" s="8">
        <f>MIN((IFERROR(INDEX(其他调用!$W$140:$W$178,MATCH($W8,其他调用!$T$140:$T$178,1))*求节点($G$34:$G$42,$I$34:$I$42,求节点($Q$48:$Q$56,$O$48:$O$56,$W8)),0)+IFERROR(INDEX(其他调用!$X$140:$X$178,MATCH($W8,其他调用!$T$140:$T$178,1))*求节点($G$34:$G$42,$J$34:$J$42,求节点($R$48:$R$56,$O$48:$O$56,$W8)),0)+IFERROR(INDEX(其他调用!$Y$140:$Y$178,MATCH($W8,其他调用!$T$140:$T$178,1))*求节点($G$34:$G$42,$K$34:$K$42,求节点($S$48:$S$56,$O$48:$O$56,$W8)),0))/6,1)</f>
        <v>0</v>
      </c>
      <c r="AB8" s="8">
        <f>MIN((IFERROR(INDEX(其他调用!$W$185:$W$223,MATCH($W8,其他调用!$T$185:$T$223,1))*求节点($G$34:$G$42,$I$34:$I$42,求节点($Q$62:$Q$70,$O$62:$O$70,$W8)),0)+IFERROR(INDEX(其他调用!$X$185:$X$223,MATCH($W8,其他调用!$T$185:$T$223,1))*求节点($G$34:$G$42,$J$34:$J$42,求节点($R$62:$R$70,$O$62:$O$70,$W8)),0)+IFERROR(INDEX(其他调用!$Y$185:$Y$223,MATCH($W8,其他调用!$T$185:$T$223,1))*求节点($G$34:$G$42,$K$34:$K$42,求节点($S$62:$S$70,$O$62:$O$70,$W8)),0))/6,1)</f>
        <v>0</v>
      </c>
      <c r="AD8" s="8">
        <v>3</v>
      </c>
      <c r="AE8" s="8">
        <f>X8/士兵加成武将!W8</f>
        <v>0</v>
      </c>
      <c r="AF8" s="8">
        <f>Y8/士兵加成武将!X8</f>
        <v>0</v>
      </c>
      <c r="AG8" s="8">
        <f>Z8/士兵加成武将!Y8</f>
        <v>0</v>
      </c>
      <c r="AH8" s="8">
        <f>AA8/士兵加成武将!Z8</f>
        <v>0</v>
      </c>
      <c r="AI8" s="8">
        <f>AB8/士兵加成武将!AA8</f>
        <v>0</v>
      </c>
    </row>
    <row r="9" spans="3:35" x14ac:dyDescent="0.15">
      <c r="C9" s="8">
        <v>3</v>
      </c>
      <c r="D9" s="8">
        <v>4</v>
      </c>
      <c r="G9" s="8">
        <v>3</v>
      </c>
      <c r="H9" s="10">
        <f t="shared" si="0"/>
        <v>1.286008230452675E-4</v>
      </c>
      <c r="I9" s="10">
        <f t="shared" si="0"/>
        <v>2.7777777777777779E-3</v>
      </c>
      <c r="J9" s="10">
        <f t="shared" si="0"/>
        <v>2.4691358024691357E-2</v>
      </c>
      <c r="K9" s="10">
        <f t="shared" si="0"/>
        <v>7.407407407407407E-2</v>
      </c>
      <c r="L9" s="10">
        <f t="shared" si="0"/>
        <v>0.22222222222222221</v>
      </c>
      <c r="O9" s="8">
        <v>3</v>
      </c>
      <c r="P9" s="10"/>
      <c r="Q9" s="15">
        <f>IFERROR(求节点(其他调用!AB$5:AB$43,其他调用!$T$5:$T$43,$O9),0)</f>
        <v>13.38953546359679</v>
      </c>
      <c r="R9" s="15">
        <f>IFERROR(求节点(其他调用!AC$5:AC$43,其他调用!$T$5:$T$43,$O9),0)</f>
        <v>56.423330190497211</v>
      </c>
      <c r="S9" s="15">
        <f>IFERROR(求节点(其他调用!AD$5:AD$43,其他调用!$T$5:$T$43,$O9),0)</f>
        <v>74.921761971707667</v>
      </c>
      <c r="T9" s="10"/>
      <c r="W9" s="8">
        <v>4</v>
      </c>
      <c r="X9" s="8">
        <f>MIN((IFERROR(INDEX(其他调用!$W$5:$W$43,MATCH($W9,其他调用!$T$5:$T$43,1))*求节点($G$34:$G$42,$I$34:$I$42,求节点($Q$6:$Q$14,$O$6:$O$14,$W9)),0)+IFERROR(INDEX(其他调用!$X$5:$X$43,MATCH($W9,其他调用!$T$5:$T$43,1))*求节点($G$34:$G$42,$J$34:$J$42,求节点($R$6:$R$14,$O$6:$O$14,$W9)),0)+IFERROR(INDEX(其他调用!$Y$5:$Y$43,MATCH($W9,其他调用!$T$5:$T$43,1))*求节点($G$34:$G$42,$K$34:$K$42,求节点($S$6:$S$14,$O$6:$O$14,$W9)),0))/6,1)</f>
        <v>0</v>
      </c>
      <c r="Y9" s="8">
        <f>MIN((IFERROR(INDEX(其他调用!$W$50:$W$88,MATCH($W9,其他调用!$T$50:$T$88,1))*求节点($G$34:$G$42,$I$34:$I$42,求节点($Q$20:$Q$28,$O$20:$O$28,$W9)),0)+IFERROR(INDEX(其他调用!$X$50:$X$88,MATCH($W9,其他调用!$T$50:$T$88,1))*求节点($G$34:$G$42,$J$34:$J$42,求节点($R$20:$R$28,$O$20:$O$28,$W9)),0)+IFERROR(INDEX(其他调用!$Y$50:$Y$88,MATCH($W9,其他调用!$T$50:$T$88,1))*求节点($G$34:$G$42,$K$34:$K$42,求节点($S$20:$S$28,$O$20:$O$28,$W9)),0))/6,1)</f>
        <v>0</v>
      </c>
      <c r="Z9" s="8">
        <f>MIN((IFERROR(INDEX(其他调用!$W$95:$W$133,MATCH($W9,其他调用!$T$95:$T$133,1))*求节点($G$34:$G$42,$I$34:$I$42,求节点($Q$34:$Q$42,$O$34:$O$42,$W9)),0)+IFERROR(INDEX(其他调用!$X$95:$X$133,MATCH($W9,其他调用!$T$95:$T$133,1))*求节点($G$34:$G$42,$J$34:$J$42,求节点($R$34:$R$42,$O$34:$O$42,$W9)),0)+IFERROR(INDEX(其他调用!$Y$95:$Y$133,MATCH($W9,其他调用!$T$95:$T$133,1))*求节点($G$34:$G$42,$K$34:$K$42,求节点($S$34:$S$42,$O$34:$O$42,$W9)),0))/6,1)</f>
        <v>0</v>
      </c>
      <c r="AA9" s="8">
        <f>MIN((IFERROR(INDEX(其他调用!$W$140:$W$178,MATCH($W9,其他调用!$T$140:$T$178,1))*求节点($G$34:$G$42,$I$34:$I$42,求节点($Q$48:$Q$56,$O$48:$O$56,$W9)),0)+IFERROR(INDEX(其他调用!$X$140:$X$178,MATCH($W9,其他调用!$T$140:$T$178,1))*求节点($G$34:$G$42,$J$34:$J$42,求节点($R$48:$R$56,$O$48:$O$56,$W9)),0)+IFERROR(INDEX(其他调用!$Y$140:$Y$178,MATCH($W9,其他调用!$T$140:$T$178,1))*求节点($G$34:$G$42,$K$34:$K$42,求节点($S$48:$S$56,$O$48:$O$56,$W9)),0))/6,1)</f>
        <v>0</v>
      </c>
      <c r="AB9" s="8">
        <f>MIN((IFERROR(INDEX(其他调用!$W$185:$W$223,MATCH($W9,其他调用!$T$185:$T$223,1))*求节点($G$34:$G$42,$I$34:$I$42,求节点($Q$62:$Q$70,$O$62:$O$70,$W9)),0)+IFERROR(INDEX(其他调用!$X$185:$X$223,MATCH($W9,其他调用!$T$185:$T$223,1))*求节点($G$34:$G$42,$J$34:$J$42,求节点($R$62:$R$70,$O$62:$O$70,$W9)),0)+IFERROR(INDEX(其他调用!$Y$185:$Y$223,MATCH($W9,其他调用!$T$185:$T$223,1))*求节点($G$34:$G$42,$K$34:$K$42,求节点($S$62:$S$70,$O$62:$O$70,$W9)),0))/6,1)</f>
        <v>0</v>
      </c>
      <c r="AD9" s="8">
        <v>4</v>
      </c>
      <c r="AE9" s="8">
        <f>X9/士兵加成武将!W9</f>
        <v>0</v>
      </c>
      <c r="AF9" s="8">
        <f>Y9/士兵加成武将!X9</f>
        <v>0</v>
      </c>
      <c r="AG9" s="8">
        <f>Z9/士兵加成武将!Y9</f>
        <v>0</v>
      </c>
      <c r="AH9" s="8">
        <f>AA9/士兵加成武将!Z9</f>
        <v>0</v>
      </c>
      <c r="AI9" s="8">
        <f>AB9/士兵加成武将!AA9</f>
        <v>0</v>
      </c>
    </row>
    <row r="10" spans="3:35" x14ac:dyDescent="0.15">
      <c r="C10" s="8">
        <v>4</v>
      </c>
      <c r="D10" s="8">
        <v>6</v>
      </c>
      <c r="G10" s="8">
        <v>4</v>
      </c>
      <c r="H10" s="10">
        <f t="shared" si="0"/>
        <v>1.9290123456790122E-4</v>
      </c>
      <c r="I10" s="10">
        <f t="shared" si="0"/>
        <v>4.1666666666666666E-3</v>
      </c>
      <c r="J10" s="10">
        <f t="shared" si="0"/>
        <v>3.7037037037037035E-2</v>
      </c>
      <c r="K10" s="10">
        <f t="shared" si="0"/>
        <v>0.1111111111111111</v>
      </c>
      <c r="L10" s="10">
        <f t="shared" si="0"/>
        <v>0.33333333333333331</v>
      </c>
      <c r="O10" s="8">
        <v>4</v>
      </c>
      <c r="P10" s="10"/>
      <c r="Q10" s="15">
        <f>IFERROR(求节点(其他调用!AB$5:AB$43,其他调用!$T$5:$T$43,$O10),0)</f>
        <v>14.711628370877433</v>
      </c>
      <c r="R10" s="15">
        <f>IFERROR(求节点(其他调用!AC$5:AC$43,其他调用!$T$5:$T$43,$O10),0)</f>
        <v>69.427197809544666</v>
      </c>
      <c r="S10" s="15">
        <f>IFERROR(求节点(其他调用!AD$5:AD$43,其他调用!$T$5:$T$43,$O10),0)</f>
        <v>80.545125991547295</v>
      </c>
      <c r="T10" s="10"/>
      <c r="W10" s="8">
        <v>5</v>
      </c>
      <c r="X10" s="8">
        <f>MIN((IFERROR(INDEX(其他调用!$W$5:$W$43,MATCH($W10,其他调用!$T$5:$T$43,1))*求节点($G$34:$G$42,$I$34:$I$42,求节点($Q$6:$Q$14,$O$6:$O$14,$W10)),0)+IFERROR(INDEX(其他调用!$X$5:$X$43,MATCH($W10,其他调用!$T$5:$T$43,1))*求节点($G$34:$G$42,$J$34:$J$42,求节点($R$6:$R$14,$O$6:$O$14,$W10)),0)+IFERROR(INDEX(其他调用!$Y$5:$Y$43,MATCH($W10,其他调用!$T$5:$T$43,1))*求节点($G$34:$G$42,$K$34:$K$42,求节点($S$6:$S$14,$O$6:$O$14,$W10)),0))/6,1)</f>
        <v>0</v>
      </c>
      <c r="Y10" s="8">
        <f>MIN((IFERROR(INDEX(其他调用!$W$50:$W$88,MATCH($W10,其他调用!$T$50:$T$88,1))*求节点($G$34:$G$42,$I$34:$I$42,求节点($Q$20:$Q$28,$O$20:$O$28,$W10)),0)+IFERROR(INDEX(其他调用!$X$50:$X$88,MATCH($W10,其他调用!$T$50:$T$88,1))*求节点($G$34:$G$42,$J$34:$J$42,求节点($R$20:$R$28,$O$20:$O$28,$W10)),0)+IFERROR(INDEX(其他调用!$Y$50:$Y$88,MATCH($W10,其他调用!$T$50:$T$88,1))*求节点($G$34:$G$42,$K$34:$K$42,求节点($S$20:$S$28,$O$20:$O$28,$W10)),0))/6,1)</f>
        <v>0</v>
      </c>
      <c r="Z10" s="8">
        <f>MIN((IFERROR(INDEX(其他调用!$W$95:$W$133,MATCH($W10,其他调用!$T$95:$T$133,1))*求节点($G$34:$G$42,$I$34:$I$42,求节点($Q$34:$Q$42,$O$34:$O$42,$W10)),0)+IFERROR(INDEX(其他调用!$X$95:$X$133,MATCH($W10,其他调用!$T$95:$T$133,1))*求节点($G$34:$G$42,$J$34:$J$42,求节点($R$34:$R$42,$O$34:$O$42,$W10)),0)+IFERROR(INDEX(其他调用!$Y$95:$Y$133,MATCH($W10,其他调用!$T$95:$T$133,1))*求节点($G$34:$G$42,$K$34:$K$42,求节点($S$34:$S$42,$O$34:$O$42,$W10)),0))/6,1)</f>
        <v>0</v>
      </c>
      <c r="AA10" s="8">
        <f>MIN((IFERROR(INDEX(其他调用!$W$140:$W$178,MATCH($W10,其他调用!$T$140:$T$178,1))*求节点($G$34:$G$42,$I$34:$I$42,求节点($Q$48:$Q$56,$O$48:$O$56,$W10)),0)+IFERROR(INDEX(其他调用!$X$140:$X$178,MATCH($W10,其他调用!$T$140:$T$178,1))*求节点($G$34:$G$42,$J$34:$J$42,求节点($R$48:$R$56,$O$48:$O$56,$W10)),0)+IFERROR(INDEX(其他调用!$Y$140:$Y$178,MATCH($W10,其他调用!$T$140:$T$178,1))*求节点($G$34:$G$42,$K$34:$K$42,求节点($S$48:$S$56,$O$48:$O$56,$W10)),0))/6,1)</f>
        <v>0</v>
      </c>
      <c r="AB10" s="8">
        <f>MIN((IFERROR(INDEX(其他调用!$W$185:$W$223,MATCH($W10,其他调用!$T$185:$T$223,1))*求节点($G$34:$G$42,$I$34:$I$42,求节点($Q$62:$Q$70,$O$62:$O$70,$W10)),0)+IFERROR(INDEX(其他调用!$X$185:$X$223,MATCH($W10,其他调用!$T$185:$T$223,1))*求节点($G$34:$G$42,$J$34:$J$42,求节点($R$62:$R$70,$O$62:$O$70,$W10)),0)+IFERROR(INDEX(其他调用!$Y$185:$Y$223,MATCH($W10,其他调用!$T$185:$T$223,1))*求节点($G$34:$G$42,$K$34:$K$42,求节点($S$62:$S$70,$O$62:$O$70,$W10)),0))/6,1)</f>
        <v>0</v>
      </c>
      <c r="AD10" s="8">
        <v>5</v>
      </c>
      <c r="AE10" s="8">
        <f>X10/士兵加成武将!W10</f>
        <v>0</v>
      </c>
      <c r="AF10" s="8">
        <f>Y10/士兵加成武将!X10</f>
        <v>0</v>
      </c>
      <c r="AG10" s="8">
        <f>Z10/士兵加成武将!Y10</f>
        <v>0</v>
      </c>
      <c r="AH10" s="8">
        <f>AA10/士兵加成武将!Z10</f>
        <v>0</v>
      </c>
      <c r="AI10" s="8">
        <f>AB10/士兵加成武将!AA10</f>
        <v>0</v>
      </c>
    </row>
    <row r="11" spans="3:35" x14ac:dyDescent="0.15">
      <c r="C11" s="8">
        <v>5</v>
      </c>
      <c r="D11" s="8">
        <v>8</v>
      </c>
      <c r="G11" s="8">
        <v>5</v>
      </c>
      <c r="H11" s="10">
        <f t="shared" si="0"/>
        <v>2.57201646090535E-4</v>
      </c>
      <c r="I11" s="10">
        <f t="shared" si="0"/>
        <v>5.5555555555555558E-3</v>
      </c>
      <c r="J11" s="10">
        <f t="shared" si="0"/>
        <v>4.9382716049382713E-2</v>
      </c>
      <c r="K11" s="10">
        <f t="shared" si="0"/>
        <v>0.14814814814814814</v>
      </c>
      <c r="L11" s="10">
        <f t="shared" si="0"/>
        <v>0.44444444444444442</v>
      </c>
      <c r="O11" s="8">
        <v>5</v>
      </c>
      <c r="P11" s="10"/>
      <c r="Q11" s="15">
        <f>IFERROR(求节点(其他调用!AB$5:AB$43,其他调用!$T$5:$T$43,$O11),0)</f>
        <v>16.033721278158076</v>
      </c>
      <c r="R11" s="15">
        <f>IFERROR(求节点(其他调用!AC$5:AC$43,其他调用!$T$5:$T$43,$O11),0)</f>
        <v>75.391929469770503</v>
      </c>
      <c r="S11" s="15">
        <f>IFERROR(求节点(其他调用!AD$5:AD$43,其他调用!$T$5:$T$43,$O11),0)</f>
        <v>84.34462631725826</v>
      </c>
      <c r="T11" s="10"/>
      <c r="W11" s="8">
        <v>6</v>
      </c>
      <c r="X11" s="8">
        <f>MIN((IFERROR(INDEX(其他调用!$W$5:$W$43,MATCH($W11,其他调用!$T$5:$T$43,1))*求节点($G$34:$G$42,$I$34:$I$42,求节点($Q$6:$Q$14,$O$6:$O$14,$W11)),0)+IFERROR(INDEX(其他调用!$X$5:$X$43,MATCH($W11,其他调用!$T$5:$T$43,1))*求节点($G$34:$G$42,$J$34:$J$42,求节点($R$6:$R$14,$O$6:$O$14,$W11)),0)+IFERROR(INDEX(其他调用!$Y$5:$Y$43,MATCH($W11,其他调用!$T$5:$T$43,1))*求节点($G$34:$G$42,$K$34:$K$42,求节点($S$6:$S$14,$O$6:$O$14,$W11)),0))/6,1)</f>
        <v>0</v>
      </c>
      <c r="Y11" s="8">
        <f>MIN((IFERROR(INDEX(其他调用!$W$50:$W$88,MATCH($W11,其他调用!$T$50:$T$88,1))*求节点($G$34:$G$42,$I$34:$I$42,求节点($Q$20:$Q$28,$O$20:$O$28,$W11)),0)+IFERROR(INDEX(其他调用!$X$50:$X$88,MATCH($W11,其他调用!$T$50:$T$88,1))*求节点($G$34:$G$42,$J$34:$J$42,求节点($R$20:$R$28,$O$20:$O$28,$W11)),0)+IFERROR(INDEX(其他调用!$Y$50:$Y$88,MATCH($W11,其他调用!$T$50:$T$88,1))*求节点($G$34:$G$42,$K$34:$K$42,求节点($S$20:$S$28,$O$20:$O$28,$W11)),0))/6,1)</f>
        <v>0</v>
      </c>
      <c r="Z11" s="8">
        <f>MIN((IFERROR(INDEX(其他调用!$W$95:$W$133,MATCH($W11,其他调用!$T$95:$T$133,1))*求节点($G$34:$G$42,$I$34:$I$42,求节点($Q$34:$Q$42,$O$34:$O$42,$W11)),0)+IFERROR(INDEX(其他调用!$X$95:$X$133,MATCH($W11,其他调用!$T$95:$T$133,1))*求节点($G$34:$G$42,$J$34:$J$42,求节点($R$34:$R$42,$O$34:$O$42,$W11)),0)+IFERROR(INDEX(其他调用!$Y$95:$Y$133,MATCH($W11,其他调用!$T$95:$T$133,1))*求节点($G$34:$G$42,$K$34:$K$42,求节点($S$34:$S$42,$O$34:$O$42,$W11)),0))/6,1)</f>
        <v>0</v>
      </c>
      <c r="AA11" s="8">
        <f>MIN((IFERROR(INDEX(其他调用!$W$140:$W$178,MATCH($W11,其他调用!$T$140:$T$178,1))*求节点($G$34:$G$42,$I$34:$I$42,求节点($Q$48:$Q$56,$O$48:$O$56,$W11)),0)+IFERROR(INDEX(其他调用!$X$140:$X$178,MATCH($W11,其他调用!$T$140:$T$178,1))*求节点($G$34:$G$42,$J$34:$J$42,求节点($R$48:$R$56,$O$48:$O$56,$W11)),0)+IFERROR(INDEX(其他调用!$Y$140:$Y$178,MATCH($W11,其他调用!$T$140:$T$178,1))*求节点($G$34:$G$42,$K$34:$K$42,求节点($S$48:$S$56,$O$48:$O$56,$W11)),0))/6,1)</f>
        <v>0</v>
      </c>
      <c r="AB11" s="8">
        <f>MIN((IFERROR(INDEX(其他调用!$W$185:$W$223,MATCH($W11,其他调用!$T$185:$T$223,1))*求节点($G$34:$G$42,$I$34:$I$42,求节点($Q$62:$Q$70,$O$62:$O$70,$W11)),0)+IFERROR(INDEX(其他调用!$X$185:$X$223,MATCH($W11,其他调用!$T$185:$T$223,1))*求节点($G$34:$G$42,$J$34:$J$42,求节点($R$62:$R$70,$O$62:$O$70,$W11)),0)+IFERROR(INDEX(其他调用!$Y$185:$Y$223,MATCH($W11,其他调用!$T$185:$T$223,1))*求节点($G$34:$G$42,$K$34:$K$42,求节点($S$62:$S$70,$O$62:$O$70,$W11)),0))/6,1)</f>
        <v>0</v>
      </c>
      <c r="AD11" s="8">
        <v>6</v>
      </c>
      <c r="AE11" s="8">
        <f>X11/士兵加成武将!W11</f>
        <v>0</v>
      </c>
      <c r="AF11" s="8">
        <f>Y11/士兵加成武将!X11</f>
        <v>0</v>
      </c>
      <c r="AG11" s="8">
        <f>Z11/士兵加成武将!Y11</f>
        <v>0</v>
      </c>
      <c r="AH11" s="8">
        <f>AA11/士兵加成武将!Z11</f>
        <v>0</v>
      </c>
      <c r="AI11" s="8">
        <f>AB11/士兵加成武将!AA11</f>
        <v>0</v>
      </c>
    </row>
    <row r="12" spans="3:35" x14ac:dyDescent="0.15">
      <c r="C12" s="8">
        <v>6</v>
      </c>
      <c r="D12" s="8">
        <v>11</v>
      </c>
      <c r="G12" s="8">
        <v>6</v>
      </c>
      <c r="H12" s="10">
        <f t="shared" si="0"/>
        <v>3.5365226337448561E-4</v>
      </c>
      <c r="I12" s="10">
        <f t="shared" si="0"/>
        <v>7.6388888888888886E-3</v>
      </c>
      <c r="J12" s="10">
        <f t="shared" si="0"/>
        <v>6.7901234567901231E-2</v>
      </c>
      <c r="K12" s="10">
        <f t="shared" si="0"/>
        <v>0.20370370370370369</v>
      </c>
      <c r="L12" s="10">
        <f t="shared" si="0"/>
        <v>0.61111111111111116</v>
      </c>
      <c r="O12" s="8">
        <v>6</v>
      </c>
      <c r="P12" s="10"/>
      <c r="Q12" s="15">
        <f>IFERROR(求节点(其他调用!AB$5:AB$43,其他调用!$T$5:$T$43,$O12),0)</f>
        <v>17.355814185438717</v>
      </c>
      <c r="R12" s="15">
        <f>IFERROR(求节点(其他调用!AC$5:AC$43,其他调用!$T$5:$T$43,$O12),0)</f>
        <v>76.219722323105998</v>
      </c>
      <c r="S12" s="15">
        <f>IFERROR(求节点(其他调用!AD$5:AD$43,其他调用!$T$5:$T$43,$O12),0)</f>
        <v>90.070554384039099</v>
      </c>
      <c r="T12" s="10"/>
      <c r="W12" s="8">
        <v>7</v>
      </c>
      <c r="X12" s="8">
        <f>MIN((IFERROR(INDEX(其他调用!$W$5:$W$43,MATCH($W12,其他调用!$T$5:$T$43,1))*求节点($G$34:$G$42,$I$34:$I$42,求节点($Q$6:$Q$14,$O$6:$O$14,$W12)),0)+IFERROR(INDEX(其他调用!$X$5:$X$43,MATCH($W12,其他调用!$T$5:$T$43,1))*求节点($G$34:$G$42,$J$34:$J$42,求节点($R$6:$R$14,$O$6:$O$14,$W12)),0)+IFERROR(INDEX(其他调用!$Y$5:$Y$43,MATCH($W12,其他调用!$T$5:$T$43,1))*求节点($G$34:$G$42,$K$34:$K$42,求节点($S$6:$S$14,$O$6:$O$14,$W12)),0))/6,1)</f>
        <v>0</v>
      </c>
      <c r="Y12" s="8">
        <f>MIN((IFERROR(INDEX(其他调用!$W$50:$W$88,MATCH($W12,其他调用!$T$50:$T$88,1))*求节点($G$34:$G$42,$I$34:$I$42,求节点($Q$20:$Q$28,$O$20:$O$28,$W12)),0)+IFERROR(INDEX(其他调用!$X$50:$X$88,MATCH($W12,其他调用!$T$50:$T$88,1))*求节点($G$34:$G$42,$J$34:$J$42,求节点($R$20:$R$28,$O$20:$O$28,$W12)),0)+IFERROR(INDEX(其他调用!$Y$50:$Y$88,MATCH($W12,其他调用!$T$50:$T$88,1))*求节点($G$34:$G$42,$K$34:$K$42,求节点($S$20:$S$28,$O$20:$O$28,$W12)),0))/6,1)</f>
        <v>0</v>
      </c>
      <c r="Z12" s="8">
        <f>MIN((IFERROR(INDEX(其他调用!$W$95:$W$133,MATCH($W12,其他调用!$T$95:$T$133,1))*求节点($G$34:$G$42,$I$34:$I$42,求节点($Q$34:$Q$42,$O$34:$O$42,$W12)),0)+IFERROR(INDEX(其他调用!$X$95:$X$133,MATCH($W12,其他调用!$T$95:$T$133,1))*求节点($G$34:$G$42,$J$34:$J$42,求节点($R$34:$R$42,$O$34:$O$42,$W12)),0)+IFERROR(INDEX(其他调用!$Y$95:$Y$133,MATCH($W12,其他调用!$T$95:$T$133,1))*求节点($G$34:$G$42,$K$34:$K$42,求节点($S$34:$S$42,$O$34:$O$42,$W12)),0))/6,1)</f>
        <v>0</v>
      </c>
      <c r="AA12" s="8">
        <f>MIN((IFERROR(INDEX(其他调用!$W$140:$W$178,MATCH($W12,其他调用!$T$140:$T$178,1))*求节点($G$34:$G$42,$I$34:$I$42,求节点($Q$48:$Q$56,$O$48:$O$56,$W12)),0)+IFERROR(INDEX(其他调用!$X$140:$X$178,MATCH($W12,其他调用!$T$140:$T$178,1))*求节点($G$34:$G$42,$J$34:$J$42,求节点($R$48:$R$56,$O$48:$O$56,$W12)),0)+IFERROR(INDEX(其他调用!$Y$140:$Y$178,MATCH($W12,其他调用!$T$140:$T$178,1))*求节点($G$34:$G$42,$K$34:$K$42,求节点($S$48:$S$56,$O$48:$O$56,$W12)),0))/6,1)</f>
        <v>0</v>
      </c>
      <c r="AB12" s="8">
        <f>MIN((IFERROR(INDEX(其他调用!$W$185:$W$223,MATCH($W12,其他调用!$T$185:$T$223,1))*求节点($G$34:$G$42,$I$34:$I$42,求节点($Q$62:$Q$70,$O$62:$O$70,$W12)),0)+IFERROR(INDEX(其他调用!$X$185:$X$223,MATCH($W12,其他调用!$T$185:$T$223,1))*求节点($G$34:$G$42,$J$34:$J$42,求节点($R$62:$R$70,$O$62:$O$70,$W12)),0)+IFERROR(INDEX(其他调用!$Y$185:$Y$223,MATCH($W12,其他调用!$T$185:$T$223,1))*求节点($G$34:$G$42,$K$34:$K$42,求节点($S$62:$S$70,$O$62:$O$70,$W12)),0))/6,1)</f>
        <v>0</v>
      </c>
      <c r="AD12" s="8">
        <v>7</v>
      </c>
      <c r="AE12" s="8">
        <f>X12/士兵加成武将!W12</f>
        <v>0</v>
      </c>
      <c r="AF12" s="8">
        <f>Y12/士兵加成武将!X12</f>
        <v>0</v>
      </c>
      <c r="AG12" s="8">
        <f>Z12/士兵加成武将!Y12</f>
        <v>0</v>
      </c>
      <c r="AH12" s="8">
        <f>AA12/士兵加成武将!Z12</f>
        <v>0</v>
      </c>
      <c r="AI12" s="8">
        <f>AB12/士兵加成武将!AA12</f>
        <v>0</v>
      </c>
    </row>
    <row r="13" spans="3:35" x14ac:dyDescent="0.15">
      <c r="C13" s="8">
        <v>7</v>
      </c>
      <c r="D13" s="8">
        <v>14</v>
      </c>
      <c r="G13" s="8">
        <v>7</v>
      </c>
      <c r="H13" s="10">
        <f t="shared" si="0"/>
        <v>4.5010288065843623E-4</v>
      </c>
      <c r="I13" s="10">
        <f t="shared" si="0"/>
        <v>9.7222222222222224E-3</v>
      </c>
      <c r="J13" s="10">
        <f t="shared" si="0"/>
        <v>8.6419753086419748E-2</v>
      </c>
      <c r="K13" s="10">
        <f t="shared" si="0"/>
        <v>0.25925925925925924</v>
      </c>
      <c r="L13" s="10">
        <f t="shared" si="0"/>
        <v>0.77777777777777779</v>
      </c>
      <c r="O13" s="8">
        <v>7</v>
      </c>
      <c r="P13" s="10"/>
      <c r="Q13" s="15">
        <f>IFERROR(求节点(其他调用!AB$5:AB$43,其他调用!$T$5:$T$43,$O13),0)</f>
        <v>18.677907092719359</v>
      </c>
      <c r="R13" s="15">
        <f>IFERROR(求节点(其他调用!AC$5:AC$43,其他调用!$T$5:$T$43,$O13),0)</f>
        <v>77.047515176441507</v>
      </c>
      <c r="S13" s="15">
        <f>IFERROR(求节点(其他调用!AD$5:AD$43,其他调用!$T$5:$T$43,$O13),0)</f>
        <v>96.92367764887733</v>
      </c>
      <c r="T13" s="10"/>
      <c r="W13" s="8">
        <v>8</v>
      </c>
      <c r="X13" s="8">
        <f>MIN((IFERROR(INDEX(其他调用!$W$5:$W$43,MATCH($W13,其他调用!$T$5:$T$43,1))*求节点($G$34:$G$42,$I$34:$I$42,求节点($Q$6:$Q$14,$O$6:$O$14,$W13)),0)+IFERROR(INDEX(其他调用!$X$5:$X$43,MATCH($W13,其他调用!$T$5:$T$43,1))*求节点($G$34:$G$42,$J$34:$J$42,求节点($R$6:$R$14,$O$6:$O$14,$W13)),0)+IFERROR(INDEX(其他调用!$Y$5:$Y$43,MATCH($W13,其他调用!$T$5:$T$43,1))*求节点($G$34:$G$42,$K$34:$K$42,求节点($S$6:$S$14,$O$6:$O$14,$W13)),0))/6,1)</f>
        <v>0</v>
      </c>
      <c r="Y13" s="8">
        <f>MIN((IFERROR(INDEX(其他调用!$W$50:$W$88,MATCH($W13,其他调用!$T$50:$T$88,1))*求节点($G$34:$G$42,$I$34:$I$42,求节点($Q$20:$Q$28,$O$20:$O$28,$W13)),0)+IFERROR(INDEX(其他调用!$X$50:$X$88,MATCH($W13,其他调用!$T$50:$T$88,1))*求节点($G$34:$G$42,$J$34:$J$42,求节点($R$20:$R$28,$O$20:$O$28,$W13)),0)+IFERROR(INDEX(其他调用!$Y$50:$Y$88,MATCH($W13,其他调用!$T$50:$T$88,1))*求节点($G$34:$G$42,$K$34:$K$42,求节点($S$20:$S$28,$O$20:$O$28,$W13)),0))/6,1)</f>
        <v>0</v>
      </c>
      <c r="Z13" s="8">
        <f>MIN((IFERROR(INDEX(其他调用!$W$95:$W$133,MATCH($W13,其他调用!$T$95:$T$133,1))*求节点($G$34:$G$42,$I$34:$I$42,求节点($Q$34:$Q$42,$O$34:$O$42,$W13)),0)+IFERROR(INDEX(其他调用!$X$95:$X$133,MATCH($W13,其他调用!$T$95:$T$133,1))*求节点($G$34:$G$42,$J$34:$J$42,求节点($R$34:$R$42,$O$34:$O$42,$W13)),0)+IFERROR(INDEX(其他调用!$Y$95:$Y$133,MATCH($W13,其他调用!$T$95:$T$133,1))*求节点($G$34:$G$42,$K$34:$K$42,求节点($S$34:$S$42,$O$34:$O$42,$W13)),0))/6,1)</f>
        <v>0</v>
      </c>
      <c r="AA13" s="8">
        <f>MIN((IFERROR(INDEX(其他调用!$W$140:$W$178,MATCH($W13,其他调用!$T$140:$T$178,1))*求节点($G$34:$G$42,$I$34:$I$42,求节点($Q$48:$Q$56,$O$48:$O$56,$W13)),0)+IFERROR(INDEX(其他调用!$X$140:$X$178,MATCH($W13,其他调用!$T$140:$T$178,1))*求节点($G$34:$G$42,$J$34:$J$42,求节点($R$48:$R$56,$O$48:$O$56,$W13)),0)+IFERROR(INDEX(其他调用!$Y$140:$Y$178,MATCH($W13,其他调用!$T$140:$T$178,1))*求节点($G$34:$G$42,$K$34:$K$42,求节点($S$48:$S$56,$O$48:$O$56,$W13)),0))/6,1)</f>
        <v>0</v>
      </c>
      <c r="AB13" s="8">
        <f>MIN((IFERROR(INDEX(其他调用!$W$185:$W$223,MATCH($W13,其他调用!$T$185:$T$223,1))*求节点($G$34:$G$42,$I$34:$I$42,求节点($Q$62:$Q$70,$O$62:$O$70,$W13)),0)+IFERROR(INDEX(其他调用!$X$185:$X$223,MATCH($W13,其他调用!$T$185:$T$223,1))*求节点($G$34:$G$42,$J$34:$J$42,求节点($R$62:$R$70,$O$62:$O$70,$W13)),0)+IFERROR(INDEX(其他调用!$Y$185:$Y$223,MATCH($W13,其他调用!$T$185:$T$223,1))*求节点($G$34:$G$42,$K$34:$K$42,求节点($S$62:$S$70,$O$62:$O$70,$W13)),0))/6,1)</f>
        <v>0</v>
      </c>
      <c r="AD13" s="8">
        <v>8</v>
      </c>
      <c r="AE13" s="8">
        <f>X13/士兵加成武将!W13</f>
        <v>0</v>
      </c>
      <c r="AF13" s="8">
        <f>Y13/士兵加成武将!X13</f>
        <v>0</v>
      </c>
      <c r="AG13" s="8">
        <f>Z13/士兵加成武将!Y13</f>
        <v>0</v>
      </c>
      <c r="AH13" s="8">
        <f>AA13/士兵加成武将!Z13</f>
        <v>0</v>
      </c>
      <c r="AI13" s="8">
        <f>AB13/士兵加成武将!AA13</f>
        <v>0</v>
      </c>
    </row>
    <row r="14" spans="3:35" x14ac:dyDescent="0.15">
      <c r="C14" s="8">
        <v>8</v>
      </c>
      <c r="D14" s="8">
        <v>18</v>
      </c>
      <c r="G14" s="8">
        <v>8</v>
      </c>
      <c r="H14" s="10">
        <f t="shared" si="0"/>
        <v>5.7870370370370367E-4</v>
      </c>
      <c r="I14" s="10">
        <f t="shared" si="0"/>
        <v>1.2500000000000001E-2</v>
      </c>
      <c r="J14" s="10">
        <f t="shared" si="0"/>
        <v>0.1111111111111111</v>
      </c>
      <c r="K14" s="10">
        <f t="shared" si="0"/>
        <v>0.33333333333333331</v>
      </c>
      <c r="L14" s="10">
        <f t="shared" si="0"/>
        <v>1</v>
      </c>
      <c r="O14" s="8">
        <v>8</v>
      </c>
      <c r="P14" s="10"/>
      <c r="Q14" s="15">
        <f>INDEX(其他调用!$T$5:$T$43,MATCH($O14,其他调用!AB$5:AB$43,0))</f>
        <v>20</v>
      </c>
      <c r="R14" s="15">
        <f>INDEX(其他调用!$T$5:$T$43,MATCH($O14,其他调用!AC$5:AC$43,0))</f>
        <v>77.875308029777003</v>
      </c>
      <c r="S14" s="15">
        <f>INDEX(其他调用!$T$5:$T$43,MATCH($O14,其他调用!AD$5:AD$43,0))</f>
        <v>107.48165553683219</v>
      </c>
      <c r="T14" s="10"/>
      <c r="W14" s="8">
        <v>9</v>
      </c>
      <c r="X14" s="8">
        <f>MIN((IFERROR(INDEX(其他调用!$W$5:$W$43,MATCH($W14,其他调用!$T$5:$T$43,1))*求节点($G$34:$G$42,$I$34:$I$42,求节点($Q$6:$Q$14,$O$6:$O$14,$W14)),0)+IFERROR(INDEX(其他调用!$X$5:$X$43,MATCH($W14,其他调用!$T$5:$T$43,1))*求节点($G$34:$G$42,$J$34:$J$42,求节点($R$6:$R$14,$O$6:$O$14,$W14)),0)+IFERROR(INDEX(其他调用!$Y$5:$Y$43,MATCH($W14,其他调用!$T$5:$T$43,1))*求节点($G$34:$G$42,$K$34:$K$42,求节点($S$6:$S$14,$O$6:$O$14,$W14)),0))/6,1)</f>
        <v>0</v>
      </c>
      <c r="Y14" s="8">
        <f>MIN((IFERROR(INDEX(其他调用!$W$50:$W$88,MATCH($W14,其他调用!$T$50:$T$88,1))*求节点($G$34:$G$42,$I$34:$I$42,求节点($Q$20:$Q$28,$O$20:$O$28,$W14)),0)+IFERROR(INDEX(其他调用!$X$50:$X$88,MATCH($W14,其他调用!$T$50:$T$88,1))*求节点($G$34:$G$42,$J$34:$J$42,求节点($R$20:$R$28,$O$20:$O$28,$W14)),0)+IFERROR(INDEX(其他调用!$Y$50:$Y$88,MATCH($W14,其他调用!$T$50:$T$88,1))*求节点($G$34:$G$42,$K$34:$K$42,求节点($S$20:$S$28,$O$20:$O$28,$W14)),0))/6,1)</f>
        <v>0</v>
      </c>
      <c r="Z14" s="8">
        <f>MIN((IFERROR(INDEX(其他调用!$W$95:$W$133,MATCH($W14,其他调用!$T$95:$T$133,1))*求节点($G$34:$G$42,$I$34:$I$42,求节点($Q$34:$Q$42,$O$34:$O$42,$W14)),0)+IFERROR(INDEX(其他调用!$X$95:$X$133,MATCH($W14,其他调用!$T$95:$T$133,1))*求节点($G$34:$G$42,$J$34:$J$42,求节点($R$34:$R$42,$O$34:$O$42,$W14)),0)+IFERROR(INDEX(其他调用!$Y$95:$Y$133,MATCH($W14,其他调用!$T$95:$T$133,1))*求节点($G$34:$G$42,$K$34:$K$42,求节点($S$34:$S$42,$O$34:$O$42,$W14)),0))/6,1)</f>
        <v>0</v>
      </c>
      <c r="AA14" s="8">
        <f>MIN((IFERROR(INDEX(其他调用!$W$140:$W$178,MATCH($W14,其他调用!$T$140:$T$178,1))*求节点($G$34:$G$42,$I$34:$I$42,求节点($Q$48:$Q$56,$O$48:$O$56,$W14)),0)+IFERROR(INDEX(其他调用!$X$140:$X$178,MATCH($W14,其他调用!$T$140:$T$178,1))*求节点($G$34:$G$42,$J$34:$J$42,求节点($R$48:$R$56,$O$48:$O$56,$W14)),0)+IFERROR(INDEX(其他调用!$Y$140:$Y$178,MATCH($W14,其他调用!$T$140:$T$178,1))*求节点($G$34:$G$42,$K$34:$K$42,求节点($S$48:$S$56,$O$48:$O$56,$W14)),0))/6,1)</f>
        <v>0</v>
      </c>
      <c r="AB14" s="8">
        <f>MIN((IFERROR(INDEX(其他调用!$W$185:$W$223,MATCH($W14,其他调用!$T$185:$T$223,1))*求节点($G$34:$G$42,$I$34:$I$42,求节点($Q$62:$Q$70,$O$62:$O$70,$W14)),0)+IFERROR(INDEX(其他调用!$X$185:$X$223,MATCH($W14,其他调用!$T$185:$T$223,1))*求节点($G$34:$G$42,$J$34:$J$42,求节点($R$62:$R$70,$O$62:$O$70,$W14)),0)+IFERROR(INDEX(其他调用!$Y$185:$Y$223,MATCH($W14,其他调用!$T$185:$T$223,1))*求节点($G$34:$G$42,$K$34:$K$42,求节点($S$62:$S$70,$O$62:$O$70,$W14)),0))/6,1)</f>
        <v>0</v>
      </c>
      <c r="AD14" s="8">
        <v>9</v>
      </c>
      <c r="AE14" s="8">
        <f>X14/士兵加成武将!W14</f>
        <v>0</v>
      </c>
      <c r="AF14" s="8">
        <f>Y14/士兵加成武将!X14</f>
        <v>0</v>
      </c>
      <c r="AG14" s="8">
        <f>Z14/士兵加成武将!Y14</f>
        <v>0</v>
      </c>
      <c r="AH14" s="8">
        <f>AA14/士兵加成武将!Z14</f>
        <v>0</v>
      </c>
      <c r="AI14" s="8">
        <f>AB14/士兵加成武将!AA14</f>
        <v>0</v>
      </c>
    </row>
    <row r="15" spans="3:35" x14ac:dyDescent="0.15">
      <c r="W15" s="8">
        <v>10</v>
      </c>
      <c r="X15" s="8">
        <f>MIN((IFERROR(INDEX(其他调用!$W$5:$W$43,MATCH($W15,其他调用!$T$5:$T$43,1))*求节点($G$34:$G$42,$I$34:$I$42,求节点($Q$6:$Q$14,$O$6:$O$14,$W15)),0)+IFERROR(INDEX(其他调用!$X$5:$X$43,MATCH($W15,其他调用!$T$5:$T$43,1))*求节点($G$34:$G$42,$J$34:$J$42,求节点($R$6:$R$14,$O$6:$O$14,$W15)),0)+IFERROR(INDEX(其他调用!$Y$5:$Y$43,MATCH($W15,其他调用!$T$5:$T$43,1))*求节点($G$34:$G$42,$K$34:$K$42,求节点($S$6:$S$14,$O$6:$O$14,$W15)),0))/6,1)</f>
        <v>3.2870900948856883E-2</v>
      </c>
      <c r="Y15" s="8">
        <f>MIN((IFERROR(INDEX(其他调用!$W$50:$W$88,MATCH($W15,其他调用!$T$50:$T$88,1))*求节点($G$34:$G$42,$I$34:$I$42,求节点($Q$20:$Q$28,$O$20:$O$28,$W15)),0)+IFERROR(INDEX(其他调用!$X$50:$X$88,MATCH($W15,其他调用!$T$50:$T$88,1))*求节点($G$34:$G$42,$J$34:$J$42,求节点($R$20:$R$28,$O$20:$O$28,$W15)),0)+IFERROR(INDEX(其他调用!$Y$50:$Y$88,MATCH($W15,其他调用!$T$50:$T$88,1))*求节点($G$34:$G$42,$K$34:$K$42,求节点($S$20:$S$28,$O$20:$O$28,$W15)),0))/6,1)</f>
        <v>3.3023467608132788E-2</v>
      </c>
      <c r="Z15" s="8">
        <f>MIN((IFERROR(INDEX(其他调用!$W$95:$W$133,MATCH($W15,其他调用!$T$95:$T$133,1))*求节点($G$34:$G$42,$I$34:$I$42,求节点($Q$34:$Q$42,$O$34:$O$42,$W15)),0)+IFERROR(INDEX(其他调用!$X$95:$X$133,MATCH($W15,其他调用!$T$95:$T$133,1))*求节点($G$34:$G$42,$J$34:$J$42,求节点($R$34:$R$42,$O$34:$O$42,$W15)),0)+IFERROR(INDEX(其他调用!$Y$95:$Y$133,MATCH($W15,其他调用!$T$95:$T$133,1))*求节点($G$34:$G$42,$K$34:$K$42,求节点($S$34:$S$42,$O$34:$O$42,$W15)),0))/6,1)</f>
        <v>0</v>
      </c>
      <c r="AA15" s="8">
        <f>MIN((IFERROR(INDEX(其他调用!$W$140:$W$178,MATCH($W15,其他调用!$T$140:$T$178,1))*求节点($G$34:$G$42,$I$34:$I$42,求节点($Q$48:$Q$56,$O$48:$O$56,$W15)),0)+IFERROR(INDEX(其他调用!$X$140:$X$178,MATCH($W15,其他调用!$T$140:$T$178,1))*求节点($G$34:$G$42,$J$34:$J$42,求节点($R$48:$R$56,$O$48:$O$56,$W15)),0)+IFERROR(INDEX(其他调用!$Y$140:$Y$178,MATCH($W15,其他调用!$T$140:$T$178,1))*求节点($G$34:$G$42,$K$34:$K$42,求节点($S$48:$S$56,$O$48:$O$56,$W15)),0))/6,1)</f>
        <v>0</v>
      </c>
      <c r="AB15" s="8">
        <f>MIN((IFERROR(INDEX(其他调用!$W$185:$W$223,MATCH($W15,其他调用!$T$185:$T$223,1))*求节点($G$34:$G$42,$I$34:$I$42,求节点($Q$62:$Q$70,$O$62:$O$70,$W15)),0)+IFERROR(INDEX(其他调用!$X$185:$X$223,MATCH($W15,其他调用!$T$185:$T$223,1))*求节点($G$34:$G$42,$J$34:$J$42,求节点($R$62:$R$70,$O$62:$O$70,$W15)),0)+IFERROR(INDEX(其他调用!$Y$185:$Y$223,MATCH($W15,其他调用!$T$185:$T$223,1))*求节点($G$34:$G$42,$K$34:$K$42,求节点($S$62:$S$70,$O$62:$O$70,$W15)),0))/6,1)</f>
        <v>0</v>
      </c>
      <c r="AD15" s="8">
        <v>10</v>
      </c>
      <c r="AE15" s="8">
        <f>X15/士兵加成武将!W15</f>
        <v>0.31345729485687979</v>
      </c>
      <c r="AF15" s="8">
        <f>Y15/士兵加成武将!X15</f>
        <v>0.30747514497362655</v>
      </c>
      <c r="AG15" s="8">
        <f>Z15/士兵加成武将!Y15</f>
        <v>0</v>
      </c>
      <c r="AH15" s="8">
        <f>AA15/士兵加成武将!Z15</f>
        <v>0</v>
      </c>
      <c r="AI15" s="8">
        <f>AB15/士兵加成武将!AA15</f>
        <v>0</v>
      </c>
    </row>
    <row r="16" spans="3:35" x14ac:dyDescent="0.15">
      <c r="W16" s="8">
        <v>11</v>
      </c>
      <c r="X16" s="8">
        <f>MIN((IFERROR(INDEX(其他调用!$W$5:$W$43,MATCH($W16,其他调用!$T$5:$T$43,1))*求节点($G$34:$G$42,$I$34:$I$42,求节点($Q$6:$Q$14,$O$6:$O$14,$W16)),0)+IFERROR(INDEX(其他调用!$X$5:$X$43,MATCH($W16,其他调用!$T$5:$T$43,1))*求节点($G$34:$G$42,$J$34:$J$42,求节点($R$6:$R$14,$O$6:$O$14,$W16)),0)+IFERROR(INDEX(其他调用!$Y$5:$Y$43,MATCH($W16,其他调用!$T$5:$T$43,1))*求节点($G$34:$G$42,$K$34:$K$42,求节点($S$6:$S$14,$O$6:$O$14,$W16)),0))/6,1)</f>
        <v>3.4617410267020109E-2</v>
      </c>
      <c r="Y16" s="8">
        <f>MIN((IFERROR(INDEX(其他调用!$W$50:$W$88,MATCH($W16,其他调用!$T$50:$T$88,1))*求节点($G$34:$G$42,$I$34:$I$42,求节点($Q$20:$Q$28,$O$20:$O$28,$W16)),0)+IFERROR(INDEX(其他调用!$X$50:$X$88,MATCH($W16,其他调用!$T$50:$T$88,1))*求节点($G$34:$G$42,$J$34:$J$42,求节点($R$20:$R$28,$O$20:$O$28,$W16)),0)+IFERROR(INDEX(其他调用!$Y$50:$Y$88,MATCH($W16,其他调用!$T$50:$T$88,1))*求节点($G$34:$G$42,$K$34:$K$42,求节点($S$20:$S$28,$O$20:$O$28,$W16)),0))/6,1)</f>
        <v>3.591096010874785E-2</v>
      </c>
      <c r="Z16" s="8">
        <f>MIN((IFERROR(INDEX(其他调用!$W$95:$W$133,MATCH($W16,其他调用!$T$95:$T$133,1))*求节点($G$34:$G$42,$I$34:$I$42,求节点($Q$34:$Q$42,$O$34:$O$42,$W16)),0)+IFERROR(INDEX(其他调用!$X$95:$X$133,MATCH($W16,其他调用!$T$95:$T$133,1))*求节点($G$34:$G$42,$J$34:$J$42,求节点($R$34:$R$42,$O$34:$O$42,$W16)),0)+IFERROR(INDEX(其他调用!$Y$95:$Y$133,MATCH($W16,其他调用!$T$95:$T$133,1))*求节点($G$34:$G$42,$K$34:$K$42,求节点($S$34:$S$42,$O$34:$O$42,$W16)),0))/6,1)</f>
        <v>3.9739786192171299E-2</v>
      </c>
      <c r="AA16" s="8">
        <f>MIN((IFERROR(INDEX(其他调用!$W$140:$W$178,MATCH($W16,其他调用!$T$140:$T$178,1))*求节点($G$34:$G$42,$I$34:$I$42,求节点($Q$48:$Q$56,$O$48:$O$56,$W16)),0)+IFERROR(INDEX(其他调用!$X$140:$X$178,MATCH($W16,其他调用!$T$140:$T$178,1))*求节点($G$34:$G$42,$J$34:$J$42,求节点($R$48:$R$56,$O$48:$O$56,$W16)),0)+IFERROR(INDEX(其他调用!$Y$140:$Y$178,MATCH($W16,其他调用!$T$140:$T$178,1))*求节点($G$34:$G$42,$K$34:$K$42,求节点($S$48:$S$56,$O$48:$O$56,$W16)),0))/6,1)</f>
        <v>0.16250891785080804</v>
      </c>
      <c r="AB16" s="8">
        <f>MIN((IFERROR(INDEX(其他调用!$W$185:$W$223,MATCH($W16,其他调用!$T$185:$T$223,1))*求节点($G$34:$G$42,$I$34:$I$42,求节点($Q$62:$Q$70,$O$62:$O$70,$W16)),0)+IFERROR(INDEX(其他调用!$X$185:$X$223,MATCH($W16,其他调用!$T$185:$T$223,1))*求节点($G$34:$G$42,$J$34:$J$42,求节点($R$62:$R$70,$O$62:$O$70,$W16)),0)+IFERROR(INDEX(其他调用!$Y$185:$Y$223,MATCH($W16,其他调用!$T$185:$T$223,1))*求节点($G$34:$G$42,$K$34:$K$42,求节点($S$62:$S$70,$O$62:$O$70,$W16)),0))/6,1)</f>
        <v>0.16295757221396426</v>
      </c>
      <c r="AD16" s="8">
        <v>11</v>
      </c>
      <c r="AE16" s="8">
        <f>X16/士兵加成武将!W16</f>
        <v>0.31369929905480587</v>
      </c>
      <c r="AF16" s="8">
        <f>Y16/士兵加成武将!X16</f>
        <v>0.31739647123999359</v>
      </c>
      <c r="AG16" s="8">
        <f>Z16/士兵加成武将!Y16</f>
        <v>0.3412581761152228</v>
      </c>
      <c r="AH16" s="8">
        <f>AA16/士兵加成武将!Z16</f>
        <v>1.3479535202296702</v>
      </c>
      <c r="AI16" s="8">
        <f>AB16/士兵加成武将!AA16</f>
        <v>1.3039283023274995</v>
      </c>
    </row>
    <row r="17" spans="3:35" x14ac:dyDescent="0.15">
      <c r="W17" s="8">
        <v>12</v>
      </c>
      <c r="X17" s="8">
        <f>MIN((IFERROR(INDEX(其他调用!$W$5:$W$43,MATCH($W17,其他调用!$T$5:$T$43,1))*求节点($G$34:$G$42,$I$34:$I$42,求节点($Q$6:$Q$14,$O$6:$O$14,$W17)),0)+IFERROR(INDEX(其他调用!$X$5:$X$43,MATCH($W17,其他调用!$T$5:$T$43,1))*求节点($G$34:$G$42,$J$34:$J$42,求节点($R$6:$R$14,$O$6:$O$14,$W17)),0)+IFERROR(INDEX(其他调用!$Y$5:$Y$43,MATCH($W17,其他调用!$T$5:$T$43,1))*求节点($G$34:$G$42,$K$34:$K$42,求节点($S$6:$S$14,$O$6:$O$14,$W17)),0))/6,1)</f>
        <v>3.9659920237351202E-2</v>
      </c>
      <c r="Y17" s="8">
        <f>MIN((IFERROR(INDEX(其他调用!$W$50:$W$88,MATCH($W17,其他调用!$T$50:$T$88,1))*求节点($G$34:$G$42,$I$34:$I$42,求节点($Q$20:$Q$28,$O$20:$O$28,$W17)),0)+IFERROR(INDEX(其他调用!$X$50:$X$88,MATCH($W17,其他调用!$T$50:$T$88,1))*求节点($G$34:$G$42,$J$34:$J$42,求节点($R$20:$R$28,$O$20:$O$28,$W17)),0)+IFERROR(INDEX(其他调用!$Y$50:$Y$88,MATCH($W17,其他调用!$T$50:$T$88,1))*求节点($G$34:$G$42,$K$34:$K$42,求节点($S$20:$S$28,$O$20:$O$28,$W17)),0))/6,1)</f>
        <v>4.0940038588529605E-2</v>
      </c>
      <c r="Z17" s="8">
        <f>MIN((IFERROR(INDEX(其他调用!$W$95:$W$133,MATCH($W17,其他调用!$T$95:$T$133,1))*求节点($G$34:$G$42,$I$34:$I$42,求节点($Q$34:$Q$42,$O$34:$O$42,$W17)),0)+IFERROR(INDEX(其他调用!$X$95:$X$133,MATCH($W17,其他调用!$T$95:$T$133,1))*求节点($G$34:$G$42,$J$34:$J$42,求节点($R$34:$R$42,$O$34:$O$42,$W17)),0)+IFERROR(INDEX(其他调用!$Y$95:$Y$133,MATCH($W17,其他调用!$T$95:$T$133,1))*求节点($G$34:$G$42,$K$34:$K$42,求节点($S$34:$S$42,$O$34:$O$42,$W17)),0))/6,1)</f>
        <v>4.2649017576057012E-2</v>
      </c>
      <c r="AA17" s="8">
        <f>MIN((IFERROR(INDEX(其他调用!$W$140:$W$178,MATCH($W17,其他调用!$T$140:$T$178,1))*求节点($G$34:$G$42,$I$34:$I$42,求节点($Q$48:$Q$56,$O$48:$O$56,$W17)),0)+IFERROR(INDEX(其他调用!$X$140:$X$178,MATCH($W17,其他调用!$T$140:$T$178,1))*求节点($G$34:$G$42,$J$34:$J$42,求节点($R$48:$R$56,$O$48:$O$56,$W17)),0)+IFERROR(INDEX(其他调用!$Y$140:$Y$178,MATCH($W17,其他调用!$T$140:$T$178,1))*求节点($G$34:$G$42,$K$34:$K$42,求节点($S$48:$S$56,$O$48:$O$56,$W17)),0))/6,1)</f>
        <v>0.16502445764505669</v>
      </c>
      <c r="AB17" s="8">
        <f>MIN((IFERROR(INDEX(其他调用!$W$185:$W$223,MATCH($W17,其他调用!$T$185:$T$223,1))*求节点($G$34:$G$42,$I$34:$I$42,求节点($Q$62:$Q$70,$O$62:$O$70,$W17)),0)+IFERROR(INDEX(其他调用!$X$185:$X$223,MATCH($W17,其他调用!$T$185:$T$223,1))*求节点($G$34:$G$42,$J$34:$J$42,求节点($R$62:$R$70,$O$62:$O$70,$W17)),0)+IFERROR(INDEX(其他调用!$Y$185:$Y$223,MATCH($W17,其他调用!$T$185:$T$223,1))*求节点($G$34:$G$42,$K$34:$K$42,求节点($S$62:$S$70,$O$62:$O$70,$W17)),0))/6,1)</f>
        <v>0.16603988581319057</v>
      </c>
      <c r="AD17" s="8">
        <v>12</v>
      </c>
      <c r="AE17" s="8">
        <f>X17/士兵加成武将!W17</f>
        <v>0.34237172464700144</v>
      </c>
      <c r="AF17" s="8">
        <f>Y17/士兵加成武将!X17</f>
        <v>0.34437401080845098</v>
      </c>
      <c r="AG17" s="8">
        <f>Z17/士兵加成武将!Y17</f>
        <v>0.34817861677604123</v>
      </c>
      <c r="AH17" s="8">
        <f>AA17/士兵加成武将!Z17</f>
        <v>1.2996686397778401</v>
      </c>
      <c r="AI17" s="8">
        <f>AB17/士兵加成武将!AA17</f>
        <v>1.2598805275385356</v>
      </c>
    </row>
    <row r="18" spans="3:35" x14ac:dyDescent="0.15">
      <c r="C18" s="8" t="s">
        <v>32</v>
      </c>
      <c r="D18" s="8" t="s">
        <v>41</v>
      </c>
      <c r="H18" s="19" t="s">
        <v>42</v>
      </c>
      <c r="I18" s="19"/>
      <c r="J18" s="19"/>
      <c r="K18" s="19"/>
      <c r="L18" s="19"/>
      <c r="P18" s="19" t="s">
        <v>53</v>
      </c>
      <c r="Q18" s="19"/>
      <c r="R18" s="19"/>
      <c r="S18" s="19"/>
      <c r="T18" s="19"/>
      <c r="W18" s="8">
        <v>13</v>
      </c>
      <c r="X18" s="8">
        <f>MIN((IFERROR(INDEX(其他调用!$W$5:$W$43,MATCH($W18,其他调用!$T$5:$T$43,1))*求节点($G$34:$G$42,$I$34:$I$42,求节点($Q$6:$Q$14,$O$6:$O$14,$W18)),0)+IFERROR(INDEX(其他调用!$X$5:$X$43,MATCH($W18,其他调用!$T$5:$T$43,1))*求节点($G$34:$G$42,$J$34:$J$42,求节点($R$6:$R$14,$O$6:$O$14,$W18)),0)+IFERROR(INDEX(其他调用!$Y$5:$Y$43,MATCH($W18,其他调用!$T$5:$T$43,1))*求节点($G$34:$G$42,$K$34:$K$42,求节点($S$6:$S$14,$O$6:$O$14,$W18)),0))/6,1)</f>
        <v>4.470243020768231E-2</v>
      </c>
      <c r="Y18" s="8">
        <f>MIN((IFERROR(INDEX(其他调用!$W$50:$W$88,MATCH($W18,其他调用!$T$50:$T$88,1))*求节点($G$34:$G$42,$I$34:$I$42,求节点($Q$20:$Q$28,$O$20:$O$28,$W18)),0)+IFERROR(INDEX(其他调用!$X$50:$X$88,MATCH($W18,其他调用!$T$50:$T$88,1))*求节点($G$34:$G$42,$J$34:$J$42,求节点($R$20:$R$28,$O$20:$O$28,$W18)),0)+IFERROR(INDEX(其他调用!$Y$50:$Y$88,MATCH($W18,其他调用!$T$50:$T$88,1))*求节点($G$34:$G$42,$K$34:$K$42,求节点($S$20:$S$28,$O$20:$O$28,$W18)),0))/6,1)</f>
        <v>4.5969117068311381E-2</v>
      </c>
      <c r="Z18" s="8">
        <f>MIN((IFERROR(INDEX(其他调用!$W$95:$W$133,MATCH($W18,其他调用!$T$95:$T$133,1))*求节点($G$34:$G$42,$I$34:$I$42,求节点($Q$34:$Q$42,$O$34:$O$42,$W18)),0)+IFERROR(INDEX(其他调用!$X$95:$X$133,MATCH($W18,其他调用!$T$95:$T$133,1))*求节点($G$34:$G$42,$J$34:$J$42,求节点($R$34:$R$42,$O$34:$O$42,$W18)),0)+IFERROR(INDEX(其他调用!$Y$95:$Y$133,MATCH($W18,其他调用!$T$95:$T$133,1))*求节点($G$34:$G$42,$K$34:$K$42,求节点($S$34:$S$42,$O$34:$O$42,$W18)),0))/6,1)</f>
        <v>4.7437483354504345E-2</v>
      </c>
      <c r="AA18" s="8">
        <f>MIN((IFERROR(INDEX(其他调用!$W$140:$W$178,MATCH($W18,其他调用!$T$140:$T$178,1))*求节点($G$34:$G$42,$I$34:$I$42,求节点($Q$48:$Q$56,$O$48:$O$56,$W18)),0)+IFERROR(INDEX(其他调用!$X$140:$X$178,MATCH($W18,其他调用!$T$140:$T$178,1))*求节点($G$34:$G$42,$J$34:$J$42,求节点($R$48:$R$56,$O$48:$O$56,$W18)),0)+IFERROR(INDEX(其他调用!$Y$140:$Y$178,MATCH($W18,其他调用!$T$140:$T$178,1))*求节点($G$34:$G$42,$K$34:$K$42,求节点($S$48:$S$56,$O$48:$O$56,$W18)),0))/6,1)</f>
        <v>0.16753999743930534</v>
      </c>
      <c r="AB18" s="8">
        <f>MIN((IFERROR(INDEX(其他调用!$W$185:$W$223,MATCH($W18,其他调用!$T$185:$T$223,1))*求节点($G$34:$G$42,$I$34:$I$42,求节点($Q$62:$Q$70,$O$62:$O$70,$W18)),0)+IFERROR(INDEX(其他调用!$X$185:$X$223,MATCH($W18,其他调用!$T$185:$T$223,1))*求节点($G$34:$G$42,$J$34:$J$42,求节点($R$62:$R$70,$O$62:$O$70,$W18)),0)+IFERROR(INDEX(其他调用!$Y$185:$Y$223,MATCH($W18,其他调用!$T$185:$T$223,1))*求节点($G$34:$G$42,$K$34:$K$42,求节点($S$62:$S$70,$O$62:$O$70,$W18)),0))/6,1)</f>
        <v>0.16912219941241688</v>
      </c>
      <c r="AD18" s="8">
        <v>13</v>
      </c>
      <c r="AE18" s="8">
        <f>X18/士兵加成武将!W18</f>
        <v>0.36845090611380682</v>
      </c>
      <c r="AF18" s="8">
        <f>Y18/士兵加成武将!X18</f>
        <v>0.36886634223033626</v>
      </c>
      <c r="AG18" s="8">
        <f>Z18/士兵加成武将!Y18</f>
        <v>0.36906920719043812</v>
      </c>
      <c r="AH18" s="8">
        <f>AA18/士兵加成武将!Z18</f>
        <v>1.2560276941583088</v>
      </c>
      <c r="AI18" s="8">
        <f>AB18/士兵加成武将!AA18</f>
        <v>1.2201647859305615</v>
      </c>
    </row>
    <row r="19" spans="3:35" x14ac:dyDescent="0.15">
      <c r="C19" s="8">
        <v>100</v>
      </c>
      <c r="D19" s="8">
        <v>25</v>
      </c>
      <c r="G19" s="8" t="s">
        <v>33</v>
      </c>
      <c r="H19" s="8">
        <v>100</v>
      </c>
      <c r="I19" s="8">
        <v>110</v>
      </c>
      <c r="J19" s="8">
        <v>120</v>
      </c>
      <c r="K19" s="8">
        <v>130</v>
      </c>
      <c r="L19" s="8">
        <v>140</v>
      </c>
      <c r="O19" s="8" t="s">
        <v>33</v>
      </c>
      <c r="P19" s="8">
        <v>100</v>
      </c>
      <c r="Q19" s="8">
        <v>110</v>
      </c>
      <c r="R19" s="8">
        <v>120</v>
      </c>
      <c r="S19" s="8">
        <v>130</v>
      </c>
      <c r="T19" s="8">
        <v>140</v>
      </c>
      <c r="W19" s="8">
        <v>14</v>
      </c>
      <c r="X19" s="8">
        <f>MIN((IFERROR(INDEX(其他调用!$W$5:$W$43,MATCH($W19,其他调用!$T$5:$T$43,1))*求节点($G$34:$G$42,$I$34:$I$42,求节点($Q$6:$Q$14,$O$6:$O$14,$W19)),0)+IFERROR(INDEX(其他调用!$X$5:$X$43,MATCH($W19,其他调用!$T$5:$T$43,1))*求节点($G$34:$G$42,$J$34:$J$42,求节点($R$6:$R$14,$O$6:$O$14,$W19)),0)+IFERROR(INDEX(其他调用!$Y$5:$Y$43,MATCH($W19,其他调用!$T$5:$T$43,1))*求节点($G$34:$G$42,$K$34:$K$42,求节点($S$6:$S$14,$O$6:$O$14,$W19)),0))/6,1)</f>
        <v>4.9744940178013404E-2</v>
      </c>
      <c r="Y19" s="8">
        <f>MIN((IFERROR(INDEX(其他调用!$W$50:$W$88,MATCH($W19,其他调用!$T$50:$T$88,1))*求节点($G$34:$G$42,$I$34:$I$42,求节点($Q$20:$Q$28,$O$20:$O$28,$W19)),0)+IFERROR(INDEX(其他调用!$X$50:$X$88,MATCH($W19,其他调用!$T$50:$T$88,1))*求节点($G$34:$G$42,$J$34:$J$42,求节点($R$20:$R$28,$O$20:$O$28,$W19)),0)+IFERROR(INDEX(其他调用!$Y$50:$Y$88,MATCH($W19,其他调用!$T$50:$T$88,1))*求节点($G$34:$G$42,$K$34:$K$42,求节点($S$20:$S$28,$O$20:$O$28,$W19)),0))/6,1)</f>
        <v>5.099819554809313E-2</v>
      </c>
      <c r="Z19" s="8">
        <f>MIN((IFERROR(INDEX(其他调用!$W$95:$W$133,MATCH($W19,其他调用!$T$95:$T$133,1))*求节点($G$34:$G$42,$I$34:$I$42,求节点($Q$34:$Q$42,$O$34:$O$42,$W19)),0)+IFERROR(INDEX(其他调用!$X$95:$X$133,MATCH($W19,其他调用!$T$95:$T$133,1))*求节点($G$34:$G$42,$J$34:$J$42,求节点($R$34:$R$42,$O$34:$O$42,$W19)),0)+IFERROR(INDEX(其他调用!$Y$95:$Y$133,MATCH($W19,其他调用!$T$95:$T$133,1))*求节点($G$34:$G$42,$K$34:$K$42,求节点($S$34:$S$42,$O$34:$O$42,$W19)),0))/6,1)</f>
        <v>5.2225949132951678E-2</v>
      </c>
      <c r="AA19" s="8">
        <f>MIN((IFERROR(INDEX(其他调用!$W$140:$W$178,MATCH($W19,其他调用!$T$140:$T$178,1))*求节点($G$34:$G$42,$I$34:$I$42,求节点($Q$48:$Q$56,$O$48:$O$56,$W19)),0)+IFERROR(INDEX(其他调用!$X$140:$X$178,MATCH($W19,其他调用!$T$140:$T$178,1))*求节点($G$34:$G$42,$J$34:$J$42,求节点($R$48:$R$56,$O$48:$O$56,$W19)),0)+IFERROR(INDEX(其他调用!$Y$140:$Y$178,MATCH($W19,其他调用!$T$140:$T$178,1))*求节点($G$34:$G$42,$K$34:$K$42,求节点($S$48:$S$56,$O$48:$O$56,$W19)),0))/6,1)</f>
        <v>0.17005553723355402</v>
      </c>
      <c r="AB19" s="8">
        <f>MIN((IFERROR(INDEX(其他调用!$W$185:$W$223,MATCH($W19,其他调用!$T$185:$T$223,1))*求节点($G$34:$G$42,$I$34:$I$42,求节点($Q$62:$Q$70,$O$62:$O$70,$W19)),0)+IFERROR(INDEX(其他调用!$X$185:$X$223,MATCH($W19,其他调用!$T$185:$T$223,1))*求节点($G$34:$G$42,$J$34:$J$42,求节点($R$62:$R$70,$O$62:$O$70,$W19)),0)+IFERROR(INDEX(其他调用!$Y$185:$Y$223,MATCH($W19,其他调用!$T$185:$T$223,1))*求节点($G$34:$G$42,$K$34:$K$42,求节点($S$62:$S$70,$O$62:$O$70,$W19)),0))/6,1)</f>
        <v>0.17220451301164319</v>
      </c>
      <c r="AD19" s="8">
        <v>14</v>
      </c>
      <c r="AE19" s="8">
        <f>X19/士兵加成武将!W19</f>
        <v>0.39227343648803908</v>
      </c>
      <c r="AF19" s="8">
        <f>Y19/士兵加成武将!X19</f>
        <v>0.39120175544688013</v>
      </c>
      <c r="AG19" s="8">
        <f>Z19/士兵加成武将!Y19</f>
        <v>0.38808425087770926</v>
      </c>
      <c r="AH19" s="8">
        <f>AA19/士兵加成武将!Z19</f>
        <v>1.2163914577039427</v>
      </c>
      <c r="AI19" s="8">
        <f>AB19/士兵加成武将!AA19</f>
        <v>1.1841719570141838</v>
      </c>
    </row>
    <row r="20" spans="3:35" x14ac:dyDescent="0.15">
      <c r="C20" s="8">
        <v>110</v>
      </c>
      <c r="D20" s="8">
        <v>540</v>
      </c>
      <c r="G20" s="8">
        <v>0</v>
      </c>
      <c r="H20" s="10">
        <f>ROUND(H6^(1/3),2)</f>
        <v>0.03</v>
      </c>
      <c r="I20" s="10">
        <f t="shared" ref="I20:L20" si="1">ROUND(I6^(1/3),2)</f>
        <v>0.09</v>
      </c>
      <c r="J20" s="10">
        <f t="shared" si="1"/>
        <v>0.18</v>
      </c>
      <c r="K20" s="10">
        <f t="shared" si="1"/>
        <v>0.26</v>
      </c>
      <c r="L20" s="10">
        <f t="shared" si="1"/>
        <v>0.38</v>
      </c>
      <c r="O20" s="8">
        <v>0</v>
      </c>
      <c r="P20" s="10"/>
      <c r="Q20" s="15">
        <f>IFERROR(求节点(其他调用!AB$50:AB$88,其他调用!$T$50:$T$88,$O20),0)</f>
        <v>0</v>
      </c>
      <c r="R20" s="15">
        <f>IFERROR(求节点(其他调用!AC$50:AC$88,其他调用!$T$50:$T$88,$O20),0)</f>
        <v>19.766822802328868</v>
      </c>
      <c r="S20" s="15">
        <f>IFERROR(求节点(其他调用!AD$50:AD$88,其他调用!$T$50:$T$88,$O20),0)</f>
        <v>53.226994578658328</v>
      </c>
      <c r="T20" s="10"/>
      <c r="W20" s="8">
        <v>15</v>
      </c>
      <c r="X20" s="8">
        <f>MIN((IFERROR(INDEX(其他调用!$W$5:$W$43,MATCH($W20,其他调用!$T$5:$T$43,1))*求节点($G$34:$G$42,$I$34:$I$42,求节点($Q$6:$Q$14,$O$6:$O$14,$W20)),0)+IFERROR(INDEX(其他调用!$X$5:$X$43,MATCH($W20,其他调用!$T$5:$T$43,1))*求节点($G$34:$G$42,$J$34:$J$42,求节点($R$6:$R$14,$O$6:$O$14,$W20)),0)+IFERROR(INDEX(其他调用!$Y$5:$Y$43,MATCH($W20,其他调用!$T$5:$T$43,1))*求节点($G$34:$G$42,$K$34:$K$42,求节点($S$6:$S$14,$O$6:$O$14,$W20)),0))/6,1)</f>
        <v>5.4787450148344498E-2</v>
      </c>
      <c r="Y20" s="8">
        <f>MIN((IFERROR(INDEX(其他调用!$W$50:$W$88,MATCH($W20,其他调用!$T$50:$T$88,1))*求节点($G$34:$G$42,$I$34:$I$42,求节点($Q$20:$Q$28,$O$20:$O$28,$W20)),0)+IFERROR(INDEX(其他调用!$X$50:$X$88,MATCH($W20,其他调用!$T$50:$T$88,1))*求节点($G$34:$G$42,$J$34:$J$42,求节点($R$20:$R$28,$O$20:$O$28,$W20)),0)+IFERROR(INDEX(其他调用!$Y$50:$Y$88,MATCH($W20,其他调用!$T$50:$T$88,1))*求节点($G$34:$G$42,$K$34:$K$42,求节点($S$20:$S$28,$O$20:$O$28,$W20)),0))/6,1)</f>
        <v>5.6027274027874892E-2</v>
      </c>
      <c r="Z20" s="8">
        <f>MIN((IFERROR(INDEX(其他调用!$W$95:$W$133,MATCH($W20,其他调用!$T$95:$T$133,1))*求节点($G$34:$G$42,$I$34:$I$42,求节点($Q$34:$Q$42,$O$34:$O$42,$W20)),0)+IFERROR(INDEX(其他调用!$X$95:$X$133,MATCH($W20,其他调用!$T$95:$T$133,1))*求节点($G$34:$G$42,$J$34:$J$42,求节点($R$34:$R$42,$O$34:$O$42,$W20)),0)+IFERROR(INDEX(其他调用!$Y$95:$Y$133,MATCH($W20,其他调用!$T$95:$T$133,1))*求节点($G$34:$G$42,$K$34:$K$42,求节点($S$34:$S$42,$O$34:$O$42,$W20)),0))/6,1)</f>
        <v>5.7014414911399004E-2</v>
      </c>
      <c r="AA20" s="8">
        <f>MIN((IFERROR(INDEX(其他调用!$W$140:$W$178,MATCH($W20,其他调用!$T$140:$T$178,1))*求节点($G$34:$G$42,$I$34:$I$42,求节点($Q$48:$Q$56,$O$48:$O$56,$W20)),0)+IFERROR(INDEX(其他调用!$X$140:$X$178,MATCH($W20,其他调用!$T$140:$T$178,1))*求节点($G$34:$G$42,$J$34:$J$42,求节点($R$48:$R$56,$O$48:$O$56,$W20)),0)+IFERROR(INDEX(其他调用!$Y$140:$Y$178,MATCH($W20,其他调用!$T$140:$T$178,1))*求节点($G$34:$G$42,$K$34:$K$42,求节点($S$48:$S$56,$O$48:$O$56,$W20)),0))/6,1)</f>
        <v>0.17257107702780269</v>
      </c>
      <c r="AB20" s="8">
        <f>MIN((IFERROR(INDEX(其他调用!$W$185:$W$223,MATCH($W20,其他调用!$T$185:$T$223,1))*求节点($G$34:$G$42,$I$34:$I$42,求节点($Q$62:$Q$70,$O$62:$O$70,$W20)),0)+IFERROR(INDEX(其他调用!$X$185:$X$223,MATCH($W20,其他调用!$T$185:$T$223,1))*求节点($G$34:$G$42,$J$34:$J$42,求节点($R$62:$R$70,$O$62:$O$70,$W20)),0)+IFERROR(INDEX(其他调用!$Y$185:$Y$223,MATCH($W20,其他调用!$T$185:$T$223,1))*求节点($G$34:$G$42,$K$34:$K$42,求节点($S$62:$S$70,$O$62:$O$70,$W20)),0))/6,1)</f>
        <v>0.1752868266108695</v>
      </c>
      <c r="AD20" s="8">
        <v>15</v>
      </c>
      <c r="AE20" s="8">
        <f>X20/士兵加成武将!W20</f>
        <v>0.41412007325426842</v>
      </c>
      <c r="AF20" s="8">
        <f>Y20/士兵加成武将!X20</f>
        <v>0.41165315732070418</v>
      </c>
      <c r="AG20" s="8">
        <f>Z20/士兵加成武将!Y20</f>
        <v>0.40546547522256021</v>
      </c>
      <c r="AH20" s="8">
        <f>AA20/士兵加成武将!Z20</f>
        <v>1.1802328751155011</v>
      </c>
      <c r="AI20" s="8">
        <f>AB20/士兵加成武将!AA20</f>
        <v>1.1528375672757019</v>
      </c>
    </row>
    <row r="21" spans="3:35" x14ac:dyDescent="0.15">
      <c r="C21" s="8">
        <v>120</v>
      </c>
      <c r="D21" s="8">
        <v>4800</v>
      </c>
      <c r="G21" s="8">
        <v>1</v>
      </c>
      <c r="H21" s="10">
        <f t="shared" ref="H21:L21" si="2">ROUND(H7^(1/3),2)</f>
        <v>0.04</v>
      </c>
      <c r="I21" s="10">
        <f t="shared" si="2"/>
        <v>0.11</v>
      </c>
      <c r="J21" s="10">
        <f t="shared" si="2"/>
        <v>0.23</v>
      </c>
      <c r="K21" s="10">
        <f t="shared" si="2"/>
        <v>0.33</v>
      </c>
      <c r="L21" s="10">
        <f t="shared" si="2"/>
        <v>0.48</v>
      </c>
      <c r="O21" s="8">
        <v>1</v>
      </c>
      <c r="P21" s="10"/>
      <c r="Q21" s="15">
        <f>IFERROR(求节点(其他调用!AB$50:AB$88,其他调用!$T$50:$T$88,$O21),0)</f>
        <v>10.487455448194483</v>
      </c>
      <c r="R21" s="15">
        <f>IFERROR(求节点(其他调用!AC$50:AC$88,其他调用!$T$50:$T$88,$O21),0)</f>
        <v>37.564543604265658</v>
      </c>
      <c r="S21" s="15">
        <f>IFERROR(求节点(其他调用!AD$50:AD$88,其他调用!$T$50:$T$88,$O21),0)</f>
        <v>59.64549005101172</v>
      </c>
      <c r="T21" s="10"/>
      <c r="W21" s="8">
        <v>16</v>
      </c>
      <c r="X21" s="8">
        <f>MIN((IFERROR(INDEX(其他调用!$W$5:$W$43,MATCH($W21,其他调用!$T$5:$T$43,1))*求节点($G$34:$G$42,$I$34:$I$42,求节点($Q$6:$Q$14,$O$6:$O$14,$W21)),0)+IFERROR(INDEX(其他调用!$X$5:$X$43,MATCH($W21,其他调用!$T$5:$T$43,1))*求节点($G$34:$G$42,$J$34:$J$42,求节点($R$6:$R$14,$O$6:$O$14,$W21)),0)+IFERROR(INDEX(其他调用!$Y$5:$Y$43,MATCH($W21,其他调用!$T$5:$T$43,1))*求节点($G$34:$G$42,$K$34:$K$42,求节点($S$6:$S$14,$O$6:$O$14,$W21)),0))/6,1)</f>
        <v>5.9829960118675592E-2</v>
      </c>
      <c r="Y21" s="8">
        <f>MIN((IFERROR(INDEX(其他调用!$W$50:$W$88,MATCH($W21,其他调用!$T$50:$T$88,1))*求节点($G$34:$G$42,$I$34:$I$42,求节点($Q$20:$Q$28,$O$20:$O$28,$W21)),0)+IFERROR(INDEX(其他调用!$X$50:$X$88,MATCH($W21,其他调用!$T$50:$T$88,1))*求节点($G$34:$G$42,$J$34:$J$42,求节点($R$20:$R$28,$O$20:$O$28,$W21)),0)+IFERROR(INDEX(其他调用!$Y$50:$Y$88,MATCH($W21,其他调用!$T$50:$T$88,1))*求节点($G$34:$G$42,$K$34:$K$42,求节点($S$20:$S$28,$O$20:$O$28,$W21)),0))/6,1)</f>
        <v>6.1056352507656654E-2</v>
      </c>
      <c r="Z21" s="8">
        <f>MIN((IFERROR(INDEX(其他调用!$W$95:$W$133,MATCH($W21,其他调用!$T$95:$T$133,1))*求节点($G$34:$G$42,$I$34:$I$42,求节点($Q$34:$Q$42,$O$34:$O$42,$W21)),0)+IFERROR(INDEX(其他调用!$X$95:$X$133,MATCH($W21,其他调用!$T$95:$T$133,1))*求节点($G$34:$G$42,$J$34:$J$42,求节点($R$34:$R$42,$O$34:$O$42,$W21)),0)+IFERROR(INDEX(其他调用!$Y$95:$Y$133,MATCH($W21,其他调用!$T$95:$T$133,1))*求节点($G$34:$G$42,$K$34:$K$42,求节点($S$34:$S$42,$O$34:$O$42,$W21)),0))/6,1)</f>
        <v>6.1802880689846344E-2</v>
      </c>
      <c r="AA21" s="8">
        <f>MIN((IFERROR(INDEX(其他调用!$W$140:$W$178,MATCH($W21,其他调用!$T$140:$T$178,1))*求节点($G$34:$G$42,$I$34:$I$42,求节点($Q$48:$Q$56,$O$48:$O$56,$W21)),0)+IFERROR(INDEX(其他调用!$X$140:$X$178,MATCH($W21,其他调用!$T$140:$T$178,1))*求节点($G$34:$G$42,$J$34:$J$42,求节点($R$48:$R$56,$O$48:$O$56,$W21)),0)+IFERROR(INDEX(其他调用!$Y$140:$Y$178,MATCH($W21,其他调用!$T$140:$T$178,1))*求节点($G$34:$G$42,$K$34:$K$42,求节点($S$48:$S$56,$O$48:$O$56,$W21)),0))/6,1)</f>
        <v>0.17508661682205132</v>
      </c>
      <c r="AB21" s="8">
        <f>MIN((IFERROR(INDEX(其他调用!$W$185:$W$223,MATCH($W21,其他调用!$T$185:$T$223,1))*求节点($G$34:$G$42,$I$34:$I$42,求节点($Q$62:$Q$70,$O$62:$O$70,$W21)),0)+IFERROR(INDEX(其他调用!$X$185:$X$223,MATCH($W21,其他调用!$T$185:$T$223,1))*求节点($G$34:$G$42,$J$34:$J$42,求节点($R$62:$R$70,$O$62:$O$70,$W21)),0)+IFERROR(INDEX(其他调用!$Y$185:$Y$223,MATCH($W21,其他调用!$T$185:$T$223,1))*求节点($G$34:$G$42,$K$34:$K$42,求节点($S$62:$S$70,$O$62:$O$70,$W21)),0))/6,1)</f>
        <v>0.17836914021009584</v>
      </c>
      <c r="AD21" s="8">
        <v>16</v>
      </c>
      <c r="AE21" s="8">
        <f>X21/士兵加成武将!W21</f>
        <v>0.43422685513448911</v>
      </c>
      <c r="AF21" s="8">
        <f>Y21/士兵加成武将!X21</f>
        <v>0.43044927802738681</v>
      </c>
      <c r="AG21" s="8">
        <f>Z21/士兵加成武将!Y21</f>
        <v>0.42141477906940245</v>
      </c>
      <c r="AH21" s="8">
        <f>AA21/士兵加成武将!Z21</f>
        <v>1.1481529384121454</v>
      </c>
      <c r="AI21" s="8">
        <f>AB21/士兵加成武将!AA21</f>
        <v>1.1268746232202393</v>
      </c>
    </row>
    <row r="22" spans="3:35" x14ac:dyDescent="0.15">
      <c r="C22" s="8">
        <v>130</v>
      </c>
      <c r="D22" s="8">
        <v>14400</v>
      </c>
      <c r="G22" s="8">
        <v>2</v>
      </c>
      <c r="H22" s="10">
        <f t="shared" ref="H22:L22" si="3">ROUND(H8^(1/3),2)</f>
        <v>0.05</v>
      </c>
      <c r="I22" s="10">
        <f t="shared" si="3"/>
        <v>0.13</v>
      </c>
      <c r="J22" s="10">
        <f t="shared" si="3"/>
        <v>0.26</v>
      </c>
      <c r="K22" s="10">
        <f t="shared" si="3"/>
        <v>0.38</v>
      </c>
      <c r="L22" s="10">
        <f t="shared" si="3"/>
        <v>0.55000000000000004</v>
      </c>
      <c r="O22" s="8">
        <v>2</v>
      </c>
      <c r="P22" s="10"/>
      <c r="Q22" s="15">
        <f>IFERROR(求节点(其他调用!AB$50:AB$88,其他调用!$T$50:$T$88,$O22),0)</f>
        <v>11.813079355927966</v>
      </c>
      <c r="R22" s="15">
        <f>IFERROR(求节点(其他调用!AC$50:AC$88,其他调用!$T$50:$T$88,$O22),0)</f>
        <v>45.91627425073294</v>
      </c>
      <c r="S22" s="15">
        <f>IFERROR(求节点(其他调用!AD$50:AD$88,其他调用!$T$50:$T$88,$O22),0)</f>
        <v>62.573541863112105</v>
      </c>
      <c r="T22" s="10"/>
      <c r="W22" s="8">
        <v>17</v>
      </c>
      <c r="X22" s="8">
        <f>MIN((IFERROR(INDEX(其他调用!$W$5:$W$43,MATCH($W22,其他调用!$T$5:$T$43,1))*求节点($G$34:$G$42,$I$34:$I$42,求节点($Q$6:$Q$14,$O$6:$O$14,$W22)),0)+IFERROR(INDEX(其他调用!$X$5:$X$43,MATCH($W22,其他调用!$T$5:$T$43,1))*求节点($G$34:$G$42,$J$34:$J$42,求节点($R$6:$R$14,$O$6:$O$14,$W22)),0)+IFERROR(INDEX(其他调用!$Y$5:$Y$43,MATCH($W22,其他调用!$T$5:$T$43,1))*求节点($G$34:$G$42,$K$34:$K$42,求节点($S$6:$S$14,$O$6:$O$14,$W22)),0))/6,1)</f>
        <v>6.4872470089006692E-2</v>
      </c>
      <c r="Y22" s="8">
        <f>MIN((IFERROR(INDEX(其他调用!$W$50:$W$88,MATCH($W22,其他调用!$T$50:$T$88,1))*求节点($G$34:$G$42,$I$34:$I$42,求节点($Q$20:$Q$28,$O$20:$O$28,$W22)),0)+IFERROR(INDEX(其他调用!$X$50:$X$88,MATCH($W22,其他调用!$T$50:$T$88,1))*求节点($G$34:$G$42,$J$34:$J$42,求节点($R$20:$R$28,$O$20:$O$28,$W22)),0)+IFERROR(INDEX(其他调用!$Y$50:$Y$88,MATCH($W22,其他调用!$T$50:$T$88,1))*求节点($G$34:$G$42,$K$34:$K$42,求节点($S$20:$S$28,$O$20:$O$28,$W22)),0))/6,1)</f>
        <v>6.6085430987438423E-2</v>
      </c>
      <c r="Z22" s="8">
        <f>MIN((IFERROR(INDEX(其他调用!$W$95:$W$133,MATCH($W22,其他调用!$T$95:$T$133,1))*求节点($G$34:$G$42,$I$34:$I$42,求节点($Q$34:$Q$42,$O$34:$O$42,$W22)),0)+IFERROR(INDEX(其他调用!$X$95:$X$133,MATCH($W22,其他调用!$T$95:$T$133,1))*求节点($G$34:$G$42,$J$34:$J$42,求节点($R$34:$R$42,$O$34:$O$42,$W22)),0)+IFERROR(INDEX(其他调用!$Y$95:$Y$133,MATCH($W22,其他调用!$T$95:$T$133,1))*求节点($G$34:$G$42,$K$34:$K$42,求节点($S$34:$S$42,$O$34:$O$42,$W22)),0))/6,1)</f>
        <v>6.6591346468293663E-2</v>
      </c>
      <c r="AA22" s="8">
        <f>MIN((IFERROR(INDEX(其他调用!$W$140:$W$178,MATCH($W22,其他调用!$T$140:$T$178,1))*求节点($G$34:$G$42,$I$34:$I$42,求节点($Q$48:$Q$56,$O$48:$O$56,$W22)),0)+IFERROR(INDEX(其他调用!$X$140:$X$178,MATCH($W22,其他调用!$T$140:$T$178,1))*求节点($G$34:$G$42,$J$34:$J$42,求节点($R$48:$R$56,$O$48:$O$56,$W22)),0)+IFERROR(INDEX(其他调用!$Y$140:$Y$178,MATCH($W22,其他调用!$T$140:$T$178,1))*求节点($G$34:$G$42,$K$34:$K$42,求节点($S$48:$S$56,$O$48:$O$56,$W22)),0))/6,1)</f>
        <v>0.17760215661629997</v>
      </c>
      <c r="AB22" s="8">
        <f>MIN((IFERROR(INDEX(其他调用!$W$185:$W$223,MATCH($W22,其他调用!$T$185:$T$223,1))*求节点($G$34:$G$42,$I$34:$I$42,求节点($Q$62:$Q$70,$O$62:$O$70,$W22)),0)+IFERROR(INDEX(其他调用!$X$185:$X$223,MATCH($W22,其他调用!$T$185:$T$223,1))*求节点($G$34:$G$42,$J$34:$J$42,求节点($R$62:$R$70,$O$62:$O$70,$W22)),0)+IFERROR(INDEX(其他调用!$Y$185:$Y$223,MATCH($W22,其他调用!$T$185:$T$223,1))*求节点($G$34:$G$42,$K$34:$K$42,求节点($S$62:$S$70,$O$62:$O$70,$W22)),0))/6,1)</f>
        <v>0.18145145380932212</v>
      </c>
      <c r="AD22" s="8">
        <v>17</v>
      </c>
      <c r="AE22" s="8">
        <f>X22/士兵加成武将!W22</f>
        <v>0.45279366457988218</v>
      </c>
      <c r="AF22" s="8">
        <f>Y22/士兵加成武将!X22</f>
        <v>0.44778326223599241</v>
      </c>
      <c r="AG22" s="8">
        <f>Z22/士兵加成武将!Y22</f>
        <v>0.43619424679777435</v>
      </c>
      <c r="AH22" s="8">
        <f>AA22/士兵加成武将!Z22</f>
        <v>1.1200098585014058</v>
      </c>
      <c r="AI22" s="8">
        <f>AB22/士兵加成武将!AA22</f>
        <v>1.1028805964138015</v>
      </c>
    </row>
    <row r="23" spans="3:35" x14ac:dyDescent="0.15">
      <c r="C23" s="8">
        <v>140</v>
      </c>
      <c r="D23" s="8">
        <f>D22*3</f>
        <v>43200</v>
      </c>
      <c r="G23" s="8">
        <v>3</v>
      </c>
      <c r="H23" s="10">
        <f t="shared" ref="H23:L23" si="4">ROUND(H9^(1/3),2)</f>
        <v>0.05</v>
      </c>
      <c r="I23" s="10">
        <f t="shared" si="4"/>
        <v>0.14000000000000001</v>
      </c>
      <c r="J23" s="10">
        <f t="shared" si="4"/>
        <v>0.28999999999999998</v>
      </c>
      <c r="K23" s="10">
        <f t="shared" si="4"/>
        <v>0.42</v>
      </c>
      <c r="L23" s="10">
        <f t="shared" si="4"/>
        <v>0.61</v>
      </c>
      <c r="O23" s="8">
        <v>3</v>
      </c>
      <c r="P23" s="10"/>
      <c r="Q23" s="15">
        <f>IFERROR(求节点(其他调用!AB$50:AB$88,其他调用!$T$50:$T$88,$O23),0)</f>
        <v>13.13870326366145</v>
      </c>
      <c r="R23" s="15">
        <f>IFERROR(求节点(其他调用!AC$50:AC$88,其他调用!$T$50:$T$88,$O23),0)</f>
        <v>52.504350003300594</v>
      </c>
      <c r="S23" s="15">
        <f>IFERROR(求节点(其他调用!AD$50:AD$88,其他调用!$T$50:$T$88,$O23),0)</f>
        <v>66.961080583654834</v>
      </c>
      <c r="T23" s="10"/>
      <c r="W23" s="8">
        <v>18</v>
      </c>
      <c r="X23" s="8">
        <f>MIN((IFERROR(INDEX(其他调用!$W$5:$W$43,MATCH($W23,其他调用!$T$5:$T$43,1))*求节点($G$34:$G$42,$I$34:$I$42,求节点($Q$6:$Q$14,$O$6:$O$14,$W23)),0)+IFERROR(INDEX(其他调用!$X$5:$X$43,MATCH($W23,其他调用!$T$5:$T$43,1))*求节点($G$34:$G$42,$J$34:$J$42,求节点($R$6:$R$14,$O$6:$O$14,$W23)),0)+IFERROR(INDEX(其他调用!$Y$5:$Y$43,MATCH($W23,其他调用!$T$5:$T$43,1))*求节点($G$34:$G$42,$K$34:$K$42,求节点($S$6:$S$14,$O$6:$O$14,$W23)),0))/6,1)</f>
        <v>6.99149800593378E-2</v>
      </c>
      <c r="Y23" s="8">
        <f>MIN((IFERROR(INDEX(其他调用!$W$50:$W$88,MATCH($W23,其他调用!$T$50:$T$88,1))*求节点($G$34:$G$42,$I$34:$I$42,求节点($Q$20:$Q$28,$O$20:$O$28,$W23)),0)+IFERROR(INDEX(其他调用!$X$50:$X$88,MATCH($W23,其他调用!$T$50:$T$88,1))*求节点($G$34:$G$42,$J$34:$J$42,求节点($R$20:$R$28,$O$20:$O$28,$W23)),0)+IFERROR(INDEX(其他调用!$Y$50:$Y$88,MATCH($W23,其他调用!$T$50:$T$88,1))*求节点($G$34:$G$42,$K$34:$K$42,求节点($S$20:$S$28,$O$20:$O$28,$W23)),0))/6,1)</f>
        <v>7.1114509467220186E-2</v>
      </c>
      <c r="Z23" s="8">
        <f>MIN((IFERROR(INDEX(其他调用!$W$95:$W$133,MATCH($W23,其他调用!$T$95:$T$133,1))*求节点($G$34:$G$42,$I$34:$I$42,求节点($Q$34:$Q$42,$O$34:$O$42,$W23)),0)+IFERROR(INDEX(其他调用!$X$95:$X$133,MATCH($W23,其他调用!$T$95:$T$133,1))*求节点($G$34:$G$42,$J$34:$J$42,求节点($R$34:$R$42,$O$34:$O$42,$W23)),0)+IFERROR(INDEX(其他调用!$Y$95:$Y$133,MATCH($W23,其他调用!$T$95:$T$133,1))*求节点($G$34:$G$42,$K$34:$K$42,求节点($S$34:$S$42,$O$34:$O$42,$W23)),0))/6,1)</f>
        <v>7.1379812246741017E-2</v>
      </c>
      <c r="AA23" s="8">
        <f>MIN((IFERROR(INDEX(其他调用!$W$140:$W$178,MATCH($W23,其他调用!$T$140:$T$178,1))*求节点($G$34:$G$42,$I$34:$I$42,求节点($Q$48:$Q$56,$O$48:$O$56,$W23)),0)+IFERROR(INDEX(其他调用!$X$140:$X$178,MATCH($W23,其他调用!$T$140:$T$178,1))*求节点($G$34:$G$42,$J$34:$J$42,求节点($R$48:$R$56,$O$48:$O$56,$W23)),0)+IFERROR(INDEX(其他调用!$Y$140:$Y$178,MATCH($W23,其他调用!$T$140:$T$178,1))*求节点($G$34:$G$42,$K$34:$K$42,求节点($S$48:$S$56,$O$48:$O$56,$W23)),0))/6,1)</f>
        <v>0.18011769641054864</v>
      </c>
      <c r="AB23" s="8">
        <f>MIN((IFERROR(INDEX(其他调用!$W$185:$W$223,MATCH($W23,其他调用!$T$185:$T$223,1))*求节点($G$34:$G$42,$I$34:$I$42,求节点($Q$62:$Q$70,$O$62:$O$70,$W23)),0)+IFERROR(INDEX(其他调用!$X$185:$X$223,MATCH($W23,其他调用!$T$185:$T$223,1))*求节点($G$34:$G$42,$J$34:$J$42,求节点($R$62:$R$70,$O$62:$O$70,$W23)),0)+IFERROR(INDEX(其他调用!$Y$185:$Y$223,MATCH($W23,其他调用!$T$185:$T$223,1))*求节点($G$34:$G$42,$K$34:$K$42,求节点($S$62:$S$70,$O$62:$O$70,$W23)),0))/6,1)</f>
        <v>0.18453376740854843</v>
      </c>
      <c r="AD23" s="8">
        <v>18</v>
      </c>
      <c r="AE23" s="8">
        <f>X23/士兵加成武将!W23</f>
        <v>0.46999089542887162</v>
      </c>
      <c r="AF23" s="8">
        <f>Y23/士兵加成武将!X23</f>
        <v>0.46360306803201451</v>
      </c>
      <c r="AG23" s="8">
        <f>Z23/士兵加成武将!Y23</f>
        <v>0.44996778996887976</v>
      </c>
      <c r="AH23" s="8">
        <f>AA23/士兵加成武将!Z23</f>
        <v>1.0939444979020856</v>
      </c>
      <c r="AI23" s="8">
        <f>AB23/士兵加成武将!AA23</f>
        <v>1.0806396978703658</v>
      </c>
    </row>
    <row r="24" spans="3:35" x14ac:dyDescent="0.15">
      <c r="G24" s="8">
        <v>4</v>
      </c>
      <c r="H24" s="10">
        <f t="shared" ref="H24:L24" si="5">ROUND(H10^(1/3),2)</f>
        <v>0.06</v>
      </c>
      <c r="I24" s="10">
        <f t="shared" si="5"/>
        <v>0.16</v>
      </c>
      <c r="J24" s="10">
        <f t="shared" si="5"/>
        <v>0.33</v>
      </c>
      <c r="K24" s="10">
        <f t="shared" si="5"/>
        <v>0.48</v>
      </c>
      <c r="L24" s="10">
        <f t="shared" si="5"/>
        <v>0.69</v>
      </c>
      <c r="O24" s="8">
        <v>4</v>
      </c>
      <c r="P24" s="10"/>
      <c r="Q24" s="15">
        <f>IFERROR(求节点(其他调用!AB$50:AB$88,其他调用!$T$50:$T$88,$O24),0)</f>
        <v>14.464327171394935</v>
      </c>
      <c r="R24" s="15">
        <f>IFERROR(求节点(其他调用!AC$50:AC$88,其他调用!$T$50:$T$88,$O24),0)</f>
        <v>63.829767440254784</v>
      </c>
      <c r="S24" s="15">
        <f>IFERROR(求节点(其他调用!AD$50:AD$88,其他调用!$T$50:$T$88,$O24),0)</f>
        <v>77.820594032483399</v>
      </c>
      <c r="T24" s="10"/>
      <c r="W24" s="8">
        <v>19</v>
      </c>
      <c r="X24" s="8">
        <f>MIN((IFERROR(INDEX(其他调用!$W$5:$W$43,MATCH($W24,其他调用!$T$5:$T$43,1))*求节点($G$34:$G$42,$I$34:$I$42,求节点($Q$6:$Q$14,$O$6:$O$14,$W24)),0)+IFERROR(INDEX(其他调用!$X$5:$X$43,MATCH($W24,其他调用!$T$5:$T$43,1))*求节点($G$34:$G$42,$J$34:$J$42,求节点($R$6:$R$14,$O$6:$O$14,$W24)),0)+IFERROR(INDEX(其他调用!$Y$5:$Y$43,MATCH($W24,其他调用!$T$5:$T$43,1))*求节点($G$34:$G$42,$K$34:$K$42,求节点($S$6:$S$14,$O$6:$O$14,$W24)),0))/6,1)</f>
        <v>7.4957490029668894E-2</v>
      </c>
      <c r="Y24" s="8">
        <f>MIN((IFERROR(INDEX(其他调用!$W$50:$W$88,MATCH($W24,其他调用!$T$50:$T$88,1))*求节点($G$34:$G$42,$I$34:$I$42,求节点($Q$20:$Q$28,$O$20:$O$28,$W24)),0)+IFERROR(INDEX(其他调用!$X$50:$X$88,MATCH($W24,其他调用!$T$50:$T$88,1))*求节点($G$34:$G$42,$J$34:$J$42,求节点($R$20:$R$28,$O$20:$O$28,$W24)),0)+IFERROR(INDEX(其他调用!$Y$50:$Y$88,MATCH($W24,其他调用!$T$50:$T$88,1))*求节点($G$34:$G$42,$K$34:$K$42,求节点($S$20:$S$28,$O$20:$O$28,$W24)),0))/6,1)</f>
        <v>7.6143587947001948E-2</v>
      </c>
      <c r="Z24" s="8">
        <f>MIN((IFERROR(INDEX(其他调用!$W$95:$W$133,MATCH($W24,其他调用!$T$95:$T$133,1))*求节点($G$34:$G$42,$I$34:$I$42,求节点($Q$34:$Q$42,$O$34:$O$42,$W24)),0)+IFERROR(INDEX(其他调用!$X$95:$X$133,MATCH($W24,其他调用!$T$95:$T$133,1))*求节点($G$34:$G$42,$J$34:$J$42,求节点($R$34:$R$42,$O$34:$O$42,$W24)),0)+IFERROR(INDEX(其他调用!$Y$95:$Y$133,MATCH($W24,其他调用!$T$95:$T$133,1))*求节点($G$34:$G$42,$K$34:$K$42,求节点($S$34:$S$42,$O$34:$O$42,$W24)),0))/6,1)</f>
        <v>7.6168278025188343E-2</v>
      </c>
      <c r="AA24" s="8">
        <f>MIN((IFERROR(INDEX(其他调用!$W$140:$W$178,MATCH($W24,其他调用!$T$140:$T$178,1))*求节点($G$34:$G$42,$I$34:$I$42,求节点($Q$48:$Q$56,$O$48:$O$56,$W24)),0)+IFERROR(INDEX(其他调用!$X$140:$X$178,MATCH($W24,其他调用!$T$140:$T$178,1))*求节点($G$34:$G$42,$J$34:$J$42,求节点($R$48:$R$56,$O$48:$O$56,$W24)),0)+IFERROR(INDEX(其他调用!$Y$140:$Y$178,MATCH($W24,其他调用!$T$140:$T$178,1))*求节点($G$34:$G$42,$K$34:$K$42,求节点($S$48:$S$56,$O$48:$O$56,$W24)),0))/6,1)</f>
        <v>0.18263323620479729</v>
      </c>
      <c r="AB24" s="8">
        <f>MIN((IFERROR(INDEX(其他调用!$W$185:$W$223,MATCH($W24,其他调用!$T$185:$T$223,1))*求节点($G$34:$G$42,$I$34:$I$42,求节点($Q$62:$Q$70,$O$62:$O$70,$W24)),0)+IFERROR(INDEX(其他调用!$X$185:$X$223,MATCH($W24,其他调用!$T$185:$T$223,1))*求节点($G$34:$G$42,$J$34:$J$42,求节点($R$62:$R$70,$O$62:$O$70,$W24)),0)+IFERROR(INDEX(其他调用!$Y$185:$Y$223,MATCH($W24,其他调用!$T$185:$T$223,1))*求节点($G$34:$G$42,$K$34:$K$42,求节点($S$62:$S$70,$O$62:$O$70,$W24)),0))/6,1)</f>
        <v>0.18761608100777474</v>
      </c>
      <c r="AD24" s="8">
        <v>19</v>
      </c>
      <c r="AE24" s="8">
        <f>X24/士兵加成武将!W24</f>
        <v>0.48526640320544767</v>
      </c>
      <c r="AF24" s="8">
        <f>Y24/士兵加成武将!X24</f>
        <v>0.47811173428075859</v>
      </c>
      <c r="AG24" s="8">
        <f>Z24/士兵加成武将!Y24</f>
        <v>0.46274243157380751</v>
      </c>
      <c r="AH24" s="8">
        <f>AA24/士兵加成武将!Z24</f>
        <v>1.0697349599067765</v>
      </c>
      <c r="AI24" s="8">
        <f>AB24/士兵加成武将!AA24</f>
        <v>1.0599665605404998</v>
      </c>
    </row>
    <row r="25" spans="3:35" x14ac:dyDescent="0.15">
      <c r="G25" s="8">
        <v>5</v>
      </c>
      <c r="H25" s="10">
        <f t="shared" ref="H25:L25" si="6">ROUND(H11^(1/3),2)</f>
        <v>0.06</v>
      </c>
      <c r="I25" s="10">
        <f t="shared" si="6"/>
        <v>0.18</v>
      </c>
      <c r="J25" s="10">
        <f t="shared" si="6"/>
        <v>0.37</v>
      </c>
      <c r="K25" s="10">
        <f t="shared" si="6"/>
        <v>0.53</v>
      </c>
      <c r="L25" s="10">
        <f t="shared" si="6"/>
        <v>0.76</v>
      </c>
      <c r="O25" s="8">
        <v>5</v>
      </c>
      <c r="P25" s="10"/>
      <c r="Q25" s="15">
        <f>IFERROR(求节点(其他调用!AB$50:AB$88,其他调用!$T$50:$T$88,$O25),0)</f>
        <v>15.789951079128418</v>
      </c>
      <c r="R25" s="15">
        <f>IFERROR(求节点(其他调用!AC$50:AC$88,其他调用!$T$50:$T$88,$O25),0)</f>
        <v>74.730179302585015</v>
      </c>
      <c r="S25" s="15">
        <f>IFERROR(求节点(其他调用!AD$50:AD$88,其他调用!$T$50:$T$88,$O25),0)</f>
        <v>81.558313855810184</v>
      </c>
      <c r="T25" s="10"/>
      <c r="W25" s="8">
        <v>20</v>
      </c>
      <c r="X25" s="8">
        <f>MIN((IFERROR(INDEX(其他调用!$W$5:$W$43,MATCH($W25,其他调用!$T$5:$T$43,1))*求节点($G$34:$G$42,$I$34:$I$42,求节点($Q$6:$Q$14,$O$6:$O$14,$W25)),0)+IFERROR(INDEX(其他调用!$X$5:$X$43,MATCH($W25,其他调用!$T$5:$T$43,1))*求节点($G$34:$G$42,$J$34:$J$42,求节点($R$6:$R$14,$O$6:$O$14,$W25)),0)+IFERROR(INDEX(其他调用!$Y$5:$Y$43,MATCH($W25,其他调用!$T$5:$T$43,1))*求节点($G$34:$G$42,$K$34:$K$42,求节点($S$6:$S$14,$O$6:$O$14,$W25)),0))/6,1)</f>
        <v>0.16</v>
      </c>
      <c r="Y25" s="8">
        <f>MIN((IFERROR(INDEX(其他调用!$W$50:$W$88,MATCH($W25,其他调用!$T$50:$T$88,1))*求节点($G$34:$G$42,$I$34:$I$42,求节点($Q$20:$Q$28,$O$20:$O$28,$W25)),0)+IFERROR(INDEX(其他调用!$X$50:$X$88,MATCH($W25,其他调用!$T$50:$T$88,1))*求节点($G$34:$G$42,$J$34:$J$42,求节点($R$20:$R$28,$O$20:$O$28,$W25)),0)+IFERROR(INDEX(其他调用!$Y$50:$Y$88,MATCH($W25,其他调用!$T$50:$T$88,1))*求节点($G$34:$G$42,$K$34:$K$42,求节点($S$20:$S$28,$O$20:$O$28,$W25)),0))/6,1)</f>
        <v>0.1605240608059112</v>
      </c>
      <c r="Z25" s="8">
        <f>MIN((IFERROR(INDEX(其他调用!$W$95:$W$133,MATCH($W25,其他调用!$T$95:$T$133,1))*求节点($G$34:$G$42,$I$34:$I$42,求节点($Q$34:$Q$42,$O$34:$O$42,$W25)),0)+IFERROR(INDEX(其他调用!$X$95:$X$133,MATCH($W25,其他调用!$T$95:$T$133,1))*求节点($G$34:$G$42,$J$34:$J$42,求节点($R$34:$R$42,$O$34:$O$42,$W25)),0)+IFERROR(INDEX(其他调用!$Y$95:$Y$133,MATCH($W25,其他调用!$T$95:$T$133,1))*求节点($G$34:$G$42,$K$34:$K$42,求节点($S$34:$S$42,$O$34:$O$42,$W25)),0))/6,1)</f>
        <v>0.16064894518042044</v>
      </c>
      <c r="AA25" s="8">
        <f>MIN((IFERROR(INDEX(其他调用!$W$140:$W$178,MATCH($W25,其他调用!$T$140:$T$178,1))*求节点($G$34:$G$42,$I$34:$I$42,求节点($Q$48:$Q$56,$O$48:$O$56,$W25)),0)+IFERROR(INDEX(其他调用!$X$140:$X$178,MATCH($W25,其他调用!$T$140:$T$178,1))*求节点($G$34:$G$42,$J$34:$J$42,求节点($R$48:$R$56,$O$48:$O$56,$W25)),0)+IFERROR(INDEX(其他调用!$Y$140:$Y$178,MATCH($W25,其他调用!$T$140:$T$178,1))*求节点($G$34:$G$42,$K$34:$K$42,求节点($S$48:$S$56,$O$48:$O$56,$W25)),0))/6,1)</f>
        <v>0.18514877599904592</v>
      </c>
      <c r="AB25" s="8">
        <f>MIN((IFERROR(INDEX(其他调用!$W$185:$W$223,MATCH($W25,其他调用!$T$185:$T$223,1))*求节点($G$34:$G$42,$I$34:$I$42,求节点($Q$62:$Q$70,$O$62:$O$70,$W25)),0)+IFERROR(INDEX(其他调用!$X$185:$X$223,MATCH($W25,其他调用!$T$185:$T$223,1))*求节点($G$34:$G$42,$J$34:$J$42,求节点($R$62:$R$70,$O$62:$O$70,$W25)),0)+IFERROR(INDEX(其他调用!$Y$185:$Y$223,MATCH($W25,其他调用!$T$185:$T$223,1))*求节点($G$34:$G$42,$K$34:$K$42,求节点($S$62:$S$70,$O$62:$O$70,$W25)),0))/6,1)</f>
        <v>0.19069839460700103</v>
      </c>
      <c r="AD25" s="8">
        <v>20</v>
      </c>
      <c r="AE25" s="8">
        <f>X25/士兵加成武将!W25</f>
        <v>0.99850139397672377</v>
      </c>
      <c r="AF25" s="8">
        <f>Y25/士兵加成武将!X25</f>
        <v>0.97215010253098222</v>
      </c>
      <c r="AG25" s="8">
        <f>Z25/士兵加成武将!Y25</f>
        <v>0.94183246828861078</v>
      </c>
      <c r="AH25" s="8">
        <f>AA25/士兵加成武将!Z25</f>
        <v>1.0471898591834143</v>
      </c>
      <c r="AI25" s="8">
        <f>AB25/士兵加成武将!AA25</f>
        <v>1.0407010607239884</v>
      </c>
    </row>
    <row r="26" spans="3:35" x14ac:dyDescent="0.15">
      <c r="G26" s="8">
        <v>6</v>
      </c>
      <c r="H26" s="10">
        <f t="shared" ref="H26:L26" si="7">ROUND(H12^(1/3),2)</f>
        <v>7.0000000000000007E-2</v>
      </c>
      <c r="I26" s="10">
        <f t="shared" si="7"/>
        <v>0.2</v>
      </c>
      <c r="J26" s="10">
        <f t="shared" si="7"/>
        <v>0.41</v>
      </c>
      <c r="K26" s="10">
        <f t="shared" si="7"/>
        <v>0.59</v>
      </c>
      <c r="L26" s="10">
        <f t="shared" si="7"/>
        <v>0.85</v>
      </c>
      <c r="O26" s="8">
        <v>6</v>
      </c>
      <c r="P26" s="10"/>
      <c r="Q26" s="15">
        <f>IFERROR(求节点(其他调用!AB$50:AB$88,其他调用!$T$50:$T$88,$O26),0)</f>
        <v>17.115574986861901</v>
      </c>
      <c r="R26" s="15">
        <f>IFERROR(求节点(其他调用!AC$50:AC$88,其他调用!$T$50:$T$88,$O26),0)</f>
        <v>75.695879543055511</v>
      </c>
      <c r="S26" s="15">
        <f>IFERROR(求节点(其他调用!AD$50:AD$88,其他调用!$T$50:$T$88,$O26),0)</f>
        <v>85.644400294709584</v>
      </c>
      <c r="T26" s="10"/>
      <c r="W26" s="8">
        <v>21</v>
      </c>
      <c r="X26" s="8">
        <f>MIN((IFERROR(INDEX(其他调用!$W$5:$W$43,MATCH($W26,其他调用!$T$5:$T$43,1))*求节点($G$34:$G$42,$I$34:$I$42,求节点($Q$6:$Q$14,$O$6:$O$14,$W26)),0)+IFERROR(INDEX(其他调用!$X$5:$X$43,MATCH($W26,其他调用!$T$5:$T$43,1))*求节点($G$34:$G$42,$J$34:$J$42,求节点($R$6:$R$14,$O$6:$O$14,$W26)),0)+IFERROR(INDEX(其他调用!$Y$5:$Y$43,MATCH($W26,其他调用!$T$5:$T$43,1))*求节点($G$34:$G$42,$K$34:$K$42,求节点($S$6:$S$14,$O$6:$O$14,$W26)),0))/6,1)</f>
        <v>0.16186949530158035</v>
      </c>
      <c r="Y26" s="8">
        <f>MIN((IFERROR(INDEX(其他调用!$W$50:$W$88,MATCH($W26,其他调用!$T$50:$T$88,1))*求节点($G$34:$G$42,$I$34:$I$42,求节点($Q$20:$Q$28,$O$20:$O$28,$W26)),0)+IFERROR(INDEX(其他调用!$X$50:$X$88,MATCH($W26,其他调用!$T$50:$T$88,1))*求节点($G$34:$G$42,$J$34:$J$42,求节点($R$20:$R$28,$O$20:$O$28,$W26)),0)+IFERROR(INDEX(其他调用!$Y$50:$Y$88,MATCH($W26,其他调用!$T$50:$T$88,1))*求节点($G$34:$G$42,$K$34:$K$42,求节点($S$20:$S$28,$O$20:$O$28,$W26)),0))/6,1)</f>
        <v>0.16277153959519791</v>
      </c>
      <c r="Z26" s="8">
        <f>MIN((IFERROR(INDEX(其他调用!$W$95:$W$133,MATCH($W26,其他调用!$T$95:$T$133,1))*求节点($G$34:$G$42,$I$34:$I$42,求节点($Q$34:$Q$42,$O$34:$O$42,$W26)),0)+IFERROR(INDEX(其他调用!$X$95:$X$133,MATCH($W26,其他调用!$T$95:$T$133,1))*求节点($G$34:$G$42,$J$34:$J$42,求节点($R$34:$R$42,$O$34:$O$42,$W26)),0)+IFERROR(INDEX(其他调用!$Y$95:$Y$133,MATCH($W26,其他调用!$T$95:$T$133,1))*求节点($G$34:$G$42,$K$34:$K$42,求节点($S$34:$S$42,$O$34:$O$42,$W26)),0))/6,1)</f>
        <v>0.16389689073985139</v>
      </c>
      <c r="AA26" s="8">
        <f>MIN((IFERROR(INDEX(其他调用!$W$140:$W$178,MATCH($W26,其他调用!$T$140:$T$178,1))*求节点($G$34:$G$42,$I$34:$I$42,求节点($Q$48:$Q$56,$O$48:$O$56,$W26)),0)+IFERROR(INDEX(其他调用!$X$140:$X$178,MATCH($W26,其他调用!$T$140:$T$178,1))*求节点($G$34:$G$42,$J$34:$J$42,求节点($R$48:$R$56,$O$48:$O$56,$W26)),0)+IFERROR(INDEX(其他调用!$Y$140:$Y$178,MATCH($W26,其他调用!$T$140:$T$178,1))*求节点($G$34:$G$42,$K$34:$K$42,求节点($S$48:$S$56,$O$48:$O$56,$W26)),0))/6,1)</f>
        <v>0.18766431579329459</v>
      </c>
      <c r="AB26" s="8">
        <f>MIN((IFERROR(INDEX(其他调用!$W$185:$W$223,MATCH($W26,其他调用!$T$185:$T$223,1))*求节点($G$34:$G$42,$I$34:$I$42,求节点($Q$62:$Q$70,$O$62:$O$70,$W26)),0)+IFERROR(INDEX(其他调用!$X$185:$X$223,MATCH($W26,其他调用!$T$185:$T$223,1))*求节点($G$34:$G$42,$J$34:$J$42,求节点($R$62:$R$70,$O$62:$O$70,$W26)),0)+IFERROR(INDEX(其他调用!$Y$185:$Y$223,MATCH($W26,其他调用!$T$185:$T$223,1))*求节点($G$34:$G$42,$K$34:$K$42,求节点($S$62:$S$70,$O$62:$O$70,$W26)),0))/6,1)</f>
        <v>0.19378070820622736</v>
      </c>
      <c r="AD26" s="8">
        <v>21</v>
      </c>
      <c r="AE26" s="8">
        <f>X26/士兵加成武将!W26</f>
        <v>0.9750375938795286</v>
      </c>
      <c r="AF26" s="8">
        <f>Y26/士兵加成武将!X26</f>
        <v>0.95195583102576609</v>
      </c>
      <c r="AG26" s="8">
        <f>Z26/士兵加成武将!Y26</f>
        <v>0.92838732444726346</v>
      </c>
      <c r="AH26" s="8">
        <f>AA26/士兵加成武将!Z26</f>
        <v>1.0261432518164206</v>
      </c>
      <c r="AI26" s="8">
        <f>AB26/士兵加成武将!AA26</f>
        <v>1.0227041624869286</v>
      </c>
    </row>
    <row r="27" spans="3:35" x14ac:dyDescent="0.15">
      <c r="G27" s="8">
        <v>7</v>
      </c>
      <c r="H27" s="10">
        <f t="shared" ref="H27:L27" si="8">ROUND(H13^(1/3),2)</f>
        <v>0.08</v>
      </c>
      <c r="I27" s="10">
        <f t="shared" si="8"/>
        <v>0.21</v>
      </c>
      <c r="J27" s="10">
        <f t="shared" si="8"/>
        <v>0.44</v>
      </c>
      <c r="K27" s="10">
        <f t="shared" si="8"/>
        <v>0.64</v>
      </c>
      <c r="L27" s="10">
        <f t="shared" si="8"/>
        <v>0.92</v>
      </c>
      <c r="O27" s="8">
        <v>7</v>
      </c>
      <c r="P27" s="10"/>
      <c r="Q27" s="15">
        <f>IFERROR(求节点(其他调用!AB$50:AB$88,其他调用!$T$50:$T$88,$O27),0)</f>
        <v>18.441198894595384</v>
      </c>
      <c r="R27" s="15">
        <f>IFERROR(求节点(其他调用!AC$50:AC$88,其他调用!$T$50:$T$88,$O27),0)</f>
        <v>76.652761034244691</v>
      </c>
      <c r="S27" s="15">
        <f>IFERROR(求节点(其他调用!AD$50:AD$88,其他调用!$T$50:$T$88,$O27),0)</f>
        <v>89.557268566744341</v>
      </c>
      <c r="T27" s="10"/>
      <c r="W27" s="8">
        <v>22</v>
      </c>
      <c r="X27" s="8">
        <f>MIN((IFERROR(INDEX(其他调用!$W$5:$W$43,MATCH($W27,其他调用!$T$5:$T$43,1))*求节点($G$34:$G$42,$I$34:$I$42,求节点($Q$6:$Q$14,$O$6:$O$14,$W27)),0)+IFERROR(INDEX(其他调用!$X$5:$X$43,MATCH($W27,其他调用!$T$5:$T$43,1))*求节点($G$34:$G$42,$J$34:$J$42,求节点($R$6:$R$14,$O$6:$O$14,$W27)),0)+IFERROR(INDEX(其他调用!$Y$5:$Y$43,MATCH($W27,其他调用!$T$5:$T$43,1))*求节点($G$34:$G$42,$K$34:$K$42,求节点($S$6:$S$14,$O$6:$O$14,$W27)),0))/6,1)</f>
        <v>0.16373899060316072</v>
      </c>
      <c r="Y27" s="8">
        <f>MIN((IFERROR(INDEX(其他调用!$W$50:$W$88,MATCH($W27,其他调用!$T$50:$T$88,1))*求节点($G$34:$G$42,$I$34:$I$42,求节点($Q$20:$Q$28,$O$20:$O$28,$W27)),0)+IFERROR(INDEX(其他调用!$X$50:$X$88,MATCH($W27,其他调用!$T$50:$T$88,1))*求节点($G$34:$G$42,$J$34:$J$42,求节点($R$20:$R$28,$O$20:$O$28,$W27)),0)+IFERROR(INDEX(其他调用!$Y$50:$Y$88,MATCH($W27,其他调用!$T$50:$T$88,1))*求节点($G$34:$G$42,$K$34:$K$42,求节点($S$20:$S$28,$O$20:$O$28,$W27)),0))/6,1)</f>
        <v>0.16501901838448463</v>
      </c>
      <c r="Z27" s="8">
        <f>MIN((IFERROR(INDEX(其他调用!$W$95:$W$133,MATCH($W27,其他调用!$T$95:$T$133,1))*求节点($G$34:$G$42,$I$34:$I$42,求节点($Q$34:$Q$42,$O$34:$O$42,$W27)),0)+IFERROR(INDEX(其他调用!$X$95:$X$133,MATCH($W27,其他调用!$T$95:$T$133,1))*求节点($G$34:$G$42,$J$34:$J$42,求节点($R$34:$R$42,$O$34:$O$42,$W27)),0)+IFERROR(INDEX(其他调用!$Y$95:$Y$133,MATCH($W27,其他调用!$T$95:$T$133,1))*求节点($G$34:$G$42,$K$34:$K$42,求节点($S$34:$S$42,$O$34:$O$42,$W27)),0))/6,1)</f>
        <v>0.16714483629928231</v>
      </c>
      <c r="AA27" s="8">
        <f>MIN((IFERROR(INDEX(其他调用!$W$140:$W$178,MATCH($W27,其他调用!$T$140:$T$178,1))*求节点($G$34:$G$42,$I$34:$I$42,求节点($Q$48:$Q$56,$O$48:$O$56,$W27)),0)+IFERROR(INDEX(其他调用!$X$140:$X$178,MATCH($W27,其他调用!$T$140:$T$178,1))*求节点($G$34:$G$42,$J$34:$J$42,求节点($R$48:$R$56,$O$48:$O$56,$W27)),0)+IFERROR(INDEX(其他调用!$Y$140:$Y$178,MATCH($W27,其他调用!$T$140:$T$178,1))*求节点($G$34:$G$42,$K$34:$K$42,求节点($S$48:$S$56,$O$48:$O$56,$W27)),0))/6,1)</f>
        <v>0.19017985558754325</v>
      </c>
      <c r="AB27" s="8">
        <f>MIN((IFERROR(INDEX(其他调用!$W$185:$W$223,MATCH($W27,其他调用!$T$185:$T$223,1))*求节点($G$34:$G$42,$I$34:$I$42,求节点($Q$62:$Q$70,$O$62:$O$70,$W27)),0)+IFERROR(INDEX(其他调用!$X$185:$X$223,MATCH($W27,其他调用!$T$185:$T$223,1))*求节点($G$34:$G$42,$J$34:$J$42,求节点($R$62:$R$70,$O$62:$O$70,$W27)),0)+IFERROR(INDEX(其他调用!$Y$185:$Y$223,MATCH($W27,其他调用!$T$185:$T$223,1))*求节点($G$34:$G$42,$K$34:$K$42,求节点($S$62:$S$70,$O$62:$O$70,$W27)),0))/6,1)</f>
        <v>0.19686302180545368</v>
      </c>
      <c r="AD27" s="8">
        <v>22</v>
      </c>
      <c r="AE27" s="8">
        <f>X27/士兵加成武将!W27</f>
        <v>0.95315094695141001</v>
      </c>
      <c r="AF27" s="8">
        <f>Y27/士兵加成武将!X27</f>
        <v>0.93310070155900415</v>
      </c>
      <c r="AG27" s="8">
        <f>Z27/士兵加成武将!Y27</f>
        <v>0.91582159830640286</v>
      </c>
      <c r="AH27" s="8">
        <f>AA27/士兵加成武将!Z27</f>
        <v>1.0064505437783013</v>
      </c>
      <c r="AI27" s="8">
        <f>AB27/士兵加成武将!AA27</f>
        <v>1.0058545568273434</v>
      </c>
    </row>
    <row r="28" spans="3:35" x14ac:dyDescent="0.15">
      <c r="G28" s="8">
        <v>8</v>
      </c>
      <c r="H28" s="10">
        <f t="shared" ref="H28:L28" si="9">ROUND(H14^(1/3),2)</f>
        <v>0.08</v>
      </c>
      <c r="I28" s="10">
        <f t="shared" si="9"/>
        <v>0.23</v>
      </c>
      <c r="J28" s="10">
        <f t="shared" si="9"/>
        <v>0.48</v>
      </c>
      <c r="K28" s="10">
        <f t="shared" si="9"/>
        <v>0.69</v>
      </c>
      <c r="L28" s="10">
        <f t="shared" si="9"/>
        <v>1</v>
      </c>
      <c r="O28" s="8">
        <v>8</v>
      </c>
      <c r="P28" s="10"/>
      <c r="Q28" s="15">
        <f>INDEX(其他调用!$T$50:$T$88,MATCH($O28,其他调用!AB$50:AB$88,0))</f>
        <v>19.766822802328868</v>
      </c>
      <c r="R28" s="15">
        <f>INDEX(其他调用!$T$50:$T$88,MATCH($O28,其他调用!AC$50:AC$88,0))</f>
        <v>77.609642525433856</v>
      </c>
      <c r="S28" s="15">
        <f>INDEX(其他调用!$T$50:$T$88,MATCH($O28,其他调用!AD$50:AD$88,0))</f>
        <v>96.770480813454071</v>
      </c>
      <c r="T28" s="10"/>
      <c r="W28" s="8">
        <v>23</v>
      </c>
      <c r="X28" s="8">
        <f>MIN((IFERROR(INDEX(其他调用!$W$5:$W$43,MATCH($W28,其他调用!$T$5:$T$43,1))*求节点($G$34:$G$42,$I$34:$I$42,求节点($Q$6:$Q$14,$O$6:$O$14,$W28)),0)+IFERROR(INDEX(其他调用!$X$5:$X$43,MATCH($W28,其他调用!$T$5:$T$43,1))*求节点($G$34:$G$42,$J$34:$J$42,求节点($R$6:$R$14,$O$6:$O$14,$W28)),0)+IFERROR(INDEX(其他调用!$Y$5:$Y$43,MATCH($W28,其他调用!$T$5:$T$43,1))*求节点($G$34:$G$42,$K$34:$K$42,求节点($S$6:$S$14,$O$6:$O$14,$W28)),0))/6,1)</f>
        <v>0.16560848590474106</v>
      </c>
      <c r="Y28" s="8">
        <f>MIN((IFERROR(INDEX(其他调用!$W$50:$W$88,MATCH($W28,其他调用!$T$50:$T$88,1))*求节点($G$34:$G$42,$I$34:$I$42,求节点($Q$20:$Q$28,$O$20:$O$28,$W28)),0)+IFERROR(INDEX(其他调用!$X$50:$X$88,MATCH($W28,其他调用!$T$50:$T$88,1))*求节点($G$34:$G$42,$J$34:$J$42,求节点($R$20:$R$28,$O$20:$O$28,$W28)),0)+IFERROR(INDEX(其他调用!$Y$50:$Y$88,MATCH($W28,其他调用!$T$50:$T$88,1))*求节点($G$34:$G$42,$K$34:$K$42,求节点($S$20:$S$28,$O$20:$O$28,$W28)),0))/6,1)</f>
        <v>0.16726649717377132</v>
      </c>
      <c r="Z28" s="8">
        <f>MIN((IFERROR(INDEX(其他调用!$W$95:$W$133,MATCH($W28,其他调用!$T$95:$T$133,1))*求节点($G$34:$G$42,$I$34:$I$42,求节点($Q$34:$Q$42,$O$34:$O$42,$W28)),0)+IFERROR(INDEX(其他调用!$X$95:$X$133,MATCH($W28,其他调用!$T$95:$T$133,1))*求节点($G$34:$G$42,$J$34:$J$42,求节点($R$34:$R$42,$O$34:$O$42,$W28)),0)+IFERROR(INDEX(其他调用!$Y$95:$Y$133,MATCH($W28,其他调用!$T$95:$T$133,1))*求节点($G$34:$G$42,$K$34:$K$42,求节点($S$34:$S$42,$O$34:$O$42,$W28)),0))/6,1)</f>
        <v>0.17039278185871329</v>
      </c>
      <c r="AA28" s="8">
        <f>MIN((IFERROR(INDEX(其他调用!$W$140:$W$178,MATCH($W28,其他调用!$T$140:$T$178,1))*求节点($G$34:$G$42,$I$34:$I$42,求节点($Q$48:$Q$56,$O$48:$O$56,$W28)),0)+IFERROR(INDEX(其他调用!$X$140:$X$178,MATCH($W28,其他调用!$T$140:$T$178,1))*求节点($G$34:$G$42,$J$34:$J$42,求节点($R$48:$R$56,$O$48:$O$56,$W28)),0)+IFERROR(INDEX(其他调用!$Y$140:$Y$178,MATCH($W28,其他调用!$T$140:$T$178,1))*求节点($G$34:$G$42,$K$34:$K$42,求节点($S$48:$S$56,$O$48:$O$56,$W28)),0))/6,1)</f>
        <v>0.19269539538179192</v>
      </c>
      <c r="AB28" s="8">
        <f>MIN((IFERROR(INDEX(其他调用!$W$185:$W$223,MATCH($W28,其他调用!$T$185:$T$223,1))*求节点($G$34:$G$42,$I$34:$I$42,求节点($Q$62:$Q$70,$O$62:$O$70,$W28)),0)+IFERROR(INDEX(其他调用!$X$185:$X$223,MATCH($W28,其他调用!$T$185:$T$223,1))*求节点($G$34:$G$42,$J$34:$J$42,求节点($R$62:$R$70,$O$62:$O$70,$W28)),0)+IFERROR(INDEX(其他调用!$Y$185:$Y$223,MATCH($W28,其他调用!$T$185:$T$223,1))*求节点($G$34:$G$42,$K$34:$K$42,求节点($S$62:$S$70,$O$62:$O$70,$W28)),0))/6,1)</f>
        <v>0.19994533540467999</v>
      </c>
      <c r="AD28" s="8">
        <v>23</v>
      </c>
      <c r="AE28" s="8">
        <f>X28/士兵加成武将!W28</f>
        <v>0.93268760772695003</v>
      </c>
      <c r="AF28" s="8">
        <f>Y28/士兵加成武将!X28</f>
        <v>0.91545578523873494</v>
      </c>
      <c r="AG28" s="8">
        <f>Z28/士兵加成武将!Y28</f>
        <v>0.90405174103309216</v>
      </c>
      <c r="AH28" s="8">
        <f>AA28/士兵加成武将!Z28</f>
        <v>0.98798516440270112</v>
      </c>
      <c r="AI28" s="8">
        <f>AB28/士兵加成武将!AA28</f>
        <v>0.9900459237401974</v>
      </c>
    </row>
    <row r="29" spans="3:35" x14ac:dyDescent="0.15">
      <c r="W29" s="8">
        <v>24</v>
      </c>
      <c r="X29" s="8">
        <f>MIN((IFERROR(INDEX(其他调用!$W$5:$W$43,MATCH($W29,其他调用!$T$5:$T$43,1))*求节点($G$34:$G$42,$I$34:$I$42,求节点($Q$6:$Q$14,$O$6:$O$14,$W29)),0)+IFERROR(INDEX(其他调用!$X$5:$X$43,MATCH($W29,其他调用!$T$5:$T$43,1))*求节点($G$34:$G$42,$J$34:$J$42,求节点($R$6:$R$14,$O$6:$O$14,$W29)),0)+IFERROR(INDEX(其他调用!$Y$5:$Y$43,MATCH($W29,其他调用!$T$5:$T$43,1))*求节点($G$34:$G$42,$K$34:$K$42,求节点($S$6:$S$14,$O$6:$O$14,$W29)),0))/6,1)</f>
        <v>0.16747798120632143</v>
      </c>
      <c r="Y29" s="8">
        <f>MIN((IFERROR(INDEX(其他调用!$W$50:$W$88,MATCH($W29,其他调用!$T$50:$T$88,1))*求节点($G$34:$G$42,$I$34:$I$42,求节点($Q$20:$Q$28,$O$20:$O$28,$W29)),0)+IFERROR(INDEX(其他调用!$X$50:$X$88,MATCH($W29,其他调用!$T$50:$T$88,1))*求节点($G$34:$G$42,$J$34:$J$42,求节点($R$20:$R$28,$O$20:$O$28,$W29)),0)+IFERROR(INDEX(其他调用!$Y$50:$Y$88,MATCH($W29,其他调用!$T$50:$T$88,1))*求节点($G$34:$G$42,$K$34:$K$42,求节点($S$20:$S$28,$O$20:$O$28,$W29)),0))/6,1)</f>
        <v>0.16951397596305809</v>
      </c>
      <c r="Z29" s="8">
        <f>MIN((IFERROR(INDEX(其他调用!$W$95:$W$133,MATCH($W29,其他调用!$T$95:$T$133,1))*求节点($G$34:$G$42,$I$34:$I$42,求节点($Q$34:$Q$42,$O$34:$O$42,$W29)),0)+IFERROR(INDEX(其他调用!$X$95:$X$133,MATCH($W29,其他调用!$T$95:$T$133,1))*求节点($G$34:$G$42,$J$34:$J$42,求节点($R$34:$R$42,$O$34:$O$42,$W29)),0)+IFERROR(INDEX(其他调用!$Y$95:$Y$133,MATCH($W29,其他调用!$T$95:$T$133,1))*求节点($G$34:$G$42,$K$34:$K$42,求节点($S$34:$S$42,$O$34:$O$42,$W29)),0))/6,1)</f>
        <v>0.17364072741814421</v>
      </c>
      <c r="AA29" s="8">
        <f>MIN((IFERROR(INDEX(其他调用!$W$140:$W$178,MATCH($W29,其他调用!$T$140:$T$178,1))*求节点($G$34:$G$42,$I$34:$I$42,求节点($Q$48:$Q$56,$O$48:$O$56,$W29)),0)+IFERROR(INDEX(其他调用!$X$140:$X$178,MATCH($W29,其他调用!$T$140:$T$178,1))*求节点($G$34:$G$42,$J$34:$J$42,求节点($R$48:$R$56,$O$48:$O$56,$W29)),0)+IFERROR(INDEX(其他调用!$Y$140:$Y$178,MATCH($W29,其他调用!$T$140:$T$178,1))*求节点($G$34:$G$42,$K$34:$K$42,求节点($S$48:$S$56,$O$48:$O$56,$W29)),0))/6,1)</f>
        <v>0.19521093517604057</v>
      </c>
      <c r="AB29" s="8">
        <f>MIN((IFERROR(INDEX(其他调用!$W$185:$W$223,MATCH($W29,其他调用!$T$185:$T$223,1))*求节点($G$34:$G$42,$I$34:$I$42,求节点($Q$62:$Q$70,$O$62:$O$70,$W29)),0)+IFERROR(INDEX(其他调用!$X$185:$X$223,MATCH($W29,其他调用!$T$185:$T$223,1))*求节点($G$34:$G$42,$J$34:$J$42,求节点($R$62:$R$70,$O$62:$O$70,$W29)),0)+IFERROR(INDEX(其他调用!$Y$185:$Y$223,MATCH($W29,其他调用!$T$185:$T$223,1))*求节点($G$34:$G$42,$K$34:$K$42,求节点($S$62:$S$70,$O$62:$O$70,$W29)),0))/6,1)</f>
        <v>0.20537480930767471</v>
      </c>
      <c r="AD29" s="8">
        <v>24</v>
      </c>
      <c r="AE29" s="8">
        <f>X29/士兵加成武将!W29</f>
        <v>0.9135131100239996</v>
      </c>
      <c r="AF29" s="8">
        <f>Y29/士兵加成武将!X29</f>
        <v>0.8989081890977102</v>
      </c>
      <c r="AG29" s="8">
        <f>Z29/士兵加成武将!Y29</f>
        <v>0.89300446230350294</v>
      </c>
      <c r="AH29" s="8">
        <f>AA29/士兵加成武将!Z29</f>
        <v>0.97063584302897854</v>
      </c>
      <c r="AI29" s="8">
        <f>AB29/士兵加成武将!AA29</f>
        <v>0.98645859329009244</v>
      </c>
    </row>
    <row r="30" spans="3:35" x14ac:dyDescent="0.15">
      <c r="W30" s="8">
        <v>25</v>
      </c>
      <c r="X30" s="8">
        <f>MIN((IFERROR(INDEX(其他调用!$W$5:$W$43,MATCH($W30,其他调用!$T$5:$T$43,1))*求节点($G$34:$G$42,$I$34:$I$42,求节点($Q$6:$Q$14,$O$6:$O$14,$W30)),0)+IFERROR(INDEX(其他调用!$X$5:$X$43,MATCH($W30,其他调用!$T$5:$T$43,1))*求节点($G$34:$G$42,$J$34:$J$42,求节点($R$6:$R$14,$O$6:$O$14,$W30)),0)+IFERROR(INDEX(其他调用!$Y$5:$Y$43,MATCH($W30,其他调用!$T$5:$T$43,1))*求节点($G$34:$G$42,$K$34:$K$42,求节点($S$6:$S$14,$O$6:$O$14,$W30)),0))/6,1)</f>
        <v>0.1693474765079018</v>
      </c>
      <c r="Y30" s="8">
        <f>MIN((IFERROR(INDEX(其他调用!$W$50:$W$88,MATCH($W30,其他调用!$T$50:$T$88,1))*求节点($G$34:$G$42,$I$34:$I$42,求节点($Q$20:$Q$28,$O$20:$O$28,$W30)),0)+IFERROR(INDEX(其他调用!$X$50:$X$88,MATCH($W30,其他调用!$T$50:$T$88,1))*求节点($G$34:$G$42,$J$34:$J$42,求节点($R$20:$R$28,$O$20:$O$28,$W30)),0)+IFERROR(INDEX(其他调用!$Y$50:$Y$88,MATCH($W30,其他调用!$T$50:$T$88,1))*求节点($G$34:$G$42,$K$34:$K$42,求节点($S$20:$S$28,$O$20:$O$28,$W30)),0))/6,1)</f>
        <v>0.17176145475234481</v>
      </c>
      <c r="Z30" s="8">
        <f>MIN((IFERROR(INDEX(其他调用!$W$95:$W$133,MATCH($W30,其他调用!$T$95:$T$133,1))*求节点($G$34:$G$42,$I$34:$I$42,求节点($Q$34:$Q$42,$O$34:$O$42,$W30)),0)+IFERROR(INDEX(其他调用!$X$95:$X$133,MATCH($W30,其他调用!$T$95:$T$133,1))*求节点($G$34:$G$42,$J$34:$J$42,求节点($R$34:$R$42,$O$34:$O$42,$W30)),0)+IFERROR(INDEX(其他调用!$Y$95:$Y$133,MATCH($W30,其他调用!$T$95:$T$133,1))*求节点($G$34:$G$42,$K$34:$K$42,求节点($S$34:$S$42,$O$34:$O$42,$W30)),0))/6,1)</f>
        <v>0.17688867297757516</v>
      </c>
      <c r="AA30" s="8">
        <f>MIN((IFERROR(INDEX(其他调用!$W$140:$W$178,MATCH($W30,其他调用!$T$140:$T$178,1))*求节点($G$34:$G$42,$I$34:$I$42,求节点($Q$48:$Q$56,$O$48:$O$56,$W30)),0)+IFERROR(INDEX(其他调用!$X$140:$X$178,MATCH($W30,其他调用!$T$140:$T$178,1))*求节点($G$34:$G$42,$J$34:$J$42,求节点($R$48:$R$56,$O$48:$O$56,$W30)),0)+IFERROR(INDEX(其他调用!$Y$140:$Y$178,MATCH($W30,其他调用!$T$140:$T$178,1))*求节点($G$34:$G$42,$K$34:$K$42,求节点($S$48:$S$56,$O$48:$O$56,$W30)),0))/6,1)</f>
        <v>0.19772647497028925</v>
      </c>
      <c r="AB30" s="8">
        <f>MIN((IFERROR(INDEX(其他调用!$W$185:$W$223,MATCH($W30,其他调用!$T$185:$T$223,1))*求节点($G$34:$G$42,$I$34:$I$42,求节点($Q$62:$Q$70,$O$62:$O$70,$W30)),0)+IFERROR(INDEX(其他调用!$X$185:$X$223,MATCH($W30,其他调用!$T$185:$T$223,1))*求节点($G$34:$G$42,$J$34:$J$42,求节点($R$62:$R$70,$O$62:$O$70,$W30)),0)+IFERROR(INDEX(其他调用!$Y$185:$Y$223,MATCH($W30,其他调用!$T$185:$T$223,1))*求节点($G$34:$G$42,$K$34:$K$42,求节点($S$62:$S$70,$O$62:$O$70,$W30)),0))/6,1)</f>
        <v>0.21084666149427869</v>
      </c>
      <c r="AD30" s="8">
        <v>25</v>
      </c>
      <c r="AE30" s="8">
        <f>X30/士兵加成武将!W30</f>
        <v>0.89550940869219209</v>
      </c>
      <c r="AF30" s="8">
        <f>Y30/士兵加成武将!X30</f>
        <v>0.88335863813232518</v>
      </c>
      <c r="AG30" s="8">
        <f>Z30/士兵加成武将!Y30</f>
        <v>0.88261520271058802</v>
      </c>
      <c r="AH30" s="8">
        <f>AA30/士兵加成武将!Z30</f>
        <v>0.95430436496508986</v>
      </c>
      <c r="AI30" s="8">
        <f>AB30/士兵加成武将!AA30</f>
        <v>0.98327762348601</v>
      </c>
    </row>
    <row r="31" spans="3:35" x14ac:dyDescent="0.15">
      <c r="W31" s="8">
        <v>26</v>
      </c>
      <c r="X31" s="8">
        <f>MIN((IFERROR(INDEX(其他调用!$W$5:$W$43,MATCH($W31,其他调用!$T$5:$T$43,1))*求节点($G$34:$G$42,$I$34:$I$42,求节点($Q$6:$Q$14,$O$6:$O$14,$W31)),0)+IFERROR(INDEX(其他调用!$X$5:$X$43,MATCH($W31,其他调用!$T$5:$T$43,1))*求节点($G$34:$G$42,$J$34:$J$42,求节点($R$6:$R$14,$O$6:$O$14,$W31)),0)+IFERROR(INDEX(其他调用!$Y$5:$Y$43,MATCH($W31,其他调用!$T$5:$T$43,1))*求节点($G$34:$G$42,$K$34:$K$42,求节点($S$6:$S$14,$O$6:$O$14,$W31)),0))/6,1)</f>
        <v>0.17121697180948214</v>
      </c>
      <c r="Y31" s="8">
        <f>MIN((IFERROR(INDEX(其他调用!$W$50:$W$88,MATCH($W31,其他调用!$T$50:$T$88,1))*求节点($G$34:$G$42,$I$34:$I$42,求节点($Q$20:$Q$28,$O$20:$O$28,$W31)),0)+IFERROR(INDEX(其他调用!$X$50:$X$88,MATCH($W31,其他调用!$T$50:$T$88,1))*求节点($G$34:$G$42,$J$34:$J$42,求节点($R$20:$R$28,$O$20:$O$28,$W31)),0)+IFERROR(INDEX(其他调用!$Y$50:$Y$88,MATCH($W31,其他调用!$T$50:$T$88,1))*求节点($G$34:$G$42,$K$34:$K$42,求节点($S$20:$S$28,$O$20:$O$28,$W31)),0))/6,1)</f>
        <v>0.17400893354163152</v>
      </c>
      <c r="Z31" s="8">
        <f>MIN((IFERROR(INDEX(其他调用!$W$95:$W$133,MATCH($W31,其他调用!$T$95:$T$133,1))*求节点($G$34:$G$42,$I$34:$I$42,求节点($Q$34:$Q$42,$O$34:$O$42,$W31)),0)+IFERROR(INDEX(其他调用!$X$95:$X$133,MATCH($W31,其他调用!$T$95:$T$133,1))*求节点($G$34:$G$42,$J$34:$J$42,求节点($R$34:$R$42,$O$34:$O$42,$W31)),0)+IFERROR(INDEX(其他调用!$Y$95:$Y$133,MATCH($W31,其他调用!$T$95:$T$133,1))*求节点($G$34:$G$42,$K$34:$K$42,求节点($S$34:$S$42,$O$34:$O$42,$W31)),0))/6,1)</f>
        <v>0.1801366185370061</v>
      </c>
      <c r="AA31" s="8">
        <f>MIN((IFERROR(INDEX(其他调用!$W$140:$W$178,MATCH($W31,其他调用!$T$140:$T$178,1))*求节点($G$34:$G$42,$I$34:$I$42,求节点($Q$48:$Q$56,$O$48:$O$56,$W31)),0)+IFERROR(INDEX(其他调用!$X$140:$X$178,MATCH($W31,其他调用!$T$140:$T$178,1))*求节点($G$34:$G$42,$J$34:$J$42,求节点($R$48:$R$56,$O$48:$O$56,$W31)),0)+IFERROR(INDEX(其他调用!$Y$140:$Y$178,MATCH($W31,其他调用!$T$140:$T$178,1))*求节点($G$34:$G$42,$K$34:$K$42,求节点($S$48:$S$56,$O$48:$O$56,$W31)),0))/6,1)</f>
        <v>0.20061799701191765</v>
      </c>
      <c r="AB31" s="8">
        <f>MIN((IFERROR(INDEX(其他调用!$W$185:$W$223,MATCH($W31,其他调用!$T$185:$T$223,1))*求节点($G$34:$G$42,$I$34:$I$42,求节点($Q$62:$Q$70,$O$62:$O$70,$W31)),0)+IFERROR(INDEX(其他调用!$X$185:$X$223,MATCH($W31,其他调用!$T$185:$T$223,1))*求节点($G$34:$G$42,$J$34:$J$42,求节点($R$62:$R$70,$O$62:$O$70,$W31)),0)+IFERROR(INDEX(其他调用!$Y$185:$Y$223,MATCH($W31,其他调用!$T$185:$T$223,1))*求节点($G$34:$G$42,$K$34:$K$42,求节点($S$62:$S$70,$O$62:$O$70,$W31)),0))/6,1)</f>
        <v>0.21631851368088265</v>
      </c>
      <c r="AD31" s="8">
        <v>26</v>
      </c>
      <c r="AE31" s="8">
        <f>X31/士兵加成武将!W31</f>
        <v>0.87857244720078365</v>
      </c>
      <c r="AF31" s="8">
        <f>Y31/士兵加成武将!X31</f>
        <v>0.8687194820417965</v>
      </c>
      <c r="AG31" s="8">
        <f>Z31/士兵加成武将!Y31</f>
        <v>0.87282687124545733</v>
      </c>
      <c r="AH31" s="8">
        <f>AA31/士兵加成武将!Z31</f>
        <v>0.94066663352270929</v>
      </c>
      <c r="AI31" s="8">
        <f>AB31/士兵加成武将!AA31</f>
        <v>0.98027650761250951</v>
      </c>
    </row>
    <row r="32" spans="3:35" x14ac:dyDescent="0.15">
      <c r="H32" s="19" t="s">
        <v>43</v>
      </c>
      <c r="I32" s="19"/>
      <c r="J32" s="19"/>
      <c r="K32" s="19"/>
      <c r="L32" s="19"/>
      <c r="P32" s="19" t="s">
        <v>53</v>
      </c>
      <c r="Q32" s="19"/>
      <c r="R32" s="19"/>
      <c r="S32" s="19"/>
      <c r="T32" s="19"/>
      <c r="W32" s="8">
        <v>27</v>
      </c>
      <c r="X32" s="8">
        <f>MIN((IFERROR(INDEX(其他调用!$W$5:$W$43,MATCH($W32,其他调用!$T$5:$T$43,1))*求节点($G$34:$G$42,$I$34:$I$42,求节点($Q$6:$Q$14,$O$6:$O$14,$W32)),0)+IFERROR(INDEX(其他调用!$X$5:$X$43,MATCH($W32,其他调用!$T$5:$T$43,1))*求节点($G$34:$G$42,$J$34:$J$42,求节点($R$6:$R$14,$O$6:$O$14,$W32)),0)+IFERROR(INDEX(其他调用!$Y$5:$Y$43,MATCH($W32,其他调用!$T$5:$T$43,1))*求节点($G$34:$G$42,$K$34:$K$42,求节点($S$6:$S$14,$O$6:$O$14,$W32)),0))/6,1)</f>
        <v>0.17308646711106249</v>
      </c>
      <c r="Y32" s="8">
        <f>MIN((IFERROR(INDEX(其他调用!$W$50:$W$88,MATCH($W32,其他调用!$T$50:$T$88,1))*求节点($G$34:$G$42,$I$34:$I$42,求节点($Q$20:$Q$28,$O$20:$O$28,$W32)),0)+IFERROR(INDEX(其他调用!$X$50:$X$88,MATCH($W32,其他调用!$T$50:$T$88,1))*求节点($G$34:$G$42,$J$34:$J$42,求节点($R$20:$R$28,$O$20:$O$28,$W32)),0)+IFERROR(INDEX(其他调用!$Y$50:$Y$88,MATCH($W32,其他调用!$T$50:$T$88,1))*求节点($G$34:$G$42,$K$34:$K$42,求节点($S$20:$S$28,$O$20:$O$28,$W32)),0))/6,1)</f>
        <v>0.17625641233091824</v>
      </c>
      <c r="Z32" s="8">
        <f>MIN((IFERROR(INDEX(其他调用!$W$95:$W$133,MATCH($W32,其他调用!$T$95:$T$133,1))*求节点($G$34:$G$42,$I$34:$I$42,求节点($Q$34:$Q$42,$O$34:$O$42,$W32)),0)+IFERROR(INDEX(其他调用!$X$95:$X$133,MATCH($W32,其他调用!$T$95:$T$133,1))*求节点($G$34:$G$42,$J$34:$J$42,求节点($R$34:$R$42,$O$34:$O$42,$W32)),0)+IFERROR(INDEX(其他调用!$Y$95:$Y$133,MATCH($W32,其他调用!$T$95:$T$133,1))*求节点($G$34:$G$42,$K$34:$K$42,求节点($S$34:$S$42,$O$34:$O$42,$W32)),0))/6,1)</f>
        <v>0.18338456409643702</v>
      </c>
      <c r="AA32" s="8">
        <f>MIN((IFERROR(INDEX(其他调用!$W$140:$W$178,MATCH($W32,其他调用!$T$140:$T$178,1))*求节点($G$34:$G$42,$I$34:$I$42,求节点($Q$48:$Q$56,$O$48:$O$56,$W32)),0)+IFERROR(INDEX(其他调用!$X$140:$X$178,MATCH($W32,其他调用!$T$140:$T$178,1))*求节点($G$34:$G$42,$J$34:$J$42,求节点($R$48:$R$56,$O$48:$O$56,$W32)),0)+IFERROR(INDEX(其他调用!$Y$140:$Y$178,MATCH($W32,其他调用!$T$140:$T$178,1))*求节点($G$34:$G$42,$K$34:$K$42,求节点($S$48:$S$56,$O$48:$O$56,$W32)),0))/6,1)</f>
        <v>0.20704155583558778</v>
      </c>
      <c r="AB32" s="8">
        <f>MIN((IFERROR(INDEX(其他调用!$W$185:$W$223,MATCH($W32,其他调用!$T$185:$T$223,1))*求节点($G$34:$G$42,$I$34:$I$42,求节点($Q$62:$Q$70,$O$62:$O$70,$W32)),0)+IFERROR(INDEX(其他调用!$X$185:$X$223,MATCH($W32,其他调用!$T$185:$T$223,1))*求节点($G$34:$G$42,$J$34:$J$42,求节点($R$62:$R$70,$O$62:$O$70,$W32)),0)+IFERROR(INDEX(其他调用!$Y$185:$Y$223,MATCH($W32,其他调用!$T$185:$T$223,1))*求节点($G$34:$G$42,$K$34:$K$42,求节点($S$62:$S$70,$O$62:$O$70,$W32)),0))/6,1)</f>
        <v>0.22179036586748666</v>
      </c>
      <c r="AD32" s="8">
        <v>27</v>
      </c>
      <c r="AE32" s="8">
        <f>X32/士兵加成武将!W32</f>
        <v>0.86261014515544232</v>
      </c>
      <c r="AF32" s="8">
        <f>Y32/士兵加成武将!X32</f>
        <v>0.85491304211409713</v>
      </c>
      <c r="AG32" s="8">
        <f>Z32/士兵加成武将!Y32</f>
        <v>0.86358879569809599</v>
      </c>
      <c r="AH32" s="8">
        <f>AA32/士兵加成武将!Z32</f>
        <v>0.94388694810779061</v>
      </c>
      <c r="AI32" s="8">
        <f>AB32/士兵加成武将!AA32</f>
        <v>0.97744041146419158</v>
      </c>
    </row>
    <row r="33" spans="7:35" x14ac:dyDescent="0.15">
      <c r="G33" s="8" t="s">
        <v>33</v>
      </c>
      <c r="H33" s="8">
        <v>100</v>
      </c>
      <c r="I33" s="8">
        <v>110</v>
      </c>
      <c r="J33" s="8">
        <v>120</v>
      </c>
      <c r="K33" s="8">
        <v>130</v>
      </c>
      <c r="L33" s="8">
        <v>140</v>
      </c>
      <c r="O33" s="8" t="s">
        <v>33</v>
      </c>
      <c r="P33" s="8">
        <v>100</v>
      </c>
      <c r="Q33" s="8">
        <v>110</v>
      </c>
      <c r="R33" s="8">
        <v>120</v>
      </c>
      <c r="S33" s="8">
        <v>130</v>
      </c>
      <c r="T33" s="8">
        <v>140</v>
      </c>
      <c r="W33" s="8">
        <v>28</v>
      </c>
      <c r="X33" s="8">
        <f>MIN((IFERROR(INDEX(其他调用!$W$5:$W$43,MATCH($W33,其他调用!$T$5:$T$43,1))*求节点($G$34:$G$42,$I$34:$I$42,求节点($Q$6:$Q$14,$O$6:$O$14,$W33)),0)+IFERROR(INDEX(其他调用!$X$5:$X$43,MATCH($W33,其他调用!$T$5:$T$43,1))*求节点($G$34:$G$42,$J$34:$J$42,求节点($R$6:$R$14,$O$6:$O$14,$W33)),0)+IFERROR(INDEX(其他调用!$Y$5:$Y$43,MATCH($W33,其他调用!$T$5:$T$43,1))*求节点($G$34:$G$42,$K$34:$K$42,求节点($S$6:$S$14,$O$6:$O$14,$W33)),0))/6,1)</f>
        <v>0.17495596241264286</v>
      </c>
      <c r="Y33" s="8">
        <f>MIN((IFERROR(INDEX(其他调用!$W$50:$W$88,MATCH($W33,其他调用!$T$50:$T$88,1))*求节点($G$34:$G$42,$I$34:$I$42,求节点($Q$20:$Q$28,$O$20:$O$28,$W33)),0)+IFERROR(INDEX(其他调用!$X$50:$X$88,MATCH($W33,其他调用!$T$50:$T$88,1))*求节点($G$34:$G$42,$J$34:$J$42,求节点($R$20:$R$28,$O$20:$O$28,$W33)),0)+IFERROR(INDEX(其他调用!$Y$50:$Y$88,MATCH($W33,其他调用!$T$50:$T$88,1))*求节点($G$34:$G$42,$K$34:$K$42,求节点($S$20:$S$28,$O$20:$O$28,$W33)),0))/6,1)</f>
        <v>0.17850389112020495</v>
      </c>
      <c r="Z33" s="8">
        <f>MIN((IFERROR(INDEX(其他调用!$W$95:$W$133,MATCH($W33,其他调用!$T$95:$T$133,1))*求节点($G$34:$G$42,$I$34:$I$42,求节点($Q$34:$Q$42,$O$34:$O$42,$W33)),0)+IFERROR(INDEX(其他调用!$X$95:$X$133,MATCH($W33,其他调用!$T$95:$T$133,1))*求节点($G$34:$G$42,$J$34:$J$42,求节点($R$34:$R$42,$O$34:$O$42,$W33)),0)+IFERROR(INDEX(其他调用!$Y$95:$Y$133,MATCH($W33,其他调用!$T$95:$T$133,1))*求节点($G$34:$G$42,$K$34:$K$42,求节点($S$34:$S$42,$O$34:$O$42,$W33)),0))/6,1)</f>
        <v>0.186632509655868</v>
      </c>
      <c r="AA33" s="8">
        <f>MIN((IFERROR(INDEX(其他调用!$W$140:$W$178,MATCH($W33,其他调用!$T$140:$T$178,1))*求节点($G$34:$G$42,$I$34:$I$42,求节点($Q$48:$Q$56,$O$48:$O$56,$W33)),0)+IFERROR(INDEX(其他调用!$X$140:$X$178,MATCH($W33,其他调用!$T$140:$T$178,1))*求节点($G$34:$G$42,$J$34:$J$42,求节点($R$48:$R$56,$O$48:$O$56,$W33)),0)+IFERROR(INDEX(其他调用!$Y$140:$Y$178,MATCH($W33,其他调用!$T$140:$T$178,1))*求节点($G$34:$G$42,$K$34:$K$42,求节点($S$48:$S$56,$O$48:$O$56,$W33)),0))/6,1)</f>
        <v>0.21346511465925791</v>
      </c>
      <c r="AB33" s="8">
        <f>MIN((IFERROR(INDEX(其他调用!$W$185:$W$223,MATCH($W33,其他调用!$T$185:$T$223,1))*求节点($G$34:$G$42,$I$34:$I$42,求节点($Q$62:$Q$70,$O$62:$O$70,$W33)),0)+IFERROR(INDEX(其他调用!$X$185:$X$223,MATCH($W33,其他调用!$T$185:$T$223,1))*求节点($G$34:$G$42,$J$34:$J$42,求节点($R$62:$R$70,$O$62:$O$70,$W33)),0)+IFERROR(INDEX(其他调用!$Y$185:$Y$223,MATCH($W33,其他调用!$T$185:$T$223,1))*求节点($G$34:$G$42,$K$34:$K$42,求节点($S$62:$S$70,$O$62:$O$70,$W33)),0))/6,1)</f>
        <v>0.22726221805409064</v>
      </c>
      <c r="AD33" s="8">
        <v>28</v>
      </c>
      <c r="AE33" s="8">
        <f>X33/士兵加成武将!W33</f>
        <v>0.84754072353077348</v>
      </c>
      <c r="AF33" s="8">
        <f>Y33/士兵加成武将!X33</f>
        <v>0.84187023241168446</v>
      </c>
      <c r="AG33" s="8">
        <f>Z33/士兵加成武将!Y33</f>
        <v>0.85485584522995006</v>
      </c>
      <c r="AH33" s="8">
        <f>AA33/士兵加成武将!Z33</f>
        <v>0.94693361569861656</v>
      </c>
      <c r="AI33" s="8">
        <f>AB33/士兵加成武将!AA33</f>
        <v>0.97475608853579077</v>
      </c>
    </row>
    <row r="34" spans="7:35" x14ac:dyDescent="0.15">
      <c r="G34" s="8">
        <v>0</v>
      </c>
      <c r="H34" s="10">
        <v>0</v>
      </c>
      <c r="I34" s="10">
        <v>0.08</v>
      </c>
      <c r="J34" s="10">
        <v>0.16</v>
      </c>
      <c r="K34" s="10">
        <v>0.24</v>
      </c>
      <c r="L34" s="10">
        <v>0.36</v>
      </c>
      <c r="O34" s="8">
        <v>0</v>
      </c>
      <c r="P34" s="10"/>
      <c r="Q34" s="15">
        <f>IFERROR(求节点(其他调用!AB$95:AB$133,其他调用!$T$95:$T$133,$O34),0)</f>
        <v>0</v>
      </c>
      <c r="R34" s="15">
        <f>IFERROR(求节点(其他调用!AC$95:AC$133,其他调用!$T$95:$T$133,$O34),0)</f>
        <v>19.800198258084681</v>
      </c>
      <c r="S34" s="15">
        <f>IFERROR(求节点(其他调用!AD$95:AD$133,其他调用!$T$95:$T$133,$O34),0)</f>
        <v>53.212684955585161</v>
      </c>
      <c r="T34" s="10"/>
      <c r="W34" s="8">
        <v>29</v>
      </c>
      <c r="X34" s="8">
        <f>MIN((IFERROR(INDEX(其他调用!$W$5:$W$43,MATCH($W34,其他调用!$T$5:$T$43,1))*求节点($G$34:$G$42,$I$34:$I$42,求节点($Q$6:$Q$14,$O$6:$O$14,$W34)),0)+IFERROR(INDEX(其他调用!$X$5:$X$43,MATCH($W34,其他调用!$T$5:$T$43,1))*求节点($G$34:$G$42,$J$34:$J$42,求节点($R$6:$R$14,$O$6:$O$14,$W34)),0)+IFERROR(INDEX(其他调用!$Y$5:$Y$43,MATCH($W34,其他调用!$T$5:$T$43,1))*求节点($G$34:$G$42,$K$34:$K$42,求节点($S$6:$S$14,$O$6:$O$14,$W34)),0))/6,1)</f>
        <v>0.1768254577142232</v>
      </c>
      <c r="Y34" s="8">
        <f>MIN((IFERROR(INDEX(其他调用!$W$50:$W$88,MATCH($W34,其他调用!$T$50:$T$88,1))*求节点($G$34:$G$42,$I$34:$I$42,求节点($Q$20:$Q$28,$O$20:$O$28,$W34)),0)+IFERROR(INDEX(其他调用!$X$50:$X$88,MATCH($W34,其他调用!$T$50:$T$88,1))*求节点($G$34:$G$42,$J$34:$J$42,求节点($R$20:$R$28,$O$20:$O$28,$W34)),0)+IFERROR(INDEX(其他调用!$Y$50:$Y$88,MATCH($W34,其他调用!$T$50:$T$88,1))*求节点($G$34:$G$42,$K$34:$K$42,求节点($S$20:$S$28,$O$20:$O$28,$W34)),0))/6,1)</f>
        <v>0.1807513699094917</v>
      </c>
      <c r="Z34" s="8">
        <f>MIN((IFERROR(INDEX(其他调用!$W$95:$W$133,MATCH($W34,其他调用!$T$95:$T$133,1))*求节点($G$34:$G$42,$I$34:$I$42,求节点($Q$34:$Q$42,$O$34:$O$42,$W34)),0)+IFERROR(INDEX(其他调用!$X$95:$X$133,MATCH($W34,其他调用!$T$95:$T$133,1))*求节点($G$34:$G$42,$J$34:$J$42,求节点($R$34:$R$42,$O$34:$O$42,$W34)),0)+IFERROR(INDEX(其他调用!$Y$95:$Y$133,MATCH($W34,其他调用!$T$95:$T$133,1))*求节点($G$34:$G$42,$K$34:$K$42,求节点($S$34:$S$42,$O$34:$O$42,$W34)),0))/6,1)</f>
        <v>0.18988045521529895</v>
      </c>
      <c r="AA34" s="8">
        <f>MIN((IFERROR(INDEX(其他调用!$W$140:$W$178,MATCH($W34,其他调用!$T$140:$T$178,1))*求节点($G$34:$G$42,$I$34:$I$42,求节点($Q$48:$Q$56,$O$48:$O$56,$W34)),0)+IFERROR(INDEX(其他调用!$X$140:$X$178,MATCH($W34,其他调用!$T$140:$T$178,1))*求节点($G$34:$G$42,$J$34:$J$42,求节点($R$48:$R$56,$O$48:$O$56,$W34)),0)+IFERROR(INDEX(其他调用!$Y$140:$Y$178,MATCH($W34,其他调用!$T$140:$T$178,1))*求节点($G$34:$G$42,$K$34:$K$42,求节点($S$48:$S$56,$O$48:$O$56,$W34)),0))/6,1)</f>
        <v>0.21988867348292804</v>
      </c>
      <c r="AB34" s="8">
        <f>MIN((IFERROR(INDEX(其他调用!$W$185:$W$223,MATCH($W34,其他调用!$T$185:$T$223,1))*求节点($G$34:$G$42,$I$34:$I$42,求节点($Q$62:$Q$70,$O$62:$O$70,$W34)),0)+IFERROR(INDEX(其他调用!$X$185:$X$223,MATCH($W34,其他调用!$T$185:$T$223,1))*求节点($G$34:$G$42,$J$34:$J$42,求节点($R$62:$R$70,$O$62:$O$70,$W34)),0)+IFERROR(INDEX(其他调用!$Y$185:$Y$223,MATCH($W34,其他调用!$T$185:$T$223,1))*求节点($G$34:$G$42,$K$34:$K$42,求节点($S$62:$S$70,$O$62:$O$70,$W34)),0))/6,1)</f>
        <v>0.23273407024069462</v>
      </c>
      <c r="AD34" s="8">
        <v>29</v>
      </c>
      <c r="AE34" s="8">
        <f>X34/士兵加成武将!W34</f>
        <v>0.83329130329986589</v>
      </c>
      <c r="AF34" s="8">
        <f>Y34/士兵加成武将!X34</f>
        <v>0.82952940358592686</v>
      </c>
      <c r="AG34" s="8">
        <f>Z34/士兵加成武将!Y34</f>
        <v>0.84658769304581638</v>
      </c>
      <c r="AH34" s="8">
        <f>AA34/士兵加成武将!Z34</f>
        <v>0.94982031274799772</v>
      </c>
      <c r="AI34" s="8">
        <f>AB34/士兵加成武将!AA34</f>
        <v>0.97221167314392409</v>
      </c>
    </row>
    <row r="35" spans="7:35" x14ac:dyDescent="0.15">
      <c r="G35" s="8">
        <v>1</v>
      </c>
      <c r="H35" s="10">
        <v>0.01</v>
      </c>
      <c r="I35" s="10">
        <v>0.1</v>
      </c>
      <c r="J35" s="10">
        <v>0.2</v>
      </c>
      <c r="K35" s="10">
        <v>0.3</v>
      </c>
      <c r="L35" s="10">
        <v>0.44</v>
      </c>
      <c r="O35" s="8">
        <v>1</v>
      </c>
      <c r="P35" s="10"/>
      <c r="Q35" s="15">
        <f>IFERROR(求节点(其他调用!AB$95:AB$133,其他调用!$T$95:$T$133,$O35),0)</f>
        <v>0</v>
      </c>
      <c r="R35" s="15">
        <f>IFERROR(求节点(其他调用!AC$95:AC$133,其他调用!$T$95:$T$133,$O35),0)</f>
        <v>32.11567561695032</v>
      </c>
      <c r="S35" s="15">
        <f>IFERROR(求节点(其他调用!AD$95:AD$133,其他调用!$T$95:$T$133,$O35),0)</f>
        <v>58.846734383290737</v>
      </c>
      <c r="T35" s="10"/>
      <c r="W35" s="8">
        <v>30</v>
      </c>
      <c r="X35" s="8">
        <f>MIN((IFERROR(INDEX(其他调用!$W$5:$W$43,MATCH($W35,其他调用!$T$5:$T$43,1))*求节点($G$34:$G$42,$I$34:$I$42,求节点($Q$6:$Q$14,$O$6:$O$14,$W35)),0)+IFERROR(INDEX(其他调用!$X$5:$X$43,MATCH($W35,其他调用!$T$5:$T$43,1))*求节点($G$34:$G$42,$J$34:$J$42,求节点($R$6:$R$14,$O$6:$O$14,$W35)),0)+IFERROR(INDEX(其他调用!$Y$5:$Y$43,MATCH($W35,其他调用!$T$5:$T$43,1))*求节点($G$34:$G$42,$K$34:$K$42,求节点($S$6:$S$14,$O$6:$O$14,$W35)),0))/6,1)</f>
        <v>0.1786949530158036</v>
      </c>
      <c r="Y35" s="8">
        <f>MIN((IFERROR(INDEX(其他调用!$W$50:$W$88,MATCH($W35,其他调用!$T$50:$T$88,1))*求节点($G$34:$G$42,$I$34:$I$42,求节点($Q$20:$Q$28,$O$20:$O$28,$W35)),0)+IFERROR(INDEX(其他调用!$X$50:$X$88,MATCH($W35,其他调用!$T$50:$T$88,1))*求节点($G$34:$G$42,$J$34:$J$42,求节点($R$20:$R$28,$O$20:$O$28,$W35)),0)+IFERROR(INDEX(其他调用!$Y$50:$Y$88,MATCH($W35,其他调用!$T$50:$T$88,1))*求节点($G$34:$G$42,$K$34:$K$42,求节点($S$20:$S$28,$O$20:$O$28,$W35)),0))/6,1)</f>
        <v>0.18299884869877844</v>
      </c>
      <c r="Z35" s="8">
        <f>MIN((IFERROR(INDEX(其他调用!$W$95:$W$133,MATCH($W35,其他调用!$T$95:$T$133,1))*求节点($G$34:$G$42,$I$34:$I$42,求节点($Q$34:$Q$42,$O$34:$O$42,$W35)),0)+IFERROR(INDEX(其他调用!$X$95:$X$133,MATCH($W35,其他调用!$T$95:$T$133,1))*求节点($G$34:$G$42,$J$34:$J$42,求节点($R$34:$R$42,$O$34:$O$42,$W35)),0)+IFERROR(INDEX(其他调用!$Y$95:$Y$133,MATCH($W35,其他调用!$T$95:$T$133,1))*求节点($G$34:$G$42,$K$34:$K$42,求节点($S$34:$S$42,$O$34:$O$42,$W35)),0))/6,1)</f>
        <v>0.1931284007747299</v>
      </c>
      <c r="AA35" s="8">
        <f>MIN((IFERROR(INDEX(其他调用!$W$140:$W$178,MATCH($W35,其他调用!$T$140:$T$178,1))*求节点($G$34:$G$42,$I$34:$I$42,求节点($Q$48:$Q$56,$O$48:$O$56,$W35)),0)+IFERROR(INDEX(其他调用!$X$140:$X$178,MATCH($W35,其他调用!$T$140:$T$178,1))*求节点($G$34:$G$42,$J$34:$J$42,求节点($R$48:$R$56,$O$48:$O$56,$W35)),0)+IFERROR(INDEX(其他调用!$Y$140:$Y$178,MATCH($W35,其他调用!$T$140:$T$178,1))*求节点($G$34:$G$42,$K$34:$K$42,求节点($S$48:$S$56,$O$48:$O$56,$W35)),0))/6,1)</f>
        <v>0.22631223230659814</v>
      </c>
      <c r="AB35" s="8">
        <f>MIN((IFERROR(INDEX(其他调用!$W$185:$W$223,MATCH($W35,其他调用!$T$185:$T$223,1))*求节点($G$34:$G$42,$I$34:$I$42,求节点($Q$62:$Q$70,$O$62:$O$70,$W35)),0)+IFERROR(INDEX(其他调用!$X$185:$X$223,MATCH($W35,其他调用!$T$185:$T$223,1))*求节点($G$34:$G$42,$J$34:$J$42,求节点($R$62:$R$70,$O$62:$O$70,$W35)),0)+IFERROR(INDEX(其他调用!$Y$185:$Y$223,MATCH($W35,其他调用!$T$185:$T$223,1))*求节点($G$34:$G$42,$K$34:$K$42,求节点($S$62:$S$70,$O$62:$O$70,$W35)),0))/6,1)</f>
        <v>0.23820592242729857</v>
      </c>
      <c r="AD35" s="8">
        <v>30</v>
      </c>
      <c r="AE35" s="8">
        <f>X35/士兵加成武将!W35</f>
        <v>0.81979672677093363</v>
      </c>
      <c r="AF35" s="8">
        <f>Y35/士兵加成武将!X35</f>
        <v>0.81783536848164673</v>
      </c>
      <c r="AG35" s="8">
        <f>Z35/士兵加成武将!Y35</f>
        <v>0.83874819374352738</v>
      </c>
      <c r="AH35" s="8">
        <f>AA35/士兵加成武将!Z35</f>
        <v>0.95255931623802836</v>
      </c>
      <c r="AI35" s="8">
        <f>AB35/士兵加成武将!AA35</f>
        <v>0.96979650507489401</v>
      </c>
    </row>
    <row r="36" spans="7:35" x14ac:dyDescent="0.15">
      <c r="G36" s="8">
        <v>2</v>
      </c>
      <c r="H36" s="10">
        <v>0.02</v>
      </c>
      <c r="I36" s="10">
        <v>0.12</v>
      </c>
      <c r="J36" s="10">
        <v>0.24</v>
      </c>
      <c r="K36" s="10">
        <v>0.36</v>
      </c>
      <c r="L36" s="10">
        <v>0.52</v>
      </c>
      <c r="O36" s="8">
        <v>2</v>
      </c>
      <c r="P36" s="10"/>
      <c r="Q36" s="15">
        <f>IFERROR(求节点(其他调用!AB$95:AB$133,其他调用!$T$95:$T$133,$O36),0)</f>
        <v>11.446792000063962</v>
      </c>
      <c r="R36" s="15">
        <f>IFERROR(求节点(其他调用!AC$95:AC$133,其他调用!$T$95:$T$133,$O36),0)</f>
        <v>40.220698387768522</v>
      </c>
      <c r="S36" s="15">
        <f>IFERROR(求节点(其他调用!AD$95:AD$133,其他调用!$T$95:$T$133,$O36),0)</f>
        <v>61.670814932008405</v>
      </c>
      <c r="T36" s="10"/>
      <c r="W36" s="8">
        <v>31</v>
      </c>
      <c r="X36" s="8">
        <f>MIN((IFERROR(INDEX(其他调用!$W$5:$W$43,MATCH($W36,其他调用!$T$5:$T$43,1))*求节点($G$34:$G$42,$I$34:$I$42,求节点($Q$6:$Q$14,$O$6:$O$14,$W36)),0)+IFERROR(INDEX(其他调用!$X$5:$X$43,MATCH($W36,其他调用!$T$5:$T$43,1))*求节点($G$34:$G$42,$J$34:$J$42,求节点($R$6:$R$14,$O$6:$O$14,$W36)),0)+IFERROR(INDEX(其他调用!$Y$5:$Y$43,MATCH($W36,其他调用!$T$5:$T$43,1))*求节点($G$34:$G$42,$K$34:$K$42,求节点($S$6:$S$14,$O$6:$O$14,$W36)),0))/6,1)</f>
        <v>0.18056444831738391</v>
      </c>
      <c r="Y36" s="8">
        <f>MIN((IFERROR(INDEX(其他调用!$W$50:$W$88,MATCH($W36,其他调用!$T$50:$T$88,1))*求节点($G$34:$G$42,$I$34:$I$42,求节点($Q$20:$Q$28,$O$20:$O$28,$W36)),0)+IFERROR(INDEX(其他调用!$X$50:$X$88,MATCH($W36,其他调用!$T$50:$T$88,1))*求节点($G$34:$G$42,$J$34:$J$42,求节点($R$20:$R$28,$O$20:$O$28,$W36)),0)+IFERROR(INDEX(其他调用!$Y$50:$Y$88,MATCH($W36,其他调用!$T$50:$T$88,1))*求节点($G$34:$G$42,$K$34:$K$42,求节点($S$20:$S$28,$O$20:$O$28,$W36)),0))/6,1)</f>
        <v>0.18524632748806513</v>
      </c>
      <c r="Z36" s="8">
        <f>MIN((IFERROR(INDEX(其他调用!$W$95:$W$133,MATCH($W36,其他调用!$T$95:$T$133,1))*求节点($G$34:$G$42,$I$34:$I$42,求节点($Q$34:$Q$42,$O$34:$O$42,$W36)),0)+IFERROR(INDEX(其他调用!$X$95:$X$133,MATCH($W36,其他调用!$T$95:$T$133,1))*求节点($G$34:$G$42,$J$34:$J$42,求节点($R$34:$R$42,$O$34:$O$42,$W36)),0)+IFERROR(INDEX(其他调用!$Y$95:$Y$133,MATCH($W36,其他调用!$T$95:$T$133,1))*求节点($G$34:$G$42,$K$34:$K$42,求节点($S$34:$S$42,$O$34:$O$42,$W36)),0))/6,1)</f>
        <v>0.19637634633416087</v>
      </c>
      <c r="AA36" s="8">
        <f>MIN((IFERROR(INDEX(其他调用!$W$140:$W$178,MATCH($W36,其他调用!$T$140:$T$178,1))*求节点($G$34:$G$42,$I$34:$I$42,求节点($Q$48:$Q$56,$O$48:$O$56,$W36)),0)+IFERROR(INDEX(其他调用!$X$140:$X$178,MATCH($W36,其他调用!$T$140:$T$178,1))*求节点($G$34:$G$42,$J$34:$J$42,求节点($R$48:$R$56,$O$48:$O$56,$W36)),0)+IFERROR(INDEX(其他调用!$Y$140:$Y$178,MATCH($W36,其他调用!$T$140:$T$178,1))*求节点($G$34:$G$42,$K$34:$K$42,求节点($S$48:$S$56,$O$48:$O$56,$W36)),0))/6,1)</f>
        <v>0.23273579113026824</v>
      </c>
      <c r="AB36" s="8">
        <f>MIN((IFERROR(INDEX(其他调用!$W$185:$W$223,MATCH($W36,其他调用!$T$185:$T$223,1))*求节点($G$34:$G$42,$I$34:$I$42,求节点($Q$62:$Q$70,$O$62:$O$70,$W36)),0)+IFERROR(INDEX(其他调用!$X$185:$X$223,MATCH($W36,其他调用!$T$185:$T$223,1))*求节点($G$34:$G$42,$J$34:$J$42,求节点($R$62:$R$70,$O$62:$O$70,$W36)),0)+IFERROR(INDEX(其他调用!$Y$185:$Y$223,MATCH($W36,其他调用!$T$185:$T$223,1))*求节点($G$34:$G$42,$K$34:$K$42,求节点($S$62:$S$70,$O$62:$O$70,$W36)),0))/6,1)</f>
        <v>0.24430852008908066</v>
      </c>
      <c r="AD36" s="8">
        <v>31</v>
      </c>
      <c r="AE36" s="8">
        <f>X36/士兵加成武将!W36</f>
        <v>0.80699856140489268</v>
      </c>
      <c r="AF36" s="8">
        <f>Y36/士兵加成武将!X36</f>
        <v>0.80673857703611196</v>
      </c>
      <c r="AG36" s="8">
        <f>Z36/士兵加成武将!Y36</f>
        <v>0.83130485505851615</v>
      </c>
      <c r="AH36" s="8">
        <f>AA36/士兵加成武将!Z36</f>
        <v>0.95516167821964892</v>
      </c>
      <c r="AI36" s="8">
        <f>AB36/士兵加成武将!AA36</f>
        <v>0.97000529922967227</v>
      </c>
    </row>
    <row r="37" spans="7:35" x14ac:dyDescent="0.15">
      <c r="G37" s="8">
        <v>3</v>
      </c>
      <c r="H37" s="10">
        <v>0.03</v>
      </c>
      <c r="I37" s="10">
        <v>0.14000000000000001</v>
      </c>
      <c r="J37" s="10">
        <v>0.28000000000000003</v>
      </c>
      <c r="K37" s="10">
        <v>0.42</v>
      </c>
      <c r="L37" s="10">
        <v>0.6</v>
      </c>
      <c r="O37" s="8">
        <v>3</v>
      </c>
      <c r="P37" s="10"/>
      <c r="Q37" s="15">
        <f>IFERROR(求节点(其他调用!AB$95:AB$133,其他调用!$T$95:$T$133,$O37),0)</f>
        <v>12.839026376400749</v>
      </c>
      <c r="R37" s="15">
        <f>IFERROR(求节点(其他调用!AC$95:AC$133,其他调用!$T$95:$T$133,$O37),0)</f>
        <v>46.906145677595582</v>
      </c>
      <c r="S37" s="15">
        <f>IFERROR(求节点(其他调用!AD$95:AD$133,其他调用!$T$95:$T$133,$O37),0)</f>
        <v>64.367573547375258</v>
      </c>
      <c r="T37" s="10"/>
      <c r="W37" s="8">
        <v>32</v>
      </c>
      <c r="X37" s="8">
        <f>MIN((IFERROR(INDEX(其他调用!$W$5:$W$43,MATCH($W37,其他调用!$T$5:$T$43,1))*求节点($G$34:$G$42,$I$34:$I$42,求节点($Q$6:$Q$14,$O$6:$O$14,$W37)),0)+IFERROR(INDEX(其他调用!$X$5:$X$43,MATCH($W37,其他调用!$T$5:$T$43,1))*求节点($G$34:$G$42,$J$34:$J$42,求节点($R$6:$R$14,$O$6:$O$14,$W37)),0)+IFERROR(INDEX(其他调用!$Y$5:$Y$43,MATCH($W37,其他调用!$T$5:$T$43,1))*求节点($G$34:$G$42,$K$34:$K$42,求节点($S$6:$S$14,$O$6:$O$14,$W37)),0))/6,1)</f>
        <v>0.18243394361896428</v>
      </c>
      <c r="Y37" s="8">
        <f>MIN((IFERROR(INDEX(其他调用!$W$50:$W$88,MATCH($W37,其他调用!$T$50:$T$88,1))*求节点($G$34:$G$42,$I$34:$I$42,求节点($Q$20:$Q$28,$O$20:$O$28,$W37)),0)+IFERROR(INDEX(其他调用!$X$50:$X$88,MATCH($W37,其他调用!$T$50:$T$88,1))*求节点($G$34:$G$42,$J$34:$J$42,求节点($R$20:$R$28,$O$20:$O$28,$W37)),0)+IFERROR(INDEX(其他调用!$Y$50:$Y$88,MATCH($W37,其他调用!$T$50:$T$88,1))*求节点($G$34:$G$42,$K$34:$K$42,求节点($S$20:$S$28,$O$20:$O$28,$W37)),0))/6,1)</f>
        <v>0.18749380627735182</v>
      </c>
      <c r="Z37" s="8">
        <f>MIN((IFERROR(INDEX(其他调用!$W$95:$W$133,MATCH($W37,其他调用!$T$95:$T$133,1))*求节点($G$34:$G$42,$I$34:$I$42,求节点($Q$34:$Q$42,$O$34:$O$42,$W37)),0)+IFERROR(INDEX(其他调用!$X$95:$X$133,MATCH($W37,其他调用!$T$95:$T$133,1))*求节点($G$34:$G$42,$J$34:$J$42,求节点($R$34:$R$42,$O$34:$O$42,$W37)),0)+IFERROR(INDEX(其他调用!$Y$95:$Y$133,MATCH($W37,其他调用!$T$95:$T$133,1))*求节点($G$34:$G$42,$K$34:$K$42,求节点($S$34:$S$42,$O$34:$O$42,$W37)),0))/6,1)</f>
        <v>0.19962429189359179</v>
      </c>
      <c r="AA37" s="8">
        <f>MIN((IFERROR(INDEX(其他调用!$W$140:$W$178,MATCH($W37,其他调用!$T$140:$T$178,1))*求节点($G$34:$G$42,$I$34:$I$42,求节点($Q$48:$Q$56,$O$48:$O$56,$W37)),0)+IFERROR(INDEX(其他调用!$X$140:$X$178,MATCH($W37,其他调用!$T$140:$T$178,1))*求节点($G$34:$G$42,$J$34:$J$42,求节点($R$48:$R$56,$O$48:$O$56,$W37)),0)+IFERROR(INDEX(其他调用!$Y$140:$Y$178,MATCH($W37,其他调用!$T$140:$T$178,1))*求节点($G$34:$G$42,$K$34:$K$42,求节点($S$48:$S$56,$O$48:$O$56,$W37)),0))/6,1)</f>
        <v>0.23915934995393837</v>
      </c>
      <c r="AB37" s="8">
        <f>MIN((IFERROR(INDEX(其他调用!$W$185:$W$223,MATCH($W37,其他调用!$T$185:$T$223,1))*求节点($G$34:$G$42,$I$34:$I$42,求节点($Q$62:$Q$70,$O$62:$O$70,$W37)),0)+IFERROR(INDEX(其他调用!$X$185:$X$223,MATCH($W37,其他调用!$T$185:$T$223,1))*求节点($G$34:$G$42,$J$34:$J$42,求节点($R$62:$R$70,$O$62:$O$70,$W37)),0)+IFERROR(INDEX(其他调用!$Y$185:$Y$223,MATCH($W37,其他调用!$T$185:$T$223,1))*求节点($G$34:$G$42,$K$34:$K$42,求节点($S$62:$S$70,$O$62:$O$70,$W37)),0))/6,1)</f>
        <v>0.25071880553216996</v>
      </c>
      <c r="AD37" s="8">
        <v>32</v>
      </c>
      <c r="AE37" s="8">
        <f>X37/士兵加成武将!W37</f>
        <v>0.7948442539826075</v>
      </c>
      <c r="AF37" s="8">
        <f>Y37/士兵加成武将!X37</f>
        <v>0.79619441445004824</v>
      </c>
      <c r="AG37" s="8">
        <f>Z37/士兵加成武将!Y37</f>
        <v>0.82422838771920826</v>
      </c>
      <c r="AH37" s="8">
        <f>AA37/士兵加成武将!Z37</f>
        <v>0.95763737486600298</v>
      </c>
      <c r="AI37" s="8">
        <f>AB37/士兵加成武将!AA37</f>
        <v>0.97139611934158543</v>
      </c>
    </row>
    <row r="38" spans="7:35" x14ac:dyDescent="0.15">
      <c r="G38" s="8">
        <v>4</v>
      </c>
      <c r="H38" s="10">
        <v>0.04</v>
      </c>
      <c r="I38" s="10">
        <v>0.16</v>
      </c>
      <c r="J38" s="10">
        <v>0.32</v>
      </c>
      <c r="K38" s="10">
        <v>0.48</v>
      </c>
      <c r="L38" s="10">
        <v>0.68</v>
      </c>
      <c r="O38" s="8">
        <v>4</v>
      </c>
      <c r="P38" s="10"/>
      <c r="Q38" s="15">
        <f>IFERROR(求节点(其他调用!AB$95:AB$133,其他调用!$T$95:$T$133,$O38),0)</f>
        <v>14.231260752737535</v>
      </c>
      <c r="R38" s="15">
        <f>IFERROR(求节点(其他调用!AC$95:AC$133,其他调用!$T$95:$T$133,$O38),0)</f>
        <v>55.008018959902614</v>
      </c>
      <c r="S38" s="15">
        <f>IFERROR(求节点(其他调用!AD$95:AD$133,其他调用!$T$95:$T$133,$O38),0)</f>
        <v>73.196721465733404</v>
      </c>
      <c r="T38" s="10"/>
      <c r="W38" s="8">
        <v>33</v>
      </c>
      <c r="X38" s="8">
        <f>MIN((IFERROR(INDEX(其他调用!$W$5:$W$43,MATCH($W38,其他调用!$T$5:$T$43,1))*求节点($G$34:$G$42,$I$34:$I$42,求节点($Q$6:$Q$14,$O$6:$O$14,$W38)),0)+IFERROR(INDEX(其他调用!$X$5:$X$43,MATCH($W38,其他调用!$T$5:$T$43,1))*求节点($G$34:$G$42,$J$34:$J$42,求节点($R$6:$R$14,$O$6:$O$14,$W38)),0)+IFERROR(INDEX(其他调用!$Y$5:$Y$43,MATCH($W38,其他调用!$T$5:$T$43,1))*求节点($G$34:$G$42,$K$34:$K$42,求节点($S$6:$S$14,$O$6:$O$14,$W38)),0))/6,1)</f>
        <v>0.1843034389205446</v>
      </c>
      <c r="Y38" s="8">
        <f>MIN((IFERROR(INDEX(其他调用!$W$50:$W$88,MATCH($W38,其他调用!$T$50:$T$88,1))*求节点($G$34:$G$42,$I$34:$I$42,求节点($Q$20:$Q$28,$O$20:$O$28,$W38)),0)+IFERROR(INDEX(其他调用!$X$50:$X$88,MATCH($W38,其他调用!$T$50:$T$88,1))*求节点($G$34:$G$42,$J$34:$J$42,求节点($R$20:$R$28,$O$20:$O$28,$W38)),0)+IFERROR(INDEX(其他调用!$Y$50:$Y$88,MATCH($W38,其他调用!$T$50:$T$88,1))*求节点($G$34:$G$42,$K$34:$K$42,求节点($S$20:$S$28,$O$20:$O$28,$W38)),0))/6,1)</f>
        <v>0.18974128506663857</v>
      </c>
      <c r="Z38" s="8">
        <f>MIN((IFERROR(INDEX(其他调用!$W$95:$W$133,MATCH($W38,其他调用!$T$95:$T$133,1))*求节点($G$34:$G$42,$I$34:$I$42,求节点($Q$34:$Q$42,$O$34:$O$42,$W38)),0)+IFERROR(INDEX(其他调用!$X$95:$X$133,MATCH($W38,其他调用!$T$95:$T$133,1))*求节点($G$34:$G$42,$J$34:$J$42,求节点($R$34:$R$42,$O$34:$O$42,$W38)),0)+IFERROR(INDEX(其他调用!$Y$95:$Y$133,MATCH($W38,其他调用!$T$95:$T$133,1))*求节点($G$34:$G$42,$K$34:$K$42,求节点($S$34:$S$42,$O$34:$O$42,$W38)),0))/6,1)</f>
        <v>0.20436432769187843</v>
      </c>
      <c r="AA38" s="8">
        <f>MIN((IFERROR(INDEX(其他调用!$W$140:$W$178,MATCH($W38,其他调用!$T$140:$T$178,1))*求节点($G$34:$G$42,$I$34:$I$42,求节点($Q$48:$Q$56,$O$48:$O$56,$W38)),0)+IFERROR(INDEX(其他调用!$X$140:$X$178,MATCH($W38,其他调用!$T$140:$T$178,1))*求节点($G$34:$G$42,$J$34:$J$42,求节点($R$48:$R$56,$O$48:$O$56,$W38)),0)+IFERROR(INDEX(其他调用!$Y$140:$Y$178,MATCH($W38,其他调用!$T$140:$T$178,1))*求节点($G$34:$G$42,$K$34:$K$42,求节点($S$48:$S$56,$O$48:$O$56,$W38)),0))/6,1)</f>
        <v>0.24642819944940456</v>
      </c>
      <c r="AB38" s="8">
        <f>MIN((IFERROR(INDEX(其他调用!$W$185:$W$223,MATCH($W38,其他调用!$T$185:$T$223,1))*求节点($G$34:$G$42,$I$34:$I$42,求节点($Q$62:$Q$70,$O$62:$O$70,$W38)),0)+IFERROR(INDEX(其他调用!$X$185:$X$223,MATCH($W38,其他调用!$T$185:$T$223,1))*求节点($G$34:$G$42,$J$34:$J$42,求节点($R$62:$R$70,$O$62:$O$70,$W38)),0)+IFERROR(INDEX(其他调用!$Y$185:$Y$223,MATCH($W38,其他调用!$T$185:$T$223,1))*求节点($G$34:$G$42,$K$34:$K$42,求节点($S$62:$S$70,$O$62:$O$70,$W38)),0))/6,1)</f>
        <v>0.25712909097525927</v>
      </c>
      <c r="AD38" s="8">
        <v>33</v>
      </c>
      <c r="AE38" s="8">
        <f>X38/士兵加成武将!W38</f>
        <v>0.78328640929779392</v>
      </c>
      <c r="AF38" s="8">
        <f>Y38/士兵加成武将!X38</f>
        <v>0.78616260166604546</v>
      </c>
      <c r="AG38" s="8">
        <f>Z38/士兵加成武将!Y38</f>
        <v>0.82350483496981219</v>
      </c>
      <c r="AH38" s="8">
        <f>AA38/士兵加成武将!Z38</f>
        <v>0.96329971628053357</v>
      </c>
      <c r="AI38" s="8">
        <f>AB38/士兵加成武将!AA38</f>
        <v>0.97272129263964457</v>
      </c>
    </row>
    <row r="39" spans="7:35" x14ac:dyDescent="0.15">
      <c r="G39" s="8">
        <v>5</v>
      </c>
      <c r="H39" s="10">
        <v>0.05</v>
      </c>
      <c r="I39" s="10">
        <v>0.18</v>
      </c>
      <c r="J39" s="10">
        <v>0.36</v>
      </c>
      <c r="K39" s="10">
        <v>0.54</v>
      </c>
      <c r="L39" s="10">
        <v>0.76</v>
      </c>
      <c r="O39" s="8">
        <v>5</v>
      </c>
      <c r="P39" s="10"/>
      <c r="Q39" s="15">
        <f>IFERROR(求节点(其他调用!AB$95:AB$133,其他调用!$T$95:$T$133,$O39),0)</f>
        <v>15.623495129074321</v>
      </c>
      <c r="R39" s="15">
        <f>IFERROR(求节点(其他调用!AC$95:AC$133,其他调用!$T$95:$T$133,$O39),0)</f>
        <v>65.221675423646488</v>
      </c>
      <c r="S39" s="15">
        <f>IFERROR(求节点(其他调用!AD$95:AD$133,其他调用!$T$95:$T$133,$O39),0)</f>
        <v>79.125436640595026</v>
      </c>
      <c r="T39" s="10"/>
      <c r="W39" s="8">
        <v>34</v>
      </c>
      <c r="X39" s="8">
        <f>MIN((IFERROR(INDEX(其他调用!$W$5:$W$43,MATCH($W39,其他调用!$T$5:$T$43,1))*求节点($G$34:$G$42,$I$34:$I$42,求节点($Q$6:$Q$14,$O$6:$O$14,$W39)),0)+IFERROR(INDEX(其他调用!$X$5:$X$43,MATCH($W39,其他调用!$T$5:$T$43,1))*求节点($G$34:$G$42,$J$34:$J$42,求节点($R$6:$R$14,$O$6:$O$14,$W39)),0)+IFERROR(INDEX(其他调用!$Y$5:$Y$43,MATCH($W39,其他调用!$T$5:$T$43,1))*求节点($G$34:$G$42,$K$34:$K$42,求节点($S$6:$S$14,$O$6:$O$14,$W39)),0))/6,1)</f>
        <v>0.186172934222125</v>
      </c>
      <c r="Y39" s="8">
        <f>MIN((IFERROR(INDEX(其他调用!$W$50:$W$88,MATCH($W39,其他调用!$T$50:$T$88,1))*求节点($G$34:$G$42,$I$34:$I$42,求节点($Q$20:$Q$28,$O$20:$O$28,$W39)),0)+IFERROR(INDEX(其他调用!$X$50:$X$88,MATCH($W39,其他调用!$T$50:$T$88,1))*求节点($G$34:$G$42,$J$34:$J$42,求节点($R$20:$R$28,$O$20:$O$28,$W39)),0)+IFERROR(INDEX(其他调用!$Y$50:$Y$88,MATCH($W39,其他调用!$T$50:$T$88,1))*求节点($G$34:$G$42,$K$34:$K$42,求节点($S$20:$S$28,$O$20:$O$28,$W39)),0))/6,1)</f>
        <v>0.19198876385592531</v>
      </c>
      <c r="Z39" s="8">
        <f>MIN((IFERROR(INDEX(其他调用!$W$95:$W$133,MATCH($W39,其他调用!$T$95:$T$133,1))*求节点($G$34:$G$42,$I$34:$I$42,求节点($Q$34:$Q$42,$O$34:$O$42,$W39)),0)+IFERROR(INDEX(其他调用!$X$95:$X$133,MATCH($W39,其他调用!$T$95:$T$133,1))*求节点($G$34:$G$42,$J$34:$J$42,求节点($R$34:$R$42,$O$34:$O$42,$W39)),0)+IFERROR(INDEX(其他调用!$Y$95:$Y$133,MATCH($W39,其他调用!$T$95:$T$133,1))*求节点($G$34:$G$42,$K$34:$K$42,求节点($S$34:$S$42,$O$34:$O$42,$W39)),0))/6,1)</f>
        <v>0.20929953899615983</v>
      </c>
      <c r="AA39" s="8">
        <f>MIN((IFERROR(INDEX(其他调用!$W$140:$W$178,MATCH($W39,其他调用!$T$140:$T$178,1))*求节点($G$34:$G$42,$I$34:$I$42,求节点($Q$48:$Q$56,$O$48:$O$56,$W39)),0)+IFERROR(INDEX(其他调用!$X$140:$X$178,MATCH($W39,其他调用!$T$140:$T$178,1))*求节点($G$34:$G$42,$J$34:$J$42,求节点($R$48:$R$56,$O$48:$O$56,$W39)),0)+IFERROR(INDEX(其他调用!$Y$140:$Y$178,MATCH($W39,其他调用!$T$140:$T$178,1))*求节点($G$34:$G$42,$K$34:$K$42,求节点($S$48:$S$56,$O$48:$O$56,$W39)),0))/6,1)</f>
        <v>0.25382432912631148</v>
      </c>
      <c r="AB39" s="8">
        <f>MIN((IFERROR(INDEX(其他调用!$W$185:$W$223,MATCH($W39,其他调用!$T$185:$T$223,1))*求节点($G$34:$G$42,$I$34:$I$42,求节点($Q$62:$Q$70,$O$62:$O$70,$W39)),0)+IFERROR(INDEX(其他调用!$X$185:$X$223,MATCH($W39,其他调用!$T$185:$T$223,1))*求节点($G$34:$G$42,$J$34:$J$42,求节点($R$62:$R$70,$O$62:$O$70,$W39)),0)+IFERROR(INDEX(其他调用!$Y$185:$Y$223,MATCH($W39,其他调用!$T$185:$T$223,1))*求节点($G$34:$G$42,$K$34:$K$42,求节点($S$62:$S$70,$O$62:$O$70,$W39)),0))/6,1)</f>
        <v>0.26353937641834863</v>
      </c>
      <c r="AD39" s="8">
        <v>34</v>
      </c>
      <c r="AE39" s="8">
        <f>X39/士兵加成武将!W39</f>
        <v>0.77228217249934628</v>
      </c>
      <c r="AF39" s="8">
        <f>Y39/士兵加成武将!X39</f>
        <v>0.77660668116784737</v>
      </c>
      <c r="AG39" s="8">
        <f>Z39/士兵加成武将!Y39</f>
        <v>0.82358327578984736</v>
      </c>
      <c r="AH39" s="8">
        <f>AA39/士兵加成武将!Z39</f>
        <v>0.96918524307002107</v>
      </c>
      <c r="AI39" s="8">
        <f>AB39/士兵加成武将!AA39</f>
        <v>0.97398535976634104</v>
      </c>
    </row>
    <row r="40" spans="7:35" x14ac:dyDescent="0.15">
      <c r="G40" s="8">
        <v>6</v>
      </c>
      <c r="H40" s="10">
        <v>0.06</v>
      </c>
      <c r="I40" s="10">
        <v>0.2</v>
      </c>
      <c r="J40" s="10">
        <v>0.4</v>
      </c>
      <c r="K40" s="10">
        <v>0.6</v>
      </c>
      <c r="L40" s="10">
        <v>0.84</v>
      </c>
      <c r="O40" s="8">
        <v>6</v>
      </c>
      <c r="P40" s="10"/>
      <c r="Q40" s="15">
        <f>IFERROR(求节点(其他调用!AB$95:AB$133,其他调用!$T$95:$T$133,$O40),0)</f>
        <v>17.015729505411109</v>
      </c>
      <c r="R40" s="15">
        <f>IFERROR(求节点(其他调用!AC$95:AC$133,其他调用!$T$95:$T$133,$O40),0)</f>
        <v>75.108465448332936</v>
      </c>
      <c r="S40" s="15">
        <f>IFERROR(求节点(其他调用!AD$95:AD$133,其他调用!$T$95:$T$133,$O40),0)</f>
        <v>83.172721681414146</v>
      </c>
      <c r="T40" s="10"/>
      <c r="W40" s="8">
        <v>35</v>
      </c>
      <c r="X40" s="8">
        <f>MIN((IFERROR(INDEX(其他调用!$W$5:$W$43,MATCH($W40,其他调用!$T$5:$T$43,1))*求节点($G$34:$G$42,$I$34:$I$42,求节点($Q$6:$Q$14,$O$6:$O$14,$W40)),0)+IFERROR(INDEX(其他调用!$X$5:$X$43,MATCH($W40,其他调用!$T$5:$T$43,1))*求节点($G$34:$G$42,$J$34:$J$42,求节点($R$6:$R$14,$O$6:$O$14,$W40)),0)+IFERROR(INDEX(其他调用!$Y$5:$Y$43,MATCH($W40,其他调用!$T$5:$T$43,1))*求节点($G$34:$G$42,$K$34:$K$42,求节点($S$6:$S$14,$O$6:$O$14,$W40)),0))/6,1)</f>
        <v>0.18804242952370534</v>
      </c>
      <c r="Y40" s="8">
        <f>MIN((IFERROR(INDEX(其他调用!$W$50:$W$88,MATCH($W40,其他调用!$T$50:$T$88,1))*求节点($G$34:$G$42,$I$34:$I$42,求节点($Q$20:$Q$28,$O$20:$O$28,$W40)),0)+IFERROR(INDEX(其他调用!$X$50:$X$88,MATCH($W40,其他调用!$T$50:$T$88,1))*求节点($G$34:$G$42,$J$34:$J$42,求节点($R$20:$R$28,$O$20:$O$28,$W40)),0)+IFERROR(INDEX(其他调用!$Y$50:$Y$88,MATCH($W40,其他调用!$T$50:$T$88,1))*求节点($G$34:$G$42,$K$34:$K$42,求节点($S$20:$S$28,$O$20:$O$28,$W40)),0))/6,1)</f>
        <v>0.19423624264521203</v>
      </c>
      <c r="Z40" s="8">
        <f>MIN((IFERROR(INDEX(其他调用!$W$95:$W$133,MATCH($W40,其他调用!$T$95:$T$133,1))*求节点($G$34:$G$42,$I$34:$I$42,求节点($Q$34:$Q$42,$O$34:$O$42,$W40)),0)+IFERROR(INDEX(其他调用!$X$95:$X$133,MATCH($W40,其他调用!$T$95:$T$133,1))*求节点($G$34:$G$42,$J$34:$J$42,求节点($R$34:$R$42,$O$34:$O$42,$W40)),0)+IFERROR(INDEX(其他调用!$Y$95:$Y$133,MATCH($W40,其他调用!$T$95:$T$133,1))*求节点($G$34:$G$42,$K$34:$K$42,求节点($S$34:$S$42,$O$34:$O$42,$W40)),0))/6,1)</f>
        <v>0.21423475030044123</v>
      </c>
      <c r="AA40" s="8">
        <f>MIN((IFERROR(INDEX(其他调用!$W$140:$W$178,MATCH($W40,其他调用!$T$140:$T$178,1))*求节点($G$34:$G$42,$I$34:$I$42,求节点($Q$48:$Q$56,$O$48:$O$56,$W40)),0)+IFERROR(INDEX(其他调用!$X$140:$X$178,MATCH($W40,其他调用!$T$140:$T$178,1))*求节点($G$34:$G$42,$J$34:$J$42,求节点($R$48:$R$56,$O$48:$O$56,$W40)),0)+IFERROR(INDEX(其他调用!$Y$140:$Y$178,MATCH($W40,其他调用!$T$140:$T$178,1))*求节点($G$34:$G$42,$K$34:$K$42,求节点($S$48:$S$56,$O$48:$O$56,$W40)),0))/6,1)</f>
        <v>0.26122045880321837</v>
      </c>
      <c r="AB40" s="8">
        <f>MIN((IFERROR(INDEX(其他调用!$W$185:$W$223,MATCH($W40,其他调用!$T$185:$T$223,1))*求节点($G$34:$G$42,$I$34:$I$42,求节点($Q$62:$Q$70,$O$62:$O$70,$W40)),0)+IFERROR(INDEX(其他调用!$X$185:$X$223,MATCH($W40,其他调用!$T$185:$T$223,1))*求节点($G$34:$G$42,$J$34:$J$42,求节点($R$62:$R$70,$O$62:$O$70,$W40)),0)+IFERROR(INDEX(其他调用!$Y$185:$Y$223,MATCH($W40,其他调用!$T$185:$T$223,1))*求节点($G$34:$G$42,$K$34:$K$42,求节点($S$62:$S$70,$O$62:$O$70,$W40)),0))/6,1)</f>
        <v>0.26994966186143793</v>
      </c>
      <c r="AD40" s="8">
        <v>35</v>
      </c>
      <c r="AE40" s="8">
        <f>X40/士兵加成武将!W40</f>
        <v>0.76179269811307837</v>
      </c>
      <c r="AF40" s="8">
        <f>Y40/士兵加成武将!X40</f>
        <v>0.76749357426257026</v>
      </c>
      <c r="AG40" s="8">
        <f>Z40/士兵加成武将!Y40</f>
        <v>0.82365811653924259</v>
      </c>
      <c r="AH40" s="8">
        <f>AA40/士兵加成武将!Z40</f>
        <v>0.97480379417294138</v>
      </c>
      <c r="AI40" s="8">
        <f>AB40/士兵加成武将!AA40</f>
        <v>0.97519245204664917</v>
      </c>
    </row>
    <row r="41" spans="7:35" x14ac:dyDescent="0.15">
      <c r="G41" s="8">
        <v>7</v>
      </c>
      <c r="H41" s="10">
        <v>7.0000000000000007E-2</v>
      </c>
      <c r="I41" s="10">
        <v>0.22</v>
      </c>
      <c r="J41" s="10">
        <v>0.44</v>
      </c>
      <c r="K41" s="10">
        <v>0.66</v>
      </c>
      <c r="L41" s="10">
        <v>0.92</v>
      </c>
      <c r="O41" s="8">
        <v>7</v>
      </c>
      <c r="P41" s="10"/>
      <c r="Q41" s="15">
        <f>IFERROR(求节点(其他调用!AB$95:AB$133,其他调用!$T$95:$T$133,$O41),0)</f>
        <v>18.407963881747893</v>
      </c>
      <c r="R41" s="15">
        <f>IFERROR(求节点(其他调用!AC$95:AC$133,其他调用!$T$95:$T$133,$O41),0)</f>
        <v>76.403179526575585</v>
      </c>
      <c r="S41" s="15">
        <f>IFERROR(求节点(其他调用!AD$95:AD$133,其他调用!$T$95:$T$133,$O41),0)</f>
        <v>86.555108237897855</v>
      </c>
      <c r="T41" s="10"/>
      <c r="W41" s="8">
        <v>36</v>
      </c>
      <c r="X41" s="8">
        <f>MIN((IFERROR(INDEX(其他调用!$W$5:$W$43,MATCH($W41,其他调用!$T$5:$T$43,1))*求节点($G$34:$G$42,$I$34:$I$42,求节点($Q$6:$Q$14,$O$6:$O$14,$W41)),0)+IFERROR(INDEX(其他调用!$X$5:$X$43,MATCH($W41,其他调用!$T$5:$T$43,1))*求节点($G$34:$G$42,$J$34:$J$42,求节点($R$6:$R$14,$O$6:$O$14,$W41)),0)+IFERROR(INDEX(其他调用!$Y$5:$Y$43,MATCH($W41,其他调用!$T$5:$T$43,1))*求节点($G$34:$G$42,$K$34:$K$42,求节点($S$6:$S$14,$O$6:$O$14,$W41)),0))/6,1)</f>
        <v>0.18991192482528571</v>
      </c>
      <c r="Y41" s="8">
        <f>MIN((IFERROR(INDEX(其他调用!$W$50:$W$88,MATCH($W41,其他调用!$T$50:$T$88,1))*求节点($G$34:$G$42,$I$34:$I$42,求节点($Q$20:$Q$28,$O$20:$O$28,$W41)),0)+IFERROR(INDEX(其他调用!$X$50:$X$88,MATCH($W41,其他调用!$T$50:$T$88,1))*求节点($G$34:$G$42,$J$34:$J$42,求节点($R$20:$R$28,$O$20:$O$28,$W41)),0)+IFERROR(INDEX(其他调用!$Y$50:$Y$88,MATCH($W41,其他调用!$T$50:$T$88,1))*求节点($G$34:$G$42,$K$34:$K$42,求节点($S$20:$S$28,$O$20:$O$28,$W41)),0))/6,1)</f>
        <v>0.19648372143449874</v>
      </c>
      <c r="Z41" s="8">
        <f>MIN((IFERROR(INDEX(其他调用!$W$95:$W$133,MATCH($W41,其他调用!$T$95:$T$133,1))*求节点($G$34:$G$42,$I$34:$I$42,求节点($Q$34:$Q$42,$O$34:$O$42,$W41)),0)+IFERROR(INDEX(其他调用!$X$95:$X$133,MATCH($W41,其他调用!$T$95:$T$133,1))*求节点($G$34:$G$42,$J$34:$J$42,求节点($R$34:$R$42,$O$34:$O$42,$W41)),0)+IFERROR(INDEX(其他调用!$Y$95:$Y$133,MATCH($W41,其他调用!$T$95:$T$133,1))*求节点($G$34:$G$42,$K$34:$K$42,求节点($S$34:$S$42,$O$34:$O$42,$W41)),0))/6,1)</f>
        <v>0.21916996160472257</v>
      </c>
      <c r="AA41" s="8">
        <f>MIN((IFERROR(INDEX(其他调用!$W$140:$W$178,MATCH($W41,其他调用!$T$140:$T$178,1))*求节点($G$34:$G$42,$I$34:$I$42,求节点($Q$48:$Q$56,$O$48:$O$56,$W41)),0)+IFERROR(INDEX(其他调用!$X$140:$X$178,MATCH($W41,其他调用!$T$140:$T$178,1))*求节点($G$34:$G$42,$J$34:$J$42,求节点($R$48:$R$56,$O$48:$O$56,$W41)),0)+IFERROR(INDEX(其他调用!$Y$140:$Y$178,MATCH($W41,其他调用!$T$140:$T$178,1))*求节点($G$34:$G$42,$K$34:$K$42,求节点($S$48:$S$56,$O$48:$O$56,$W41)),0))/6,1)</f>
        <v>0.26861658848012532</v>
      </c>
      <c r="AB41" s="8">
        <f>MIN((IFERROR(INDEX(其他调用!$W$185:$W$223,MATCH($W41,其他调用!$T$185:$T$223,1))*求节点($G$34:$G$42,$I$34:$I$42,求节点($Q$62:$Q$70,$O$62:$O$70,$W41)),0)+IFERROR(INDEX(其他调用!$X$185:$X$223,MATCH($W41,其他调用!$T$185:$T$223,1))*求节点($G$34:$G$42,$J$34:$J$42,求节点($R$62:$R$70,$O$62:$O$70,$W41)),0)+IFERROR(INDEX(其他调用!$Y$185:$Y$223,MATCH($W41,其他调用!$T$185:$T$223,1))*求节点($G$34:$G$42,$K$34:$K$42,求节点($S$62:$S$70,$O$62:$O$70,$W41)),0))/6,1)</f>
        <v>0.27635994730452723</v>
      </c>
      <c r="AD41" s="8">
        <v>36</v>
      </c>
      <c r="AE41" s="8">
        <f>X41/士兵加成武将!W41</f>
        <v>0.75178269187565061</v>
      </c>
      <c r="AF41" s="8">
        <f>Y41/士兵加成武将!X41</f>
        <v>0.75879319851477434</v>
      </c>
      <c r="AG41" s="8">
        <f>Z41/士兵加成武将!Y41</f>
        <v>0.82372959949810309</v>
      </c>
      <c r="AH41" s="8">
        <f>AA41/士兵加成武将!Z41</f>
        <v>0.98017313230169056</v>
      </c>
      <c r="AI41" s="8">
        <f>AB41/士兵加成武将!AA41</f>
        <v>0.97634633659405878</v>
      </c>
    </row>
    <row r="42" spans="7:35" x14ac:dyDescent="0.15">
      <c r="G42" s="8">
        <v>8</v>
      </c>
      <c r="H42" s="10">
        <v>0.08</v>
      </c>
      <c r="I42" s="10">
        <v>0.24</v>
      </c>
      <c r="J42" s="10">
        <v>0.48</v>
      </c>
      <c r="K42" s="10">
        <v>0.72</v>
      </c>
      <c r="L42" s="10">
        <v>1</v>
      </c>
      <c r="O42" s="8">
        <v>8</v>
      </c>
      <c r="P42" s="10"/>
      <c r="Q42" s="15">
        <f>INDEX(其他调用!$T$95:$T$133,MATCH($O42,其他调用!AB$95:AB$133,0))</f>
        <v>19.800198258084681</v>
      </c>
      <c r="R42" s="15">
        <f>INDEX(其他调用!$T$95:$T$133,MATCH($O42,其他调用!AC$95:AC$133,0))</f>
        <v>77.697893604818219</v>
      </c>
      <c r="S42" s="15">
        <f>INDEX(其他调用!$T$95:$T$133,MATCH($O42,其他调用!AD$95:AD$133,0))</f>
        <v>93.471491811086082</v>
      </c>
      <c r="T42" s="10"/>
      <c r="W42" s="8">
        <v>37</v>
      </c>
      <c r="X42" s="8">
        <f>MIN((IFERROR(INDEX(其他调用!$W$5:$W$43,MATCH($W42,其他调用!$T$5:$T$43,1))*求节点($G$34:$G$42,$I$34:$I$42,求节点($Q$6:$Q$14,$O$6:$O$14,$W42)),0)+IFERROR(INDEX(其他调用!$X$5:$X$43,MATCH($W42,其他调用!$T$5:$T$43,1))*求节点($G$34:$G$42,$J$34:$J$42,求节点($R$6:$R$14,$O$6:$O$14,$W42)),0)+IFERROR(INDEX(其他调用!$Y$5:$Y$43,MATCH($W42,其他调用!$T$5:$T$43,1))*求节点($G$34:$G$42,$K$34:$K$42,求节点($S$6:$S$14,$O$6:$O$14,$W42)),0))/6,1)</f>
        <v>0.19178142012686605</v>
      </c>
      <c r="Y42" s="8">
        <f>MIN((IFERROR(INDEX(其他调用!$W$50:$W$88,MATCH($W42,其他调用!$T$50:$T$88,1))*求节点($G$34:$G$42,$I$34:$I$42,求节点($Q$20:$Q$28,$O$20:$O$28,$W42)),0)+IFERROR(INDEX(其他调用!$X$50:$X$88,MATCH($W42,其他调用!$T$50:$T$88,1))*求节点($G$34:$G$42,$J$34:$J$42,求节点($R$20:$R$28,$O$20:$O$28,$W42)),0)+IFERROR(INDEX(其他调用!$Y$50:$Y$88,MATCH($W42,其他调用!$T$50:$T$88,1))*求节点($G$34:$G$42,$K$34:$K$42,求节点($S$20:$S$28,$O$20:$O$28,$W42)),0))/6,1)</f>
        <v>0.19873120022378546</v>
      </c>
      <c r="Z42" s="8">
        <f>MIN((IFERROR(INDEX(其他调用!$W$95:$W$133,MATCH($W42,其他调用!$T$95:$T$133,1))*求节点($G$34:$G$42,$I$34:$I$42,求节点($Q$34:$Q$42,$O$34:$O$42,$W42)),0)+IFERROR(INDEX(其他调用!$X$95:$X$133,MATCH($W42,其他调用!$T$95:$T$133,1))*求节点($G$34:$G$42,$J$34:$J$42,求节点($R$34:$R$42,$O$34:$O$42,$W42)),0)+IFERROR(INDEX(其他调用!$Y$95:$Y$133,MATCH($W42,其他调用!$T$95:$T$133,1))*求节点($G$34:$G$42,$K$34:$K$42,求节点($S$34:$S$42,$O$34:$O$42,$W42)),0))/6,1)</f>
        <v>0.22410517290900397</v>
      </c>
      <c r="AA42" s="8">
        <f>MIN((IFERROR(INDEX(其他调用!$W$140:$W$178,MATCH($W42,其他调用!$T$140:$T$178,1))*求节点($G$34:$G$42,$I$34:$I$42,求节点($Q$48:$Q$56,$O$48:$O$56,$W42)),0)+IFERROR(INDEX(其他调用!$X$140:$X$178,MATCH($W42,其他调用!$T$140:$T$178,1))*求节点($G$34:$G$42,$J$34:$J$42,求节点($R$48:$R$56,$O$48:$O$56,$W42)),0)+IFERROR(INDEX(其他调用!$Y$140:$Y$178,MATCH($W42,其他调用!$T$140:$T$178,1))*求节点($G$34:$G$42,$K$34:$K$42,求节点($S$48:$S$56,$O$48:$O$56,$W42)),0))/6,1)</f>
        <v>0.27601271815703221</v>
      </c>
      <c r="AB42" s="8">
        <f>MIN((IFERROR(INDEX(其他调用!$W$185:$W$223,MATCH($W42,其他调用!$T$185:$T$223,1))*求节点($G$34:$G$42,$I$34:$I$42,求节点($Q$62:$Q$70,$O$62:$O$70,$W42)),0)+IFERROR(INDEX(其他调用!$X$185:$X$223,MATCH($W42,其他调用!$T$185:$T$223,1))*求节点($G$34:$G$42,$J$34:$J$42,求节点($R$62:$R$70,$O$62:$O$70,$W42)),0)+IFERROR(INDEX(其他调用!$Y$185:$Y$223,MATCH($W42,其他调用!$T$185:$T$223,1))*求节点($G$34:$G$42,$K$34:$K$42,求节点($S$62:$S$70,$O$62:$O$70,$W42)),0))/6,1)</f>
        <v>0.28275301072307796</v>
      </c>
      <c r="AD42" s="8">
        <v>37</v>
      </c>
      <c r="AE42" s="8">
        <f>X42/士兵加成武将!W42</f>
        <v>0.74222001399223125</v>
      </c>
      <c r="AF42" s="8">
        <f>Y42/士兵加成武将!X42</f>
        <v>0.75047813600858848</v>
      </c>
      <c r="AG42" s="8">
        <f>Z42/士兵加成武将!Y42</f>
        <v>0.82379794568334597</v>
      </c>
      <c r="AH42" s="8">
        <f>AA42/士兵加成武将!Z42</f>
        <v>0.98530947861305906</v>
      </c>
      <c r="AI42" s="8">
        <f>AB42/士兵加成武将!AA42</f>
        <v>0.97739092429404006</v>
      </c>
    </row>
    <row r="43" spans="7:35" x14ac:dyDescent="0.15">
      <c r="W43" s="8">
        <v>38</v>
      </c>
      <c r="X43" s="8">
        <f>MIN((IFERROR(INDEX(其他调用!$W$5:$W$43,MATCH($W43,其他调用!$T$5:$T$43,1))*求节点($G$34:$G$42,$I$34:$I$42,求节点($Q$6:$Q$14,$O$6:$O$14,$W43)),0)+IFERROR(INDEX(其他调用!$X$5:$X$43,MATCH($W43,其他调用!$T$5:$T$43,1))*求节点($G$34:$G$42,$J$34:$J$42,求节点($R$6:$R$14,$O$6:$O$14,$W43)),0)+IFERROR(INDEX(其他调用!$Y$5:$Y$43,MATCH($W43,其他调用!$T$5:$T$43,1))*求节点($G$34:$G$42,$K$34:$K$42,求节点($S$6:$S$14,$O$6:$O$14,$W43)),0))/6,1)</f>
        <v>0.1936509154284464</v>
      </c>
      <c r="Y43" s="8">
        <f>MIN((IFERROR(INDEX(其他调用!$W$50:$W$88,MATCH($W43,其他调用!$T$50:$T$88,1))*求节点($G$34:$G$42,$I$34:$I$42,求节点($Q$20:$Q$28,$O$20:$O$28,$W43)),0)+IFERROR(INDEX(其他调用!$X$50:$X$88,MATCH($W43,其他调用!$T$50:$T$88,1))*求节点($G$34:$G$42,$J$34:$J$42,求节点($R$20:$R$28,$O$20:$O$28,$W43)),0)+IFERROR(INDEX(其他调用!$Y$50:$Y$88,MATCH($W43,其他调用!$T$50:$T$88,1))*求节点($G$34:$G$42,$K$34:$K$42,求节点($S$20:$S$28,$O$20:$O$28,$W43)),0))/6,1)</f>
        <v>0.20208558639720278</v>
      </c>
      <c r="Z43" s="8">
        <f>MIN((IFERROR(INDEX(其他调用!$W$95:$W$133,MATCH($W43,其他调用!$T$95:$T$133,1))*求节点($G$34:$G$42,$I$34:$I$42,求节点($Q$34:$Q$42,$O$34:$O$42,$W43)),0)+IFERROR(INDEX(其他调用!$X$95:$X$133,MATCH($W43,其他调用!$T$95:$T$133,1))*求节点($G$34:$G$42,$J$34:$J$42,求节点($R$34:$R$42,$O$34:$O$42,$W43)),0)+IFERROR(INDEX(其他调用!$Y$95:$Y$133,MATCH($W43,其他调用!$T$95:$T$133,1))*求节点($G$34:$G$42,$K$34:$K$42,求节点($S$34:$S$42,$O$34:$O$42,$W43)),0))/6,1)</f>
        <v>0.22904038421328535</v>
      </c>
      <c r="AA43" s="8">
        <f>MIN((IFERROR(INDEX(其他调用!$W$140:$W$178,MATCH($W43,其他调用!$T$140:$T$178,1))*求节点($G$34:$G$42,$I$34:$I$42,求节点($Q$48:$Q$56,$O$48:$O$56,$W43)),0)+IFERROR(INDEX(其他调用!$X$140:$X$178,MATCH($W43,其他调用!$T$140:$T$178,1))*求节点($G$34:$G$42,$J$34:$J$42,求节点($R$48:$R$56,$O$48:$O$56,$W43)),0)+IFERROR(INDEX(其他调用!$Y$140:$Y$178,MATCH($W43,其他调用!$T$140:$T$178,1))*求节点($G$34:$G$42,$K$34:$K$42,求节点($S$48:$S$56,$O$48:$O$56,$W43)),0))/6,1)</f>
        <v>0.28308200279619428</v>
      </c>
      <c r="AB43" s="8">
        <f>MIN((IFERROR(INDEX(其他调用!$W$185:$W$223,MATCH($W43,其他调用!$T$185:$T$223,1))*求节点($G$34:$G$42,$I$34:$I$42,求节点($Q$62:$Q$70,$O$62:$O$70,$W43)),0)+IFERROR(INDEX(其他调用!$X$185:$X$223,MATCH($W43,其他调用!$T$185:$T$223,1))*求节点($G$34:$G$42,$J$34:$J$42,求节点($R$62:$R$70,$O$62:$O$70,$W43)),0)+IFERROR(INDEX(其他调用!$Y$185:$Y$223,MATCH($W43,其他调用!$T$185:$T$223,1))*求节点($G$34:$G$42,$K$34:$K$42,求节点($S$62:$S$70,$O$62:$O$70,$W43)),0))/6,1)</f>
        <v>0.28912344460737849</v>
      </c>
      <c r="AD43" s="8">
        <v>38</v>
      </c>
      <c r="AE43" s="8">
        <f>X43/士兵加成武将!W43</f>
        <v>0.73307533442068562</v>
      </c>
      <c r="AF43" s="8">
        <f>Y43/士兵加成武将!X43</f>
        <v>0.7466128560015729</v>
      </c>
      <c r="AG43" s="8">
        <f>Z43/士兵加成武将!Y43</f>
        <v>0.82386335713126424</v>
      </c>
      <c r="AH43" s="8">
        <f>AA43/士兵加成武将!Z43</f>
        <v>0.98908568309984812</v>
      </c>
      <c r="AI43" s="8">
        <f>AB43/士兵加成武将!AA43</f>
        <v>0.97831483910114914</v>
      </c>
    </row>
    <row r="44" spans="7:35" x14ac:dyDescent="0.15">
      <c r="W44" s="8">
        <v>39</v>
      </c>
      <c r="X44" s="8">
        <f>MIN((IFERROR(INDEX(其他调用!$W$5:$W$43,MATCH($W44,其他调用!$T$5:$T$43,1))*求节点($G$34:$G$42,$I$34:$I$42,求节点($Q$6:$Q$14,$O$6:$O$14,$W44)),0)+IFERROR(INDEX(其他调用!$X$5:$X$43,MATCH($W44,其他调用!$T$5:$T$43,1))*求节点($G$34:$G$42,$J$34:$J$42,求节点($R$6:$R$14,$O$6:$O$14,$W44)),0)+IFERROR(INDEX(其他调用!$Y$5:$Y$43,MATCH($W44,其他调用!$T$5:$T$43,1))*求节点($G$34:$G$42,$K$34:$K$42,求节点($S$6:$S$14,$O$6:$O$14,$W44)),0))/6,1)</f>
        <v>0.19552041073002677</v>
      </c>
      <c r="Y44" s="8">
        <f>MIN((IFERROR(INDEX(其他调用!$W$50:$W$88,MATCH($W44,其他调用!$T$50:$T$88,1))*求节点($G$34:$G$42,$I$34:$I$42,求节点($Q$20:$Q$28,$O$20:$O$28,$W44)),0)+IFERROR(INDEX(其他调用!$X$50:$X$88,MATCH($W44,其他调用!$T$50:$T$88,1))*求节点($G$34:$G$42,$J$34:$J$42,求节点($R$20:$R$28,$O$20:$O$28,$W44)),0)+IFERROR(INDEX(其他调用!$Y$50:$Y$88,MATCH($W44,其他调用!$T$50:$T$88,1))*求节点($G$34:$G$42,$K$34:$K$42,求节点($S$20:$S$28,$O$20:$O$28,$W44)),0))/6,1)</f>
        <v>0.20687501288773738</v>
      </c>
      <c r="Z44" s="8">
        <f>MIN((IFERROR(INDEX(其他调用!$W$95:$W$133,MATCH($W44,其他调用!$T$95:$T$133,1))*求节点($G$34:$G$42,$I$34:$I$42,求节点($Q$34:$Q$42,$O$34:$O$42,$W44)),0)+IFERROR(INDEX(其他调用!$X$95:$X$133,MATCH($W44,其他调用!$T$95:$T$133,1))*求节点($G$34:$G$42,$J$34:$J$42,求节点($R$34:$R$42,$O$34:$O$42,$W44)),0)+IFERROR(INDEX(其他调用!$Y$95:$Y$133,MATCH($W44,其他调用!$T$95:$T$133,1))*求节点($G$34:$G$42,$K$34:$K$42,求节点($S$34:$S$42,$O$34:$O$42,$W44)),0))/6,1)</f>
        <v>0.23397559551756672</v>
      </c>
      <c r="AA44" s="8">
        <f>MIN((IFERROR(INDEX(其他调用!$W$140:$W$178,MATCH($W44,其他调用!$T$140:$T$178,1))*求节点($G$34:$G$42,$I$34:$I$42,求节点($Q$48:$Q$56,$O$48:$O$56,$W44)),0)+IFERROR(INDEX(其他调用!$X$140:$X$178,MATCH($W44,其他调用!$T$140:$T$178,1))*求节点($G$34:$G$42,$J$34:$J$42,求节点($R$48:$R$56,$O$48:$O$56,$W44)),0)+IFERROR(INDEX(其他调用!$Y$140:$Y$178,MATCH($W44,其他调用!$T$140:$T$178,1))*求节点($G$34:$G$42,$K$34:$K$42,求节点($S$48:$S$56,$O$48:$O$56,$W44)),0))/6,1)</f>
        <v>0.28976898134604118</v>
      </c>
      <c r="AB44" s="8">
        <f>MIN((IFERROR(INDEX(其他调用!$W$185:$W$223,MATCH($W44,其他调用!$T$185:$T$223,1))*求节点($G$34:$G$42,$I$34:$I$42,求节点($Q$62:$Q$70,$O$62:$O$70,$W44)),0)+IFERROR(INDEX(其他调用!$X$185:$X$223,MATCH($W44,其他调用!$T$185:$T$223,1))*求节点($G$34:$G$42,$J$34:$J$42,求节点($R$62:$R$70,$O$62:$O$70,$W44)),0)+IFERROR(INDEX(其他调用!$Y$185:$Y$223,MATCH($W44,其他调用!$T$185:$T$223,1))*求节点($G$34:$G$42,$K$34:$K$42,求节点($S$62:$S$70,$O$62:$O$70,$W44)),0))/6,1)</f>
        <v>0.29549387849167902</v>
      </c>
      <c r="AD44" s="8">
        <v>39</v>
      </c>
      <c r="AE44" s="8">
        <f>X44/士兵加成武将!W44</f>
        <v>0.72432183239298842</v>
      </c>
      <c r="AF44" s="8">
        <f>Y44/士兵加成武将!X44</f>
        <v>0.74810088699930444</v>
      </c>
      <c r="AG44" s="8">
        <f>Z44/士兵加成武将!Y44</f>
        <v>0.82392601889223882</v>
      </c>
      <c r="AH44" s="8">
        <f>AA44/士兵加成武将!Z44</f>
        <v>0.99139684404786799</v>
      </c>
      <c r="AI44" s="8">
        <f>AB44/士兵加成武将!AA44</f>
        <v>0.97675361369031788</v>
      </c>
    </row>
    <row r="45" spans="7:35" x14ac:dyDescent="0.15">
      <c r="W45" s="8">
        <v>40</v>
      </c>
      <c r="X45" s="8">
        <f>MIN((IFERROR(INDEX(其他调用!$W$5:$W$43,MATCH($W45,其他调用!$T$5:$T$43,1))*求节点($G$34:$G$42,$I$34:$I$42,求节点($Q$6:$Q$14,$O$6:$O$14,$W45)),0)+IFERROR(INDEX(其他调用!$X$5:$X$43,MATCH($W45,其他调用!$T$5:$T$43,1))*求节点($G$34:$G$42,$J$34:$J$42,求节点($R$6:$R$14,$O$6:$O$14,$W45)),0)+IFERROR(INDEX(其他调用!$Y$5:$Y$43,MATCH($W45,其他调用!$T$5:$T$43,1))*求节点($G$34:$G$42,$K$34:$K$42,求节点($S$6:$S$14,$O$6:$O$14,$W45)),0))/6,1)</f>
        <v>0.19738990603160711</v>
      </c>
      <c r="Y45" s="8">
        <f>MIN((IFERROR(INDEX(其他调用!$W$50:$W$88,MATCH($W45,其他调用!$T$50:$T$88,1))*求节点($G$34:$G$42,$I$34:$I$42,求节点($Q$20:$Q$28,$O$20:$O$28,$W45)),0)+IFERROR(INDEX(其他调用!$X$50:$X$88,MATCH($W45,其他调用!$T$50:$T$88,1))*求节点($G$34:$G$42,$J$34:$J$42,求节点($R$20:$R$28,$O$20:$O$28,$W45)),0)+IFERROR(INDEX(其他调用!$Y$50:$Y$88,MATCH($W45,其他调用!$T$50:$T$88,1))*求节点($G$34:$G$42,$K$34:$K$42,求节点($S$20:$S$28,$O$20:$O$28,$W45)),0))/6,1)</f>
        <v>0.21166443937827195</v>
      </c>
      <c r="Z45" s="8">
        <f>MIN((IFERROR(INDEX(其他调用!$W$95:$W$133,MATCH($W45,其他调用!$T$95:$T$133,1))*求节点($G$34:$G$42,$I$34:$I$42,求节点($Q$34:$Q$42,$O$34:$O$42,$W45)),0)+IFERROR(INDEX(其他调用!$X$95:$X$133,MATCH($W45,其他调用!$T$95:$T$133,1))*求节点($G$34:$G$42,$J$34:$J$42,求节点($R$34:$R$42,$O$34:$O$42,$W45)),0)+IFERROR(INDEX(其他调用!$Y$95:$Y$133,MATCH($W45,其他调用!$T$95:$T$133,1))*求节点($G$34:$G$42,$K$34:$K$42,求节点($S$34:$S$42,$O$34:$O$42,$W45)),0))/6,1)</f>
        <v>0.23891080682184809</v>
      </c>
      <c r="AA45" s="8">
        <f>MIN((IFERROR(INDEX(其他调用!$W$140:$W$178,MATCH($W45,其他调用!$T$140:$T$178,1))*求节点($G$34:$G$42,$I$34:$I$42,求节点($Q$48:$Q$56,$O$48:$O$56,$W45)),0)+IFERROR(INDEX(其他调用!$X$140:$X$178,MATCH($W45,其他调用!$T$140:$T$178,1))*求节点($G$34:$G$42,$J$34:$J$42,求节点($R$48:$R$56,$O$48:$O$56,$W45)),0)+IFERROR(INDEX(其他调用!$Y$140:$Y$178,MATCH($W45,其他调用!$T$140:$T$178,1))*求节点($G$34:$G$42,$K$34:$K$42,求节点($S$48:$S$56,$O$48:$O$56,$W45)),0))/6,1)</f>
        <v>0.29645595989588797</v>
      </c>
      <c r="AB45" s="8">
        <f>MIN((IFERROR(INDEX(其他调用!$W$185:$W$223,MATCH($W45,其他调用!$T$185:$T$223,1))*求节点($G$34:$G$42,$I$34:$I$42,求节点($Q$62:$Q$70,$O$62:$O$70,$W45)),0)+IFERROR(INDEX(其他调用!$X$185:$X$223,MATCH($W45,其他调用!$T$185:$T$223,1))*求节点($G$34:$G$42,$J$34:$J$42,求节点($R$62:$R$70,$O$62:$O$70,$W45)),0)+IFERROR(INDEX(其他调用!$Y$185:$Y$223,MATCH($W45,其他调用!$T$185:$T$223,1))*求节点($G$34:$G$42,$K$34:$K$42,求节点($S$62:$S$70,$O$62:$O$70,$W45)),0))/6,1)</f>
        <v>0.30186431237597949</v>
      </c>
      <c r="AD45" s="8">
        <v>40</v>
      </c>
      <c r="AE45" s="8">
        <f>X45/士兵加成武将!W45</f>
        <v>0.71593493368945127</v>
      </c>
      <c r="AF45" s="8">
        <f>Y45/士兵加成武将!X45</f>
        <v>0.74952712270815169</v>
      </c>
      <c r="AG45" s="8">
        <f>Z45/士兵加成武将!Y45</f>
        <v>0.82398610077907364</v>
      </c>
      <c r="AH45" s="8">
        <f>AA45/士兵加成武将!Z45</f>
        <v>0.99361384552973009</v>
      </c>
      <c r="AI45" s="8">
        <f>AB45/士兵加成武将!AA45</f>
        <v>0.96928880156795705</v>
      </c>
    </row>
    <row r="46" spans="7:35" x14ac:dyDescent="0.15">
      <c r="H46" s="11"/>
      <c r="I46" s="11"/>
      <c r="J46" s="11"/>
      <c r="K46" s="11"/>
      <c r="L46" s="11"/>
      <c r="P46" s="19" t="s">
        <v>53</v>
      </c>
      <c r="Q46" s="19"/>
      <c r="R46" s="19"/>
      <c r="S46" s="19"/>
      <c r="T46" s="19"/>
      <c r="W46" s="8">
        <v>41</v>
      </c>
      <c r="X46" s="8">
        <f>MIN((IFERROR(INDEX(其他调用!$W$5:$W$43,MATCH($W46,其他调用!$T$5:$T$43,1))*求节点($G$34:$G$42,$I$34:$I$42,求节点($Q$6:$Q$14,$O$6:$O$14,$W46)),0)+IFERROR(INDEX(其他调用!$X$5:$X$43,MATCH($W46,其他调用!$T$5:$T$43,1))*求节点($G$34:$G$42,$J$34:$J$42,求节点($R$6:$R$14,$O$6:$O$14,$W46)),0)+IFERROR(INDEX(其他调用!$Y$5:$Y$43,MATCH($W46,其他调用!$T$5:$T$43,1))*求节点($G$34:$G$42,$K$34:$K$42,求节点($S$6:$S$14,$O$6:$O$14,$W46)),0))/6,1)</f>
        <v>0.19925940133318751</v>
      </c>
      <c r="Y46" s="8">
        <f>MIN((IFERROR(INDEX(其他调用!$W$50:$W$88,MATCH($W46,其他调用!$T$50:$T$88,1))*求节点($G$34:$G$42,$I$34:$I$42,求节点($Q$20:$Q$28,$O$20:$O$28,$W46)),0)+IFERROR(INDEX(其他调用!$X$50:$X$88,MATCH($W46,其他调用!$T$50:$T$88,1))*求节点($G$34:$G$42,$J$34:$J$42,求节点($R$20:$R$28,$O$20:$O$28,$W46)),0)+IFERROR(INDEX(其他调用!$Y$50:$Y$88,MATCH($W46,其他调用!$T$50:$T$88,1))*求节点($G$34:$G$42,$K$34:$K$42,求节点($S$20:$S$28,$O$20:$O$28,$W46)),0))/6,1)</f>
        <v>0.21645386586880655</v>
      </c>
      <c r="Z46" s="8">
        <f>MIN((IFERROR(INDEX(其他调用!$W$95:$W$133,MATCH($W46,其他调用!$T$95:$T$133,1))*求节点($G$34:$G$42,$I$34:$I$42,求节点($Q$34:$Q$42,$O$34:$O$42,$W46)),0)+IFERROR(INDEX(其他调用!$X$95:$X$133,MATCH($W46,其他调用!$T$95:$T$133,1))*求节点($G$34:$G$42,$J$34:$J$42,求节点($R$34:$R$42,$O$34:$O$42,$W46)),0)+IFERROR(INDEX(其他调用!$Y$95:$Y$133,MATCH($W46,其他调用!$T$95:$T$133,1))*求节点($G$34:$G$42,$K$34:$K$42,求节点($S$34:$S$42,$O$34:$O$42,$W46)),0))/6,1)</f>
        <v>0.24466267448352966</v>
      </c>
      <c r="AA46" s="8">
        <f>MIN((IFERROR(INDEX(其他调用!$W$140:$W$178,MATCH($W46,其他调用!$T$140:$T$178,1))*求节点($G$34:$G$42,$I$34:$I$42,求节点($Q$48:$Q$56,$O$48:$O$56,$W46)),0)+IFERROR(INDEX(其他调用!$X$140:$X$178,MATCH($W46,其他调用!$T$140:$T$178,1))*求节点($G$34:$G$42,$J$34:$J$42,求节点($R$48:$R$56,$O$48:$O$56,$W46)),0)+IFERROR(INDEX(其他调用!$Y$140:$Y$178,MATCH($W46,其他调用!$T$140:$T$178,1))*求节点($G$34:$G$42,$K$34:$K$42,求节点($S$48:$S$56,$O$48:$O$56,$W46)),0))/6,1)</f>
        <v>0.30314293844573481</v>
      </c>
      <c r="AB46" s="8">
        <f>MIN((IFERROR(INDEX(其他调用!$W$185:$W$223,MATCH($W46,其他调用!$T$185:$T$223,1))*求节点($G$34:$G$42,$I$34:$I$42,求节点($Q$62:$Q$70,$O$62:$O$70,$W46)),0)+IFERROR(INDEX(其他调用!$X$185:$X$223,MATCH($W46,其他调用!$T$185:$T$223,1))*求节点($G$34:$G$42,$J$34:$J$42,求节点($R$62:$R$70,$O$62:$O$70,$W46)),0)+IFERROR(INDEX(其他调用!$Y$185:$Y$223,MATCH($W46,其他调用!$T$185:$T$223,1))*求节点($G$34:$G$42,$K$34:$K$42,求节点($S$62:$S$70,$O$62:$O$70,$W46)),0))/6,1)</f>
        <v>0.30823474626028002</v>
      </c>
      <c r="AD46" s="8">
        <v>41</v>
      </c>
      <c r="AE46" s="8">
        <f>X46/士兵加成武将!W46</f>
        <v>0.7078920802453651</v>
      </c>
      <c r="AF46" s="8">
        <f>Y46/士兵加成武将!X46</f>
        <v>0.7508953341983502</v>
      </c>
      <c r="AG46" s="8">
        <f>Z46/士兵加成武将!Y46</f>
        <v>0.82680353566637554</v>
      </c>
      <c r="AH46" s="8">
        <f>AA46/士兵加成武将!Z46</f>
        <v>0.98898428360557622</v>
      </c>
      <c r="AI46" s="8">
        <f>AB46/士兵加成武将!AA46</f>
        <v>0.96223889022889986</v>
      </c>
    </row>
    <row r="47" spans="7:35" x14ac:dyDescent="0.15">
      <c r="O47" s="8" t="s">
        <v>33</v>
      </c>
      <c r="P47" s="8">
        <v>100</v>
      </c>
      <c r="Q47" s="8">
        <v>110</v>
      </c>
      <c r="R47" s="8">
        <v>120</v>
      </c>
      <c r="S47" s="8">
        <v>130</v>
      </c>
      <c r="T47" s="8">
        <v>140</v>
      </c>
      <c r="W47" s="8">
        <v>42</v>
      </c>
      <c r="X47" s="8">
        <f>MIN((IFERROR(INDEX(其他调用!$W$5:$W$43,MATCH($W47,其他调用!$T$5:$T$43,1))*求节点($G$34:$G$42,$I$34:$I$42,求节点($Q$6:$Q$14,$O$6:$O$14,$W47)),0)+IFERROR(INDEX(其他调用!$X$5:$X$43,MATCH($W47,其他调用!$T$5:$T$43,1))*求节点($G$34:$G$42,$J$34:$J$42,求节点($R$6:$R$14,$O$6:$O$14,$W47)),0)+IFERROR(INDEX(其他调用!$Y$5:$Y$43,MATCH($W47,其他调用!$T$5:$T$43,1))*求节点($G$34:$G$42,$K$34:$K$42,求节点($S$6:$S$14,$O$6:$O$14,$W47)),0))/6,1)</f>
        <v>0.20294441505825331</v>
      </c>
      <c r="Y47" s="8">
        <f>MIN((IFERROR(INDEX(其他调用!$W$50:$W$88,MATCH($W47,其他调用!$T$50:$T$88,1))*求节点($G$34:$G$42,$I$34:$I$42,求节点($Q$20:$Q$28,$O$20:$O$28,$W47)),0)+IFERROR(INDEX(其他调用!$X$50:$X$88,MATCH($W47,其他调用!$T$50:$T$88,1))*求节点($G$34:$G$42,$J$34:$J$42,求节点($R$20:$R$28,$O$20:$O$28,$W47)),0)+IFERROR(INDEX(其他调用!$Y$50:$Y$88,MATCH($W47,其他调用!$T$50:$T$88,1))*求节点($G$34:$G$42,$K$34:$K$42,求节点($S$20:$S$28,$O$20:$O$28,$W47)),0))/6,1)</f>
        <v>0.22124329235934115</v>
      </c>
      <c r="Z47" s="8">
        <f>MIN((IFERROR(INDEX(其他调用!$W$95:$W$133,MATCH($W47,其他调用!$T$95:$T$133,1))*求节点($G$34:$G$42,$I$34:$I$42,求节点($Q$34:$Q$42,$O$34:$O$42,$W47)),0)+IFERROR(INDEX(其他调用!$X$95:$X$133,MATCH($W47,其他调用!$T$95:$T$133,1))*求节点($G$34:$G$42,$J$34:$J$42,求节点($R$34:$R$42,$O$34:$O$42,$W47)),0)+IFERROR(INDEX(其他调用!$Y$95:$Y$133,MATCH($W47,其他调用!$T$95:$T$133,1))*求节点($G$34:$G$42,$K$34:$K$42,求节点($S$34:$S$42,$O$34:$O$42,$W47)),0))/6,1)</f>
        <v>0.25064581940501696</v>
      </c>
      <c r="AA47" s="8">
        <f>MIN((IFERROR(INDEX(其他调用!$W$140:$W$178,MATCH($W47,其他调用!$T$140:$T$178,1))*求节点($G$34:$G$42,$I$34:$I$42,求节点($Q$48:$Q$56,$O$48:$O$56,$W47)),0)+IFERROR(INDEX(其他调用!$X$140:$X$178,MATCH($W47,其他调用!$T$140:$T$178,1))*求节点($G$34:$G$42,$J$34:$J$42,求节点($R$48:$R$56,$O$48:$O$56,$W47)),0)+IFERROR(INDEX(其他调用!$Y$140:$Y$178,MATCH($W47,其他调用!$T$140:$T$178,1))*求节点($G$34:$G$42,$K$34:$K$42,求节点($S$48:$S$56,$O$48:$O$56,$W47)),0))/6,1)</f>
        <v>0.30982991699558171</v>
      </c>
      <c r="AB47" s="8">
        <f>MIN((IFERROR(INDEX(其他调用!$W$185:$W$223,MATCH($W47,其他调用!$T$185:$T$223,1))*求节点($G$34:$G$42,$I$34:$I$42,求节点($Q$62:$Q$70,$O$62:$O$70,$W47)),0)+IFERROR(INDEX(其他调用!$X$185:$X$223,MATCH($W47,其他调用!$T$185:$T$223,1))*求节点($G$34:$G$42,$J$34:$J$42,求节点($R$62:$R$70,$O$62:$O$70,$W47)),0)+IFERROR(INDEX(其他调用!$Y$185:$Y$223,MATCH($W47,其他调用!$T$185:$T$223,1))*求节点($G$34:$G$42,$K$34:$K$42,求节点($S$62:$S$70,$O$62:$O$70,$W47)),0))/6,1)</f>
        <v>0.31460518014458055</v>
      </c>
      <c r="AD47" s="8">
        <v>42</v>
      </c>
      <c r="AE47" s="8">
        <f>X47/士兵加成武将!W47</f>
        <v>0.70649273385981759</v>
      </c>
      <c r="AF47" s="8">
        <f>Y47/士兵加成武将!X47</f>
        <v>0.75220899181691692</v>
      </c>
      <c r="AG47" s="8">
        <f>Z47/士兵加成武将!Y47</f>
        <v>0.82770816863948793</v>
      </c>
      <c r="AH47" s="8">
        <f>AA47/士兵加成武将!Z47</f>
        <v>0.98219784106815733</v>
      </c>
      <c r="AI47" s="8">
        <f>AB47/士兵加成武将!AA47</f>
        <v>0.95557022415242987</v>
      </c>
    </row>
    <row r="48" spans="7:35" x14ac:dyDescent="0.15">
      <c r="H48" s="10"/>
      <c r="I48" s="10"/>
      <c r="J48" s="10"/>
      <c r="K48" s="10"/>
      <c r="L48" s="10"/>
      <c r="O48" s="8">
        <v>0</v>
      </c>
      <c r="P48" s="10"/>
      <c r="Q48" s="15">
        <f>IFERROR(求节点(其他调用!AB$140:AB$178,其他调用!$T$140:$T$178,$O48),0)</f>
        <v>0</v>
      </c>
      <c r="R48" s="15">
        <f>IFERROR(求节点(其他调用!AC$140:AC$178,其他调用!$T$140:$T$178,$O48),0)</f>
        <v>10.00263241450434</v>
      </c>
      <c r="S48" s="15">
        <f>IFERROR(求节点(其他调用!AD$140:AD$178,其他调用!$T$140:$T$178,$O48),0)</f>
        <v>0</v>
      </c>
      <c r="T48" s="10"/>
      <c r="W48" s="8">
        <v>43</v>
      </c>
      <c r="X48" s="8">
        <f>MIN((IFERROR(INDEX(其他调用!$W$5:$W$43,MATCH($W48,其他调用!$T$5:$T$43,1))*求节点($G$34:$G$42,$I$34:$I$42,求节点($Q$6:$Q$14,$O$6:$O$14,$W48)),0)+IFERROR(INDEX(其他调用!$X$5:$X$43,MATCH($W48,其他调用!$T$5:$T$43,1))*求节点($G$34:$G$42,$J$34:$J$42,求节点($R$6:$R$14,$O$6:$O$14,$W48)),0)+IFERROR(INDEX(其他调用!$Y$5:$Y$43,MATCH($W48,其他调用!$T$5:$T$43,1))*求节点($G$34:$G$42,$K$34:$K$42,求节点($S$6:$S$14,$O$6:$O$14,$W48)),0))/6,1)</f>
        <v>0.2078204771774739</v>
      </c>
      <c r="Y48" s="8">
        <f>MIN((IFERROR(INDEX(其他调用!$W$50:$W$88,MATCH($W48,其他调用!$T$50:$T$88,1))*求节点($G$34:$G$42,$I$34:$I$42,求节点($Q$20:$Q$28,$O$20:$O$28,$W48)),0)+IFERROR(INDEX(其他调用!$X$50:$X$88,MATCH($W48,其他调用!$T$50:$T$88,1))*求节点($G$34:$G$42,$J$34:$J$42,求节点($R$20:$R$28,$O$20:$O$28,$W48)),0)+IFERROR(INDEX(其他调用!$Y$50:$Y$88,MATCH($W48,其他调用!$T$50:$T$88,1))*求节点($G$34:$G$42,$K$34:$K$42,求节点($S$20:$S$28,$O$20:$O$28,$W48)),0))/6,1)</f>
        <v>0.22603271884987575</v>
      </c>
      <c r="Z48" s="8">
        <f>MIN((IFERROR(INDEX(其他调用!$W$95:$W$133,MATCH($W48,其他调用!$T$95:$T$133,1))*求节点($G$34:$G$42,$I$34:$I$42,求节点($Q$34:$Q$42,$O$34:$O$42,$W48)),0)+IFERROR(INDEX(其他调用!$X$95:$X$133,MATCH($W48,其他调用!$T$95:$T$133,1))*求节点($G$34:$G$42,$J$34:$J$42,求节点($R$34:$R$42,$O$34:$O$42,$W48)),0)+IFERROR(INDEX(其他调用!$Y$95:$Y$133,MATCH($W48,其他调用!$T$95:$T$133,1))*求节点($G$34:$G$42,$K$34:$K$42,求节点($S$34:$S$42,$O$34:$O$42,$W48)),0))/6,1)</f>
        <v>0.25662896432650434</v>
      </c>
      <c r="AA48" s="8">
        <f>MIN((IFERROR(INDEX(其他调用!$W$140:$W$178,MATCH($W48,其他调用!$T$140:$T$178,1))*求节点($G$34:$G$42,$I$34:$I$42,求节点($Q$48:$Q$56,$O$48:$O$56,$W48)),0)+IFERROR(INDEX(其他调用!$X$140:$X$178,MATCH($W48,其他调用!$T$140:$T$178,1))*求节点($G$34:$G$42,$J$34:$J$42,求节点($R$48:$R$56,$O$48:$O$56,$W48)),0)+IFERROR(INDEX(其他调用!$Y$140:$Y$178,MATCH($W48,其他调用!$T$140:$T$178,1))*求节点($G$34:$G$42,$K$34:$K$42,求节点($S$48:$S$56,$O$48:$O$56,$W48)),0))/6,1)</f>
        <v>0.3165168955454285</v>
      </c>
      <c r="AB48" s="8">
        <f>MIN((IFERROR(INDEX(其他调用!$W$185:$W$223,MATCH($W48,其他调用!$T$185:$T$223,1))*求节点($G$34:$G$42,$I$34:$I$42,求节点($Q$62:$Q$70,$O$62:$O$70,$W48)),0)+IFERROR(INDEX(其他调用!$X$185:$X$223,MATCH($W48,其他调用!$T$185:$T$223,1))*求节点($G$34:$G$42,$J$34:$J$42,求节点($R$62:$R$70,$O$62:$O$70,$W48)),0)+IFERROR(INDEX(其他调用!$Y$185:$Y$223,MATCH($W48,其他调用!$T$185:$T$223,1))*求节点($G$34:$G$42,$K$34:$K$42,求节点($S$62:$S$70,$O$62:$O$70,$W48)),0))/6,1)</f>
        <v>0.32111692850671048</v>
      </c>
      <c r="AD48" s="8">
        <v>43</v>
      </c>
      <c r="AE48" s="8">
        <f>X48/士兵加成武将!W48</f>
        <v>0.70921312933272318</v>
      </c>
      <c r="AF48" s="8">
        <f>Y48/士兵加成武将!X48</f>
        <v>0.75347129457810491</v>
      </c>
      <c r="AG48" s="8">
        <f>Z48/士兵加成武将!Y48</f>
        <v>0.82317082853194246</v>
      </c>
      <c r="AH48" s="8">
        <f>AA48/士兵加成武将!Z48</f>
        <v>0.97578489722839146</v>
      </c>
      <c r="AI48" s="8">
        <f>AB48/士兵加成武将!AA48</f>
        <v>0.94967061521119978</v>
      </c>
    </row>
    <row r="49" spans="8:35" x14ac:dyDescent="0.15">
      <c r="H49" s="10"/>
      <c r="I49" s="10"/>
      <c r="J49" s="10"/>
      <c r="K49" s="10"/>
      <c r="L49" s="10"/>
      <c r="O49" s="8">
        <v>1</v>
      </c>
      <c r="P49" s="10"/>
      <c r="Q49" s="15">
        <f>IFERROR(求节点(其他调用!AB$140:AB$178,其他调用!$T$140:$T$178,$O49),0)</f>
        <v>0</v>
      </c>
      <c r="R49" s="15">
        <f>IFERROR(求节点(其他调用!AC$140:AC$178,其他调用!$T$140:$T$178,$O49),0)</f>
        <v>25.903792114483267</v>
      </c>
      <c r="S49" s="15">
        <f>IFERROR(求节点(其他调用!AD$140:AD$178,其他调用!$T$140:$T$178,$O49),0)</f>
        <v>54.738384763736576</v>
      </c>
      <c r="T49" s="10"/>
      <c r="W49" s="8">
        <v>44</v>
      </c>
      <c r="X49" s="8">
        <f>MIN((IFERROR(INDEX(其他调用!$W$5:$W$43,MATCH($W49,其他调用!$T$5:$T$43,1))*求节点($G$34:$G$42,$I$34:$I$42,求节点($Q$6:$Q$14,$O$6:$O$14,$W49)),0)+IFERROR(INDEX(其他调用!$X$5:$X$43,MATCH($W49,其他调用!$T$5:$T$43,1))*求节点($G$34:$G$42,$J$34:$J$42,求节点($R$6:$R$14,$O$6:$O$14,$W49)),0)+IFERROR(INDEX(其他调用!$Y$5:$Y$43,MATCH($W49,其他调用!$T$5:$T$43,1))*求节点($G$34:$G$42,$K$34:$K$42,求节点($S$6:$S$14,$O$6:$O$14,$W49)),0))/6,1)</f>
        <v>0.21269653929669449</v>
      </c>
      <c r="Y49" s="8">
        <f>MIN((IFERROR(INDEX(其他调用!$W$50:$W$88,MATCH($W49,其他调用!$T$50:$T$88,1))*求节点($G$34:$G$42,$I$34:$I$42,求节点($Q$20:$Q$28,$O$20:$O$28,$W49)),0)+IFERROR(INDEX(其他调用!$X$50:$X$88,MATCH($W49,其他调用!$T$50:$T$88,1))*求节点($G$34:$G$42,$J$34:$J$42,求节点($R$20:$R$28,$O$20:$O$28,$W49)),0)+IFERROR(INDEX(其他调用!$Y$50:$Y$88,MATCH($W49,其他调用!$T$50:$T$88,1))*求节点($G$34:$G$42,$K$34:$K$42,求节点($S$20:$S$28,$O$20:$O$28,$W49)),0))/6,1)</f>
        <v>0.23082214534041032</v>
      </c>
      <c r="Z49" s="8">
        <f>MIN((IFERROR(INDEX(其他调用!$W$95:$W$133,MATCH($W49,其他调用!$T$95:$T$133,1))*求节点($G$34:$G$42,$I$34:$I$42,求节点($Q$34:$Q$42,$O$34:$O$42,$W49)),0)+IFERROR(INDEX(其他调用!$X$95:$X$133,MATCH($W49,其他调用!$T$95:$T$133,1))*求节点($G$34:$G$42,$J$34:$J$42,求节点($R$34:$R$42,$O$34:$O$42,$W49)),0)+IFERROR(INDEX(其他调用!$Y$95:$Y$133,MATCH($W49,其他调用!$T$95:$T$133,1))*求节点($G$34:$G$42,$K$34:$K$42,求节点($S$34:$S$42,$O$34:$O$42,$W49)),0))/6,1)</f>
        <v>0.26261210924799167</v>
      </c>
      <c r="AA49" s="8">
        <f>MIN((IFERROR(INDEX(其他调用!$W$140:$W$178,MATCH($W49,其他调用!$T$140:$T$178,1))*求节点($G$34:$G$42,$I$34:$I$42,求节点($Q$48:$Q$56,$O$48:$O$56,$W49)),0)+IFERROR(INDEX(其他调用!$X$140:$X$178,MATCH($W49,其他调用!$T$140:$T$178,1))*求节点($G$34:$G$42,$J$34:$J$42,求节点($R$48:$R$56,$O$48:$O$56,$W49)),0)+IFERROR(INDEX(其他调用!$Y$140:$Y$178,MATCH($W49,其他调用!$T$140:$T$178,1))*求节点($G$34:$G$42,$K$34:$K$42,求节点($S$48:$S$56,$O$48:$O$56,$W49)),0))/6,1)</f>
        <v>0.32337936013730156</v>
      </c>
      <c r="AB49" s="8">
        <f>MIN((IFERROR(INDEX(其他调用!$W$185:$W$223,MATCH($W49,其他调用!$T$185:$T$223,1))*求节点($G$34:$G$42,$I$34:$I$42,求节点($Q$62:$Q$70,$O$62:$O$70,$W49)),0)+IFERROR(INDEX(其他调用!$X$185:$X$223,MATCH($W49,其他调用!$T$185:$T$223,1))*求节点($G$34:$G$42,$J$34:$J$42,求节点($R$62:$R$70,$O$62:$O$70,$W49)),0)+IFERROR(INDEX(其他调用!$Y$185:$Y$223,MATCH($W49,其他调用!$T$185:$T$223,1))*求节点($G$34:$G$42,$K$34:$K$42,求节点($S$62:$S$70,$O$62:$O$70,$W49)),0))/6,1)</f>
        <v>0.32841009875114652</v>
      </c>
      <c r="AD49" s="8">
        <v>44</v>
      </c>
      <c r="AE49" s="8">
        <f>X49/士兵加成武将!W49</f>
        <v>0.71182839814289922</v>
      </c>
      <c r="AF49" s="8">
        <f>Y49/士兵加成武将!X49</f>
        <v>0.74714104944374216</v>
      </c>
      <c r="AG49" s="8">
        <f>Z49/士兵加成武将!Y49</f>
        <v>0.81888639444644473</v>
      </c>
      <c r="AH49" s="8">
        <f>AA49/士兵加成武将!Z49</f>
        <v>0.97024195852960127</v>
      </c>
      <c r="AI49" s="8">
        <f>AB49/士兵加成武将!AA49</f>
        <v>0.94632537251619675</v>
      </c>
    </row>
    <row r="50" spans="8:35" x14ac:dyDescent="0.15">
      <c r="H50" s="10"/>
      <c r="I50" s="10"/>
      <c r="J50" s="10"/>
      <c r="K50" s="10"/>
      <c r="L50" s="10"/>
      <c r="O50" s="8">
        <v>2</v>
      </c>
      <c r="P50" s="10"/>
      <c r="Q50" s="15">
        <f>IFERROR(求节点(其他调用!AB$140:AB$178,其他调用!$T$140:$T$178,$O50),0)</f>
        <v>0</v>
      </c>
      <c r="R50" s="15">
        <f>IFERROR(求节点(其他调用!AC$140:AC$178,其他调用!$T$140:$T$178,$O50),0)</f>
        <v>32.130869829192491</v>
      </c>
      <c r="S50" s="15">
        <f>IFERROR(求节点(其他调用!AD$140:AD$178,其他调用!$T$140:$T$178,$O50),0)</f>
        <v>58.644856327879175</v>
      </c>
      <c r="T50" s="10"/>
      <c r="W50" s="8">
        <v>45</v>
      </c>
      <c r="X50" s="8">
        <f>MIN((IFERROR(INDEX(其他调用!$W$5:$W$43,MATCH($W50,其他调用!$T$5:$T$43,1))*求节点($G$34:$G$42,$I$34:$I$42,求节点($Q$6:$Q$14,$O$6:$O$14,$W50)),0)+IFERROR(INDEX(其他调用!$X$5:$X$43,MATCH($W50,其他调用!$T$5:$T$43,1))*求节点($G$34:$G$42,$J$34:$J$42,求节点($R$6:$R$14,$O$6:$O$14,$W50)),0)+IFERROR(INDEX(其他调用!$Y$5:$Y$43,MATCH($W50,其他调用!$T$5:$T$43,1))*求节点($G$34:$G$42,$K$34:$K$42,求节点($S$6:$S$14,$O$6:$O$14,$W50)),0))/6,1)</f>
        <v>0.21757260141591508</v>
      </c>
      <c r="Y50" s="8">
        <f>MIN((IFERROR(INDEX(其他调用!$W$50:$W$88,MATCH($W50,其他调用!$T$50:$T$88,1))*求节点($G$34:$G$42,$I$34:$I$42,求节点($Q$20:$Q$28,$O$20:$O$28,$W50)),0)+IFERROR(INDEX(其他调用!$X$50:$X$88,MATCH($W50,其他调用!$T$50:$T$88,1))*求节点($G$34:$G$42,$J$34:$J$42,求节点($R$20:$R$28,$O$20:$O$28,$W50)),0)+IFERROR(INDEX(其他调用!$Y$50:$Y$88,MATCH($W50,其他调用!$T$50:$T$88,1))*求节点($G$34:$G$42,$K$34:$K$42,求节点($S$20:$S$28,$O$20:$O$28,$W50)),0))/6,1)</f>
        <v>0.23561157183094492</v>
      </c>
      <c r="Z50" s="8">
        <f>MIN((IFERROR(INDEX(其他调用!$W$95:$W$133,MATCH($W50,其他调用!$T$95:$T$133,1))*求节点($G$34:$G$42,$I$34:$I$42,求节点($Q$34:$Q$42,$O$34:$O$42,$W50)),0)+IFERROR(INDEX(其他调用!$X$95:$X$133,MATCH($W50,其他调用!$T$95:$T$133,1))*求节点($G$34:$G$42,$J$34:$J$42,求节点($R$34:$R$42,$O$34:$O$42,$W50)),0)+IFERROR(INDEX(其他调用!$Y$95:$Y$133,MATCH($W50,其他调用!$T$95:$T$133,1))*求节点($G$34:$G$42,$K$34:$K$42,求节点($S$34:$S$42,$O$34:$O$42,$W50)),0))/6,1)</f>
        <v>0.26859525416947899</v>
      </c>
      <c r="AA50" s="8">
        <f>MIN((IFERROR(INDEX(其他调用!$W$140:$W$178,MATCH($W50,其他调用!$T$140:$T$178,1))*求节点($G$34:$G$42,$I$34:$I$42,求节点($Q$48:$Q$56,$O$48:$O$56,$W50)),0)+IFERROR(INDEX(其他调用!$X$140:$X$178,MATCH($W50,其他调用!$T$140:$T$178,1))*求节点($G$34:$G$42,$J$34:$J$42,求节点($R$48:$R$56,$O$48:$O$56,$W50)),0)+IFERROR(INDEX(其他调用!$Y$140:$Y$178,MATCH($W50,其他调用!$T$140:$T$178,1))*求节点($G$34:$G$42,$K$34:$K$42,求节点($S$48:$S$56,$O$48:$O$56,$W50)),0))/6,1)</f>
        <v>0.33043260507712824</v>
      </c>
      <c r="AB50" s="8">
        <f>MIN((IFERROR(INDEX(其他调用!$W$185:$W$223,MATCH($W50,其他调用!$T$185:$T$223,1))*求节点($G$34:$G$42,$I$34:$I$42,求节点($Q$62:$Q$70,$O$62:$O$70,$W50)),0)+IFERROR(INDEX(其他调用!$X$185:$X$223,MATCH($W50,其他调用!$T$185:$T$223,1))*求节点($G$34:$G$42,$J$34:$J$42,求节点($R$62:$R$70,$O$62:$O$70,$W50)),0)+IFERROR(INDEX(其他调用!$Y$185:$Y$223,MATCH($W50,其他调用!$T$185:$T$223,1))*求节点($G$34:$G$42,$K$34:$K$42,求节点($S$62:$S$70,$O$62:$O$70,$W50)),0))/6,1)</f>
        <v>0.33570326899558262</v>
      </c>
      <c r="AD50" s="8">
        <v>45</v>
      </c>
      <c r="AE50" s="8">
        <f>X50/士兵加成武将!W50</f>
        <v>0.70843875417482605</v>
      </c>
      <c r="AF50" s="8">
        <f>Y50/士兵加成武将!X50</f>
        <v>0.74115317416530724</v>
      </c>
      <c r="AG50" s="8">
        <f>Z50/士兵加成武将!Y50</f>
        <v>0.81483429467632984</v>
      </c>
      <c r="AH50" s="8">
        <f>AA50/士兵加成武将!Z50</f>
        <v>0.96554564013854749</v>
      </c>
      <c r="AI50" s="8">
        <f>AB50/士兵加成武将!AA50</f>
        <v>0.94314746055732468</v>
      </c>
    </row>
    <row r="51" spans="8:35" x14ac:dyDescent="0.15">
      <c r="H51" s="10"/>
      <c r="I51" s="10"/>
      <c r="J51" s="10"/>
      <c r="K51" s="10"/>
      <c r="L51" s="10"/>
      <c r="O51" s="8">
        <v>3</v>
      </c>
      <c r="P51" s="10"/>
      <c r="Q51" s="15">
        <f>IFERROR(求节点(其他调用!AB$140:AB$178,其他调用!$T$140:$T$178,$O51),0)</f>
        <v>0</v>
      </c>
      <c r="R51" s="15">
        <f>IFERROR(求节点(其他调用!AC$140:AC$178,其他调用!$T$140:$T$178,$O51),0)</f>
        <v>37.539103830942473</v>
      </c>
      <c r="S51" s="15">
        <f>IFERROR(求节点(其他调用!AD$140:AD$178,其他调用!$T$140:$T$178,$O51),0)</f>
        <v>61.173052513358485</v>
      </c>
      <c r="T51" s="10"/>
      <c r="W51" s="8">
        <v>46</v>
      </c>
      <c r="X51" s="8">
        <f>MIN((IFERROR(INDEX(其他调用!$W$5:$W$43,MATCH($W51,其他调用!$T$5:$T$43,1))*求节点($G$34:$G$42,$I$34:$I$42,求节点($Q$6:$Q$14,$O$6:$O$14,$W51)),0)+IFERROR(INDEX(其他调用!$X$5:$X$43,MATCH($W51,其他调用!$T$5:$T$43,1))*求节点($G$34:$G$42,$J$34:$J$42,求节点($R$6:$R$14,$O$6:$O$14,$W51)),0)+IFERROR(INDEX(其他调用!$Y$5:$Y$43,MATCH($W51,其他调用!$T$5:$T$43,1))*求节点($G$34:$G$42,$K$34:$K$42,求节点($S$6:$S$14,$O$6:$O$14,$W51)),0))/6,1)</f>
        <v>0.22244866353513562</v>
      </c>
      <c r="Y51" s="8">
        <f>MIN((IFERROR(INDEX(其他调用!$W$50:$W$88,MATCH($W51,其他调用!$T$50:$T$88,1))*求节点($G$34:$G$42,$I$34:$I$42,求节点($Q$20:$Q$28,$O$20:$O$28,$W51)),0)+IFERROR(INDEX(其他调用!$X$50:$X$88,MATCH($W51,其他调用!$T$50:$T$88,1))*求节点($G$34:$G$42,$J$34:$J$42,求节点($R$20:$R$28,$O$20:$O$28,$W51)),0)+IFERROR(INDEX(其他调用!$Y$50:$Y$88,MATCH($W51,其他调用!$T$50:$T$88,1))*求节点($G$34:$G$42,$K$34:$K$42,求节点($S$20:$S$28,$O$20:$O$28,$W51)),0))/6,1)</f>
        <v>0.24050834721646561</v>
      </c>
      <c r="Z51" s="8">
        <f>MIN((IFERROR(INDEX(其他调用!$W$95:$W$133,MATCH($W51,其他调用!$T$95:$T$133,1))*求节点($G$34:$G$42,$I$34:$I$42,求节点($Q$34:$Q$42,$O$34:$O$42,$W51)),0)+IFERROR(INDEX(其他调用!$X$95:$X$133,MATCH($W51,其他调用!$T$95:$T$133,1))*求节点($G$34:$G$42,$J$34:$J$42,求节点($R$34:$R$42,$O$34:$O$42,$W51)),0)+IFERROR(INDEX(其他调用!$Y$95:$Y$133,MATCH($W51,其他调用!$T$95:$T$133,1))*求节点($G$34:$G$42,$K$34:$K$42,求节点($S$34:$S$42,$O$34:$O$42,$W51)),0))/6,1)</f>
        <v>0.27457839909096632</v>
      </c>
      <c r="AA51" s="8">
        <f>MIN((IFERROR(INDEX(其他调用!$W$140:$W$178,MATCH($W51,其他调用!$T$140:$T$178,1))*求节点($G$34:$G$42,$I$34:$I$42,求节点($Q$48:$Q$56,$O$48:$O$56,$W51)),0)+IFERROR(INDEX(其他调用!$X$140:$X$178,MATCH($W51,其他调用!$T$140:$T$178,1))*求节点($G$34:$G$42,$J$34:$J$42,求节点($R$48:$R$56,$O$48:$O$56,$W51)),0)+IFERROR(INDEX(其他调用!$Y$140:$Y$178,MATCH($W51,其他调用!$T$140:$T$178,1))*求节点($G$34:$G$42,$K$34:$K$42,求节点($S$48:$S$56,$O$48:$O$56,$W51)),0))/6,1)</f>
        <v>0.33748585001695491</v>
      </c>
      <c r="AB51" s="8">
        <f>MIN((IFERROR(INDEX(其他调用!$W$185:$W$223,MATCH($W51,其他调用!$T$185:$T$223,1))*求节点($G$34:$G$42,$I$34:$I$42,求节点($Q$62:$Q$70,$O$62:$O$70,$W51)),0)+IFERROR(INDEX(其他调用!$X$185:$X$223,MATCH($W51,其他调用!$T$185:$T$223,1))*求节点($G$34:$G$42,$J$34:$J$42,求节点($R$62:$R$70,$O$62:$O$70,$W51)),0)+IFERROR(INDEX(其他调用!$Y$185:$Y$223,MATCH($W51,其他调用!$T$185:$T$223,1))*求节点($G$34:$G$42,$K$34:$K$42,求节点($S$62:$S$70,$O$62:$O$70,$W51)),0))/6,1)</f>
        <v>0.34299643924001871</v>
      </c>
      <c r="AD51" s="8">
        <v>46</v>
      </c>
      <c r="AE51" s="8">
        <f>X51/士兵加成武将!W51</f>
        <v>0.70374626993940648</v>
      </c>
      <c r="AF51" s="8">
        <f>Y51/士兵加成武将!X51</f>
        <v>0.73582194397193035</v>
      </c>
      <c r="AG51" s="8">
        <f>Z51/士兵加成武将!Y51</f>
        <v>0.81099612972419211</v>
      </c>
      <c r="AH51" s="8">
        <f>AA51/士兵加成武将!Z51</f>
        <v>0.96108807806679031</v>
      </c>
      <c r="AI51" s="8">
        <f>AB51/士兵加成武将!AA51</f>
        <v>0.94012463072304053</v>
      </c>
    </row>
    <row r="52" spans="8:35" x14ac:dyDescent="0.15">
      <c r="H52" s="10"/>
      <c r="I52" s="10"/>
      <c r="J52" s="10"/>
      <c r="K52" s="10"/>
      <c r="L52" s="10"/>
      <c r="O52" s="8">
        <v>4</v>
      </c>
      <c r="P52" s="10"/>
      <c r="Q52" s="15">
        <f>IFERROR(求节点(其他调用!AB$140:AB$178,其他调用!$T$140:$T$178,$O52),0)</f>
        <v>0</v>
      </c>
      <c r="R52" s="15">
        <f>IFERROR(求节点(其他调用!AC$140:AC$178,其他调用!$T$140:$T$178,$O52),0)</f>
        <v>43.520878664198982</v>
      </c>
      <c r="S52" s="15">
        <f>IFERROR(求节点(其他调用!AD$140:AD$178,其他调用!$T$140:$T$178,$O52),0)</f>
        <v>63.680989057669024</v>
      </c>
      <c r="T52" s="10"/>
      <c r="W52" s="8">
        <v>47</v>
      </c>
      <c r="X52" s="8">
        <f>MIN((IFERROR(INDEX(其他调用!$W$5:$W$43,MATCH($W52,其他调用!$T$5:$T$43,1))*求节点($G$34:$G$42,$I$34:$I$42,求节点($Q$6:$Q$14,$O$6:$O$14,$W52)),0)+IFERROR(INDEX(其他调用!$X$5:$X$43,MATCH($W52,其他调用!$T$5:$T$43,1))*求节点($G$34:$G$42,$J$34:$J$42,求节点($R$6:$R$14,$O$6:$O$14,$W52)),0)+IFERROR(INDEX(其他调用!$Y$5:$Y$43,MATCH($W52,其他调用!$T$5:$T$43,1))*求节点($G$34:$G$42,$K$34:$K$42,求节点($S$6:$S$14,$O$6:$O$14,$W52)),0))/6,1)</f>
        <v>0.22732472565435624</v>
      </c>
      <c r="Y52" s="8">
        <f>MIN((IFERROR(INDEX(其他调用!$W$50:$W$88,MATCH($W52,其他调用!$T$50:$T$88,1))*求节点($G$34:$G$42,$I$34:$I$42,求节点($Q$20:$Q$28,$O$20:$O$28,$W52)),0)+IFERROR(INDEX(其他调用!$X$50:$X$88,MATCH($W52,其他调用!$T$50:$T$88,1))*求节点($G$34:$G$42,$J$34:$J$42,求节点($R$20:$R$28,$O$20:$O$28,$W52)),0)+IFERROR(INDEX(其他调用!$Y$50:$Y$88,MATCH($W52,其他调用!$T$50:$T$88,1))*求节点($G$34:$G$42,$K$34:$K$42,求节点($S$20:$S$28,$O$20:$O$28,$W52)),0))/6,1)</f>
        <v>0.24657992281794691</v>
      </c>
      <c r="Z52" s="8">
        <f>MIN((IFERROR(INDEX(其他调用!$W$95:$W$133,MATCH($W52,其他调用!$T$95:$T$133,1))*求节点($G$34:$G$42,$I$34:$I$42,求节点($Q$34:$Q$42,$O$34:$O$42,$W52)),0)+IFERROR(INDEX(其他调用!$X$95:$X$133,MATCH($W52,其他调用!$T$95:$T$133,1))*求节点($G$34:$G$42,$J$34:$J$42,求节点($R$34:$R$42,$O$34:$O$42,$W52)),0)+IFERROR(INDEX(其他调用!$Y$95:$Y$133,MATCH($W52,其他调用!$T$95:$T$133,1))*求节点($G$34:$G$42,$K$34:$K$42,求节点($S$34:$S$42,$O$34:$O$42,$W52)),0))/6,1)</f>
        <v>0.2804633709717943</v>
      </c>
      <c r="AA52" s="8">
        <f>MIN((IFERROR(INDEX(其他调用!$W$140:$W$178,MATCH($W52,其他调用!$T$140:$T$178,1))*求节点($G$34:$G$42,$I$34:$I$42,求节点($Q$48:$Q$56,$O$48:$O$56,$W52)),0)+IFERROR(INDEX(其他调用!$X$140:$X$178,MATCH($W52,其他调用!$T$140:$T$178,1))*求节点($G$34:$G$42,$J$34:$J$42,求节点($R$48:$R$56,$O$48:$O$56,$W52)),0)+IFERROR(INDEX(其他调用!$Y$140:$Y$178,MATCH($W52,其他调用!$T$140:$T$178,1))*求节点($G$34:$G$42,$K$34:$K$42,求节点($S$48:$S$56,$O$48:$O$56,$W52)),0))/6,1)</f>
        <v>0.3445390949567817</v>
      </c>
      <c r="AB52" s="8">
        <f>MIN((IFERROR(INDEX(其他调用!$W$185:$W$223,MATCH($W52,其他调用!$T$185:$T$223,1))*求节点($G$34:$G$42,$I$34:$I$42,求节点($Q$62:$Q$70,$O$62:$O$70,$W52)),0)+IFERROR(INDEX(其他调用!$X$185:$X$223,MATCH($W52,其他调用!$T$185:$T$223,1))*求节点($G$34:$G$42,$J$34:$J$42,求节点($R$62:$R$70,$O$62:$O$70,$W52)),0)+IFERROR(INDEX(其他调用!$Y$185:$Y$223,MATCH($W52,其他调用!$T$185:$T$223,1))*求节点($G$34:$G$42,$K$34:$K$42,求节点($S$62:$S$70,$O$62:$O$70,$W52)),0))/6,1)</f>
        <v>0.35028960948445481</v>
      </c>
      <c r="AD52" s="8">
        <v>47</v>
      </c>
      <c r="AE52" s="8">
        <f>X52/士兵加成武将!W52</f>
        <v>0.69931294455374327</v>
      </c>
      <c r="AF52" s="8">
        <f>Y52/士兵加成武将!X52</f>
        <v>0.73427349977246226</v>
      </c>
      <c r="AG52" s="8">
        <f>Z52/士兵加成武将!Y52</f>
        <v>0.80707288620198636</v>
      </c>
      <c r="AH52" s="8">
        <f>AA52/士兵加成武将!Z52</f>
        <v>0.95685151644680311</v>
      </c>
      <c r="AI52" s="8">
        <f>AB52/士兵加成武将!AA52</f>
        <v>0.93724580139188773</v>
      </c>
    </row>
    <row r="53" spans="8:35" x14ac:dyDescent="0.15">
      <c r="H53" s="10"/>
      <c r="I53" s="10"/>
      <c r="J53" s="10"/>
      <c r="K53" s="10"/>
      <c r="L53" s="10"/>
      <c r="O53" s="8">
        <v>5</v>
      </c>
      <c r="P53" s="10"/>
      <c r="Q53" s="15">
        <f>IFERROR(求节点(其他调用!AB$140:AB$178,其他调用!$T$140:$T$178,$O53),0)</f>
        <v>0</v>
      </c>
      <c r="R53" s="15">
        <f>IFERROR(求节点(其他调用!AC$140:AC$178,其他调用!$T$140:$T$178,$O53),0)</f>
        <v>49.192027240670036</v>
      </c>
      <c r="S53" s="15">
        <f>IFERROR(求节点(其他调用!AD$140:AD$178,其他调用!$T$140:$T$178,$O53),0)</f>
        <v>68.243290343084325</v>
      </c>
      <c r="T53" s="10"/>
      <c r="W53" s="8">
        <v>48</v>
      </c>
      <c r="X53" s="8">
        <f>MIN((IFERROR(INDEX(其他调用!$W$5:$W$43,MATCH($W53,其他调用!$T$5:$T$43,1))*求节点($G$34:$G$42,$I$34:$I$42,求节点($Q$6:$Q$14,$O$6:$O$14,$W53)),0)+IFERROR(INDEX(其他调用!$X$5:$X$43,MATCH($W53,其他调用!$T$5:$T$43,1))*求节点($G$34:$G$42,$J$34:$J$42,求节点($R$6:$R$14,$O$6:$O$14,$W53)),0)+IFERROR(INDEX(其他调用!$Y$5:$Y$43,MATCH($W53,其他调用!$T$5:$T$43,1))*求节点($G$34:$G$42,$K$34:$K$42,求节点($S$6:$S$14,$O$6:$O$14,$W53)),0))/6,1)</f>
        <v>0.23220078777357686</v>
      </c>
      <c r="Y53" s="8">
        <f>MIN((IFERROR(INDEX(其他调用!$W$50:$W$88,MATCH($W53,其他调用!$T$50:$T$88,1))*求节点($G$34:$G$42,$I$34:$I$42,求节点($Q$20:$Q$28,$O$20:$O$28,$W53)),0)+IFERROR(INDEX(其他调用!$X$50:$X$88,MATCH($W53,其他调用!$T$50:$T$88,1))*求节点($G$34:$G$42,$J$34:$J$42,求节点($R$20:$R$28,$O$20:$O$28,$W53)),0)+IFERROR(INDEX(其他调用!$Y$50:$Y$88,MATCH($W53,其他调用!$T$50:$T$88,1))*求节点($G$34:$G$42,$K$34:$K$42,求节点($S$20:$S$28,$O$20:$O$28,$W53)),0))/6,1)</f>
        <v>0.25265149841942813</v>
      </c>
      <c r="Z53" s="8">
        <f>MIN((IFERROR(INDEX(其他调用!$W$95:$W$133,MATCH($W53,其他调用!$T$95:$T$133,1))*求节点($G$34:$G$42,$I$34:$I$42,求节点($Q$34:$Q$42,$O$34:$O$42,$W53)),0)+IFERROR(INDEX(其他调用!$X$95:$X$133,MATCH($W53,其他调用!$T$95:$T$133,1))*求节点($G$34:$G$42,$J$34:$J$42,求节点($R$34:$R$42,$O$34:$O$42,$W53)),0)+IFERROR(INDEX(其他调用!$Y$95:$Y$133,MATCH($W53,其他调用!$T$95:$T$133,1))*求节点($G$34:$G$42,$K$34:$K$42,求节点($S$34:$S$42,$O$34:$O$42,$W53)),0))/6,1)</f>
        <v>0.28540050076958473</v>
      </c>
      <c r="AA53" s="8">
        <f>MIN((IFERROR(INDEX(其他调用!$W$140:$W$178,MATCH($W53,其他调用!$T$140:$T$178,1))*求节点($G$34:$G$42,$I$34:$I$42,求节点($Q$48:$Q$56,$O$48:$O$56,$W53)),0)+IFERROR(INDEX(其他调用!$X$140:$X$178,MATCH($W53,其他调用!$T$140:$T$178,1))*求节点($G$34:$G$42,$J$34:$J$42,求节点($R$48:$R$56,$O$48:$O$56,$W53)),0)+IFERROR(INDEX(其他调用!$Y$140:$Y$178,MATCH($W53,其他调用!$T$140:$T$178,1))*求节点($G$34:$G$42,$K$34:$K$42,求节点($S$48:$S$56,$O$48:$O$56,$W53)),0))/6,1)</f>
        <v>0.35159233989660849</v>
      </c>
      <c r="AB53" s="8">
        <f>MIN((IFERROR(INDEX(其他调用!$W$185:$W$223,MATCH($W53,其他调用!$T$185:$T$223,1))*求节点($G$34:$G$42,$I$34:$I$42,求节点($Q$62:$Q$70,$O$62:$O$70,$W53)),0)+IFERROR(INDEX(其他调用!$X$185:$X$223,MATCH($W53,其他调用!$T$185:$T$223,1))*求节点($G$34:$G$42,$J$34:$J$42,求节点($R$62:$R$70,$O$62:$O$70,$W53)),0)+IFERROR(INDEX(其他调用!$Y$185:$Y$223,MATCH($W53,其他调用!$T$185:$T$223,1))*求节点($G$34:$G$42,$K$34:$K$42,求节点($S$62:$S$70,$O$62:$O$70,$W53)),0))/6,1)</f>
        <v>0.35758277972889085</v>
      </c>
      <c r="AD53" s="8">
        <v>48</v>
      </c>
      <c r="AE53" s="8">
        <f>X53/士兵加成武将!W53</f>
        <v>0.69511788551802534</v>
      </c>
      <c r="AF53" s="8">
        <f>Y53/士兵加成武将!X53</f>
        <v>0.7328055208084242</v>
      </c>
      <c r="AG53" s="8">
        <f>Z53/士兵加成武将!Y53</f>
        <v>0.80068722898190225</v>
      </c>
      <c r="AH53" s="8">
        <f>AA53/士兵加成武将!Z53</f>
        <v>0.95281991745012551</v>
      </c>
      <c r="AI53" s="8">
        <f>AB53/士兵加成武将!AA53</f>
        <v>0.934500922184204</v>
      </c>
    </row>
    <row r="54" spans="8:35" x14ac:dyDescent="0.15">
      <c r="H54" s="10"/>
      <c r="I54" s="10"/>
      <c r="J54" s="10"/>
      <c r="K54" s="10"/>
      <c r="L54" s="10"/>
      <c r="O54" s="8">
        <v>6</v>
      </c>
      <c r="P54" s="10"/>
      <c r="Q54" s="15">
        <f>IFERROR(求节点(其他调用!AB$140:AB$178,其他调用!$T$140:$T$178,$O54),0)</f>
        <v>0</v>
      </c>
      <c r="R54" s="15">
        <f>IFERROR(求节点(其他调用!AC$140:AC$178,其他调用!$T$140:$T$178,$O54),0)</f>
        <v>56.416656319268228</v>
      </c>
      <c r="S54" s="15">
        <f>IFERROR(求节点(其他调用!AD$140:AD$178,其他调用!$T$140:$T$178,$O54),0)</f>
        <v>75.492176965965257</v>
      </c>
      <c r="T54" s="10"/>
      <c r="W54" s="8">
        <v>49</v>
      </c>
      <c r="X54" s="8">
        <f>MIN((IFERROR(INDEX(其他调用!$W$5:$W$43,MATCH($W54,其他调用!$T$5:$T$43,1))*求节点($G$34:$G$42,$I$34:$I$42,求节点($Q$6:$Q$14,$O$6:$O$14,$W54)),0)+IFERROR(INDEX(其他调用!$X$5:$X$43,MATCH($W54,其他调用!$T$5:$T$43,1))*求节点($G$34:$G$42,$J$34:$J$42,求节点($R$6:$R$14,$O$6:$O$14,$W54)),0)+IFERROR(INDEX(其他调用!$Y$5:$Y$43,MATCH($W54,其他调用!$T$5:$T$43,1))*求节点($G$34:$G$42,$K$34:$K$42,求节点($S$6:$S$14,$O$6:$O$14,$W54)),0))/6,1)</f>
        <v>0.23707684989279743</v>
      </c>
      <c r="Y54" s="8">
        <f>MIN((IFERROR(INDEX(其他调用!$W$50:$W$88,MATCH($W54,其他调用!$T$50:$T$88,1))*求节点($G$34:$G$42,$I$34:$I$42,求节点($Q$20:$Q$28,$O$20:$O$28,$W54)),0)+IFERROR(INDEX(其他调用!$X$50:$X$88,MATCH($W54,其他调用!$T$50:$T$88,1))*求节点($G$34:$G$42,$J$34:$J$42,求节点($R$20:$R$28,$O$20:$O$28,$W54)),0)+IFERROR(INDEX(其他调用!$Y$50:$Y$88,MATCH($W54,其他调用!$T$50:$T$88,1))*求节点($G$34:$G$42,$K$34:$K$42,求节点($S$20:$S$28,$O$20:$O$28,$W54)),0))/6,1)</f>
        <v>0.25872307402090938</v>
      </c>
      <c r="Z54" s="8">
        <f>MIN((IFERROR(INDEX(其他调用!$W$95:$W$133,MATCH($W54,其他调用!$T$95:$T$133,1))*求节点($G$34:$G$42,$I$34:$I$42,求节点($Q$34:$Q$42,$O$34:$O$42,$W54)),0)+IFERROR(INDEX(其他调用!$X$95:$X$133,MATCH($W54,其他调用!$T$95:$T$133,1))*求节点($G$34:$G$42,$J$34:$J$42,求节点($R$34:$R$42,$O$34:$O$42,$W54)),0)+IFERROR(INDEX(其他调用!$Y$95:$Y$133,MATCH($W54,其他调用!$T$95:$T$133,1))*求节点($G$34:$G$42,$K$34:$K$42,求节点($S$34:$S$42,$O$34:$O$42,$W54)),0))/6,1)</f>
        <v>0.2903376305673751</v>
      </c>
      <c r="AA54" s="8">
        <f>MIN((IFERROR(INDEX(其他调用!$W$140:$W$178,MATCH($W54,其他调用!$T$140:$T$178,1))*求节点($G$34:$G$42,$I$34:$I$42,求节点($Q$48:$Q$56,$O$48:$O$56,$W54)),0)+IFERROR(INDEX(其他调用!$X$140:$X$178,MATCH($W54,其他调用!$T$140:$T$178,1))*求节点($G$34:$G$42,$J$34:$J$42,求节点($R$48:$R$56,$O$48:$O$56,$W54)),0)+IFERROR(INDEX(其他调用!$Y$140:$Y$178,MATCH($W54,其他调用!$T$140:$T$178,1))*求节点($G$34:$G$42,$K$34:$K$42,求节点($S$48:$S$56,$O$48:$O$56,$W54)),0))/6,1)</f>
        <v>0.35864558483643516</v>
      </c>
      <c r="AB54" s="8">
        <f>MIN((IFERROR(INDEX(其他调用!$W$185:$W$223,MATCH($W54,其他调用!$T$185:$T$223,1))*求节点($G$34:$G$42,$I$34:$I$42,求节点($Q$62:$Q$70,$O$62:$O$70,$W54)),0)+IFERROR(INDEX(其他调用!$X$185:$X$223,MATCH($W54,其他调用!$T$185:$T$223,1))*求节点($G$34:$G$42,$J$34:$J$42,求节点($R$62:$R$70,$O$62:$O$70,$W54)),0)+IFERROR(INDEX(其他调用!$Y$185:$Y$223,MATCH($W54,其他调用!$T$185:$T$223,1))*求节点($G$34:$G$42,$K$34:$K$42,求节点($S$62:$S$70,$O$62:$O$70,$W54)),0))/6,1)</f>
        <v>0.36444590850205466</v>
      </c>
      <c r="AD54" s="8">
        <v>49</v>
      </c>
      <c r="AE54" s="8">
        <f>X54/士兵加成武将!W54</f>
        <v>0.69114238727367561</v>
      </c>
      <c r="AF54" s="8">
        <f>Y54/士兵加成武将!X54</f>
        <v>0.73141189382816929</v>
      </c>
      <c r="AG54" s="8">
        <f>Z54/士兵加成武将!Y54</f>
        <v>0.79461396915289073</v>
      </c>
      <c r="AH54" s="8">
        <f>AA54/士兵加成武将!Z54</f>
        <v>0.94897875840057633</v>
      </c>
      <c r="AI54" s="8">
        <f>AB54/士兵加成武将!AA54</f>
        <v>0.93078254533395022</v>
      </c>
    </row>
    <row r="55" spans="8:35" x14ac:dyDescent="0.15">
      <c r="H55" s="10"/>
      <c r="I55" s="10"/>
      <c r="J55" s="10"/>
      <c r="K55" s="10"/>
      <c r="L55" s="10"/>
      <c r="O55" s="8">
        <v>7</v>
      </c>
      <c r="P55" s="10"/>
      <c r="Q55" s="15">
        <f>IFERROR(求节点(其他调用!AB$140:AB$178,其他调用!$T$140:$T$178,$O55),0)</f>
        <v>0</v>
      </c>
      <c r="R55" s="15">
        <f>IFERROR(求节点(其他调用!AC$140:AC$178,其他调用!$T$140:$T$178,$O55),0)</f>
        <v>66.210134729247414</v>
      </c>
      <c r="S55" s="15">
        <f>IFERROR(求节点(其他调用!AD$140:AD$178,其他调用!$T$140:$T$178,$O55),0)</f>
        <v>79.500260145787934</v>
      </c>
      <c r="T55" s="10"/>
      <c r="W55" s="8">
        <v>50</v>
      </c>
      <c r="X55" s="8">
        <f>MIN((IFERROR(INDEX(其他调用!$W$5:$W$43,MATCH($W55,其他调用!$T$5:$T$43,1))*求节点($G$34:$G$42,$I$34:$I$42,求节点($Q$6:$Q$14,$O$6:$O$14,$W55)),0)+IFERROR(INDEX(其他调用!$X$5:$X$43,MATCH($W55,其他调用!$T$5:$T$43,1))*求节点($G$34:$G$42,$J$34:$J$42,求节点($R$6:$R$14,$O$6:$O$14,$W55)),0)+IFERROR(INDEX(其他调用!$Y$5:$Y$43,MATCH($W55,其他调用!$T$5:$T$43,1))*求节点($G$34:$G$42,$K$34:$K$42,求节点($S$6:$S$14,$O$6:$O$14,$W55)),0))/6,1)</f>
        <v>0.24234771073622952</v>
      </c>
      <c r="Y55" s="8">
        <f>MIN((IFERROR(INDEX(其他调用!$W$50:$W$88,MATCH($W55,其他调用!$T$50:$T$88,1))*求节点($G$34:$G$42,$I$34:$I$42,求节点($Q$20:$Q$28,$O$20:$O$28,$W55)),0)+IFERROR(INDEX(其他调用!$X$50:$X$88,MATCH($W55,其他调用!$T$50:$T$88,1))*求节点($G$34:$G$42,$J$34:$J$42,求节点($R$20:$R$28,$O$20:$O$28,$W55)),0)+IFERROR(INDEX(其他调用!$Y$50:$Y$88,MATCH($W55,其他调用!$T$50:$T$88,1))*求节点($G$34:$G$42,$K$34:$K$42,求节点($S$20:$S$28,$O$20:$O$28,$W55)),0))/6,1)</f>
        <v>0.26479464962239063</v>
      </c>
      <c r="Z55" s="8">
        <f>MIN((IFERROR(INDEX(其他调用!$W$95:$W$133,MATCH($W55,其他调用!$T$95:$T$133,1))*求节点($G$34:$G$42,$I$34:$I$42,求节点($Q$34:$Q$42,$O$34:$O$42,$W55)),0)+IFERROR(INDEX(其他调用!$X$95:$X$133,MATCH($W55,其他调用!$T$95:$T$133,1))*求节点($G$34:$G$42,$J$34:$J$42,求节点($R$34:$R$42,$O$34:$O$42,$W55)),0)+IFERROR(INDEX(其他调用!$Y$95:$Y$133,MATCH($W55,其他调用!$T$95:$T$133,1))*求节点($G$34:$G$42,$K$34:$K$42,求节点($S$34:$S$42,$O$34:$O$42,$W55)),0))/6,1)</f>
        <v>0.29527476036516553</v>
      </c>
      <c r="AA55" s="8">
        <f>MIN((IFERROR(INDEX(其他调用!$W$140:$W$178,MATCH($W55,其他调用!$T$140:$T$178,1))*求节点($G$34:$G$42,$I$34:$I$42,求节点($Q$48:$Q$56,$O$48:$O$56,$W55)),0)+IFERROR(INDEX(其他调用!$X$140:$X$178,MATCH($W55,其他调用!$T$140:$T$178,1))*求节点($G$34:$G$42,$J$34:$J$42,求节点($R$48:$R$56,$O$48:$O$56,$W55)),0)+IFERROR(INDEX(其他调用!$Y$140:$Y$178,MATCH($W55,其他调用!$T$140:$T$178,1))*求节点($G$34:$G$42,$K$34:$K$42,求节点($S$48:$S$56,$O$48:$O$56,$W55)),0))/6,1)</f>
        <v>0.36447343524789916</v>
      </c>
      <c r="AB55" s="8">
        <f>MIN((IFERROR(INDEX(其他调用!$W$185:$W$223,MATCH($W55,其他调用!$T$185:$T$223,1))*求节点($G$34:$G$42,$I$34:$I$42,求节点($Q$62:$Q$70,$O$62:$O$70,$W55)),0)+IFERROR(INDEX(其他调用!$X$185:$X$223,MATCH($W55,其他调用!$T$185:$T$223,1))*求节点($G$34:$G$42,$J$34:$J$42,求节点($R$62:$R$70,$O$62:$O$70,$W55)),0)+IFERROR(INDEX(其他调用!$Y$185:$Y$223,MATCH($W55,其他调用!$T$185:$T$223,1))*求节点($G$34:$G$42,$K$34:$K$42,求节点($S$62:$S$70,$O$62:$O$70,$W55)),0))/6,1)</f>
        <v>0.37109584703178627</v>
      </c>
      <c r="AD55" s="8">
        <v>50</v>
      </c>
      <c r="AE55" s="8">
        <f>X55/士兵加成武将!W55</f>
        <v>0.68849124522398308</v>
      </c>
      <c r="AF55" s="8">
        <f>Y55/士兵加成武将!X55</f>
        <v>0.73008710954761635</v>
      </c>
      <c r="AG55" s="8">
        <f>Z55/士兵加成武将!Y55</f>
        <v>0.78883072954908184</v>
      </c>
      <c r="AH55" s="8">
        <f>AA55/士兵加成武将!Z55</f>
        <v>0.94214726780352087</v>
      </c>
      <c r="AI55" s="8">
        <f>AB55/士兵加成武将!AA55</f>
        <v>0.92669711322184933</v>
      </c>
    </row>
    <row r="56" spans="8:35" x14ac:dyDescent="0.15">
      <c r="H56" s="10"/>
      <c r="I56" s="10"/>
      <c r="J56" s="10"/>
      <c r="K56" s="10"/>
      <c r="L56" s="10"/>
      <c r="O56" s="8">
        <v>8</v>
      </c>
      <c r="P56" s="10"/>
      <c r="Q56" s="15">
        <f>INDEX(其他调用!$T$140:$T$178,MATCH($O56,其他调用!AB$140:AB$178,0))</f>
        <v>10.00263241450434</v>
      </c>
      <c r="R56" s="15">
        <f>INDEX(其他调用!$T$140:$T$178,MATCH($O56,其他调用!AC$140:AC$178,0))</f>
        <v>77.332919927503724</v>
      </c>
      <c r="S56" s="15">
        <f>INDEX(其他调用!$T$140:$T$178,MATCH($O56,其他调用!AD$140:AD$178,0))</f>
        <v>83.738783536778797</v>
      </c>
      <c r="T56" s="10"/>
      <c r="W56" s="8">
        <v>51</v>
      </c>
      <c r="X56" s="8">
        <f>MIN((IFERROR(INDEX(其他调用!$W$5:$W$43,MATCH($W56,其他调用!$T$5:$T$43,1))*求节点($G$34:$G$42,$I$34:$I$42,求节点($Q$6:$Q$14,$O$6:$O$14,$W56)),0)+IFERROR(INDEX(其他调用!$X$5:$X$43,MATCH($W56,其他调用!$T$5:$T$43,1))*求节点($G$34:$G$42,$J$34:$J$42,求节点($R$6:$R$14,$O$6:$O$14,$W56)),0)+IFERROR(INDEX(其他调用!$Y$5:$Y$43,MATCH($W56,其他调用!$T$5:$T$43,1))*求节点($G$34:$G$42,$K$34:$K$42,求节点($S$6:$S$14,$O$6:$O$14,$W56)),0))/6,1)</f>
        <v>0.24820951265939298</v>
      </c>
      <c r="Y56" s="8">
        <f>MIN((IFERROR(INDEX(其他调用!$W$50:$W$88,MATCH($W56,其他调用!$T$50:$T$88,1))*求节点($G$34:$G$42,$I$34:$I$42,求节点($Q$20:$Q$28,$O$20:$O$28,$W56)),0)+IFERROR(INDEX(其他调用!$X$50:$X$88,MATCH($W56,其他调用!$T$50:$T$88,1))*求节点($G$34:$G$42,$J$34:$J$42,求节点($R$20:$R$28,$O$20:$O$28,$W56)),0)+IFERROR(INDEX(其他调用!$Y$50:$Y$88,MATCH($W56,其他调用!$T$50:$T$88,1))*求节点($G$34:$G$42,$K$34:$K$42,求节点($S$20:$S$28,$O$20:$O$28,$W56)),0))/6,1)</f>
        <v>0.27086622522387188</v>
      </c>
      <c r="Z56" s="8">
        <f>MIN((IFERROR(INDEX(其他调用!$W$95:$W$133,MATCH($W56,其他调用!$T$95:$T$133,1))*求节点($G$34:$G$42,$I$34:$I$42,求节点($Q$34:$Q$42,$O$34:$O$42,$W56)),0)+IFERROR(INDEX(其他调用!$X$95:$X$133,MATCH($W56,其他调用!$T$95:$T$133,1))*求节点($G$34:$G$42,$J$34:$J$42,求节点($R$34:$R$42,$O$34:$O$42,$W56)),0)+IFERROR(INDEX(其他调用!$Y$95:$Y$133,MATCH($W56,其他调用!$T$95:$T$133,1))*求节点($G$34:$G$42,$K$34:$K$42,求节点($S$34:$S$42,$O$34:$O$42,$W56)),0))/6,1)</f>
        <v>0.30021189016295591</v>
      </c>
      <c r="AA56" s="8">
        <f>MIN((IFERROR(INDEX(其他调用!$W$140:$W$178,MATCH($W56,其他调用!$T$140:$T$178,1))*求节点($G$34:$G$42,$I$34:$I$42,求节点($Q$48:$Q$56,$O$48:$O$56,$W56)),0)+IFERROR(INDEX(其他调用!$X$140:$X$178,MATCH($W56,其他调用!$T$140:$T$178,1))*求节点($G$34:$G$42,$J$34:$J$42,求节点($R$48:$R$56,$O$48:$O$56,$W56)),0)+IFERROR(INDEX(其他调用!$Y$140:$Y$178,MATCH($W56,其他调用!$T$140:$T$178,1))*求节点($G$34:$G$42,$K$34:$K$42,求节点($S$48:$S$56,$O$48:$O$56,$W56)),0))/6,1)</f>
        <v>0.37001005166997869</v>
      </c>
      <c r="AB56" s="8">
        <f>MIN((IFERROR(INDEX(其他调用!$W$185:$W$223,MATCH($W56,其他调用!$T$185:$T$223,1))*求节点($G$34:$G$42,$I$34:$I$42,求节点($Q$62:$Q$70,$O$62:$O$70,$W56)),0)+IFERROR(INDEX(其他调用!$X$185:$X$223,MATCH($W56,其他调用!$T$185:$T$223,1))*求节点($G$34:$G$42,$J$34:$J$42,求节点($R$62:$R$70,$O$62:$O$70,$W56)),0)+IFERROR(INDEX(其他调用!$Y$185:$Y$223,MATCH($W56,其他调用!$T$185:$T$223,1))*求节点($G$34:$G$42,$K$34:$K$42,求节点($S$62:$S$70,$O$62:$O$70,$W56)),0))/6,1)</f>
        <v>0.37774578556151789</v>
      </c>
      <c r="AD56" s="8">
        <v>51</v>
      </c>
      <c r="AE56" s="8">
        <f>X56/士兵加成武将!W56</f>
        <v>0.68760902782846101</v>
      </c>
      <c r="AF56" s="8">
        <f>Y56/士兵加成武将!X56</f>
        <v>0.72882618986076986</v>
      </c>
      <c r="AG56" s="8">
        <f>Z56/士兵加成武将!Y56</f>
        <v>0.78331722034746576</v>
      </c>
      <c r="AH56" s="8">
        <f>AA56/士兵加成武将!Z56</f>
        <v>0.93488807141615793</v>
      </c>
      <c r="AI56" s="8">
        <f>AB56/士兵加成武将!AA56</f>
        <v>0.9227893719396294</v>
      </c>
    </row>
    <row r="57" spans="8:35" x14ac:dyDescent="0.15">
      <c r="W57" s="8">
        <v>52</v>
      </c>
      <c r="X57" s="8">
        <f>MIN((IFERROR(INDEX(其他调用!$W$5:$W$43,MATCH($W57,其他调用!$T$5:$T$43,1))*求节点($G$34:$G$42,$I$34:$I$42,求节点($Q$6:$Q$14,$O$6:$O$14,$W57)),0)+IFERROR(INDEX(其他调用!$X$5:$X$43,MATCH($W57,其他调用!$T$5:$T$43,1))*求节点($G$34:$G$42,$J$34:$J$42,求节点($R$6:$R$14,$O$6:$O$14,$W57)),0)+IFERROR(INDEX(其他调用!$Y$5:$Y$43,MATCH($W57,其他调用!$T$5:$T$43,1))*求节点($G$34:$G$42,$K$34:$K$42,求节点($S$6:$S$14,$O$6:$O$14,$W57)),0))/6,1)</f>
        <v>0.2540713145825565</v>
      </c>
      <c r="Y57" s="8">
        <f>MIN((IFERROR(INDEX(其他调用!$W$50:$W$88,MATCH($W57,其他调用!$T$50:$T$88,1))*求节点($G$34:$G$42,$I$34:$I$42,求节点($Q$20:$Q$28,$O$20:$O$28,$W57)),0)+IFERROR(INDEX(其他调用!$X$50:$X$88,MATCH($W57,其他调用!$T$50:$T$88,1))*求节点($G$34:$G$42,$J$34:$J$42,求节点($R$20:$R$28,$O$20:$O$28,$W57)),0)+IFERROR(INDEX(其他调用!$Y$50:$Y$88,MATCH($W57,其他调用!$T$50:$T$88,1))*求节点($G$34:$G$42,$K$34:$K$42,求节点($S$20:$S$28,$O$20:$O$28,$W57)),0))/6,1)</f>
        <v>0.27693780082535313</v>
      </c>
      <c r="Z57" s="8">
        <f>MIN((IFERROR(INDEX(其他调用!$W$95:$W$133,MATCH($W57,其他调用!$T$95:$T$133,1))*求节点($G$34:$G$42,$I$34:$I$42,求节点($Q$34:$Q$42,$O$34:$O$42,$W57)),0)+IFERROR(INDEX(其他调用!$X$95:$X$133,MATCH($W57,其他调用!$T$95:$T$133,1))*求节点($G$34:$G$42,$J$34:$J$42,求节点($R$34:$R$42,$O$34:$O$42,$W57)),0)+IFERROR(INDEX(其他调用!$Y$95:$Y$133,MATCH($W57,其他调用!$T$95:$T$133,1))*求节点($G$34:$G$42,$K$34:$K$42,求节点($S$34:$S$42,$O$34:$O$42,$W57)),0))/6,1)</f>
        <v>0.30514901996074634</v>
      </c>
      <c r="AA57" s="8">
        <f>MIN((IFERROR(INDEX(其他调用!$W$140:$W$178,MATCH($W57,其他调用!$T$140:$T$178,1))*求节点($G$34:$G$42,$I$34:$I$42,求节点($Q$48:$Q$56,$O$48:$O$56,$W57)),0)+IFERROR(INDEX(其他调用!$X$140:$X$178,MATCH($W57,其他调用!$T$140:$T$178,1))*求节点($G$34:$G$42,$J$34:$J$42,求节点($R$48:$R$56,$O$48:$O$56,$W57)),0)+IFERROR(INDEX(其他调用!$Y$140:$Y$178,MATCH($W57,其他调用!$T$140:$T$178,1))*求节点($G$34:$G$42,$K$34:$K$42,求节点($S$48:$S$56,$O$48:$O$56,$W57)),0))/6,1)</f>
        <v>0.37554666809205822</v>
      </c>
      <c r="AB57" s="8">
        <f>MIN((IFERROR(INDEX(其他调用!$W$185:$W$223,MATCH($W57,其他调用!$T$185:$T$223,1))*求节点($G$34:$G$42,$I$34:$I$42,求节点($Q$62:$Q$70,$O$62:$O$70,$W57)),0)+IFERROR(INDEX(其他调用!$X$185:$X$223,MATCH($W57,其他调用!$T$185:$T$223,1))*求节点($G$34:$G$42,$J$34:$J$42,求节点($R$62:$R$70,$O$62:$O$70,$W57)),0)+IFERROR(INDEX(其他调用!$Y$185:$Y$223,MATCH($W57,其他调用!$T$185:$T$223,1))*求节点($G$34:$G$42,$K$34:$K$42,求节点($S$62:$S$70,$O$62:$O$70,$W57)),0))/6,1)</f>
        <v>0.38439572409124945</v>
      </c>
      <c r="AD57" s="8">
        <v>52</v>
      </c>
      <c r="AE57" s="8">
        <f>X57/士兵加成武将!W57</f>
        <v>0.68676962281468756</v>
      </c>
      <c r="AF57" s="8">
        <f>Y57/士兵加成武将!X57</f>
        <v>0.72762462532947947</v>
      </c>
      <c r="AG57" s="8">
        <f>Z57/士兵加成武将!Y57</f>
        <v>0.77805500123000215</v>
      </c>
      <c r="AH57" s="8">
        <f>AA57/士兵加成武将!Z57</f>
        <v>0.92794908769212281</v>
      </c>
      <c r="AI57" s="8">
        <f>AB57/士兵加成武将!AA57</f>
        <v>0.91904797556066464</v>
      </c>
    </row>
    <row r="58" spans="8:35" x14ac:dyDescent="0.15">
      <c r="W58" s="8">
        <v>53</v>
      </c>
      <c r="X58" s="8">
        <f>MIN((IFERROR(INDEX(其他调用!$W$5:$W$43,MATCH($W58,其他调用!$T$5:$T$43,1))*求节点($G$34:$G$42,$I$34:$I$42,求节点($Q$6:$Q$14,$O$6:$O$14,$W58)),0)+IFERROR(INDEX(其他调用!$X$5:$X$43,MATCH($W58,其他调用!$T$5:$T$43,1))*求节点($G$34:$G$42,$J$34:$J$42,求节点($R$6:$R$14,$O$6:$O$14,$W58)),0)+IFERROR(INDEX(其他调用!$Y$5:$Y$43,MATCH($W58,其他调用!$T$5:$T$43,1))*求节点($G$34:$G$42,$K$34:$K$42,求节点($S$6:$S$14,$O$6:$O$14,$W58)),0))/6,1)</f>
        <v>0.25993311650571993</v>
      </c>
      <c r="Y58" s="8">
        <f>MIN((IFERROR(INDEX(其他调用!$W$50:$W$88,MATCH($W58,其他调用!$T$50:$T$88,1))*求节点($G$34:$G$42,$I$34:$I$42,求节点($Q$20:$Q$28,$O$20:$O$28,$W58)),0)+IFERROR(INDEX(其他调用!$X$50:$X$88,MATCH($W58,其他调用!$T$50:$T$88,1))*求节点($G$34:$G$42,$J$34:$J$42,求节点($R$20:$R$28,$O$20:$O$28,$W58)),0)+IFERROR(INDEX(其他调用!$Y$50:$Y$88,MATCH($W58,其他调用!$T$50:$T$88,1))*求节点($G$34:$G$42,$K$34:$K$42,求节点($S$20:$S$28,$O$20:$O$28,$W58)),0))/6,1)</f>
        <v>0.28175057563911821</v>
      </c>
      <c r="Z58" s="8">
        <f>MIN((IFERROR(INDEX(其他调用!$W$95:$W$133,MATCH($W58,其他调用!$T$95:$T$133,1))*求节点($G$34:$G$42,$I$34:$I$42,求节点($Q$34:$Q$42,$O$34:$O$42,$W58)),0)+IFERROR(INDEX(其他调用!$X$95:$X$133,MATCH($W58,其他调用!$T$95:$T$133,1))*求节点($G$34:$G$42,$J$34:$J$42,求节点($R$34:$R$42,$O$34:$O$42,$W58)),0)+IFERROR(INDEX(其他调用!$Y$95:$Y$133,MATCH($W58,其他调用!$T$95:$T$133,1))*求节点($G$34:$G$42,$K$34:$K$42,求节点($S$34:$S$42,$O$34:$O$42,$W58)),0))/6,1)</f>
        <v>0.31008614975853671</v>
      </c>
      <c r="AA58" s="8">
        <f>MIN((IFERROR(INDEX(其他调用!$W$140:$W$178,MATCH($W58,其他调用!$T$140:$T$178,1))*求节点($G$34:$G$42,$I$34:$I$42,求节点($Q$48:$Q$56,$O$48:$O$56,$W58)),0)+IFERROR(INDEX(其他调用!$X$140:$X$178,MATCH($W58,其他调用!$T$140:$T$178,1))*求节点($G$34:$G$42,$J$34:$J$42,求节点($R$48:$R$56,$O$48:$O$56,$W58)),0)+IFERROR(INDEX(其他调用!$Y$140:$Y$178,MATCH($W58,其他调用!$T$140:$T$178,1))*求节点($G$34:$G$42,$K$34:$K$42,求节点($S$48:$S$56,$O$48:$O$56,$W58)),0))/6,1)</f>
        <v>0.36725182318806898</v>
      </c>
      <c r="AB58" s="8">
        <f>MIN((IFERROR(INDEX(其他调用!$W$185:$W$223,MATCH($W58,其他调用!$T$185:$T$223,1))*求节点($G$34:$G$42,$I$34:$I$42,求节点($Q$62:$Q$70,$O$62:$O$70,$W58)),0)+IFERROR(INDEX(其他调用!$X$185:$X$223,MATCH($W58,其他调用!$T$185:$T$223,1))*求节点($G$34:$G$42,$J$34:$J$42,求节点($R$62:$R$70,$O$62:$O$70,$W58)),0)+IFERROR(INDEX(其他调用!$Y$185:$Y$223,MATCH($W58,其他调用!$T$185:$T$223,1))*求节点($G$34:$G$42,$K$34:$K$42,求节点($S$62:$S$70,$O$62:$O$70,$W58)),0))/6,1)</f>
        <v>0.37577264434471952</v>
      </c>
      <c r="AD58" s="8">
        <v>53</v>
      </c>
      <c r="AE58" s="8">
        <f>X58/士兵加成武将!W58</f>
        <v>0.6859699875993478</v>
      </c>
      <c r="AF58" s="8">
        <f>Y58/士兵加成武将!X58</f>
        <v>0.72324700969021716</v>
      </c>
      <c r="AG58" s="8">
        <f>Z58/士兵加成武将!Y58</f>
        <v>0.77302727534108151</v>
      </c>
      <c r="AH58" s="8">
        <f>AA58/士兵加成武将!Z58</f>
        <v>0.88787054971328272</v>
      </c>
      <c r="AI58" s="8">
        <f>AB58/士兵加成武将!AA58</f>
        <v>0.87970742630671805</v>
      </c>
    </row>
    <row r="59" spans="8:35" x14ac:dyDescent="0.15">
      <c r="W59" s="8">
        <v>54</v>
      </c>
      <c r="X59" s="8">
        <f>MIN((IFERROR(INDEX(其他调用!$W$5:$W$43,MATCH($W59,其他调用!$T$5:$T$43,1))*求节点($G$34:$G$42,$I$34:$I$42,求节点($Q$6:$Q$14,$O$6:$O$14,$W59)),0)+IFERROR(INDEX(其他调用!$X$5:$X$43,MATCH($W59,其他调用!$T$5:$T$43,1))*求节点($G$34:$G$42,$J$34:$J$42,求节点($R$6:$R$14,$O$6:$O$14,$W59)),0)+IFERROR(INDEX(其他调用!$Y$5:$Y$43,MATCH($W59,其他调用!$T$5:$T$43,1))*求节点($G$34:$G$42,$K$34:$K$42,求节点($S$6:$S$14,$O$6:$O$14,$W59)),0))/6,1)</f>
        <v>0.26208257960248466</v>
      </c>
      <c r="Y59" s="8">
        <f>MIN((IFERROR(INDEX(其他调用!$W$50:$W$88,MATCH($W59,其他调用!$T$50:$T$88,1))*求节点($G$34:$G$42,$I$34:$I$42,求节点($Q$20:$Q$28,$O$20:$O$28,$W59)),0)+IFERROR(INDEX(其他调用!$X$50:$X$88,MATCH($W59,其他调用!$T$50:$T$88,1))*求节点($G$34:$G$42,$J$34:$J$42,求节点($R$20:$R$28,$O$20:$O$28,$W59)),0)+IFERROR(INDEX(其他调用!$Y$50:$Y$88,MATCH($W59,其他调用!$T$50:$T$88,1))*求节点($G$34:$G$42,$K$34:$K$42,求节点($S$20:$S$28,$O$20:$O$28,$W59)),0))/6,1)</f>
        <v>0.27893971909675724</v>
      </c>
      <c r="Z59" s="8">
        <f>MIN((IFERROR(INDEX(其他调用!$W$95:$W$133,MATCH($W59,其他调用!$T$95:$T$133,1))*求节点($G$34:$G$42,$I$34:$I$42,求节点($Q$34:$Q$42,$O$34:$O$42,$W59)),0)+IFERROR(INDEX(其他调用!$X$95:$X$133,MATCH($W59,其他调用!$T$95:$T$133,1))*求节点($G$34:$G$42,$J$34:$J$42,求节点($R$34:$R$42,$O$34:$O$42,$W59)),0)+IFERROR(INDEX(其他调用!$Y$95:$Y$133,MATCH($W59,其他调用!$T$95:$T$133,1))*求节点($G$34:$G$42,$K$34:$K$42,求节点($S$34:$S$42,$O$34:$O$42,$W59)),0))/6,1)</f>
        <v>0.30391682266412673</v>
      </c>
      <c r="AA59" s="8">
        <f>MIN((IFERROR(INDEX(其他调用!$W$140:$W$178,MATCH($W59,其他调用!$T$140:$T$178,1))*求节点($G$34:$G$42,$I$34:$I$42,求节点($Q$48:$Q$56,$O$48:$O$56,$W59)),0)+IFERROR(INDEX(其他调用!$X$140:$X$178,MATCH($W59,其他调用!$T$140:$T$178,1))*求节点($G$34:$G$42,$J$34:$J$42,求节点($R$48:$R$56,$O$48:$O$56,$W59)),0)+IFERROR(INDEX(其他调用!$Y$140:$Y$178,MATCH($W59,其他调用!$T$140:$T$178,1))*求节点($G$34:$G$42,$K$34:$K$42,求节点($S$48:$S$56,$O$48:$O$56,$W59)),0))/6,1)</f>
        <v>0.37204835736545511</v>
      </c>
      <c r="AB59" s="8">
        <f>MIN((IFERROR(INDEX(其他调用!$W$185:$W$223,MATCH($W59,其他调用!$T$185:$T$223,1))*求节点($G$34:$G$42,$I$34:$I$42,求节点($Q$62:$Q$70,$O$62:$O$70,$W59)),0)+IFERROR(INDEX(其他调用!$X$185:$X$223,MATCH($W59,其他调用!$T$185:$T$223,1))*求节点($G$34:$G$42,$J$34:$J$42,求节点($R$62:$R$70,$O$62:$O$70,$W59)),0)+IFERROR(INDEX(其他调用!$Y$185:$Y$223,MATCH($W59,其他调用!$T$185:$T$223,1))*求节点($G$34:$G$42,$K$34:$K$42,求节点($S$62:$S$70,$O$62:$O$70,$W59)),0))/6,1)</f>
        <v>0.38268776913168923</v>
      </c>
      <c r="AD59" s="8">
        <v>54</v>
      </c>
      <c r="AE59" s="8">
        <f>X59/士兵加成武将!W59</f>
        <v>0.67563711848321195</v>
      </c>
      <c r="AF59" s="8">
        <f>Y59/士兵加成武将!X59</f>
        <v>0.69993641092605052</v>
      </c>
      <c r="AG59" s="8">
        <f>Z59/士兵加成武将!Y59</f>
        <v>0.74113440073612569</v>
      </c>
      <c r="AH59" s="8">
        <f>AA59/士兵加成武将!Z59</f>
        <v>0.88046648085630697</v>
      </c>
      <c r="AI59" s="8">
        <f>AB59/士兵加成武将!AA59</f>
        <v>0.87760645257868697</v>
      </c>
    </row>
    <row r="60" spans="8:35" x14ac:dyDescent="0.15">
      <c r="P60" s="19" t="s">
        <v>53</v>
      </c>
      <c r="Q60" s="19"/>
      <c r="R60" s="19"/>
      <c r="S60" s="19"/>
      <c r="T60" s="19"/>
      <c r="W60" s="8">
        <v>55</v>
      </c>
      <c r="X60" s="8">
        <f>MIN((IFERROR(INDEX(其他调用!$W$5:$W$43,MATCH($W60,其他调用!$T$5:$T$43,1))*求节点($G$34:$G$42,$I$34:$I$42,求节点($Q$6:$Q$14,$O$6:$O$14,$W60)),0)+IFERROR(INDEX(其他调用!$X$5:$X$43,MATCH($W60,其他调用!$T$5:$T$43,1))*求节点($G$34:$G$42,$J$34:$J$42,求节点($R$6:$R$14,$O$6:$O$14,$W60)),0)+IFERROR(INDEX(其他调用!$Y$5:$Y$43,MATCH($W60,其他调用!$T$5:$T$43,1))*求节点($G$34:$G$42,$K$34:$K$42,求节点($S$6:$S$14,$O$6:$O$14,$W60)),0))/6,1)</f>
        <v>0.26832276714366587</v>
      </c>
      <c r="Y60" s="8">
        <f>MIN((IFERROR(INDEX(其他调用!$W$50:$W$88,MATCH($W60,其他调用!$T$50:$T$88,1))*求节点($G$34:$G$42,$I$34:$I$42,求节点($Q$20:$Q$28,$O$20:$O$28,$W60)),0)+IFERROR(INDEX(其他调用!$X$50:$X$88,MATCH($W60,其他调用!$T$50:$T$88,1))*求节点($G$34:$G$42,$J$34:$J$42,求节点($R$20:$R$28,$O$20:$O$28,$W60)),0)+IFERROR(INDEX(其他调用!$Y$50:$Y$88,MATCH($W60,其他调用!$T$50:$T$88,1))*求节点($G$34:$G$42,$K$34:$K$42,求节点($S$20:$S$28,$O$20:$O$28,$W60)),0))/6,1)</f>
        <v>0.28344094881719345</v>
      </c>
      <c r="Z60" s="8">
        <f>MIN((IFERROR(INDEX(其他调用!$W$95:$W$133,MATCH($W60,其他调用!$T$95:$T$133,1))*求节点($G$34:$G$42,$I$34:$I$42,求节点($Q$34:$Q$42,$O$34:$O$42,$W60)),0)+IFERROR(INDEX(其他调用!$X$95:$X$133,MATCH($W60,其他调用!$T$95:$T$133,1))*求节点($G$34:$G$42,$J$34:$J$42,求节点($R$34:$R$42,$O$34:$O$42,$W60)),0)+IFERROR(INDEX(其他调用!$Y$95:$Y$133,MATCH($W60,其他调用!$T$95:$T$133,1))*求节点($G$34:$G$42,$K$34:$K$42,求节点($S$34:$S$42,$O$34:$O$42,$W60)),0))/6,1)</f>
        <v>0.3098060198012032</v>
      </c>
      <c r="AA60" s="8">
        <f>MIN((IFERROR(INDEX(其他调用!$W$140:$W$178,MATCH($W60,其他调用!$T$140:$T$178,1))*求节点($G$34:$G$42,$I$34:$I$42,求节点($Q$48:$Q$56,$O$48:$O$56,$W60)),0)+IFERROR(INDEX(其他调用!$X$140:$X$178,MATCH($W60,其他调用!$T$140:$T$178,1))*求节点($G$34:$G$42,$J$34:$J$42,求节点($R$48:$R$56,$O$48:$O$56,$W60)),0)+IFERROR(INDEX(其他调用!$Y$140:$Y$178,MATCH($W60,其他调用!$T$140:$T$178,1))*求节点($G$34:$G$42,$K$34:$K$42,求节点($S$48:$S$56,$O$48:$O$56,$W60)),0))/6,1)</f>
        <v>0.37746679481791851</v>
      </c>
      <c r="AB60" s="8">
        <f>MIN((IFERROR(INDEX(其他调用!$W$185:$W$223,MATCH($W60,其他调用!$T$185:$T$223,1))*求节点($G$34:$G$42,$I$34:$I$42,求节点($Q$62:$Q$70,$O$62:$O$70,$W60)),0)+IFERROR(INDEX(其他调用!$X$185:$X$223,MATCH($W60,其他调用!$T$185:$T$223,1))*求节点($G$34:$G$42,$J$34:$J$42,求节点($R$62:$R$70,$O$62:$O$70,$W60)),0)+IFERROR(INDEX(其他调用!$Y$185:$Y$223,MATCH($W60,其他调用!$T$185:$T$223,1))*求节点($G$34:$G$42,$K$34:$K$42,求节点($S$62:$S$70,$O$62:$O$70,$W60)),0))/6,1)</f>
        <v>0.39040631945597282</v>
      </c>
      <c r="AD60" s="8">
        <v>55</v>
      </c>
      <c r="AE60" s="8">
        <f>X60/士兵加成武将!W60</f>
        <v>0.67607884499745985</v>
      </c>
      <c r="AF60" s="8">
        <f>Y60/士兵加成武将!X60</f>
        <v>0.69559540795362307</v>
      </c>
      <c r="AG60" s="8">
        <f>Z60/士兵加成武将!Y60</f>
        <v>0.73938088618393305</v>
      </c>
      <c r="AH60" s="8">
        <f>AA60/士兵加成武将!Z60</f>
        <v>0.87481005750692098</v>
      </c>
      <c r="AI60" s="8">
        <f>AB60/士兵加成武将!AA60</f>
        <v>0.87739515567905424</v>
      </c>
    </row>
    <row r="61" spans="8:35" x14ac:dyDescent="0.15">
      <c r="O61" s="8" t="s">
        <v>33</v>
      </c>
      <c r="P61" s="8">
        <v>100</v>
      </c>
      <c r="Q61" s="8">
        <v>110</v>
      </c>
      <c r="R61" s="8">
        <v>120</v>
      </c>
      <c r="S61" s="8">
        <v>130</v>
      </c>
      <c r="T61" s="8">
        <v>140</v>
      </c>
      <c r="W61" s="8">
        <v>56</v>
      </c>
      <c r="X61" s="8">
        <f>MIN((IFERROR(INDEX(其他调用!$W$5:$W$43,MATCH($W61,其他调用!$T$5:$T$43,1))*求节点($G$34:$G$42,$I$34:$I$42,求节点($Q$6:$Q$14,$O$6:$O$14,$W61)),0)+IFERROR(INDEX(其他调用!$X$5:$X$43,MATCH($W61,其他调用!$T$5:$T$43,1))*求节点($G$34:$G$42,$J$34:$J$42,求节点($R$6:$R$14,$O$6:$O$14,$W61)),0)+IFERROR(INDEX(其他调用!$Y$5:$Y$43,MATCH($W61,其他调用!$T$5:$T$43,1))*求节点($G$34:$G$42,$K$34:$K$42,求节点($S$6:$S$14,$O$6:$O$14,$W61)),0))/6,1)</f>
        <v>0.27456295468484709</v>
      </c>
      <c r="Y61" s="8">
        <f>MIN((IFERROR(INDEX(其他调用!$W$50:$W$88,MATCH($W61,其他调用!$T$50:$T$88,1))*求节点($G$34:$G$42,$I$34:$I$42,求节点($Q$20:$Q$28,$O$20:$O$28,$W61)),0)+IFERROR(INDEX(其他调用!$X$50:$X$88,MATCH($W61,其他调用!$T$50:$T$88,1))*求节点($G$34:$G$42,$J$34:$J$42,求节点($R$20:$R$28,$O$20:$O$28,$W61)),0)+IFERROR(INDEX(其他调用!$Y$50:$Y$88,MATCH($W61,其他调用!$T$50:$T$88,1))*求节点($G$34:$G$42,$K$34:$K$42,求节点($S$20:$S$28,$O$20:$O$28,$W61)),0))/6,1)</f>
        <v>0.28794217853762966</v>
      </c>
      <c r="Z61" s="8">
        <f>MIN((IFERROR(INDEX(其他调用!$W$95:$W$133,MATCH($W61,其他调用!$T$95:$T$133,1))*求节点($G$34:$G$42,$I$34:$I$42,求节点($Q$34:$Q$42,$O$34:$O$42,$W61)),0)+IFERROR(INDEX(其他调用!$X$95:$X$133,MATCH($W61,其他调用!$T$95:$T$133,1))*求节点($G$34:$G$42,$J$34:$J$42,求节点($R$34:$R$42,$O$34:$O$42,$W61)),0)+IFERROR(INDEX(其他调用!$Y$95:$Y$133,MATCH($W61,其他调用!$T$95:$T$133,1))*求节点($G$34:$G$42,$K$34:$K$42,求节点($S$34:$S$42,$O$34:$O$42,$W61)),0))/6,1)</f>
        <v>0.31485136791710705</v>
      </c>
      <c r="AA61" s="8">
        <f>MIN((IFERROR(INDEX(其他调用!$W$140:$W$178,MATCH($W61,其他调用!$T$140:$T$178,1))*求节点($G$34:$G$42,$I$34:$I$42,求节点($Q$48:$Q$56,$O$48:$O$56,$W61)),0)+IFERROR(INDEX(其他调用!$X$140:$X$178,MATCH($W61,其他调用!$T$140:$T$178,1))*求节点($G$34:$G$42,$J$34:$J$42,求节点($R$48:$R$56,$O$48:$O$56,$W61)),0)+IFERROR(INDEX(其他调用!$Y$140:$Y$178,MATCH($W61,其他调用!$T$140:$T$178,1))*求节点($G$34:$G$42,$K$34:$K$42,求节点($S$48:$S$56,$O$48:$O$56,$W61)),0))/6,1)</f>
        <v>0.38464049664027722</v>
      </c>
      <c r="AB61" s="8">
        <f>MIN((IFERROR(INDEX(其他调用!$W$185:$W$223,MATCH($W61,其他调用!$T$185:$T$223,1))*求节点($G$34:$G$42,$I$34:$I$42,求节点($Q$62:$Q$70,$O$62:$O$70,$W61)),0)+IFERROR(INDEX(其他调用!$X$185:$X$223,MATCH($W61,其他调用!$T$185:$T$223,1))*求节点($G$34:$G$42,$J$34:$J$42,求节点($R$62:$R$70,$O$62:$O$70,$W61)),0)+IFERROR(INDEX(其他调用!$Y$185:$Y$223,MATCH($W61,其他调用!$T$185:$T$223,1))*求节点($G$34:$G$42,$K$34:$K$42,求节点($S$62:$S$70,$O$62:$O$70,$W61)),0))/6,1)</f>
        <v>0.39784541746301488</v>
      </c>
      <c r="AD61" s="8">
        <v>56</v>
      </c>
      <c r="AE61" s="8">
        <f>X61/士兵加成武将!W61</f>
        <v>0.67650103179236398</v>
      </c>
      <c r="AF61" s="8">
        <f>Y61/士兵加成武将!X61</f>
        <v>0.69144116585699456</v>
      </c>
      <c r="AG61" s="8">
        <f>Z61/士兵加成武将!Y61</f>
        <v>0.73572875164917895</v>
      </c>
      <c r="AH61" s="8">
        <f>AA61/士兵加成武将!Z61</f>
        <v>0.87336843863589186</v>
      </c>
      <c r="AI61" s="8">
        <f>AB61/士兵加成武将!AA61</f>
        <v>0.87657642776466349</v>
      </c>
    </row>
    <row r="62" spans="8:35" x14ac:dyDescent="0.15">
      <c r="O62" s="8">
        <v>0</v>
      </c>
      <c r="P62" s="10"/>
      <c r="Q62" s="15">
        <f>IFERROR(求节点(其他调用!AB$185:AB$223,其他调用!$T$185:$T$223,$O62),0)</f>
        <v>0</v>
      </c>
      <c r="R62" s="15">
        <f>IFERROR(求节点(其他调用!AC$185:AC$223,其他调用!$T$185:$T$223,$O62),0)</f>
        <v>10.040470049930473</v>
      </c>
      <c r="S62" s="15">
        <f>IFERROR(求节点(其他调用!AD$185:AD$223,其他调用!$T$185:$T$223,$O62),0)</f>
        <v>0</v>
      </c>
      <c r="T62" s="10"/>
      <c r="W62" s="8">
        <v>57</v>
      </c>
      <c r="X62" s="8">
        <f>MIN((IFERROR(INDEX(其他调用!$W$5:$W$43,MATCH($W62,其他调用!$T$5:$T$43,1))*求节点($G$34:$G$42,$I$34:$I$42,求节点($Q$6:$Q$14,$O$6:$O$14,$W62)),0)+IFERROR(INDEX(其他调用!$X$5:$X$43,MATCH($W62,其他调用!$T$5:$T$43,1))*求节点($G$34:$G$42,$J$34:$J$42,求节点($R$6:$R$14,$O$6:$O$14,$W62)),0)+IFERROR(INDEX(其他调用!$Y$5:$Y$43,MATCH($W62,其他调用!$T$5:$T$43,1))*求节点($G$34:$G$42,$K$34:$K$42,求节点($S$6:$S$14,$O$6:$O$14,$W62)),0))/6,1)</f>
        <v>0.2794644061529743</v>
      </c>
      <c r="Y62" s="8">
        <f>MIN((IFERROR(INDEX(其他调用!$W$50:$W$88,MATCH($W62,其他调用!$T$50:$T$88,1))*求节点($G$34:$G$42,$I$34:$I$42,求节点($Q$20:$Q$28,$O$20:$O$28,$W62)),0)+IFERROR(INDEX(其他调用!$X$50:$X$88,MATCH($W62,其他调用!$T$50:$T$88,1))*求节点($G$34:$G$42,$J$34:$J$42,求节点($R$20:$R$28,$O$20:$O$28,$W62)),0)+IFERROR(INDEX(其他调用!$Y$50:$Y$88,MATCH($W62,其他调用!$T$50:$T$88,1))*求节点($G$34:$G$42,$K$34:$K$42,求节点($S$20:$S$28,$O$20:$O$28,$W62)),0))/6,1)</f>
        <v>0.29244340825806586</v>
      </c>
      <c r="Z62" s="8">
        <f>MIN((IFERROR(INDEX(其他调用!$W$95:$W$133,MATCH($W62,其他调用!$T$95:$T$133,1))*求节点($G$34:$G$42,$I$34:$I$42,求节点($Q$34:$Q$42,$O$34:$O$42,$W62)),0)+IFERROR(INDEX(其他调用!$X$95:$X$133,MATCH($W62,其他调用!$T$95:$T$133,1))*求节点($G$34:$G$42,$J$34:$J$42,求节点($R$34:$R$42,$O$34:$O$42,$W62)),0)+IFERROR(INDEX(其他调用!$Y$95:$Y$133,MATCH($W62,其他调用!$T$95:$T$133,1))*求节点($G$34:$G$42,$K$34:$K$42,求节点($S$34:$S$42,$O$34:$O$42,$W62)),0))/6,1)</f>
        <v>0.31988989454026956</v>
      </c>
      <c r="AA62" s="8">
        <f>MIN((IFERROR(INDEX(其他调用!$W$140:$W$178,MATCH($W62,其他调用!$T$140:$T$178,1))*求节点($G$34:$G$42,$I$34:$I$42,求节点($Q$48:$Q$56,$O$48:$O$56,$W62)),0)+IFERROR(INDEX(其他调用!$X$140:$X$178,MATCH($W62,其他调用!$T$140:$T$178,1))*求节点($G$34:$G$42,$J$34:$J$42,求节点($R$48:$R$56,$O$48:$O$56,$W62)),0)+IFERROR(INDEX(其他调用!$Y$140:$Y$178,MATCH($W62,其他调用!$T$140:$T$178,1))*求节点($G$34:$G$42,$K$34:$K$42,求节点($S$48:$S$56,$O$48:$O$56,$W62)),0))/6,1)</f>
        <v>0.39110822341638701</v>
      </c>
      <c r="AB62" s="8">
        <f>MIN((IFERROR(INDEX(其他调用!$W$185:$W$223,MATCH($W62,其他调用!$T$185:$T$223,1))*求节点($G$34:$G$42,$I$34:$I$42,求节点($Q$62:$Q$70,$O$62:$O$70,$W62)),0)+IFERROR(INDEX(其他调用!$X$185:$X$223,MATCH($W62,其他调用!$T$185:$T$223,1))*求节点($G$34:$G$42,$J$34:$J$42,求节点($R$62:$R$70,$O$62:$O$70,$W62)),0)+IFERROR(INDEX(其他调用!$Y$185:$Y$223,MATCH($W62,其他调用!$T$185:$T$223,1))*求节点($G$34:$G$42,$K$34:$K$42,求节点($S$62:$S$70,$O$62:$O$70,$W62)),0))/6,1)</f>
        <v>0.40528451547005706</v>
      </c>
      <c r="AD62" s="8">
        <v>57</v>
      </c>
      <c r="AE62" s="8">
        <f>X62/士兵加成武将!W62</f>
        <v>0.67367778588522498</v>
      </c>
      <c r="AF62" s="8">
        <f>Y62/士兵加成武将!X62</f>
        <v>0.68746188605398295</v>
      </c>
      <c r="AG62" s="8">
        <f>Z62/士兵加成武将!Y62</f>
        <v>0.73221043078295733</v>
      </c>
      <c r="AH62" s="8">
        <f>AA62/士兵加成武将!Z62</f>
        <v>0.87041294488113985</v>
      </c>
      <c r="AI62" s="8">
        <f>AB62/士兵加成武将!AA62</f>
        <v>0.87578919931927857</v>
      </c>
    </row>
    <row r="63" spans="8:35" x14ac:dyDescent="0.15">
      <c r="O63" s="8">
        <v>1</v>
      </c>
      <c r="P63" s="10"/>
      <c r="Q63" s="15">
        <f>IFERROR(求节点(其他调用!AB$185:AB$223,其他调用!$T$185:$T$223,$O63),0)</f>
        <v>0</v>
      </c>
      <c r="R63" s="15">
        <f>IFERROR(求节点(其他调用!AC$185:AC$223,其他调用!$T$185:$T$223,$O63),0)</f>
        <v>23.017734923316613</v>
      </c>
      <c r="S63" s="15">
        <f>IFERROR(求节点(其他调用!AD$185:AD$223,其他调用!$T$185:$T$223,$O63),0)</f>
        <v>53.52854715222022</v>
      </c>
      <c r="T63" s="10"/>
      <c r="W63" s="8">
        <v>58</v>
      </c>
      <c r="X63" s="8">
        <f>MIN((IFERROR(INDEX(其他调用!$W$5:$W$43,MATCH($W63,其他调用!$T$5:$T$43,1))*求节点($G$34:$G$42,$I$34:$I$42,求节点($Q$6:$Q$14,$O$6:$O$14,$W63)),0)+IFERROR(INDEX(其他调用!$X$5:$X$43,MATCH($W63,其他调用!$T$5:$T$43,1))*求节点($G$34:$G$42,$J$34:$J$42,求节点($R$6:$R$14,$O$6:$O$14,$W63)),0)+IFERROR(INDEX(其他调用!$Y$5:$Y$43,MATCH($W63,其他调用!$T$5:$T$43,1))*求节点($G$34:$G$42,$K$34:$K$42,求节点($S$6:$S$14,$O$6:$O$14,$W63)),0))/6,1)</f>
        <v>0.28338309870518047</v>
      </c>
      <c r="Y63" s="8">
        <f>MIN((IFERROR(INDEX(其他调用!$W$50:$W$88,MATCH($W63,其他调用!$T$50:$T$88,1))*求节点($G$34:$G$42,$I$34:$I$42,求节点($Q$20:$Q$28,$O$20:$O$28,$W63)),0)+IFERROR(INDEX(其他调用!$X$50:$X$88,MATCH($W63,其他调用!$T$50:$T$88,1))*求节点($G$34:$G$42,$J$34:$J$42,求节点($R$20:$R$28,$O$20:$O$28,$W63)),0)+IFERROR(INDEX(其他调用!$Y$50:$Y$88,MATCH($W63,其他调用!$T$50:$T$88,1))*求节点($G$34:$G$42,$K$34:$K$42,求节点($S$20:$S$28,$O$20:$O$28,$W63)),0))/6,1)</f>
        <v>0.29694463797850207</v>
      </c>
      <c r="Z63" s="8">
        <f>MIN((IFERROR(INDEX(其他调用!$W$95:$W$133,MATCH($W63,其他调用!$T$95:$T$133,1))*求节点($G$34:$G$42,$I$34:$I$42,求节点($Q$34:$Q$42,$O$34:$O$42,$W63)),0)+IFERROR(INDEX(其他调用!$X$95:$X$133,MATCH($W63,其他调用!$T$95:$T$133,1))*求节点($G$34:$G$42,$J$34:$J$42,求节点($R$34:$R$42,$O$34:$O$42,$W63)),0)+IFERROR(INDEX(其他调用!$Y$95:$Y$133,MATCH($W63,其他调用!$T$95:$T$133,1))*求节点($G$34:$G$42,$K$34:$K$42,求节点($S$34:$S$42,$O$34:$O$42,$W63)),0))/6,1)</f>
        <v>0.32492842116343207</v>
      </c>
      <c r="AA63" s="8">
        <f>MIN((IFERROR(INDEX(其他调用!$W$140:$W$178,MATCH($W63,其他调用!$T$140:$T$178,1))*求节点($G$34:$G$42,$I$34:$I$42,求节点($Q$48:$Q$56,$O$48:$O$56,$W63)),0)+IFERROR(INDEX(其他调用!$X$140:$X$178,MATCH($W63,其他调用!$T$140:$T$178,1))*求节点($G$34:$G$42,$J$34:$J$42,求节点($R$48:$R$56,$O$48:$O$56,$W63)),0)+IFERROR(INDEX(其他调用!$Y$140:$Y$178,MATCH($W63,其他调用!$T$140:$T$178,1))*求节点($G$34:$G$42,$K$34:$K$42,求节点($S$48:$S$56,$O$48:$O$56,$W63)),0))/6,1)</f>
        <v>0.39707170376970846</v>
      </c>
      <c r="AB63" s="8">
        <f>MIN((IFERROR(INDEX(其他调用!$W$185:$W$223,MATCH($W63,其他调用!$T$185:$T$223,1))*求节点($G$34:$G$42,$I$34:$I$42,求节点($Q$62:$Q$70,$O$62:$O$70,$W63)),0)+IFERROR(INDEX(其他调用!$X$185:$X$223,MATCH($W63,其他调用!$T$185:$T$223,1))*求节点($G$34:$G$42,$J$34:$J$42,求节点($R$62:$R$70,$O$62:$O$70,$W63)),0)+IFERROR(INDEX(其他调用!$Y$185:$Y$223,MATCH($W63,其他调用!$T$185:$T$223,1))*求节点($G$34:$G$42,$K$34:$K$42,求节点($S$62:$S$70,$O$62:$O$70,$W63)),0))/6,1)</f>
        <v>0.41304159557944575</v>
      </c>
      <c r="AD63" s="8">
        <v>58</v>
      </c>
      <c r="AE63" s="8">
        <f>X63/士兵加成武将!W63</f>
        <v>0.66865527139765257</v>
      </c>
      <c r="AF63" s="8">
        <f>Y63/士兵加成武将!X63</f>
        <v>0.68364674329653519</v>
      </c>
      <c r="AG63" s="8">
        <f>Z63/士兵加成武将!Y63</f>
        <v>0.72883317671395564</v>
      </c>
      <c r="AH63" s="8">
        <f>AA63/士兵加成武将!Z63</f>
        <v>0.86647224147244184</v>
      </c>
      <c r="AI63" s="8">
        <f>AB63/士兵加成武将!AA63</f>
        <v>0.87570585325722505</v>
      </c>
    </row>
    <row r="64" spans="8:35" x14ac:dyDescent="0.15">
      <c r="O64" s="8">
        <v>2</v>
      </c>
      <c r="P64" s="10"/>
      <c r="Q64" s="15">
        <f>IFERROR(求节点(其他调用!AB$185:AB$223,其他调用!$T$185:$T$223,$O64),0)</f>
        <v>0</v>
      </c>
      <c r="R64" s="15">
        <f>IFERROR(求节点(其他调用!AC$185:AC$223,其他调用!$T$185:$T$223,$O64),0)</f>
        <v>30.327873910244435</v>
      </c>
      <c r="S64" s="15">
        <f>IFERROR(求节点(其他调用!AD$185:AD$223,其他调用!$T$185:$T$223,$O64),0)</f>
        <v>57.226888998630649</v>
      </c>
      <c r="T64" s="10"/>
      <c r="W64" s="8">
        <v>59</v>
      </c>
      <c r="X64" s="8">
        <f>MIN((IFERROR(INDEX(其他调用!$W$5:$W$43,MATCH($W64,其他调用!$T$5:$T$43,1))*求节点($G$34:$G$42,$I$34:$I$42,求节点($Q$6:$Q$14,$O$6:$O$14,$W64)),0)+IFERROR(INDEX(其他调用!$X$5:$X$43,MATCH($W64,其他调用!$T$5:$T$43,1))*求节点($G$34:$G$42,$J$34:$J$42,求节点($R$6:$R$14,$O$6:$O$14,$W64)),0)+IFERROR(INDEX(其他调用!$Y$5:$Y$43,MATCH($W64,其他调用!$T$5:$T$43,1))*求节点($G$34:$G$42,$K$34:$K$42,求节点($S$6:$S$14,$O$6:$O$14,$W64)),0))/6,1)</f>
        <v>0.28730179125738659</v>
      </c>
      <c r="Y64" s="8">
        <f>MIN((IFERROR(INDEX(其他调用!$W$50:$W$88,MATCH($W64,其他调用!$T$50:$T$88,1))*求节点($G$34:$G$42,$I$34:$I$42,求节点($Q$20:$Q$28,$O$20:$O$28,$W64)),0)+IFERROR(INDEX(其他调用!$X$50:$X$88,MATCH($W64,其他调用!$T$50:$T$88,1))*求节点($G$34:$G$42,$J$34:$J$42,求节点($R$20:$R$28,$O$20:$O$28,$W64)),0)+IFERROR(INDEX(其他调用!$Y$50:$Y$88,MATCH($W64,其他调用!$T$50:$T$88,1))*求节点($G$34:$G$42,$K$34:$K$42,求节点($S$20:$S$28,$O$20:$O$28,$W64)),0))/6,1)</f>
        <v>0.30144586769893827</v>
      </c>
      <c r="Z64" s="8">
        <f>MIN((IFERROR(INDEX(其他调用!$W$95:$W$133,MATCH($W64,其他调用!$T$95:$T$133,1))*求节点($G$34:$G$42,$I$34:$I$42,求节点($Q$34:$Q$42,$O$34:$O$42,$W64)),0)+IFERROR(INDEX(其他调用!$X$95:$X$133,MATCH($W64,其他调用!$T$95:$T$133,1))*求节点($G$34:$G$42,$J$34:$J$42,求节点($R$34:$R$42,$O$34:$O$42,$W64)),0)+IFERROR(INDEX(其他调用!$Y$95:$Y$133,MATCH($W64,其他调用!$T$95:$T$133,1))*求节点($G$34:$G$42,$K$34:$K$42,求节点($S$34:$S$42,$O$34:$O$42,$W64)),0))/6,1)</f>
        <v>0.33023762301678511</v>
      </c>
      <c r="AA64" s="8">
        <f>MIN((IFERROR(INDEX(其他调用!$W$140:$W$178,MATCH($W64,其他调用!$T$140:$T$178,1))*求节点($G$34:$G$42,$I$34:$I$42,求节点($Q$48:$Q$56,$O$48:$O$56,$W64)),0)+IFERROR(INDEX(其他调用!$X$140:$X$178,MATCH($W64,其他调用!$T$140:$T$178,1))*求节点($G$34:$G$42,$J$34:$J$42,求节点($R$48:$R$56,$O$48:$O$56,$W64)),0)+IFERROR(INDEX(其他调用!$Y$140:$Y$178,MATCH($W64,其他调用!$T$140:$T$178,1))*求节点($G$34:$G$42,$K$34:$K$42,求节点($S$48:$S$56,$O$48:$O$56,$W64)),0))/6,1)</f>
        <v>0.39651031723219377</v>
      </c>
      <c r="AB64" s="8">
        <f>MIN((IFERROR(INDEX(其他调用!$W$185:$W$223,MATCH($W64,其他调用!$T$185:$T$223,1))*求节点($G$34:$G$42,$I$34:$I$42,求节点($Q$62:$Q$70,$O$62:$O$70,$W64)),0)+IFERROR(INDEX(其他调用!$X$185:$X$223,MATCH($W64,其他调用!$T$185:$T$223,1))*求节点($G$34:$G$42,$J$34:$J$42,求节点($R$62:$R$70,$O$62:$O$70,$W64)),0)+IFERROR(INDEX(其他调用!$Y$185:$Y$223,MATCH($W64,其他调用!$T$185:$T$223,1))*求节点($G$34:$G$42,$K$34:$K$42,求节点($S$62:$S$70,$O$62:$O$70,$W64)),0))/6,1)</f>
        <v>0.41534194596820945</v>
      </c>
      <c r="AD64" s="8">
        <v>59</v>
      </c>
      <c r="AE64" s="8">
        <f>X64/士兵加成武将!W64</f>
        <v>0.66384110298990506</v>
      </c>
      <c r="AF64" s="8">
        <f>Y64/士兵加成武将!X64</f>
        <v>0.67998578732888715</v>
      </c>
      <c r="AG64" s="8">
        <f>Z64/士兵加成武将!Y64</f>
        <v>0.72618387982952137</v>
      </c>
      <c r="AH64" s="8">
        <f>AA64/士兵加成武将!Z64</f>
        <v>0.84871587973168361</v>
      </c>
      <c r="AI64" s="8">
        <f>AB64/士兵加成武将!AA64</f>
        <v>0.86427087248203838</v>
      </c>
    </row>
    <row r="65" spans="15:35" x14ac:dyDescent="0.15">
      <c r="O65" s="8">
        <v>3</v>
      </c>
      <c r="P65" s="10"/>
      <c r="Q65" s="15">
        <f>IFERROR(求节点(其他调用!AB$185:AB$223,其他调用!$T$185:$T$223,$O65),0)</f>
        <v>0</v>
      </c>
      <c r="R65" s="15">
        <f>IFERROR(求节点(其他调用!AC$185:AC$223,其他调用!$T$185:$T$223,$O65),0)</f>
        <v>36.56784564865157</v>
      </c>
      <c r="S65" s="15">
        <f>IFERROR(求节点(其他调用!AD$185:AD$223,其他调用!$T$185:$T$223,$O65),0)</f>
        <v>60.436938804207543</v>
      </c>
      <c r="T65" s="10"/>
      <c r="W65" s="8">
        <v>60</v>
      </c>
      <c r="X65" s="8">
        <f>MIN((IFERROR(INDEX(其他调用!$W$5:$W$43,MATCH($W65,其他调用!$T$5:$T$43,1))*求节点($G$34:$G$42,$I$34:$I$42,求节点($Q$6:$Q$14,$O$6:$O$14,$W65)),0)+IFERROR(INDEX(其他调用!$X$5:$X$43,MATCH($W65,其他调用!$T$5:$T$43,1))*求节点($G$34:$G$42,$J$34:$J$42,求节点($R$6:$R$14,$O$6:$O$14,$W65)),0)+IFERROR(INDEX(其他调用!$Y$5:$Y$43,MATCH($W65,其他调用!$T$5:$T$43,1))*求节点($G$34:$G$42,$K$34:$K$42,求节点($S$6:$S$14,$O$6:$O$14,$W65)),0))/6,1)</f>
        <v>0.29143910289929603</v>
      </c>
      <c r="Y65" s="8">
        <f>MIN((IFERROR(INDEX(其他调用!$W$50:$W$88,MATCH($W65,其他调用!$T$50:$T$88,1))*求节点($G$34:$G$42,$I$34:$I$42,求节点($Q$20:$Q$28,$O$20:$O$28,$W65)),0)+IFERROR(INDEX(其他调用!$X$50:$X$88,MATCH($W65,其他调用!$T$50:$T$88,1))*求节点($G$34:$G$42,$J$34:$J$42,求节点($R$20:$R$28,$O$20:$O$28,$W65)),0)+IFERROR(INDEX(其他调用!$Y$50:$Y$88,MATCH($W65,其他调用!$T$50:$T$88,1))*求节点($G$34:$G$42,$K$34:$K$42,求节点($S$20:$S$28,$O$20:$O$28,$W65)),0))/6,1)</f>
        <v>0.30673729063575872</v>
      </c>
      <c r="Z65" s="8">
        <f>MIN((IFERROR(INDEX(其他调用!$W$95:$W$133,MATCH($W65,其他调用!$T$95:$T$133,1))*求节点($G$34:$G$42,$I$34:$I$42,求节点($Q$34:$Q$42,$O$34:$O$42,$W65)),0)+IFERROR(INDEX(其他调用!$X$95:$X$133,MATCH($W65,其他调用!$T$95:$T$133,1))*求节点($G$34:$G$42,$J$34:$J$42,求节点($R$34:$R$42,$O$34:$O$42,$W65)),0)+IFERROR(INDEX(其他调用!$Y$95:$Y$133,MATCH($W65,其他调用!$T$95:$T$133,1))*求节点($G$34:$G$42,$K$34:$K$42,求节点($S$34:$S$42,$O$34:$O$42,$W65)),0))/6,1)</f>
        <v>0.33453418459445516</v>
      </c>
      <c r="AA65" s="8">
        <f>MIN((IFERROR(INDEX(其他调用!$W$140:$W$178,MATCH($W65,其他调用!$T$140:$T$178,1))*求节点($G$34:$G$42,$I$34:$I$42,求节点($Q$48:$Q$56,$O$48:$O$56,$W65)),0)+IFERROR(INDEX(其他调用!$X$140:$X$178,MATCH($W65,其他调用!$T$140:$T$178,1))*求节点($G$34:$G$42,$J$34:$J$42,求节点($R$48:$R$56,$O$48:$O$56,$W65)),0)+IFERROR(INDEX(其他调用!$Y$140:$Y$178,MATCH($W65,其他调用!$T$140:$T$178,1))*求节点($G$34:$G$42,$K$34:$K$42,求节点($S$48:$S$56,$O$48:$O$56,$W65)),0))/6,1)</f>
        <v>0.40714399616065927</v>
      </c>
      <c r="AB65" s="8">
        <f>MIN((IFERROR(INDEX(其他调用!$W$185:$W$223,MATCH($W65,其他调用!$T$185:$T$223,1))*求节点($G$34:$G$42,$I$34:$I$42,求节点($Q$62:$Q$70,$O$62:$O$70,$W65)),0)+IFERROR(INDEX(其他调用!$X$185:$X$223,MATCH($W65,其他调用!$T$185:$T$223,1))*求节点($G$34:$G$42,$J$34:$J$42,求节点($R$62:$R$70,$O$62:$O$70,$W65)),0)+IFERROR(INDEX(其他调用!$Y$185:$Y$223,MATCH($W65,其他调用!$T$185:$T$223,1))*求节点($G$34:$G$42,$K$34:$K$42,求节点($S$62:$S$70,$O$62:$O$70,$W65)),0))/6,1)</f>
        <v>0.42536052573023125</v>
      </c>
      <c r="AD65" s="8">
        <v>60</v>
      </c>
      <c r="AE65" s="8">
        <f>X65/士兵加成武将!W65</f>
        <v>0.65971745813966853</v>
      </c>
      <c r="AF65" s="8">
        <f>Y65/士兵加成武将!X65</f>
        <v>0.67821702721760702</v>
      </c>
      <c r="AG65" s="8">
        <f>Z65/士兵加成武将!Y65</f>
        <v>0.72145286221815663</v>
      </c>
      <c r="AH65" s="8">
        <f>AA65/士兵加成武将!Z65</f>
        <v>0.85513868533881621</v>
      </c>
      <c r="AI65" s="8">
        <f>AB65/士兵加成武将!AA65</f>
        <v>0.86902033515179322</v>
      </c>
    </row>
    <row r="66" spans="15:35" x14ac:dyDescent="0.15">
      <c r="O66" s="8">
        <v>4</v>
      </c>
      <c r="P66" s="10"/>
      <c r="Q66" s="15">
        <f>IFERROR(求节点(其他调用!AB$185:AB$223,其他调用!$T$185:$T$223,$O66),0)</f>
        <v>0</v>
      </c>
      <c r="R66" s="15">
        <f>IFERROR(求节点(其他调用!AC$185:AC$223,其他调用!$T$185:$T$223,$O66),0)</f>
        <v>42.846852813073632</v>
      </c>
      <c r="S66" s="15">
        <f>IFERROR(求节点(其他调用!AD$185:AD$223,其他调用!$T$185:$T$223,$O66),0)</f>
        <v>63.371454984291944</v>
      </c>
      <c r="T66" s="10"/>
      <c r="W66" s="8">
        <v>61</v>
      </c>
      <c r="X66" s="8">
        <f>MIN((IFERROR(INDEX(其他调用!$W$5:$W$43,MATCH($W66,其他调用!$T$5:$T$43,1))*求节点($G$34:$G$42,$I$34:$I$42,求节点($Q$6:$Q$14,$O$6:$O$14,$W66)),0)+IFERROR(INDEX(其他调用!$X$5:$X$43,MATCH($W66,其他调用!$T$5:$T$43,1))*求节点($G$34:$G$42,$J$34:$J$42,求节点($R$6:$R$14,$O$6:$O$14,$W66)),0)+IFERROR(INDEX(其他调用!$Y$5:$Y$43,MATCH($W66,其他调用!$T$5:$T$43,1))*求节点($G$34:$G$42,$K$34:$K$42,求节点($S$6:$S$14,$O$6:$O$14,$W66)),0))/6,1)</f>
        <v>0.29636735486758053</v>
      </c>
      <c r="Y66" s="8">
        <f>MIN((IFERROR(INDEX(其他调用!$W$50:$W$88,MATCH($W66,其他调用!$T$50:$T$88,1))*求节点($G$34:$G$42,$I$34:$I$42,求节点($Q$20:$Q$28,$O$20:$O$28,$W66)),0)+IFERROR(INDEX(其他调用!$X$50:$X$88,MATCH($W66,其他调用!$T$50:$T$88,1))*求节点($G$34:$G$42,$J$34:$J$42,求节点($R$20:$R$28,$O$20:$O$28,$W66)),0)+IFERROR(INDEX(其他调用!$Y$50:$Y$88,MATCH($W66,其他调用!$T$50:$T$88,1))*求节点($G$34:$G$42,$K$34:$K$42,求节点($S$20:$S$28,$O$20:$O$28,$W66)),0))/6,1)</f>
        <v>0.31592235662449314</v>
      </c>
      <c r="Z66" s="8">
        <f>MIN((IFERROR(INDEX(其他调用!$W$95:$W$133,MATCH($W66,其他调用!$T$95:$T$133,1))*求节点($G$34:$G$42,$I$34:$I$42,求节点($Q$34:$Q$42,$O$34:$O$42,$W66)),0)+IFERROR(INDEX(其他调用!$X$95:$X$133,MATCH($W66,其他调用!$T$95:$T$133,1))*求节点($G$34:$G$42,$J$34:$J$42,求节点($R$34:$R$42,$O$34:$O$42,$W66)),0)+IFERROR(INDEX(其他调用!$Y$95:$Y$133,MATCH($W66,其他调用!$T$95:$T$133,1))*求节点($G$34:$G$42,$K$34:$K$42,求节点($S$34:$S$42,$O$34:$O$42,$W66)),0))/6,1)</f>
        <v>0.34422701902512182</v>
      </c>
      <c r="AA66" s="8">
        <f>MIN((IFERROR(INDEX(其他调用!$W$140:$W$178,MATCH($W66,其他调用!$T$140:$T$178,1))*求节点($G$34:$G$42,$I$34:$I$42,求节点($Q$48:$Q$56,$O$48:$O$56,$W66)),0)+IFERROR(INDEX(其他调用!$X$140:$X$178,MATCH($W66,其他调用!$T$140:$T$178,1))*求节点($G$34:$G$42,$J$34:$J$42,求节点($R$48:$R$56,$O$48:$O$56,$W66)),0)+IFERROR(INDEX(其他调用!$Y$140:$Y$178,MATCH($W66,其他调用!$T$140:$T$178,1))*求节点($G$34:$G$42,$K$34:$K$42,求节点($S$48:$S$56,$O$48:$O$56,$W66)),0))/6,1)</f>
        <v>0.41777767508912472</v>
      </c>
      <c r="AB66" s="8">
        <f>MIN((IFERROR(INDEX(其他调用!$W$185:$W$223,MATCH($W66,其他调用!$T$185:$T$223,1))*求节点($G$34:$G$42,$I$34:$I$42,求节点($Q$62:$Q$70,$O$62:$O$70,$W66)),0)+IFERROR(INDEX(其他调用!$X$185:$X$223,MATCH($W66,其他调用!$T$185:$T$223,1))*求节点($G$34:$G$42,$J$34:$J$42,求节点($R$62:$R$70,$O$62:$O$70,$W66)),0)+IFERROR(INDEX(其他调用!$Y$185:$Y$223,MATCH($W66,其他调用!$T$185:$T$223,1))*求节点($G$34:$G$42,$K$34:$K$42,求节点($S$62:$S$70,$O$62:$O$70,$W66)),0))/6,1)</f>
        <v>0.43570849663849148</v>
      </c>
      <c r="AD66" s="8">
        <v>61</v>
      </c>
      <c r="AE66" s="8">
        <f>X66/士兵加成武将!W66</f>
        <v>0.65751281818006402</v>
      </c>
      <c r="AF66" s="8">
        <f>Y66/士兵加成武将!X66</f>
        <v>0.6849588751210075</v>
      </c>
      <c r="AG66" s="8">
        <f>Z66/士兵加成武将!Y66</f>
        <v>0.72831824998444528</v>
      </c>
      <c r="AH66" s="8">
        <f>AA66/士兵加成武将!Z66</f>
        <v>0.86132509698810922</v>
      </c>
      <c r="AI66" s="8">
        <f>AB66/士兵加成武将!AA66</f>
        <v>0.87426105684308286</v>
      </c>
    </row>
    <row r="67" spans="15:35" x14ac:dyDescent="0.15">
      <c r="O67" s="8">
        <v>5</v>
      </c>
      <c r="P67" s="10"/>
      <c r="Q67" s="15">
        <f>IFERROR(求节点(其他调用!AB$185:AB$223,其他调用!$T$185:$T$223,$O67),0)</f>
        <v>0</v>
      </c>
      <c r="R67" s="15">
        <f>IFERROR(求节点(其他调用!AC$185:AC$223,其他调用!$T$185:$T$223,$O67),0)</f>
        <v>48.331436150548278</v>
      </c>
      <c r="S67" s="15">
        <f>IFERROR(求节点(其他调用!AD$185:AD$223,其他调用!$T$185:$T$223,$O67),0)</f>
        <v>68.170765177544666</v>
      </c>
      <c r="T67" s="10"/>
      <c r="W67" s="8">
        <v>62</v>
      </c>
      <c r="X67" s="8">
        <f>MIN((IFERROR(INDEX(其他调用!$W$5:$W$43,MATCH($W67,其他调用!$T$5:$T$43,1))*求节点($G$34:$G$42,$I$34:$I$42,求节点($Q$6:$Q$14,$O$6:$O$14,$W67)),0)+IFERROR(INDEX(其他调用!$X$5:$X$43,MATCH($W67,其他调用!$T$5:$T$43,1))*求节点($G$34:$G$42,$J$34:$J$42,求节点($R$6:$R$14,$O$6:$O$14,$W67)),0)+IFERROR(INDEX(其他调用!$Y$5:$Y$43,MATCH($W67,其他调用!$T$5:$T$43,1))*求节点($G$34:$G$42,$K$34:$K$42,求节点($S$6:$S$14,$O$6:$O$14,$W67)),0))/6,1)</f>
        <v>0.30417351716561675</v>
      </c>
      <c r="Y67" s="8">
        <f>MIN((IFERROR(INDEX(其他调用!$W$50:$W$88,MATCH($W67,其他调用!$T$50:$T$88,1))*求节点($G$34:$G$42,$I$34:$I$42,求节点($Q$20:$Q$28,$O$20:$O$28,$W67)),0)+IFERROR(INDEX(其他调用!$X$50:$X$88,MATCH($W67,其他调用!$T$50:$T$88,1))*求节点($G$34:$G$42,$J$34:$J$42,求节点($R$20:$R$28,$O$20:$O$28,$W67)),0)+IFERROR(INDEX(其他调用!$Y$50:$Y$88,MATCH($W67,其他调用!$T$50:$T$88,1))*求节点($G$34:$G$42,$K$34:$K$42,求节点($S$20:$S$28,$O$20:$O$28,$W67)),0))/6,1)</f>
        <v>0.3251074226132275</v>
      </c>
      <c r="Z67" s="8">
        <f>MIN((IFERROR(INDEX(其他调用!$W$95:$W$133,MATCH($W67,其他调用!$T$95:$T$133,1))*求节点($G$34:$G$42,$I$34:$I$42,求节点($Q$34:$Q$42,$O$34:$O$42,$W67)),0)+IFERROR(INDEX(其他调用!$X$95:$X$133,MATCH($W67,其他调用!$T$95:$T$133,1))*求节点($G$34:$G$42,$J$34:$J$42,求节点($R$34:$R$42,$O$34:$O$42,$W67)),0)+IFERROR(INDEX(其他调用!$Y$95:$Y$133,MATCH($W67,其他调用!$T$95:$T$133,1))*求节点($G$34:$G$42,$K$34:$K$42,求节点($S$34:$S$42,$O$34:$O$42,$W67)),0))/6,1)</f>
        <v>0.35402991971159881</v>
      </c>
      <c r="AA67" s="8">
        <f>MIN((IFERROR(INDEX(其他调用!$W$140:$W$178,MATCH($W67,其他调用!$T$140:$T$178,1))*求节点($G$34:$G$42,$I$34:$I$42,求节点($Q$48:$Q$56,$O$48:$O$56,$W67)),0)+IFERROR(INDEX(其他调用!$X$140:$X$178,MATCH($W67,其他调用!$T$140:$T$178,1))*求节点($G$34:$G$42,$J$34:$J$42,求节点($R$48:$R$56,$O$48:$O$56,$W67)),0)+IFERROR(INDEX(其他调用!$Y$140:$Y$178,MATCH($W67,其他调用!$T$140:$T$178,1))*求节点($G$34:$G$42,$K$34:$K$42,求节点($S$48:$S$56,$O$48:$O$56,$W67)),0))/6,1)</f>
        <v>0.42846420004683167</v>
      </c>
      <c r="AB67" s="8">
        <f>MIN((IFERROR(INDEX(其他调用!$W$185:$W$223,MATCH($W67,其他调用!$T$185:$T$223,1))*求节点($G$34:$G$42,$I$34:$I$42,求节点($Q$62:$Q$70,$O$62:$O$70,$W67)),0)+IFERROR(INDEX(其他调用!$X$185:$X$223,MATCH($W67,其他调用!$T$185:$T$223,1))*求节点($G$34:$G$42,$J$34:$J$42,求节点($R$62:$R$70,$O$62:$O$70,$W67)),0)+IFERROR(INDEX(其他调用!$Y$185:$Y$223,MATCH($W67,其他调用!$T$185:$T$223,1))*求节点($G$34:$G$42,$K$34:$K$42,求节点($S$62:$S$70,$O$62:$O$70,$W67)),0))/6,1)</f>
        <v>0.44556351838469516</v>
      </c>
      <c r="AD67" s="8">
        <v>62</v>
      </c>
      <c r="AE67" s="8">
        <f>X67/士兵加成武将!W67</f>
        <v>0.66165445884427621</v>
      </c>
      <c r="AF67" s="8">
        <f>Y67/士兵加成武将!X67</f>
        <v>0.69144382850289954</v>
      </c>
      <c r="AG67" s="8">
        <f>Z67/士兵加成武将!Y67</f>
        <v>0.735157362531907</v>
      </c>
      <c r="AH67" s="8">
        <f>AA67/士兵加成武将!Z67</f>
        <v>0.86739491269112445</v>
      </c>
      <c r="AI67" s="8">
        <f>AB67/士兵加成武将!AA67</f>
        <v>0.87780862153916683</v>
      </c>
    </row>
    <row r="68" spans="15:35" x14ac:dyDescent="0.15">
      <c r="O68" s="8">
        <v>6</v>
      </c>
      <c r="P68" s="10"/>
      <c r="Q68" s="15">
        <f>IFERROR(求节点(其他调用!AB$185:AB$223,其他调用!$T$185:$T$223,$O68),0)</f>
        <v>0</v>
      </c>
      <c r="R68" s="15">
        <f>IFERROR(求节点(其他调用!AC$185:AC$223,其他调用!$T$185:$T$223,$O68),0)</f>
        <v>54.346529345945754</v>
      </c>
      <c r="S68" s="15">
        <f>IFERROR(求节点(其他调用!AD$185:AD$223,其他调用!$T$185:$T$223,$O68),0)</f>
        <v>75.008530448062984</v>
      </c>
      <c r="T68" s="10"/>
      <c r="W68" s="8">
        <v>63</v>
      </c>
      <c r="X68" s="8">
        <f>MIN((IFERROR(INDEX(其他调用!$W$5:$W$43,MATCH($W68,其他调用!$T$5:$T$43,1))*求节点($G$34:$G$42,$I$34:$I$42,求节点($Q$6:$Q$14,$O$6:$O$14,$W68)),0)+IFERROR(INDEX(其他调用!$X$5:$X$43,MATCH($W68,其他调用!$T$5:$T$43,1))*求节点($G$34:$G$42,$J$34:$J$42,求节点($R$6:$R$14,$O$6:$O$14,$W68)),0)+IFERROR(INDEX(其他调用!$Y$5:$Y$43,MATCH($W68,其他调用!$T$5:$T$43,1))*求节点($G$34:$G$42,$K$34:$K$42,求节点($S$6:$S$14,$O$6:$O$14,$W68)),0))/6,1)</f>
        <v>0.3119796794636529</v>
      </c>
      <c r="Y68" s="8">
        <f>MIN((IFERROR(INDEX(其他调用!$W$50:$W$88,MATCH($W68,其他调用!$T$50:$T$88,1))*求节点($G$34:$G$42,$I$34:$I$42,求节点($Q$20:$Q$28,$O$20:$O$28,$W68)),0)+IFERROR(INDEX(其他调用!$X$50:$X$88,MATCH($W68,其他调用!$T$50:$T$88,1))*求节点($G$34:$G$42,$J$34:$J$42,求节点($R$20:$R$28,$O$20:$O$28,$W68)),0)+IFERROR(INDEX(其他调用!$Y$50:$Y$88,MATCH($W68,其他调用!$T$50:$T$88,1))*求节点($G$34:$G$42,$K$34:$K$42,求节点($S$20:$S$28,$O$20:$O$28,$W68)),0))/6,1)</f>
        <v>0.33332352629061351</v>
      </c>
      <c r="Z68" s="8">
        <f>MIN((IFERROR(INDEX(其他调用!$W$95:$W$133,MATCH($W68,其他调用!$T$95:$T$133,1))*求节点($G$34:$G$42,$I$34:$I$42,求节点($Q$34:$Q$42,$O$34:$O$42,$W68)),0)+IFERROR(INDEX(其他调用!$X$95:$X$133,MATCH($W68,其他调用!$T$95:$T$133,1))*求节点($G$34:$G$42,$J$34:$J$42,求节点($R$34:$R$42,$O$34:$O$42,$W68)),0)+IFERROR(INDEX(其他调用!$Y$95:$Y$133,MATCH($W68,其他调用!$T$95:$T$133,1))*求节点($G$34:$G$42,$K$34:$K$42,求节点($S$34:$S$42,$O$34:$O$42,$W68)),0))/6,1)</f>
        <v>0.36405711394929408</v>
      </c>
      <c r="AA68" s="8">
        <f>MIN((IFERROR(INDEX(其他调用!$W$140:$W$178,MATCH($W68,其他调用!$T$140:$T$178,1))*求节点($G$34:$G$42,$I$34:$I$42,求节点($Q$48:$Q$56,$O$48:$O$56,$W68)),0)+IFERROR(INDEX(其他调用!$X$140:$X$178,MATCH($W68,其他调用!$T$140:$T$178,1))*求节点($G$34:$G$42,$J$34:$J$42,求节点($R$48:$R$56,$O$48:$O$56,$W68)),0)+IFERROR(INDEX(其他调用!$Y$140:$Y$178,MATCH($W68,其他调用!$T$140:$T$178,1))*求节点($G$34:$G$42,$K$34:$K$42,求节点($S$48:$S$56,$O$48:$O$56,$W68)),0))/6,1)</f>
        <v>0.43916178391496397</v>
      </c>
      <c r="AB68" s="8">
        <f>MIN((IFERROR(INDEX(其他调用!$W$185:$W$223,MATCH($W68,其他调用!$T$185:$T$223,1))*求节点($G$34:$G$42,$I$34:$I$42,求节点($Q$62:$Q$70,$O$62:$O$70,$W68)),0)+IFERROR(INDEX(其他调用!$X$185:$X$223,MATCH($W68,其他调用!$T$185:$T$223,1))*求节点($G$34:$G$42,$J$34:$J$42,求节点($R$62:$R$70,$O$62:$O$70,$W68)),0)+IFERROR(INDEX(其他调用!$Y$185:$Y$223,MATCH($W68,其他调用!$T$185:$T$223,1))*求节点($G$34:$G$42,$K$34:$K$42,求节点($S$62:$S$70,$O$62:$O$70,$W68)),0))/6,1)</f>
        <v>0.45494788595110697</v>
      </c>
      <c r="AD68" s="8">
        <v>63</v>
      </c>
      <c r="AE68" s="8">
        <f>X68/士兵加成武将!W68</f>
        <v>0.66563745604218905</v>
      </c>
      <c r="AF68" s="8">
        <f>Y68/士兵加成武将!X68</f>
        <v>0.6956640199404539</v>
      </c>
      <c r="AG68" s="8">
        <f>Z68/士兵加成武将!Y68</f>
        <v>0.7422045117321836</v>
      </c>
      <c r="AH68" s="8">
        <f>AA68/士兵加成武将!Z68</f>
        <v>0.87305891589763307</v>
      </c>
      <c r="AI68" s="8">
        <f>AB68/士兵加成武将!AA68</f>
        <v>0.88020073050163261</v>
      </c>
    </row>
    <row r="69" spans="15:35" x14ac:dyDescent="0.15">
      <c r="O69" s="8">
        <v>7</v>
      </c>
      <c r="P69" s="10"/>
      <c r="Q69" s="15">
        <f>IFERROR(求节点(其他调用!AB$185:AB$223,其他调用!$T$185:$T$223,$O69),0)</f>
        <v>0</v>
      </c>
      <c r="R69" s="15">
        <f>IFERROR(求节点(其他调用!AC$185:AC$223,其他调用!$T$185:$T$223,$O69),0)</f>
        <v>61.386031196038928</v>
      </c>
      <c r="S69" s="15">
        <f>IFERROR(求节点(其他调用!AD$185:AD$223,其他调用!$T$185:$T$223,$O69),0)</f>
        <v>78.885063399279943</v>
      </c>
      <c r="T69" s="10"/>
      <c r="W69" s="8">
        <v>64</v>
      </c>
      <c r="X69" s="8">
        <f>MIN((IFERROR(INDEX(其他调用!$W$5:$W$43,MATCH($W69,其他调用!$T$5:$T$43,1))*求节点($G$34:$G$42,$I$34:$I$42,求节点($Q$6:$Q$14,$O$6:$O$14,$W69)),0)+IFERROR(INDEX(其他调用!$X$5:$X$43,MATCH($W69,其他调用!$T$5:$T$43,1))*求节点($G$34:$G$42,$J$34:$J$42,求节点($R$6:$R$14,$O$6:$O$14,$W69)),0)+IFERROR(INDEX(其他调用!$Y$5:$Y$43,MATCH($W69,其他调用!$T$5:$T$43,1))*求节点($G$34:$G$42,$K$34:$K$42,求节点($S$6:$S$14,$O$6:$O$14,$W69)),0))/6,1)</f>
        <v>0.31978584176168906</v>
      </c>
      <c r="Y69" s="8">
        <f>MIN((IFERROR(INDEX(其他调用!$W$50:$W$88,MATCH($W69,其他调用!$T$50:$T$88,1))*求节点($G$34:$G$42,$I$34:$I$42,求节点($Q$20:$Q$28,$O$20:$O$28,$W69)),0)+IFERROR(INDEX(其他调用!$X$50:$X$88,MATCH($W69,其他调用!$T$50:$T$88,1))*求节点($G$34:$G$42,$J$34:$J$42,求节点($R$20:$R$28,$O$20:$O$28,$W69)),0)+IFERROR(INDEX(其他调用!$Y$50:$Y$88,MATCH($W69,其他调用!$T$50:$T$88,1))*求节点($G$34:$G$42,$K$34:$K$42,求节点($S$20:$S$28,$O$20:$O$28,$W69)),0))/6,1)</f>
        <v>0.34025210458088062</v>
      </c>
      <c r="Z69" s="8">
        <f>MIN((IFERROR(INDEX(其他调用!$W$95:$W$133,MATCH($W69,其他调用!$T$95:$T$133,1))*求节点($G$34:$G$42,$I$34:$I$42,求节点($Q$34:$Q$42,$O$34:$O$42,$W69)),0)+IFERROR(INDEX(其他调用!$X$95:$X$133,MATCH($W69,其他调用!$T$95:$T$133,1))*求节点($G$34:$G$42,$J$34:$J$42,求节点($R$34:$R$42,$O$34:$O$42,$W69)),0)+IFERROR(INDEX(其他调用!$Y$95:$Y$133,MATCH($W69,其他调用!$T$95:$T$133,1))*求节点($G$34:$G$42,$K$34:$K$42,求节点($S$34:$S$42,$O$34:$O$42,$W69)),0))/6,1)</f>
        <v>0.37408430818698934</v>
      </c>
      <c r="AA69" s="8">
        <f>MIN((IFERROR(INDEX(其他调用!$W$140:$W$178,MATCH($W69,其他调用!$T$140:$T$178,1))*求节点($G$34:$G$42,$I$34:$I$42,求节点($Q$48:$Q$56,$O$48:$O$56,$W69)),0)+IFERROR(INDEX(其他调用!$X$140:$X$178,MATCH($W69,其他调用!$T$140:$T$178,1))*求节点($G$34:$G$42,$J$34:$J$42,求节点($R$48:$R$56,$O$48:$O$56,$W69)),0)+IFERROR(INDEX(其他调用!$Y$140:$Y$178,MATCH($W69,其他调用!$T$140:$T$178,1))*求节点($G$34:$G$42,$K$34:$K$42,求节点($S$48:$S$56,$O$48:$O$56,$W69)),0))/6,1)</f>
        <v>0.44871382154708045</v>
      </c>
      <c r="AB69" s="8">
        <f>MIN((IFERROR(INDEX(其他调用!$W$185:$W$223,MATCH($W69,其他调用!$T$185:$T$223,1))*求节点($G$34:$G$42,$I$34:$I$42,求节点($Q$62:$Q$70,$O$62:$O$70,$W69)),0)+IFERROR(INDEX(其他调用!$X$185:$X$223,MATCH($W69,其他调用!$T$185:$T$223,1))*求节点($G$34:$G$42,$J$34:$J$42,求节点($R$62:$R$70,$O$62:$O$70,$W69)),0)+IFERROR(INDEX(其他调用!$Y$185:$Y$223,MATCH($W69,其他调用!$T$185:$T$223,1))*求节点($G$34:$G$42,$K$34:$K$42,求节点($S$62:$S$70,$O$62:$O$70,$W69)),0))/6,1)</f>
        <v>0.46266776072188925</v>
      </c>
      <c r="AD69" s="8">
        <v>64</v>
      </c>
      <c r="AE69" s="8">
        <f>X69/士兵加成武将!W69</f>
        <v>0.66947075361659147</v>
      </c>
      <c r="AF69" s="8">
        <f>Y69/士兵加成武将!X69</f>
        <v>0.6970914882306859</v>
      </c>
      <c r="AG69" s="8">
        <f>Z69/士兵加成武将!Y69</f>
        <v>0.74899944390706019</v>
      </c>
      <c r="AH69" s="8">
        <f>AA69/士兵加成武将!Z69</f>
        <v>0.875849320553164</v>
      </c>
      <c r="AI69" s="8">
        <f>AB69/士兵加成武将!AA69</f>
        <v>0.87934490813617139</v>
      </c>
    </row>
    <row r="70" spans="15:35" x14ac:dyDescent="0.15">
      <c r="O70" s="8">
        <v>8</v>
      </c>
      <c r="P70" s="10"/>
      <c r="Q70" s="15">
        <f>INDEX(其他调用!$T$185:$T$223,MATCH($O70,其他调用!AB$185:AB$223,0))</f>
        <v>10.040470049930473</v>
      </c>
      <c r="R70" s="15">
        <f>INDEX(其他调用!$T$185:$T$223,MATCH($O70,其他调用!AC$185:AC$223,0))</f>
        <v>71.7664716439551</v>
      </c>
      <c r="S70" s="15">
        <f>INDEX(其他调用!$T$185:$T$223,MATCH($O70,其他调用!AD$185:AD$223,0))</f>
        <v>83.667042947574714</v>
      </c>
      <c r="T70" s="10"/>
      <c r="W70" s="8">
        <v>65</v>
      </c>
      <c r="X70" s="8">
        <f>MIN((IFERROR(INDEX(其他调用!$W$5:$W$43,MATCH($W70,其他调用!$T$5:$T$43,1))*求节点($G$34:$G$42,$I$34:$I$42,求节点($Q$6:$Q$14,$O$6:$O$14,$W70)),0)+IFERROR(INDEX(其他调用!$X$5:$X$43,MATCH($W70,其他调用!$T$5:$T$43,1))*求节点($G$34:$G$42,$J$34:$J$42,求节点($R$6:$R$14,$O$6:$O$14,$W70)),0)+IFERROR(INDEX(其他调用!$Y$5:$Y$43,MATCH($W70,其他调用!$T$5:$T$43,1))*求节点($G$34:$G$42,$K$34:$K$42,求节点($S$6:$S$14,$O$6:$O$14,$W70)),0))/6,1)</f>
        <v>0.32535893461669491</v>
      </c>
      <c r="Y70" s="8">
        <f>MIN((IFERROR(INDEX(其他调用!$W$50:$W$88,MATCH($W70,其他调用!$T$50:$T$88,1))*求节点($G$34:$G$42,$I$34:$I$42,求节点($Q$20:$Q$28,$O$20:$O$28,$W70)),0)+IFERROR(INDEX(其他调用!$X$50:$X$88,MATCH($W70,其他调用!$T$50:$T$88,1))*求节点($G$34:$G$42,$J$34:$J$42,求节点($R$20:$R$28,$O$20:$O$28,$W70)),0)+IFERROR(INDEX(其他调用!$Y$50:$Y$88,MATCH($W70,其他调用!$T$50:$T$88,1))*求节点($G$34:$G$42,$K$34:$K$42,求节点($S$20:$S$28,$O$20:$O$28,$W70)),0))/6,1)</f>
        <v>0.35873815490428917</v>
      </c>
      <c r="Z70" s="8">
        <f>MIN((IFERROR(INDEX(其他调用!$W$95:$W$133,MATCH($W70,其他调用!$T$95:$T$133,1))*求节点($G$34:$G$42,$I$34:$I$42,求节点($Q$34:$Q$42,$O$34:$O$42,$W70)),0)+IFERROR(INDEX(其他调用!$X$95:$X$133,MATCH($W70,其他调用!$T$95:$T$133,1))*求节点($G$34:$G$42,$J$34:$J$42,求节点($R$34:$R$42,$O$34:$O$42,$W70)),0)+IFERROR(INDEX(其他调用!$Y$95:$Y$133,MATCH($W70,其他调用!$T$95:$T$133,1))*求节点($G$34:$G$42,$K$34:$K$42,求节点($S$34:$S$42,$O$34:$O$42,$W70)),0))/6,1)</f>
        <v>0.39171480508647433</v>
      </c>
      <c r="AA70" s="8">
        <f>MIN((IFERROR(INDEX(其他调用!$W$140:$W$178,MATCH($W70,其他调用!$T$140:$T$178,1))*求节点($G$34:$G$42,$I$34:$I$42,求节点($Q$48:$Q$56,$O$48:$O$56,$W70)),0)+IFERROR(INDEX(其他调用!$X$140:$X$178,MATCH($W70,其他调用!$T$140:$T$178,1))*求节点($G$34:$G$42,$J$34:$J$42,求节点($R$48:$R$56,$O$48:$O$56,$W70)),0)+IFERROR(INDEX(其他调用!$Y$140:$Y$178,MATCH($W70,其他调用!$T$140:$T$178,1))*求节点($G$34:$G$42,$K$34:$K$42,求节点($S$48:$S$56,$O$48:$O$56,$W70)),0))/6,1)</f>
        <v>0.46620201912935172</v>
      </c>
      <c r="AB70" s="8">
        <f>MIN((IFERROR(INDEX(其他调用!$W$185:$W$223,MATCH($W70,其他调用!$T$185:$T$223,1))*求节点($G$34:$G$42,$I$34:$I$42,求节点($Q$62:$Q$70,$O$62:$O$70,$W70)),0)+IFERROR(INDEX(其他调用!$X$185:$X$223,MATCH($W70,其他调用!$T$185:$T$223,1))*求节点($G$34:$G$42,$J$34:$J$42,求节点($R$62:$R$70,$O$62:$O$70,$W70)),0)+IFERROR(INDEX(其他调用!$Y$185:$Y$223,MATCH($W70,其他调用!$T$185:$T$223,1))*求节点($G$34:$G$42,$K$34:$K$42,求节点($S$62:$S$70,$O$62:$O$70,$W70)),0))/6,1)</f>
        <v>0.47714290486531663</v>
      </c>
      <c r="AD70" s="8">
        <v>65</v>
      </c>
      <c r="AE70" s="8">
        <f>X70/士兵加成武将!W70</f>
        <v>0.66857394319347441</v>
      </c>
      <c r="AF70" s="8">
        <f>Y70/士兵加成武将!X70</f>
        <v>0.72171913981240021</v>
      </c>
      <c r="AG70" s="8">
        <f>Z70/士兵加成武将!Y70</f>
        <v>0.76994361275487533</v>
      </c>
      <c r="AH70" s="8">
        <f>AA70/士兵加成武将!Z70</f>
        <v>0.89375457789566959</v>
      </c>
      <c r="AI70" s="8">
        <f>AB70/士兵加成武将!AA70</f>
        <v>0.89113522719319993</v>
      </c>
    </row>
    <row r="71" spans="15:35" x14ac:dyDescent="0.15">
      <c r="W71" s="8">
        <v>66</v>
      </c>
      <c r="X71" s="8">
        <f>MIN((IFERROR(INDEX(其他调用!$W$5:$W$43,MATCH($W71,其他调用!$T$5:$T$43,1))*求节点($G$34:$G$42,$I$34:$I$42,求节点($Q$6:$Q$14,$O$6:$O$14,$W71)),0)+IFERROR(INDEX(其他调用!$X$5:$X$43,MATCH($W71,其他调用!$T$5:$T$43,1))*求节点($G$34:$G$42,$J$34:$J$42,求节点($R$6:$R$14,$O$6:$O$14,$W71)),0)+IFERROR(INDEX(其他调用!$Y$5:$Y$43,MATCH($W71,其他调用!$T$5:$T$43,1))*求节点($G$34:$G$42,$K$34:$K$42,求节点($S$6:$S$14,$O$6:$O$14,$W71)),0))/6,1)</f>
        <v>0.33924215420151826</v>
      </c>
      <c r="Y71" s="8">
        <f>MIN((IFERROR(INDEX(其他调用!$W$50:$W$88,MATCH($W71,其他调用!$T$50:$T$88,1))*求节点($G$34:$G$42,$I$34:$I$42,求节点($Q$20:$Q$28,$O$20:$O$28,$W71)),0)+IFERROR(INDEX(其他调用!$X$50:$X$88,MATCH($W71,其他调用!$T$50:$T$88,1))*求节点($G$34:$G$42,$J$34:$J$42,求节点($R$20:$R$28,$O$20:$O$28,$W71)),0)+IFERROR(INDEX(其他调用!$Y$50:$Y$88,MATCH($W71,其他调用!$T$50:$T$88,1))*求节点($G$34:$G$42,$K$34:$K$42,求节点($S$20:$S$28,$O$20:$O$28,$W71)),0))/6,1)</f>
        <v>0.36741049445589941</v>
      </c>
      <c r="Z71" s="8">
        <f>MIN((IFERROR(INDEX(其他调用!$W$95:$W$133,MATCH($W71,其他调用!$T$95:$T$133,1))*求节点($G$34:$G$42,$I$34:$I$42,求节点($Q$34:$Q$42,$O$34:$O$42,$W71)),0)+IFERROR(INDEX(其他调用!$X$95:$X$133,MATCH($W71,其他调用!$T$95:$T$133,1))*求节点($G$34:$G$42,$J$34:$J$42,求节点($R$34:$R$42,$O$34:$O$42,$W71)),0)+IFERROR(INDEX(其他调用!$Y$95:$Y$133,MATCH($W71,其他调用!$T$95:$T$133,1))*求节点($G$34:$G$42,$K$34:$K$42,求节点($S$34:$S$42,$O$34:$O$42,$W71)),0))/6,1)</f>
        <v>0.39712119175447286</v>
      </c>
      <c r="AA71" s="8">
        <f>MIN((IFERROR(INDEX(其他调用!$W$140:$W$178,MATCH($W71,其他调用!$T$140:$T$178,1))*求节点($G$34:$G$42,$I$34:$I$42,求节点($Q$48:$Q$56,$O$48:$O$56,$W71)),0)+IFERROR(INDEX(其他调用!$X$140:$X$178,MATCH($W71,其他调用!$T$140:$T$178,1))*求节点($G$34:$G$42,$J$34:$J$42,求节点($R$48:$R$56,$O$48:$O$56,$W71)),0)+IFERROR(INDEX(其他调用!$Y$140:$Y$178,MATCH($W71,其他调用!$T$140:$T$178,1))*求节点($G$34:$G$42,$K$34:$K$42,求节点($S$48:$S$56,$O$48:$O$56,$W71)),0))/6,1)</f>
        <v>0.47481982331888317</v>
      </c>
      <c r="AB71" s="8">
        <f>MIN((IFERROR(INDEX(其他调用!$W$185:$W$223,MATCH($W71,其他调用!$T$185:$T$223,1))*求节点($G$34:$G$42,$I$34:$I$42,求节点($Q$62:$Q$70,$O$62:$O$70,$W71)),0)+IFERROR(INDEX(其他调用!$X$185:$X$223,MATCH($W71,其他调用!$T$185:$T$223,1))*求节点($G$34:$G$42,$J$34:$J$42,求节点($R$62:$R$70,$O$62:$O$70,$W71)),0)+IFERROR(INDEX(其他调用!$Y$185:$Y$223,MATCH($W71,其他调用!$T$185:$T$223,1))*求节点($G$34:$G$42,$K$34:$K$42,求节点($S$62:$S$70,$O$62:$O$70,$W71)),0))/6,1)</f>
        <v>0.48532050369943153</v>
      </c>
      <c r="AD71" s="8">
        <v>66</v>
      </c>
      <c r="AE71" s="8">
        <f>X71/士兵加成武将!W71</f>
        <v>0.68447666117224437</v>
      </c>
      <c r="AF71" s="8">
        <f>Y71/士兵加成武将!X71</f>
        <v>0.72568364110444317</v>
      </c>
      <c r="AG71" s="8">
        <f>Z71/士兵加成武将!Y71</f>
        <v>0.76650266676571233</v>
      </c>
      <c r="AH71" s="8">
        <f>AA71/士兵加成武将!Z71</f>
        <v>0.89432490550629384</v>
      </c>
      <c r="AI71" s="8">
        <f>AB71/士兵加成武将!AA71</f>
        <v>0.89096254403826258</v>
      </c>
    </row>
    <row r="72" spans="15:35" x14ac:dyDescent="0.15">
      <c r="W72" s="8">
        <v>67</v>
      </c>
      <c r="X72" s="8">
        <f>MIN((IFERROR(INDEX(其他调用!$W$5:$W$43,MATCH($W72,其他调用!$T$5:$T$43,1))*求节点($G$34:$G$42,$I$34:$I$42,求节点($Q$6:$Q$14,$O$6:$O$14,$W72)),0)+IFERROR(INDEX(其他调用!$X$5:$X$43,MATCH($W72,其他调用!$T$5:$T$43,1))*求节点($G$34:$G$42,$J$34:$J$42,求节点($R$6:$R$14,$O$6:$O$14,$W72)),0)+IFERROR(INDEX(其他调用!$Y$5:$Y$43,MATCH($W72,其他调用!$T$5:$T$43,1))*求节点($G$34:$G$42,$K$34:$K$42,求节点($S$6:$S$14,$O$6:$O$14,$W72)),0))/6,1)</f>
        <v>0.34363685867892269</v>
      </c>
      <c r="Y72" s="8">
        <f>MIN((IFERROR(INDEX(其他调用!$W$50:$W$88,MATCH($W72,其他调用!$T$50:$T$88,1))*求节点($G$34:$G$42,$I$34:$I$42,求节点($Q$20:$Q$28,$O$20:$O$28,$W72)),0)+IFERROR(INDEX(其他调用!$X$50:$X$88,MATCH($W72,其他调用!$T$50:$T$88,1))*求节点($G$34:$G$42,$J$34:$J$42,求节点($R$20:$R$28,$O$20:$O$28,$W72)),0)+IFERROR(INDEX(其他调用!$Y$50:$Y$88,MATCH($W72,其他调用!$T$50:$T$88,1))*求节点($G$34:$G$42,$K$34:$K$42,求节点($S$20:$S$28,$O$20:$O$28,$W72)),0))/6,1)</f>
        <v>0.37592423770553451</v>
      </c>
      <c r="Z72" s="8">
        <f>MIN((IFERROR(INDEX(其他调用!$W$95:$W$133,MATCH($W72,其他调用!$T$95:$T$133,1))*求节点($G$34:$G$42,$I$34:$I$42,求节点($Q$34:$Q$42,$O$34:$O$42,$W72)),0)+IFERROR(INDEX(其他调用!$X$95:$X$133,MATCH($W72,其他调用!$T$95:$T$133,1))*求节点($G$34:$G$42,$J$34:$J$42,求节点($R$34:$R$42,$O$34:$O$42,$W72)),0)+IFERROR(INDEX(其他调用!$Y$95:$Y$133,MATCH($W72,其他调用!$T$95:$T$133,1))*求节点($G$34:$G$42,$K$34:$K$42,求节点($S$34:$S$42,$O$34:$O$42,$W72)),0))/6,1)</f>
        <v>0.40254192939448713</v>
      </c>
      <c r="AA72" s="8">
        <f>MIN((IFERROR(INDEX(其他调用!$W$140:$W$178,MATCH($W72,其他调用!$T$140:$T$178,1))*求节点($G$34:$G$42,$I$34:$I$42,求节点($Q$48:$Q$56,$O$48:$O$56,$W72)),0)+IFERROR(INDEX(其他调用!$X$140:$X$178,MATCH($W72,其他调用!$T$140:$T$178,1))*求节点($G$34:$G$42,$J$34:$J$42,求节点($R$48:$R$56,$O$48:$O$56,$W72)),0)+IFERROR(INDEX(其他调用!$Y$140:$Y$178,MATCH($W72,其他调用!$T$140:$T$178,1))*求节点($G$34:$G$42,$K$34:$K$42,求节点($S$48:$S$56,$O$48:$O$56,$W72)),0))/6,1)</f>
        <v>0.48324484939907925</v>
      </c>
      <c r="AB72" s="8">
        <f>MIN((IFERROR(INDEX(其他调用!$W$185:$W$223,MATCH($W72,其他调用!$T$185:$T$223,1))*求节点($G$34:$G$42,$I$34:$I$42,求节点($Q$62:$Q$70,$O$62:$O$70,$W72)),0)+IFERROR(INDEX(其他调用!$X$185:$X$223,MATCH($W72,其他调用!$T$185:$T$223,1))*求节点($G$34:$G$42,$J$34:$J$42,求节点($R$62:$R$70,$O$62:$O$70,$W72)),0)+IFERROR(INDEX(其他调用!$Y$185:$Y$223,MATCH($W72,其他调用!$T$185:$T$223,1))*求节点($G$34:$G$42,$K$34:$K$42,求节点($S$62:$S$70,$O$62:$O$70,$W72)),0))/6,1)</f>
        <v>0.49349810253354637</v>
      </c>
      <c r="AD72" s="8">
        <v>67</v>
      </c>
      <c r="AE72" s="8">
        <f>X72/士兵加成武将!W72</f>
        <v>0.6807190342939039</v>
      </c>
      <c r="AF72" s="8">
        <f>Y72/士兵加成武将!X72</f>
        <v>0.72900718675032206</v>
      </c>
      <c r="AG72" s="8">
        <f>Z72/士兵加成武将!Y72</f>
        <v>0.7632107610287413</v>
      </c>
      <c r="AH72" s="8">
        <f>AA72/士兵加成武将!Z72</f>
        <v>0.89451874427655287</v>
      </c>
      <c r="AI72" s="8">
        <f>AB72/士兵加成武将!AA72</f>
        <v>0.89079564746027173</v>
      </c>
    </row>
    <row r="73" spans="15:35" x14ac:dyDescent="0.15">
      <c r="W73" s="8">
        <v>68</v>
      </c>
      <c r="X73" s="8">
        <f>MIN((IFERROR(INDEX(其他调用!$W$5:$W$43,MATCH($W73,其他调用!$T$5:$T$43,1))*求节点($G$34:$G$42,$I$34:$I$42,求节点($Q$6:$Q$14,$O$6:$O$14,$W73)),0)+IFERROR(INDEX(其他调用!$X$5:$X$43,MATCH($W73,其他调用!$T$5:$T$43,1))*求节点($G$34:$G$42,$J$34:$J$42,求节点($R$6:$R$14,$O$6:$O$14,$W73)),0)+IFERROR(INDEX(其他调用!$Y$5:$Y$43,MATCH($W73,其他调用!$T$5:$T$43,1))*求节点($G$34:$G$42,$K$34:$K$42,求节点($S$6:$S$14,$O$6:$O$14,$W73)),0))/6,1)</f>
        <v>0.34803156315632711</v>
      </c>
      <c r="Y73" s="8">
        <f>MIN((IFERROR(INDEX(其他调用!$W$50:$W$88,MATCH($W73,其他调用!$T$50:$T$88,1))*求节点($G$34:$G$42,$I$34:$I$42,求节点($Q$20:$Q$28,$O$20:$O$28,$W73)),0)+IFERROR(INDEX(其他调用!$X$50:$X$88,MATCH($W73,其他调用!$T$50:$T$88,1))*求节点($G$34:$G$42,$J$34:$J$42,求节点($R$20:$R$28,$O$20:$O$28,$W73)),0)+IFERROR(INDEX(其他调用!$Y$50:$Y$88,MATCH($W73,其他调用!$T$50:$T$88,1))*求节点($G$34:$G$42,$K$34:$K$42,求节点($S$20:$S$28,$O$20:$O$28,$W73)),0))/6,1)</f>
        <v>0.38052158546979031</v>
      </c>
      <c r="Z73" s="8">
        <f>MIN((IFERROR(INDEX(其他调用!$W$95:$W$133,MATCH($W73,其他调用!$T$95:$T$133,1))*求节点($G$34:$G$42,$I$34:$I$42,求节点($Q$34:$Q$42,$O$34:$O$42,$W73)),0)+IFERROR(INDEX(其他调用!$X$95:$X$133,MATCH($W73,其他调用!$T$95:$T$133,1))*求节点($G$34:$G$42,$J$34:$J$42,求节点($R$34:$R$42,$O$34:$O$42,$W73)),0)+IFERROR(INDEX(其他调用!$Y$95:$Y$133,MATCH($W73,其他调用!$T$95:$T$133,1))*求节点($G$34:$G$42,$K$34:$K$42,求节点($S$34:$S$42,$O$34:$O$42,$W73)),0))/6,1)</f>
        <v>0.40796266703450135</v>
      </c>
      <c r="AA73" s="8">
        <f>MIN((IFERROR(INDEX(其他调用!$W$140:$W$178,MATCH($W73,其他调用!$T$140:$T$178,1))*求节点($G$34:$G$42,$I$34:$I$42,求节点($Q$48:$Q$56,$O$48:$O$56,$W73)),0)+IFERROR(INDEX(其他调用!$X$140:$X$178,MATCH($W73,其他调用!$T$140:$T$178,1))*求节点($G$34:$G$42,$J$34:$J$42,求节点($R$48:$R$56,$O$48:$O$56,$W73)),0)+IFERROR(INDEX(其他调用!$Y$140:$Y$178,MATCH($W73,其他调用!$T$140:$T$178,1))*求节点($G$34:$G$42,$K$34:$K$42,求节点($S$48:$S$56,$O$48:$O$56,$W73)),0))/6,1)</f>
        <v>0.49161858904181549</v>
      </c>
      <c r="AB73" s="8">
        <f>MIN((IFERROR(INDEX(其他调用!$W$185:$W$223,MATCH($W73,其他调用!$T$185:$T$223,1))*求节点($G$34:$G$42,$I$34:$I$42,求节点($Q$62:$Q$70,$O$62:$O$70,$W73)),0)+IFERROR(INDEX(其他调用!$X$185:$X$223,MATCH($W73,其他调用!$T$185:$T$223,1))*求节点($G$34:$G$42,$J$34:$J$42,求节点($R$62:$R$70,$O$62:$O$70,$W73)),0)+IFERROR(INDEX(其他调用!$Y$185:$Y$223,MATCH($W73,其他调用!$T$185:$T$223,1))*求节点($G$34:$G$42,$K$34:$K$42,求节点($S$62:$S$70,$O$62:$O$70,$W73)),0))/6,1)</f>
        <v>0.50167570136766126</v>
      </c>
      <c r="AD73" s="8">
        <v>68</v>
      </c>
      <c r="AE73" s="8">
        <f>X73/士兵加成武将!W73</f>
        <v>0.6768259447892816</v>
      </c>
      <c r="AF73" s="8">
        <f>Y73/士兵加成武将!X73</f>
        <v>0.72475281730410801</v>
      </c>
      <c r="AG73" s="8">
        <f>Z73/士兵加成武将!Y73</f>
        <v>0.76003338196840131</v>
      </c>
      <c r="AH73" s="8">
        <f>AA73/士兵加成武将!Z73</f>
        <v>0.89461269233110852</v>
      </c>
      <c r="AI73" s="8">
        <f>AB73/士兵加成武将!AA73</f>
        <v>0.89063425139175656</v>
      </c>
    </row>
    <row r="74" spans="15:35" x14ac:dyDescent="0.15">
      <c r="W74" s="8">
        <v>69</v>
      </c>
      <c r="X74" s="8">
        <f>MIN((IFERROR(INDEX(其他调用!$W$5:$W$43,MATCH($W74,其他调用!$T$5:$T$43,1))*求节点($G$34:$G$42,$I$34:$I$42,求节点($Q$6:$Q$14,$O$6:$O$14,$W74)),0)+IFERROR(INDEX(其他调用!$X$5:$X$43,MATCH($W74,其他调用!$T$5:$T$43,1))*求节点($G$34:$G$42,$J$34:$J$42,求节点($R$6:$R$14,$O$6:$O$14,$W74)),0)+IFERROR(INDEX(其他调用!$Y$5:$Y$43,MATCH($W74,其他调用!$T$5:$T$43,1))*求节点($G$34:$G$42,$K$34:$K$42,求节点($S$6:$S$14,$O$6:$O$14,$W74)),0))/6,1)</f>
        <v>0.35242626763373147</v>
      </c>
      <c r="Y74" s="8">
        <f>MIN((IFERROR(INDEX(其他调用!$W$50:$W$88,MATCH($W74,其他调用!$T$50:$T$88,1))*求节点($G$34:$G$42,$I$34:$I$42,求节点($Q$20:$Q$28,$O$20:$O$28,$W74)),0)+IFERROR(INDEX(其他调用!$X$50:$X$88,MATCH($W74,其他调用!$T$50:$T$88,1))*求节点($G$34:$G$42,$J$34:$J$42,求节点($R$20:$R$28,$O$20:$O$28,$W74)),0)+IFERROR(INDEX(其他调用!$Y$50:$Y$88,MATCH($W74,其他调用!$T$50:$T$88,1))*求节点($G$34:$G$42,$K$34:$K$42,求节点($S$20:$S$28,$O$20:$O$28,$W74)),0))/6,1)</f>
        <v>0.40050103977735324</v>
      </c>
      <c r="Z74" s="8">
        <f>MIN((IFERROR(INDEX(其他调用!$W$95:$W$133,MATCH($W74,其他调用!$T$95:$T$133,1))*求节点($G$34:$G$42,$I$34:$I$42,求节点($Q$34:$Q$42,$O$34:$O$42,$W74)),0)+IFERROR(INDEX(其他调用!$X$95:$X$133,MATCH($W74,其他调用!$T$95:$T$133,1))*求节点($G$34:$G$42,$J$34:$J$42,求节点($R$34:$R$42,$O$34:$O$42,$W74)),0)+IFERROR(INDEX(其他调用!$Y$95:$Y$133,MATCH($W74,其他调用!$T$95:$T$133,1))*求节点($G$34:$G$42,$K$34:$K$42,求节点($S$34:$S$42,$O$34:$O$42,$W74)),0))/6,1)</f>
        <v>0.41338340467451545</v>
      </c>
      <c r="AA74" s="8">
        <f>MIN((IFERROR(INDEX(其他调用!$W$140:$W$178,MATCH($W74,其他调用!$T$140:$T$178,1))*求节点($G$34:$G$42,$I$34:$I$42,求节点($Q$48:$Q$56,$O$48:$O$56,$W74)),0)+IFERROR(INDEX(其他调用!$X$140:$X$178,MATCH($W74,其他调用!$T$140:$T$178,1))*求节点($G$34:$G$42,$J$34:$J$42,求节点($R$48:$R$56,$O$48:$O$56,$W74)),0)+IFERROR(INDEX(其他调用!$Y$140:$Y$178,MATCH($W74,其他调用!$T$140:$T$178,1))*求节点($G$34:$G$42,$K$34:$K$42,求节点($S$48:$S$56,$O$48:$O$56,$W74)),0))/6,1)</f>
        <v>0.51418658229098857</v>
      </c>
      <c r="AB74" s="8">
        <f>MIN((IFERROR(INDEX(其他调用!$W$185:$W$223,MATCH($W74,其他调用!$T$185:$T$223,1))*求节点($G$34:$G$42,$I$34:$I$42,求节点($Q$62:$Q$70,$O$62:$O$70,$W74)),0)+IFERROR(INDEX(其他调用!$X$185:$X$223,MATCH($W74,其他调用!$T$185:$T$223,1))*求节点($G$34:$G$42,$J$34:$J$42,求节点($R$62:$R$70,$O$62:$O$70,$W74)),0)+IFERROR(INDEX(其他调用!$Y$185:$Y$223,MATCH($W74,其他调用!$T$185:$T$223,1))*求节点($G$34:$G$42,$K$34:$K$42,求节点($S$62:$S$70,$O$62:$O$70,$W74)),0))/6,1)</f>
        <v>0.52129746974338964</v>
      </c>
      <c r="AD74" s="8">
        <v>69</v>
      </c>
      <c r="AE74" s="8">
        <f>X74/士兵加成武将!W74</f>
        <v>0.6730725878495164</v>
      </c>
      <c r="AF74" s="8">
        <f>Y74/士兵加成武将!X74</f>
        <v>0.74943116167027224</v>
      </c>
      <c r="AG74" s="8">
        <f>Z74/士兵加成武将!Y74</f>
        <v>0.75696465513074651</v>
      </c>
      <c r="AH74" s="8">
        <f>AA74/士兵加成武将!Z74</f>
        <v>0.92010319911722849</v>
      </c>
      <c r="AI74" s="8">
        <f>AB74/士兵加成武将!AA74</f>
        <v>0.91046576361714049</v>
      </c>
    </row>
    <row r="75" spans="15:35" x14ac:dyDescent="0.15">
      <c r="W75" s="8">
        <v>70</v>
      </c>
      <c r="X75" s="8">
        <f>MIN((IFERROR(INDEX(其他调用!$W$5:$W$43,MATCH($W75,其他调用!$T$5:$T$43,1))*求节点($G$34:$G$42,$I$34:$I$42,求节点($Q$6:$Q$14,$O$6:$O$14,$W75)),0)+IFERROR(INDEX(其他调用!$X$5:$X$43,MATCH($W75,其他调用!$T$5:$T$43,1))*求节点($G$34:$G$42,$J$34:$J$42,求节点($R$6:$R$14,$O$6:$O$14,$W75)),0)+IFERROR(INDEX(其他调用!$Y$5:$Y$43,MATCH($W75,其他调用!$T$5:$T$43,1))*求节点($G$34:$G$42,$K$34:$K$42,求节点($S$6:$S$14,$O$6:$O$14,$W75)),0))/6,1)</f>
        <v>0.36920042023094979</v>
      </c>
      <c r="Y75" s="8">
        <f>MIN((IFERROR(INDEX(其他调用!$W$50:$W$88,MATCH($W75,其他调用!$T$50:$T$88,1))*求节点($G$34:$G$42,$I$34:$I$42,求节点($Q$20:$Q$28,$O$20:$O$28,$W75)),0)+IFERROR(INDEX(其他调用!$X$50:$X$88,MATCH($W75,其他调用!$T$50:$T$88,1))*求节点($G$34:$G$42,$J$34:$J$42,求节点($R$20:$R$28,$O$20:$O$28,$W75)),0)+IFERROR(INDEX(其他调用!$Y$50:$Y$88,MATCH($W75,其他调用!$T$50:$T$88,1))*求节点($G$34:$G$42,$K$34:$K$42,求节点($S$20:$S$28,$O$20:$O$28,$W75)),0))/6,1)</f>
        <v>0.40540764142523827</v>
      </c>
      <c r="Z75" s="8">
        <f>MIN((IFERROR(INDEX(其他调用!$W$95:$W$133,MATCH($W75,其他调用!$T$95:$T$133,1))*求节点($G$34:$G$42,$I$34:$I$42,求节点($Q$34:$Q$42,$O$34:$O$42,$W75)),0)+IFERROR(INDEX(其他调用!$X$95:$X$133,MATCH($W75,其他调用!$T$95:$T$133,1))*求节点($G$34:$G$42,$J$34:$J$42,求节点($R$34:$R$42,$O$34:$O$42,$W75)),0)+IFERROR(INDEX(其他调用!$Y$95:$Y$133,MATCH($W75,其他调用!$T$95:$T$133,1))*求节点($G$34:$G$42,$K$34:$K$42,求节点($S$34:$S$42,$O$34:$O$42,$W75)),0))/6,1)</f>
        <v>0.43196147054802675</v>
      </c>
      <c r="AA75" s="8">
        <f>MIN((IFERROR(INDEX(其他调用!$W$140:$W$178,MATCH($W75,其他调用!$T$140:$T$178,1))*求节点($G$34:$G$42,$I$34:$I$42,求节点($Q$48:$Q$56,$O$48:$O$56,$W75)),0)+IFERROR(INDEX(其他调用!$X$140:$X$178,MATCH($W75,其他调用!$T$140:$T$178,1))*求节点($G$34:$G$42,$J$34:$J$42,求节点($R$48:$R$56,$O$48:$O$56,$W75)),0)+IFERROR(INDEX(其他调用!$Y$140:$Y$178,MATCH($W75,其他调用!$T$140:$T$178,1))*求节点($G$34:$G$42,$K$34:$K$42,求节点($S$48:$S$56,$O$48:$O$56,$W75)),0))/6,1)</f>
        <v>0.52090341160098008</v>
      </c>
      <c r="AB75" s="8">
        <f>MIN((IFERROR(INDEX(其他调用!$W$185:$W$223,MATCH($W75,其他调用!$T$185:$T$223,1))*求节点($G$34:$G$42,$I$34:$I$42,求节点($Q$62:$Q$70,$O$62:$O$70,$W75)),0)+IFERROR(INDEX(其他调用!$X$185:$X$223,MATCH($W75,其他调用!$T$185:$T$223,1))*求节点($G$34:$G$42,$J$34:$J$42,求节点($R$62:$R$70,$O$62:$O$70,$W75)),0)+IFERROR(INDEX(其他调用!$Y$185:$Y$223,MATCH($W75,其他调用!$T$185:$T$223,1))*求节点($G$34:$G$42,$K$34:$K$42,求节点($S$62:$S$70,$O$62:$O$70,$W75)),0))/6,1)</f>
        <v>0.52843180121003885</v>
      </c>
      <c r="AD75" s="8">
        <v>70</v>
      </c>
      <c r="AE75" s="8">
        <f>X75/士兵加成武将!W75</f>
        <v>0.69267734081091747</v>
      </c>
      <c r="AF75" s="8">
        <f>Y75/士兵加成武将!X75</f>
        <v>0.74554018389511656</v>
      </c>
      <c r="AG75" s="8">
        <f>Z75/士兵加成武将!Y75</f>
        <v>0.77768705602920063</v>
      </c>
      <c r="AH75" s="8">
        <f>AA75/士兵加成武将!Z75</f>
        <v>0.91685873630550452</v>
      </c>
      <c r="AI75" s="8">
        <f>AB75/士兵加成武将!AA75</f>
        <v>0.90820268138980409</v>
      </c>
    </row>
    <row r="76" spans="15:35" x14ac:dyDescent="0.15">
      <c r="W76" s="8">
        <v>71</v>
      </c>
      <c r="X76" s="8">
        <f>MIN((IFERROR(INDEX(其他调用!$W$5:$W$43,MATCH($W76,其他调用!$T$5:$T$43,1))*求节点($G$34:$G$42,$I$34:$I$42,求节点($Q$6:$Q$14,$O$6:$O$14,$W76)),0)+IFERROR(INDEX(其他调用!$X$5:$X$43,MATCH($W76,其他调用!$T$5:$T$43,1))*求节点($G$34:$G$42,$J$34:$J$42,求节点($R$6:$R$14,$O$6:$O$14,$W76)),0)+IFERROR(INDEX(其他调用!$Y$5:$Y$43,MATCH($W76,其他调用!$T$5:$T$43,1))*求节点($G$34:$G$42,$K$34:$K$42,求节点($S$6:$S$14,$O$6:$O$14,$W76)),0))/6,1)</f>
        <v>0.37524471604872794</v>
      </c>
      <c r="Y76" s="8">
        <f>MIN((IFERROR(INDEX(其他调用!$W$50:$W$88,MATCH($W76,其他调用!$T$50:$T$88,1))*求节点($G$34:$G$42,$I$34:$I$42,求节点($Q$20:$Q$28,$O$20:$O$28,$W76)),0)+IFERROR(INDEX(其他调用!$X$50:$X$88,MATCH($W76,其他调用!$T$50:$T$88,1))*求节点($G$34:$G$42,$J$34:$J$42,求节点($R$20:$R$28,$O$20:$O$28,$W76)),0)+IFERROR(INDEX(其他调用!$Y$50:$Y$88,MATCH($W76,其他调用!$T$50:$T$88,1))*求节点($G$34:$G$42,$K$34:$K$42,求节点($S$20:$S$28,$O$20:$O$28,$W76)),0))/6,1)</f>
        <v>0.41031424307312331</v>
      </c>
      <c r="Z76" s="8">
        <f>MIN((IFERROR(INDEX(其他调用!$W$95:$W$133,MATCH($W76,其他调用!$T$95:$T$133,1))*求节点($G$34:$G$42,$I$34:$I$42,求节点($Q$34:$Q$42,$O$34:$O$42,$W76)),0)+IFERROR(INDEX(其他调用!$X$95:$X$133,MATCH($W76,其他调用!$T$95:$T$133,1))*求节点($G$34:$G$42,$J$34:$J$42,求节点($R$34:$R$42,$O$34:$O$42,$W76)),0)+IFERROR(INDEX(其他调用!$Y$95:$Y$133,MATCH($W76,其他调用!$T$95:$T$133,1))*求节点($G$34:$G$42,$K$34:$K$42,求节点($S$34:$S$42,$O$34:$O$42,$W76)),0))/6,1)</f>
        <v>0.43784051989459732</v>
      </c>
      <c r="AA76" s="8">
        <f>MIN((IFERROR(INDEX(其他调用!$W$140:$W$178,MATCH($W76,其他调用!$T$140:$T$178,1))*求节点($G$34:$G$42,$I$34:$I$42,求节点($Q$48:$Q$56,$O$48:$O$56,$W76)),0)+IFERROR(INDEX(其他调用!$X$140:$X$178,MATCH($W76,其他调用!$T$140:$T$178,1))*求节点($G$34:$G$42,$J$34:$J$42,求节点($R$48:$R$56,$O$48:$O$56,$W76)),0)+IFERROR(INDEX(其他调用!$Y$140:$Y$178,MATCH($W76,其他调用!$T$140:$T$178,1))*求节点($G$34:$G$42,$K$34:$K$42,求节点($S$48:$S$56,$O$48:$O$56,$W76)),0))/6,1)</f>
        <v>0.52762024091097159</v>
      </c>
      <c r="AB76" s="8">
        <f>MIN((IFERROR(INDEX(其他调用!$W$185:$W$223,MATCH($W76,其他调用!$T$185:$T$223,1))*求节点($G$34:$G$42,$I$34:$I$42,求节点($Q$62:$Q$70,$O$62:$O$70,$W76)),0)+IFERROR(INDEX(其他调用!$X$185:$X$223,MATCH($W76,其他调用!$T$185:$T$223,1))*求节点($G$34:$G$42,$J$34:$J$42,求节点($R$62:$R$70,$O$62:$O$70,$W76)),0)+IFERROR(INDEX(其他调用!$Y$185:$Y$223,MATCH($W76,其他调用!$T$185:$T$223,1))*求节点($G$34:$G$42,$K$34:$K$42,求节点($S$62:$S$70,$O$62:$O$70,$W76)),0))/6,1)</f>
        <v>0.53556613267668796</v>
      </c>
      <c r="AD76" s="8">
        <v>71</v>
      </c>
      <c r="AE76" s="8">
        <f>X76/士兵加成武将!W76</f>
        <v>0.69182068959074339</v>
      </c>
      <c r="AF76" s="8">
        <f>Y76/士兵加成武将!X76</f>
        <v>0.74178103279714236</v>
      </c>
      <c r="AG76" s="8">
        <f>Z76/士兵加成武将!Y76</f>
        <v>0.77523942364184939</v>
      </c>
      <c r="AH76" s="8">
        <f>AA76/士兵加成武将!Z76</f>
        <v>0.91371881964207802</v>
      </c>
      <c r="AI76" s="8">
        <f>AB76/士兵加成武将!AA76</f>
        <v>0.90601067135276636</v>
      </c>
    </row>
    <row r="77" spans="15:35" x14ac:dyDescent="0.15">
      <c r="W77" s="8">
        <v>72</v>
      </c>
      <c r="X77" s="8">
        <f>MIN((IFERROR(INDEX(其他调用!$W$5:$W$43,MATCH($W77,其他调用!$T$5:$T$43,1))*求节点($G$34:$G$42,$I$34:$I$42,求节点($Q$6:$Q$14,$O$6:$O$14,$W77)),0)+IFERROR(INDEX(其他调用!$X$5:$X$43,MATCH($W77,其他调用!$T$5:$T$43,1))*求节点($G$34:$G$42,$J$34:$J$42,求节点($R$6:$R$14,$O$6:$O$14,$W77)),0)+IFERROR(INDEX(其他调用!$Y$5:$Y$43,MATCH($W77,其他调用!$T$5:$T$43,1))*求节点($G$34:$G$42,$K$34:$K$42,求节点($S$6:$S$14,$O$6:$O$14,$W77)),0))/6,1)</f>
        <v>0.38128901186650621</v>
      </c>
      <c r="Y77" s="8">
        <f>MIN((IFERROR(INDEX(其他调用!$W$50:$W$88,MATCH($W77,其他调用!$T$50:$T$88,1))*求节点($G$34:$G$42,$I$34:$I$42,求节点($Q$20:$Q$28,$O$20:$O$28,$W77)),0)+IFERROR(INDEX(其他调用!$X$50:$X$88,MATCH($W77,其他调用!$T$50:$T$88,1))*求节点($G$34:$G$42,$J$34:$J$42,求节点($R$20:$R$28,$O$20:$O$28,$W77)),0)+IFERROR(INDEX(其他调用!$Y$50:$Y$88,MATCH($W77,其他调用!$T$50:$T$88,1))*求节点($G$34:$G$42,$K$34:$K$42,求节点($S$20:$S$28,$O$20:$O$28,$W77)),0))/6,1)</f>
        <v>0.41522084472100834</v>
      </c>
      <c r="Z77" s="8">
        <f>MIN((IFERROR(INDEX(其他调用!$W$95:$W$133,MATCH($W77,其他调用!$T$95:$T$133,1))*求节点($G$34:$G$42,$I$34:$I$42,求节点($Q$34:$Q$42,$O$34:$O$42,$W77)),0)+IFERROR(INDEX(其他调用!$X$95:$X$133,MATCH($W77,其他调用!$T$95:$T$133,1))*求节点($G$34:$G$42,$J$34:$J$42,求节点($R$34:$R$42,$O$34:$O$42,$W77)),0)+IFERROR(INDEX(其他调用!$Y$95:$Y$133,MATCH($W77,其他调用!$T$95:$T$133,1))*求节点($G$34:$G$42,$K$34:$K$42,求节点($S$34:$S$42,$O$34:$O$42,$W77)),0))/6,1)</f>
        <v>0.44371956924116779</v>
      </c>
      <c r="AA77" s="8">
        <f>MIN((IFERROR(INDEX(其他调用!$W$140:$W$178,MATCH($W77,其他调用!$T$140:$T$178,1))*求节点($G$34:$G$42,$I$34:$I$42,求节点($Q$48:$Q$56,$O$48:$O$56,$W77)),0)+IFERROR(INDEX(其他调用!$X$140:$X$178,MATCH($W77,其他调用!$T$140:$T$178,1))*求节点($G$34:$G$42,$J$34:$J$42,求节点($R$48:$R$56,$O$48:$O$56,$W77)),0)+IFERROR(INDEX(其他调用!$Y$140:$Y$178,MATCH($W77,其他调用!$T$140:$T$178,1))*求节点($G$34:$G$42,$K$34:$K$42,求节点($S$48:$S$56,$O$48:$O$56,$W77)),0))/6,1)</f>
        <v>0.55271592818898985</v>
      </c>
      <c r="AB77" s="8">
        <f>MIN((IFERROR(INDEX(其他调用!$W$185:$W$223,MATCH($W77,其他调用!$T$185:$T$223,1))*求节点($G$34:$G$42,$I$34:$I$42,求节点($Q$62:$Q$70,$O$62:$O$70,$W77)),0)+IFERROR(INDEX(其他调用!$X$185:$X$223,MATCH($W77,其他调用!$T$185:$T$223,1))*求节点($G$34:$G$42,$J$34:$J$42,求节点($R$62:$R$70,$O$62:$O$70,$W77)),0)+IFERROR(INDEX(其他调用!$Y$185:$Y$223,MATCH($W77,其他调用!$T$185:$T$223,1))*求节点($G$34:$G$42,$K$34:$K$42,求节点($S$62:$S$70,$O$62:$O$70,$W77)),0))/6,1)</f>
        <v>0.55826095112865137</v>
      </c>
      <c r="AD77" s="8">
        <v>72</v>
      </c>
      <c r="AE77" s="8">
        <f>X77/士兵加成武将!W77</f>
        <v>0.69099321486703136</v>
      </c>
      <c r="AF77" s="8">
        <f>Y77/士兵加成武将!X77</f>
        <v>0.73814712052531295</v>
      </c>
      <c r="AG77" s="8">
        <f>Z77/士兵加成武将!Y77</f>
        <v>0.77287140569924295</v>
      </c>
      <c r="AH77" s="8">
        <f>AA77/士兵加成武将!Z77</f>
        <v>0.94200183224463507</v>
      </c>
      <c r="AI77" s="8">
        <f>AB77/士兵加成武将!AA77</f>
        <v>0.9298029677492422</v>
      </c>
    </row>
    <row r="78" spans="15:35" x14ac:dyDescent="0.15">
      <c r="W78" s="8">
        <v>73</v>
      </c>
      <c r="X78" s="8">
        <f>MIN((IFERROR(INDEX(其他调用!$W$5:$W$43,MATCH($W78,其他调用!$T$5:$T$43,1))*求节点($G$34:$G$42,$I$34:$I$42,求节点($Q$6:$Q$14,$O$6:$O$14,$W78)),0)+IFERROR(INDEX(其他调用!$X$5:$X$43,MATCH($W78,其他调用!$T$5:$T$43,1))*求节点($G$34:$G$42,$J$34:$J$42,求节点($R$6:$R$14,$O$6:$O$14,$W78)),0)+IFERROR(INDEX(其他调用!$Y$5:$Y$43,MATCH($W78,其他调用!$T$5:$T$43,1))*求节点($G$34:$G$42,$K$34:$K$42,求节点($S$6:$S$14,$O$6:$O$14,$W78)),0))/6,1)</f>
        <v>0.39817675543898895</v>
      </c>
      <c r="Y78" s="8">
        <f>MIN((IFERROR(INDEX(其他调用!$W$50:$W$88,MATCH($W78,其他调用!$T$50:$T$88,1))*求节点($G$34:$G$42,$I$34:$I$42,求节点($Q$20:$Q$28,$O$20:$O$28,$W78)),0)+IFERROR(INDEX(其他调用!$X$50:$X$88,MATCH($W78,其他调用!$T$50:$T$88,1))*求节点($G$34:$G$42,$J$34:$J$42,求节点($R$20:$R$28,$O$20:$O$28,$W78)),0)+IFERROR(INDEX(其他调用!$Y$50:$Y$88,MATCH($W78,其他调用!$T$50:$T$88,1))*求节点($G$34:$G$42,$K$34:$K$42,求节点($S$20:$S$28,$O$20:$O$28,$W78)),0))/6,1)</f>
        <v>0.43674656844671739</v>
      </c>
      <c r="Z78" s="8">
        <f>MIN((IFERROR(INDEX(其他调用!$W$95:$W$133,MATCH($W78,其他调用!$T$95:$T$133,1))*求节点($G$34:$G$42,$I$34:$I$42,求节点($Q$34:$Q$42,$O$34:$O$42,$W78)),0)+IFERROR(INDEX(其他调用!$X$95:$X$133,MATCH($W78,其他调用!$T$95:$T$133,1))*求节点($G$34:$G$42,$J$34:$J$42,求节点($R$34:$R$42,$O$34:$O$42,$W78)),0)+IFERROR(INDEX(其他调用!$Y$95:$Y$133,MATCH($W78,其他调用!$T$95:$T$133,1))*求节点($G$34:$G$42,$K$34:$K$42,求节点($S$34:$S$42,$O$34:$O$42,$W78)),0))/6,1)</f>
        <v>0.46413088194090441</v>
      </c>
      <c r="AA78" s="8">
        <f>MIN((IFERROR(INDEX(其他调用!$W$140:$W$178,MATCH($W78,其他调用!$T$140:$T$178,1))*求节点($G$34:$G$42,$I$34:$I$42,求节点($Q$48:$Q$56,$O$48:$O$56,$W78)),0)+IFERROR(INDEX(其他调用!$X$140:$X$178,MATCH($W78,其他调用!$T$140:$T$178,1))*求节点($G$34:$G$42,$J$34:$J$42,求节点($R$48:$R$56,$O$48:$O$56,$W78)),0)+IFERROR(INDEX(其他调用!$Y$140:$Y$178,MATCH($W78,其他调用!$T$140:$T$178,1))*求节点($G$34:$G$42,$K$34:$K$42,求节点($S$48:$S$56,$O$48:$O$56,$W78)),0))/6,1)</f>
        <v>0.56021290943506818</v>
      </c>
      <c r="AB78" s="8">
        <f>MIN((IFERROR(INDEX(其他调用!$W$185:$W$223,MATCH($W78,其他调用!$T$185:$T$223,1))*求节点($G$34:$G$42,$I$34:$I$42,求节点($Q$62:$Q$70,$O$62:$O$70,$W78)),0)+IFERROR(INDEX(其他调用!$X$185:$X$223,MATCH($W78,其他调用!$T$185:$T$223,1))*求节点($G$34:$G$42,$J$34:$J$42,求节点($R$62:$R$70,$O$62:$O$70,$W78)),0)+IFERROR(INDEX(其他调用!$Y$185:$Y$223,MATCH($W78,其他调用!$T$185:$T$223,1))*求节点($G$34:$G$42,$K$34:$K$42,求节点($S$62:$S$70,$O$62:$O$70,$W78)),0))/6,1)</f>
        <v>0.56668800836665556</v>
      </c>
      <c r="AD78" s="8">
        <v>73</v>
      </c>
      <c r="AE78" s="8">
        <f>X78/士兵加成武将!W78</f>
        <v>0.70951550899970828</v>
      </c>
      <c r="AF78" s="8">
        <f>Y78/士兵加成武将!X78</f>
        <v>0.7636923865245191</v>
      </c>
      <c r="AG78" s="8">
        <f>Z78/士兵加成武将!Y78</f>
        <v>0.79548641743122439</v>
      </c>
      <c r="AH78" s="8">
        <f>AA78/士兵加成武将!Z78</f>
        <v>0.93987635883999343</v>
      </c>
      <c r="AI78" s="8">
        <f>AB78/士兵加成武将!AA78</f>
        <v>0.92946915067549107</v>
      </c>
    </row>
    <row r="79" spans="15:35" x14ac:dyDescent="0.15">
      <c r="W79" s="8">
        <v>74</v>
      </c>
      <c r="X79" s="8">
        <f>MIN((IFERROR(INDEX(其他调用!$W$5:$W$43,MATCH($W79,其他调用!$T$5:$T$43,1))*求节点($G$34:$G$42,$I$34:$I$42,求节点($Q$6:$Q$14,$O$6:$O$14,$W79)),0)+IFERROR(INDEX(其他调用!$X$5:$X$43,MATCH($W79,其他调用!$T$5:$T$43,1))*求节点($G$34:$G$42,$J$34:$J$42,求节点($R$6:$R$14,$O$6:$O$14,$W79)),0)+IFERROR(INDEX(其他调用!$Y$5:$Y$43,MATCH($W79,其他调用!$T$5:$T$43,1))*求节点($G$34:$G$42,$K$34:$K$42,求节点($S$6:$S$14,$O$6:$O$14,$W79)),0))/6,1)</f>
        <v>0.40405560385708572</v>
      </c>
      <c r="Y79" s="8">
        <f>MIN((IFERROR(INDEX(其他调用!$W$50:$W$88,MATCH($W79,其他调用!$T$50:$T$88,1))*求节点($G$34:$G$42,$I$34:$I$42,求节点($Q$20:$Q$28,$O$20:$O$28,$W79)),0)+IFERROR(INDEX(其他调用!$X$50:$X$88,MATCH($W79,其他调用!$T$50:$T$88,1))*求节点($G$34:$G$42,$J$34:$J$42,求节点($R$20:$R$28,$O$20:$O$28,$W79)),0)+IFERROR(INDEX(其他调用!$Y$50:$Y$88,MATCH($W79,其他调用!$T$50:$T$88,1))*求节点($G$34:$G$42,$K$34:$K$42,求节点($S$20:$S$28,$O$20:$O$28,$W79)),0))/6,1)</f>
        <v>0.44196242397823166</v>
      </c>
      <c r="Z79" s="8">
        <f>MIN((IFERROR(INDEX(其他调用!$W$95:$W$133,MATCH($W79,其他调用!$T$95:$T$133,1))*求节点($G$34:$G$42,$I$34:$I$42,求节点($Q$34:$Q$42,$O$34:$O$42,$W79)),0)+IFERROR(INDEX(其他调用!$X$95:$X$133,MATCH($W79,其他调用!$T$95:$T$133,1))*求节点($G$34:$G$42,$J$34:$J$42,求节点($R$34:$R$42,$O$34:$O$42,$W79)),0)+IFERROR(INDEX(其他调用!$Y$95:$Y$133,MATCH($W79,其他调用!$T$95:$T$133,1))*求节点($G$34:$G$42,$K$34:$K$42,求节点($S$34:$S$42,$O$34:$O$42,$W79)),0))/6,1)</f>
        <v>0.4726937019336892</v>
      </c>
      <c r="AA79" s="8">
        <f>MIN((IFERROR(INDEX(其他调用!$W$140:$W$178,MATCH($W79,其他调用!$T$140:$T$178,1))*求节点($G$34:$G$42,$I$34:$I$42,求节点($Q$48:$Q$56,$O$48:$O$56,$W79)),0)+IFERROR(INDEX(其他调用!$X$140:$X$178,MATCH($W79,其他调用!$T$140:$T$178,1))*求节点($G$34:$G$42,$J$34:$J$42,求节点($R$48:$R$56,$O$48:$O$56,$W79)),0)+IFERROR(INDEX(其他调用!$Y$140:$Y$178,MATCH($W79,其他调用!$T$140:$T$178,1))*求节点($G$34:$G$42,$K$34:$K$42,求节点($S$48:$S$56,$O$48:$O$56,$W79)),0))/6,1)</f>
        <v>0.5677098906811463</v>
      </c>
      <c r="AB79" s="8">
        <f>MIN((IFERROR(INDEX(其他调用!$W$185:$W$223,MATCH($W79,其他调用!$T$185:$T$223,1))*求节点($G$34:$G$42,$I$34:$I$42,求节点($Q$62:$Q$70,$O$62:$O$70,$W79)),0)+IFERROR(INDEX(其他调用!$X$185:$X$223,MATCH($W79,其他调用!$T$185:$T$223,1))*求节点($G$34:$G$42,$J$34:$J$42,求节点($R$62:$R$70,$O$62:$O$70,$W79)),0)+IFERROR(INDEX(其他调用!$Y$185:$Y$223,MATCH($W79,其他调用!$T$185:$T$223,1))*求节点($G$34:$G$42,$K$34:$K$42,求节点($S$62:$S$70,$O$62:$O$70,$W79)),0))/6,1)</f>
        <v>0.57511506560465964</v>
      </c>
      <c r="AD79" s="8">
        <v>74</v>
      </c>
      <c r="AE79" s="8">
        <f>X79/士兵加成武将!W79</f>
        <v>0.70813392436744083</v>
      </c>
      <c r="AF79" s="8">
        <f>Y79/士兵加成武将!X79</f>
        <v>0.76035445106224486</v>
      </c>
      <c r="AG79" s="8">
        <f>Z79/士兵加成武将!Y79</f>
        <v>0.79740141749603322</v>
      </c>
      <c r="AH79" s="8">
        <f>AA79/士兵加成武将!Z79</f>
        <v>0.93781621670030713</v>
      </c>
      <c r="AI79" s="8">
        <f>AB79/士兵加成武将!AA79</f>
        <v>0.92914534550433314</v>
      </c>
    </row>
    <row r="80" spans="15:35" x14ac:dyDescent="0.15">
      <c r="W80" s="8">
        <v>75</v>
      </c>
      <c r="X80" s="8">
        <f>MIN((IFERROR(INDEX(其他调用!$W$5:$W$43,MATCH($W80,其他调用!$T$5:$T$43,1))*求节点($G$34:$G$42,$I$34:$I$42,求节点($Q$6:$Q$14,$O$6:$O$14,$W80)),0)+IFERROR(INDEX(其他调用!$X$5:$X$43,MATCH($W80,其他调用!$T$5:$T$43,1))*求节点($G$34:$G$42,$J$34:$J$42,求节点($R$6:$R$14,$O$6:$O$14,$W80)),0)+IFERROR(INDEX(其他调用!$Y$5:$Y$43,MATCH($W80,其他调用!$T$5:$T$43,1))*求节点($G$34:$G$42,$K$34:$K$42,求节点($S$6:$S$14,$O$6:$O$14,$W80)),0))/6,1)</f>
        <v>0.41554619056892111</v>
      </c>
      <c r="Y80" s="8">
        <f>MIN((IFERROR(INDEX(其他调用!$W$50:$W$88,MATCH($W80,其他调用!$T$50:$T$88,1))*求节点($G$34:$G$42,$I$34:$I$42,求节点($Q$20:$Q$28,$O$20:$O$28,$W80)),0)+IFERROR(INDEX(其他调用!$X$50:$X$88,MATCH($W80,其他调用!$T$50:$T$88,1))*求节点($G$34:$G$42,$J$34:$J$42,求节点($R$20:$R$28,$O$20:$O$28,$W80)),0)+IFERROR(INDEX(其他调用!$Y$50:$Y$88,MATCH($W80,其他调用!$T$50:$T$88,1))*求节点($G$34:$G$42,$K$34:$K$42,求节点($S$20:$S$28,$O$20:$O$28,$W80)),0))/6,1)</f>
        <v>0.45664593088887145</v>
      </c>
      <c r="Z80" s="8">
        <f>MIN((IFERROR(INDEX(其他调用!$W$95:$W$133,MATCH($W80,其他调用!$T$95:$T$133,1))*求节点($G$34:$G$42,$I$34:$I$42,求节点($Q$34:$Q$42,$O$34:$O$42,$W80)),0)+IFERROR(INDEX(其他调用!$X$95:$X$133,MATCH($W80,其他调用!$T$95:$T$133,1))*求节点($G$34:$G$42,$J$34:$J$42,求节点($R$34:$R$42,$O$34:$O$42,$W80)),0)+IFERROR(INDEX(其他调用!$Y$95:$Y$133,MATCH($W80,其他调用!$T$95:$T$133,1))*求节点($G$34:$G$42,$K$34:$K$42,求节点($S$34:$S$42,$O$34:$O$42,$W80)),0))/6,1)</f>
        <v>0.49002556907060241</v>
      </c>
      <c r="AA80" s="8">
        <f>MIN((IFERROR(INDEX(其他调用!$W$140:$W$178,MATCH($W80,其他调用!$T$140:$T$178,1))*求节点($G$34:$G$42,$I$34:$I$42,求节点($Q$48:$Q$56,$O$48:$O$56,$W80)),0)+IFERROR(INDEX(其他调用!$X$140:$X$178,MATCH($W80,其他调用!$T$140:$T$178,1))*求节点($G$34:$G$42,$J$34:$J$42,求节点($R$48:$R$56,$O$48:$O$56,$W80)),0)+IFERROR(INDEX(其他调用!$Y$140:$Y$178,MATCH($W80,其他调用!$T$140:$T$178,1))*求节点($G$34:$G$42,$K$34:$K$42,求节点($S$48:$S$56,$O$48:$O$56,$W80)),0))/6,1)</f>
        <v>0.58556652881536808</v>
      </c>
      <c r="AB80" s="8">
        <f>MIN((IFERROR(INDEX(其他调用!$W$185:$W$223,MATCH($W80,其他调用!$T$185:$T$223,1))*求节点($G$34:$G$42,$I$34:$I$42,求节点($Q$62:$Q$70,$O$62:$O$70,$W80)),0)+IFERROR(INDEX(其他调用!$X$185:$X$223,MATCH($W80,其他调用!$T$185:$T$223,1))*求节点($G$34:$G$42,$J$34:$J$42,求节点($R$62:$R$70,$O$62:$O$70,$W80)),0)+IFERROR(INDEX(其他调用!$Y$185:$Y$223,MATCH($W80,其他调用!$T$185:$T$223,1))*求节点($G$34:$G$42,$K$34:$K$42,求节点($S$62:$S$70,$O$62:$O$70,$W80)),0))/6,1)</f>
        <v>0.59173363494765741</v>
      </c>
      <c r="AD80" s="8">
        <v>75</v>
      </c>
      <c r="AE80" s="8">
        <f>X80/士兵加成武将!W80</f>
        <v>0.71647270431617371</v>
      </c>
      <c r="AF80" s="8">
        <f>Y80/士兵加成武将!X80</f>
        <v>0.77315221242024956</v>
      </c>
      <c r="AG80" s="8">
        <f>Z80/士兵加成武将!Y80</f>
        <v>0.81382040781593867</v>
      </c>
      <c r="AH80" s="8">
        <f>AA80/士兵加成武将!Z80</f>
        <v>0.95267282402729192</v>
      </c>
      <c r="AI80" s="8">
        <f>AB80/士兵加成武将!AA80</f>
        <v>0.94186963811856605</v>
      </c>
    </row>
    <row r="81" spans="23:35" x14ac:dyDescent="0.15">
      <c r="W81" s="8">
        <v>76</v>
      </c>
      <c r="X81" s="8">
        <f>MIN((IFERROR(INDEX(其他调用!$W$5:$W$43,MATCH($W81,其他调用!$T$5:$T$43,1))*求节点($G$34:$G$42,$I$34:$I$42,求节点($Q$6:$Q$14,$O$6:$O$14,$W81)),0)+IFERROR(INDEX(其他调用!$X$5:$X$43,MATCH($W81,其他调用!$T$5:$T$43,1))*求节点($G$34:$G$42,$J$34:$J$42,求节点($R$6:$R$14,$O$6:$O$14,$W81)),0)+IFERROR(INDEX(其他调用!$Y$5:$Y$43,MATCH($W81,其他调用!$T$5:$T$43,1))*求节点($G$34:$G$42,$K$34:$K$42,求节点($S$6:$S$14,$O$6:$O$14,$W81)),0))/6,1)</f>
        <v>0.42799440056227045</v>
      </c>
      <c r="Y81" s="8">
        <f>MIN((IFERROR(INDEX(其他调用!$W$50:$W$88,MATCH($W81,其他调用!$T$50:$T$88,1))*求节点($G$34:$G$42,$I$34:$I$42,求节点($Q$20:$Q$28,$O$20:$O$28,$W81)),0)+IFERROR(INDEX(其他调用!$X$50:$X$88,MATCH($W81,其他调用!$T$50:$T$88,1))*求节点($G$34:$G$42,$J$34:$J$42,求节点($R$20:$R$28,$O$20:$O$28,$W81)),0)+IFERROR(INDEX(其他调用!$Y$50:$Y$88,MATCH($W81,其他调用!$T$50:$T$88,1))*求节点($G$34:$G$42,$K$34:$K$42,求节点($S$20:$S$28,$O$20:$O$28,$W81)),0))/6,1)</f>
        <v>0.46517201580196704</v>
      </c>
      <c r="Z81" s="8">
        <f>MIN((IFERROR(INDEX(其他调用!$W$95:$W$133,MATCH($W81,其他调用!$T$95:$T$133,1))*求节点($G$34:$G$42,$I$34:$I$42,求节点($Q$34:$Q$42,$O$34:$O$42,$W81)),0)+IFERROR(INDEX(其他调用!$X$95:$X$133,MATCH($W81,其他调用!$T$95:$T$133,1))*求节点($G$34:$G$42,$J$34:$J$42,求节点($R$34:$R$42,$O$34:$O$42,$W81)),0)+IFERROR(INDEX(其他调用!$Y$95:$Y$133,MATCH($W81,其他调用!$T$95:$T$133,1))*求节点($G$34:$G$42,$K$34:$K$42,求节点($S$34:$S$42,$O$34:$O$42,$W81)),0))/6,1)</f>
        <v>0.50163434073434299</v>
      </c>
      <c r="AA81" s="8">
        <f>MIN((IFERROR(INDEX(其他调用!$W$140:$W$178,MATCH($W81,其他调用!$T$140:$T$178,1))*求节点($G$34:$G$42,$I$34:$I$42,求节点($Q$48:$Q$56,$O$48:$O$56,$W81)),0)+IFERROR(INDEX(其他调用!$X$140:$X$178,MATCH($W81,其他调用!$T$140:$T$178,1))*求节点($G$34:$G$42,$J$34:$J$42,求节点($R$48:$R$56,$O$48:$O$56,$W81)),0)+IFERROR(INDEX(其他调用!$Y$140:$Y$178,MATCH($W81,其他调用!$T$140:$T$178,1))*求节点($G$34:$G$42,$K$34:$K$42,求节点($S$48:$S$56,$O$48:$O$56,$W81)),0))/6,1)</f>
        <v>0.596569028556586</v>
      </c>
      <c r="AB81" s="8">
        <f>MIN((IFERROR(INDEX(其他调用!$W$185:$W$223,MATCH($W81,其他调用!$T$185:$T$223,1))*求节点($G$34:$G$42,$I$34:$I$42,求节点($Q$62:$Q$70,$O$62:$O$70,$W81)),0)+IFERROR(INDEX(其他调用!$X$185:$X$223,MATCH($W81,其他调用!$T$185:$T$223,1))*求节点($G$34:$G$42,$J$34:$J$42,求节点($R$62:$R$70,$O$62:$O$70,$W81)),0)+IFERROR(INDEX(其他调用!$Y$185:$Y$223,MATCH($W81,其他调用!$T$185:$T$223,1))*求节点($G$34:$G$42,$K$34:$K$42,求节点($S$62:$S$70,$O$62:$O$70,$W81)),0))/6,1)</f>
        <v>0.60642651967196493</v>
      </c>
      <c r="AD81" s="8">
        <v>76</v>
      </c>
      <c r="AE81" s="8">
        <f>X81/士兵加成武将!W81</f>
        <v>0.72617036992938511</v>
      </c>
      <c r="AF81" s="8">
        <f>Y81/士兵加成武将!X81</f>
        <v>0.77528785645910669</v>
      </c>
      <c r="AG81" s="8">
        <f>Z81/士兵加成武将!Y81</f>
        <v>0.8203783429284448</v>
      </c>
      <c r="AH81" s="8">
        <f>AA81/士兵加成武将!Z81</f>
        <v>0.95610149593388216</v>
      </c>
      <c r="AI81" s="8">
        <f>AB81/士兵加成武将!AA81</f>
        <v>0.95120290496059012</v>
      </c>
    </row>
    <row r="82" spans="23:35" x14ac:dyDescent="0.15">
      <c r="W82" s="8">
        <v>77</v>
      </c>
      <c r="X82" s="8">
        <f>MIN((IFERROR(INDEX(其他调用!$W$5:$W$43,MATCH($W82,其他调用!$T$5:$T$43,1))*求节点($G$34:$G$42,$I$34:$I$42,求节点($Q$6:$Q$14,$O$6:$O$14,$W82)),0)+IFERROR(INDEX(其他调用!$X$5:$X$43,MATCH($W82,其他调用!$T$5:$T$43,1))*求节点($G$34:$G$42,$J$34:$J$42,求节点($R$6:$R$14,$O$6:$O$14,$W82)),0)+IFERROR(INDEX(其他调用!$Y$5:$Y$43,MATCH($W82,其他调用!$T$5:$T$43,1))*求节点($G$34:$G$42,$K$34:$K$42,求节点($S$6:$S$14,$O$6:$O$14,$W82)),0))/6,1)</f>
        <v>0.44180179524690666</v>
      </c>
      <c r="Y82" s="8">
        <f>MIN((IFERROR(INDEX(其他调用!$W$50:$W$88,MATCH($W82,其他调用!$T$50:$T$88,1))*求节点($G$34:$G$42,$I$34:$I$42,求节点($Q$20:$Q$28,$O$20:$O$28,$W82)),0)+IFERROR(INDEX(其他调用!$X$50:$X$88,MATCH($W82,其他调用!$T$50:$T$88,1))*求节点($G$34:$G$42,$J$34:$J$42,求节点($R$20:$R$28,$O$20:$O$28,$W82)),0)+IFERROR(INDEX(其他调用!$Y$50:$Y$88,MATCH($W82,其他调用!$T$50:$T$88,1))*求节点($G$34:$G$42,$K$34:$K$42,求节点($S$20:$S$28,$O$20:$O$28,$W82)),0))/6,1)</f>
        <v>0.47372023774319022</v>
      </c>
      <c r="Z82" s="8">
        <f>MIN((IFERROR(INDEX(其他调用!$W$95:$W$133,MATCH($W82,其他调用!$T$95:$T$133,1))*求节点($G$34:$G$42,$I$34:$I$42,求节点($Q$34:$Q$42,$O$34:$O$42,$W82)),0)+IFERROR(INDEX(其他调用!$X$95:$X$133,MATCH($W82,其他调用!$T$95:$T$133,1))*求节点($G$34:$G$42,$J$34:$J$42,求节点($R$34:$R$42,$O$34:$O$42,$W82)),0)+IFERROR(INDEX(其他调用!$Y$95:$Y$133,MATCH($W82,其他调用!$T$95:$T$133,1))*求节点($G$34:$G$42,$K$34:$K$42,求节点($S$34:$S$42,$O$34:$O$42,$W82)),0))/6,1)</f>
        <v>0.51348579524836657</v>
      </c>
      <c r="AA82" s="8">
        <f>MIN((IFERROR(INDEX(其他调用!$W$140:$W$178,MATCH($W82,其他调用!$T$140:$T$178,1))*求节点($G$34:$G$42,$I$34:$I$42,求节点($Q$48:$Q$56,$O$48:$O$56,$W82)),0)+IFERROR(INDEX(其他调用!$X$140:$X$178,MATCH($W82,其他调用!$T$140:$T$178,1))*求节点($G$34:$G$42,$J$34:$J$42,求节点($R$48:$R$56,$O$48:$O$56,$W82)),0)+IFERROR(INDEX(其他调用!$Y$140:$Y$178,MATCH($W82,其他调用!$T$140:$T$178,1))*求节点($G$34:$G$42,$K$34:$K$42,求节点($S$48:$S$56,$O$48:$O$56,$W82)),0))/6,1)</f>
        <v>0.61059098379284615</v>
      </c>
      <c r="AB82" s="8">
        <f>MIN((IFERROR(INDEX(其他调用!$W$185:$W$223,MATCH($W82,其他调用!$T$185:$T$223,1))*求节点($G$34:$G$42,$I$34:$I$42,求节点($Q$62:$Q$70,$O$62:$O$70,$W82)),0)+IFERROR(INDEX(其他调用!$X$185:$X$223,MATCH($W82,其他调用!$T$185:$T$223,1))*求节点($G$34:$G$42,$J$34:$J$42,求节点($R$62:$R$70,$O$62:$O$70,$W82)),0)+IFERROR(INDEX(其他调用!$Y$185:$Y$223,MATCH($W82,其他调用!$T$185:$T$223,1))*求节点($G$34:$G$42,$K$34:$K$42,求节点($S$62:$S$70,$O$62:$O$70,$W82)),0))/6,1)</f>
        <v>0.62117181864259396</v>
      </c>
      <c r="AD82" s="8">
        <v>77</v>
      </c>
      <c r="AE82" s="8">
        <f>X82/士兵加成武将!W82</f>
        <v>0.73783357544782091</v>
      </c>
      <c r="AF82" s="8">
        <f>Y82/士兵加成武将!X82</f>
        <v>0.77739414818813835</v>
      </c>
      <c r="AG82" s="8">
        <f>Z82/士兵加成武将!Y82</f>
        <v>0.82712992561769405</v>
      </c>
      <c r="AH82" s="8">
        <f>AA82/士兵加成武将!Z82</f>
        <v>0.96419751255201502</v>
      </c>
      <c r="AI82" s="8">
        <f>AB82/士兵加成武将!AA82</f>
        <v>0.96034933186116456</v>
      </c>
    </row>
    <row r="83" spans="23:35" x14ac:dyDescent="0.15">
      <c r="W83" s="8">
        <v>78</v>
      </c>
      <c r="X83" s="8">
        <f>MIN((IFERROR(INDEX(其他调用!$W$5:$W$43,MATCH($W83,其他调用!$T$5:$T$43,1))*求节点($G$34:$G$42,$I$34:$I$42,求节点($Q$6:$Q$14,$O$6:$O$14,$W83)),0)+IFERROR(INDEX(其他调用!$X$5:$X$43,MATCH($W83,其他调用!$T$5:$T$43,1))*求节点($G$34:$G$42,$J$34:$J$42,求节点($R$6:$R$14,$O$6:$O$14,$W83)),0)+IFERROR(INDEX(其他调用!$Y$5:$Y$43,MATCH($W83,其他调用!$T$5:$T$43,1))*求节点($G$34:$G$42,$K$34:$K$42,求节点($S$6:$S$14,$O$6:$O$14,$W83)),0))/6,1)</f>
        <v>0.45284409137411802</v>
      </c>
      <c r="Y83" s="8">
        <f>MIN((IFERROR(INDEX(其他调用!$W$50:$W$88,MATCH($W83,其他调用!$T$50:$T$88,1))*求节点($G$34:$G$42,$I$34:$I$42,求节点($Q$20:$Q$28,$O$20:$O$28,$W83)),0)+IFERROR(INDEX(其他调用!$X$50:$X$88,MATCH($W83,其他调用!$T$50:$T$88,1))*求节点($G$34:$G$42,$J$34:$J$42,求节点($R$20:$R$28,$O$20:$O$28,$W83)),0)+IFERROR(INDEX(其他调用!$Y$50:$Y$88,MATCH($W83,其他调用!$T$50:$T$88,1))*求节点($G$34:$G$42,$K$34:$K$42,求节点($S$20:$S$28,$O$20:$O$28,$W83)),0))/6,1)</f>
        <v>0.48287992641498073</v>
      </c>
      <c r="Z83" s="8">
        <f>MIN((IFERROR(INDEX(其他调用!$W$95:$W$133,MATCH($W83,其他调用!$T$95:$T$133,1))*求节点($G$34:$G$42,$I$34:$I$42,求节点($Q$34:$Q$42,$O$34:$O$42,$W83)),0)+IFERROR(INDEX(其他调用!$X$95:$X$133,MATCH($W83,其他调用!$T$95:$T$133,1))*求节点($G$34:$G$42,$J$34:$J$42,求节点($R$34:$R$42,$O$34:$O$42,$W83)),0)+IFERROR(INDEX(其他调用!$Y$95:$Y$133,MATCH($W83,其他调用!$T$95:$T$133,1))*求节点($G$34:$G$42,$K$34:$K$42,求节点($S$34:$S$42,$O$34:$O$42,$W83)),0))/6,1)</f>
        <v>0.5286103149765029</v>
      </c>
      <c r="AA83" s="8">
        <f>MIN((IFERROR(INDEX(其他调用!$W$140:$W$178,MATCH($W83,其他调用!$T$140:$T$178,1))*求节点($G$34:$G$42,$I$34:$I$42,求节点($Q$48:$Q$56,$O$48:$O$56,$W83)),0)+IFERROR(INDEX(其他调用!$X$140:$X$178,MATCH($W83,其他调用!$T$140:$T$178,1))*求节点($G$34:$G$42,$J$34:$J$42,求节点($R$48:$R$56,$O$48:$O$56,$W83)),0)+IFERROR(INDEX(其他调用!$Y$140:$Y$178,MATCH($W83,其他调用!$T$140:$T$178,1))*求节点($G$34:$G$42,$K$34:$K$42,求节点($S$48:$S$56,$O$48:$O$56,$W83)),0))/6,1)</f>
        <v>0.63754148187332316</v>
      </c>
      <c r="AB83" s="8">
        <f>MIN((IFERROR(INDEX(其他调用!$W$185:$W$223,MATCH($W83,其他调用!$T$185:$T$223,1))*求节点($G$34:$G$42,$I$34:$I$42,求节点($Q$62:$Q$70,$O$62:$O$70,$W83)),0)+IFERROR(INDEX(其他调用!$X$185:$X$223,MATCH($W83,其他调用!$T$185:$T$223,1))*求节点($G$34:$G$42,$J$34:$J$42,求节点($R$62:$R$70,$O$62:$O$70,$W83)),0)+IFERROR(INDEX(其他调用!$Y$185:$Y$223,MATCH($W83,其他调用!$T$185:$T$223,1))*求节点($G$34:$G$42,$K$34:$K$42,求节点($S$62:$S$70,$O$62:$O$70,$W83)),0))/6,1)</f>
        <v>0.64630121177220334</v>
      </c>
      <c r="AD83" s="8">
        <v>78</v>
      </c>
      <c r="AE83" s="8">
        <f>X83/士兵加成武将!W83</f>
        <v>0.74458985256601184</v>
      </c>
      <c r="AF83" s="8">
        <f>Y83/士兵加成武将!X83</f>
        <v>0.78042488893414885</v>
      </c>
      <c r="AG83" s="8">
        <f>Z83/士兵加成武将!Y83</f>
        <v>0.83887559841086301</v>
      </c>
      <c r="AH83" s="8">
        <f>AA83/士兵加成武将!Z83</f>
        <v>0.9921792441507139</v>
      </c>
      <c r="AI83" s="8">
        <f>AB83/士兵加成武将!AA83</f>
        <v>0.9850639418362841</v>
      </c>
    </row>
    <row r="84" spans="23:35" x14ac:dyDescent="0.15">
      <c r="W84" s="8">
        <v>79</v>
      </c>
      <c r="X84" s="8">
        <f>MIN((IFERROR(INDEX(其他调用!$W$5:$W$43,MATCH($W84,其他调用!$T$5:$T$43,1))*求节点($G$34:$G$42,$I$34:$I$42,求节点($Q$6:$Q$14,$O$6:$O$14,$W84)),0)+IFERROR(INDEX(其他调用!$X$5:$X$43,MATCH($W84,其他调用!$T$5:$T$43,1))*求节点($G$34:$G$42,$J$34:$J$42,求节点($R$6:$R$14,$O$6:$O$14,$W84)),0)+IFERROR(INDEX(其他调用!$Y$5:$Y$43,MATCH($W84,其他调用!$T$5:$T$43,1))*求节点($G$34:$G$42,$K$34:$K$42,求节点($S$6:$S$14,$O$6:$O$14,$W84)),0))/6,1)</f>
        <v>0.46351386124644273</v>
      </c>
      <c r="Y84" s="8">
        <f>MIN((IFERROR(INDEX(其他调用!$W$50:$W$88,MATCH($W84,其他调用!$T$50:$T$88,1))*求节点($G$34:$G$42,$I$34:$I$42,求节点($Q$20:$Q$28,$O$20:$O$28,$W84)),0)+IFERROR(INDEX(其他调用!$X$50:$X$88,MATCH($W84,其他调用!$T$50:$T$88,1))*求节点($G$34:$G$42,$J$34:$J$42,求节点($R$20:$R$28,$O$20:$O$28,$W84)),0)+IFERROR(INDEX(其他调用!$Y$50:$Y$88,MATCH($W84,其他调用!$T$50:$T$88,1))*求节点($G$34:$G$42,$K$34:$K$42,求节点($S$20:$S$28,$O$20:$O$28,$W84)),0))/6,1)</f>
        <v>0.49893249397917999</v>
      </c>
      <c r="Z84" s="8">
        <f>MIN((IFERROR(INDEX(其他调用!$W$95:$W$133,MATCH($W84,其他调用!$T$95:$T$133,1))*求节点($G$34:$G$42,$I$34:$I$42,求节点($Q$34:$Q$42,$O$34:$O$42,$W84)),0)+IFERROR(INDEX(其他调用!$X$95:$X$133,MATCH($W84,其他调用!$T$95:$T$133,1))*求节点($G$34:$G$42,$J$34:$J$42,求节点($R$34:$R$42,$O$34:$O$42,$W84)),0)+IFERROR(INDEX(其他调用!$Y$95:$Y$133,MATCH($W84,其他调用!$T$95:$T$133,1))*求节点($G$34:$G$42,$K$34:$K$42,求节点($S$34:$S$42,$O$34:$O$42,$W84)),0))/6,1)</f>
        <v>0.53873055152529281</v>
      </c>
      <c r="AA84" s="8">
        <f>MIN((IFERROR(INDEX(其他调用!$W$140:$W$178,MATCH($W84,其他调用!$T$140:$T$178,1))*求节点($G$34:$G$42,$I$34:$I$42,求节点($Q$48:$Q$56,$O$48:$O$56,$W84)),0)+IFERROR(INDEX(其他调用!$X$140:$X$178,MATCH($W84,其他调用!$T$140:$T$178,1))*求节点($G$34:$G$42,$J$34:$J$42,求节点($R$48:$R$56,$O$48:$O$56,$W84)),0)+IFERROR(INDEX(其他调用!$Y$140:$Y$178,MATCH($W84,其他调用!$T$140:$T$178,1))*求节点($G$34:$G$42,$K$34:$K$42,求节点($S$48:$S$56,$O$48:$O$56,$W84)),0))/6,1)</f>
        <v>0.65251123107963949</v>
      </c>
      <c r="AB84" s="8">
        <f>MIN((IFERROR(INDEX(其他调用!$W$185:$W$223,MATCH($W84,其他调用!$T$185:$T$223,1))*求节点($G$34:$G$42,$I$34:$I$42,求节点($Q$62:$Q$70,$O$62:$O$70,$W84)),0)+IFERROR(INDEX(其他调用!$X$185:$X$223,MATCH($W84,其他调用!$T$185:$T$223,1))*求节点($G$34:$G$42,$J$34:$J$42,求节点($R$62:$R$70,$O$62:$O$70,$W84)),0)+IFERROR(INDEX(其他调用!$Y$185:$Y$223,MATCH($W84,其他调用!$T$185:$T$223,1))*求节点($G$34:$G$42,$K$34:$K$42,求节点($S$62:$S$70,$O$62:$O$70,$W84)),0))/6,1)</f>
        <v>0.66144212160958793</v>
      </c>
      <c r="AD84" s="8">
        <v>79</v>
      </c>
      <c r="AE84" s="8">
        <f>X84/士兵加成武将!W84</f>
        <v>0.75053732090643976</v>
      </c>
      <c r="AF84" s="8">
        <f>Y84/士兵加成武将!X84</f>
        <v>0.79433920004631831</v>
      </c>
      <c r="AG84" s="8">
        <f>Z84/士兵加成武将!Y84</f>
        <v>0.8424527007458078</v>
      </c>
      <c r="AH84" s="8">
        <f>AA84/士兵加成武将!Z84</f>
        <v>1.000983230706606</v>
      </c>
      <c r="AI84" s="8">
        <f>AB84/士兵加成武将!AA84</f>
        <v>0.99407737762396109</v>
      </c>
    </row>
    <row r="85" spans="23:35" x14ac:dyDescent="0.15">
      <c r="W85" s="8">
        <v>80</v>
      </c>
      <c r="X85" s="8">
        <f>MIN((IFERROR(INDEX(其他调用!$W$5:$W$43,MATCH($W85,其他调用!$T$5:$T$43,1))*求节点($G$34:$G$42,$I$34:$I$42,求节点($Q$6:$Q$14,$O$6:$O$14,$W85)),0)+IFERROR(INDEX(其他调用!$X$5:$X$43,MATCH($W85,其他调用!$T$5:$T$43,1))*求节点($G$34:$G$42,$J$34:$J$42,求节点($R$6:$R$14,$O$6:$O$14,$W85)),0)+IFERROR(INDEX(其他调用!$Y$5:$Y$43,MATCH($W85,其他调用!$T$5:$T$43,1))*求节点($G$34:$G$42,$K$34:$K$42,求节点($S$6:$S$14,$O$6:$O$14,$W85)),0))/6,1)</f>
        <v>0.47418363111876749</v>
      </c>
      <c r="Y85" s="8">
        <f>MIN((IFERROR(INDEX(其他调用!$W$50:$W$88,MATCH($W85,其他调用!$T$50:$T$88,1))*求节点($G$34:$G$42,$I$34:$I$42,求节点($Q$20:$Q$28,$O$20:$O$28,$W85)),0)+IFERROR(INDEX(其他调用!$X$50:$X$88,MATCH($W85,其他调用!$T$50:$T$88,1))*求节点($G$34:$G$42,$J$34:$J$42,求节点($R$20:$R$28,$O$20:$O$28,$W85)),0)+IFERROR(INDEX(其他调用!$Y$50:$Y$88,MATCH($W85,其他调用!$T$50:$T$88,1))*求节点($G$34:$G$42,$K$34:$K$42,求节点($S$20:$S$28,$O$20:$O$28,$W85)),0))/6,1)</f>
        <v>0.5149850615433792</v>
      </c>
      <c r="Z85" s="8">
        <f>MIN((IFERROR(INDEX(其他调用!$W$95:$W$133,MATCH($W85,其他调用!$T$95:$T$133,1))*求节点($G$34:$G$42,$I$34:$I$42,求节点($Q$34:$Q$42,$O$34:$O$42,$W85)),0)+IFERROR(INDEX(其他调用!$X$95:$X$133,MATCH($W85,其他调用!$T$95:$T$133,1))*求节点($G$34:$G$42,$J$34:$J$42,求节点($R$34:$R$42,$O$34:$O$42,$W85)),0)+IFERROR(INDEX(其他调用!$Y$95:$Y$133,MATCH($W85,其他调用!$T$95:$T$133,1))*求节点($G$34:$G$42,$K$34:$K$42,求节点($S$34:$S$42,$O$34:$O$42,$W85)),0))/6,1)</f>
        <v>0.55296518555897867</v>
      </c>
      <c r="AA85" s="8">
        <f>MIN((IFERROR(INDEX(其他调用!$W$140:$W$178,MATCH($W85,其他调用!$T$140:$T$178,1))*求节点($G$34:$G$42,$I$34:$I$42,求节点($Q$48:$Q$56,$O$48:$O$56,$W85)),0)+IFERROR(INDEX(其他调用!$X$140:$X$178,MATCH($W85,其他调用!$T$140:$T$178,1))*求节点($G$34:$G$42,$J$34:$J$42,求节点($R$48:$R$56,$O$48:$O$56,$W85)),0)+IFERROR(INDEX(其他调用!$Y$140:$Y$178,MATCH($W85,其他调用!$T$140:$T$178,1))*求节点($G$34:$G$42,$K$34:$K$42,求节点($S$48:$S$56,$O$48:$O$56,$W85)),0))/6,1)</f>
        <v>0.6670742540471658</v>
      </c>
      <c r="AB85" s="8">
        <f>MIN((IFERROR(INDEX(其他调用!$W$185:$W$223,MATCH($W85,其他调用!$T$185:$T$223,1))*求节点($G$34:$G$42,$I$34:$I$42,求节点($Q$62:$Q$70,$O$62:$O$70,$W85)),0)+IFERROR(INDEX(其他调用!$X$185:$X$223,MATCH($W85,其他调用!$T$185:$T$223,1))*求节点($G$34:$G$42,$J$34:$J$42,求节点($R$62:$R$70,$O$62:$O$70,$W85)),0)+IFERROR(INDEX(其他调用!$Y$185:$Y$223,MATCH($W85,其他调用!$T$185:$T$223,1))*求节点($G$34:$G$42,$K$34:$K$42,求节点($S$62:$S$70,$O$62:$O$70,$W85)),0))/6,1)</f>
        <v>0.6739892267140829</v>
      </c>
      <c r="AD85" s="8">
        <v>80</v>
      </c>
      <c r="AE85" s="8">
        <f>X85/士兵加成武将!W85</f>
        <v>0.75630651318550279</v>
      </c>
      <c r="AF85" s="8">
        <f>Y85/士兵加成武将!X85</f>
        <v>0.80784445752798217</v>
      </c>
      <c r="AG85" s="8">
        <f>Z85/士兵加成武将!Y85</f>
        <v>0.85226824018898995</v>
      </c>
      <c r="AH85" s="8">
        <f>AA85/士兵加成武将!Z85</f>
        <v>1.0089242955637383</v>
      </c>
      <c r="AI85" s="8">
        <f>AB85/士兵加成武将!AA85</f>
        <v>0.99899821532185962</v>
      </c>
    </row>
    <row r="86" spans="23:35" x14ac:dyDescent="0.15">
      <c r="W86" s="8">
        <v>81</v>
      </c>
      <c r="X86" s="8">
        <f>MIN((IFERROR(INDEX(其他调用!$W$5:$W$43,MATCH($W86,其他调用!$T$5:$T$43,1))*求节点($G$34:$G$42,$I$34:$I$42,求节点($Q$6:$Q$14,$O$6:$O$14,$W86)),0)+IFERROR(INDEX(其他调用!$X$5:$X$43,MATCH($W86,其他调用!$T$5:$T$43,1))*求节点($G$34:$G$42,$J$34:$J$42,求节点($R$6:$R$14,$O$6:$O$14,$W86)),0)+IFERROR(INDEX(其他调用!$Y$5:$Y$43,MATCH($W86,其他调用!$T$5:$T$43,1))*求节点($G$34:$G$42,$K$34:$K$42,求节点($S$6:$S$14,$O$6:$O$14,$W86)),0))/6,1)</f>
        <v>0.48718316572378639</v>
      </c>
      <c r="Y86" s="8">
        <f>MIN((IFERROR(INDEX(其他调用!$W$50:$W$88,MATCH($W86,其他调用!$T$50:$T$88,1))*求节点($G$34:$G$42,$I$34:$I$42,求节点($Q$20:$Q$28,$O$20:$O$28,$W86)),0)+IFERROR(INDEX(其他调用!$X$50:$X$88,MATCH($W86,其他调用!$T$50:$T$88,1))*求节点($G$34:$G$42,$J$34:$J$42,求节点($R$20:$R$28,$O$20:$O$28,$W86)),0)+IFERROR(INDEX(其他调用!$Y$50:$Y$88,MATCH($W86,其他调用!$T$50:$T$88,1))*求节点($G$34:$G$42,$K$34:$K$42,求节点($S$20:$S$28,$O$20:$O$28,$W86)),0))/6,1)</f>
        <v>0.53103762910757846</v>
      </c>
      <c r="Z86" s="8">
        <f>MIN((IFERROR(INDEX(其他调用!$W$95:$W$133,MATCH($W86,其他调用!$T$95:$T$133,1))*求节点($G$34:$G$42,$I$34:$I$42,求节点($Q$34:$Q$42,$O$34:$O$42,$W86)),0)+IFERROR(INDEX(其他调用!$X$95:$X$133,MATCH($W86,其他调用!$T$95:$T$133,1))*求节点($G$34:$G$42,$J$34:$J$42,求节点($R$34:$R$42,$O$34:$O$42,$W86)),0)+IFERROR(INDEX(其他调用!$Y$95:$Y$133,MATCH($W86,其他调用!$T$95:$T$133,1))*求节点($G$34:$G$42,$K$34:$K$42,求节点($S$34:$S$42,$O$34:$O$42,$W86)),0))/6,1)</f>
        <v>0.56778993829936308</v>
      </c>
      <c r="AA86" s="8">
        <f>MIN((IFERROR(INDEX(其他调用!$W$140:$W$178,MATCH($W86,其他调用!$T$140:$T$178,1))*求节点($G$34:$G$42,$I$34:$I$42,求节点($Q$48:$Q$56,$O$48:$O$56,$W86)),0)+IFERROR(INDEX(其他调用!$X$140:$X$178,MATCH($W86,其他调用!$T$140:$T$178,1))*求节点($G$34:$G$42,$J$34:$J$42,求节点($R$48:$R$56,$O$48:$O$56,$W86)),0)+IFERROR(INDEX(其他调用!$Y$140:$Y$178,MATCH($W86,其他调用!$T$140:$T$178,1))*求节点($G$34:$G$42,$K$34:$K$42,求节点($S$48:$S$56,$O$48:$O$56,$W86)),0))/6,1)</f>
        <v>0.68123012732311194</v>
      </c>
      <c r="AB86" s="8">
        <f>MIN((IFERROR(INDEX(其他调用!$W$185:$W$223,MATCH($W86,其他调用!$T$185:$T$223,1))*求节点($G$34:$G$42,$I$34:$I$42,求节点($Q$62:$Q$70,$O$62:$O$70,$W86)),0)+IFERROR(INDEX(其他调用!$X$185:$X$223,MATCH($W86,其他调用!$T$185:$T$223,1))*求节点($G$34:$G$42,$J$34:$J$42,求节点($R$62:$R$70,$O$62:$O$70,$W86)),0)+IFERROR(INDEX(其他调用!$Y$185:$Y$223,MATCH($W86,其他调用!$T$185:$T$223,1))*求节点($G$34:$G$42,$K$34:$K$42,求节点($S$62:$S$70,$O$62:$O$70,$W86)),0))/6,1)</f>
        <v>0.68653633181857787</v>
      </c>
      <c r="AD86" s="8">
        <v>81</v>
      </c>
      <c r="AE86" s="8">
        <f>X86/士兵加成武将!W86</f>
        <v>0.76556635126813999</v>
      </c>
      <c r="AF86" s="8">
        <f>Y86/士兵加成武将!X86</f>
        <v>0.82095843814733072</v>
      </c>
      <c r="AG86" s="8">
        <f>Z86/士兵加成武将!Y86</f>
        <v>0.86270190212938891</v>
      </c>
      <c r="AH86" s="8">
        <f>AA86/士兵加成武将!Z86</f>
        <v>1.0160377285112574</v>
      </c>
      <c r="AI86" s="8">
        <f>AB86/士兵加成武将!AA86</f>
        <v>1.0037854871222349</v>
      </c>
    </row>
    <row r="87" spans="23:35" x14ac:dyDescent="0.15">
      <c r="W87" s="8">
        <v>82</v>
      </c>
      <c r="X87" s="8">
        <f>MIN((IFERROR(INDEX(其他调用!$W$5:$W$43,MATCH($W87,其他调用!$T$5:$T$43,1))*求节点($G$34:$G$42,$I$34:$I$42,求节点($Q$6:$Q$14,$O$6:$O$14,$W87)),0)+IFERROR(INDEX(其他调用!$X$5:$X$43,MATCH($W87,其他调用!$T$5:$T$43,1))*求节点($G$34:$G$42,$J$34:$J$42,求节点($R$6:$R$14,$O$6:$O$14,$W87)),0)+IFERROR(INDEX(其他调用!$Y$5:$Y$43,MATCH($W87,其他调用!$T$5:$T$43,1))*求节点($G$34:$G$42,$K$34:$K$42,求节点($S$6:$S$14,$O$6:$O$14,$W87)),0))/6,1)</f>
        <v>0.50297471588999754</v>
      </c>
      <c r="Y87" s="8">
        <f>MIN((IFERROR(INDEX(其他调用!$W$50:$W$88,MATCH($W87,其他调用!$T$50:$T$88,1))*求节点($G$34:$G$42,$I$34:$I$42,求节点($Q$20:$Q$28,$O$20:$O$28,$W87)),0)+IFERROR(INDEX(其他调用!$X$50:$X$88,MATCH($W87,其他调用!$T$50:$T$88,1))*求节点($G$34:$G$42,$J$34:$J$42,求节点($R$20:$R$28,$O$20:$O$28,$W87)),0)+IFERROR(INDEX(其他调用!$Y$50:$Y$88,MATCH($W87,其他调用!$T$50:$T$88,1))*求节点($G$34:$G$42,$K$34:$K$42,求节点($S$20:$S$28,$O$20:$O$28,$W87)),0))/6,1)</f>
        <v>0.54648570925937812</v>
      </c>
      <c r="Z87" s="8">
        <f>MIN((IFERROR(INDEX(其他调用!$W$95:$W$133,MATCH($W87,其他调用!$T$95:$T$133,1))*求节点($G$34:$G$42,$I$34:$I$42,求节点($Q$34:$Q$42,$O$34:$O$42,$W87)),0)+IFERROR(INDEX(其他调用!$X$95:$X$133,MATCH($W87,其他调用!$T$95:$T$133,1))*求节点($G$34:$G$42,$J$34:$J$42,求节点($R$34:$R$42,$O$34:$O$42,$W87)),0)+IFERROR(INDEX(其他调用!$Y$95:$Y$133,MATCH($W87,其他调用!$T$95:$T$133,1))*求节点($G$34:$G$42,$K$34:$K$42,求节点($S$34:$S$42,$O$34:$O$42,$W87)),0))/6,1)</f>
        <v>0.58261469103974739</v>
      </c>
      <c r="AA87" s="8">
        <f>MIN((IFERROR(INDEX(其他调用!$W$140:$W$178,MATCH($W87,其他调用!$T$140:$T$178,1))*求节点($G$34:$G$42,$I$34:$I$42,求节点($Q$48:$Q$56,$O$48:$O$56,$W87)),0)+IFERROR(INDEX(其他调用!$X$140:$X$178,MATCH($W87,其他调用!$T$140:$T$178,1))*求节点($G$34:$G$42,$J$34:$J$42,求节点($R$48:$R$56,$O$48:$O$56,$W87)),0)+IFERROR(INDEX(其他调用!$Y$140:$Y$178,MATCH($W87,其他调用!$T$140:$T$178,1))*求节点($G$34:$G$42,$K$34:$K$42,求节点($S$48:$S$56,$O$48:$O$56,$W87)),0))/6,1)</f>
        <v>0.69538600059905809</v>
      </c>
      <c r="AB87" s="8">
        <f>MIN((IFERROR(INDEX(其他调用!$W$185:$W$223,MATCH($W87,其他调用!$T$185:$T$223,1))*求节点($G$34:$G$42,$I$34:$I$42,求节点($Q$62:$Q$70,$O$62:$O$70,$W87)),0)+IFERROR(INDEX(其他调用!$X$185:$X$223,MATCH($W87,其他调用!$T$185:$T$223,1))*求节点($G$34:$G$42,$J$34:$J$42,求节点($R$62:$R$70,$O$62:$O$70,$W87)),0)+IFERROR(INDEX(其他调用!$Y$185:$Y$223,MATCH($W87,其他调用!$T$185:$T$223,1))*求节点($G$34:$G$42,$K$34:$K$42,求节点($S$62:$S$70,$O$62:$O$70,$W87)),0))/6,1)</f>
        <v>0.69908343692307306</v>
      </c>
      <c r="AD87" s="8">
        <v>82</v>
      </c>
      <c r="AE87" s="8">
        <f>X87/士兵加成武将!W87</f>
        <v>0.77888027141517135</v>
      </c>
      <c r="AF87" s="8">
        <f>Y87/士兵加成武将!X87</f>
        <v>0.83277673914483663</v>
      </c>
      <c r="AG87" s="8">
        <f>Z87/士兵加成武将!Y87</f>
        <v>0.87284366089796595</v>
      </c>
      <c r="AH87" s="8">
        <f>AA87/士兵加成武将!Z87</f>
        <v>1.0229564531163846</v>
      </c>
      <c r="AI87" s="8">
        <f>AB87/士兵加成武将!AA87</f>
        <v>1.0084445582634174</v>
      </c>
    </row>
    <row r="88" spans="23:35" x14ac:dyDescent="0.15">
      <c r="W88" s="8">
        <v>83</v>
      </c>
      <c r="X88" s="8">
        <f>MIN((IFERROR(INDEX(其他调用!$W$5:$W$43,MATCH($W88,其他调用!$T$5:$T$43,1))*求节点($G$34:$G$42,$I$34:$I$42,求节点($Q$6:$Q$14,$O$6:$O$14,$W88)),0)+IFERROR(INDEX(其他调用!$X$5:$X$43,MATCH($W88,其他调用!$T$5:$T$43,1))*求节点($G$34:$G$42,$J$34:$J$42,求节点($R$6:$R$14,$O$6:$O$14,$W88)),0)+IFERROR(INDEX(其他调用!$Y$5:$Y$43,MATCH($W88,其他调用!$T$5:$T$43,1))*求节点($G$34:$G$42,$K$34:$K$42,求节点($S$6:$S$14,$O$6:$O$14,$W88)),0))/6,1)</f>
        <v>0.51876626605620857</v>
      </c>
      <c r="Y88" s="8">
        <f>MIN((IFERROR(INDEX(其他调用!$W$50:$W$88,MATCH($W88,其他调用!$T$50:$T$88,1))*求节点($G$34:$G$42,$I$34:$I$42,求节点($Q$20:$Q$28,$O$20:$O$28,$W88)),0)+IFERROR(INDEX(其他调用!$X$50:$X$88,MATCH($W88,其他调用!$T$50:$T$88,1))*求节点($G$34:$G$42,$J$34:$J$42,求节点($R$20:$R$28,$O$20:$O$28,$W88)),0)+IFERROR(INDEX(其他调用!$Y$50:$Y$88,MATCH($W88,其他调用!$T$50:$T$88,1))*求节点($G$34:$G$42,$K$34:$K$42,求节点($S$20:$S$28,$O$20:$O$28,$W88)),0))/6,1)</f>
        <v>0.56116968643342957</v>
      </c>
      <c r="Z88" s="8">
        <f>MIN((IFERROR(INDEX(其他调用!$W$95:$W$133,MATCH($W88,其他调用!$T$95:$T$133,1))*求节点($G$34:$G$42,$I$34:$I$42,求节点($Q$34:$Q$42,$O$34:$O$42,$W88)),0)+IFERROR(INDEX(其他调用!$X$95:$X$133,MATCH($W88,其他调用!$T$95:$T$133,1))*求节点($G$34:$G$42,$J$34:$J$42,求节点($R$34:$R$42,$O$34:$O$42,$W88)),0)+IFERROR(INDEX(其他调用!$Y$95:$Y$133,MATCH($W88,其他调用!$T$95:$T$133,1))*求节点($G$34:$G$42,$K$34:$K$42,求节点($S$34:$S$42,$O$34:$O$42,$W88)),0))/6,1)</f>
        <v>0.59743944378013181</v>
      </c>
      <c r="AA88" s="8">
        <f>MIN((IFERROR(INDEX(其他调用!$W$140:$W$178,MATCH($W88,其他调用!$T$140:$T$178,1))*求节点($G$34:$G$42,$I$34:$I$42,求节点($Q$48:$Q$56,$O$48:$O$56,$W88)),0)+IFERROR(INDEX(其他调用!$X$140:$X$178,MATCH($W88,其他调用!$T$140:$T$178,1))*求节点($G$34:$G$42,$J$34:$J$42,求节点($R$48:$R$56,$O$48:$O$56,$W88)),0)+IFERROR(INDEX(其他调用!$Y$140:$Y$178,MATCH($W88,其他调用!$T$140:$T$178,1))*求节点($G$34:$G$42,$K$34:$K$42,求节点($S$48:$S$56,$O$48:$O$56,$W88)),0))/6,1)</f>
        <v>0.70954187387500411</v>
      </c>
      <c r="AB88" s="8">
        <f>MIN((IFERROR(INDEX(其他调用!$W$185:$W$223,MATCH($W88,其他调用!$T$185:$T$223,1))*求节点($G$34:$G$42,$I$34:$I$42,求节点($Q$62:$Q$70,$O$62:$O$70,$W88)),0)+IFERROR(INDEX(其他调用!$X$185:$X$223,MATCH($W88,其他调用!$T$185:$T$223,1))*求节点($G$34:$G$42,$J$34:$J$42,求节点($R$62:$R$70,$O$62:$O$70,$W88)),0)+IFERROR(INDEX(其他调用!$Y$185:$Y$223,MATCH($W88,其他调用!$T$185:$T$223,1))*求节点($G$34:$G$42,$K$34:$K$42,求节点($S$62:$S$70,$O$62:$O$70,$W88)),0))/6,1)</f>
        <v>0.71163054202756781</v>
      </c>
      <c r="AD88" s="8">
        <v>83</v>
      </c>
      <c r="AE88" s="8">
        <f>X88/士兵加成武将!W88</f>
        <v>0.79181227713808744</v>
      </c>
      <c r="AF88" s="8">
        <f>Y88/士兵加成武将!X88</f>
        <v>0.84311427299372588</v>
      </c>
      <c r="AG88" s="8">
        <f>Z88/士兵加成武将!Y88</f>
        <v>0.88270559738900578</v>
      </c>
      <c r="AH88" s="8">
        <f>AA88/士兵加成武将!Z88</f>
        <v>1.0296883557592005</v>
      </c>
      <c r="AI88" s="8">
        <f>AB88/士兵加成武将!AA88</f>
        <v>1.0107513529728656</v>
      </c>
    </row>
    <row r="89" spans="23:35" x14ac:dyDescent="0.15">
      <c r="W89" s="8">
        <v>84</v>
      </c>
      <c r="X89" s="8">
        <f>MIN((IFERROR(INDEX(其他调用!$W$5:$W$43,MATCH($W89,其他调用!$T$5:$T$43,1))*求节点($G$34:$G$42,$I$34:$I$42,求节点($Q$6:$Q$14,$O$6:$O$14,$W89)),0)+IFERROR(INDEX(其他调用!$X$5:$X$43,MATCH($W89,其他调用!$T$5:$T$43,1))*求节点($G$34:$G$42,$J$34:$J$42,求节点($R$6:$R$14,$O$6:$O$14,$W89)),0)+IFERROR(INDEX(其他调用!$Y$5:$Y$43,MATCH($W89,其他调用!$T$5:$T$43,1))*求节点($G$34:$G$42,$K$34:$K$42,求节点($S$6:$S$14,$O$6:$O$14,$W89)),0))/6,1)</f>
        <v>0.5345578162224196</v>
      </c>
      <c r="Y89" s="8">
        <f>MIN((IFERROR(INDEX(其他调用!$W$50:$W$88,MATCH($W89,其他调用!$T$50:$T$88,1))*求节点($G$34:$G$42,$I$34:$I$42,求节点($Q$20:$Q$28,$O$20:$O$28,$W89)),0)+IFERROR(INDEX(其他调用!$X$50:$X$88,MATCH($W89,其他调用!$T$50:$T$88,1))*求节点($G$34:$G$42,$J$34:$J$42,求节点($R$20:$R$28,$O$20:$O$28,$W89)),0)+IFERROR(INDEX(其他调用!$Y$50:$Y$88,MATCH($W89,其他调用!$T$50:$T$88,1))*求节点($G$34:$G$42,$K$34:$K$42,求节点($S$20:$S$28,$O$20:$O$28,$W89)),0))/6,1)</f>
        <v>0.57585366360748091</v>
      </c>
      <c r="Z89" s="8">
        <f>MIN((IFERROR(INDEX(其他调用!$W$95:$W$133,MATCH($W89,其他调用!$T$95:$T$133,1))*求节点($G$34:$G$42,$I$34:$I$42,求节点($Q$34:$Q$42,$O$34:$O$42,$W89)),0)+IFERROR(INDEX(其他调用!$X$95:$X$133,MATCH($W89,其他调用!$T$95:$T$133,1))*求节点($G$34:$G$42,$J$34:$J$42,求节点($R$34:$R$42,$O$34:$O$42,$W89)),0)+IFERROR(INDEX(其他调用!$Y$95:$Y$133,MATCH($W89,其他调用!$T$95:$T$133,1))*求节点($G$34:$G$42,$K$34:$K$42,求节点($S$34:$S$42,$O$34:$O$42,$W89)),0))/6,1)</f>
        <v>0.61467505215215645</v>
      </c>
      <c r="AA89" s="8">
        <f>MIN((IFERROR(INDEX(其他调用!$W$140:$W$178,MATCH($W89,其他调用!$T$140:$T$178,1))*求节点($G$34:$G$42,$I$34:$I$42,求节点($Q$48:$Q$56,$O$48:$O$56,$W89)),0)+IFERROR(INDEX(其他调用!$X$140:$X$178,MATCH($W89,其他调用!$T$140:$T$178,1))*求节点($G$34:$G$42,$J$34:$J$42,求节点($R$48:$R$56,$O$48:$O$56,$W89)),0)+IFERROR(INDEX(其他调用!$Y$140:$Y$178,MATCH($W89,其他调用!$T$140:$T$178,1))*求节点($G$34:$G$42,$K$34:$K$42,求节点($S$48:$S$56,$O$48:$O$56,$W89)),0))/6,1)</f>
        <v>0.7222459826328459</v>
      </c>
      <c r="AB89" s="8">
        <f>MIN((IFERROR(INDEX(其他调用!$W$185:$W$223,MATCH($W89,其他调用!$T$185:$T$223,1))*求节点($G$34:$G$42,$I$34:$I$42,求节点($Q$62:$Q$70,$O$62:$O$70,$W89)),0)+IFERROR(INDEX(其他调用!$X$185:$X$223,MATCH($W89,其他调用!$T$185:$T$223,1))*求节点($G$34:$G$42,$J$34:$J$42,求节点($R$62:$R$70,$O$62:$O$70,$W89)),0)+IFERROR(INDEX(其他调用!$Y$185:$Y$223,MATCH($W89,其他调用!$T$185:$T$223,1))*求节点($G$34:$G$42,$K$34:$K$42,求节点($S$62:$S$70,$O$62:$O$70,$W89)),0))/6,1)</f>
        <v>0.72286527489559316</v>
      </c>
      <c r="AD89" s="8">
        <v>84</v>
      </c>
      <c r="AE89" s="8">
        <f>X89/士兵加成武将!W89</f>
        <v>0.80437856909796845</v>
      </c>
      <c r="AF89" s="8">
        <f>Y89/士兵加成武将!X89</f>
        <v>0.85316477957769166</v>
      </c>
      <c r="AG89" s="8">
        <f>Z89/士兵加成武将!Y89</f>
        <v>0.89581265801282117</v>
      </c>
      <c r="AH89" s="8">
        <f>AA89/士兵加成武将!Z89</f>
        <v>1.0341621649133137</v>
      </c>
      <c r="AI89" s="8">
        <f>AB89/士兵加成武将!AA89</f>
        <v>1.005279292130616</v>
      </c>
    </row>
    <row r="90" spans="23:35" x14ac:dyDescent="0.15">
      <c r="W90" s="8">
        <v>85</v>
      </c>
      <c r="X90" s="8">
        <f>MIN((IFERROR(INDEX(其他调用!$W$5:$W$43,MATCH($W90,其他调用!$T$5:$T$43,1))*求节点($G$34:$G$42,$I$34:$I$42,求节点($Q$6:$Q$14,$O$6:$O$14,$W90)),0)+IFERROR(INDEX(其他调用!$X$5:$X$43,MATCH($W90,其他调用!$T$5:$T$43,1))*求节点($G$34:$G$42,$J$34:$J$42,求节点($R$6:$R$14,$O$6:$O$14,$W90)),0)+IFERROR(INDEX(其他调用!$Y$5:$Y$43,MATCH($W90,其他调用!$T$5:$T$43,1))*求节点($G$34:$G$42,$K$34:$K$42,求节点($S$6:$S$14,$O$6:$O$14,$W90)),0))/6,1)</f>
        <v>0.54686743188281295</v>
      </c>
      <c r="Y90" s="8">
        <f>MIN((IFERROR(INDEX(其他调用!$W$50:$W$88,MATCH($W90,其他调用!$T$50:$T$88,1))*求节点($G$34:$G$42,$I$34:$I$42,求节点($Q$20:$Q$28,$O$20:$O$28,$W90)),0)+IFERROR(INDEX(其他调用!$X$50:$X$88,MATCH($W90,其他调用!$T$50:$T$88,1))*求节点($G$34:$G$42,$J$34:$J$42,求节点($R$20:$R$28,$O$20:$O$28,$W90)),0)+IFERROR(INDEX(其他调用!$Y$50:$Y$88,MATCH($W90,其他调用!$T$50:$T$88,1))*求节点($G$34:$G$42,$K$34:$K$42,求节点($S$20:$S$28,$O$20:$O$28,$W90)),0))/6,1)</f>
        <v>0.59053764078153237</v>
      </c>
      <c r="Z90" s="8">
        <f>MIN((IFERROR(INDEX(其他调用!$W$95:$W$133,MATCH($W90,其他调用!$T$95:$T$133,1))*求节点($G$34:$G$42,$I$34:$I$42,求节点($Q$34:$Q$42,$O$34:$O$42,$W90)),0)+IFERROR(INDEX(其他调用!$X$95:$X$133,MATCH($W90,其他调用!$T$95:$T$133,1))*求节点($G$34:$G$42,$J$34:$J$42,求节点($R$34:$R$42,$O$34:$O$42,$W90)),0)+IFERROR(INDEX(其他调用!$Y$95:$Y$133,MATCH($W90,其他调用!$T$95:$T$133,1))*求节点($G$34:$G$42,$K$34:$K$42,求节点($S$34:$S$42,$O$34:$O$42,$W90)),0))/6,1)</f>
        <v>0.63241400628943145</v>
      </c>
      <c r="AA90" s="8">
        <f>MIN((IFERROR(INDEX(其他调用!$W$140:$W$178,MATCH($W90,其他调用!$T$140:$T$178,1))*求节点($G$34:$G$42,$I$34:$I$42,求节点($Q$48:$Q$56,$O$48:$O$56,$W90)),0)+IFERROR(INDEX(其他调用!$X$140:$X$178,MATCH($W90,其他调用!$T$140:$T$178,1))*求节点($G$34:$G$42,$J$34:$J$42,求节点($R$48:$R$56,$O$48:$O$56,$W90)),0)+IFERROR(INDEX(其他调用!$Y$140:$Y$178,MATCH($W90,其他调用!$T$140:$T$178,1))*求节点($G$34:$G$42,$K$34:$K$42,求节点($S$48:$S$56,$O$48:$O$56,$W90)),0))/6,1)</f>
        <v>0.73084414909276096</v>
      </c>
      <c r="AB90" s="8">
        <f>MIN((IFERROR(INDEX(其他调用!$W$185:$W$223,MATCH($W90,其他调用!$T$185:$T$223,1))*求节点($G$34:$G$42,$I$34:$I$42,求节点($Q$62:$Q$70,$O$62:$O$70,$W90)),0)+IFERROR(INDEX(其他调用!$X$185:$X$223,MATCH($W90,其他调用!$T$185:$T$223,1))*求节点($G$34:$G$42,$J$34:$J$42,求节点($R$62:$R$70,$O$62:$O$70,$W90)),0)+IFERROR(INDEX(其他调用!$Y$185:$Y$223,MATCH($W90,其他调用!$T$185:$T$223,1))*求节点($G$34:$G$42,$K$34:$K$42,求节点($S$62:$S$70,$O$62:$O$70,$W90)),0))/6,1)</f>
        <v>0.73147081388244561</v>
      </c>
      <c r="AD90" s="8">
        <v>85</v>
      </c>
      <c r="AE90" s="8">
        <f>X90/士兵加成武将!W90</f>
        <v>0.81142803824037746</v>
      </c>
      <c r="AF90" s="8">
        <f>Y90/士兵加成武将!X90</f>
        <v>0.86294004941446967</v>
      </c>
      <c r="AG90" s="8">
        <f>Z90/士兵加成武将!Y90</f>
        <v>0.90929150633667877</v>
      </c>
      <c r="AH90" s="8">
        <f>AA90/士兵加成武将!Z90</f>
        <v>1.0256153792357532</v>
      </c>
      <c r="AI90" s="8">
        <f>AB90/士兵加成武将!AA90</f>
        <v>0.99644935218924513</v>
      </c>
    </row>
    <row r="91" spans="23:35" x14ac:dyDescent="0.15">
      <c r="W91" s="8">
        <v>86</v>
      </c>
      <c r="X91" s="8">
        <f>MIN((IFERROR(INDEX(其他调用!$W$5:$W$43,MATCH($W91,其他调用!$T$5:$T$43,1))*求节点($G$34:$G$42,$I$34:$I$42,求节点($Q$6:$Q$14,$O$6:$O$14,$W91)),0)+IFERROR(INDEX(其他调用!$X$5:$X$43,MATCH($W91,其他调用!$T$5:$T$43,1))*求节点($G$34:$G$42,$J$34:$J$42,求节点($R$6:$R$14,$O$6:$O$14,$W91)),0)+IFERROR(INDEX(其他调用!$Y$5:$Y$43,MATCH($W91,其他调用!$T$5:$T$43,1))*求节点($G$34:$G$42,$K$34:$K$42,求节点($S$6:$S$14,$O$6:$O$14,$W91)),0))/6,1)</f>
        <v>0.5573460825574682</v>
      </c>
      <c r="Y91" s="8">
        <f>MIN((IFERROR(INDEX(其他调用!$W$50:$W$88,MATCH($W91,其他调用!$T$50:$T$88,1))*求节点($G$34:$G$42,$I$34:$I$42,求节点($Q$20:$Q$28,$O$20:$O$28,$W91)),0)+IFERROR(INDEX(其他调用!$X$50:$X$88,MATCH($W91,其他调用!$T$50:$T$88,1))*求节点($G$34:$G$42,$J$34:$J$42,求节点($R$20:$R$28,$O$20:$O$28,$W91)),0)+IFERROR(INDEX(其他调用!$Y$50:$Y$88,MATCH($W91,其他调用!$T$50:$T$88,1))*求节点($G$34:$G$42,$K$34:$K$42,求节点($S$20:$S$28,$O$20:$O$28,$W91)),0))/6,1)</f>
        <v>0.60545277296195044</v>
      </c>
      <c r="Z91" s="8">
        <f>MIN((IFERROR(INDEX(其他调用!$W$95:$W$133,MATCH($W91,其他调用!$T$95:$T$133,1))*求节点($G$34:$G$42,$I$34:$I$42,求节点($Q$34:$Q$42,$O$34:$O$42,$W91)),0)+IFERROR(INDEX(其他调用!$X$95:$X$133,MATCH($W91,其他调用!$T$95:$T$133,1))*求节点($G$34:$G$42,$J$34:$J$42,求节点($R$34:$R$42,$O$34:$O$42,$W91)),0)+IFERROR(INDEX(其他调用!$Y$95:$Y$133,MATCH($W91,其他调用!$T$95:$T$133,1))*求节点($G$34:$G$42,$K$34:$K$42,求节点($S$34:$S$42,$O$34:$O$42,$W91)),0))/6,1)</f>
        <v>0.65015296042670645</v>
      </c>
      <c r="AA91" s="8">
        <f>MIN((IFERROR(INDEX(其他调用!$W$140:$W$178,MATCH($W91,其他调用!$T$140:$T$178,1))*求节点($G$34:$G$42,$I$34:$I$42,求节点($Q$48:$Q$56,$O$48:$O$56,$W91)),0)+IFERROR(INDEX(其他调用!$X$140:$X$178,MATCH($W91,其他调用!$T$140:$T$178,1))*求节点($G$34:$G$42,$J$34:$J$42,求节点($R$48:$R$56,$O$48:$O$56,$W91)),0)+IFERROR(INDEX(其他调用!$Y$140:$Y$178,MATCH($W91,其他调用!$T$140:$T$178,1))*求节点($G$34:$G$42,$K$34:$K$42,求节点($S$48:$S$56,$O$48:$O$56,$W91)),0))/6,1)</f>
        <v>0.73944231555267559</v>
      </c>
      <c r="AB91" s="8">
        <f>MIN((IFERROR(INDEX(其他调用!$W$185:$W$223,MATCH($W91,其他调用!$T$185:$T$223,1))*求节点($G$34:$G$42,$I$34:$I$42,求节点($Q$62:$Q$70,$O$62:$O$70,$W91)),0)+IFERROR(INDEX(其他调用!$X$185:$X$223,MATCH($W91,其他调用!$T$185:$T$223,1))*求节点($G$34:$G$42,$J$34:$J$42,求节点($R$62:$R$70,$O$62:$O$70,$W91)),0)+IFERROR(INDEX(其他调用!$Y$185:$Y$223,MATCH($W91,其他调用!$T$185:$T$223,1))*求节点($G$34:$G$42,$K$34:$K$42,求节点($S$62:$S$70,$O$62:$O$70,$W91)),0))/6,1)</f>
        <v>0.74007635286929785</v>
      </c>
      <c r="AD91" s="8">
        <v>86</v>
      </c>
      <c r="AE91" s="8">
        <f>X91/士兵加成武将!W91</f>
        <v>0.81560425136659664</v>
      </c>
      <c r="AF91" s="8">
        <f>Y91/士兵加成武将!X91</f>
        <v>0.8727844551822227</v>
      </c>
      <c r="AG91" s="8">
        <f>Z91/士兵加成武将!Y91</f>
        <v>0.91830427252507596</v>
      </c>
      <c r="AH91" s="8">
        <f>AA91/士兵加成武将!Z91</f>
        <v>1.0159666433319932</v>
      </c>
      <c r="AI91" s="8">
        <f>AB91/士兵加成武将!AA91</f>
        <v>0.98797323355447331</v>
      </c>
    </row>
    <row r="92" spans="23:35" x14ac:dyDescent="0.15">
      <c r="W92" s="8">
        <v>87</v>
      </c>
      <c r="X92" s="8">
        <f>MIN((IFERROR(INDEX(其他调用!$W$5:$W$43,MATCH($W92,其他调用!$T$5:$T$43,1))*求节点($G$34:$G$42,$I$34:$I$42,求节点($Q$6:$Q$14,$O$6:$O$14,$W92)),0)+IFERROR(INDEX(其他调用!$X$5:$X$43,MATCH($W92,其他调用!$T$5:$T$43,1))*求节点($G$34:$G$42,$J$34:$J$42,求节点($R$6:$R$14,$O$6:$O$14,$W92)),0)+IFERROR(INDEX(其他调用!$Y$5:$Y$43,MATCH($W92,其他调用!$T$5:$T$43,1))*求节点($G$34:$G$42,$K$34:$K$42,求节点($S$6:$S$14,$O$6:$O$14,$W92)),0))/6,1)</f>
        <v>0.56782473323212335</v>
      </c>
      <c r="Y92" s="8">
        <f>MIN((IFERROR(INDEX(其他调用!$W$50:$W$88,MATCH($W92,其他调用!$T$50:$T$88,1))*求节点($G$34:$G$42,$I$34:$I$42,求节点($Q$20:$Q$28,$O$20:$O$28,$W92)),0)+IFERROR(INDEX(其他调用!$X$50:$X$88,MATCH($W92,其他调用!$T$50:$T$88,1))*求节点($G$34:$G$42,$J$34:$J$42,求节点($R$20:$R$28,$O$20:$O$28,$W92)),0)+IFERROR(INDEX(其他调用!$Y$50:$Y$88,MATCH($W92,其他调用!$T$50:$T$88,1))*求节点($G$34:$G$42,$K$34:$K$42,求节点($S$20:$S$28,$O$20:$O$28,$W92)),0))/6,1)</f>
        <v>0.62078679287486693</v>
      </c>
      <c r="Z92" s="8">
        <f>MIN((IFERROR(INDEX(其他调用!$W$95:$W$133,MATCH($W92,其他调用!$T$95:$T$133,1))*求节点($G$34:$G$42,$I$34:$I$42,求节点($Q$34:$Q$42,$O$34:$O$42,$W92)),0)+IFERROR(INDEX(其他调用!$X$95:$X$133,MATCH($W92,其他调用!$T$95:$T$133,1))*求节点($G$34:$G$42,$J$34:$J$42,求节点($R$34:$R$42,$O$34:$O$42,$W92)),0)+IFERROR(INDEX(其他调用!$Y$95:$Y$133,MATCH($W92,其他调用!$T$95:$T$133,1))*求节点($G$34:$G$42,$K$34:$K$42,求节点($S$34:$S$42,$O$34:$O$42,$W92)),0))/6,1)</f>
        <v>0.66385945999721707</v>
      </c>
      <c r="AA92" s="8">
        <f>MIN((IFERROR(INDEX(其他调用!$W$140:$W$178,MATCH($W92,其他调用!$T$140:$T$178,1))*求节点($G$34:$G$42,$I$34:$I$42,求节点($Q$48:$Q$56,$O$48:$O$56,$W92)),0)+IFERROR(INDEX(其他调用!$X$140:$X$178,MATCH($W92,其他调用!$T$140:$T$178,1))*求节点($G$34:$G$42,$J$34:$J$42,求节点($R$48:$R$56,$O$48:$O$56,$W92)),0)+IFERROR(INDEX(其他调用!$Y$140:$Y$178,MATCH($W92,其他调用!$T$140:$T$178,1))*求节点($G$34:$G$42,$K$34:$K$42,求节点($S$48:$S$56,$O$48:$O$56,$W92)),0))/6,1)</f>
        <v>0.74804048201259066</v>
      </c>
      <c r="AB92" s="8">
        <f>MIN((IFERROR(INDEX(其他调用!$W$185:$W$223,MATCH($W92,其他调用!$T$185:$T$223,1))*求节点($G$34:$G$42,$I$34:$I$42,求节点($Q$62:$Q$70,$O$62:$O$70,$W92)),0)+IFERROR(INDEX(其他调用!$X$185:$X$223,MATCH($W92,其他调用!$T$185:$T$223,1))*求节点($G$34:$G$42,$J$34:$J$42,求节点($R$62:$R$70,$O$62:$O$70,$W92)),0)+IFERROR(INDEX(其他调用!$Y$185:$Y$223,MATCH($W92,其他调用!$T$185:$T$223,1))*求节点($G$34:$G$42,$K$34:$K$42,求节点($S$62:$S$70,$O$62:$O$70,$W92)),0))/6,1)</f>
        <v>0.74868189185615019</v>
      </c>
      <c r="AD92" s="8">
        <v>87</v>
      </c>
      <c r="AE92" s="8">
        <f>X92/士兵加成武将!W92</f>
        <v>0.81966716825265562</v>
      </c>
      <c r="AF92" s="8">
        <f>Y92/士兵加成武将!X92</f>
        <v>0.88041327025826044</v>
      </c>
      <c r="AG92" s="8">
        <f>Z92/士兵加成武将!Y92</f>
        <v>0.91767381538056736</v>
      </c>
      <c r="AH92" s="8">
        <f>AA92/士兵加成武将!Z92</f>
        <v>1.0067134541638703</v>
      </c>
      <c r="AI92" s="8">
        <f>AB92/士兵加成武将!AA92</f>
        <v>0.97983008717662157</v>
      </c>
    </row>
    <row r="93" spans="23:35" x14ac:dyDescent="0.15">
      <c r="W93" s="8">
        <v>88</v>
      </c>
      <c r="X93" s="8">
        <f>MIN((IFERROR(INDEX(其他调用!$W$5:$W$43,MATCH($W93,其他调用!$T$5:$T$43,1))*求节点($G$34:$G$42,$I$34:$I$42,求节点($Q$6:$Q$14,$O$6:$O$14,$W93)),0)+IFERROR(INDEX(其他调用!$X$5:$X$43,MATCH($W93,其他调用!$T$5:$T$43,1))*求节点($G$34:$G$42,$J$34:$J$42,求节点($R$6:$R$14,$O$6:$O$14,$W93)),0)+IFERROR(INDEX(其他调用!$Y$5:$Y$43,MATCH($W93,其他调用!$T$5:$T$43,1))*求节点($G$34:$G$42,$K$34:$K$42,求节点($S$6:$S$14,$O$6:$O$14,$W93)),0))/6,1)</f>
        <v>0.57830338390677849</v>
      </c>
      <c r="Y93" s="8">
        <f>MIN((IFERROR(INDEX(其他调用!$W$50:$W$88,MATCH($W93,其他调用!$T$50:$T$88,1))*求节点($G$34:$G$42,$I$34:$I$42,求节点($Q$20:$Q$28,$O$20:$O$28,$W93)),0)+IFERROR(INDEX(其他调用!$X$50:$X$88,MATCH($W93,其他调用!$T$50:$T$88,1))*求节点($G$34:$G$42,$J$34:$J$42,求节点($R$20:$R$28,$O$20:$O$28,$W93)),0)+IFERROR(INDEX(其他调用!$Y$50:$Y$88,MATCH($W93,其他调用!$T$50:$T$88,1))*求节点($G$34:$G$42,$K$34:$K$42,求节点($S$20:$S$28,$O$20:$O$28,$W93)),0))/6,1)</f>
        <v>0.63612081278778343</v>
      </c>
      <c r="Z93" s="8">
        <f>MIN((IFERROR(INDEX(其他调用!$W$95:$W$133,MATCH($W93,其他调用!$T$95:$T$133,1))*求节点($G$34:$G$42,$I$34:$I$42,求节点($Q$34:$Q$42,$O$34:$O$42,$W93)),0)+IFERROR(INDEX(其他调用!$X$95:$X$133,MATCH($W93,其他调用!$T$95:$T$133,1))*求节点($G$34:$G$42,$J$34:$J$42,求节点($R$34:$R$42,$O$34:$O$42,$W93)),0)+IFERROR(INDEX(其他调用!$Y$95:$Y$133,MATCH($W93,其他调用!$T$95:$T$133,1))*求节点($G$34:$G$42,$K$34:$K$42,求节点($S$34:$S$42,$O$34:$O$42,$W93)),0))/6,1)</f>
        <v>0.67253451385521801</v>
      </c>
      <c r="AA93" s="8">
        <f>MIN((IFERROR(INDEX(其他调用!$W$140:$W$178,MATCH($W93,其他调用!$T$140:$T$178,1))*求节点($G$34:$G$42,$I$34:$I$42,求节点($Q$48:$Q$56,$O$48:$O$56,$W93)),0)+IFERROR(INDEX(其他调用!$X$140:$X$178,MATCH($W93,其他调用!$T$140:$T$178,1))*求节点($G$34:$G$42,$J$34:$J$42,求节点($R$48:$R$56,$O$48:$O$56,$W93)),0)+IFERROR(INDEX(其他调用!$Y$140:$Y$178,MATCH($W93,其他调用!$T$140:$T$178,1))*求节点($G$34:$G$42,$K$34:$K$42,求节点($S$48:$S$56,$O$48:$O$56,$W93)),0))/6,1)</f>
        <v>0.7566386484725055</v>
      </c>
      <c r="AB93" s="8">
        <f>MIN((IFERROR(INDEX(其他调用!$W$185:$W$223,MATCH($W93,其他调用!$T$185:$T$223,1))*求节点($G$34:$G$42,$I$34:$I$42,求节点($Q$62:$Q$70,$O$62:$O$70,$W93)),0)+IFERROR(INDEX(其他调用!$X$185:$X$223,MATCH($W93,其他调用!$T$185:$T$223,1))*求节点($G$34:$G$42,$J$34:$J$42,求节点($R$62:$R$70,$O$62:$O$70,$W93)),0)+IFERROR(INDEX(其他调用!$Y$185:$Y$223,MATCH($W93,其他调用!$T$185:$T$223,1))*求节点($G$34:$G$42,$K$34:$K$42,求节点($S$62:$S$70,$O$62:$O$70,$W93)),0))/6,1)</f>
        <v>0.75728743084300243</v>
      </c>
      <c r="AD93" s="8">
        <v>88</v>
      </c>
      <c r="AE93" s="8">
        <f>X93/士兵加成武将!W93</f>
        <v>0.82193282995797468</v>
      </c>
      <c r="AF93" s="8">
        <f>Y93/士兵加成武将!X93</f>
        <v>0.88266026760378702</v>
      </c>
      <c r="AG93" s="8">
        <f>Z93/士兵加成武将!Y93</f>
        <v>0.9102597345251765</v>
      </c>
      <c r="AH93" s="8">
        <f>AA93/士兵加成武将!Z93</f>
        <v>0.9978319773121348</v>
      </c>
      <c r="AI93" s="8">
        <f>AB93/士兵加成武将!AA93</f>
        <v>0.97200067050204142</v>
      </c>
    </row>
    <row r="94" spans="23:35" x14ac:dyDescent="0.15">
      <c r="W94" s="8">
        <v>89</v>
      </c>
      <c r="X94" s="8">
        <f>MIN((IFERROR(INDEX(其他调用!$W$5:$W$43,MATCH($W94,其他调用!$T$5:$T$43,1))*求节点($G$34:$G$42,$I$34:$I$42,求节点($Q$6:$Q$14,$O$6:$O$14,$W94)),0)+IFERROR(INDEX(其他调用!$X$5:$X$43,MATCH($W94,其他调用!$T$5:$T$43,1))*求节点($G$34:$G$42,$J$34:$J$42,求节点($R$6:$R$14,$O$6:$O$14,$W94)),0)+IFERROR(INDEX(其他调用!$Y$5:$Y$43,MATCH($W94,其他调用!$T$5:$T$43,1))*求节点($G$34:$G$42,$K$34:$K$42,求节点($S$6:$S$14,$O$6:$O$14,$W94)),0))/6,1)</f>
        <v>0.58878203458143363</v>
      </c>
      <c r="Y94" s="8">
        <f>MIN((IFERROR(INDEX(其他调用!$W$50:$W$88,MATCH($W94,其他调用!$T$50:$T$88,1))*求节点($G$34:$G$42,$I$34:$I$42,求节点($Q$20:$Q$28,$O$20:$O$28,$W94)),0)+IFERROR(INDEX(其他调用!$X$50:$X$88,MATCH($W94,其他调用!$T$50:$T$88,1))*求节点($G$34:$G$42,$J$34:$J$42,求节点($R$20:$R$28,$O$20:$O$28,$W94)),0)+IFERROR(INDEX(其他调用!$Y$50:$Y$88,MATCH($W94,其他调用!$T$50:$T$88,1))*求节点($G$34:$G$42,$K$34:$K$42,求节点($S$20:$S$28,$O$20:$O$28,$W94)),0))/6,1)</f>
        <v>0.65145483270069993</v>
      </c>
      <c r="Z94" s="8">
        <f>MIN((IFERROR(INDEX(其他调用!$W$95:$W$133,MATCH($W94,其他调用!$T$95:$T$133,1))*求节点($G$34:$G$42,$I$34:$I$42,求节点($Q$34:$Q$42,$O$34:$O$42,$W94)),0)+IFERROR(INDEX(其他调用!$X$95:$X$133,MATCH($W94,其他调用!$T$95:$T$133,1))*求节点($G$34:$G$42,$J$34:$J$42,求节点($R$34:$R$42,$O$34:$O$42,$W94)),0)+IFERROR(INDEX(其他调用!$Y$95:$Y$133,MATCH($W94,其他调用!$T$95:$T$133,1))*求节点($G$34:$G$42,$K$34:$K$42,求节点($S$34:$S$42,$O$34:$O$42,$W94)),0))/6,1)</f>
        <v>0.68120956771321861</v>
      </c>
      <c r="AA94" s="8">
        <f>MIN((IFERROR(INDEX(其他调用!$W$140:$W$178,MATCH($W94,其他调用!$T$140:$T$178,1))*求节点($G$34:$G$42,$I$34:$I$42,求节点($Q$48:$Q$56,$O$48:$O$56,$W94)),0)+IFERROR(INDEX(其他调用!$X$140:$X$178,MATCH($W94,其他调用!$T$140:$T$178,1))*求节点($G$34:$G$42,$J$34:$J$42,求节点($R$48:$R$56,$O$48:$O$56,$W94)),0)+IFERROR(INDEX(其他调用!$Y$140:$Y$178,MATCH($W94,其他调用!$T$140:$T$178,1))*求节点($G$34:$G$42,$K$34:$K$42,求节点($S$48:$S$56,$O$48:$O$56,$W94)),0))/6,1)</f>
        <v>0.76523681493242035</v>
      </c>
      <c r="AB94" s="8">
        <f>MIN((IFERROR(INDEX(其他调用!$W$185:$W$223,MATCH($W94,其他调用!$T$185:$T$223,1))*求节点($G$34:$G$42,$I$34:$I$42,求节点($Q$62:$Q$70,$O$62:$O$70,$W94)),0)+IFERROR(INDEX(其他调用!$X$185:$X$223,MATCH($W94,其他调用!$T$185:$T$223,1))*求节点($G$34:$G$42,$J$34:$J$42,求节点($R$62:$R$70,$O$62:$O$70,$W94)),0)+IFERROR(INDEX(其他调用!$Y$185:$Y$223,MATCH($W94,其他调用!$T$185:$T$223,1))*求节点($G$34:$G$42,$K$34:$K$42,求节点($S$62:$S$70,$O$62:$O$70,$W94)),0))/6,1)</f>
        <v>0.76589296982985478</v>
      </c>
      <c r="AD94" s="8">
        <v>89</v>
      </c>
      <c r="AE94" s="8">
        <f>X94/士兵加成武将!W94</f>
        <v>0.81854976766811083</v>
      </c>
      <c r="AF94" s="8">
        <f>Y94/士兵加成武将!X94</f>
        <v>0.88481218319415378</v>
      </c>
      <c r="AG94" s="8">
        <f>Z94/士兵加成武将!Y94</f>
        <v>0.90314884846434507</v>
      </c>
      <c r="AH94" s="8">
        <f>AA94/士兵加成武将!Z94</f>
        <v>0.98930025557009271</v>
      </c>
      <c r="AI94" s="8">
        <f>AB94/士兵加成武将!AA94</f>
        <v>0.96446719566442873</v>
      </c>
    </row>
    <row r="95" spans="23:35" x14ac:dyDescent="0.15">
      <c r="W95" s="8">
        <v>90</v>
      </c>
      <c r="X95" s="8">
        <f>MIN((IFERROR(INDEX(其他调用!$W$5:$W$43,MATCH($W95,其他调用!$T$5:$T$43,1))*求节点($G$34:$G$42,$I$34:$I$42,求节点($Q$6:$Q$14,$O$6:$O$14,$W95)),0)+IFERROR(INDEX(其他调用!$X$5:$X$43,MATCH($W95,其他调用!$T$5:$T$43,1))*求节点($G$34:$G$42,$J$34:$J$42,求节点($R$6:$R$14,$O$6:$O$14,$W95)),0)+IFERROR(INDEX(其他调用!$Y$5:$Y$43,MATCH($W95,其他调用!$T$5:$T$43,1))*求节点($G$34:$G$42,$K$34:$K$42,求节点($S$6:$S$14,$O$6:$O$14,$W95)),0))/6,1)</f>
        <v>0.59926068525608878</v>
      </c>
      <c r="Y95" s="8">
        <f>MIN((IFERROR(INDEX(其他调用!$W$50:$W$88,MATCH($W95,其他调用!$T$50:$T$88,1))*求节点($G$34:$G$42,$I$34:$I$42,求节点($Q$20:$Q$28,$O$20:$O$28,$W95)),0)+IFERROR(INDEX(其他调用!$X$50:$X$88,MATCH($W95,其他调用!$T$50:$T$88,1))*求节点($G$34:$G$42,$J$34:$J$42,求节点($R$20:$R$28,$O$20:$O$28,$W95)),0)+IFERROR(INDEX(其他调用!$Y$50:$Y$88,MATCH($W95,其他调用!$T$50:$T$88,1))*求节点($G$34:$G$42,$K$34:$K$42,求节点($S$20:$S$28,$O$20:$O$28,$W95)),0))/6,1)</f>
        <v>0.66368267078338872</v>
      </c>
      <c r="Z95" s="8">
        <f>MIN((IFERROR(INDEX(其他调用!$W$95:$W$133,MATCH($W95,其他调用!$T$95:$T$133,1))*求节点($G$34:$G$42,$I$34:$I$42,求节点($Q$34:$Q$42,$O$34:$O$42,$W95)),0)+IFERROR(INDEX(其他调用!$X$95:$X$133,MATCH($W95,其他调用!$T$95:$T$133,1))*求节点($G$34:$G$42,$J$34:$J$42,求节点($R$34:$R$42,$O$34:$O$42,$W95)),0)+IFERROR(INDEX(其他调用!$Y$95:$Y$133,MATCH($W95,其他调用!$T$95:$T$133,1))*求节点($G$34:$G$42,$K$34:$K$42,求节点($S$34:$S$42,$O$34:$O$42,$W95)),0))/6,1)</f>
        <v>0.68988462157121944</v>
      </c>
      <c r="AA95" s="8">
        <f>MIN((IFERROR(INDEX(其他调用!$W$140:$W$178,MATCH($W95,其他调用!$T$140:$T$178,1))*求节点($G$34:$G$42,$I$34:$I$42,求节点($Q$48:$Q$56,$O$48:$O$56,$W95)),0)+IFERROR(INDEX(其他调用!$X$140:$X$178,MATCH($W95,其他调用!$T$140:$T$178,1))*求节点($G$34:$G$42,$J$34:$J$42,求节点($R$48:$R$56,$O$48:$O$56,$W95)),0)+IFERROR(INDEX(其他调用!$Y$140:$Y$178,MATCH($W95,其他调用!$T$140:$T$178,1))*求节点($G$34:$G$42,$K$34:$K$42,求节点($S$48:$S$56,$O$48:$O$56,$W95)),0))/6,1)</f>
        <v>0.77383498139233498</v>
      </c>
      <c r="AB95" s="8">
        <f>MIN((IFERROR(INDEX(其他调用!$W$185:$W$223,MATCH($W95,其他调用!$T$185:$T$223,1))*求节点($G$34:$G$42,$I$34:$I$42,求节点($Q$62:$Q$70,$O$62:$O$70,$W95)),0)+IFERROR(INDEX(其他调用!$X$185:$X$223,MATCH($W95,其他调用!$T$185:$T$223,1))*求节点($G$34:$G$42,$J$34:$J$42,求节点($R$62:$R$70,$O$62:$O$70,$W95)),0)+IFERROR(INDEX(其他调用!$Y$185:$Y$223,MATCH($W95,其他调用!$T$185:$T$223,1))*求节点($G$34:$G$42,$K$34:$K$42,求节点($S$62:$S$70,$O$62:$O$70,$W95)),0))/6,1)</f>
        <v>0.77449850881670701</v>
      </c>
      <c r="AD95" s="8">
        <v>90</v>
      </c>
      <c r="AE95" s="8">
        <f>X95/士兵加成武将!W95</f>
        <v>0.81531131849640581</v>
      </c>
      <c r="AF95" s="8">
        <f>Y95/士兵加成武将!X95</f>
        <v>0.88274349209702563</v>
      </c>
      <c r="AG95" s="8">
        <f>Z95/士兵加成武将!Y95</f>
        <v>0.89632293138664421</v>
      </c>
      <c r="AH95" s="8">
        <f>AA95/士兵加成武将!Z95</f>
        <v>0.98109802769940224</v>
      </c>
      <c r="AI95" s="8">
        <f>AB95/士兵加成武将!AA95</f>
        <v>0.95721319457134502</v>
      </c>
    </row>
    <row r="96" spans="23:35" x14ac:dyDescent="0.15">
      <c r="W96" s="8">
        <v>91</v>
      </c>
      <c r="X96" s="8">
        <f>MIN((IFERROR(INDEX(其他调用!$W$5:$W$43,MATCH($W96,其他调用!$T$5:$T$43,1))*求节点($G$34:$G$42,$I$34:$I$42,求节点($Q$6:$Q$14,$O$6:$O$14,$W96)),0)+IFERROR(INDEX(其他调用!$X$5:$X$43,MATCH($W96,其他调用!$T$5:$T$43,1))*求节点($G$34:$G$42,$J$34:$J$42,求节点($R$6:$R$14,$O$6:$O$14,$W96)),0)+IFERROR(INDEX(其他调用!$Y$5:$Y$43,MATCH($W96,其他调用!$T$5:$T$43,1))*求节点($G$34:$G$42,$K$34:$K$42,求节点($S$6:$S$14,$O$6:$O$14,$W96)),0))/6,1)</f>
        <v>0.60813741921785935</v>
      </c>
      <c r="Y96" s="8">
        <f>MIN((IFERROR(INDEX(其他调用!$W$50:$W$88,MATCH($W96,其他调用!$T$50:$T$88,1))*求节点($G$34:$G$42,$I$34:$I$42,求节点($Q$20:$Q$28,$O$20:$O$28,$W96)),0)+IFERROR(INDEX(其他调用!$X$50:$X$88,MATCH($W96,其他调用!$T$50:$T$88,1))*求节点($G$34:$G$42,$J$34:$J$42,求节点($R$20:$R$28,$O$20:$O$28,$W96)),0)+IFERROR(INDEX(其他调用!$Y$50:$Y$88,MATCH($W96,其他调用!$T$50:$T$88,1))*求节点($G$34:$G$42,$K$34:$K$42,求节点($S$20:$S$28,$O$20:$O$28,$W96)),0))/6,1)</f>
        <v>0.67200074017436895</v>
      </c>
      <c r="Z96" s="8">
        <f>MIN((IFERROR(INDEX(其他调用!$W$95:$W$133,MATCH($W96,其他调用!$T$95:$T$133,1))*求节点($G$34:$G$42,$I$34:$I$42,求节点($Q$34:$Q$42,$O$34:$O$42,$W96)),0)+IFERROR(INDEX(其他调用!$X$95:$X$133,MATCH($W96,其他调用!$T$95:$T$133,1))*求节点($G$34:$G$42,$J$34:$J$42,求节点($R$34:$R$42,$O$34:$O$42,$W96)),0)+IFERROR(INDEX(其他调用!$Y$95:$Y$133,MATCH($W96,其他调用!$T$95:$T$133,1))*求节点($G$34:$G$42,$K$34:$K$42,求节点($S$34:$S$42,$O$34:$O$42,$W96)),0))/6,1)</f>
        <v>0.69855967542922015</v>
      </c>
      <c r="AA96" s="8">
        <f>MIN((IFERROR(INDEX(其他调用!$W$140:$W$178,MATCH($W96,其他调用!$T$140:$T$178,1))*求节点($G$34:$G$42,$I$34:$I$42,求节点($Q$48:$Q$56,$O$48:$O$56,$W96)),0)+IFERROR(INDEX(其他调用!$X$140:$X$178,MATCH($W96,其他调用!$T$140:$T$178,1))*求节点($G$34:$G$42,$J$34:$J$42,求节点($R$48:$R$56,$O$48:$O$56,$W96)),0)+IFERROR(INDEX(其他调用!$Y$140:$Y$178,MATCH($W96,其他调用!$T$140:$T$178,1))*求节点($G$34:$G$42,$K$34:$K$42,求节点($S$48:$S$56,$O$48:$O$56,$W96)),0))/6,1)</f>
        <v>0.78243314785225004</v>
      </c>
      <c r="AB96" s="8">
        <f>MIN((IFERROR(INDEX(其他调用!$W$185:$W$223,MATCH($W96,其他调用!$T$185:$T$223,1))*求节点($G$34:$G$42,$I$34:$I$42,求节点($Q$62:$Q$70,$O$62:$O$70,$W96)),0)+IFERROR(INDEX(其他调用!$X$185:$X$223,MATCH($W96,其他调用!$T$185:$T$223,1))*求节点($G$34:$G$42,$J$34:$J$42,求节点($R$62:$R$70,$O$62:$O$70,$W96)),0)+IFERROR(INDEX(其他调用!$Y$185:$Y$223,MATCH($W96,其他调用!$T$185:$T$223,1))*求节点($G$34:$G$42,$K$34:$K$42,求节点($S$62:$S$70,$O$62:$O$70,$W96)),0))/6,1)</f>
        <v>0.78310404780355947</v>
      </c>
      <c r="AD96" s="8">
        <v>91</v>
      </c>
      <c r="AE96" s="8">
        <f>X96/士兵加成武将!W96</f>
        <v>0.81007455736915301</v>
      </c>
      <c r="AF96" s="8">
        <f>Y96/士兵加成武将!X96</f>
        <v>0.87566408124348571</v>
      </c>
      <c r="AG96" s="8">
        <f>Z96/士兵加成武将!Y96</f>
        <v>0.8897651895847698</v>
      </c>
      <c r="AH96" s="8">
        <f>AA96/士兵加成武将!Z96</f>
        <v>0.97320656778694692</v>
      </c>
      <c r="AI96" s="8">
        <f>AB96/士兵加成武将!AA96</f>
        <v>0.95022339873219586</v>
      </c>
    </row>
    <row r="97" spans="23:35" x14ac:dyDescent="0.15">
      <c r="W97" s="8">
        <v>92</v>
      </c>
      <c r="X97" s="8">
        <f>MIN((IFERROR(INDEX(其他调用!$W$5:$W$43,MATCH($W97,其他调用!$T$5:$T$43,1))*求节点($G$34:$G$42,$I$34:$I$42,求节点($Q$6:$Q$14,$O$6:$O$14,$W97)),0)+IFERROR(INDEX(其他调用!$X$5:$X$43,MATCH($W97,其他调用!$T$5:$T$43,1))*求节点($G$34:$G$42,$J$34:$J$42,求节点($R$6:$R$14,$O$6:$O$14,$W97)),0)+IFERROR(INDEX(其他调用!$Y$5:$Y$43,MATCH($W97,其他调用!$T$5:$T$43,1))*求节点($G$34:$G$42,$K$34:$K$42,求节点($S$6:$S$14,$O$6:$O$14,$W97)),0))/6,1)</f>
        <v>0.61689255139355603</v>
      </c>
      <c r="Y97" s="8">
        <f>MIN((IFERROR(INDEX(其他调用!$W$50:$W$88,MATCH($W97,其他调用!$T$50:$T$88,1))*求节点($G$34:$G$42,$I$34:$I$42,求节点($Q$20:$Q$28,$O$20:$O$28,$W97)),0)+IFERROR(INDEX(其他调用!$X$50:$X$88,MATCH($W97,其他调用!$T$50:$T$88,1))*求节点($G$34:$G$42,$J$34:$J$42,求节点($R$20:$R$28,$O$20:$O$28,$W97)),0)+IFERROR(INDEX(其他调用!$Y$50:$Y$88,MATCH($W97,其他调用!$T$50:$T$88,1))*求节点($G$34:$G$42,$K$34:$K$42,求节点($S$20:$S$28,$O$20:$O$28,$W97)),0))/6,1)</f>
        <v>0.68031880956534918</v>
      </c>
      <c r="Z97" s="8">
        <f>MIN((IFERROR(INDEX(其他调用!$W$95:$W$133,MATCH($W97,其他调用!$T$95:$T$133,1))*求节点($G$34:$G$42,$I$34:$I$42,求节点($Q$34:$Q$42,$O$34:$O$42,$W97)),0)+IFERROR(INDEX(其他调用!$X$95:$X$133,MATCH($W97,其他调用!$T$95:$T$133,1))*求节点($G$34:$G$42,$J$34:$J$42,求节点($R$34:$R$42,$O$34:$O$42,$W97)),0)+IFERROR(INDEX(其他调用!$Y$95:$Y$133,MATCH($W97,其他调用!$T$95:$T$133,1))*求节点($G$34:$G$42,$K$34:$K$42,求节点($S$34:$S$42,$O$34:$O$42,$W97)),0))/6,1)</f>
        <v>0.70723472928722109</v>
      </c>
      <c r="AA97" s="8">
        <f>MIN((IFERROR(INDEX(其他调用!$W$140:$W$178,MATCH($W97,其他调用!$T$140:$T$178,1))*求节点($G$34:$G$42,$I$34:$I$42,求节点($Q$48:$Q$56,$O$48:$O$56,$W97)),0)+IFERROR(INDEX(其他调用!$X$140:$X$178,MATCH($W97,其他调用!$T$140:$T$178,1))*求节点($G$34:$G$42,$J$34:$J$42,求节点($R$48:$R$56,$O$48:$O$56,$W97)),0)+IFERROR(INDEX(其他调用!$Y$140:$Y$178,MATCH($W97,其他调用!$T$140:$T$178,1))*求节点($G$34:$G$42,$K$34:$K$42,求节点($S$48:$S$56,$O$48:$O$56,$W97)),0))/6,1)</f>
        <v>0.79103131431216467</v>
      </c>
      <c r="AB97" s="8">
        <f>MIN((IFERROR(INDEX(其他调用!$W$185:$W$223,MATCH($W97,其他调用!$T$185:$T$223,1))*求节点($G$34:$G$42,$I$34:$I$42,求节点($Q$62:$Q$70,$O$62:$O$70,$W97)),0)+IFERROR(INDEX(其他调用!$X$185:$X$223,MATCH($W97,其他调用!$T$185:$T$223,1))*求节点($G$34:$G$42,$J$34:$J$42,求节点($R$62:$R$70,$O$62:$O$70,$W97)),0)+IFERROR(INDEX(其他调用!$Y$185:$Y$223,MATCH($W97,其他调用!$T$185:$T$223,1))*求节点($G$34:$G$42,$K$34:$K$42,求节点($S$62:$S$70,$O$62:$O$70,$W97)),0))/6,1)</f>
        <v>0.79170958679041148</v>
      </c>
      <c r="AD97" s="8">
        <v>92</v>
      </c>
      <c r="AE97" s="8">
        <f>X97/士兵加成武将!W97</f>
        <v>0.80489381085070866</v>
      </c>
      <c r="AF97" s="8">
        <f>Y97/士兵加成武将!X97</f>
        <v>0.86886635652229016</v>
      </c>
      <c r="AG97" s="8">
        <f>Z97/士兵加成武将!Y97</f>
        <v>0.88346012350487813</v>
      </c>
      <c r="AH97" s="8">
        <f>AA97/士兵加成武将!Z97</f>
        <v>0.96560854252167905</v>
      </c>
      <c r="AI97" s="8">
        <f>AB97/士兵加成武将!AA97</f>
        <v>0.94348363198207985</v>
      </c>
    </row>
    <row r="98" spans="23:35" x14ac:dyDescent="0.15">
      <c r="W98" s="8">
        <v>93</v>
      </c>
      <c r="X98" s="8">
        <f>MIN((IFERROR(INDEX(其他调用!$W$5:$W$43,MATCH($W98,其他调用!$T$5:$T$43,1))*求节点($G$34:$G$42,$I$34:$I$42,求节点($Q$6:$Q$14,$O$6:$O$14,$W98)),0)+IFERROR(INDEX(其他调用!$X$5:$X$43,MATCH($W98,其他调用!$T$5:$T$43,1))*求节点($G$34:$G$42,$J$34:$J$42,求节点($R$6:$R$14,$O$6:$O$14,$W98)),0)+IFERROR(INDEX(其他调用!$Y$5:$Y$43,MATCH($W98,其他调用!$T$5:$T$43,1))*求节点($G$34:$G$42,$K$34:$K$42,求节点($S$6:$S$14,$O$6:$O$14,$W98)),0))/6,1)</f>
        <v>0.6256476835692526</v>
      </c>
      <c r="Y98" s="8">
        <f>MIN((IFERROR(INDEX(其他调用!$W$50:$W$88,MATCH($W98,其他调用!$T$50:$T$88,1))*求节点($G$34:$G$42,$I$34:$I$42,求节点($Q$20:$Q$28,$O$20:$O$28,$W98)),0)+IFERROR(INDEX(其他调用!$X$50:$X$88,MATCH($W98,其他调用!$T$50:$T$88,1))*求节点($G$34:$G$42,$J$34:$J$42,求节点($R$20:$R$28,$O$20:$O$28,$W98)),0)+IFERROR(INDEX(其他调用!$Y$50:$Y$88,MATCH($W98,其他调用!$T$50:$T$88,1))*求节点($G$34:$G$42,$K$34:$K$42,求节点($S$20:$S$28,$O$20:$O$28,$W98)),0))/6,1)</f>
        <v>0.68863687895632941</v>
      </c>
      <c r="Z98" s="8">
        <f>MIN((IFERROR(INDEX(其他调用!$W$95:$W$133,MATCH($W98,其他调用!$T$95:$T$133,1))*求节点($G$34:$G$42,$I$34:$I$42,求节点($Q$34:$Q$42,$O$34:$O$42,$W98)),0)+IFERROR(INDEX(其他调用!$X$95:$X$133,MATCH($W98,其他调用!$T$95:$T$133,1))*求节点($G$34:$G$42,$J$34:$J$42,求节点($R$34:$R$42,$O$34:$O$42,$W98)),0)+IFERROR(INDEX(其他调用!$Y$95:$Y$133,MATCH($W98,其他调用!$T$95:$T$133,1))*求节点($G$34:$G$42,$K$34:$K$42,求节点($S$34:$S$42,$O$34:$O$42,$W98)),0))/6,1)</f>
        <v>0.71590978314522191</v>
      </c>
      <c r="AA98" s="8">
        <f>MIN((IFERROR(INDEX(其他调用!$W$140:$W$178,MATCH($W98,其他调用!$T$140:$T$178,1))*求节点($G$34:$G$42,$I$34:$I$42,求节点($Q$48:$Q$56,$O$48:$O$56,$W98)),0)+IFERROR(INDEX(其他调用!$X$140:$X$178,MATCH($W98,其他调用!$T$140:$T$178,1))*求节点($G$34:$G$42,$J$34:$J$42,求节点($R$48:$R$56,$O$48:$O$56,$W98)),0)+IFERROR(INDEX(其他调用!$Y$140:$Y$178,MATCH($W98,其他调用!$T$140:$T$178,1))*求节点($G$34:$G$42,$K$34:$K$42,求节点($S$48:$S$56,$O$48:$O$56,$W98)),0))/6,1)</f>
        <v>0.79962948077207974</v>
      </c>
      <c r="AB98" s="8">
        <f>MIN((IFERROR(INDEX(其他调用!$W$185:$W$223,MATCH($W98,其他调用!$T$185:$T$223,1))*求节点($G$34:$G$42,$I$34:$I$42,求节点($Q$62:$Q$70,$O$62:$O$70,$W98)),0)+IFERROR(INDEX(其他调用!$X$185:$X$223,MATCH($W98,其他调用!$T$185:$T$223,1))*求节点($G$34:$G$42,$J$34:$J$42,求节点($R$62:$R$70,$O$62:$O$70,$W98)),0)+IFERROR(INDEX(其他调用!$Y$185:$Y$223,MATCH($W98,其他调用!$T$185:$T$223,1))*求节点($G$34:$G$42,$K$34:$K$42,求节点($S$62:$S$70,$O$62:$O$70,$W98)),0))/6,1)</f>
        <v>0.80031512577726394</v>
      </c>
      <c r="AD98" s="8">
        <v>93</v>
      </c>
      <c r="AE98" s="8">
        <f>X98/士兵加成武将!W98</f>
        <v>0.79992117757151637</v>
      </c>
      <c r="AF98" s="8">
        <f>Y98/士兵加成武将!X98</f>
        <v>0.86233383366334893</v>
      </c>
      <c r="AG98" s="8">
        <f>Z98/士兵加成武将!Y98</f>
        <v>0.87739340544060518</v>
      </c>
      <c r="AH98" s="8">
        <f>AA98/士兵加成武将!Z98</f>
        <v>0.95828788410185028</v>
      </c>
      <c r="AI98" s="8">
        <f>AB98/士兵加成武将!AA98</f>
        <v>0.93698071451535492</v>
      </c>
    </row>
    <row r="99" spans="23:35" x14ac:dyDescent="0.15">
      <c r="W99" s="8">
        <v>94</v>
      </c>
      <c r="X99" s="8">
        <f>MIN((IFERROR(INDEX(其他调用!$W$5:$W$43,MATCH($W99,其他调用!$T$5:$T$43,1))*求节点($G$34:$G$42,$I$34:$I$42,求节点($Q$6:$Q$14,$O$6:$O$14,$W99)),0)+IFERROR(INDEX(其他调用!$X$5:$X$43,MATCH($W99,其他调用!$T$5:$T$43,1))*求节点($G$34:$G$42,$J$34:$J$42,求节点($R$6:$R$14,$O$6:$O$14,$W99)),0)+IFERROR(INDEX(其他调用!$Y$5:$Y$43,MATCH($W99,其他调用!$T$5:$T$43,1))*求节点($G$34:$G$42,$K$34:$K$42,求节点($S$6:$S$14,$O$6:$O$14,$W99)),0))/6,1)</f>
        <v>0.63440281574494917</v>
      </c>
      <c r="Y99" s="8">
        <f>MIN((IFERROR(INDEX(其他调用!$W$50:$W$88,MATCH($W99,其他调用!$T$50:$T$88,1))*求节点($G$34:$G$42,$I$34:$I$42,求节点($Q$20:$Q$28,$O$20:$O$28,$W99)),0)+IFERROR(INDEX(其他调用!$X$50:$X$88,MATCH($W99,其他调用!$T$50:$T$88,1))*求节点($G$34:$G$42,$J$34:$J$42,求节点($R$20:$R$28,$O$20:$O$28,$W99)),0)+IFERROR(INDEX(其他调用!$Y$50:$Y$88,MATCH($W99,其他调用!$T$50:$T$88,1))*求节点($G$34:$G$42,$K$34:$K$42,求节点($S$20:$S$28,$O$20:$O$28,$W99)),0))/6,1)</f>
        <v>0.69695494834730953</v>
      </c>
      <c r="Z99" s="8">
        <f>MIN((IFERROR(INDEX(其他调用!$W$95:$W$133,MATCH($W99,其他调用!$T$95:$T$133,1))*求节点($G$34:$G$42,$I$34:$I$42,求节点($Q$34:$Q$42,$O$34:$O$42,$W99)),0)+IFERROR(INDEX(其他调用!$X$95:$X$133,MATCH($W99,其他调用!$T$95:$T$133,1))*求节点($G$34:$G$42,$J$34:$J$42,求节点($R$34:$R$42,$O$34:$O$42,$W99)),0)+IFERROR(INDEX(其他调用!$Y$95:$Y$133,MATCH($W99,其他调用!$T$95:$T$133,1))*求节点($G$34:$G$42,$K$34:$K$42,求节点($S$34:$S$42,$O$34:$O$42,$W99)),0))/6,1)</f>
        <v>0.72407103694019448</v>
      </c>
      <c r="AA99" s="8">
        <f>MIN((IFERROR(INDEX(其他调用!$W$140:$W$178,MATCH($W99,其他调用!$T$140:$T$178,1))*求节点($G$34:$G$42,$I$34:$I$42,求节点($Q$48:$Q$56,$O$48:$O$56,$W99)),0)+IFERROR(INDEX(其他调用!$X$140:$X$178,MATCH($W99,其他调用!$T$140:$T$178,1))*求节点($G$34:$G$42,$J$34:$J$42,求节点($R$48:$R$56,$O$48:$O$56,$W99)),0)+IFERROR(INDEX(其他调用!$Y$140:$Y$178,MATCH($W99,其他调用!$T$140:$T$178,1))*求节点($G$34:$G$42,$K$34:$K$42,求节点($S$48:$S$56,$O$48:$O$56,$W99)),0))/6,1)</f>
        <v>0.80822764723199436</v>
      </c>
      <c r="AB99" s="8">
        <f>MIN((IFERROR(INDEX(其他调用!$W$185:$W$223,MATCH($W99,其他调用!$T$185:$T$223,1))*求节点($G$34:$G$42,$I$34:$I$42,求节点($Q$62:$Q$70,$O$62:$O$70,$W99)),0)+IFERROR(INDEX(其他调用!$X$185:$X$223,MATCH($W99,其他调用!$T$185:$T$223,1))*求节点($G$34:$G$42,$J$34:$J$42,求节点($R$62:$R$70,$O$62:$O$70,$W99)),0)+IFERROR(INDEX(其他调用!$Y$185:$Y$223,MATCH($W99,其他调用!$T$185:$T$223,1))*求节点($G$34:$G$42,$K$34:$K$42,求节点($S$62:$S$70,$O$62:$O$70,$W99)),0))/6,1)</f>
        <v>0.80892066476411617</v>
      </c>
      <c r="AD99" s="8">
        <v>94</v>
      </c>
      <c r="AE99" s="8">
        <f>X99/士兵加成武将!W99</f>
        <v>0.79514436441888481</v>
      </c>
      <c r="AF99" s="8">
        <f>Y99/士兵加成武将!X99</f>
        <v>0.85605128999937197</v>
      </c>
      <c r="AG99" s="8">
        <f>Z99/士兵加成武将!Y99</f>
        <v>0.87093375714202437</v>
      </c>
      <c r="AH99" s="8">
        <f>AA99/士兵加成武将!Z99</f>
        <v>0.95122967681134896</v>
      </c>
      <c r="AI99" s="8">
        <f>AB99/士兵加成武将!AA99</f>
        <v>0.9307023768618703</v>
      </c>
    </row>
    <row r="100" spans="23:35" x14ac:dyDescent="0.15">
      <c r="W100" s="8">
        <v>95</v>
      </c>
      <c r="X100" s="8">
        <f>MIN((IFERROR(INDEX(其他调用!$W$5:$W$43,MATCH($W100,其他调用!$T$5:$T$43,1))*求节点($G$34:$G$42,$I$34:$I$42,求节点($Q$6:$Q$14,$O$6:$O$14,$W100)),0)+IFERROR(INDEX(其他调用!$X$5:$X$43,MATCH($W100,其他调用!$T$5:$T$43,1))*求节点($G$34:$G$42,$J$34:$J$42,求节点($R$6:$R$14,$O$6:$O$14,$W100)),0)+IFERROR(INDEX(其他调用!$Y$5:$Y$43,MATCH($W100,其他调用!$T$5:$T$43,1))*求节点($G$34:$G$42,$K$34:$K$42,求节点($S$6:$S$14,$O$6:$O$14,$W100)),0))/6,1)</f>
        <v>0.64315794792064573</v>
      </c>
      <c r="Y100" s="8">
        <f>MIN((IFERROR(INDEX(其他调用!$W$50:$W$88,MATCH($W100,其他调用!$T$50:$T$88,1))*求节点($G$34:$G$42,$I$34:$I$42,求节点($Q$20:$Q$28,$O$20:$O$28,$W100)),0)+IFERROR(INDEX(其他调用!$X$50:$X$88,MATCH($W100,其他调用!$T$50:$T$88,1))*求节点($G$34:$G$42,$J$34:$J$42,求节点($R$20:$R$28,$O$20:$O$28,$W100)),0)+IFERROR(INDEX(其他调用!$Y$50:$Y$88,MATCH($W100,其他调用!$T$50:$T$88,1))*求节点($G$34:$G$42,$K$34:$K$42,求节点($S$20:$S$28,$O$20:$O$28,$W100)),0))/6,1)</f>
        <v>0.70527301773828988</v>
      </c>
      <c r="Z100" s="8">
        <f>MIN((IFERROR(INDEX(其他调用!$W$95:$W$133,MATCH($W100,其他调用!$T$95:$T$133,1))*求节点($G$34:$G$42,$I$34:$I$42,求节点($Q$34:$Q$42,$O$34:$O$42,$W100)),0)+IFERROR(INDEX(其他调用!$X$95:$X$133,MATCH($W100,其他调用!$T$95:$T$133,1))*求节点($G$34:$G$42,$J$34:$J$42,求节点($R$34:$R$42,$O$34:$O$42,$W100)),0)+IFERROR(INDEX(其他调用!$Y$95:$Y$133,MATCH($W100,其他调用!$T$95:$T$133,1))*求节点($G$34:$G$42,$K$34:$K$42,求节点($S$34:$S$42,$O$34:$O$42,$W100)),0))/6,1)</f>
        <v>0.7317739203118987</v>
      </c>
      <c r="AA100" s="8">
        <f>MIN((IFERROR(INDEX(其他调用!$W$140:$W$178,MATCH($W100,其他调用!$T$140:$T$178,1))*求节点($G$34:$G$42,$I$34:$I$42,求节点($Q$48:$Q$56,$O$48:$O$56,$W100)),0)+IFERROR(INDEX(其他调用!$X$140:$X$178,MATCH($W100,其他调用!$T$140:$T$178,1))*求节点($G$34:$G$42,$J$34:$J$42,求节点($R$48:$R$56,$O$48:$O$56,$W100)),0)+IFERROR(INDEX(其他调用!$Y$140:$Y$178,MATCH($W100,其他调用!$T$140:$T$178,1))*求节点($G$34:$G$42,$K$34:$K$42,求节点($S$48:$S$56,$O$48:$O$56,$W100)),0))/6,1)</f>
        <v>0.81682581369190921</v>
      </c>
      <c r="AB100" s="8">
        <f>MIN((IFERROR(INDEX(其他调用!$W$185:$W$223,MATCH($W100,其他调用!$T$185:$T$223,1))*求节点($G$34:$G$42,$I$34:$I$42,求节点($Q$62:$Q$70,$O$62:$O$70,$W100)),0)+IFERROR(INDEX(其他调用!$X$185:$X$223,MATCH($W100,其他调用!$T$185:$T$223,1))*求节点($G$34:$G$42,$J$34:$J$42,求节点($R$62:$R$70,$O$62:$O$70,$W100)),0)+IFERROR(INDEX(其他调用!$Y$185:$Y$223,MATCH($W100,其他调用!$T$185:$T$223,1))*求节点($G$34:$G$42,$K$34:$K$42,求节点($S$62:$S$70,$O$62:$O$70,$W100)),0))/6,1)</f>
        <v>0.81752620375096841</v>
      </c>
      <c r="AD100" s="8">
        <v>95</v>
      </c>
      <c r="AE100" s="8">
        <f>X100/士兵加成武将!W100</f>
        <v>0.79055202777950417</v>
      </c>
      <c r="AF100" s="8">
        <f>Y100/士兵加成武将!X100</f>
        <v>0.85000464603783366</v>
      </c>
      <c r="AG100" s="8">
        <f>Z100/士兵加成武将!Y100</f>
        <v>0.86416810580427306</v>
      </c>
      <c r="AH100" s="8">
        <f>AA100/士兵加成武将!Z100</f>
        <v>0.94442005558019537</v>
      </c>
      <c r="AI100" s="8">
        <f>AB100/士兵加成武将!AA100</f>
        <v>0.92463718262447314</v>
      </c>
    </row>
    <row r="101" spans="23:35" x14ac:dyDescent="0.15">
      <c r="W101" s="8">
        <v>96</v>
      </c>
      <c r="X101" s="8">
        <f>MIN((IFERROR(INDEX(其他调用!$W$5:$W$43,MATCH($W101,其他调用!$T$5:$T$43,1))*求节点($G$34:$G$42,$I$34:$I$42,求节点($Q$6:$Q$14,$O$6:$O$14,$W101)),0)+IFERROR(INDEX(其他调用!$X$5:$X$43,MATCH($W101,其他调用!$T$5:$T$43,1))*求节点($G$34:$G$42,$J$34:$J$42,求节点($R$6:$R$14,$O$6:$O$14,$W101)),0)+IFERROR(INDEX(其他调用!$Y$5:$Y$43,MATCH($W101,其他调用!$T$5:$T$43,1))*求节点($G$34:$G$42,$K$34:$K$42,求节点($S$6:$S$14,$O$6:$O$14,$W101)),0))/6,1)</f>
        <v>0.6519130800963423</v>
      </c>
      <c r="Y101" s="8">
        <f>MIN((IFERROR(INDEX(其他调用!$W$50:$W$88,MATCH($W101,其他调用!$T$50:$T$88,1))*求节点($G$34:$G$42,$I$34:$I$42,求节点($Q$20:$Q$28,$O$20:$O$28,$W101)),0)+IFERROR(INDEX(其他调用!$X$50:$X$88,MATCH($W101,其他调用!$T$50:$T$88,1))*求节点($G$34:$G$42,$J$34:$J$42,求节点($R$20:$R$28,$O$20:$O$28,$W101)),0)+IFERROR(INDEX(其他调用!$Y$50:$Y$88,MATCH($W101,其他调用!$T$50:$T$88,1))*求节点($G$34:$G$42,$K$34:$K$42,求节点($S$20:$S$28,$O$20:$O$28,$W101)),0))/6,1)</f>
        <v>0.71359108712927011</v>
      </c>
      <c r="Z101" s="8">
        <f>MIN((IFERROR(INDEX(其他调用!$W$95:$W$133,MATCH($W101,其他调用!$T$95:$T$133,1))*求节点($G$34:$G$42,$I$34:$I$42,求节点($Q$34:$Q$42,$O$34:$O$42,$W101)),0)+IFERROR(INDEX(其他调用!$X$95:$X$133,MATCH($W101,其他调用!$T$95:$T$133,1))*求节点($G$34:$G$42,$J$34:$J$42,求节点($R$34:$R$42,$O$34:$O$42,$W101)),0)+IFERROR(INDEX(其他调用!$Y$95:$Y$133,MATCH($W101,其他调用!$T$95:$T$133,1))*求节点($G$34:$G$42,$K$34:$K$42,求节点($S$34:$S$42,$O$34:$O$42,$W101)),0))/6,1)</f>
        <v>0.73947680368360269</v>
      </c>
      <c r="AA101" s="8">
        <f>MIN((IFERROR(INDEX(其他调用!$W$140:$W$178,MATCH($W101,其他调用!$T$140:$T$178,1))*求节点($G$34:$G$42,$I$34:$I$42,求节点($Q$48:$Q$56,$O$48:$O$56,$W101)),0)+IFERROR(INDEX(其他调用!$X$140:$X$178,MATCH($W101,其他调用!$T$140:$T$178,1))*求节点($G$34:$G$42,$J$34:$J$42,求节点($R$48:$R$56,$O$48:$O$56,$W101)),0)+IFERROR(INDEX(其他调用!$Y$140:$Y$178,MATCH($W101,其他调用!$T$140:$T$178,1))*求节点($G$34:$G$42,$K$34:$K$42,求节点($S$48:$S$56,$O$48:$O$56,$W101)),0))/6,1)</f>
        <v>0.82542398015182405</v>
      </c>
      <c r="AB101" s="8">
        <f>MIN((IFERROR(INDEX(其他调用!$W$185:$W$223,MATCH($W101,其他调用!$T$185:$T$223,1))*求节点($G$34:$G$42,$I$34:$I$42,求节点($Q$62:$Q$70,$O$62:$O$70,$W101)),0)+IFERROR(INDEX(其他调用!$X$185:$X$223,MATCH($W101,其他调用!$T$185:$T$223,1))*求节点($G$34:$G$42,$J$34:$J$42,求节点($R$62:$R$70,$O$62:$O$70,$W101)),0)+IFERROR(INDEX(其他调用!$Y$185:$Y$223,MATCH($W101,其他调用!$T$185:$T$223,1))*求节点($G$34:$G$42,$K$34:$K$42,求节点($S$62:$S$70,$O$62:$O$70,$W101)),0))/6,1)</f>
        <v>0.82613174273782075</v>
      </c>
      <c r="AD101" s="8">
        <v>96</v>
      </c>
      <c r="AE101" s="8">
        <f>X101/士兵加成武将!W101</f>
        <v>0.78613368360389058</v>
      </c>
      <c r="AF101" s="8">
        <f>Y101/士兵加成武将!X101</f>
        <v>0.84418086012745808</v>
      </c>
      <c r="AG101" s="8">
        <f>Z101/士兵加成武将!Y101</f>
        <v>0.85764448947539729</v>
      </c>
      <c r="AH101" s="8">
        <f>AA101/士兵加成武将!Z101</f>
        <v>0.93784611507748517</v>
      </c>
      <c r="AI101" s="8">
        <f>AB101/士兵加成武将!AA101</f>
        <v>0.91877445895412613</v>
      </c>
    </row>
    <row r="102" spans="23:35" x14ac:dyDescent="0.15">
      <c r="W102" s="8">
        <v>97</v>
      </c>
      <c r="X102" s="8">
        <f>MIN((IFERROR(INDEX(其他调用!$W$5:$W$43,MATCH($W102,其他调用!$T$5:$T$43,1))*求节点($G$34:$G$42,$I$34:$I$42,求节点($Q$6:$Q$14,$O$6:$O$14,$W102)),0)+IFERROR(INDEX(其他调用!$X$5:$X$43,MATCH($W102,其他调用!$T$5:$T$43,1))*求节点($G$34:$G$42,$J$34:$J$42,求节点($R$6:$R$14,$O$6:$O$14,$W102)),0)+IFERROR(INDEX(其他调用!$Y$5:$Y$43,MATCH($W102,其他调用!$T$5:$T$43,1))*求节点($G$34:$G$42,$K$34:$K$42,求节点($S$6:$S$14,$O$6:$O$14,$W102)),0))/6,1)</f>
        <v>0.66043373277685924</v>
      </c>
      <c r="Y102" s="8">
        <f>MIN((IFERROR(INDEX(其他调用!$W$50:$W$88,MATCH($W102,其他调用!$T$50:$T$88,1))*求节点($G$34:$G$42,$I$34:$I$42,求节点($Q$20:$Q$28,$O$20:$O$28,$W102)),0)+IFERROR(INDEX(其他调用!$X$50:$X$88,MATCH($W102,其他调用!$T$50:$T$88,1))*求节点($G$34:$G$42,$J$34:$J$42,求节点($R$20:$R$28,$O$20:$O$28,$W102)),0)+IFERROR(INDEX(其他调用!$Y$50:$Y$88,MATCH($W102,其他调用!$T$50:$T$88,1))*求节点($G$34:$G$42,$K$34:$K$42,求节点($S$20:$S$28,$O$20:$O$28,$W102)),0))/6,1)</f>
        <v>0.72170768826323828</v>
      </c>
      <c r="Z102" s="8">
        <f>MIN((IFERROR(INDEX(其他调用!$W$95:$W$133,MATCH($W102,其他调用!$T$95:$T$133,1))*求节点($G$34:$G$42,$I$34:$I$42,求节点($Q$34:$Q$42,$O$34:$O$42,$W102)),0)+IFERROR(INDEX(其他调用!$X$95:$X$133,MATCH($W102,其他调用!$T$95:$T$133,1))*求节点($G$34:$G$42,$J$34:$J$42,求节点($R$34:$R$42,$O$34:$O$42,$W102)),0)+IFERROR(INDEX(其他调用!$Y$95:$Y$133,MATCH($W102,其他调用!$T$95:$T$133,1))*求节点($G$34:$G$42,$K$34:$K$42,求节点($S$34:$S$42,$O$34:$O$42,$W102)),0))/6,1)</f>
        <v>0.74717968705530702</v>
      </c>
      <c r="AA102" s="8">
        <f>MIN((IFERROR(INDEX(其他调用!$W$140:$W$178,MATCH($W102,其他调用!$T$140:$T$178,1))*求节点($G$34:$G$42,$I$34:$I$42,求节点($Q$48:$Q$56,$O$48:$O$56,$W102)),0)+IFERROR(INDEX(其他调用!$X$140:$X$178,MATCH($W102,其他调用!$T$140:$T$178,1))*求节点($G$34:$G$42,$J$34:$J$42,求节点($R$48:$R$56,$O$48:$O$56,$W102)),0)+IFERROR(INDEX(其他调用!$Y$140:$Y$178,MATCH($W102,其他调用!$T$140:$T$178,1))*求节点($G$34:$G$42,$K$34:$K$42,求节点($S$48:$S$56,$O$48:$O$56,$W102)),0))/6,1)</f>
        <v>0.8340221466117389</v>
      </c>
      <c r="AB102" s="8">
        <f>MIN((IFERROR(INDEX(其他调用!$W$185:$W$223,MATCH($W102,其他调用!$T$185:$T$223,1))*求节点($G$34:$G$42,$I$34:$I$42,求节点($Q$62:$Q$70,$O$62:$O$70,$W102)),0)+IFERROR(INDEX(其他调用!$X$185:$X$223,MATCH($W102,其他调用!$T$185:$T$223,1))*求节点($G$34:$G$42,$J$34:$J$42,求节点($R$62:$R$70,$O$62:$O$70,$W102)),0)+IFERROR(INDEX(其他调用!$Y$185:$Y$223,MATCH($W102,其他调用!$T$185:$T$223,1))*求节点($G$34:$G$42,$K$34:$K$42,求节点($S$62:$S$70,$O$62:$O$70,$W102)),0))/6,1)</f>
        <v>0.8347372817246731</v>
      </c>
      <c r="AD102" s="8">
        <v>97</v>
      </c>
      <c r="AE102" s="8">
        <f>X102/士兵加成武将!W102</f>
        <v>0.78160212854531597</v>
      </c>
      <c r="AF102" s="8">
        <f>Y102/士兵加成武将!X102</f>
        <v>0.83833380954725134</v>
      </c>
      <c r="AG102" s="8">
        <f>Z102/士兵加成武将!Y102</f>
        <v>0.85135014851495383</v>
      </c>
      <c r="AH102" s="8">
        <f>AA102/士兵加成武将!Z102</f>
        <v>0.9314958280826422</v>
      </c>
      <c r="AI102" s="8">
        <f>AB102/士兵加成武将!AA102</f>
        <v>0.91310423387343553</v>
      </c>
    </row>
    <row r="103" spans="23:35" x14ac:dyDescent="0.15">
      <c r="W103" s="8">
        <v>98</v>
      </c>
      <c r="X103" s="8">
        <f>MIN((IFERROR(INDEX(其他调用!$W$5:$W$43,MATCH($W103,其他调用!$T$5:$T$43,1))*求节点($G$34:$G$42,$I$34:$I$42,求节点($Q$6:$Q$14,$O$6:$O$14,$W103)),0)+IFERROR(INDEX(其他调用!$X$5:$X$43,MATCH($W103,其他调用!$T$5:$T$43,1))*求节点($G$34:$G$42,$J$34:$J$42,求节点($R$6:$R$14,$O$6:$O$14,$W103)),0)+IFERROR(INDEX(其他调用!$Y$5:$Y$43,MATCH($W103,其他调用!$T$5:$T$43,1))*求节点($G$34:$G$42,$K$34:$K$42,求节点($S$6:$S$14,$O$6:$O$14,$W103)),0))/6,1)</f>
        <v>0.66611663916639152</v>
      </c>
      <c r="Y103" s="8">
        <f>MIN((IFERROR(INDEX(其他调用!$W$50:$W$88,MATCH($W103,其他调用!$T$50:$T$88,1))*求节点($G$34:$G$42,$I$34:$I$42,求节点($Q$20:$Q$28,$O$20:$O$28,$W103)),0)+IFERROR(INDEX(其他调用!$X$50:$X$88,MATCH($W103,其他调用!$T$50:$T$88,1))*求节点($G$34:$G$42,$J$34:$J$42,求节点($R$20:$R$28,$O$20:$O$28,$W103)),0)+IFERROR(INDEX(其他调用!$Y$50:$Y$88,MATCH($W103,其他调用!$T$50:$T$88,1))*求节点($G$34:$G$42,$K$34:$K$42,求节点($S$20:$S$28,$O$20:$O$28,$W103)),0))/6,1)</f>
        <v>0.72914797370925122</v>
      </c>
      <c r="Z103" s="8">
        <f>MIN((IFERROR(INDEX(其他调用!$W$95:$W$133,MATCH($W103,其他调用!$T$95:$T$133,1))*求节点($G$34:$G$42,$I$34:$I$42,求节点($Q$34:$Q$42,$O$34:$O$42,$W103)),0)+IFERROR(INDEX(其他调用!$X$95:$X$133,MATCH($W103,其他调用!$T$95:$T$133,1))*求节点($G$34:$G$42,$J$34:$J$42,求节点($R$34:$R$42,$O$34:$O$42,$W103)),0)+IFERROR(INDEX(其他调用!$Y$95:$Y$133,MATCH($W103,其他调用!$T$95:$T$133,1))*求节点($G$34:$G$42,$K$34:$K$42,求节点($S$34:$S$42,$O$34:$O$42,$W103)),0))/6,1)</f>
        <v>0.75488257042701123</v>
      </c>
      <c r="AA103" s="8">
        <f>MIN((IFERROR(INDEX(其他调用!$W$140:$W$178,MATCH($W103,其他调用!$T$140:$T$178,1))*求节点($G$34:$G$42,$I$34:$I$42,求节点($Q$48:$Q$56,$O$48:$O$56,$W103)),0)+IFERROR(INDEX(其他调用!$X$140:$X$178,MATCH($W103,其他调用!$T$140:$T$178,1))*求节点($G$34:$G$42,$J$34:$J$42,求节点($R$48:$R$56,$O$48:$O$56,$W103)),0)+IFERROR(INDEX(其他调用!$Y$140:$Y$178,MATCH($W103,其他调用!$T$140:$T$178,1))*求节点($G$34:$G$42,$K$34:$K$42,求节点($S$48:$S$56,$O$48:$O$56,$W103)),0))/6,1)</f>
        <v>0.84262031307165375</v>
      </c>
      <c r="AB103" s="8">
        <f>MIN((IFERROR(INDEX(其他调用!$W$185:$W$223,MATCH($W103,其他调用!$T$185:$T$223,1))*求节点($G$34:$G$42,$I$34:$I$42,求节点($Q$62:$Q$70,$O$62:$O$70,$W103)),0)+IFERROR(INDEX(其他调用!$X$185:$X$223,MATCH($W103,其他调用!$T$185:$T$223,1))*求节点($G$34:$G$42,$J$34:$J$42,求节点($R$62:$R$70,$O$62:$O$70,$W103)),0)+IFERROR(INDEX(其他调用!$Y$185:$Y$223,MATCH($W103,其他调用!$T$185:$T$223,1))*求节点($G$34:$G$42,$K$34:$K$42,求节点($S$62:$S$70,$O$62:$O$70,$W103)),0))/6,1)</f>
        <v>0.84334282071152555</v>
      </c>
      <c r="AD103" s="8">
        <v>98</v>
      </c>
      <c r="AE103" s="8">
        <f>X103/士兵加成武将!W103</f>
        <v>0.77393891199578901</v>
      </c>
      <c r="AF103" s="8">
        <f>Y103/士兵加成武将!X103</f>
        <v>0.83192295655647586</v>
      </c>
      <c r="AG103" s="8">
        <f>Z103/士兵加成武将!Y103</f>
        <v>0.84527320468030498</v>
      </c>
      <c r="AH103" s="8">
        <f>AA103/士兵加成武将!Z103</f>
        <v>0.92535797204865122</v>
      </c>
      <c r="AI103" s="8">
        <f>AB103/士兵加成武将!AA103</f>
        <v>0.90761717967427902</v>
      </c>
    </row>
    <row r="104" spans="23:35" x14ac:dyDescent="0.15">
      <c r="W104" s="8">
        <v>99</v>
      </c>
      <c r="X104" s="8">
        <f>MIN((IFERROR(INDEX(其他调用!$W$5:$W$43,MATCH($W104,其他调用!$T$5:$T$43,1))*求节点($G$34:$G$42,$I$34:$I$42,求节点($Q$6:$Q$14,$O$6:$O$14,$W104)),0)+IFERROR(INDEX(其他调用!$X$5:$X$43,MATCH($W104,其他调用!$T$5:$T$43,1))*求节点($G$34:$G$42,$J$34:$J$42,求节点($R$6:$R$14,$O$6:$O$14,$W104)),0)+IFERROR(INDEX(其他调用!$Y$5:$Y$43,MATCH($W104,其他调用!$T$5:$T$43,1))*求节点($G$34:$G$42,$K$34:$K$42,求节点($S$6:$S$14,$O$6:$O$14,$W104)),0))/6,1)</f>
        <v>0.67179954555592392</v>
      </c>
      <c r="Y104" s="8">
        <f>MIN((IFERROR(INDEX(其他调用!$W$50:$W$88,MATCH($W104,其他调用!$T$50:$T$88,1))*求节点($G$34:$G$42,$I$34:$I$42,求节点($Q$20:$Q$28,$O$20:$O$28,$W104)),0)+IFERROR(INDEX(其他调用!$X$50:$X$88,MATCH($W104,其他调用!$T$50:$T$88,1))*求节点($G$34:$G$42,$J$34:$J$42,求节点($R$20:$R$28,$O$20:$O$28,$W104)),0)+IFERROR(INDEX(其他调用!$Y$50:$Y$88,MATCH($W104,其他调用!$T$50:$T$88,1))*求节点($G$34:$G$42,$K$34:$K$42,求节点($S$20:$S$28,$O$20:$O$28,$W104)),0))/6,1)</f>
        <v>0.73658825915526405</v>
      </c>
      <c r="Z104" s="8">
        <f>MIN((IFERROR(INDEX(其他调用!$W$95:$W$133,MATCH($W104,其他调用!$T$95:$T$133,1))*求节点($G$34:$G$42,$I$34:$I$42,求节点($Q$34:$Q$42,$O$34:$O$42,$W104)),0)+IFERROR(INDEX(其他调用!$X$95:$X$133,MATCH($W104,其他调用!$T$95:$T$133,1))*求节点($G$34:$G$42,$J$34:$J$42,求节点($R$34:$R$42,$O$34:$O$42,$W104)),0)+IFERROR(INDEX(其他调用!$Y$95:$Y$133,MATCH($W104,其他调用!$T$95:$T$133,1))*求节点($G$34:$G$42,$K$34:$K$42,求节点($S$34:$S$42,$O$34:$O$42,$W104)),0))/6,1)</f>
        <v>0.76258545379871545</v>
      </c>
      <c r="AA104" s="8">
        <f>MIN((IFERROR(INDEX(其他调用!$W$140:$W$178,MATCH($W104,其他调用!$T$140:$T$178,1))*求节点($G$34:$G$42,$I$34:$I$42,求节点($Q$48:$Q$56,$O$48:$O$56,$W104)),0)+IFERROR(INDEX(其他调用!$X$140:$X$178,MATCH($W104,其他调用!$T$140:$T$178,1))*求节点($G$34:$G$42,$J$34:$J$42,求节点($R$48:$R$56,$O$48:$O$56,$W104)),0)+IFERROR(INDEX(其他调用!$Y$140:$Y$178,MATCH($W104,其他调用!$T$140:$T$178,1))*求节点($G$34:$G$42,$K$34:$K$42,求节点($S$48:$S$56,$O$48:$O$56,$W104)),0))/6,1)</f>
        <v>0.85121847953156882</v>
      </c>
      <c r="AB104" s="8">
        <f>MIN((IFERROR(INDEX(其他调用!$W$185:$W$223,MATCH($W104,其他调用!$T$185:$T$223,1))*求节点($G$34:$G$42,$I$34:$I$42,求节点($Q$62:$Q$70,$O$62:$O$70,$W104)),0)+IFERROR(INDEX(其他调用!$X$185:$X$223,MATCH($W104,其他调用!$T$185:$T$223,1))*求节点($G$34:$G$42,$J$34:$J$42,求节点($R$62:$R$70,$O$62:$O$70,$W104)),0)+IFERROR(INDEX(其他调用!$Y$185:$Y$223,MATCH($W104,其他调用!$T$185:$T$223,1))*求节点($G$34:$G$42,$K$34:$K$42,求节点($S$62:$S$70,$O$62:$O$70,$W104)),0))/6,1)</f>
        <v>0.85194835969837779</v>
      </c>
      <c r="AD104" s="8">
        <v>99</v>
      </c>
      <c r="AE104" s="8">
        <f>X104/士兵加成武将!W104</f>
        <v>0.76655042294458375</v>
      </c>
      <c r="AF104" s="8">
        <f>Y104/士兵加成武将!X104</f>
        <v>0.8257360066599736</v>
      </c>
      <c r="AG104" s="8">
        <f>Z104/士兵加成武将!Y104</f>
        <v>0.83940258631318665</v>
      </c>
      <c r="AH104" s="8">
        <f>AA104/士兵加成武将!Z104</f>
        <v>0.91942206291390882</v>
      </c>
      <c r="AI104" s="8">
        <f>AB104/士兵加成武将!AA104</f>
        <v>0.90230456171368645</v>
      </c>
    </row>
    <row r="105" spans="23:35" x14ac:dyDescent="0.15">
      <c r="W105" s="8">
        <v>100</v>
      </c>
      <c r="X105" s="8">
        <f>MIN((IFERROR(INDEX(其他调用!$W$5:$W$43,MATCH($W105,其他调用!$T$5:$T$43,1))*求节点($G$34:$G$42,$I$34:$I$42,求节点($Q$6:$Q$14,$O$6:$O$14,$W105)),0)+IFERROR(INDEX(其他调用!$X$5:$X$43,MATCH($W105,其他调用!$T$5:$T$43,1))*求节点($G$34:$G$42,$J$34:$J$42,求节点($R$6:$R$14,$O$6:$O$14,$W105)),0)+IFERROR(INDEX(其他调用!$Y$5:$Y$43,MATCH($W105,其他调用!$T$5:$T$43,1))*求节点($G$34:$G$42,$K$34:$K$42,求节点($S$6:$S$14,$O$6:$O$14,$W105)),0))/6,1)</f>
        <v>0.6774824519454562</v>
      </c>
      <c r="Y105" s="8">
        <f>MIN((IFERROR(INDEX(其他调用!$W$50:$W$88,MATCH($W105,其他调用!$T$50:$T$88,1))*求节点($G$34:$G$42,$I$34:$I$42,求节点($Q$20:$Q$28,$O$20:$O$28,$W105)),0)+IFERROR(INDEX(其他调用!$X$50:$X$88,MATCH($W105,其他调用!$T$50:$T$88,1))*求节点($G$34:$G$42,$J$34:$J$42,求节点($R$20:$R$28,$O$20:$O$28,$W105)),0)+IFERROR(INDEX(其他调用!$Y$50:$Y$88,MATCH($W105,其他调用!$T$50:$T$88,1))*求节点($G$34:$G$42,$K$34:$K$42,求节点($S$20:$S$28,$O$20:$O$28,$W105)),0))/6,1)</f>
        <v>0.74402854460127665</v>
      </c>
      <c r="Z105" s="8">
        <f>MIN((IFERROR(INDEX(其他调用!$W$95:$W$133,MATCH($W105,其他调用!$T$95:$T$133,1))*求节点($G$34:$G$42,$I$34:$I$42,求节点($Q$34:$Q$42,$O$34:$O$42,$W105)),0)+IFERROR(INDEX(其他调用!$X$95:$X$133,MATCH($W105,其他调用!$T$95:$T$133,1))*求节点($G$34:$G$42,$J$34:$J$42,求节点($R$34:$R$42,$O$34:$O$42,$W105)),0)+IFERROR(INDEX(其他调用!$Y$95:$Y$133,MATCH($W105,其他调用!$T$95:$T$133,1))*求节点($G$34:$G$42,$K$34:$K$42,求节点($S$34:$S$42,$O$34:$O$42,$W105)),0))/6,1)</f>
        <v>0.77028833717041978</v>
      </c>
      <c r="AA105" s="8">
        <f>MIN((IFERROR(INDEX(其他调用!$W$140:$W$178,MATCH($W105,其他调用!$T$140:$T$178,1))*求节点($G$34:$G$42,$I$34:$I$42,求节点($Q$48:$Q$56,$O$48:$O$56,$W105)),0)+IFERROR(INDEX(其他调用!$X$140:$X$178,MATCH($W105,其他调用!$T$140:$T$178,1))*求节点($G$34:$G$42,$J$34:$J$42,求节点($R$48:$R$56,$O$48:$O$56,$W105)),0)+IFERROR(INDEX(其他调用!$Y$140:$Y$178,MATCH($W105,其他调用!$T$140:$T$178,1))*求节点($G$34:$G$42,$K$34:$K$42,求节点($S$48:$S$56,$O$48:$O$56,$W105)),0))/6,1)</f>
        <v>0.85981664599148344</v>
      </c>
      <c r="AB105" s="8">
        <f>MIN((IFERROR(INDEX(其他调用!$W$185:$W$223,MATCH($W105,其他调用!$T$185:$T$223,1))*求节点($G$34:$G$42,$I$34:$I$42,求节点($Q$62:$Q$70,$O$62:$O$70,$W105)),0)+IFERROR(INDEX(其他调用!$X$185:$X$223,MATCH($W105,其他调用!$T$185:$T$223,1))*求节点($G$34:$G$42,$J$34:$J$42,求节点($R$62:$R$70,$O$62:$O$70,$W105)),0)+IFERROR(INDEX(其他调用!$Y$185:$Y$223,MATCH($W105,其他调用!$T$185:$T$223,1))*求节点($G$34:$G$42,$K$34:$K$42,求节点($S$62:$S$70,$O$62:$O$70,$W105)),0))/6,1)</f>
        <v>0.86055389868523002</v>
      </c>
      <c r="AD105" s="8">
        <v>100</v>
      </c>
      <c r="AE105" s="8">
        <f>X105/士兵加成武将!W105</f>
        <v>0.759422148010238</v>
      </c>
      <c r="AF105" s="8">
        <f>Y105/士兵加成武将!X105</f>
        <v>0.81976143124409351</v>
      </c>
      <c r="AG105" s="8">
        <f>Z105/士兵加成武将!Y105</f>
        <v>0.83372796101930735</v>
      </c>
      <c r="AH105" s="8">
        <f>AA105/士兵加成武将!Z105</f>
        <v>0.91367829534147837</v>
      </c>
      <c r="AI105" s="8">
        <f>AB105/士兵加成武将!AA105</f>
        <v>0.89715819201673008</v>
      </c>
    </row>
    <row r="106" spans="23:35" x14ac:dyDescent="0.15">
      <c r="W106" s="8">
        <v>101</v>
      </c>
      <c r="X106" s="8">
        <f>MIN((IFERROR(INDEX(其他调用!$W$5:$W$43,MATCH($W106,其他调用!$T$5:$T$43,1))*求节点($G$34:$G$42,$I$34:$I$42,求节点($Q$6:$Q$14,$O$6:$O$14,$W106)),0)+IFERROR(INDEX(其他调用!$X$5:$X$43,MATCH($W106,其他调用!$T$5:$T$43,1))*求节点($G$34:$G$42,$J$34:$J$42,求节点($R$6:$R$14,$O$6:$O$14,$W106)),0)+IFERROR(INDEX(其他调用!$Y$5:$Y$43,MATCH($W106,其他调用!$T$5:$T$43,1))*求节点($G$34:$G$42,$K$34:$K$42,求节点($S$6:$S$14,$O$6:$O$14,$W106)),0))/6,1)</f>
        <v>0.68316535833498859</v>
      </c>
      <c r="Y106" s="8">
        <f>MIN((IFERROR(INDEX(其他调用!$W$50:$W$88,MATCH($W106,其他调用!$T$50:$T$88,1))*求节点($G$34:$G$42,$I$34:$I$42,求节点($Q$20:$Q$28,$O$20:$O$28,$W106)),0)+IFERROR(INDEX(其他调用!$X$50:$X$88,MATCH($W106,其他调用!$T$50:$T$88,1))*求节点($G$34:$G$42,$J$34:$J$42,求节点($R$20:$R$28,$O$20:$O$28,$W106)),0)+IFERROR(INDEX(其他调用!$Y$50:$Y$88,MATCH($W106,其他调用!$T$50:$T$88,1))*求节点($G$34:$G$42,$K$34:$K$42,求节点($S$20:$S$28,$O$20:$O$28,$W106)),0))/6,1)</f>
        <v>0.75146883004728926</v>
      </c>
      <c r="Z106" s="8">
        <f>MIN((IFERROR(INDEX(其他调用!$W$95:$W$133,MATCH($W106,其他调用!$T$95:$T$133,1))*求节点($G$34:$G$42,$I$34:$I$42,求节点($Q$34:$Q$42,$O$34:$O$42,$W106)),0)+IFERROR(INDEX(其他调用!$X$95:$X$133,MATCH($W106,其他调用!$T$95:$T$133,1))*求节点($G$34:$G$42,$J$34:$J$42,求节点($R$34:$R$42,$O$34:$O$42,$W106)),0)+IFERROR(INDEX(其他调用!$Y$95:$Y$133,MATCH($W106,其他调用!$T$95:$T$133,1))*求节点($G$34:$G$42,$K$34:$K$42,求节点($S$34:$S$42,$O$34:$O$42,$W106)),0))/6,1)</f>
        <v>0.77799122054212388</v>
      </c>
      <c r="AA106" s="8">
        <f>MIN((IFERROR(INDEX(其他调用!$W$140:$W$178,MATCH($W106,其他调用!$T$140:$T$178,1))*求节点($G$34:$G$42,$I$34:$I$42,求节点($Q$48:$Q$56,$O$48:$O$56,$W106)),0)+IFERROR(INDEX(其他调用!$X$140:$X$178,MATCH($W106,其他调用!$T$140:$T$178,1))*求节点($G$34:$G$42,$J$34:$J$42,求节点($R$48:$R$56,$O$48:$O$56,$W106)),0)+IFERROR(INDEX(其他调用!$Y$140:$Y$178,MATCH($W106,其他调用!$T$140:$T$178,1))*求节点($G$34:$G$42,$K$34:$K$42,求节点($S$48:$S$56,$O$48:$O$56,$W106)),0))/6,1)</f>
        <v>0.86841481245139818</v>
      </c>
      <c r="AB106" s="8">
        <f>MIN((IFERROR(INDEX(其他调用!$W$185:$W$223,MATCH($W106,其他调用!$T$185:$T$223,1))*求节点($G$34:$G$42,$I$34:$I$42,求节点($Q$62:$Q$70,$O$62:$O$70,$W106)),0)+IFERROR(INDEX(其他调用!$X$185:$X$223,MATCH($W106,其他调用!$T$185:$T$223,1))*求节点($G$34:$G$42,$J$34:$J$42,求节点($R$62:$R$70,$O$62:$O$70,$W106)),0)+IFERROR(INDEX(其他调用!$Y$185:$Y$223,MATCH($W106,其他调用!$T$185:$T$223,1))*求节点($G$34:$G$42,$K$34:$K$42,求节点($S$62:$S$70,$O$62:$O$70,$W106)),0))/6,1)</f>
        <v>0.86915943767208237</v>
      </c>
      <c r="AD106" s="8">
        <v>101</v>
      </c>
      <c r="AE106" s="8">
        <f>X106/士兵加成武将!W106</f>
        <v>0.75254057841020283</v>
      </c>
      <c r="AF106" s="8">
        <f>Y106/士兵加成武将!X106</f>
        <v>0.81398847980736766</v>
      </c>
      <c r="AG106" s="8">
        <f>Z106/士兵加成武将!Y106</f>
        <v>0.82823967497980511</v>
      </c>
      <c r="AH106" s="8">
        <f>AA106/士兵加成武将!Z106</f>
        <v>0.90811748866916919</v>
      </c>
      <c r="AI106" s="8">
        <f>AB106/士兵加成武将!AA106</f>
        <v>0.89217038716803654</v>
      </c>
    </row>
    <row r="107" spans="23:35" x14ac:dyDescent="0.15">
      <c r="W107" s="8">
        <v>102</v>
      </c>
      <c r="X107" s="8">
        <f>MIN((IFERROR(INDEX(其他调用!$W$5:$W$43,MATCH($W107,其他调用!$T$5:$T$43,1))*求节点($G$34:$G$42,$I$34:$I$42,求节点($Q$6:$Q$14,$O$6:$O$14,$W107)),0)+IFERROR(INDEX(其他调用!$X$5:$X$43,MATCH($W107,其他调用!$T$5:$T$43,1))*求节点($G$34:$G$42,$J$34:$J$42,求节点($R$6:$R$14,$O$6:$O$14,$W107)),0)+IFERROR(INDEX(其他调用!$Y$5:$Y$43,MATCH($W107,其他调用!$T$5:$T$43,1))*求节点($G$34:$G$42,$K$34:$K$42,求节点($S$6:$S$14,$O$6:$O$14,$W107)),0))/6,1)</f>
        <v>0.68884826472452099</v>
      </c>
      <c r="Y107" s="8">
        <f>MIN((IFERROR(INDEX(其他调用!$W$50:$W$88,MATCH($W107,其他调用!$T$50:$T$88,1))*求节点($G$34:$G$42,$I$34:$I$42,求节点($Q$20:$Q$28,$O$20:$O$28,$W107)),0)+IFERROR(INDEX(其他调用!$X$50:$X$88,MATCH($W107,其他调用!$T$50:$T$88,1))*求节点($G$34:$G$42,$J$34:$J$42,求节点($R$20:$R$28,$O$20:$O$28,$W107)),0)+IFERROR(INDEX(其他调用!$Y$50:$Y$88,MATCH($W107,其他调用!$T$50:$T$88,1))*求节点($G$34:$G$42,$K$34:$K$42,求节点($S$20:$S$28,$O$20:$O$28,$W107)),0))/6,1)</f>
        <v>0.7589091154933022</v>
      </c>
      <c r="Z107" s="8">
        <f>MIN((IFERROR(INDEX(其他调用!$W$95:$W$133,MATCH($W107,其他调用!$T$95:$T$133,1))*求节点($G$34:$G$42,$I$34:$I$42,求节点($Q$34:$Q$42,$O$34:$O$42,$W107)),0)+IFERROR(INDEX(其他调用!$X$95:$X$133,MATCH($W107,其他调用!$T$95:$T$133,1))*求节点($G$34:$G$42,$J$34:$J$42,求节点($R$34:$R$42,$O$34:$O$42,$W107)),0)+IFERROR(INDEX(其他调用!$Y$95:$Y$133,MATCH($W107,其他调用!$T$95:$T$133,1))*求节点($G$34:$G$42,$K$34:$K$42,求节点($S$34:$S$42,$O$34:$O$42,$W107)),0))/6,1)</f>
        <v>0.7856941039138281</v>
      </c>
      <c r="AA107" s="8">
        <f>MIN((IFERROR(INDEX(其他调用!$W$140:$W$178,MATCH($W107,其他调用!$T$140:$T$178,1))*求节点($G$34:$G$42,$I$34:$I$42,求节点($Q$48:$Q$56,$O$48:$O$56,$W107)),0)+IFERROR(INDEX(其他调用!$X$140:$X$178,MATCH($W107,其他调用!$T$140:$T$178,1))*求节点($G$34:$G$42,$J$34:$J$42,求节点($R$48:$R$56,$O$48:$O$56,$W107)),0)+IFERROR(INDEX(其他调用!$Y$140:$Y$178,MATCH($W107,其他调用!$T$140:$T$178,1))*求节点($G$34:$G$42,$K$34:$K$42,求节点($S$48:$S$56,$O$48:$O$56,$W107)),0))/6,1)</f>
        <v>0.87701297891131313</v>
      </c>
      <c r="AB107" s="8">
        <f>MIN((IFERROR(INDEX(其他调用!$W$185:$W$223,MATCH($W107,其他调用!$T$185:$T$223,1))*求节点($G$34:$G$42,$I$34:$I$42,求节点($Q$62:$Q$70,$O$62:$O$70,$W107)),0)+IFERROR(INDEX(其他调用!$X$185:$X$223,MATCH($W107,其他调用!$T$185:$T$223,1))*求节点($G$34:$G$42,$J$34:$J$42,求节点($R$62:$R$70,$O$62:$O$70,$W107)),0)+IFERROR(INDEX(其他调用!$Y$185:$Y$223,MATCH($W107,其他调用!$T$185:$T$223,1))*求节点($G$34:$G$42,$K$34:$K$42,求节点($S$62:$S$70,$O$62:$O$70,$W107)),0))/6,1)</f>
        <v>0.8777649766589346</v>
      </c>
      <c r="AD107" s="8">
        <v>102</v>
      </c>
      <c r="AE107" s="8">
        <f>X107/士兵加成武将!W107</f>
        <v>0.74589312451798551</v>
      </c>
      <c r="AF107" s="8">
        <f>Y107/士兵加成武将!X107</f>
        <v>0.80840711540245691</v>
      </c>
      <c r="AG107" s="8">
        <f>Z107/士兵加成武将!Y107</f>
        <v>0.82292869814467062</v>
      </c>
      <c r="AH107" s="8">
        <f>AA107/士兵加成武将!Z107</f>
        <v>0.90273103794372722</v>
      </c>
      <c r="AI107" s="8">
        <f>AB107/士兵加成武将!AA107</f>
        <v>0.88733393003646444</v>
      </c>
    </row>
    <row r="108" spans="23:35" x14ac:dyDescent="0.15">
      <c r="W108" s="8">
        <v>103</v>
      </c>
      <c r="X108" s="8">
        <f>MIN((IFERROR(INDEX(其他调用!$W$5:$W$43,MATCH($W108,其他调用!$T$5:$T$43,1))*求节点($G$34:$G$42,$I$34:$I$42,求节点($Q$6:$Q$14,$O$6:$O$14,$W108)),0)+IFERROR(INDEX(其他调用!$X$5:$X$43,MATCH($W108,其他调用!$T$5:$T$43,1))*求节点($G$34:$G$42,$J$34:$J$42,求节点($R$6:$R$14,$O$6:$O$14,$W108)),0)+IFERROR(INDEX(其他调用!$Y$5:$Y$43,MATCH($W108,其他调用!$T$5:$T$43,1))*求节点($G$34:$G$42,$K$34:$K$42,求节点($S$6:$S$14,$O$6:$O$14,$W108)),0))/6,1)</f>
        <v>0.69453117111405327</v>
      </c>
      <c r="Y108" s="8">
        <f>MIN((IFERROR(INDEX(其他调用!$W$50:$W$88,MATCH($W108,其他调用!$T$50:$T$88,1))*求节点($G$34:$G$42,$I$34:$I$42,求节点($Q$20:$Q$28,$O$20:$O$28,$W108)),0)+IFERROR(INDEX(其他调用!$X$50:$X$88,MATCH($W108,其他调用!$T$50:$T$88,1))*求节点($G$34:$G$42,$J$34:$J$42,求节点($R$20:$R$28,$O$20:$O$28,$W108)),0)+IFERROR(INDEX(其他调用!$Y$50:$Y$88,MATCH($W108,其他调用!$T$50:$T$88,1))*求节点($G$34:$G$42,$K$34:$K$42,求节点($S$20:$S$28,$O$20:$O$28,$W108)),0))/6,1)</f>
        <v>0.76634940093931492</v>
      </c>
      <c r="Z108" s="8">
        <f>MIN((IFERROR(INDEX(其他调用!$W$95:$W$133,MATCH($W108,其他调用!$T$95:$T$133,1))*求节点($G$34:$G$42,$I$34:$I$42,求节点($Q$34:$Q$42,$O$34:$O$42,$W108)),0)+IFERROR(INDEX(其他调用!$X$95:$X$133,MATCH($W108,其他调用!$T$95:$T$133,1))*求节点($G$34:$G$42,$J$34:$J$42,求节点($R$34:$R$42,$O$34:$O$42,$W108)),0)+IFERROR(INDEX(其他调用!$Y$95:$Y$133,MATCH($W108,其他调用!$T$95:$T$133,1))*求节点($G$34:$G$42,$K$34:$K$42,求节点($S$34:$S$42,$O$34:$O$42,$W108)),0))/6,1)</f>
        <v>0.79339698728553232</v>
      </c>
      <c r="AA108" s="8">
        <f>MIN((IFERROR(INDEX(其他调用!$W$140:$W$178,MATCH($W108,其他调用!$T$140:$T$178,1))*求节点($G$34:$G$42,$I$34:$I$42,求节点($Q$48:$Q$56,$O$48:$O$56,$W108)),0)+IFERROR(INDEX(其他调用!$X$140:$X$178,MATCH($W108,其他调用!$T$140:$T$178,1))*求节点($G$34:$G$42,$J$34:$J$42,求节点($R$48:$R$56,$O$48:$O$56,$W108)),0)+IFERROR(INDEX(其他调用!$Y$140:$Y$178,MATCH($W108,其他调用!$T$140:$T$178,1))*求节点($G$34:$G$42,$K$34:$K$42,求节点($S$48:$S$56,$O$48:$O$56,$W108)),0))/6,1)</f>
        <v>0.88561114537122798</v>
      </c>
      <c r="AB108" s="8">
        <f>MIN((IFERROR(INDEX(其他调用!$W$185:$W$223,MATCH($W108,其他调用!$T$185:$T$223,1))*求节点($G$34:$G$42,$I$34:$I$42,求节点($Q$62:$Q$70,$O$62:$O$70,$W108)),0)+IFERROR(INDEX(其他调用!$X$185:$X$223,MATCH($W108,其他调用!$T$185:$T$223,1))*求节点($G$34:$G$42,$J$34:$J$42,求节点($R$62:$R$70,$O$62:$O$70,$W108)),0)+IFERROR(INDEX(其他调用!$Y$185:$Y$223,MATCH($W108,其他调用!$T$185:$T$223,1))*求节点($G$34:$G$42,$K$34:$K$42,求节点($S$62:$S$70,$O$62:$O$70,$W108)),0))/6,1)</f>
        <v>0.88637051564578695</v>
      </c>
      <c r="AD108" s="8">
        <v>103</v>
      </c>
      <c r="AE108" s="8">
        <f>X108/士兵加成武将!W108</f>
        <v>0.73946803899490976</v>
      </c>
      <c r="AF108" s="8">
        <f>Y108/士兵加成武将!X108</f>
        <v>0.8030079564006507</v>
      </c>
      <c r="AG108" s="8">
        <f>Z108/士兵加成武将!Y108</f>
        <v>0.81778657465361049</v>
      </c>
      <c r="AH108" s="8">
        <f>AA108/士兵加成武将!Z108</f>
        <v>0.89751086948982006</v>
      </c>
      <c r="AI108" s="8">
        <f>AB108/士兵加成武将!AA108</f>
        <v>0.88637051564578695</v>
      </c>
    </row>
    <row r="109" spans="23:35" x14ac:dyDescent="0.15">
      <c r="W109" s="8">
        <v>104</v>
      </c>
      <c r="X109" s="8">
        <f>MIN((IFERROR(INDEX(其他调用!$W$5:$W$43,MATCH($W109,其他调用!$T$5:$T$43,1))*求节点($G$34:$G$42,$I$34:$I$42,求节点($Q$6:$Q$14,$O$6:$O$14,$W109)),0)+IFERROR(INDEX(其他调用!$X$5:$X$43,MATCH($W109,其他调用!$T$5:$T$43,1))*求节点($G$34:$G$42,$J$34:$J$42,求节点($R$6:$R$14,$O$6:$O$14,$W109)),0)+IFERROR(INDEX(其他调用!$Y$5:$Y$43,MATCH($W109,其他调用!$T$5:$T$43,1))*求节点($G$34:$G$42,$K$34:$K$42,求节点($S$6:$S$14,$O$6:$O$14,$W109)),0))/6,1)</f>
        <v>0.70021407750358566</v>
      </c>
      <c r="Y109" s="8">
        <f>MIN((IFERROR(INDEX(其他调用!$W$50:$W$88,MATCH($W109,其他调用!$T$50:$T$88,1))*求节点($G$34:$G$42,$I$34:$I$42,求节点($Q$20:$Q$28,$O$20:$O$28,$W109)),0)+IFERROR(INDEX(其他调用!$X$50:$X$88,MATCH($W109,其他调用!$T$50:$T$88,1))*求节点($G$34:$G$42,$J$34:$J$42,求节点($R$20:$R$28,$O$20:$O$28,$W109)),0)+IFERROR(INDEX(其他调用!$Y$50:$Y$88,MATCH($W109,其他调用!$T$50:$T$88,1))*求节点($G$34:$G$42,$K$34:$K$42,求节点($S$20:$S$28,$O$20:$O$28,$W109)),0))/6,1)</f>
        <v>0.77378968638532764</v>
      </c>
      <c r="Z109" s="8">
        <f>MIN((IFERROR(INDEX(其他调用!$W$95:$W$133,MATCH($W109,其他调用!$T$95:$T$133,1))*求节点($G$34:$G$42,$I$34:$I$42,求节点($Q$34:$Q$42,$O$34:$O$42,$W109)),0)+IFERROR(INDEX(其他调用!$X$95:$X$133,MATCH($W109,其他调用!$T$95:$T$133,1))*求节点($G$34:$G$42,$J$34:$J$42,求节点($R$34:$R$42,$O$34:$O$42,$W109)),0)+IFERROR(INDEX(其他调用!$Y$95:$Y$133,MATCH($W109,其他调用!$T$95:$T$133,1))*求节点($G$34:$G$42,$K$34:$K$42,求节点($S$34:$S$42,$O$34:$O$42,$W109)),0))/6,1)</f>
        <v>0.80109987065723642</v>
      </c>
      <c r="AA109" s="8">
        <f>MIN((IFERROR(INDEX(其他调用!$W$140:$W$178,MATCH($W109,其他调用!$T$140:$T$178,1))*求节点($G$34:$G$42,$I$34:$I$42,求节点($Q$48:$Q$56,$O$48:$O$56,$W109)),0)+IFERROR(INDEX(其他调用!$X$140:$X$178,MATCH($W109,其他调用!$T$140:$T$178,1))*求节点($G$34:$G$42,$J$34:$J$42,求节点($R$48:$R$56,$O$48:$O$56,$W109)),0)+IFERROR(INDEX(其他调用!$Y$140:$Y$178,MATCH($W109,其他调用!$T$140:$T$178,1))*求节点($G$34:$G$42,$K$34:$K$42,求节点($S$48:$S$56,$O$48:$O$56,$W109)),0))/6,1)</f>
        <v>0.89420931183114283</v>
      </c>
      <c r="AB109" s="8">
        <f>MIN((IFERROR(INDEX(其他调用!$W$185:$W$223,MATCH($W109,其他调用!$T$185:$T$223,1))*求节点($G$34:$G$42,$I$34:$I$42,求节点($Q$62:$Q$70,$O$62:$O$70,$W109)),0)+IFERROR(INDEX(其他调用!$X$185:$X$223,MATCH($W109,其他调用!$T$185:$T$223,1))*求节点($G$34:$G$42,$J$34:$J$42,求节点($R$62:$R$70,$O$62:$O$70,$W109)),0)+IFERROR(INDEX(其他调用!$Y$185:$Y$223,MATCH($W109,其他调用!$T$185:$T$223,1))*求节点($G$34:$G$42,$K$34:$K$42,求节点($S$62:$S$70,$O$62:$O$70,$W109)),0))/6,1)</f>
        <v>0.89497605463263918</v>
      </c>
      <c r="AD109" s="8">
        <v>104</v>
      </c>
      <c r="AE109" s="8">
        <f>X109/士兵加成武将!W109</f>
        <v>0.73325434750908369</v>
      </c>
      <c r="AF109" s="8">
        <f>Y109/士兵加成武将!X109</f>
        <v>0.79778222386811937</v>
      </c>
      <c r="AG109" s="8">
        <f>Z109/士兵加成武将!Y109</f>
        <v>0.81280537791176422</v>
      </c>
      <c r="AH109" s="8">
        <f>AA109/士兵加成武将!Z109</f>
        <v>0.89420931183114283</v>
      </c>
      <c r="AI109" s="8">
        <f>AB109/士兵加成武将!AA109</f>
        <v>0.89497605463263918</v>
      </c>
    </row>
    <row r="110" spans="23:35" x14ac:dyDescent="0.15">
      <c r="W110" s="8">
        <v>105</v>
      </c>
      <c r="X110" s="8">
        <f>MIN((IFERROR(INDEX(其他调用!$W$5:$W$43,MATCH($W110,其他调用!$T$5:$T$43,1))*求节点($G$34:$G$42,$I$34:$I$42,求节点($Q$6:$Q$14,$O$6:$O$14,$W110)),0)+IFERROR(INDEX(其他调用!$X$5:$X$43,MATCH($W110,其他调用!$T$5:$T$43,1))*求节点($G$34:$G$42,$J$34:$J$42,求节点($R$6:$R$14,$O$6:$O$14,$W110)),0)+IFERROR(INDEX(其他调用!$Y$5:$Y$43,MATCH($W110,其他调用!$T$5:$T$43,1))*求节点($G$34:$G$42,$K$34:$K$42,求节点($S$6:$S$14,$O$6:$O$14,$W110)),0))/6,1)</f>
        <v>0.70589698389311784</v>
      </c>
      <c r="Y110" s="8">
        <f>MIN((IFERROR(INDEX(其他调用!$W$50:$W$88,MATCH($W110,其他调用!$T$50:$T$88,1))*求节点($G$34:$G$42,$I$34:$I$42,求节点($Q$20:$Q$28,$O$20:$O$28,$W110)),0)+IFERROR(INDEX(其他调用!$X$50:$X$88,MATCH($W110,其他调用!$T$50:$T$88,1))*求节点($G$34:$G$42,$J$34:$J$42,求节点($R$20:$R$28,$O$20:$O$28,$W110)),0)+IFERROR(INDEX(其他调用!$Y$50:$Y$88,MATCH($W110,其他调用!$T$50:$T$88,1))*求节点($G$34:$G$42,$K$34:$K$42,求节点($S$20:$S$28,$O$20:$O$28,$W110)),0))/6,1)</f>
        <v>0.78122997183134046</v>
      </c>
      <c r="Z110" s="8">
        <f>MIN((IFERROR(INDEX(其他调用!$W$95:$W$133,MATCH($W110,其他调用!$T$95:$T$133,1))*求节点($G$34:$G$42,$I$34:$I$42,求节点($Q$34:$Q$42,$O$34:$O$42,$W110)),0)+IFERROR(INDEX(其他调用!$X$95:$X$133,MATCH($W110,其他调用!$T$95:$T$133,1))*求节点($G$34:$G$42,$J$34:$J$42,求节点($R$34:$R$42,$O$34:$O$42,$W110)),0)+IFERROR(INDEX(其他调用!$Y$95:$Y$133,MATCH($W110,其他调用!$T$95:$T$133,1))*求节点($G$34:$G$42,$K$34:$K$42,求节点($S$34:$S$42,$O$34:$O$42,$W110)),0))/6,1)</f>
        <v>0.80880275402894064</v>
      </c>
      <c r="AA110" s="8">
        <f>MIN((IFERROR(INDEX(其他调用!$W$140:$W$178,MATCH($W110,其他调用!$T$140:$T$178,1))*求节点($G$34:$G$42,$I$34:$I$42,求节点($Q$48:$Q$56,$O$48:$O$56,$W110)),0)+IFERROR(INDEX(其他调用!$X$140:$X$178,MATCH($W110,其他调用!$T$140:$T$178,1))*求节点($G$34:$G$42,$J$34:$J$42,求节点($R$48:$R$56,$O$48:$O$56,$W110)),0)+IFERROR(INDEX(其他调用!$Y$140:$Y$178,MATCH($W110,其他调用!$T$140:$T$178,1))*求节点($G$34:$G$42,$K$34:$K$42,求节点($S$48:$S$56,$O$48:$O$56,$W110)),0))/6,1)</f>
        <v>0.90280747829105756</v>
      </c>
      <c r="AB110" s="8">
        <f>MIN((IFERROR(INDEX(其他调用!$W$185:$W$223,MATCH($W110,其他调用!$T$185:$T$223,1))*求节点($G$34:$G$42,$I$34:$I$42,求节点($Q$62:$Q$70,$O$62:$O$70,$W110)),0)+IFERROR(INDEX(其他调用!$X$185:$X$223,MATCH($W110,其他调用!$T$185:$T$223,1))*求节点($G$34:$G$42,$J$34:$J$42,求节点($R$62:$R$70,$O$62:$O$70,$W110)),0)+IFERROR(INDEX(其他调用!$Y$185:$Y$223,MATCH($W110,其他调用!$T$185:$T$223,1))*求节点($G$34:$G$42,$K$34:$K$42,求节点($S$62:$S$70,$O$62:$O$70,$W110)),0))/6,1)</f>
        <v>0.90358159361949164</v>
      </c>
      <c r="AD110" s="8">
        <v>105</v>
      </c>
      <c r="AE110" s="8">
        <f>X110/士兵加成武将!W110</f>
        <v>0.72724178618201352</v>
      </c>
      <c r="AF110" s="8">
        <f>Y110/士兵加成武将!X110</f>
        <v>0.79272169393299263</v>
      </c>
      <c r="AG110" s="8">
        <f>Z110/士兵加成武将!Y110</f>
        <v>0.80880275402894064</v>
      </c>
      <c r="AH110" s="8">
        <f>AA110/士兵加成武将!Z110</f>
        <v>0.90280747829105756</v>
      </c>
      <c r="AI110" s="8">
        <f>AB110/士兵加成武将!AA110</f>
        <v>0.90358159361949164</v>
      </c>
    </row>
    <row r="111" spans="23:35" x14ac:dyDescent="0.15">
      <c r="W111" s="8">
        <v>106</v>
      </c>
      <c r="X111" s="8">
        <f>MIN((IFERROR(INDEX(其他调用!$W$5:$W$43,MATCH($W111,其他调用!$T$5:$T$43,1))*求节点($G$34:$G$42,$I$34:$I$42,求节点($Q$6:$Q$14,$O$6:$O$14,$W111)),0)+IFERROR(INDEX(其他调用!$X$5:$X$43,MATCH($W111,其他调用!$T$5:$T$43,1))*求节点($G$34:$G$42,$J$34:$J$42,求节点($R$6:$R$14,$O$6:$O$14,$W111)),0)+IFERROR(INDEX(其他调用!$Y$5:$Y$43,MATCH($W111,其他调用!$T$5:$T$43,1))*求节点($G$34:$G$42,$K$34:$K$42,求节点($S$6:$S$14,$O$6:$O$14,$W111)),0))/6,1)</f>
        <v>0.71157989028265034</v>
      </c>
      <c r="Y111" s="8">
        <f>MIN((IFERROR(INDEX(其他调用!$W$50:$W$88,MATCH($W111,其他调用!$T$50:$T$88,1))*求节点($G$34:$G$42,$I$34:$I$42,求节点($Q$20:$Q$28,$O$20:$O$28,$W111)),0)+IFERROR(INDEX(其他调用!$X$50:$X$88,MATCH($W111,其他调用!$T$50:$T$88,1))*求节点($G$34:$G$42,$J$34:$J$42,求节点($R$20:$R$28,$O$20:$O$28,$W111)),0)+IFERROR(INDEX(其他调用!$Y$50:$Y$88,MATCH($W111,其他调用!$T$50:$T$88,1))*求节点($G$34:$G$42,$K$34:$K$42,求节点($S$20:$S$28,$O$20:$O$28,$W111)),0))/6,1)</f>
        <v>0.78867025727735329</v>
      </c>
      <c r="Z111" s="8">
        <f>MIN((IFERROR(INDEX(其他调用!$W$95:$W$133,MATCH($W111,其他调用!$T$95:$T$133,1))*求节点($G$34:$G$42,$I$34:$I$42,求节点($Q$34:$Q$42,$O$34:$O$42,$W111)),0)+IFERROR(INDEX(其他调用!$X$95:$X$133,MATCH($W111,其他调用!$T$95:$T$133,1))*求节点($G$34:$G$42,$J$34:$J$42,求节点($R$34:$R$42,$O$34:$O$42,$W111)),0)+IFERROR(INDEX(其他调用!$Y$95:$Y$133,MATCH($W111,其他调用!$T$95:$T$133,1))*求节点($G$34:$G$42,$K$34:$K$42,求节点($S$34:$S$42,$O$34:$O$42,$W111)),0))/6,1)</f>
        <v>0.81650563740064486</v>
      </c>
      <c r="AA111" s="8">
        <f>MIN((IFERROR(INDEX(其他调用!$W$140:$W$178,MATCH($W111,其他调用!$T$140:$T$178,1))*求节点($G$34:$G$42,$I$34:$I$42,求节点($Q$48:$Q$56,$O$48:$O$56,$W111)),0)+IFERROR(INDEX(其他调用!$X$140:$X$178,MATCH($W111,其他调用!$T$140:$T$178,1))*求节点($G$34:$G$42,$J$34:$J$42,求节点($R$48:$R$56,$O$48:$O$56,$W111)),0)+IFERROR(INDEX(其他调用!$Y$140:$Y$178,MATCH($W111,其他调用!$T$140:$T$178,1))*求节点($G$34:$G$42,$K$34:$K$42,求节点($S$48:$S$56,$O$48:$O$56,$W111)),0))/6,1)</f>
        <v>0.91140564475097241</v>
      </c>
      <c r="AB111" s="8">
        <f>MIN((IFERROR(INDEX(其他调用!$W$185:$W$223,MATCH($W111,其他调用!$T$185:$T$223,1))*求节点($G$34:$G$42,$I$34:$I$42,求节点($Q$62:$Q$70,$O$62:$O$70,$W111)),0)+IFERROR(INDEX(其他调用!$X$185:$X$223,MATCH($W111,其他调用!$T$185:$T$223,1))*求节点($G$34:$G$42,$J$34:$J$42,求节点($R$62:$R$70,$O$62:$O$70,$W111)),0)+IFERROR(INDEX(其他调用!$Y$185:$Y$223,MATCH($W111,其他调用!$T$185:$T$223,1))*求节点($G$34:$G$42,$K$34:$K$42,求节点($S$62:$S$70,$O$62:$O$70,$W111)),0))/6,1)</f>
        <v>0.91218713260634365</v>
      </c>
      <c r="AD111" s="8">
        <v>106</v>
      </c>
      <c r="AE111" s="8">
        <f>X111/士兵加成武将!W111</f>
        <v>0.7214207450128205</v>
      </c>
      <c r="AF111" s="8">
        <f>Y111/士兵加成武将!X111</f>
        <v>0.78867025727735329</v>
      </c>
      <c r="AG111" s="8">
        <f>Z111/士兵加成武将!Y111</f>
        <v>0.81650563740064486</v>
      </c>
      <c r="AH111" s="8">
        <f>AA111/士兵加成武将!Z111</f>
        <v>0.91140564475097241</v>
      </c>
      <c r="AI111" s="8">
        <f>AB111/士兵加成武将!AA111</f>
        <v>0.91218713260634365</v>
      </c>
    </row>
    <row r="112" spans="23:35" x14ac:dyDescent="0.15">
      <c r="W112" s="8">
        <v>107</v>
      </c>
      <c r="X112" s="8">
        <f>MIN((IFERROR(INDEX(其他调用!$W$5:$W$43,MATCH($W112,其他调用!$T$5:$T$43,1))*求节点($G$34:$G$42,$I$34:$I$42,求节点($Q$6:$Q$14,$O$6:$O$14,$W112)),0)+IFERROR(INDEX(其他调用!$X$5:$X$43,MATCH($W112,其他调用!$T$5:$T$43,1))*求节点($G$34:$G$42,$J$34:$J$42,求节点($R$6:$R$14,$O$6:$O$14,$W112)),0)+IFERROR(INDEX(其他调用!$Y$5:$Y$43,MATCH($W112,其他调用!$T$5:$T$43,1))*求节点($G$34:$G$42,$K$34:$K$42,求节点($S$6:$S$14,$O$6:$O$14,$W112)),0))/6,1)</f>
        <v>0.71726279667218262</v>
      </c>
      <c r="Y112" s="8">
        <f>MIN((IFERROR(INDEX(其他调用!$W$50:$W$88,MATCH($W112,其他调用!$T$50:$T$88,1))*求节点($G$34:$G$42,$I$34:$I$42,求节点($Q$20:$Q$28,$O$20:$O$28,$W112)),0)+IFERROR(INDEX(其他调用!$X$50:$X$88,MATCH($W112,其他调用!$T$50:$T$88,1))*求节点($G$34:$G$42,$J$34:$J$42,求节点($R$20:$R$28,$O$20:$O$28,$W112)),0)+IFERROR(INDEX(其他调用!$Y$50:$Y$88,MATCH($W112,其他调用!$T$50:$T$88,1))*求节点($G$34:$G$42,$K$34:$K$42,求节点($S$20:$S$28,$O$20:$O$28,$W112)),0))/6,1)</f>
        <v>0.79611054272336601</v>
      </c>
      <c r="Z112" s="8">
        <f>MIN((IFERROR(INDEX(其他调用!$W$95:$W$133,MATCH($W112,其他调用!$T$95:$T$133,1))*求节点($G$34:$G$42,$I$34:$I$42,求节点($Q$34:$Q$42,$O$34:$O$42,$W112)),0)+IFERROR(INDEX(其他调用!$X$95:$X$133,MATCH($W112,其他调用!$T$95:$T$133,1))*求节点($G$34:$G$42,$J$34:$J$42,求节点($R$34:$R$42,$O$34:$O$42,$W112)),0)+IFERROR(INDEX(其他调用!$Y$95:$Y$133,MATCH($W112,其他调用!$T$95:$T$133,1))*求节点($G$34:$G$42,$K$34:$K$42,求节点($S$34:$S$42,$O$34:$O$42,$W112)),0))/6,1)</f>
        <v>0.82420852077234896</v>
      </c>
      <c r="AA112" s="8">
        <f>MIN((IFERROR(INDEX(其他调用!$W$140:$W$178,MATCH($W112,其他调用!$T$140:$T$178,1))*求节点($G$34:$G$42,$I$34:$I$42,求节点($Q$48:$Q$56,$O$48:$O$56,$W112)),0)+IFERROR(INDEX(其他调用!$X$140:$X$178,MATCH($W112,其他调用!$T$140:$T$178,1))*求节点($G$34:$G$42,$J$34:$J$42,求节点($R$48:$R$56,$O$48:$O$56,$W112)),0)+IFERROR(INDEX(其他调用!$Y$140:$Y$178,MATCH($W112,其他调用!$T$140:$T$178,1))*求节点($G$34:$G$42,$K$34:$K$42,求节点($S$48:$S$56,$O$48:$O$56,$W112)),0))/6,1)</f>
        <v>0.92000381121088726</v>
      </c>
      <c r="AB112" s="8">
        <f>MIN((IFERROR(INDEX(其他调用!$W$185:$W$223,MATCH($W112,其他调用!$T$185:$T$223,1))*求节点($G$34:$G$42,$I$34:$I$42,求节点($Q$62:$Q$70,$O$62:$O$70,$W112)),0)+IFERROR(INDEX(其他调用!$X$185:$X$223,MATCH($W112,其他调用!$T$185:$T$223,1))*求节点($G$34:$G$42,$J$34:$J$42,求节点($R$62:$R$70,$O$62:$O$70,$W112)),0)+IFERROR(INDEX(其他调用!$Y$185:$Y$223,MATCH($W112,其他调用!$T$185:$T$223,1))*求节点($G$34:$G$42,$K$34:$K$42,求节点($S$62:$S$70,$O$62:$O$70,$W112)),0))/6,1)</f>
        <v>0.92079267159319611</v>
      </c>
      <c r="AD112" s="8">
        <v>107</v>
      </c>
      <c r="AE112" s="8">
        <f>X112/士兵加成武将!W112</f>
        <v>0.71726279667218262</v>
      </c>
      <c r="AF112" s="8">
        <f>Y112/士兵加成武将!X112</f>
        <v>0.79611054272336601</v>
      </c>
      <c r="AG112" s="8">
        <f>Z112/士兵加成武将!Y112</f>
        <v>0.82420852077234896</v>
      </c>
      <c r="AH112" s="8">
        <f>AA112/士兵加成武将!Z112</f>
        <v>0.92000381121088726</v>
      </c>
      <c r="AI112" s="8">
        <f>AB112/士兵加成武将!AA112</f>
        <v>0.92079267159319611</v>
      </c>
    </row>
    <row r="113" spans="23:35" x14ac:dyDescent="0.15">
      <c r="W113" s="8">
        <v>108</v>
      </c>
      <c r="X113" s="8">
        <f>MIN((IFERROR(INDEX(其他调用!$W$5:$W$43,MATCH($W113,其他调用!$T$5:$T$43,1))*求节点($G$34:$G$42,$I$34:$I$42,求节点($Q$6:$Q$14,$O$6:$O$14,$W113)),0)+IFERROR(INDEX(其他调用!$X$5:$X$43,MATCH($W113,其他调用!$T$5:$T$43,1))*求节点($G$34:$G$42,$J$34:$J$42,求节点($R$6:$R$14,$O$6:$O$14,$W113)),0)+IFERROR(INDEX(其他调用!$Y$5:$Y$43,MATCH($W113,其他调用!$T$5:$T$43,1))*求节点($G$34:$G$42,$K$34:$K$42,求节点($S$6:$S$14,$O$6:$O$14,$W113)),0))/6,1)</f>
        <v>0.72347229498482124</v>
      </c>
      <c r="Y113" s="8">
        <f>MIN((IFERROR(INDEX(其他调用!$W$50:$W$88,MATCH($W113,其他调用!$T$50:$T$88,1))*求节点($G$34:$G$42,$I$34:$I$42,求节点($Q$20:$Q$28,$O$20:$O$28,$W113)),0)+IFERROR(INDEX(其他调用!$X$50:$X$88,MATCH($W113,其他调用!$T$50:$T$88,1))*求节点($G$34:$G$42,$J$34:$J$42,求节点($R$20:$R$28,$O$20:$O$28,$W113)),0)+IFERROR(INDEX(其他调用!$Y$50:$Y$88,MATCH($W113,其他调用!$T$50:$T$88,1))*求节点($G$34:$G$42,$K$34:$K$42,求节点($S$20:$S$28,$O$20:$O$28,$W113)),0))/6,1)</f>
        <v>0.80355082816937873</v>
      </c>
      <c r="Z113" s="8">
        <f>MIN((IFERROR(INDEX(其他调用!$W$95:$W$133,MATCH($W113,其他调用!$T$95:$T$133,1))*求节点($G$34:$G$42,$I$34:$I$42,求节点($Q$34:$Q$42,$O$34:$O$42,$W113)),0)+IFERROR(INDEX(其他调用!$X$95:$X$133,MATCH($W113,其他调用!$T$95:$T$133,1))*求节点($G$34:$G$42,$J$34:$J$42,求节点($R$34:$R$42,$O$34:$O$42,$W113)),0)+IFERROR(INDEX(其他调用!$Y$95:$Y$133,MATCH($W113,其他调用!$T$95:$T$133,1))*求节点($G$34:$G$42,$K$34:$K$42,求节点($S$34:$S$42,$O$34:$O$42,$W113)),0))/6,1)</f>
        <v>0.83191140414405329</v>
      </c>
      <c r="AA113" s="8">
        <f>MIN((IFERROR(INDEX(其他调用!$W$140:$W$178,MATCH($W113,其他调用!$T$140:$T$178,1))*求节点($G$34:$G$42,$I$34:$I$42,求节点($Q$48:$Q$56,$O$48:$O$56,$W113)),0)+IFERROR(INDEX(其他调用!$X$140:$X$178,MATCH($W113,其他调用!$T$140:$T$178,1))*求节点($G$34:$G$42,$J$34:$J$42,求节点($R$48:$R$56,$O$48:$O$56,$W113)),0)+IFERROR(INDEX(其他调用!$Y$140:$Y$178,MATCH($W113,其他调用!$T$140:$T$178,1))*求节点($G$34:$G$42,$K$34:$K$42,求节点($S$48:$S$56,$O$48:$O$56,$W113)),0))/6,1)</f>
        <v>0.9286019776708021</v>
      </c>
      <c r="AB113" s="8">
        <f>MIN((IFERROR(INDEX(其他调用!$W$185:$W$223,MATCH($W113,其他调用!$T$185:$T$223,1))*求节点($G$34:$G$42,$I$34:$I$42,求节点($Q$62:$Q$70,$O$62:$O$70,$W113)),0)+IFERROR(INDEX(其他调用!$X$185:$X$223,MATCH($W113,其他调用!$T$185:$T$223,1))*求节点($G$34:$G$42,$J$34:$J$42,求节点($R$62:$R$70,$O$62:$O$70,$W113)),0)+IFERROR(INDEX(其他调用!$Y$185:$Y$223,MATCH($W113,其他调用!$T$185:$T$223,1))*求节点($G$34:$G$42,$K$34:$K$42,求节点($S$62:$S$70,$O$62:$O$70,$W113)),0))/6,1)</f>
        <v>0.92939821058004835</v>
      </c>
      <c r="AD113" s="8">
        <v>108</v>
      </c>
      <c r="AE113" s="8">
        <f>X113/士兵加成武将!W113</f>
        <v>0.72347229498482124</v>
      </c>
      <c r="AF113" s="8">
        <f>Y113/士兵加成武将!X113</f>
        <v>0.80355082816937873</v>
      </c>
      <c r="AG113" s="8">
        <f>Z113/士兵加成武将!Y113</f>
        <v>0.83191140414405329</v>
      </c>
      <c r="AH113" s="8">
        <f>AA113/士兵加成武将!Z113</f>
        <v>0.9286019776708021</v>
      </c>
      <c r="AI113" s="8">
        <f>AB113/士兵加成武将!AA113</f>
        <v>0.92939821058004835</v>
      </c>
    </row>
    <row r="114" spans="23:35" x14ac:dyDescent="0.15">
      <c r="W114" s="8">
        <v>109</v>
      </c>
      <c r="X114" s="8">
        <f>MIN((IFERROR(INDEX(其他调用!$W$5:$W$43,MATCH($W114,其他调用!$T$5:$T$43,1))*求节点($G$34:$G$42,$I$34:$I$42,求节点($Q$6:$Q$14,$O$6:$O$14,$W114)),0)+IFERROR(INDEX(其他调用!$X$5:$X$43,MATCH($W114,其他调用!$T$5:$T$43,1))*求节点($G$34:$G$42,$J$34:$J$42,求节点($R$6:$R$14,$O$6:$O$14,$W114)),0)+IFERROR(INDEX(其他调用!$Y$5:$Y$43,MATCH($W114,其他调用!$T$5:$T$43,1))*求节点($G$34:$G$42,$K$34:$K$42,求节点($S$6:$S$14,$O$6:$O$14,$W114)),0))/6,1)</f>
        <v>0.73017111253097688</v>
      </c>
      <c r="Y114" s="8">
        <f>MIN((IFERROR(INDEX(其他调用!$W$50:$W$88,MATCH($W114,其他调用!$T$50:$T$88,1))*求节点($G$34:$G$42,$I$34:$I$42,求节点($Q$20:$Q$28,$O$20:$O$28,$W114)),0)+IFERROR(INDEX(其他调用!$X$50:$X$88,MATCH($W114,其他调用!$T$50:$T$88,1))*求节点($G$34:$G$42,$J$34:$J$42,求节点($R$20:$R$28,$O$20:$O$28,$W114)),0)+IFERROR(INDEX(其他调用!$Y$50:$Y$88,MATCH($W114,其他调用!$T$50:$T$88,1))*求节点($G$34:$G$42,$K$34:$K$42,求节点($S$20:$S$28,$O$20:$O$28,$W114)),0))/6,1)</f>
        <v>0.81099111361539145</v>
      </c>
      <c r="Z114" s="8">
        <f>MIN((IFERROR(INDEX(其他调用!$W$95:$W$133,MATCH($W114,其他调用!$T$95:$T$133,1))*求节点($G$34:$G$42,$I$34:$I$42,求节点($Q$34:$Q$42,$O$34:$O$42,$W114)),0)+IFERROR(INDEX(其他调用!$X$95:$X$133,MATCH($W114,其他调用!$T$95:$T$133,1))*求节点($G$34:$G$42,$J$34:$J$42,求节点($R$34:$R$42,$O$34:$O$42,$W114)),0)+IFERROR(INDEX(其他调用!$Y$95:$Y$133,MATCH($W114,其他调用!$T$95:$T$133,1))*求节点($G$34:$G$42,$K$34:$K$42,求节点($S$34:$S$42,$O$34:$O$42,$W114)),0))/6,1)</f>
        <v>0.83961428751575751</v>
      </c>
      <c r="AA114" s="8">
        <f>MIN((IFERROR(INDEX(其他调用!$W$140:$W$178,MATCH($W114,其他调用!$T$140:$T$178,1))*求节点($G$34:$G$42,$I$34:$I$42,求节点($Q$48:$Q$56,$O$48:$O$56,$W114)),0)+IFERROR(INDEX(其他调用!$X$140:$X$178,MATCH($W114,其他调用!$T$140:$T$178,1))*求节点($G$34:$G$42,$J$34:$J$42,求节点($R$48:$R$56,$O$48:$O$56,$W114)),0)+IFERROR(INDEX(其他调用!$Y$140:$Y$178,MATCH($W114,其他调用!$T$140:$T$178,1))*求节点($G$34:$G$42,$K$34:$K$42,求节点($S$48:$S$56,$O$48:$O$56,$W114)),0))/6,1)</f>
        <v>0.93720014413071695</v>
      </c>
      <c r="AB114" s="8">
        <f>MIN((IFERROR(INDEX(其他调用!$W$185:$W$223,MATCH($W114,其他调用!$T$185:$T$223,1))*求节点($G$34:$G$42,$I$34:$I$42,求节点($Q$62:$Q$70,$O$62:$O$70,$W114)),0)+IFERROR(INDEX(其他调用!$X$185:$X$223,MATCH($W114,其他调用!$T$185:$T$223,1))*求节点($G$34:$G$42,$J$34:$J$42,求节点($R$62:$R$70,$O$62:$O$70,$W114)),0)+IFERROR(INDEX(其他调用!$Y$185:$Y$223,MATCH($W114,其他调用!$T$185:$T$223,1))*求节点($G$34:$G$42,$K$34:$K$42,求节点($S$62:$S$70,$O$62:$O$70,$W114)),0))/6,1)</f>
        <v>0.93800374956690069</v>
      </c>
      <c r="AD114" s="8">
        <v>109</v>
      </c>
      <c r="AE114" s="8">
        <f>X114/士兵加成武将!W114</f>
        <v>0.73017111253097688</v>
      </c>
      <c r="AF114" s="8">
        <f>Y114/士兵加成武将!X114</f>
        <v>0.81099111361539145</v>
      </c>
      <c r="AG114" s="8">
        <f>Z114/士兵加成武将!Y114</f>
        <v>0.83961428751575751</v>
      </c>
      <c r="AH114" s="8">
        <f>AA114/士兵加成武将!Z114</f>
        <v>0.93720014413071695</v>
      </c>
      <c r="AI114" s="8">
        <f>AB114/士兵加成武将!AA114</f>
        <v>0.93800374956690069</v>
      </c>
    </row>
    <row r="115" spans="23:35" x14ac:dyDescent="0.15">
      <c r="W115" s="8">
        <v>110</v>
      </c>
      <c r="X115" s="8">
        <f>MIN((IFERROR(INDEX(其他调用!$W$5:$W$43,MATCH($W115,其他调用!$T$5:$T$43,1))*求节点($G$34:$G$42,$I$34:$I$42,求节点($Q$6:$Q$14,$O$6:$O$14,$W115)),0)+IFERROR(INDEX(其他调用!$X$5:$X$43,MATCH($W115,其他调用!$T$5:$T$43,1))*求节点($G$34:$G$42,$J$34:$J$42,求节点($R$6:$R$14,$O$6:$O$14,$W115)),0)+IFERROR(INDEX(其他调用!$Y$5:$Y$43,MATCH($W115,其他调用!$T$5:$T$43,1))*求节点($G$34:$G$42,$K$34:$K$42,求节点($S$6:$S$14,$O$6:$O$14,$W115)),0))/6,1)</f>
        <v>0.73686993007713264</v>
      </c>
      <c r="Y115" s="8">
        <f>MIN((IFERROR(INDEX(其他调用!$W$50:$W$88,MATCH($W115,其他调用!$T$50:$T$88,1))*求节点($G$34:$G$42,$I$34:$I$42,求节点($Q$20:$Q$28,$O$20:$O$28,$W115)),0)+IFERROR(INDEX(其他调用!$X$50:$X$88,MATCH($W115,其他调用!$T$50:$T$88,1))*求节点($G$34:$G$42,$J$34:$J$42,求节点($R$20:$R$28,$O$20:$O$28,$W115)),0)+IFERROR(INDEX(其他调用!$Y$50:$Y$88,MATCH($W115,其他调用!$T$50:$T$88,1))*求节点($G$34:$G$42,$K$34:$K$42,求节点($S$20:$S$28,$O$20:$O$28,$W115)),0))/6,1)</f>
        <v>0.81843139906140439</v>
      </c>
      <c r="Z115" s="8">
        <f>MIN((IFERROR(INDEX(其他调用!$W$95:$W$133,MATCH($W115,其他调用!$T$95:$T$133,1))*求节点($G$34:$G$42,$I$34:$I$42,求节点($Q$34:$Q$42,$O$34:$O$42,$W115)),0)+IFERROR(INDEX(其他调用!$X$95:$X$133,MATCH($W115,其他调用!$T$95:$T$133,1))*求节点($G$34:$G$42,$J$34:$J$42,求节点($R$34:$R$42,$O$34:$O$42,$W115)),0)+IFERROR(INDEX(其他调用!$Y$95:$Y$133,MATCH($W115,其他调用!$T$95:$T$133,1))*求节点($G$34:$G$42,$K$34:$K$42,求节点($S$34:$S$42,$O$34:$O$42,$W115)),0))/6,1)</f>
        <v>0.84731717088746172</v>
      </c>
      <c r="AA115" s="8">
        <f>MIN((IFERROR(INDEX(其他调用!$W$140:$W$178,MATCH($W115,其他调用!$T$140:$T$178,1))*求节点($G$34:$G$42,$I$34:$I$42,求节点($Q$48:$Q$56,$O$48:$O$56,$W115)),0)+IFERROR(INDEX(其他调用!$X$140:$X$178,MATCH($W115,其他调用!$T$140:$T$178,1))*求节点($G$34:$G$42,$J$34:$J$42,求节点($R$48:$R$56,$O$48:$O$56,$W115)),0)+IFERROR(INDEX(其他调用!$Y$140:$Y$178,MATCH($W115,其他调用!$T$140:$T$178,1))*求节点($G$34:$G$42,$K$34:$K$42,求节点($S$48:$S$56,$O$48:$O$56,$W115)),0))/6,1)</f>
        <v>0.9457983105906318</v>
      </c>
      <c r="AB115" s="8">
        <f>MIN((IFERROR(INDEX(其他调用!$W$185:$W$223,MATCH($W115,其他调用!$T$185:$T$223,1))*求节点($G$34:$G$42,$I$34:$I$42,求节点($Q$62:$Q$70,$O$62:$O$70,$W115)),0)+IFERROR(INDEX(其他调用!$X$185:$X$223,MATCH($W115,其他调用!$T$185:$T$223,1))*求节点($G$34:$G$42,$J$34:$J$42,求节点($R$62:$R$70,$O$62:$O$70,$W115)),0)+IFERROR(INDEX(其他调用!$Y$185:$Y$223,MATCH($W115,其他调用!$T$185:$T$223,1))*求节点($G$34:$G$42,$K$34:$K$42,求节点($S$62:$S$70,$O$62:$O$70,$W115)),0))/6,1)</f>
        <v>0.94660928855375293</v>
      </c>
      <c r="AD115" s="8">
        <v>110</v>
      </c>
      <c r="AE115" s="8">
        <f>X115/士兵加成武将!W115</f>
        <v>0.73686993007713264</v>
      </c>
      <c r="AF115" s="8">
        <f>Y115/士兵加成武将!X115</f>
        <v>0.81843139906140439</v>
      </c>
      <c r="AG115" s="8">
        <f>Z115/士兵加成武将!Y115</f>
        <v>0.84731717088746172</v>
      </c>
      <c r="AH115" s="8">
        <f>AA115/士兵加成武将!Z115</f>
        <v>0.9457983105906318</v>
      </c>
      <c r="AI115" s="8">
        <f>AB115/士兵加成武将!AA115</f>
        <v>0.94660928855375293</v>
      </c>
    </row>
    <row r="116" spans="23:35" x14ac:dyDescent="0.15">
      <c r="W116" s="8">
        <v>111</v>
      </c>
      <c r="X116" s="8">
        <f>MIN((IFERROR(INDEX(其他调用!$W$5:$W$43,MATCH($W116,其他调用!$T$5:$T$43,1))*求节点($G$34:$G$42,$I$34:$I$42,求节点($Q$6:$Q$14,$O$6:$O$14,$W116)),0)+IFERROR(INDEX(其他调用!$X$5:$X$43,MATCH($W116,其他调用!$T$5:$T$43,1))*求节点($G$34:$G$42,$J$34:$J$42,求节点($R$6:$R$14,$O$6:$O$14,$W116)),0)+IFERROR(INDEX(其他调用!$Y$5:$Y$43,MATCH($W116,其他调用!$T$5:$T$43,1))*求节点($G$34:$G$42,$K$34:$K$42,求节点($S$6:$S$14,$O$6:$O$14,$W116)),0))/6,1)</f>
        <v>0.74356874762328851</v>
      </c>
      <c r="Y116" s="8">
        <f>MIN((IFERROR(INDEX(其他调用!$W$50:$W$88,MATCH($W116,其他调用!$T$50:$T$88,1))*求节点($G$34:$G$42,$I$34:$I$42,求节点($Q$20:$Q$28,$O$20:$O$28,$W116)),0)+IFERROR(INDEX(其他调用!$X$50:$X$88,MATCH($W116,其他调用!$T$50:$T$88,1))*求节点($G$34:$G$42,$J$34:$J$42,求节点($R$20:$R$28,$O$20:$O$28,$W116)),0)+IFERROR(INDEX(其他调用!$Y$50:$Y$88,MATCH($W116,其他调用!$T$50:$T$88,1))*求节点($G$34:$G$42,$K$34:$K$42,求节点($S$20:$S$28,$O$20:$O$28,$W116)),0))/6,1)</f>
        <v>0.8258716845074171</v>
      </c>
      <c r="Z116" s="8">
        <f>MIN((IFERROR(INDEX(其他调用!$W$95:$W$133,MATCH($W116,其他调用!$T$95:$T$133,1))*求节点($G$34:$G$42,$I$34:$I$42,求节点($Q$34:$Q$42,$O$34:$O$42,$W116)),0)+IFERROR(INDEX(其他调用!$X$95:$X$133,MATCH($W116,其他调用!$T$95:$T$133,1))*求节点($G$34:$G$42,$J$34:$J$42,求节点($R$34:$R$42,$O$34:$O$42,$W116)),0)+IFERROR(INDEX(其他调用!$Y$95:$Y$133,MATCH($W116,其他调用!$T$95:$T$133,1))*求节点($G$34:$G$42,$K$34:$K$42,求节点($S$34:$S$42,$O$34:$O$42,$W116)),0))/6,1)</f>
        <v>0.85502005425916605</v>
      </c>
      <c r="AA116" s="8">
        <f>MIN((IFERROR(INDEX(其他调用!$W$140:$W$178,MATCH($W116,其他调用!$T$140:$T$178,1))*求节点($G$34:$G$42,$I$34:$I$42,求节点($Q$48:$Q$56,$O$48:$O$56,$W116)),0)+IFERROR(INDEX(其他调用!$X$140:$X$178,MATCH($W116,其他调用!$T$140:$T$178,1))*求节点($G$34:$G$42,$J$34:$J$42,求节点($R$48:$R$56,$O$48:$O$56,$W116)),0)+IFERROR(INDEX(其他调用!$Y$140:$Y$178,MATCH($W116,其他调用!$T$140:$T$178,1))*求节点($G$34:$G$42,$K$34:$K$42,求节点($S$48:$S$56,$O$48:$O$56,$W116)),0))/6,1)</f>
        <v>0.95439647705054675</v>
      </c>
      <c r="AB116" s="8">
        <f>MIN((IFERROR(INDEX(其他调用!$W$185:$W$223,MATCH($W116,其他调用!$T$185:$T$223,1))*求节点($G$34:$G$42,$I$34:$I$42,求节点($Q$62:$Q$70,$O$62:$O$70,$W116)),0)+IFERROR(INDEX(其他调用!$X$185:$X$223,MATCH($W116,其他调用!$T$185:$T$223,1))*求节点($G$34:$G$42,$J$34:$J$42,求节点($R$62:$R$70,$O$62:$O$70,$W116)),0)+IFERROR(INDEX(其他调用!$Y$185:$Y$223,MATCH($W116,其他调用!$T$185:$T$223,1))*求节点($G$34:$G$42,$K$34:$K$42,求节点($S$62:$S$70,$O$62:$O$70,$W116)),0))/6,1)</f>
        <v>0.95521482754060516</v>
      </c>
      <c r="AD116" s="8">
        <v>111</v>
      </c>
      <c r="AE116" s="8">
        <f>X116/士兵加成武将!W116</f>
        <v>0.74356874762328851</v>
      </c>
      <c r="AF116" s="8">
        <f>Y116/士兵加成武将!X116</f>
        <v>0.8258716845074171</v>
      </c>
      <c r="AG116" s="8">
        <f>Z116/士兵加成武将!Y116</f>
        <v>0.85502005425916605</v>
      </c>
      <c r="AH116" s="8">
        <f>AA116/士兵加成武将!Z116</f>
        <v>0.95439647705054675</v>
      </c>
      <c r="AI116" s="8">
        <f>AB116/士兵加成武将!AA116</f>
        <v>0.95521482754060516</v>
      </c>
    </row>
    <row r="117" spans="23:35" x14ac:dyDescent="0.15">
      <c r="W117" s="8">
        <v>112</v>
      </c>
      <c r="X117" s="8">
        <f>MIN((IFERROR(INDEX(其他调用!$W$5:$W$43,MATCH($W117,其他调用!$T$5:$T$43,1))*求节点($G$34:$G$42,$I$34:$I$42,求节点($Q$6:$Q$14,$O$6:$O$14,$W117)),0)+IFERROR(INDEX(其他调用!$X$5:$X$43,MATCH($W117,其他调用!$T$5:$T$43,1))*求节点($G$34:$G$42,$J$34:$J$42,求节点($R$6:$R$14,$O$6:$O$14,$W117)),0)+IFERROR(INDEX(其他调用!$Y$5:$Y$43,MATCH($W117,其他调用!$T$5:$T$43,1))*求节点($G$34:$G$42,$K$34:$K$42,求节点($S$6:$S$14,$O$6:$O$14,$W117)),0))/6,1)</f>
        <v>0.75026756516944415</v>
      </c>
      <c r="Y117" s="8">
        <f>MIN((IFERROR(INDEX(其他调用!$W$50:$W$88,MATCH($W117,其他调用!$T$50:$T$88,1))*求节点($G$34:$G$42,$I$34:$I$42,求节点($Q$20:$Q$28,$O$20:$O$28,$W117)),0)+IFERROR(INDEX(其他调用!$X$50:$X$88,MATCH($W117,其他调用!$T$50:$T$88,1))*求节点($G$34:$G$42,$J$34:$J$42,求节点($R$20:$R$28,$O$20:$O$28,$W117)),0)+IFERROR(INDEX(其他调用!$Y$50:$Y$88,MATCH($W117,其他调用!$T$50:$T$88,1))*求节点($G$34:$G$42,$K$34:$K$42,求节点($S$20:$S$28,$O$20:$O$28,$W117)),0))/6,1)</f>
        <v>0.83331196995342982</v>
      </c>
      <c r="Z117" s="8">
        <f>MIN((IFERROR(INDEX(其他调用!$W$95:$W$133,MATCH($W117,其他调用!$T$95:$T$133,1))*求节点($G$34:$G$42,$I$34:$I$42,求节点($Q$34:$Q$42,$O$34:$O$42,$W117)),0)+IFERROR(INDEX(其他调用!$X$95:$X$133,MATCH($W117,其他调用!$T$95:$T$133,1))*求节点($G$34:$G$42,$J$34:$J$42,求节点($R$34:$R$42,$O$34:$O$42,$W117)),0)+IFERROR(INDEX(其他调用!$Y$95:$Y$133,MATCH($W117,其他调用!$T$95:$T$133,1))*求节点($G$34:$G$42,$K$34:$K$42,求节点($S$34:$S$42,$O$34:$O$42,$W117)),0))/6,1)</f>
        <v>0.86272293763087005</v>
      </c>
      <c r="AA117" s="8">
        <f>MIN((IFERROR(INDEX(其他调用!$W$140:$W$178,MATCH($W117,其他调用!$T$140:$T$178,1))*求节点($G$34:$G$42,$I$34:$I$42,求节点($Q$48:$Q$56,$O$48:$O$56,$W117)),0)+IFERROR(INDEX(其他调用!$X$140:$X$178,MATCH($W117,其他调用!$T$140:$T$178,1))*求节点($G$34:$G$42,$J$34:$J$42,求节点($R$48:$R$56,$O$48:$O$56,$W117)),0)+IFERROR(INDEX(其他调用!$Y$140:$Y$178,MATCH($W117,其他调用!$T$140:$T$178,1))*求节点($G$34:$G$42,$K$34:$K$42,求节点($S$48:$S$56,$O$48:$O$56,$W117)),0))/6,1)</f>
        <v>0.96299464351046138</v>
      </c>
      <c r="AB117" s="8">
        <f>MIN((IFERROR(INDEX(其他调用!$W$185:$W$223,MATCH($W117,其他调用!$T$185:$T$223,1))*求节点($G$34:$G$42,$I$34:$I$42,求节点($Q$62:$Q$70,$O$62:$O$70,$W117)),0)+IFERROR(INDEX(其他调用!$X$185:$X$223,MATCH($W117,其他调用!$T$185:$T$223,1))*求节点($G$34:$G$42,$J$34:$J$42,求节点($R$62:$R$70,$O$62:$O$70,$W117)),0)+IFERROR(INDEX(其他调用!$Y$185:$Y$223,MATCH($W117,其他调用!$T$185:$T$223,1))*求节点($G$34:$G$42,$K$34:$K$42,求节点($S$62:$S$70,$O$62:$O$70,$W117)),0))/6,1)</f>
        <v>0.96382036652745751</v>
      </c>
      <c r="AD117" s="8">
        <v>112</v>
      </c>
      <c r="AE117" s="8">
        <f>X117/士兵加成武将!W117</f>
        <v>0.75026756516944415</v>
      </c>
      <c r="AF117" s="8">
        <f>Y117/士兵加成武将!X117</f>
        <v>0.83331196995342982</v>
      </c>
      <c r="AG117" s="8">
        <f>Z117/士兵加成武将!Y117</f>
        <v>0.86272293763087005</v>
      </c>
      <c r="AH117" s="8">
        <f>AA117/士兵加成武将!Z117</f>
        <v>0.96299464351046138</v>
      </c>
      <c r="AI117" s="8">
        <f>AB117/士兵加成武将!AA117</f>
        <v>0.96382036652745751</v>
      </c>
    </row>
    <row r="118" spans="23:35" x14ac:dyDescent="0.15">
      <c r="W118" s="8">
        <v>113</v>
      </c>
      <c r="X118" s="8">
        <f>MIN((IFERROR(INDEX(其他调用!$W$5:$W$43,MATCH($W118,其他调用!$T$5:$T$43,1))*求节点($G$34:$G$42,$I$34:$I$42,求节点($Q$6:$Q$14,$O$6:$O$14,$W118)),0)+IFERROR(INDEX(其他调用!$X$5:$X$43,MATCH($W118,其他调用!$T$5:$T$43,1))*求节点($G$34:$G$42,$J$34:$J$42,求节点($R$6:$R$14,$O$6:$O$14,$W118)),0)+IFERROR(INDEX(其他调用!$Y$5:$Y$43,MATCH($W118,其他调用!$T$5:$T$43,1))*求节点($G$34:$G$42,$K$34:$K$42,求节点($S$6:$S$14,$O$6:$O$14,$W118)),0))/6,1)</f>
        <v>0.75696638271559991</v>
      </c>
      <c r="Y118" s="8">
        <f>MIN((IFERROR(INDEX(其他调用!$W$50:$W$88,MATCH($W118,其他调用!$T$50:$T$88,1))*求节点($G$34:$G$42,$I$34:$I$42,求节点($Q$20:$Q$28,$O$20:$O$28,$W118)),0)+IFERROR(INDEX(其他调用!$X$50:$X$88,MATCH($W118,其他调用!$T$50:$T$88,1))*求节点($G$34:$G$42,$J$34:$J$42,求节点($R$20:$R$28,$O$20:$O$28,$W118)),0)+IFERROR(INDEX(其他调用!$Y$50:$Y$88,MATCH($W118,其他调用!$T$50:$T$88,1))*求节点($G$34:$G$42,$K$34:$K$42,求节点($S$20:$S$28,$O$20:$O$28,$W118)),0))/6,1)</f>
        <v>0.84075225539944254</v>
      </c>
      <c r="Z118" s="8">
        <f>MIN((IFERROR(INDEX(其他调用!$W$95:$W$133,MATCH($W118,其他调用!$T$95:$T$133,1))*求节点($G$34:$G$42,$I$34:$I$42,求节点($Q$34:$Q$42,$O$34:$O$42,$W118)),0)+IFERROR(INDEX(其他调用!$X$95:$X$133,MATCH($W118,其他调用!$T$95:$T$133,1))*求节点($G$34:$G$42,$J$34:$J$42,求节点($R$34:$R$42,$O$34:$O$42,$W118)),0)+IFERROR(INDEX(其他调用!$Y$95:$Y$133,MATCH($W118,其他调用!$T$95:$T$133,1))*求节点($G$34:$G$42,$K$34:$K$42,求节点($S$34:$S$42,$O$34:$O$42,$W118)),0))/6,1)</f>
        <v>0.87042582100257437</v>
      </c>
      <c r="AA118" s="8">
        <f>MIN((IFERROR(INDEX(其他调用!$W$140:$W$178,MATCH($W118,其他调用!$T$140:$T$178,1))*求节点($G$34:$G$42,$I$34:$I$42,求节点($Q$48:$Q$56,$O$48:$O$56,$W118)),0)+IFERROR(INDEX(其他调用!$X$140:$X$178,MATCH($W118,其他调用!$T$140:$T$178,1))*求节点($G$34:$G$42,$J$34:$J$42,求节点($R$48:$R$56,$O$48:$O$56,$W118)),0)+IFERROR(INDEX(其他调用!$Y$140:$Y$178,MATCH($W118,其他调用!$T$140:$T$178,1))*求节点($G$34:$G$42,$K$34:$K$42,求节点($S$48:$S$56,$O$48:$O$56,$W118)),0))/6,1)</f>
        <v>0.97159280997037634</v>
      </c>
      <c r="AB118" s="8">
        <f>MIN((IFERROR(INDEX(其他调用!$W$185:$W$223,MATCH($W118,其他调用!$T$185:$T$223,1))*求节点($G$34:$G$42,$I$34:$I$42,求节点($Q$62:$Q$70,$O$62:$O$70,$W118)),0)+IFERROR(INDEX(其他调用!$X$185:$X$223,MATCH($W118,其他调用!$T$185:$T$223,1))*求节点($G$34:$G$42,$J$34:$J$42,求节点($R$62:$R$70,$O$62:$O$70,$W118)),0)+IFERROR(INDEX(其他调用!$Y$185:$Y$223,MATCH($W118,其他调用!$T$185:$T$223,1))*求节点($G$34:$G$42,$K$34:$K$42,求节点($S$62:$S$70,$O$62:$O$70,$W118)),0))/6,1)</f>
        <v>0.97242590551430996</v>
      </c>
      <c r="AD118" s="8">
        <v>113</v>
      </c>
      <c r="AE118" s="8">
        <f>X118/士兵加成武将!W118</f>
        <v>0.75696638271559991</v>
      </c>
      <c r="AF118" s="8">
        <f>Y118/士兵加成武将!X118</f>
        <v>0.84075225539944254</v>
      </c>
      <c r="AG118" s="8">
        <f>Z118/士兵加成武将!Y118</f>
        <v>0.87042582100257437</v>
      </c>
      <c r="AH118" s="8">
        <f>AA118/士兵加成武将!Z118</f>
        <v>0.97159280997037634</v>
      </c>
      <c r="AI118" s="8">
        <f>AB118/士兵加成武将!AA118</f>
        <v>0.97242590551430996</v>
      </c>
    </row>
    <row r="119" spans="23:35" x14ac:dyDescent="0.15">
      <c r="W119" s="8">
        <v>114</v>
      </c>
      <c r="X119" s="8">
        <f>MIN((IFERROR(INDEX(其他调用!$W$5:$W$43,MATCH($W119,其他调用!$T$5:$T$43,1))*求节点($G$34:$G$42,$I$34:$I$42,求节点($Q$6:$Q$14,$O$6:$O$14,$W119)),0)+IFERROR(INDEX(其他调用!$X$5:$X$43,MATCH($W119,其他调用!$T$5:$T$43,1))*求节点($G$34:$G$42,$J$34:$J$42,求节点($R$6:$R$14,$O$6:$O$14,$W119)),0)+IFERROR(INDEX(其他调用!$Y$5:$Y$43,MATCH($W119,其他调用!$T$5:$T$43,1))*求节点($G$34:$G$42,$K$34:$K$42,求节点($S$6:$S$14,$O$6:$O$14,$W119)),0))/6,1)</f>
        <v>0.76366520026175555</v>
      </c>
      <c r="Y119" s="8">
        <f>MIN((IFERROR(INDEX(其他调用!$W$50:$W$88,MATCH($W119,其他调用!$T$50:$T$88,1))*求节点($G$34:$G$42,$I$34:$I$42,求节点($Q$20:$Q$28,$O$20:$O$28,$W119)),0)+IFERROR(INDEX(其他调用!$X$50:$X$88,MATCH($W119,其他调用!$T$50:$T$88,1))*求节点($G$34:$G$42,$J$34:$J$42,求节点($R$20:$R$28,$O$20:$O$28,$W119)),0)+IFERROR(INDEX(其他调用!$Y$50:$Y$88,MATCH($W119,其他调用!$T$50:$T$88,1))*求节点($G$34:$G$42,$K$34:$K$42,求节点($S$20:$S$28,$O$20:$O$28,$W119)),0))/6,1)</f>
        <v>0.84819254084545526</v>
      </c>
      <c r="Z119" s="8">
        <f>MIN((IFERROR(INDEX(其他调用!$W$95:$W$133,MATCH($W119,其他调用!$T$95:$T$133,1))*求节点($G$34:$G$42,$I$34:$I$42,求节点($Q$34:$Q$42,$O$34:$O$42,$W119)),0)+IFERROR(INDEX(其他调用!$X$95:$X$133,MATCH($W119,其他调用!$T$95:$T$133,1))*求节点($G$34:$G$42,$J$34:$J$42,求节点($R$34:$R$42,$O$34:$O$42,$W119)),0)+IFERROR(INDEX(其他调用!$Y$95:$Y$133,MATCH($W119,其他调用!$T$95:$T$133,1))*求节点($G$34:$G$42,$K$34:$K$42,求节点($S$34:$S$42,$O$34:$O$42,$W119)),0))/6,1)</f>
        <v>0.87812870437427859</v>
      </c>
      <c r="AA119" s="8">
        <f>MIN((IFERROR(INDEX(其他调用!$W$140:$W$178,MATCH($W119,其他调用!$T$140:$T$178,1))*求节点($G$34:$G$42,$I$34:$I$42,求节点($Q$48:$Q$56,$O$48:$O$56,$W119)),0)+IFERROR(INDEX(其他调用!$X$140:$X$178,MATCH($W119,其他调用!$T$140:$T$178,1))*求节点($G$34:$G$42,$J$34:$J$42,求节点($R$48:$R$56,$O$48:$O$56,$W119)),0)+IFERROR(INDEX(其他调用!$Y$140:$Y$178,MATCH($W119,其他调用!$T$140:$T$178,1))*求节点($G$34:$G$42,$K$34:$K$42,求节点($S$48:$S$56,$O$48:$O$56,$W119)),0))/6,1)</f>
        <v>0.98019097643029118</v>
      </c>
      <c r="AB119" s="8">
        <f>MIN((IFERROR(INDEX(其他调用!$W$185:$W$223,MATCH($W119,其他调用!$T$185:$T$223,1))*求节点($G$34:$G$42,$I$34:$I$42,求节点($Q$62:$Q$70,$O$62:$O$70,$W119)),0)+IFERROR(INDEX(其他调用!$X$185:$X$223,MATCH($W119,其他调用!$T$185:$T$223,1))*求节点($G$34:$G$42,$J$34:$J$42,求节点($R$62:$R$70,$O$62:$O$70,$W119)),0)+IFERROR(INDEX(其他调用!$Y$185:$Y$223,MATCH($W119,其他调用!$T$185:$T$223,1))*求节点($G$34:$G$42,$K$34:$K$42,求节点($S$62:$S$70,$O$62:$O$70,$W119)),0))/6,1)</f>
        <v>0.98103144450116231</v>
      </c>
      <c r="AD119" s="8">
        <v>114</v>
      </c>
      <c r="AE119" s="8">
        <f>X119/士兵加成武将!W119</f>
        <v>0.76366520026175555</v>
      </c>
      <c r="AF119" s="8">
        <f>Y119/士兵加成武将!X119</f>
        <v>0.84819254084545526</v>
      </c>
      <c r="AG119" s="8">
        <f>Z119/士兵加成武将!Y119</f>
        <v>0.87812870437427859</v>
      </c>
      <c r="AH119" s="8">
        <f>AA119/士兵加成武将!Z119</f>
        <v>0.98019097643029118</v>
      </c>
      <c r="AI119" s="8">
        <f>AB119/士兵加成武将!AA119</f>
        <v>0.98103144450116231</v>
      </c>
    </row>
    <row r="120" spans="23:35" x14ac:dyDescent="0.15">
      <c r="W120" s="8">
        <v>115</v>
      </c>
      <c r="X120" s="8">
        <f>MIN((IFERROR(INDEX(其他调用!$W$5:$W$43,MATCH($W120,其他调用!$T$5:$T$43,1))*求节点($G$34:$G$42,$I$34:$I$42,求节点($Q$6:$Q$14,$O$6:$O$14,$W120)),0)+IFERROR(INDEX(其他调用!$X$5:$X$43,MATCH($W120,其他调用!$T$5:$T$43,1))*求节点($G$34:$G$42,$J$34:$J$42,求节点($R$6:$R$14,$O$6:$O$14,$W120)),0)+IFERROR(INDEX(其他调用!$Y$5:$Y$43,MATCH($W120,其他调用!$T$5:$T$43,1))*求节点($G$34:$G$42,$K$34:$K$42,求节点($S$6:$S$14,$O$6:$O$14,$W120)),0))/6,1)</f>
        <v>0.77036401780791142</v>
      </c>
      <c r="Y120" s="8">
        <f>MIN((IFERROR(INDEX(其他调用!$W$50:$W$88,MATCH($W120,其他调用!$T$50:$T$88,1))*求节点($G$34:$G$42,$I$34:$I$42,求节点($Q$20:$Q$28,$O$20:$O$28,$W120)),0)+IFERROR(INDEX(其他调用!$X$50:$X$88,MATCH($W120,其他调用!$T$50:$T$88,1))*求节点($G$34:$G$42,$J$34:$J$42,求节点($R$20:$R$28,$O$20:$O$28,$W120)),0)+IFERROR(INDEX(其他调用!$Y$50:$Y$88,MATCH($W120,其他调用!$T$50:$T$88,1))*求节点($G$34:$G$42,$K$34:$K$42,求节点($S$20:$S$28,$O$20:$O$28,$W120)),0))/6,1)</f>
        <v>0.8556328262914682</v>
      </c>
      <c r="Z120" s="8">
        <f>MIN((IFERROR(INDEX(其他调用!$W$95:$W$133,MATCH($W120,其他调用!$T$95:$T$133,1))*求节点($G$34:$G$42,$I$34:$I$42,求节点($Q$34:$Q$42,$O$34:$O$42,$W120)),0)+IFERROR(INDEX(其他调用!$X$95:$X$133,MATCH($W120,其他调用!$T$95:$T$133,1))*求节点($G$34:$G$42,$J$34:$J$42,求节点($R$34:$R$42,$O$34:$O$42,$W120)),0)+IFERROR(INDEX(其他调用!$Y$95:$Y$133,MATCH($W120,其他调用!$T$95:$T$133,1))*求节点($G$34:$G$42,$K$34:$K$42,求节点($S$34:$S$42,$O$34:$O$42,$W120)),0))/6,1)</f>
        <v>0.8858315877459827</v>
      </c>
      <c r="AA120" s="8">
        <f>MIN((IFERROR(INDEX(其他调用!$W$140:$W$178,MATCH($W120,其他调用!$T$140:$T$178,1))*求节点($G$34:$G$42,$I$34:$I$42,求节点($Q$48:$Q$56,$O$48:$O$56,$W120)),0)+IFERROR(INDEX(其他调用!$X$140:$X$178,MATCH($W120,其他调用!$T$140:$T$178,1))*求节点($G$34:$G$42,$J$34:$J$42,求节点($R$48:$R$56,$O$48:$O$56,$W120)),0)+IFERROR(INDEX(其他调用!$Y$140:$Y$178,MATCH($W120,其他调用!$T$140:$T$178,1))*求节点($G$34:$G$42,$K$34:$K$42,求节点($S$48:$S$56,$O$48:$O$56,$W120)),0))/6,1)</f>
        <v>0.98878914289020603</v>
      </c>
      <c r="AB120" s="8">
        <f>MIN((IFERROR(INDEX(其他调用!$W$185:$W$223,MATCH($W120,其他调用!$T$185:$T$223,1))*求节点($G$34:$G$42,$I$34:$I$42,求节点($Q$62:$Q$70,$O$62:$O$70,$W120)),0)+IFERROR(INDEX(其他调用!$X$185:$X$223,MATCH($W120,其他调用!$T$185:$T$223,1))*求节点($G$34:$G$42,$J$34:$J$42,求节点($R$62:$R$70,$O$62:$O$70,$W120)),0)+IFERROR(INDEX(其他调用!$Y$185:$Y$223,MATCH($W120,其他调用!$T$185:$T$223,1))*求节点($G$34:$G$42,$K$34:$K$42,求节点($S$62:$S$70,$O$62:$O$70,$W120)),0))/6,1)</f>
        <v>0.98963698348801454</v>
      </c>
      <c r="AD120" s="8">
        <v>115</v>
      </c>
      <c r="AE120" s="8">
        <f>X120/士兵加成武将!W120</f>
        <v>0.77036401780791142</v>
      </c>
      <c r="AF120" s="8">
        <f>Y120/士兵加成武将!X120</f>
        <v>0.8556328262914682</v>
      </c>
      <c r="AG120" s="8">
        <f>Z120/士兵加成武将!Y120</f>
        <v>0.8858315877459827</v>
      </c>
      <c r="AH120" s="8">
        <f>AA120/士兵加成武将!Z120</f>
        <v>0.98878914289020603</v>
      </c>
      <c r="AI120" s="8">
        <f>AB120/士兵加成武将!AA120</f>
        <v>0.98963698348801454</v>
      </c>
    </row>
    <row r="121" spans="23:35" x14ac:dyDescent="0.15">
      <c r="W121" s="8">
        <v>116</v>
      </c>
      <c r="X121" s="8">
        <f>MIN((IFERROR(INDEX(其他调用!$W$5:$W$43,MATCH($W121,其他调用!$T$5:$T$43,1))*求节点($G$34:$G$42,$I$34:$I$42,求节点($Q$6:$Q$14,$O$6:$O$14,$W121)),0)+IFERROR(INDEX(其他调用!$X$5:$X$43,MATCH($W121,其他调用!$T$5:$T$43,1))*求节点($G$34:$G$42,$J$34:$J$42,求节点($R$6:$R$14,$O$6:$O$14,$W121)),0)+IFERROR(INDEX(其他调用!$Y$5:$Y$43,MATCH($W121,其他调用!$T$5:$T$43,1))*求节点($G$34:$G$42,$K$34:$K$42,求节点($S$6:$S$14,$O$6:$O$14,$W121)),0))/6,1)</f>
        <v>0.77706283535406717</v>
      </c>
      <c r="Y121" s="8">
        <f>MIN((IFERROR(INDEX(其他调用!$W$50:$W$88,MATCH($W121,其他调用!$T$50:$T$88,1))*求节点($G$34:$G$42,$I$34:$I$42,求节点($Q$20:$Q$28,$O$20:$O$28,$W121)),0)+IFERROR(INDEX(其他调用!$X$50:$X$88,MATCH($W121,其他调用!$T$50:$T$88,1))*求节点($G$34:$G$42,$J$34:$J$42,求节点($R$20:$R$28,$O$20:$O$28,$W121)),0)+IFERROR(INDEX(其他调用!$Y$50:$Y$88,MATCH($W121,其他调用!$T$50:$T$88,1))*求节点($G$34:$G$42,$K$34:$K$42,求节点($S$20:$S$28,$O$20:$O$28,$W121)),0))/6,1)</f>
        <v>0.86307311173748091</v>
      </c>
      <c r="Z121" s="8">
        <f>MIN((IFERROR(INDEX(其他调用!$W$95:$W$133,MATCH($W121,其他调用!$T$95:$T$133,1))*求节点($G$34:$G$42,$I$34:$I$42,求节点($Q$34:$Q$42,$O$34:$O$42,$W121)),0)+IFERROR(INDEX(其他调用!$X$95:$X$133,MATCH($W121,其他调用!$T$95:$T$133,1))*求节点($G$34:$G$42,$J$34:$J$42,求节点($R$34:$R$42,$O$34:$O$42,$W121)),0)+IFERROR(INDEX(其他调用!$Y$95:$Y$133,MATCH($W121,其他调用!$T$95:$T$133,1))*求节点($G$34:$G$42,$K$34:$K$42,求节点($S$34:$S$42,$O$34:$O$42,$W121)),0))/6,1)</f>
        <v>0.89353447111768658</v>
      </c>
      <c r="AA121" s="8">
        <f>MIN((IFERROR(INDEX(其他调用!$W$140:$W$178,MATCH($W121,其他调用!$T$140:$T$178,1))*求节点($G$34:$G$42,$I$34:$I$42,求节点($Q$48:$Q$56,$O$48:$O$56,$W121)),0)+IFERROR(INDEX(其他调用!$X$140:$X$178,MATCH($W121,其他调用!$T$140:$T$178,1))*求节点($G$34:$G$42,$J$34:$J$42,求节点($R$48:$R$56,$O$48:$O$56,$W121)),0)+IFERROR(INDEX(其他调用!$Y$140:$Y$178,MATCH($W121,其他调用!$T$140:$T$178,1))*求节点($G$34:$G$42,$K$34:$K$42,求节点($S$48:$S$56,$O$48:$O$56,$W121)),0))/6,1)</f>
        <v>0.99738730935012077</v>
      </c>
      <c r="AB121" s="8">
        <f>MIN((IFERROR(INDEX(其他调用!$W$185:$W$223,MATCH($W121,其他调用!$T$185:$T$223,1))*求节点($G$34:$G$42,$I$34:$I$42,求节点($Q$62:$Q$70,$O$62:$O$70,$W121)),0)+IFERROR(INDEX(其他调用!$X$185:$X$223,MATCH($W121,其他调用!$T$185:$T$223,1))*求节点($G$34:$G$42,$J$34:$J$42,求节点($R$62:$R$70,$O$62:$O$70,$W121)),0)+IFERROR(INDEX(其他调用!$Y$185:$Y$223,MATCH($W121,其他调用!$T$185:$T$223,1))*求节点($G$34:$G$42,$K$34:$K$42,求节点($S$62:$S$70,$O$62:$O$70,$W121)),0))/6,1)</f>
        <v>0.99824252247486678</v>
      </c>
      <c r="AD121" s="8">
        <v>116</v>
      </c>
      <c r="AE121" s="8">
        <f>X121/士兵加成武将!W121</f>
        <v>0.77706283535406717</v>
      </c>
      <c r="AF121" s="8">
        <f>Y121/士兵加成武将!X121</f>
        <v>0.86307311173748091</v>
      </c>
      <c r="AG121" s="8">
        <f>Z121/士兵加成武将!Y121</f>
        <v>0.89353447111768658</v>
      </c>
      <c r="AH121" s="8">
        <f>AA121/士兵加成武将!Z121</f>
        <v>0.99738730935012077</v>
      </c>
      <c r="AI121" s="8">
        <f>AB121/士兵加成武将!AA121</f>
        <v>0.99824252247486678</v>
      </c>
    </row>
    <row r="122" spans="23:35" x14ac:dyDescent="0.15">
      <c r="W122" s="8">
        <v>117</v>
      </c>
      <c r="X122" s="8">
        <f>MIN((IFERROR(INDEX(其他调用!$W$5:$W$43,MATCH($W122,其他调用!$T$5:$T$43,1))*求节点($G$34:$G$42,$I$34:$I$42,求节点($Q$6:$Q$14,$O$6:$O$14,$W122)),0)+IFERROR(INDEX(其他调用!$X$5:$X$43,MATCH($W122,其他调用!$T$5:$T$43,1))*求节点($G$34:$G$42,$J$34:$J$42,求节点($R$6:$R$14,$O$6:$O$14,$W122)),0)+IFERROR(INDEX(其他调用!$Y$5:$Y$43,MATCH($W122,其他调用!$T$5:$T$43,1))*求节点($G$34:$G$42,$K$34:$K$42,求节点($S$6:$S$14,$O$6:$O$14,$W122)),0))/6,1)</f>
        <v>0.78376165290022282</v>
      </c>
      <c r="Y122" s="8">
        <f>MIN((IFERROR(INDEX(其他调用!$W$50:$W$88,MATCH($W122,其他调用!$T$50:$T$88,1))*求节点($G$34:$G$42,$I$34:$I$42,求节点($Q$20:$Q$28,$O$20:$O$28,$W122)),0)+IFERROR(INDEX(其他调用!$X$50:$X$88,MATCH($W122,其他调用!$T$50:$T$88,1))*求节点($G$34:$G$42,$J$34:$J$42,求节点($R$20:$R$28,$O$20:$O$28,$W122)),0)+IFERROR(INDEX(其他调用!$Y$50:$Y$88,MATCH($W122,其他调用!$T$50:$T$88,1))*求节点($G$34:$G$42,$K$34:$K$42,求节点($S$20:$S$28,$O$20:$O$28,$W122)),0))/6,1)</f>
        <v>0.87051339718349363</v>
      </c>
      <c r="Z122" s="8">
        <f>MIN((IFERROR(INDEX(其他调用!$W$95:$W$133,MATCH($W122,其他调用!$T$95:$T$133,1))*求节点($G$34:$G$42,$I$34:$I$42,求节点($Q$34:$Q$42,$O$34:$O$42,$W122)),0)+IFERROR(INDEX(其他调用!$X$95:$X$133,MATCH($W122,其他调用!$T$95:$T$133,1))*求节点($G$34:$G$42,$J$34:$J$42,求节点($R$34:$R$42,$O$34:$O$42,$W122)),0)+IFERROR(INDEX(其他调用!$Y$95:$Y$133,MATCH($W122,其他调用!$T$95:$T$133,1))*求节点($G$34:$G$42,$K$34:$K$42,求节点($S$34:$S$42,$O$34:$O$42,$W122)),0))/6,1)</f>
        <v>0.90123735448939113</v>
      </c>
      <c r="AA122" s="8">
        <f>MIN((IFERROR(INDEX(其他调用!$W$140:$W$178,MATCH($W122,其他调用!$T$140:$T$178,1))*求节点($G$34:$G$42,$I$34:$I$42,求节点($Q$48:$Q$56,$O$48:$O$56,$W122)),0)+IFERROR(INDEX(其他调用!$X$140:$X$178,MATCH($W122,其他调用!$T$140:$T$178,1))*求节点($G$34:$G$42,$J$34:$J$42,求节点($R$48:$R$56,$O$48:$O$56,$W122)),0)+IFERROR(INDEX(其他调用!$Y$140:$Y$178,MATCH($W122,其他调用!$T$140:$T$178,1))*求节点($G$34:$G$42,$K$34:$K$42,求节点($S$48:$S$56,$O$48:$O$56,$W122)),0))/6,1)</f>
        <v>1</v>
      </c>
      <c r="AB122" s="8">
        <f>MIN((IFERROR(INDEX(其他调用!$W$185:$W$223,MATCH($W122,其他调用!$T$185:$T$223,1))*求节点($G$34:$G$42,$I$34:$I$42,求节点($Q$62:$Q$70,$O$62:$O$70,$W122)),0)+IFERROR(INDEX(其他调用!$X$185:$X$223,MATCH($W122,其他调用!$T$185:$T$223,1))*求节点($G$34:$G$42,$J$34:$J$42,求节点($R$62:$R$70,$O$62:$O$70,$W122)),0)+IFERROR(INDEX(其他调用!$Y$185:$Y$223,MATCH($W122,其他调用!$T$185:$T$223,1))*求节点($G$34:$G$42,$K$34:$K$42,求节点($S$62:$S$70,$O$62:$O$70,$W122)),0))/6,1)</f>
        <v>1</v>
      </c>
      <c r="AD122" s="8">
        <v>117</v>
      </c>
      <c r="AE122" s="8">
        <f>X122/士兵加成武将!W122</f>
        <v>0.78376165290022282</v>
      </c>
      <c r="AF122" s="8">
        <f>Y122/士兵加成武将!X122</f>
        <v>0.87051339718349363</v>
      </c>
      <c r="AG122" s="8">
        <f>Z122/士兵加成武将!Y122</f>
        <v>0.90123735448939113</v>
      </c>
      <c r="AH122" s="8">
        <f>AA122/士兵加成武将!Z122</f>
        <v>1</v>
      </c>
      <c r="AI122" s="8">
        <f>AB122/士兵加成武将!AA122</f>
        <v>1</v>
      </c>
    </row>
    <row r="123" spans="23:35" x14ac:dyDescent="0.15">
      <c r="W123" s="8">
        <v>118</v>
      </c>
      <c r="X123" s="8">
        <f>MIN((IFERROR(INDEX(其他调用!$W$5:$W$43,MATCH($W123,其他调用!$T$5:$T$43,1))*求节点($G$34:$G$42,$I$34:$I$42,求节点($Q$6:$Q$14,$O$6:$O$14,$W123)),0)+IFERROR(INDEX(其他调用!$X$5:$X$43,MATCH($W123,其他调用!$T$5:$T$43,1))*求节点($G$34:$G$42,$J$34:$J$42,求节点($R$6:$R$14,$O$6:$O$14,$W123)),0)+IFERROR(INDEX(其他调用!$Y$5:$Y$43,MATCH($W123,其他调用!$T$5:$T$43,1))*求节点($G$34:$G$42,$K$34:$K$42,求节点($S$6:$S$14,$O$6:$O$14,$W123)),0))/6,1)</f>
        <v>0.79046047044637868</v>
      </c>
      <c r="Y123" s="8">
        <f>MIN((IFERROR(INDEX(其他调用!$W$50:$W$88,MATCH($W123,其他调用!$T$50:$T$88,1))*求节点($G$34:$G$42,$I$34:$I$42,求节点($Q$20:$Q$28,$O$20:$O$28,$W123)),0)+IFERROR(INDEX(其他调用!$X$50:$X$88,MATCH($W123,其他调用!$T$50:$T$88,1))*求节点($G$34:$G$42,$J$34:$J$42,求节点($R$20:$R$28,$O$20:$O$28,$W123)),0)+IFERROR(INDEX(其他调用!$Y$50:$Y$88,MATCH($W123,其他调用!$T$50:$T$88,1))*求节点($G$34:$G$42,$K$34:$K$42,求节点($S$20:$S$28,$O$20:$O$28,$W123)),0))/6,1)</f>
        <v>0.87795368262950646</v>
      </c>
      <c r="Z123" s="8">
        <f>MIN((IFERROR(INDEX(其他调用!$W$95:$W$133,MATCH($W123,其他调用!$T$95:$T$133,1))*求节点($G$34:$G$42,$I$34:$I$42,求节点($Q$34:$Q$42,$O$34:$O$42,$W123)),0)+IFERROR(INDEX(其他调用!$X$95:$X$133,MATCH($W123,其他调用!$T$95:$T$133,1))*求节点($G$34:$G$42,$J$34:$J$42,求节点($R$34:$R$42,$O$34:$O$42,$W123)),0)+IFERROR(INDEX(其他调用!$Y$95:$Y$133,MATCH($W123,其他调用!$T$95:$T$133,1))*求节点($G$34:$G$42,$K$34:$K$42,求节点($S$34:$S$42,$O$34:$O$42,$W123)),0))/6,1)</f>
        <v>0.90894023786109512</v>
      </c>
      <c r="AA123" s="8">
        <f>MIN((IFERROR(INDEX(其他调用!$W$140:$W$178,MATCH($W123,其他调用!$T$140:$T$178,1))*求节点($G$34:$G$42,$I$34:$I$42,求节点($Q$48:$Q$56,$O$48:$O$56,$W123)),0)+IFERROR(INDEX(其他调用!$X$140:$X$178,MATCH($W123,其他调用!$T$140:$T$178,1))*求节点($G$34:$G$42,$J$34:$J$42,求节点($R$48:$R$56,$O$48:$O$56,$W123)),0)+IFERROR(INDEX(其他调用!$Y$140:$Y$178,MATCH($W123,其他调用!$T$140:$T$178,1))*求节点($G$34:$G$42,$K$34:$K$42,求节点($S$48:$S$56,$O$48:$O$56,$W123)),0))/6,1)</f>
        <v>1</v>
      </c>
      <c r="AB123" s="8">
        <f>MIN((IFERROR(INDEX(其他调用!$W$185:$W$223,MATCH($W123,其他调用!$T$185:$T$223,1))*求节点($G$34:$G$42,$I$34:$I$42,求节点($Q$62:$Q$70,$O$62:$O$70,$W123)),0)+IFERROR(INDEX(其他调用!$X$185:$X$223,MATCH($W123,其他调用!$T$185:$T$223,1))*求节点($G$34:$G$42,$J$34:$J$42,求节点($R$62:$R$70,$O$62:$O$70,$W123)),0)+IFERROR(INDEX(其他调用!$Y$185:$Y$223,MATCH($W123,其他调用!$T$185:$T$223,1))*求节点($G$34:$G$42,$K$34:$K$42,求节点($S$62:$S$70,$O$62:$O$70,$W123)),0))/6,1)</f>
        <v>1</v>
      </c>
      <c r="AD123" s="8">
        <v>118</v>
      </c>
      <c r="AE123" s="8">
        <f>X123/士兵加成武将!W123</f>
        <v>0.79046047044637868</v>
      </c>
      <c r="AF123" s="8">
        <f>Y123/士兵加成武将!X123</f>
        <v>0.87795368262950646</v>
      </c>
      <c r="AG123" s="8">
        <f>Z123/士兵加成武将!Y123</f>
        <v>0.90894023786109512</v>
      </c>
      <c r="AH123" s="8">
        <f>AA123/士兵加成武将!Z123</f>
        <v>1</v>
      </c>
      <c r="AI123" s="8">
        <f>AB123/士兵加成武将!AA123</f>
        <v>1</v>
      </c>
    </row>
    <row r="124" spans="23:35" x14ac:dyDescent="0.15">
      <c r="W124" s="8">
        <v>119</v>
      </c>
      <c r="X124" s="8">
        <f>MIN((IFERROR(INDEX(其他调用!$W$5:$W$43,MATCH($W124,其他调用!$T$5:$T$43,1))*求节点($G$34:$G$42,$I$34:$I$42,求节点($Q$6:$Q$14,$O$6:$O$14,$W124)),0)+IFERROR(INDEX(其他调用!$X$5:$X$43,MATCH($W124,其他调用!$T$5:$T$43,1))*求节点($G$34:$G$42,$J$34:$J$42,求节点($R$6:$R$14,$O$6:$O$14,$W124)),0)+IFERROR(INDEX(其他调用!$Y$5:$Y$43,MATCH($W124,其他调用!$T$5:$T$43,1))*求节点($G$34:$G$42,$K$34:$K$42,求节点($S$6:$S$14,$O$6:$O$14,$W124)),0))/6,1)</f>
        <v>0.79715928799253444</v>
      </c>
      <c r="Y124" s="8">
        <f>MIN((IFERROR(INDEX(其他调用!$W$50:$W$88,MATCH($W124,其他调用!$T$50:$T$88,1))*求节点($G$34:$G$42,$I$34:$I$42,求节点($Q$20:$Q$28,$O$20:$O$28,$W124)),0)+IFERROR(INDEX(其他调用!$X$50:$X$88,MATCH($W124,其他调用!$T$50:$T$88,1))*求节点($G$34:$G$42,$J$34:$J$42,求节点($R$20:$R$28,$O$20:$O$28,$W124)),0)+IFERROR(INDEX(其他调用!$Y$50:$Y$88,MATCH($W124,其他调用!$T$50:$T$88,1))*求节点($G$34:$G$42,$K$34:$K$42,求节点($S$20:$S$28,$O$20:$O$28,$W124)),0))/6,1)</f>
        <v>0.88539396807551929</v>
      </c>
      <c r="Z124" s="8">
        <f>MIN((IFERROR(INDEX(其他调用!$W$95:$W$133,MATCH($W124,其他调用!$T$95:$T$133,1))*求节点($G$34:$G$42,$I$34:$I$42,求节点($Q$34:$Q$42,$O$34:$O$42,$W124)),0)+IFERROR(INDEX(其他调用!$X$95:$X$133,MATCH($W124,其他调用!$T$95:$T$133,1))*求节点($G$34:$G$42,$J$34:$J$42,求节点($R$34:$R$42,$O$34:$O$42,$W124)),0)+IFERROR(INDEX(其他调用!$Y$95:$Y$133,MATCH($W124,其他调用!$T$95:$T$133,1))*求节点($G$34:$G$42,$K$34:$K$42,求节点($S$34:$S$42,$O$34:$O$42,$W124)),0))/6,1)</f>
        <v>0.91664312123279934</v>
      </c>
      <c r="AA124" s="8">
        <f>MIN((IFERROR(INDEX(其他调用!$W$140:$W$178,MATCH($W124,其他调用!$T$140:$T$178,1))*求节点($G$34:$G$42,$I$34:$I$42,求节点($Q$48:$Q$56,$O$48:$O$56,$W124)),0)+IFERROR(INDEX(其他调用!$X$140:$X$178,MATCH($W124,其他调用!$T$140:$T$178,1))*求节点($G$34:$G$42,$J$34:$J$42,求节点($R$48:$R$56,$O$48:$O$56,$W124)),0)+IFERROR(INDEX(其他调用!$Y$140:$Y$178,MATCH($W124,其他调用!$T$140:$T$178,1))*求节点($G$34:$G$42,$K$34:$K$42,求节点($S$48:$S$56,$O$48:$O$56,$W124)),0))/6,1)</f>
        <v>1</v>
      </c>
      <c r="AB124" s="8">
        <f>MIN((IFERROR(INDEX(其他调用!$W$185:$W$223,MATCH($W124,其他调用!$T$185:$T$223,1))*求节点($G$34:$G$42,$I$34:$I$42,求节点($Q$62:$Q$70,$O$62:$O$70,$W124)),0)+IFERROR(INDEX(其他调用!$X$185:$X$223,MATCH($W124,其他调用!$T$185:$T$223,1))*求节点($G$34:$G$42,$J$34:$J$42,求节点($R$62:$R$70,$O$62:$O$70,$W124)),0)+IFERROR(INDEX(其他调用!$Y$185:$Y$223,MATCH($W124,其他调用!$T$185:$T$223,1))*求节点($G$34:$G$42,$K$34:$K$42,求节点($S$62:$S$70,$O$62:$O$70,$W124)),0))/6,1)</f>
        <v>1</v>
      </c>
      <c r="AD124" s="8">
        <v>119</v>
      </c>
      <c r="AE124" s="8">
        <f>X124/士兵加成武将!W124</f>
        <v>0.79715928799253444</v>
      </c>
      <c r="AF124" s="8">
        <f>Y124/士兵加成武将!X124</f>
        <v>0.88539396807551929</v>
      </c>
      <c r="AG124" s="8">
        <f>Z124/士兵加成武将!Y124</f>
        <v>0.91664312123279934</v>
      </c>
      <c r="AH124" s="8">
        <f>AA124/士兵加成武将!Z124</f>
        <v>1</v>
      </c>
      <c r="AI124" s="8">
        <f>AB124/士兵加成武将!AA124</f>
        <v>1</v>
      </c>
    </row>
    <row r="125" spans="23:35" x14ac:dyDescent="0.15">
      <c r="W125" s="8">
        <v>120</v>
      </c>
      <c r="X125" s="8">
        <f>MIN((IFERROR(INDEX(其他调用!$W$5:$W$43,MATCH($W125,其他调用!$T$5:$T$43,1))*求节点($G$34:$G$42,$I$34:$I$42,求节点($Q$6:$Q$14,$O$6:$O$14,$W125)),0)+IFERROR(INDEX(其他调用!$X$5:$X$43,MATCH($W125,其他调用!$T$5:$T$43,1))*求节点($G$34:$G$42,$J$34:$J$42,求节点($R$6:$R$14,$O$6:$O$14,$W125)),0)+IFERROR(INDEX(其他调用!$Y$5:$Y$43,MATCH($W125,其他调用!$T$5:$T$43,1))*求节点($G$34:$G$42,$K$34:$K$42,求节点($S$6:$S$14,$O$6:$O$14,$W125)),0))/6,1)</f>
        <v>0.80385810553869008</v>
      </c>
      <c r="Y125" s="8">
        <f>MIN((IFERROR(INDEX(其他调用!$W$50:$W$88,MATCH($W125,其他调用!$T$50:$T$88,1))*求节点($G$34:$G$42,$I$34:$I$42,求节点($Q$20:$Q$28,$O$20:$O$28,$W125)),0)+IFERROR(INDEX(其他调用!$X$50:$X$88,MATCH($W125,其他调用!$T$50:$T$88,1))*求节点($G$34:$G$42,$J$34:$J$42,求节点($R$20:$R$28,$O$20:$O$28,$W125)),0)+IFERROR(INDEX(其他调用!$Y$50:$Y$88,MATCH($W125,其他调用!$T$50:$T$88,1))*求节点($G$34:$G$42,$K$34:$K$42,求节点($S$20:$S$28,$O$20:$O$28,$W125)),0))/6,1)</f>
        <v>0.8928342535215319</v>
      </c>
      <c r="Z125" s="8">
        <f>MIN((IFERROR(INDEX(其他调用!$W$95:$W$133,MATCH($W125,其他调用!$T$95:$T$133,1))*求节点($G$34:$G$42,$I$34:$I$42,求节点($Q$34:$Q$42,$O$34:$O$42,$W125)),0)+IFERROR(INDEX(其他调用!$X$95:$X$133,MATCH($W125,其他调用!$T$95:$T$133,1))*求节点($G$34:$G$42,$J$34:$J$42,求节点($R$34:$R$42,$O$34:$O$42,$W125)),0)+IFERROR(INDEX(其他调用!$Y$95:$Y$133,MATCH($W125,其他调用!$T$95:$T$133,1))*求节点($G$34:$G$42,$K$34:$K$42,求节点($S$34:$S$42,$O$34:$O$42,$W125)),0))/6,1)</f>
        <v>0.92434600460450367</v>
      </c>
      <c r="AA125" s="8">
        <f>MIN((IFERROR(INDEX(其他调用!$W$140:$W$178,MATCH($W125,其他调用!$T$140:$T$178,1))*求节点($G$34:$G$42,$I$34:$I$42,求节点($Q$48:$Q$56,$O$48:$O$56,$W125)),0)+IFERROR(INDEX(其他调用!$X$140:$X$178,MATCH($W125,其他调用!$T$140:$T$178,1))*求节点($G$34:$G$42,$J$34:$J$42,求节点($R$48:$R$56,$O$48:$O$56,$W125)),0)+IFERROR(INDEX(其他调用!$Y$140:$Y$178,MATCH($W125,其他调用!$T$140:$T$178,1))*求节点($G$34:$G$42,$K$34:$K$42,求节点($S$48:$S$56,$O$48:$O$56,$W125)),0))/6,1)</f>
        <v>1</v>
      </c>
      <c r="AB125" s="8">
        <f>MIN((IFERROR(INDEX(其他调用!$W$185:$W$223,MATCH($W125,其他调用!$T$185:$T$223,1))*求节点($G$34:$G$42,$I$34:$I$42,求节点($Q$62:$Q$70,$O$62:$O$70,$W125)),0)+IFERROR(INDEX(其他调用!$X$185:$X$223,MATCH($W125,其他调用!$T$185:$T$223,1))*求节点($G$34:$G$42,$J$34:$J$42,求节点($R$62:$R$70,$O$62:$O$70,$W125)),0)+IFERROR(INDEX(其他调用!$Y$185:$Y$223,MATCH($W125,其他调用!$T$185:$T$223,1))*求节点($G$34:$G$42,$K$34:$K$42,求节点($S$62:$S$70,$O$62:$O$70,$W125)),0))/6,1)</f>
        <v>1</v>
      </c>
      <c r="AD125" s="8">
        <v>120</v>
      </c>
      <c r="AE125" s="8">
        <f>X125/士兵加成武将!W125</f>
        <v>0.80385810553869008</v>
      </c>
      <c r="AF125" s="8">
        <f>Y125/士兵加成武将!X125</f>
        <v>0.8928342535215319</v>
      </c>
      <c r="AG125" s="8">
        <f>Z125/士兵加成武将!Y125</f>
        <v>0.92434600460450367</v>
      </c>
      <c r="AH125" s="8">
        <f>AA125/士兵加成武将!Z125</f>
        <v>1</v>
      </c>
      <c r="AI125" s="8">
        <f>AB125/士兵加成武将!AA125</f>
        <v>1</v>
      </c>
    </row>
    <row r="126" spans="23:35" x14ac:dyDescent="0.15">
      <c r="W126" s="8">
        <v>121</v>
      </c>
      <c r="X126" s="8">
        <f>MIN((IFERROR(INDEX(其他调用!$W$5:$W$43,MATCH($W126,其他调用!$T$5:$T$43,1))*求节点($G$34:$G$42,$I$34:$I$42,求节点($Q$6:$Q$14,$O$6:$O$14,$W126)),0)+IFERROR(INDEX(其他调用!$X$5:$X$43,MATCH($W126,其他调用!$T$5:$T$43,1))*求节点($G$34:$G$42,$J$34:$J$42,求节点($R$6:$R$14,$O$6:$O$14,$W126)),0)+IFERROR(INDEX(其他调用!$Y$5:$Y$43,MATCH($W126,其他调用!$T$5:$T$43,1))*求节点($G$34:$G$42,$K$34:$K$42,求节点($S$6:$S$14,$O$6:$O$14,$W126)),0))/6,1)</f>
        <v>0.81055692308484595</v>
      </c>
      <c r="Y126" s="8">
        <f>MIN((IFERROR(INDEX(其他调用!$W$50:$W$88,MATCH($W126,其他调用!$T$50:$T$88,1))*求节点($G$34:$G$42,$I$34:$I$42,求节点($Q$20:$Q$28,$O$20:$O$28,$W126)),0)+IFERROR(INDEX(其他调用!$X$50:$X$88,MATCH($W126,其他调用!$T$50:$T$88,1))*求节点($G$34:$G$42,$J$34:$J$42,求节点($R$20:$R$28,$O$20:$O$28,$W126)),0)+IFERROR(INDEX(其他调用!$Y$50:$Y$88,MATCH($W126,其他调用!$T$50:$T$88,1))*求节点($G$34:$G$42,$K$34:$K$42,求节点($S$20:$S$28,$O$20:$O$28,$W126)),0))/6,1)</f>
        <v>0.9002745389675445</v>
      </c>
      <c r="Z126" s="8">
        <f>MIN((IFERROR(INDEX(其他调用!$W$95:$W$133,MATCH($W126,其他调用!$T$95:$T$133,1))*求节点($G$34:$G$42,$I$34:$I$42,求节点($Q$34:$Q$42,$O$34:$O$42,$W126)),0)+IFERROR(INDEX(其他调用!$X$95:$X$133,MATCH($W126,其他调用!$T$95:$T$133,1))*求节点($G$34:$G$42,$J$34:$J$42,求节点($R$34:$R$42,$O$34:$O$42,$W126)),0)+IFERROR(INDEX(其他调用!$Y$95:$Y$133,MATCH($W126,其他调用!$T$95:$T$133,1))*求节点($G$34:$G$42,$K$34:$K$42,求节点($S$34:$S$42,$O$34:$O$42,$W126)),0))/6,1)</f>
        <v>0.93204888797620777</v>
      </c>
      <c r="AA126" s="8">
        <f>MIN((IFERROR(INDEX(其他调用!$W$140:$W$178,MATCH($W126,其他调用!$T$140:$T$178,1))*求节点($G$34:$G$42,$I$34:$I$42,求节点($Q$48:$Q$56,$O$48:$O$56,$W126)),0)+IFERROR(INDEX(其他调用!$X$140:$X$178,MATCH($W126,其他调用!$T$140:$T$178,1))*求节点($G$34:$G$42,$J$34:$J$42,求节点($R$48:$R$56,$O$48:$O$56,$W126)),0)+IFERROR(INDEX(其他调用!$Y$140:$Y$178,MATCH($W126,其他调用!$T$140:$T$178,1))*求节点($G$34:$G$42,$K$34:$K$42,求节点($S$48:$S$56,$O$48:$O$56,$W126)),0))/6,1)</f>
        <v>1</v>
      </c>
      <c r="AB126" s="8">
        <f>MIN((IFERROR(INDEX(其他调用!$W$185:$W$223,MATCH($W126,其他调用!$T$185:$T$223,1))*求节点($G$34:$G$42,$I$34:$I$42,求节点($Q$62:$Q$70,$O$62:$O$70,$W126)),0)+IFERROR(INDEX(其他调用!$X$185:$X$223,MATCH($W126,其他调用!$T$185:$T$223,1))*求节点($G$34:$G$42,$J$34:$J$42,求节点($R$62:$R$70,$O$62:$O$70,$W126)),0)+IFERROR(INDEX(其他调用!$Y$185:$Y$223,MATCH($W126,其他调用!$T$185:$T$223,1))*求节点($G$34:$G$42,$K$34:$K$42,求节点($S$62:$S$70,$O$62:$O$70,$W126)),0))/6,1)</f>
        <v>1</v>
      </c>
      <c r="AD126" s="8">
        <v>121</v>
      </c>
      <c r="AE126" s="8">
        <f>X126/士兵加成武将!W126</f>
        <v>0.81055692308484595</v>
      </c>
      <c r="AF126" s="8">
        <f>Y126/士兵加成武将!X126</f>
        <v>0.9002745389675445</v>
      </c>
      <c r="AG126" s="8">
        <f>Z126/士兵加成武将!Y126</f>
        <v>0.93204888797620777</v>
      </c>
      <c r="AH126" s="8">
        <f>AA126/士兵加成武将!Z126</f>
        <v>1</v>
      </c>
      <c r="AI126" s="8">
        <f>AB126/士兵加成武将!AA126</f>
        <v>1</v>
      </c>
    </row>
    <row r="127" spans="23:35" x14ac:dyDescent="0.15">
      <c r="W127" s="8">
        <v>122</v>
      </c>
      <c r="X127" s="8">
        <f>MIN((IFERROR(INDEX(其他调用!$W$5:$W$43,MATCH($W127,其他调用!$T$5:$T$43,1))*求节点($G$34:$G$42,$I$34:$I$42,求节点($Q$6:$Q$14,$O$6:$O$14,$W127)),0)+IFERROR(INDEX(其他调用!$X$5:$X$43,MATCH($W127,其他调用!$T$5:$T$43,1))*求节点($G$34:$G$42,$J$34:$J$42,求节点($R$6:$R$14,$O$6:$O$14,$W127)),0)+IFERROR(INDEX(其他调用!$Y$5:$Y$43,MATCH($W127,其他调用!$T$5:$T$43,1))*求节点($G$34:$G$42,$K$34:$K$42,求节点($S$6:$S$14,$O$6:$O$14,$W127)),0))/6,1)</f>
        <v>0.8172557406310017</v>
      </c>
      <c r="Y127" s="8">
        <f>MIN((IFERROR(INDEX(其他调用!$W$50:$W$88,MATCH($W127,其他调用!$T$50:$T$88,1))*求节点($G$34:$G$42,$I$34:$I$42,求节点($Q$20:$Q$28,$O$20:$O$28,$W127)),0)+IFERROR(INDEX(其他调用!$X$50:$X$88,MATCH($W127,其他调用!$T$50:$T$88,1))*求节点($G$34:$G$42,$J$34:$J$42,求节点($R$20:$R$28,$O$20:$O$28,$W127)),0)+IFERROR(INDEX(其他调用!$Y$50:$Y$88,MATCH($W127,其他调用!$T$50:$T$88,1))*求节点($G$34:$G$42,$K$34:$K$42,求节点($S$20:$S$28,$O$20:$O$28,$W127)),0))/6,1)</f>
        <v>0.90771482441355744</v>
      </c>
      <c r="Z127" s="8">
        <f>MIN((IFERROR(INDEX(其他调用!$W$95:$W$133,MATCH($W127,其他调用!$T$95:$T$133,1))*求节点($G$34:$G$42,$I$34:$I$42,求节点($Q$34:$Q$42,$O$34:$O$42,$W127)),0)+IFERROR(INDEX(其他调用!$X$95:$X$133,MATCH($W127,其他调用!$T$95:$T$133,1))*求节点($G$34:$G$42,$J$34:$J$42,求节点($R$34:$R$42,$O$34:$O$42,$W127)),0)+IFERROR(INDEX(其他调用!$Y$95:$Y$133,MATCH($W127,其他调用!$T$95:$T$133,1))*求节点($G$34:$G$42,$K$34:$K$42,求节点($S$34:$S$42,$O$34:$O$42,$W127)),0))/6,1)</f>
        <v>0.93975177134791199</v>
      </c>
      <c r="AA127" s="8">
        <f>MIN((IFERROR(INDEX(其他调用!$W$140:$W$178,MATCH($W127,其他调用!$T$140:$T$178,1))*求节点($G$34:$G$42,$I$34:$I$42,求节点($Q$48:$Q$56,$O$48:$O$56,$W127)),0)+IFERROR(INDEX(其他调用!$X$140:$X$178,MATCH($W127,其他调用!$T$140:$T$178,1))*求节点($G$34:$G$42,$J$34:$J$42,求节点($R$48:$R$56,$O$48:$O$56,$W127)),0)+IFERROR(INDEX(其他调用!$Y$140:$Y$178,MATCH($W127,其他调用!$T$140:$T$178,1))*求节点($G$34:$G$42,$K$34:$K$42,求节点($S$48:$S$56,$O$48:$O$56,$W127)),0))/6,1)</f>
        <v>1</v>
      </c>
      <c r="AB127" s="8">
        <f>MIN((IFERROR(INDEX(其他调用!$W$185:$W$223,MATCH($W127,其他调用!$T$185:$T$223,1))*求节点($G$34:$G$42,$I$34:$I$42,求节点($Q$62:$Q$70,$O$62:$O$70,$W127)),0)+IFERROR(INDEX(其他调用!$X$185:$X$223,MATCH($W127,其他调用!$T$185:$T$223,1))*求节点($G$34:$G$42,$J$34:$J$42,求节点($R$62:$R$70,$O$62:$O$70,$W127)),0)+IFERROR(INDEX(其他调用!$Y$185:$Y$223,MATCH($W127,其他调用!$T$185:$T$223,1))*求节点($G$34:$G$42,$K$34:$K$42,求节点($S$62:$S$70,$O$62:$O$70,$W127)),0))/6,1)</f>
        <v>1</v>
      </c>
      <c r="AD127" s="8">
        <v>122</v>
      </c>
      <c r="AE127" s="8">
        <f>X127/士兵加成武将!W127</f>
        <v>0.8172557406310017</v>
      </c>
      <c r="AF127" s="8">
        <f>Y127/士兵加成武将!X127</f>
        <v>0.90771482441355744</v>
      </c>
      <c r="AG127" s="8">
        <f>Z127/士兵加成武将!Y127</f>
        <v>0.93975177134791199</v>
      </c>
      <c r="AH127" s="8">
        <f>AA127/士兵加成武将!Z127</f>
        <v>1</v>
      </c>
      <c r="AI127" s="8">
        <f>AB127/士兵加成武将!AA127</f>
        <v>1</v>
      </c>
    </row>
    <row r="128" spans="23:35" x14ac:dyDescent="0.15">
      <c r="W128" s="8">
        <v>123</v>
      </c>
      <c r="X128" s="8">
        <f>MIN((IFERROR(INDEX(其他调用!$W$5:$W$43,MATCH($W128,其他调用!$T$5:$T$43,1))*求节点($G$34:$G$42,$I$34:$I$42,求节点($Q$6:$Q$14,$O$6:$O$14,$W128)),0)+IFERROR(INDEX(其他调用!$X$5:$X$43,MATCH($W128,其他调用!$T$5:$T$43,1))*求节点($G$34:$G$42,$J$34:$J$42,求节点($R$6:$R$14,$O$6:$O$14,$W128)),0)+IFERROR(INDEX(其他调用!$Y$5:$Y$43,MATCH($W128,其他调用!$T$5:$T$43,1))*求节点($G$34:$G$42,$K$34:$K$42,求节点($S$6:$S$14,$O$6:$O$14,$W128)),0))/6,1)</f>
        <v>0.82395455817715735</v>
      </c>
      <c r="Y128" s="8">
        <f>MIN((IFERROR(INDEX(其他调用!$W$50:$W$88,MATCH($W128,其他调用!$T$50:$T$88,1))*求节点($G$34:$G$42,$I$34:$I$42,求节点($Q$20:$Q$28,$O$20:$O$28,$W128)),0)+IFERROR(INDEX(其他调用!$X$50:$X$88,MATCH($W128,其他调用!$T$50:$T$88,1))*求节点($G$34:$G$42,$J$34:$J$42,求节点($R$20:$R$28,$O$20:$O$28,$W128)),0)+IFERROR(INDEX(其他调用!$Y$50:$Y$88,MATCH($W128,其他调用!$T$50:$T$88,1))*求节点($G$34:$G$42,$K$34:$K$42,求节点($S$20:$S$28,$O$20:$O$28,$W128)),0))/6,1)</f>
        <v>0.91515510985957027</v>
      </c>
      <c r="Z128" s="8">
        <f>MIN((IFERROR(INDEX(其他调用!$W$95:$W$133,MATCH($W128,其他调用!$T$95:$T$133,1))*求节点($G$34:$G$42,$I$34:$I$42,求节点($Q$34:$Q$42,$O$34:$O$42,$W128)),0)+IFERROR(INDEX(其他调用!$X$95:$X$133,MATCH($W128,其他调用!$T$95:$T$133,1))*求节点($G$34:$G$42,$J$34:$J$42,求节点($R$34:$R$42,$O$34:$O$42,$W128)),0)+IFERROR(INDEX(其他调用!$Y$95:$Y$133,MATCH($W128,其他调用!$T$95:$T$133,1))*求节点($G$34:$G$42,$K$34:$K$42,求节点($S$34:$S$42,$O$34:$O$42,$W128)),0))/6,1)</f>
        <v>0.94745465471961621</v>
      </c>
      <c r="AA128" s="8">
        <f>MIN((IFERROR(INDEX(其他调用!$W$140:$W$178,MATCH($W128,其他调用!$T$140:$T$178,1))*求节点($G$34:$G$42,$I$34:$I$42,求节点($Q$48:$Q$56,$O$48:$O$56,$W128)),0)+IFERROR(INDEX(其他调用!$X$140:$X$178,MATCH($W128,其他调用!$T$140:$T$178,1))*求节点($G$34:$G$42,$J$34:$J$42,求节点($R$48:$R$56,$O$48:$O$56,$W128)),0)+IFERROR(INDEX(其他调用!$Y$140:$Y$178,MATCH($W128,其他调用!$T$140:$T$178,1))*求节点($G$34:$G$42,$K$34:$K$42,求节点($S$48:$S$56,$O$48:$O$56,$W128)),0))/6,1)</f>
        <v>1</v>
      </c>
      <c r="AB128" s="8">
        <f>MIN((IFERROR(INDEX(其他调用!$W$185:$W$223,MATCH($W128,其他调用!$T$185:$T$223,1))*求节点($G$34:$G$42,$I$34:$I$42,求节点($Q$62:$Q$70,$O$62:$O$70,$W128)),0)+IFERROR(INDEX(其他调用!$X$185:$X$223,MATCH($W128,其他调用!$T$185:$T$223,1))*求节点($G$34:$G$42,$J$34:$J$42,求节点($R$62:$R$70,$O$62:$O$70,$W128)),0)+IFERROR(INDEX(其他调用!$Y$185:$Y$223,MATCH($W128,其他调用!$T$185:$T$223,1))*求节点($G$34:$G$42,$K$34:$K$42,求节点($S$62:$S$70,$O$62:$O$70,$W128)),0))/6,1)</f>
        <v>1</v>
      </c>
      <c r="AD128" s="8">
        <v>123</v>
      </c>
      <c r="AE128" s="8">
        <f>X128/士兵加成武将!W128</f>
        <v>0.82395455817715735</v>
      </c>
      <c r="AF128" s="8">
        <f>Y128/士兵加成武将!X128</f>
        <v>0.91515510985957027</v>
      </c>
      <c r="AG128" s="8">
        <f>Z128/士兵加成武将!Y128</f>
        <v>0.94745465471961621</v>
      </c>
      <c r="AH128" s="8">
        <f>AA128/士兵加成武将!Z128</f>
        <v>1</v>
      </c>
      <c r="AI128" s="8">
        <f>AB128/士兵加成武将!AA128</f>
        <v>1</v>
      </c>
    </row>
    <row r="129" spans="23:35" x14ac:dyDescent="0.15">
      <c r="W129" s="8">
        <v>124</v>
      </c>
      <c r="X129" s="8">
        <f>MIN((IFERROR(INDEX(其他调用!$W$5:$W$43,MATCH($W129,其他调用!$T$5:$T$43,1))*求节点($G$34:$G$42,$I$34:$I$42,求节点($Q$6:$Q$14,$O$6:$O$14,$W129)),0)+IFERROR(INDEX(其他调用!$X$5:$X$43,MATCH($W129,其他调用!$T$5:$T$43,1))*求节点($G$34:$G$42,$J$34:$J$42,求节点($R$6:$R$14,$O$6:$O$14,$W129)),0)+IFERROR(INDEX(其他调用!$Y$5:$Y$43,MATCH($W129,其他调用!$T$5:$T$43,1))*求节点($G$34:$G$42,$K$34:$K$42,求节点($S$6:$S$14,$O$6:$O$14,$W129)),0))/6,1)</f>
        <v>0.83065337572331321</v>
      </c>
      <c r="Y129" s="8">
        <f>MIN((IFERROR(INDEX(其他调用!$W$50:$W$88,MATCH($W129,其他调用!$T$50:$T$88,1))*求节点($G$34:$G$42,$I$34:$I$42,求节点($Q$20:$Q$28,$O$20:$O$28,$W129)),0)+IFERROR(INDEX(其他调用!$X$50:$X$88,MATCH($W129,其他调用!$T$50:$T$88,1))*求节点($G$34:$G$42,$J$34:$J$42,求节点($R$20:$R$28,$O$20:$O$28,$W129)),0)+IFERROR(INDEX(其他调用!$Y$50:$Y$88,MATCH($W129,其他调用!$T$50:$T$88,1))*求节点($G$34:$G$42,$K$34:$K$42,求节点($S$20:$S$28,$O$20:$O$28,$W129)),0))/6,1)</f>
        <v>0.92259539530558288</v>
      </c>
      <c r="Z129" s="8">
        <f>MIN((IFERROR(INDEX(其他调用!$W$95:$W$133,MATCH($W129,其他调用!$T$95:$T$133,1))*求节点($G$34:$G$42,$I$34:$I$42,求节点($Q$34:$Q$42,$O$34:$O$42,$W129)),0)+IFERROR(INDEX(其他调用!$X$95:$X$133,MATCH($W129,其他调用!$T$95:$T$133,1))*求节点($G$34:$G$42,$J$34:$J$42,求节点($R$34:$R$42,$O$34:$O$42,$W129)),0)+IFERROR(INDEX(其他调用!$Y$95:$Y$133,MATCH($W129,其他调用!$T$95:$T$133,1))*求节点($G$34:$G$42,$K$34:$K$42,求节点($S$34:$S$42,$O$34:$O$42,$W129)),0))/6,1)</f>
        <v>0.95515753809132031</v>
      </c>
      <c r="AA129" s="8">
        <f>MIN((IFERROR(INDEX(其他调用!$W$140:$W$178,MATCH($W129,其他调用!$T$140:$T$178,1))*求节点($G$34:$G$42,$I$34:$I$42,求节点($Q$48:$Q$56,$O$48:$O$56,$W129)),0)+IFERROR(INDEX(其他调用!$X$140:$X$178,MATCH($W129,其他调用!$T$140:$T$178,1))*求节点($G$34:$G$42,$J$34:$J$42,求节点($R$48:$R$56,$O$48:$O$56,$W129)),0)+IFERROR(INDEX(其他调用!$Y$140:$Y$178,MATCH($W129,其他调用!$T$140:$T$178,1))*求节点($G$34:$G$42,$K$34:$K$42,求节点($S$48:$S$56,$O$48:$O$56,$W129)),0))/6,1)</f>
        <v>1</v>
      </c>
      <c r="AB129" s="8">
        <f>MIN((IFERROR(INDEX(其他调用!$W$185:$W$223,MATCH($W129,其他调用!$T$185:$T$223,1))*求节点($G$34:$G$42,$I$34:$I$42,求节点($Q$62:$Q$70,$O$62:$O$70,$W129)),0)+IFERROR(INDEX(其他调用!$X$185:$X$223,MATCH($W129,其他调用!$T$185:$T$223,1))*求节点($G$34:$G$42,$J$34:$J$42,求节点($R$62:$R$70,$O$62:$O$70,$W129)),0)+IFERROR(INDEX(其他调用!$Y$185:$Y$223,MATCH($W129,其他调用!$T$185:$T$223,1))*求节点($G$34:$G$42,$K$34:$K$42,求节点($S$62:$S$70,$O$62:$O$70,$W129)),0))/6,1)</f>
        <v>1</v>
      </c>
      <c r="AD129" s="8">
        <v>124</v>
      </c>
      <c r="AE129" s="8">
        <f>X129/士兵加成武将!W129</f>
        <v>0.83065337572331321</v>
      </c>
      <c r="AF129" s="8">
        <f>Y129/士兵加成武将!X129</f>
        <v>0.92259539530558288</v>
      </c>
      <c r="AG129" s="8">
        <f>Z129/士兵加成武将!Y129</f>
        <v>0.95515753809132031</v>
      </c>
      <c r="AH129" s="8">
        <f>AA129/士兵加成武将!Z129</f>
        <v>1</v>
      </c>
      <c r="AI129" s="8">
        <f>AB129/士兵加成武将!AA129</f>
        <v>1</v>
      </c>
    </row>
    <row r="130" spans="23:35" x14ac:dyDescent="0.15">
      <c r="W130" s="8">
        <v>125</v>
      </c>
      <c r="X130" s="8">
        <f>MIN((IFERROR(INDEX(其他调用!$W$5:$W$43,MATCH($W130,其他调用!$T$5:$T$43,1))*求节点($G$34:$G$42,$I$34:$I$42,求节点($Q$6:$Q$14,$O$6:$O$14,$W130)),0)+IFERROR(INDEX(其他调用!$X$5:$X$43,MATCH($W130,其他调用!$T$5:$T$43,1))*求节点($G$34:$G$42,$J$34:$J$42,求节点($R$6:$R$14,$O$6:$O$14,$W130)),0)+IFERROR(INDEX(其他调用!$Y$5:$Y$43,MATCH($W130,其他调用!$T$5:$T$43,1))*求节点($G$34:$G$42,$K$34:$K$42,求节点($S$6:$S$14,$O$6:$O$14,$W130)),0))/6,1)</f>
        <v>0.83735219326946897</v>
      </c>
      <c r="Y130" s="8">
        <f>MIN((IFERROR(INDEX(其他调用!$W$50:$W$88,MATCH($W130,其他调用!$T$50:$T$88,1))*求节点($G$34:$G$42,$I$34:$I$42,求节点($Q$20:$Q$28,$O$20:$O$28,$W130)),0)+IFERROR(INDEX(其他调用!$X$50:$X$88,MATCH($W130,其他调用!$T$50:$T$88,1))*求节点($G$34:$G$42,$J$34:$J$42,求节点($R$20:$R$28,$O$20:$O$28,$W130)),0)+IFERROR(INDEX(其他调用!$Y$50:$Y$88,MATCH($W130,其他调用!$T$50:$T$88,1))*求节点($G$34:$G$42,$K$34:$K$42,求节点($S$20:$S$28,$O$20:$O$28,$W130)),0))/6,1)</f>
        <v>0.93003568075159571</v>
      </c>
      <c r="Z130" s="8">
        <f>MIN((IFERROR(INDEX(其他调用!$W$95:$W$133,MATCH($W130,其他调用!$T$95:$T$133,1))*求节点($G$34:$G$42,$I$34:$I$42,求节点($Q$34:$Q$42,$O$34:$O$42,$W130)),0)+IFERROR(INDEX(其他调用!$X$95:$X$133,MATCH($W130,其他调用!$T$95:$T$133,1))*求节点($G$34:$G$42,$J$34:$J$42,求节点($R$34:$R$42,$O$34:$O$42,$W130)),0)+IFERROR(INDEX(其他调用!$Y$95:$Y$133,MATCH($W130,其他调用!$T$95:$T$133,1))*求节点($G$34:$G$42,$K$34:$K$42,求节点($S$34:$S$42,$O$34:$O$42,$W130)),0))/6,1)</f>
        <v>0.96286042146302453</v>
      </c>
      <c r="AA130" s="8">
        <f>MIN((IFERROR(INDEX(其他调用!$W$140:$W$178,MATCH($W130,其他调用!$T$140:$T$178,1))*求节点($G$34:$G$42,$I$34:$I$42,求节点($Q$48:$Q$56,$O$48:$O$56,$W130)),0)+IFERROR(INDEX(其他调用!$X$140:$X$178,MATCH($W130,其他调用!$T$140:$T$178,1))*求节点($G$34:$G$42,$J$34:$J$42,求节点($R$48:$R$56,$O$48:$O$56,$W130)),0)+IFERROR(INDEX(其他调用!$Y$140:$Y$178,MATCH($W130,其他调用!$T$140:$T$178,1))*求节点($G$34:$G$42,$K$34:$K$42,求节点($S$48:$S$56,$O$48:$O$56,$W130)),0))/6,1)</f>
        <v>1</v>
      </c>
      <c r="AB130" s="8">
        <f>MIN((IFERROR(INDEX(其他调用!$W$185:$W$223,MATCH($W130,其他调用!$T$185:$T$223,1))*求节点($G$34:$G$42,$I$34:$I$42,求节点($Q$62:$Q$70,$O$62:$O$70,$W130)),0)+IFERROR(INDEX(其他调用!$X$185:$X$223,MATCH($W130,其他调用!$T$185:$T$223,1))*求节点($G$34:$G$42,$J$34:$J$42,求节点($R$62:$R$70,$O$62:$O$70,$W130)),0)+IFERROR(INDEX(其他调用!$Y$185:$Y$223,MATCH($W130,其他调用!$T$185:$T$223,1))*求节点($G$34:$G$42,$K$34:$K$42,求节点($S$62:$S$70,$O$62:$O$70,$W130)),0))/6,1)</f>
        <v>1</v>
      </c>
      <c r="AD130" s="8">
        <v>125</v>
      </c>
      <c r="AE130" s="8">
        <f>X130/士兵加成武将!W130</f>
        <v>0.83735219326946897</v>
      </c>
      <c r="AF130" s="8">
        <f>Y130/士兵加成武将!X130</f>
        <v>0.93003568075159571</v>
      </c>
      <c r="AG130" s="8">
        <f>Z130/士兵加成武将!Y130</f>
        <v>0.96286042146302453</v>
      </c>
      <c r="AH130" s="8">
        <f>AA130/士兵加成武将!Z130</f>
        <v>1</v>
      </c>
      <c r="AI130" s="8">
        <f>AB130/士兵加成武将!AA130</f>
        <v>1</v>
      </c>
    </row>
    <row r="131" spans="23:35" x14ac:dyDescent="0.15">
      <c r="W131" s="8">
        <v>126</v>
      </c>
      <c r="X131" s="8">
        <f>MIN((IFERROR(INDEX(其他调用!$W$5:$W$43,MATCH($W131,其他调用!$T$5:$T$43,1))*求节点($G$34:$G$42,$I$34:$I$42,求节点($Q$6:$Q$14,$O$6:$O$14,$W131)),0)+IFERROR(INDEX(其他调用!$X$5:$X$43,MATCH($W131,其他调用!$T$5:$T$43,1))*求节点($G$34:$G$42,$J$34:$J$42,求节点($R$6:$R$14,$O$6:$O$14,$W131)),0)+IFERROR(INDEX(其他调用!$Y$5:$Y$43,MATCH($W131,其他调用!$T$5:$T$43,1))*求节点($G$34:$G$42,$K$34:$K$42,求节点($S$6:$S$14,$O$6:$O$14,$W131)),0))/6,1)</f>
        <v>0.84405101081562461</v>
      </c>
      <c r="Y131" s="8">
        <f>MIN((IFERROR(INDEX(其他调用!$W$50:$W$88,MATCH($W131,其他调用!$T$50:$T$88,1))*求节点($G$34:$G$42,$I$34:$I$42,求节点($Q$20:$Q$28,$O$20:$O$28,$W131)),0)+IFERROR(INDEX(其他调用!$X$50:$X$88,MATCH($W131,其他调用!$T$50:$T$88,1))*求节点($G$34:$G$42,$J$34:$J$42,求节点($R$20:$R$28,$O$20:$O$28,$W131)),0)+IFERROR(INDEX(其他调用!$Y$50:$Y$88,MATCH($W131,其他调用!$T$50:$T$88,1))*求节点($G$34:$G$42,$K$34:$K$42,求节点($S$20:$S$28,$O$20:$O$28,$W131)),0))/6,1)</f>
        <v>0.93747596619760865</v>
      </c>
      <c r="Z131" s="8">
        <f>MIN((IFERROR(INDEX(其他调用!$W$95:$W$133,MATCH($W131,其他调用!$T$95:$T$133,1))*求节点($G$34:$G$42,$I$34:$I$42,求节点($Q$34:$Q$42,$O$34:$O$42,$W131)),0)+IFERROR(INDEX(其他调用!$X$95:$X$133,MATCH($W131,其他调用!$T$95:$T$133,1))*求节点($G$34:$G$42,$J$34:$J$42,求节点($R$34:$R$42,$O$34:$O$42,$W131)),0)+IFERROR(INDEX(其他调用!$Y$95:$Y$133,MATCH($W131,其他调用!$T$95:$T$133,1))*求节点($G$34:$G$42,$K$34:$K$42,求节点($S$34:$S$42,$O$34:$O$42,$W131)),0))/6,1)</f>
        <v>0.97056330483472886</v>
      </c>
      <c r="AA131" s="8">
        <f>MIN((IFERROR(INDEX(其他调用!$W$140:$W$178,MATCH($W131,其他调用!$T$140:$T$178,1))*求节点($G$34:$G$42,$I$34:$I$42,求节点($Q$48:$Q$56,$O$48:$O$56,$W131)),0)+IFERROR(INDEX(其他调用!$X$140:$X$178,MATCH($W131,其他调用!$T$140:$T$178,1))*求节点($G$34:$G$42,$J$34:$J$42,求节点($R$48:$R$56,$O$48:$O$56,$W131)),0)+IFERROR(INDEX(其他调用!$Y$140:$Y$178,MATCH($W131,其他调用!$T$140:$T$178,1))*求节点($G$34:$G$42,$K$34:$K$42,求节点($S$48:$S$56,$O$48:$O$56,$W131)),0))/6,1)</f>
        <v>1</v>
      </c>
      <c r="AB131" s="8">
        <f>MIN((IFERROR(INDEX(其他调用!$W$185:$W$223,MATCH($W131,其他调用!$T$185:$T$223,1))*求节点($G$34:$G$42,$I$34:$I$42,求节点($Q$62:$Q$70,$O$62:$O$70,$W131)),0)+IFERROR(INDEX(其他调用!$X$185:$X$223,MATCH($W131,其他调用!$T$185:$T$223,1))*求节点($G$34:$G$42,$J$34:$J$42,求节点($R$62:$R$70,$O$62:$O$70,$W131)),0)+IFERROR(INDEX(其他调用!$Y$185:$Y$223,MATCH($W131,其他调用!$T$185:$T$223,1))*求节点($G$34:$G$42,$K$34:$K$42,求节点($S$62:$S$70,$O$62:$O$70,$W131)),0))/6,1)</f>
        <v>1</v>
      </c>
      <c r="AD131" s="8">
        <v>126</v>
      </c>
      <c r="AE131" s="8">
        <f>X131/士兵加成武将!W131</f>
        <v>0.84405101081562461</v>
      </c>
      <c r="AF131" s="8">
        <f>Y131/士兵加成武将!X131</f>
        <v>0.93747596619760865</v>
      </c>
      <c r="AG131" s="8">
        <f>Z131/士兵加成武将!Y131</f>
        <v>0.97056330483472886</v>
      </c>
      <c r="AH131" s="8">
        <f>AA131/士兵加成武将!Z131</f>
        <v>1</v>
      </c>
      <c r="AI131" s="8">
        <f>AB131/士兵加成武将!AA131</f>
        <v>1</v>
      </c>
    </row>
    <row r="132" spans="23:35" x14ac:dyDescent="0.15">
      <c r="W132" s="8">
        <v>127</v>
      </c>
      <c r="X132" s="8">
        <f>MIN((IFERROR(INDEX(其他调用!$W$5:$W$43,MATCH($W132,其他调用!$T$5:$T$43,1))*求节点($G$34:$G$42,$I$34:$I$42,求节点($Q$6:$Q$14,$O$6:$O$14,$W132)),0)+IFERROR(INDEX(其他调用!$X$5:$X$43,MATCH($W132,其他调用!$T$5:$T$43,1))*求节点($G$34:$G$42,$J$34:$J$42,求节点($R$6:$R$14,$O$6:$O$14,$W132)),0)+IFERROR(INDEX(其他调用!$Y$5:$Y$43,MATCH($W132,其他调用!$T$5:$T$43,1))*求节点($G$34:$G$42,$K$34:$K$42,求节点($S$6:$S$14,$O$6:$O$14,$W132)),0))/6,1)</f>
        <v>0.85074982836178048</v>
      </c>
      <c r="Y132" s="8">
        <f>MIN((IFERROR(INDEX(其他调用!$W$50:$W$88,MATCH($W132,其他调用!$T$50:$T$88,1))*求节点($G$34:$G$42,$I$34:$I$42,求节点($Q$20:$Q$28,$O$20:$O$28,$W132)),0)+IFERROR(INDEX(其他调用!$X$50:$X$88,MATCH($W132,其他调用!$T$50:$T$88,1))*求节点($G$34:$G$42,$J$34:$J$42,求节点($R$20:$R$28,$O$20:$O$28,$W132)),0)+IFERROR(INDEX(其他调用!$Y$50:$Y$88,MATCH($W132,其他调用!$T$50:$T$88,1))*求节点($G$34:$G$42,$K$34:$K$42,求节点($S$20:$S$28,$O$20:$O$28,$W132)),0))/6,1)</f>
        <v>0.94491625164362125</v>
      </c>
      <c r="Z132" s="8">
        <f>MIN((IFERROR(INDEX(其他调用!$W$95:$W$133,MATCH($W132,其他调用!$T$95:$T$133,1))*求节点($G$34:$G$42,$I$34:$I$42,求节点($Q$34:$Q$42,$O$34:$O$42,$W132)),0)+IFERROR(INDEX(其他调用!$X$95:$X$133,MATCH($W132,其他调用!$T$95:$T$133,1))*求节点($G$34:$G$42,$J$34:$J$42,求节点($R$34:$R$42,$O$34:$O$42,$W132)),0)+IFERROR(INDEX(其他调用!$Y$95:$Y$133,MATCH($W132,其他调用!$T$95:$T$133,1))*求节点($G$34:$G$42,$K$34:$K$42,求节点($S$34:$S$42,$O$34:$O$42,$W132)),0))/6,1)</f>
        <v>0.97826618820643285</v>
      </c>
      <c r="AA132" s="8">
        <f>MIN((IFERROR(INDEX(其他调用!$W$140:$W$178,MATCH($W132,其他调用!$T$140:$T$178,1))*求节点($G$34:$G$42,$I$34:$I$42,求节点($Q$48:$Q$56,$O$48:$O$56,$W132)),0)+IFERROR(INDEX(其他调用!$X$140:$X$178,MATCH($W132,其他调用!$T$140:$T$178,1))*求节点($G$34:$G$42,$J$34:$J$42,求节点($R$48:$R$56,$O$48:$O$56,$W132)),0)+IFERROR(INDEX(其他调用!$Y$140:$Y$178,MATCH($W132,其他调用!$T$140:$T$178,1))*求节点($G$34:$G$42,$K$34:$K$42,求节点($S$48:$S$56,$O$48:$O$56,$W132)),0))/6,1)</f>
        <v>1</v>
      </c>
      <c r="AB132" s="8">
        <f>MIN((IFERROR(INDEX(其他调用!$W$185:$W$223,MATCH($W132,其他调用!$T$185:$T$223,1))*求节点($G$34:$G$42,$I$34:$I$42,求节点($Q$62:$Q$70,$O$62:$O$70,$W132)),0)+IFERROR(INDEX(其他调用!$X$185:$X$223,MATCH($W132,其他调用!$T$185:$T$223,1))*求节点($G$34:$G$42,$J$34:$J$42,求节点($R$62:$R$70,$O$62:$O$70,$W132)),0)+IFERROR(INDEX(其他调用!$Y$185:$Y$223,MATCH($W132,其他调用!$T$185:$T$223,1))*求节点($G$34:$G$42,$K$34:$K$42,求节点($S$62:$S$70,$O$62:$O$70,$W132)),0))/6,1)</f>
        <v>1</v>
      </c>
      <c r="AD132" s="8">
        <v>127</v>
      </c>
      <c r="AE132" s="8">
        <f>X132/士兵加成武将!W132</f>
        <v>0.85074982836178048</v>
      </c>
      <c r="AF132" s="8">
        <f>Y132/士兵加成武将!X132</f>
        <v>0.94491625164362125</v>
      </c>
      <c r="AG132" s="8">
        <f>Z132/士兵加成武将!Y132</f>
        <v>0.97826618820643285</v>
      </c>
      <c r="AH132" s="8">
        <f>AA132/士兵加成武将!Z132</f>
        <v>1</v>
      </c>
      <c r="AI132" s="8">
        <f>AB132/士兵加成武将!AA132</f>
        <v>1</v>
      </c>
    </row>
    <row r="133" spans="23:35" x14ac:dyDescent="0.15">
      <c r="W133" s="8">
        <v>128</v>
      </c>
      <c r="X133" s="8">
        <f>MIN((IFERROR(INDEX(其他调用!$W$5:$W$43,MATCH($W133,其他调用!$T$5:$T$43,1))*求节点($G$34:$G$42,$I$34:$I$42,求节点($Q$6:$Q$14,$O$6:$O$14,$W133)),0)+IFERROR(INDEX(其他调用!$X$5:$X$43,MATCH($W133,其他调用!$T$5:$T$43,1))*求节点($G$34:$G$42,$J$34:$J$42,求节点($R$6:$R$14,$O$6:$O$14,$W133)),0)+IFERROR(INDEX(其他调用!$Y$5:$Y$43,MATCH($W133,其他调用!$T$5:$T$43,1))*求节点($G$34:$G$42,$K$34:$K$42,求节点($S$6:$S$14,$O$6:$O$14,$W133)),0))/6,1)</f>
        <v>0.85744864590793612</v>
      </c>
      <c r="Y133" s="8">
        <f>MIN((IFERROR(INDEX(其他调用!$W$50:$W$88,MATCH($W133,其他调用!$T$50:$T$88,1))*求节点($G$34:$G$42,$I$34:$I$42,求节点($Q$20:$Q$28,$O$20:$O$28,$W133)),0)+IFERROR(INDEX(其他调用!$X$50:$X$88,MATCH($W133,其他调用!$T$50:$T$88,1))*求节点($G$34:$G$42,$J$34:$J$42,求节点($R$20:$R$28,$O$20:$O$28,$W133)),0)+IFERROR(INDEX(其他调用!$Y$50:$Y$88,MATCH($W133,其他调用!$T$50:$T$88,1))*求节点($G$34:$G$42,$K$34:$K$42,求节点($S$20:$S$28,$O$20:$O$28,$W133)),0))/6,1)</f>
        <v>0.95235653708963408</v>
      </c>
      <c r="Z133" s="8">
        <f>MIN((IFERROR(INDEX(其他调用!$W$95:$W$133,MATCH($W133,其他调用!$T$95:$T$133,1))*求节点($G$34:$G$42,$I$34:$I$42,求节点($Q$34:$Q$42,$O$34:$O$42,$W133)),0)+IFERROR(INDEX(其他调用!$X$95:$X$133,MATCH($W133,其他调用!$T$95:$T$133,1))*求节点($G$34:$G$42,$J$34:$J$42,求节点($R$34:$R$42,$O$34:$O$42,$W133)),0)+IFERROR(INDEX(其他调用!$Y$95:$Y$133,MATCH($W133,其他调用!$T$95:$T$133,1))*求节点($G$34:$G$42,$K$34:$K$42,求节点($S$34:$S$42,$O$34:$O$42,$W133)),0))/6,1)</f>
        <v>0.98596907157813718</v>
      </c>
      <c r="AA133" s="8">
        <f>MIN((IFERROR(INDEX(其他调用!$W$140:$W$178,MATCH($W133,其他调用!$T$140:$T$178,1))*求节点($G$34:$G$42,$I$34:$I$42,求节点($Q$48:$Q$56,$O$48:$O$56,$W133)),0)+IFERROR(INDEX(其他调用!$X$140:$X$178,MATCH($W133,其他调用!$T$140:$T$178,1))*求节点($G$34:$G$42,$J$34:$J$42,求节点($R$48:$R$56,$O$48:$O$56,$W133)),0)+IFERROR(INDEX(其他调用!$Y$140:$Y$178,MATCH($W133,其他调用!$T$140:$T$178,1))*求节点($G$34:$G$42,$K$34:$K$42,求节点($S$48:$S$56,$O$48:$O$56,$W133)),0))/6,1)</f>
        <v>1</v>
      </c>
      <c r="AB133" s="8">
        <f>MIN((IFERROR(INDEX(其他调用!$W$185:$W$223,MATCH($W133,其他调用!$T$185:$T$223,1))*求节点($G$34:$G$42,$I$34:$I$42,求节点($Q$62:$Q$70,$O$62:$O$70,$W133)),0)+IFERROR(INDEX(其他调用!$X$185:$X$223,MATCH($W133,其他调用!$T$185:$T$223,1))*求节点($G$34:$G$42,$J$34:$J$42,求节点($R$62:$R$70,$O$62:$O$70,$W133)),0)+IFERROR(INDEX(其他调用!$Y$185:$Y$223,MATCH($W133,其他调用!$T$185:$T$223,1))*求节点($G$34:$G$42,$K$34:$K$42,求节点($S$62:$S$70,$O$62:$O$70,$W133)),0))/6,1)</f>
        <v>1</v>
      </c>
      <c r="AD133" s="8">
        <v>128</v>
      </c>
      <c r="AE133" s="8">
        <f>X133/士兵加成武将!W133</f>
        <v>0.85744864590793612</v>
      </c>
      <c r="AF133" s="8">
        <f>Y133/士兵加成武将!X133</f>
        <v>0.95235653708963408</v>
      </c>
      <c r="AG133" s="8">
        <f>Z133/士兵加成武将!Y133</f>
        <v>0.98596907157813718</v>
      </c>
      <c r="AH133" s="8">
        <f>AA133/士兵加成武将!Z133</f>
        <v>1</v>
      </c>
      <c r="AI133" s="8">
        <f>AB133/士兵加成武将!AA133</f>
        <v>1</v>
      </c>
    </row>
    <row r="134" spans="23:35" x14ac:dyDescent="0.15">
      <c r="W134" s="8">
        <v>129</v>
      </c>
      <c r="X134" s="8">
        <f>MIN((IFERROR(INDEX(其他调用!$W$5:$W$43,MATCH($W134,其他调用!$T$5:$T$43,1))*求节点($G$34:$G$42,$I$34:$I$42,求节点($Q$6:$Q$14,$O$6:$O$14,$W134)),0)+IFERROR(INDEX(其他调用!$X$5:$X$43,MATCH($W134,其他调用!$T$5:$T$43,1))*求节点($G$34:$G$42,$J$34:$J$42,求节点($R$6:$R$14,$O$6:$O$14,$W134)),0)+IFERROR(INDEX(其他调用!$Y$5:$Y$43,MATCH($W134,其他调用!$T$5:$T$43,1))*求节点($G$34:$G$42,$K$34:$K$42,求节点($S$6:$S$14,$O$6:$O$14,$W134)),0))/6,1)</f>
        <v>0.86414746345409199</v>
      </c>
      <c r="Y134" s="8">
        <f>MIN((IFERROR(INDEX(其他调用!$W$50:$W$88,MATCH($W134,其他调用!$T$50:$T$88,1))*求节点($G$34:$G$42,$I$34:$I$42,求节点($Q$20:$Q$28,$O$20:$O$28,$W134)),0)+IFERROR(INDEX(其他调用!$X$50:$X$88,MATCH($W134,其他调用!$T$50:$T$88,1))*求节点($G$34:$G$42,$J$34:$J$42,求节点($R$20:$R$28,$O$20:$O$28,$W134)),0)+IFERROR(INDEX(其他调用!$Y$50:$Y$88,MATCH($W134,其他调用!$T$50:$T$88,1))*求节点($G$34:$G$42,$K$34:$K$42,求节点($S$20:$S$28,$O$20:$O$28,$W134)),0))/6,1)</f>
        <v>0.95979682253564691</v>
      </c>
      <c r="Z134" s="8">
        <f>MIN((IFERROR(INDEX(其他调用!$W$95:$W$133,MATCH($W134,其他调用!$T$95:$T$133,1))*求节点($G$34:$G$42,$I$34:$I$42,求节点($Q$34:$Q$42,$O$34:$O$42,$W134)),0)+IFERROR(INDEX(其他调用!$X$95:$X$133,MATCH($W134,其他调用!$T$95:$T$133,1))*求节点($G$34:$G$42,$J$34:$J$42,求节点($R$34:$R$42,$O$34:$O$42,$W134)),0)+IFERROR(INDEX(其他调用!$Y$95:$Y$133,MATCH($W134,其他调用!$T$95:$T$133,1))*求节点($G$34:$G$42,$K$34:$K$42,求节点($S$34:$S$42,$O$34:$O$42,$W134)),0))/6,1)</f>
        <v>0.9936719549498414</v>
      </c>
      <c r="AA134" s="8">
        <f>MIN((IFERROR(INDEX(其他调用!$W$140:$W$178,MATCH($W134,其他调用!$T$140:$T$178,1))*求节点($G$34:$G$42,$I$34:$I$42,求节点($Q$48:$Q$56,$O$48:$O$56,$W134)),0)+IFERROR(INDEX(其他调用!$X$140:$X$178,MATCH($W134,其他调用!$T$140:$T$178,1))*求节点($G$34:$G$42,$J$34:$J$42,求节点($R$48:$R$56,$O$48:$O$56,$W134)),0)+IFERROR(INDEX(其他调用!$Y$140:$Y$178,MATCH($W134,其他调用!$T$140:$T$178,1))*求节点($G$34:$G$42,$K$34:$K$42,求节点($S$48:$S$56,$O$48:$O$56,$W134)),0))/6,1)</f>
        <v>1</v>
      </c>
      <c r="AB134" s="8">
        <f>MIN((IFERROR(INDEX(其他调用!$W$185:$W$223,MATCH($W134,其他调用!$T$185:$T$223,1))*求节点($G$34:$G$42,$I$34:$I$42,求节点($Q$62:$Q$70,$O$62:$O$70,$W134)),0)+IFERROR(INDEX(其他调用!$X$185:$X$223,MATCH($W134,其他调用!$T$185:$T$223,1))*求节点($G$34:$G$42,$J$34:$J$42,求节点($R$62:$R$70,$O$62:$O$70,$W134)),0)+IFERROR(INDEX(其他调用!$Y$185:$Y$223,MATCH($W134,其他调用!$T$185:$T$223,1))*求节点($G$34:$G$42,$K$34:$K$42,求节点($S$62:$S$70,$O$62:$O$70,$W134)),0))/6,1)</f>
        <v>1</v>
      </c>
      <c r="AD134" s="8">
        <v>129</v>
      </c>
      <c r="AE134" s="8">
        <f>X134/士兵加成武将!W134</f>
        <v>0.86414746345409199</v>
      </c>
      <c r="AF134" s="8">
        <f>Y134/士兵加成武将!X134</f>
        <v>0.95979682253564691</v>
      </c>
      <c r="AG134" s="8">
        <f>Z134/士兵加成武将!Y134</f>
        <v>0.9936719549498414</v>
      </c>
      <c r="AH134" s="8">
        <f>AA134/士兵加成武将!Z134</f>
        <v>1</v>
      </c>
      <c r="AI134" s="8">
        <f>AB134/士兵加成武将!AA134</f>
        <v>1</v>
      </c>
    </row>
    <row r="135" spans="23:35" x14ac:dyDescent="0.15">
      <c r="W135" s="8">
        <v>130</v>
      </c>
      <c r="X135" s="8">
        <f>MIN((IFERROR(INDEX(其他调用!$W$5:$W$43,MATCH($W135,其他调用!$T$5:$T$43,1))*求节点($G$34:$G$42,$I$34:$I$42,求节点($Q$6:$Q$14,$O$6:$O$14,$W135)),0)+IFERROR(INDEX(其他调用!$X$5:$X$43,MATCH($W135,其他调用!$T$5:$T$43,1))*求节点($G$34:$G$42,$J$34:$J$42,求节点($R$6:$R$14,$O$6:$O$14,$W135)),0)+IFERROR(INDEX(其他调用!$Y$5:$Y$43,MATCH($W135,其他调用!$T$5:$T$43,1))*求节点($G$34:$G$42,$K$34:$K$42,求节点($S$6:$S$14,$O$6:$O$14,$W135)),0))/6,1)</f>
        <v>0.87084628100024775</v>
      </c>
      <c r="Y135" s="8">
        <f>MIN((IFERROR(INDEX(其他调用!$W$50:$W$88,MATCH($W135,其他调用!$T$50:$T$88,1))*求节点($G$34:$G$42,$I$34:$I$42,求节点($Q$20:$Q$28,$O$20:$O$28,$W135)),0)+IFERROR(INDEX(其他调用!$X$50:$X$88,MATCH($W135,其他调用!$T$50:$T$88,1))*求节点($G$34:$G$42,$J$34:$J$42,求节点($R$20:$R$28,$O$20:$O$28,$W135)),0)+IFERROR(INDEX(其他调用!$Y$50:$Y$88,MATCH($W135,其他调用!$T$50:$T$88,1))*求节点($G$34:$G$42,$K$34:$K$42,求节点($S$20:$S$28,$O$20:$O$28,$W135)),0))/6,1)</f>
        <v>0.96723710798165952</v>
      </c>
      <c r="Z135" s="8">
        <f>MIN((IFERROR(INDEX(其他调用!$W$95:$W$133,MATCH($W135,其他调用!$T$95:$T$133,1))*求节点($G$34:$G$42,$I$34:$I$42,求节点($Q$34:$Q$42,$O$34:$O$42,$W135)),0)+IFERROR(INDEX(其他调用!$X$95:$X$133,MATCH($W135,其他调用!$T$95:$T$133,1))*求节点($G$34:$G$42,$J$34:$J$42,求节点($R$34:$R$42,$O$34:$O$42,$W135)),0)+IFERROR(INDEX(其他调用!$Y$95:$Y$133,MATCH($W135,其他调用!$T$95:$T$133,1))*求节点($G$34:$G$42,$K$34:$K$42,求节点($S$34:$S$42,$O$34:$O$42,$W135)),0))/6,1)</f>
        <v>1</v>
      </c>
      <c r="AA135" s="8">
        <f>MIN((IFERROR(INDEX(其他调用!$W$140:$W$178,MATCH($W135,其他调用!$T$140:$T$178,1))*求节点($G$34:$G$42,$I$34:$I$42,求节点($Q$48:$Q$56,$O$48:$O$56,$W135)),0)+IFERROR(INDEX(其他调用!$X$140:$X$178,MATCH($W135,其他调用!$T$140:$T$178,1))*求节点($G$34:$G$42,$J$34:$J$42,求节点($R$48:$R$56,$O$48:$O$56,$W135)),0)+IFERROR(INDEX(其他调用!$Y$140:$Y$178,MATCH($W135,其他调用!$T$140:$T$178,1))*求节点($G$34:$G$42,$K$34:$K$42,求节点($S$48:$S$56,$O$48:$O$56,$W135)),0))/6,1)</f>
        <v>1</v>
      </c>
      <c r="AB135" s="8">
        <f>MIN((IFERROR(INDEX(其他调用!$W$185:$W$223,MATCH($W135,其他调用!$T$185:$T$223,1))*求节点($G$34:$G$42,$I$34:$I$42,求节点($Q$62:$Q$70,$O$62:$O$70,$W135)),0)+IFERROR(INDEX(其他调用!$X$185:$X$223,MATCH($W135,其他调用!$T$185:$T$223,1))*求节点($G$34:$G$42,$J$34:$J$42,求节点($R$62:$R$70,$O$62:$O$70,$W135)),0)+IFERROR(INDEX(其他调用!$Y$185:$Y$223,MATCH($W135,其他调用!$T$185:$T$223,1))*求节点($G$34:$G$42,$K$34:$K$42,求节点($S$62:$S$70,$O$62:$O$70,$W135)),0))/6,1)</f>
        <v>1</v>
      </c>
      <c r="AD135" s="8">
        <v>130</v>
      </c>
      <c r="AE135" s="8">
        <f>X135/士兵加成武将!W135</f>
        <v>0.87084628100024775</v>
      </c>
      <c r="AF135" s="8">
        <f>Y135/士兵加成武将!X135</f>
        <v>0.96723710798165952</v>
      </c>
      <c r="AG135" s="8">
        <f>Z135/士兵加成武将!Y135</f>
        <v>1</v>
      </c>
      <c r="AH135" s="8">
        <f>AA135/士兵加成武将!Z135</f>
        <v>1</v>
      </c>
      <c r="AI135" s="8">
        <f>AB135/士兵加成武将!AA135</f>
        <v>1</v>
      </c>
    </row>
    <row r="136" spans="23:35" x14ac:dyDescent="0.15">
      <c r="W136" s="8">
        <v>131</v>
      </c>
      <c r="X136" s="8">
        <f>MIN((IFERROR(INDEX(其他调用!$W$5:$W$43,MATCH($W136,其他调用!$T$5:$T$43,1))*求节点($G$34:$G$42,$I$34:$I$42,求节点($Q$6:$Q$14,$O$6:$O$14,$W136)),0)+IFERROR(INDEX(其他调用!$X$5:$X$43,MATCH($W136,其他调用!$T$5:$T$43,1))*求节点($G$34:$G$42,$J$34:$J$42,求节点($R$6:$R$14,$O$6:$O$14,$W136)),0)+IFERROR(INDEX(其他调用!$Y$5:$Y$43,MATCH($W136,其他调用!$T$5:$T$43,1))*求节点($G$34:$G$42,$K$34:$K$42,求节点($S$6:$S$14,$O$6:$O$14,$W136)),0))/6,1)</f>
        <v>0.87754509854640339</v>
      </c>
      <c r="Y136" s="8">
        <f>MIN((IFERROR(INDEX(其他调用!$W$50:$W$88,MATCH($W136,其他调用!$T$50:$T$88,1))*求节点($G$34:$G$42,$I$34:$I$42,求节点($Q$20:$Q$28,$O$20:$O$28,$W136)),0)+IFERROR(INDEX(其他调用!$X$50:$X$88,MATCH($W136,其他调用!$T$50:$T$88,1))*求节点($G$34:$G$42,$J$34:$J$42,求节点($R$20:$R$28,$O$20:$O$28,$W136)),0)+IFERROR(INDEX(其他调用!$Y$50:$Y$88,MATCH($W136,其他调用!$T$50:$T$88,1))*求节点($G$34:$G$42,$K$34:$K$42,求节点($S$20:$S$28,$O$20:$O$28,$W136)),0))/6,1)</f>
        <v>0.97467739342767246</v>
      </c>
      <c r="Z136" s="8">
        <f>MIN((IFERROR(INDEX(其他调用!$W$95:$W$133,MATCH($W136,其他调用!$T$95:$T$133,1))*求节点($G$34:$G$42,$I$34:$I$42,求节点($Q$34:$Q$42,$O$34:$O$42,$W136)),0)+IFERROR(INDEX(其他调用!$X$95:$X$133,MATCH($W136,其他调用!$T$95:$T$133,1))*求节点($G$34:$G$42,$J$34:$J$42,求节点($R$34:$R$42,$O$34:$O$42,$W136)),0)+IFERROR(INDEX(其他调用!$Y$95:$Y$133,MATCH($W136,其他调用!$T$95:$T$133,1))*求节点($G$34:$G$42,$K$34:$K$42,求节点($S$34:$S$42,$O$34:$O$42,$W136)),0))/6,1)</f>
        <v>1</v>
      </c>
      <c r="AA136" s="8">
        <f>MIN((IFERROR(INDEX(其他调用!$W$140:$W$178,MATCH($W136,其他调用!$T$140:$T$178,1))*求节点($G$34:$G$42,$I$34:$I$42,求节点($Q$48:$Q$56,$O$48:$O$56,$W136)),0)+IFERROR(INDEX(其他调用!$X$140:$X$178,MATCH($W136,其他调用!$T$140:$T$178,1))*求节点($G$34:$G$42,$J$34:$J$42,求节点($R$48:$R$56,$O$48:$O$56,$W136)),0)+IFERROR(INDEX(其他调用!$Y$140:$Y$178,MATCH($W136,其他调用!$T$140:$T$178,1))*求节点($G$34:$G$42,$K$34:$K$42,求节点($S$48:$S$56,$O$48:$O$56,$W136)),0))/6,1)</f>
        <v>1</v>
      </c>
      <c r="AB136" s="8">
        <f>MIN((IFERROR(INDEX(其他调用!$W$185:$W$223,MATCH($W136,其他调用!$T$185:$T$223,1))*求节点($G$34:$G$42,$I$34:$I$42,求节点($Q$62:$Q$70,$O$62:$O$70,$W136)),0)+IFERROR(INDEX(其他调用!$X$185:$X$223,MATCH($W136,其他调用!$T$185:$T$223,1))*求节点($G$34:$G$42,$J$34:$J$42,求节点($R$62:$R$70,$O$62:$O$70,$W136)),0)+IFERROR(INDEX(其他调用!$Y$185:$Y$223,MATCH($W136,其他调用!$T$185:$T$223,1))*求节点($G$34:$G$42,$K$34:$K$42,求节点($S$62:$S$70,$O$62:$O$70,$W136)),0))/6,1)</f>
        <v>1</v>
      </c>
      <c r="AD136" s="8">
        <v>131</v>
      </c>
      <c r="AE136" s="8">
        <f>X136/士兵加成武将!W136</f>
        <v>0.87754509854640339</v>
      </c>
      <c r="AF136" s="8">
        <f>Y136/士兵加成武将!X136</f>
        <v>0.97467739342767246</v>
      </c>
      <c r="AG136" s="8">
        <f>Z136/士兵加成武将!Y136</f>
        <v>1</v>
      </c>
      <c r="AH136" s="8">
        <f>AA136/士兵加成武将!Z136</f>
        <v>1</v>
      </c>
      <c r="AI136" s="8">
        <f>AB136/士兵加成武将!AA136</f>
        <v>1</v>
      </c>
    </row>
    <row r="137" spans="23:35" x14ac:dyDescent="0.15">
      <c r="W137" s="8">
        <v>132</v>
      </c>
      <c r="X137" s="8">
        <f>MIN((IFERROR(INDEX(其他调用!$W$5:$W$43,MATCH($W137,其他调用!$T$5:$T$43,1))*求节点($G$34:$G$42,$I$34:$I$42,求节点($Q$6:$Q$14,$O$6:$O$14,$W137)),0)+IFERROR(INDEX(其他调用!$X$5:$X$43,MATCH($W137,其他调用!$T$5:$T$43,1))*求节点($G$34:$G$42,$J$34:$J$42,求节点($R$6:$R$14,$O$6:$O$14,$W137)),0)+IFERROR(INDEX(其他调用!$Y$5:$Y$43,MATCH($W137,其他调用!$T$5:$T$43,1))*求节点($G$34:$G$42,$K$34:$K$42,求节点($S$6:$S$14,$O$6:$O$14,$W137)),0))/6,1)</f>
        <v>0.88424391609255926</v>
      </c>
      <c r="Y137" s="8">
        <f>MIN((IFERROR(INDEX(其他调用!$W$50:$W$88,MATCH($W137,其他调用!$T$50:$T$88,1))*求节点($G$34:$G$42,$I$34:$I$42,求节点($Q$20:$Q$28,$O$20:$O$28,$W137)),0)+IFERROR(INDEX(其他调用!$X$50:$X$88,MATCH($W137,其他调用!$T$50:$T$88,1))*求节点($G$34:$G$42,$J$34:$J$42,求节点($R$20:$R$28,$O$20:$O$28,$W137)),0)+IFERROR(INDEX(其他调用!$Y$50:$Y$88,MATCH($W137,其他调用!$T$50:$T$88,1))*求节点($G$34:$G$42,$K$34:$K$42,求节点($S$20:$S$28,$O$20:$O$28,$W137)),0))/6,1)</f>
        <v>0.98211767887368528</v>
      </c>
      <c r="Z137" s="8">
        <f>MIN((IFERROR(INDEX(其他调用!$W$95:$W$133,MATCH($W137,其他调用!$T$95:$T$133,1))*求节点($G$34:$G$42,$I$34:$I$42,求节点($Q$34:$Q$42,$O$34:$O$42,$W137)),0)+IFERROR(INDEX(其他调用!$X$95:$X$133,MATCH($W137,其他调用!$T$95:$T$133,1))*求节点($G$34:$G$42,$J$34:$J$42,求节点($R$34:$R$42,$O$34:$O$42,$W137)),0)+IFERROR(INDEX(其他调用!$Y$95:$Y$133,MATCH($W137,其他调用!$T$95:$T$133,1))*求节点($G$34:$G$42,$K$34:$K$42,求节点($S$34:$S$42,$O$34:$O$42,$W137)),0))/6,1)</f>
        <v>1</v>
      </c>
      <c r="AA137" s="8">
        <f>MIN((IFERROR(INDEX(其他调用!$W$140:$W$178,MATCH($W137,其他调用!$T$140:$T$178,1))*求节点($G$34:$G$42,$I$34:$I$42,求节点($Q$48:$Q$56,$O$48:$O$56,$W137)),0)+IFERROR(INDEX(其他调用!$X$140:$X$178,MATCH($W137,其他调用!$T$140:$T$178,1))*求节点($G$34:$G$42,$J$34:$J$42,求节点($R$48:$R$56,$O$48:$O$56,$W137)),0)+IFERROR(INDEX(其他调用!$Y$140:$Y$178,MATCH($W137,其他调用!$T$140:$T$178,1))*求节点($G$34:$G$42,$K$34:$K$42,求节点($S$48:$S$56,$O$48:$O$56,$W137)),0))/6,1)</f>
        <v>1</v>
      </c>
      <c r="AB137" s="8">
        <f>MIN((IFERROR(INDEX(其他调用!$W$185:$W$223,MATCH($W137,其他调用!$T$185:$T$223,1))*求节点($G$34:$G$42,$I$34:$I$42,求节点($Q$62:$Q$70,$O$62:$O$70,$W137)),0)+IFERROR(INDEX(其他调用!$X$185:$X$223,MATCH($W137,其他调用!$T$185:$T$223,1))*求节点($G$34:$G$42,$J$34:$J$42,求节点($R$62:$R$70,$O$62:$O$70,$W137)),0)+IFERROR(INDEX(其他调用!$Y$185:$Y$223,MATCH($W137,其他调用!$T$185:$T$223,1))*求节点($G$34:$G$42,$K$34:$K$42,求节点($S$62:$S$70,$O$62:$O$70,$W137)),0))/6,1)</f>
        <v>1</v>
      </c>
      <c r="AD137" s="8">
        <v>132</v>
      </c>
      <c r="AE137" s="8">
        <f>X137/士兵加成武将!W137</f>
        <v>0.88424391609255926</v>
      </c>
      <c r="AF137" s="8">
        <f>Y137/士兵加成武将!X137</f>
        <v>0.98211767887368528</v>
      </c>
      <c r="AG137" s="8">
        <f>Z137/士兵加成武将!Y137</f>
        <v>1</v>
      </c>
      <c r="AH137" s="8">
        <f>AA137/士兵加成武将!Z137</f>
        <v>1</v>
      </c>
      <c r="AI137" s="8">
        <f>AB137/士兵加成武将!AA137</f>
        <v>1</v>
      </c>
    </row>
    <row r="138" spans="23:35" x14ac:dyDescent="0.15">
      <c r="W138" s="8">
        <v>133</v>
      </c>
      <c r="X138" s="8">
        <f>MIN((IFERROR(INDEX(其他调用!$W$5:$W$43,MATCH($W138,其他调用!$T$5:$T$43,1))*求节点($G$34:$G$42,$I$34:$I$42,求节点($Q$6:$Q$14,$O$6:$O$14,$W138)),0)+IFERROR(INDEX(其他调用!$X$5:$X$43,MATCH($W138,其他调用!$T$5:$T$43,1))*求节点($G$34:$G$42,$J$34:$J$42,求节点($R$6:$R$14,$O$6:$O$14,$W138)),0)+IFERROR(INDEX(其他调用!$Y$5:$Y$43,MATCH($W138,其他调用!$T$5:$T$43,1))*求节点($G$34:$G$42,$K$34:$K$42,求节点($S$6:$S$14,$O$6:$O$14,$W138)),0))/6,1)</f>
        <v>0.89094273363871501</v>
      </c>
      <c r="Y138" s="8">
        <f>MIN((IFERROR(INDEX(其他调用!$W$50:$W$88,MATCH($W138,其他调用!$T$50:$T$88,1))*求节点($G$34:$G$42,$I$34:$I$42,求节点($Q$20:$Q$28,$O$20:$O$28,$W138)),0)+IFERROR(INDEX(其他调用!$X$50:$X$88,MATCH($W138,其他调用!$T$50:$T$88,1))*求节点($G$34:$G$42,$J$34:$J$42,求节点($R$20:$R$28,$O$20:$O$28,$W138)),0)+IFERROR(INDEX(其他调用!$Y$50:$Y$88,MATCH($W138,其他调用!$T$50:$T$88,1))*求节点($G$34:$G$42,$K$34:$K$42,求节点($S$20:$S$28,$O$20:$O$28,$W138)),0))/6,1)</f>
        <v>0.98955796431969789</v>
      </c>
      <c r="Z138" s="8">
        <f>MIN((IFERROR(INDEX(其他调用!$W$95:$W$133,MATCH($W138,其他调用!$T$95:$T$133,1))*求节点($G$34:$G$42,$I$34:$I$42,求节点($Q$34:$Q$42,$O$34:$O$42,$W138)),0)+IFERROR(INDEX(其他调用!$X$95:$X$133,MATCH($W138,其他调用!$T$95:$T$133,1))*求节点($G$34:$G$42,$J$34:$J$42,求节点($R$34:$R$42,$O$34:$O$42,$W138)),0)+IFERROR(INDEX(其他调用!$Y$95:$Y$133,MATCH($W138,其他调用!$T$95:$T$133,1))*求节点($G$34:$G$42,$K$34:$K$42,求节点($S$34:$S$42,$O$34:$O$42,$W138)),0))/6,1)</f>
        <v>1</v>
      </c>
      <c r="AA138" s="8">
        <f>MIN((IFERROR(INDEX(其他调用!$W$140:$W$178,MATCH($W138,其他调用!$T$140:$T$178,1))*求节点($G$34:$G$42,$I$34:$I$42,求节点($Q$48:$Q$56,$O$48:$O$56,$W138)),0)+IFERROR(INDEX(其他调用!$X$140:$X$178,MATCH($W138,其他调用!$T$140:$T$178,1))*求节点($G$34:$G$42,$J$34:$J$42,求节点($R$48:$R$56,$O$48:$O$56,$W138)),0)+IFERROR(INDEX(其他调用!$Y$140:$Y$178,MATCH($W138,其他调用!$T$140:$T$178,1))*求节点($G$34:$G$42,$K$34:$K$42,求节点($S$48:$S$56,$O$48:$O$56,$W138)),0))/6,1)</f>
        <v>1</v>
      </c>
      <c r="AB138" s="8">
        <f>MIN((IFERROR(INDEX(其他调用!$W$185:$W$223,MATCH($W138,其他调用!$T$185:$T$223,1))*求节点($G$34:$G$42,$I$34:$I$42,求节点($Q$62:$Q$70,$O$62:$O$70,$W138)),0)+IFERROR(INDEX(其他调用!$X$185:$X$223,MATCH($W138,其他调用!$T$185:$T$223,1))*求节点($G$34:$G$42,$J$34:$J$42,求节点($R$62:$R$70,$O$62:$O$70,$W138)),0)+IFERROR(INDEX(其他调用!$Y$185:$Y$223,MATCH($W138,其他调用!$T$185:$T$223,1))*求节点($G$34:$G$42,$K$34:$K$42,求节点($S$62:$S$70,$O$62:$O$70,$W138)),0))/6,1)</f>
        <v>1</v>
      </c>
      <c r="AD138" s="8">
        <v>133</v>
      </c>
      <c r="AE138" s="8">
        <f>X138/士兵加成武将!W138</f>
        <v>0.89094273363871501</v>
      </c>
      <c r="AF138" s="8">
        <f>Y138/士兵加成武将!X138</f>
        <v>0.98955796431969789</v>
      </c>
      <c r="AG138" s="8">
        <f>Z138/士兵加成武将!Y138</f>
        <v>1</v>
      </c>
      <c r="AH138" s="8">
        <f>AA138/士兵加成武将!Z138</f>
        <v>1</v>
      </c>
      <c r="AI138" s="8">
        <f>AB138/士兵加成武将!AA138</f>
        <v>1</v>
      </c>
    </row>
    <row r="139" spans="23:35" x14ac:dyDescent="0.15">
      <c r="W139" s="8">
        <v>134</v>
      </c>
      <c r="X139" s="8">
        <f>MIN((IFERROR(INDEX(其他调用!$W$5:$W$43,MATCH($W139,其他调用!$T$5:$T$43,1))*求节点($G$34:$G$42,$I$34:$I$42,求节点($Q$6:$Q$14,$O$6:$O$14,$W139)),0)+IFERROR(INDEX(其他调用!$X$5:$X$43,MATCH($W139,其他调用!$T$5:$T$43,1))*求节点($G$34:$G$42,$J$34:$J$42,求节点($R$6:$R$14,$O$6:$O$14,$W139)),0)+IFERROR(INDEX(其他调用!$Y$5:$Y$43,MATCH($W139,其他调用!$T$5:$T$43,1))*求节点($G$34:$G$42,$K$34:$K$42,求节点($S$6:$S$14,$O$6:$O$14,$W139)),0))/6,1)</f>
        <v>0.89764155118487066</v>
      </c>
      <c r="Y139" s="8">
        <f>MIN((IFERROR(INDEX(其他调用!$W$50:$W$88,MATCH($W139,其他调用!$T$50:$T$88,1))*求节点($G$34:$G$42,$I$34:$I$42,求节点($Q$20:$Q$28,$O$20:$O$28,$W139)),0)+IFERROR(INDEX(其他调用!$X$50:$X$88,MATCH($W139,其他调用!$T$50:$T$88,1))*求节点($G$34:$G$42,$J$34:$J$42,求节点($R$20:$R$28,$O$20:$O$28,$W139)),0)+IFERROR(INDEX(其他调用!$Y$50:$Y$88,MATCH($W139,其他调用!$T$50:$T$88,1))*求节点($G$34:$G$42,$K$34:$K$42,求节点($S$20:$S$28,$O$20:$O$28,$W139)),0))/6,1)</f>
        <v>0.99699824976571083</v>
      </c>
      <c r="Z139" s="8">
        <f>MIN((IFERROR(INDEX(其他调用!$W$95:$W$133,MATCH($W139,其他调用!$T$95:$T$133,1))*求节点($G$34:$G$42,$I$34:$I$42,求节点($Q$34:$Q$42,$O$34:$O$42,$W139)),0)+IFERROR(INDEX(其他调用!$X$95:$X$133,MATCH($W139,其他调用!$T$95:$T$133,1))*求节点($G$34:$G$42,$J$34:$J$42,求节点($R$34:$R$42,$O$34:$O$42,$W139)),0)+IFERROR(INDEX(其他调用!$Y$95:$Y$133,MATCH($W139,其他调用!$T$95:$T$133,1))*求节点($G$34:$G$42,$K$34:$K$42,求节点($S$34:$S$42,$O$34:$O$42,$W139)),0))/6,1)</f>
        <v>1</v>
      </c>
      <c r="AA139" s="8">
        <f>MIN((IFERROR(INDEX(其他调用!$W$140:$W$178,MATCH($W139,其他调用!$T$140:$T$178,1))*求节点($G$34:$G$42,$I$34:$I$42,求节点($Q$48:$Q$56,$O$48:$O$56,$W139)),0)+IFERROR(INDEX(其他调用!$X$140:$X$178,MATCH($W139,其他调用!$T$140:$T$178,1))*求节点($G$34:$G$42,$J$34:$J$42,求节点($R$48:$R$56,$O$48:$O$56,$W139)),0)+IFERROR(INDEX(其他调用!$Y$140:$Y$178,MATCH($W139,其他调用!$T$140:$T$178,1))*求节点($G$34:$G$42,$K$34:$K$42,求节点($S$48:$S$56,$O$48:$O$56,$W139)),0))/6,1)</f>
        <v>1</v>
      </c>
      <c r="AB139" s="8">
        <f>MIN((IFERROR(INDEX(其他调用!$W$185:$W$223,MATCH($W139,其他调用!$T$185:$T$223,1))*求节点($G$34:$G$42,$I$34:$I$42,求节点($Q$62:$Q$70,$O$62:$O$70,$W139)),0)+IFERROR(INDEX(其他调用!$X$185:$X$223,MATCH($W139,其他调用!$T$185:$T$223,1))*求节点($G$34:$G$42,$J$34:$J$42,求节点($R$62:$R$70,$O$62:$O$70,$W139)),0)+IFERROR(INDEX(其他调用!$Y$185:$Y$223,MATCH($W139,其他调用!$T$185:$T$223,1))*求节点($G$34:$G$42,$K$34:$K$42,求节点($S$62:$S$70,$O$62:$O$70,$W139)),0))/6,1)</f>
        <v>1</v>
      </c>
      <c r="AD139" s="8">
        <v>134</v>
      </c>
      <c r="AE139" s="8">
        <f>X139/士兵加成武将!W139</f>
        <v>0.89764155118487066</v>
      </c>
      <c r="AF139" s="8">
        <f>Y139/士兵加成武将!X139</f>
        <v>0.99699824976571083</v>
      </c>
      <c r="AG139" s="8">
        <f>Z139/士兵加成武将!Y139</f>
        <v>1</v>
      </c>
      <c r="AH139" s="8">
        <f>AA139/士兵加成武将!Z139</f>
        <v>1</v>
      </c>
      <c r="AI139" s="8">
        <f>AB139/士兵加成武将!AA139</f>
        <v>1</v>
      </c>
    </row>
    <row r="140" spans="23:35" x14ac:dyDescent="0.15">
      <c r="W140" s="8">
        <v>135</v>
      </c>
      <c r="X140" s="8">
        <f>MIN((IFERROR(INDEX(其他调用!$W$5:$W$43,MATCH($W140,其他调用!$T$5:$T$43,1))*求节点($G$34:$G$42,$I$34:$I$42,求节点($Q$6:$Q$14,$O$6:$O$14,$W140)),0)+IFERROR(INDEX(其他调用!$X$5:$X$43,MATCH($W140,其他调用!$T$5:$T$43,1))*求节点($G$34:$G$42,$J$34:$J$42,求节点($R$6:$R$14,$O$6:$O$14,$W140)),0)+IFERROR(INDEX(其他调用!$Y$5:$Y$43,MATCH($W140,其他调用!$T$5:$T$43,1))*求节点($G$34:$G$42,$K$34:$K$42,求节点($S$6:$S$14,$O$6:$O$14,$W140)),0))/6,1)</f>
        <v>0.90434036873102652</v>
      </c>
      <c r="Y140" s="8">
        <f>MIN((IFERROR(INDEX(其他调用!$W$50:$W$88,MATCH($W140,其他调用!$T$50:$T$88,1))*求节点($G$34:$G$42,$I$34:$I$42,求节点($Q$20:$Q$28,$O$20:$O$28,$W140)),0)+IFERROR(INDEX(其他调用!$X$50:$X$88,MATCH($W140,其他调用!$T$50:$T$88,1))*求节点($G$34:$G$42,$J$34:$J$42,求节点($R$20:$R$28,$O$20:$O$28,$W140)),0)+IFERROR(INDEX(其他调用!$Y$50:$Y$88,MATCH($W140,其他调用!$T$50:$T$88,1))*求节点($G$34:$G$42,$K$34:$K$42,求节点($S$20:$S$28,$O$20:$O$28,$W140)),0))/6,1)</f>
        <v>1</v>
      </c>
      <c r="Z140" s="8">
        <f>MIN((IFERROR(INDEX(其他调用!$W$95:$W$133,MATCH($W140,其他调用!$T$95:$T$133,1))*求节点($G$34:$G$42,$I$34:$I$42,求节点($Q$34:$Q$42,$O$34:$O$42,$W140)),0)+IFERROR(INDEX(其他调用!$X$95:$X$133,MATCH($W140,其他调用!$T$95:$T$133,1))*求节点($G$34:$G$42,$J$34:$J$42,求节点($R$34:$R$42,$O$34:$O$42,$W140)),0)+IFERROR(INDEX(其他调用!$Y$95:$Y$133,MATCH($W140,其他调用!$T$95:$T$133,1))*求节点($G$34:$G$42,$K$34:$K$42,求节点($S$34:$S$42,$O$34:$O$42,$W140)),0))/6,1)</f>
        <v>1</v>
      </c>
      <c r="AA140" s="8">
        <f>MIN((IFERROR(INDEX(其他调用!$W$140:$W$178,MATCH($W140,其他调用!$T$140:$T$178,1))*求节点($G$34:$G$42,$I$34:$I$42,求节点($Q$48:$Q$56,$O$48:$O$56,$W140)),0)+IFERROR(INDEX(其他调用!$X$140:$X$178,MATCH($W140,其他调用!$T$140:$T$178,1))*求节点($G$34:$G$42,$J$34:$J$42,求节点($R$48:$R$56,$O$48:$O$56,$W140)),0)+IFERROR(INDEX(其他调用!$Y$140:$Y$178,MATCH($W140,其他调用!$T$140:$T$178,1))*求节点($G$34:$G$42,$K$34:$K$42,求节点($S$48:$S$56,$O$48:$O$56,$W140)),0))/6,1)</f>
        <v>1</v>
      </c>
      <c r="AB140" s="8">
        <f>MIN((IFERROR(INDEX(其他调用!$W$185:$W$223,MATCH($W140,其他调用!$T$185:$T$223,1))*求节点($G$34:$G$42,$I$34:$I$42,求节点($Q$62:$Q$70,$O$62:$O$70,$W140)),0)+IFERROR(INDEX(其他调用!$X$185:$X$223,MATCH($W140,其他调用!$T$185:$T$223,1))*求节点($G$34:$G$42,$J$34:$J$42,求节点($R$62:$R$70,$O$62:$O$70,$W140)),0)+IFERROR(INDEX(其他调用!$Y$185:$Y$223,MATCH($W140,其他调用!$T$185:$T$223,1))*求节点($G$34:$G$42,$K$34:$K$42,求节点($S$62:$S$70,$O$62:$O$70,$W140)),0))/6,1)</f>
        <v>1</v>
      </c>
      <c r="AD140" s="8">
        <v>135</v>
      </c>
      <c r="AE140" s="8">
        <f>X140/士兵加成武将!W140</f>
        <v>0.90434036873102652</v>
      </c>
      <c r="AF140" s="8">
        <f>Y140/士兵加成武将!X140</f>
        <v>1</v>
      </c>
      <c r="AG140" s="8">
        <f>Z140/士兵加成武将!Y140</f>
        <v>1</v>
      </c>
      <c r="AH140" s="8">
        <f>AA140/士兵加成武将!Z140</f>
        <v>1</v>
      </c>
      <c r="AI140" s="8">
        <f>AB140/士兵加成武将!AA140</f>
        <v>1</v>
      </c>
    </row>
    <row r="141" spans="23:35" x14ac:dyDescent="0.15">
      <c r="W141" s="8">
        <v>136</v>
      </c>
      <c r="X141" s="8">
        <f>MIN((IFERROR(INDEX(其他调用!$W$5:$W$43,MATCH($W141,其他调用!$T$5:$T$43,1))*求节点($G$34:$G$42,$I$34:$I$42,求节点($Q$6:$Q$14,$O$6:$O$14,$W141)),0)+IFERROR(INDEX(其他调用!$X$5:$X$43,MATCH($W141,其他调用!$T$5:$T$43,1))*求节点($G$34:$G$42,$J$34:$J$42,求节点($R$6:$R$14,$O$6:$O$14,$W141)),0)+IFERROR(INDEX(其他调用!$Y$5:$Y$43,MATCH($W141,其他调用!$T$5:$T$43,1))*求节点($G$34:$G$42,$K$34:$K$42,求节点($S$6:$S$14,$O$6:$O$14,$W141)),0))/6,1)</f>
        <v>0.91103918627718228</v>
      </c>
      <c r="Y141" s="8">
        <f>MIN((IFERROR(INDEX(其他调用!$W$50:$W$88,MATCH($W141,其他调用!$T$50:$T$88,1))*求节点($G$34:$G$42,$I$34:$I$42,求节点($Q$20:$Q$28,$O$20:$O$28,$W141)),0)+IFERROR(INDEX(其他调用!$X$50:$X$88,MATCH($W141,其他调用!$T$50:$T$88,1))*求节点($G$34:$G$42,$J$34:$J$42,求节点($R$20:$R$28,$O$20:$O$28,$W141)),0)+IFERROR(INDEX(其他调用!$Y$50:$Y$88,MATCH($W141,其他调用!$T$50:$T$88,1))*求节点($G$34:$G$42,$K$34:$K$42,求节点($S$20:$S$28,$O$20:$O$28,$W141)),0))/6,1)</f>
        <v>1</v>
      </c>
      <c r="Z141" s="8">
        <f>MIN((IFERROR(INDEX(其他调用!$W$95:$W$133,MATCH($W141,其他调用!$T$95:$T$133,1))*求节点($G$34:$G$42,$I$34:$I$42,求节点($Q$34:$Q$42,$O$34:$O$42,$W141)),0)+IFERROR(INDEX(其他调用!$X$95:$X$133,MATCH($W141,其他调用!$T$95:$T$133,1))*求节点($G$34:$G$42,$J$34:$J$42,求节点($R$34:$R$42,$O$34:$O$42,$W141)),0)+IFERROR(INDEX(其他调用!$Y$95:$Y$133,MATCH($W141,其他调用!$T$95:$T$133,1))*求节点($G$34:$G$42,$K$34:$K$42,求节点($S$34:$S$42,$O$34:$O$42,$W141)),0))/6,1)</f>
        <v>1</v>
      </c>
      <c r="AA141" s="8">
        <f>MIN((IFERROR(INDEX(其他调用!$W$140:$W$178,MATCH($W141,其他调用!$T$140:$T$178,1))*求节点($G$34:$G$42,$I$34:$I$42,求节点($Q$48:$Q$56,$O$48:$O$56,$W141)),0)+IFERROR(INDEX(其他调用!$X$140:$X$178,MATCH($W141,其他调用!$T$140:$T$178,1))*求节点($G$34:$G$42,$J$34:$J$42,求节点($R$48:$R$56,$O$48:$O$56,$W141)),0)+IFERROR(INDEX(其他调用!$Y$140:$Y$178,MATCH($W141,其他调用!$T$140:$T$178,1))*求节点($G$34:$G$42,$K$34:$K$42,求节点($S$48:$S$56,$O$48:$O$56,$W141)),0))/6,1)</f>
        <v>1</v>
      </c>
      <c r="AB141" s="8">
        <f>MIN((IFERROR(INDEX(其他调用!$W$185:$W$223,MATCH($W141,其他调用!$T$185:$T$223,1))*求节点($G$34:$G$42,$I$34:$I$42,求节点($Q$62:$Q$70,$O$62:$O$70,$W141)),0)+IFERROR(INDEX(其他调用!$X$185:$X$223,MATCH($W141,其他调用!$T$185:$T$223,1))*求节点($G$34:$G$42,$J$34:$J$42,求节点($R$62:$R$70,$O$62:$O$70,$W141)),0)+IFERROR(INDEX(其他调用!$Y$185:$Y$223,MATCH($W141,其他调用!$T$185:$T$223,1))*求节点($G$34:$G$42,$K$34:$K$42,求节点($S$62:$S$70,$O$62:$O$70,$W141)),0))/6,1)</f>
        <v>1</v>
      </c>
      <c r="AD141" s="8">
        <v>136</v>
      </c>
      <c r="AE141" s="8">
        <f>X141/士兵加成武将!W141</f>
        <v>0.91103918627718228</v>
      </c>
      <c r="AF141" s="8">
        <f>Y141/士兵加成武将!X141</f>
        <v>1</v>
      </c>
      <c r="AG141" s="8">
        <f>Z141/士兵加成武将!Y141</f>
        <v>1</v>
      </c>
      <c r="AH141" s="8">
        <f>AA141/士兵加成武将!Z141</f>
        <v>1</v>
      </c>
      <c r="AI141" s="8">
        <f>AB141/士兵加成武将!AA141</f>
        <v>1</v>
      </c>
    </row>
    <row r="142" spans="23:35" x14ac:dyDescent="0.15">
      <c r="W142" s="8">
        <v>137</v>
      </c>
      <c r="X142" s="8">
        <f>MIN((IFERROR(INDEX(其他调用!$W$5:$W$43,MATCH($W142,其他调用!$T$5:$T$43,1))*求节点($G$34:$G$42,$I$34:$I$42,求节点($Q$6:$Q$14,$O$6:$O$14,$W142)),0)+IFERROR(INDEX(其他调用!$X$5:$X$43,MATCH($W142,其他调用!$T$5:$T$43,1))*求节点($G$34:$G$42,$J$34:$J$42,求节点($R$6:$R$14,$O$6:$O$14,$W142)),0)+IFERROR(INDEX(其他调用!$Y$5:$Y$43,MATCH($W142,其他调用!$T$5:$T$43,1))*求节点($G$34:$G$42,$K$34:$K$42,求节点($S$6:$S$14,$O$6:$O$14,$W142)),0))/6,1)</f>
        <v>0.91773800382333792</v>
      </c>
      <c r="Y142" s="8">
        <f>MIN((IFERROR(INDEX(其他调用!$W$50:$W$88,MATCH($W142,其他调用!$T$50:$T$88,1))*求节点($G$34:$G$42,$I$34:$I$42,求节点($Q$20:$Q$28,$O$20:$O$28,$W142)),0)+IFERROR(INDEX(其他调用!$X$50:$X$88,MATCH($W142,其他调用!$T$50:$T$88,1))*求节点($G$34:$G$42,$J$34:$J$42,求节点($R$20:$R$28,$O$20:$O$28,$W142)),0)+IFERROR(INDEX(其他调用!$Y$50:$Y$88,MATCH($W142,其他调用!$T$50:$T$88,1))*求节点($G$34:$G$42,$K$34:$K$42,求节点($S$20:$S$28,$O$20:$O$28,$W142)),0))/6,1)</f>
        <v>1</v>
      </c>
      <c r="Z142" s="8">
        <f>MIN((IFERROR(INDEX(其他调用!$W$95:$W$133,MATCH($W142,其他调用!$T$95:$T$133,1))*求节点($G$34:$G$42,$I$34:$I$42,求节点($Q$34:$Q$42,$O$34:$O$42,$W142)),0)+IFERROR(INDEX(其他调用!$X$95:$X$133,MATCH($W142,其他调用!$T$95:$T$133,1))*求节点($G$34:$G$42,$J$34:$J$42,求节点($R$34:$R$42,$O$34:$O$42,$W142)),0)+IFERROR(INDEX(其他调用!$Y$95:$Y$133,MATCH($W142,其他调用!$T$95:$T$133,1))*求节点($G$34:$G$42,$K$34:$K$42,求节点($S$34:$S$42,$O$34:$O$42,$W142)),0))/6,1)</f>
        <v>1</v>
      </c>
      <c r="AA142" s="8">
        <f>MIN((IFERROR(INDEX(其他调用!$W$140:$W$178,MATCH($W142,其他调用!$T$140:$T$178,1))*求节点($G$34:$G$42,$I$34:$I$42,求节点($Q$48:$Q$56,$O$48:$O$56,$W142)),0)+IFERROR(INDEX(其他调用!$X$140:$X$178,MATCH($W142,其他调用!$T$140:$T$178,1))*求节点($G$34:$G$42,$J$34:$J$42,求节点($R$48:$R$56,$O$48:$O$56,$W142)),0)+IFERROR(INDEX(其他调用!$Y$140:$Y$178,MATCH($W142,其他调用!$T$140:$T$178,1))*求节点($G$34:$G$42,$K$34:$K$42,求节点($S$48:$S$56,$O$48:$O$56,$W142)),0))/6,1)</f>
        <v>1</v>
      </c>
      <c r="AB142" s="8">
        <f>MIN((IFERROR(INDEX(其他调用!$W$185:$W$223,MATCH($W142,其他调用!$T$185:$T$223,1))*求节点($G$34:$G$42,$I$34:$I$42,求节点($Q$62:$Q$70,$O$62:$O$70,$W142)),0)+IFERROR(INDEX(其他调用!$X$185:$X$223,MATCH($W142,其他调用!$T$185:$T$223,1))*求节点($G$34:$G$42,$J$34:$J$42,求节点($R$62:$R$70,$O$62:$O$70,$W142)),0)+IFERROR(INDEX(其他调用!$Y$185:$Y$223,MATCH($W142,其他调用!$T$185:$T$223,1))*求节点($G$34:$G$42,$K$34:$K$42,求节点($S$62:$S$70,$O$62:$O$70,$W142)),0))/6,1)</f>
        <v>1</v>
      </c>
      <c r="AD142" s="8">
        <v>137</v>
      </c>
      <c r="AE142" s="8">
        <f>X142/士兵加成武将!W142</f>
        <v>0.91773800382333792</v>
      </c>
      <c r="AF142" s="8">
        <f>Y142/士兵加成武将!X142</f>
        <v>1</v>
      </c>
      <c r="AG142" s="8">
        <f>Z142/士兵加成武将!Y142</f>
        <v>1</v>
      </c>
      <c r="AH142" s="8">
        <f>AA142/士兵加成武将!Z142</f>
        <v>1</v>
      </c>
      <c r="AI142" s="8">
        <f>AB142/士兵加成武将!AA142</f>
        <v>1</v>
      </c>
    </row>
    <row r="143" spans="23:35" x14ac:dyDescent="0.15">
      <c r="W143" s="8">
        <v>138</v>
      </c>
      <c r="X143" s="8">
        <f>MIN((IFERROR(INDEX(其他调用!$W$5:$W$43,MATCH($W143,其他调用!$T$5:$T$43,1))*求节点($G$34:$G$42,$I$34:$I$42,求节点($Q$6:$Q$14,$O$6:$O$14,$W143)),0)+IFERROR(INDEX(其他调用!$X$5:$X$43,MATCH($W143,其他调用!$T$5:$T$43,1))*求节点($G$34:$G$42,$J$34:$J$42,求节点($R$6:$R$14,$O$6:$O$14,$W143)),0)+IFERROR(INDEX(其他调用!$Y$5:$Y$43,MATCH($W143,其他调用!$T$5:$T$43,1))*求节点($G$34:$G$42,$K$34:$K$42,求节点($S$6:$S$14,$O$6:$O$14,$W143)),0))/6,1)</f>
        <v>0.92443682136949368</v>
      </c>
      <c r="Y143" s="8">
        <f>MIN((IFERROR(INDEX(其他调用!$W$50:$W$88,MATCH($W143,其他调用!$T$50:$T$88,1))*求节点($G$34:$G$42,$I$34:$I$42,求节点($Q$20:$Q$28,$O$20:$O$28,$W143)),0)+IFERROR(INDEX(其他调用!$X$50:$X$88,MATCH($W143,其他调用!$T$50:$T$88,1))*求节点($G$34:$G$42,$J$34:$J$42,求节点($R$20:$R$28,$O$20:$O$28,$W143)),0)+IFERROR(INDEX(其他调用!$Y$50:$Y$88,MATCH($W143,其他调用!$T$50:$T$88,1))*求节点($G$34:$G$42,$K$34:$K$42,求节点($S$20:$S$28,$O$20:$O$28,$W143)),0))/6,1)</f>
        <v>1</v>
      </c>
      <c r="Z143" s="8">
        <f>MIN((IFERROR(INDEX(其他调用!$W$95:$W$133,MATCH($W143,其他调用!$T$95:$T$133,1))*求节点($G$34:$G$42,$I$34:$I$42,求节点($Q$34:$Q$42,$O$34:$O$42,$W143)),0)+IFERROR(INDEX(其他调用!$X$95:$X$133,MATCH($W143,其他调用!$T$95:$T$133,1))*求节点($G$34:$G$42,$J$34:$J$42,求节点($R$34:$R$42,$O$34:$O$42,$W143)),0)+IFERROR(INDEX(其他调用!$Y$95:$Y$133,MATCH($W143,其他调用!$T$95:$T$133,1))*求节点($G$34:$G$42,$K$34:$K$42,求节点($S$34:$S$42,$O$34:$O$42,$W143)),0))/6,1)</f>
        <v>1</v>
      </c>
      <c r="AA143" s="8">
        <f>MIN((IFERROR(INDEX(其他调用!$W$140:$W$178,MATCH($W143,其他调用!$T$140:$T$178,1))*求节点($G$34:$G$42,$I$34:$I$42,求节点($Q$48:$Q$56,$O$48:$O$56,$W143)),0)+IFERROR(INDEX(其他调用!$X$140:$X$178,MATCH($W143,其他调用!$T$140:$T$178,1))*求节点($G$34:$G$42,$J$34:$J$42,求节点($R$48:$R$56,$O$48:$O$56,$W143)),0)+IFERROR(INDEX(其他调用!$Y$140:$Y$178,MATCH($W143,其他调用!$T$140:$T$178,1))*求节点($G$34:$G$42,$K$34:$K$42,求节点($S$48:$S$56,$O$48:$O$56,$W143)),0))/6,1)</f>
        <v>1</v>
      </c>
      <c r="AB143" s="8">
        <f>MIN((IFERROR(INDEX(其他调用!$W$185:$W$223,MATCH($W143,其他调用!$T$185:$T$223,1))*求节点($G$34:$G$42,$I$34:$I$42,求节点($Q$62:$Q$70,$O$62:$O$70,$W143)),0)+IFERROR(INDEX(其他调用!$X$185:$X$223,MATCH($W143,其他调用!$T$185:$T$223,1))*求节点($G$34:$G$42,$J$34:$J$42,求节点($R$62:$R$70,$O$62:$O$70,$W143)),0)+IFERROR(INDEX(其他调用!$Y$185:$Y$223,MATCH($W143,其他调用!$T$185:$T$223,1))*求节点($G$34:$G$42,$K$34:$K$42,求节点($S$62:$S$70,$O$62:$O$70,$W143)),0))/6,1)</f>
        <v>1</v>
      </c>
      <c r="AD143" s="8">
        <v>138</v>
      </c>
      <c r="AE143" s="8">
        <f>X143/士兵加成武将!W143</f>
        <v>0.92443682136949368</v>
      </c>
      <c r="AF143" s="8">
        <f>Y143/士兵加成武将!X143</f>
        <v>1</v>
      </c>
      <c r="AG143" s="8">
        <f>Z143/士兵加成武将!Y143</f>
        <v>1</v>
      </c>
      <c r="AH143" s="8">
        <f>AA143/士兵加成武将!Z143</f>
        <v>1</v>
      </c>
      <c r="AI143" s="8">
        <f>AB143/士兵加成武将!AA143</f>
        <v>1</v>
      </c>
    </row>
    <row r="144" spans="23:35" x14ac:dyDescent="0.15">
      <c r="W144" s="8">
        <v>139</v>
      </c>
      <c r="X144" s="8">
        <f>MIN((IFERROR(INDEX(其他调用!$W$5:$W$43,MATCH($W144,其他调用!$T$5:$T$43,1))*求节点($G$34:$G$42,$I$34:$I$42,求节点($Q$6:$Q$14,$O$6:$O$14,$W144)),0)+IFERROR(INDEX(其他调用!$X$5:$X$43,MATCH($W144,其他调用!$T$5:$T$43,1))*求节点($G$34:$G$42,$J$34:$J$42,求节点($R$6:$R$14,$O$6:$O$14,$W144)),0)+IFERROR(INDEX(其他调用!$Y$5:$Y$43,MATCH($W144,其他调用!$T$5:$T$43,1))*求节点($G$34:$G$42,$K$34:$K$42,求节点($S$6:$S$14,$O$6:$O$14,$W144)),0))/6,1)</f>
        <v>0.93113563891564921</v>
      </c>
      <c r="Y144" s="8">
        <f>MIN((IFERROR(INDEX(其他调用!$W$50:$W$88,MATCH($W144,其他调用!$T$50:$T$88,1))*求节点($G$34:$G$42,$I$34:$I$42,求节点($Q$20:$Q$28,$O$20:$O$28,$W144)),0)+IFERROR(INDEX(其他调用!$X$50:$X$88,MATCH($W144,其他调用!$T$50:$T$88,1))*求节点($G$34:$G$42,$J$34:$J$42,求节点($R$20:$R$28,$O$20:$O$28,$W144)),0)+IFERROR(INDEX(其他调用!$Y$50:$Y$88,MATCH($W144,其他调用!$T$50:$T$88,1))*求节点($G$34:$G$42,$K$34:$K$42,求节点($S$20:$S$28,$O$20:$O$28,$W144)),0))/6,1)</f>
        <v>1</v>
      </c>
      <c r="Z144" s="8">
        <f>MIN((IFERROR(INDEX(其他调用!$W$95:$W$133,MATCH($W144,其他调用!$T$95:$T$133,1))*求节点($G$34:$G$42,$I$34:$I$42,求节点($Q$34:$Q$42,$O$34:$O$42,$W144)),0)+IFERROR(INDEX(其他调用!$X$95:$X$133,MATCH($W144,其他调用!$T$95:$T$133,1))*求节点($G$34:$G$42,$J$34:$J$42,求节点($R$34:$R$42,$O$34:$O$42,$W144)),0)+IFERROR(INDEX(其他调用!$Y$95:$Y$133,MATCH($W144,其他调用!$T$95:$T$133,1))*求节点($G$34:$G$42,$K$34:$K$42,求节点($S$34:$S$42,$O$34:$O$42,$W144)),0))/6,1)</f>
        <v>1</v>
      </c>
      <c r="AA144" s="8">
        <f>MIN((IFERROR(INDEX(其他调用!$W$140:$W$178,MATCH($W144,其他调用!$T$140:$T$178,1))*求节点($G$34:$G$42,$I$34:$I$42,求节点($Q$48:$Q$56,$O$48:$O$56,$W144)),0)+IFERROR(INDEX(其他调用!$X$140:$X$178,MATCH($W144,其他调用!$T$140:$T$178,1))*求节点($G$34:$G$42,$J$34:$J$42,求节点($R$48:$R$56,$O$48:$O$56,$W144)),0)+IFERROR(INDEX(其他调用!$Y$140:$Y$178,MATCH($W144,其他调用!$T$140:$T$178,1))*求节点($G$34:$G$42,$K$34:$K$42,求节点($S$48:$S$56,$O$48:$O$56,$W144)),0))/6,1)</f>
        <v>1</v>
      </c>
      <c r="AB144" s="8">
        <f>MIN((IFERROR(INDEX(其他调用!$W$185:$W$223,MATCH($W144,其他调用!$T$185:$T$223,1))*求节点($G$34:$G$42,$I$34:$I$42,求节点($Q$62:$Q$70,$O$62:$O$70,$W144)),0)+IFERROR(INDEX(其他调用!$X$185:$X$223,MATCH($W144,其他调用!$T$185:$T$223,1))*求节点($G$34:$G$42,$J$34:$J$42,求节点($R$62:$R$70,$O$62:$O$70,$W144)),0)+IFERROR(INDEX(其他调用!$Y$185:$Y$223,MATCH($W144,其他调用!$T$185:$T$223,1))*求节点($G$34:$G$42,$K$34:$K$42,求节点($S$62:$S$70,$O$62:$O$70,$W144)),0))/6,1)</f>
        <v>1</v>
      </c>
      <c r="AD144" s="8">
        <v>139</v>
      </c>
      <c r="AE144" s="8">
        <f>X144/士兵加成武将!W144</f>
        <v>0.93113563891564921</v>
      </c>
      <c r="AF144" s="8">
        <f>Y144/士兵加成武将!X144</f>
        <v>1</v>
      </c>
      <c r="AG144" s="8">
        <f>Z144/士兵加成武将!Y144</f>
        <v>1</v>
      </c>
      <c r="AH144" s="8">
        <f>AA144/士兵加成武将!Z144</f>
        <v>1</v>
      </c>
      <c r="AI144" s="8">
        <f>AB144/士兵加成武将!AA144</f>
        <v>1</v>
      </c>
    </row>
    <row r="145" spans="23:35" x14ac:dyDescent="0.15">
      <c r="W145" s="8">
        <v>140</v>
      </c>
      <c r="X145" s="8">
        <f>MIN((IFERROR(INDEX(其他调用!$W$5:$W$43,MATCH($W145,其他调用!$T$5:$T$43,1))*求节点($G$34:$G$42,$I$34:$I$42,求节点($Q$6:$Q$14,$O$6:$O$14,$W145)),0)+IFERROR(INDEX(其他调用!$X$5:$X$43,MATCH($W145,其他调用!$T$5:$T$43,1))*求节点($G$34:$G$42,$J$34:$J$42,求节点($R$6:$R$14,$O$6:$O$14,$W145)),0)+IFERROR(INDEX(其他调用!$Y$5:$Y$43,MATCH($W145,其他调用!$T$5:$T$43,1))*求节点($G$34:$G$42,$K$34:$K$42,求节点($S$6:$S$14,$O$6:$O$14,$W145)),0))/6,1)</f>
        <v>0.93783445646180519</v>
      </c>
      <c r="Y145" s="8">
        <f>MIN((IFERROR(INDEX(其他调用!$W$50:$W$88,MATCH($W145,其他调用!$T$50:$T$88,1))*求节点($G$34:$G$42,$I$34:$I$42,求节点($Q$20:$Q$28,$O$20:$O$28,$W145)),0)+IFERROR(INDEX(其他调用!$X$50:$X$88,MATCH($W145,其他调用!$T$50:$T$88,1))*求节点($G$34:$G$42,$J$34:$J$42,求节点($R$20:$R$28,$O$20:$O$28,$W145)),0)+IFERROR(INDEX(其他调用!$Y$50:$Y$88,MATCH($W145,其他调用!$T$50:$T$88,1))*求节点($G$34:$G$42,$K$34:$K$42,求节点($S$20:$S$28,$O$20:$O$28,$W145)),0))/6,1)</f>
        <v>1</v>
      </c>
      <c r="Z145" s="8">
        <f>MIN((IFERROR(INDEX(其他调用!$W$95:$W$133,MATCH($W145,其他调用!$T$95:$T$133,1))*求节点($G$34:$G$42,$I$34:$I$42,求节点($Q$34:$Q$42,$O$34:$O$42,$W145)),0)+IFERROR(INDEX(其他调用!$X$95:$X$133,MATCH($W145,其他调用!$T$95:$T$133,1))*求节点($G$34:$G$42,$J$34:$J$42,求节点($R$34:$R$42,$O$34:$O$42,$W145)),0)+IFERROR(INDEX(其他调用!$Y$95:$Y$133,MATCH($W145,其他调用!$T$95:$T$133,1))*求节点($G$34:$G$42,$K$34:$K$42,求节点($S$34:$S$42,$O$34:$O$42,$W145)),0))/6,1)</f>
        <v>1</v>
      </c>
      <c r="AA145" s="8">
        <f>MIN((IFERROR(INDEX(其他调用!$W$140:$W$178,MATCH($W145,其他调用!$T$140:$T$178,1))*求节点($G$34:$G$42,$I$34:$I$42,求节点($Q$48:$Q$56,$O$48:$O$56,$W145)),0)+IFERROR(INDEX(其他调用!$X$140:$X$178,MATCH($W145,其他调用!$T$140:$T$178,1))*求节点($G$34:$G$42,$J$34:$J$42,求节点($R$48:$R$56,$O$48:$O$56,$W145)),0)+IFERROR(INDEX(其他调用!$Y$140:$Y$178,MATCH($W145,其他调用!$T$140:$T$178,1))*求节点($G$34:$G$42,$K$34:$K$42,求节点($S$48:$S$56,$O$48:$O$56,$W145)),0))/6,1)</f>
        <v>1</v>
      </c>
      <c r="AB145" s="8">
        <f>MIN((IFERROR(INDEX(其他调用!$W$185:$W$223,MATCH($W145,其他调用!$T$185:$T$223,1))*求节点($G$34:$G$42,$I$34:$I$42,求节点($Q$62:$Q$70,$O$62:$O$70,$W145)),0)+IFERROR(INDEX(其他调用!$X$185:$X$223,MATCH($W145,其他调用!$T$185:$T$223,1))*求节点($G$34:$G$42,$J$34:$J$42,求节点($R$62:$R$70,$O$62:$O$70,$W145)),0)+IFERROR(INDEX(其他调用!$Y$185:$Y$223,MATCH($W145,其他调用!$T$185:$T$223,1))*求节点($G$34:$G$42,$K$34:$K$42,求节点($S$62:$S$70,$O$62:$O$70,$W145)),0))/6,1)</f>
        <v>1</v>
      </c>
      <c r="AD145" s="8">
        <v>140</v>
      </c>
      <c r="AE145" s="8">
        <f>X145/士兵加成武将!W145</f>
        <v>0.93783445646180519</v>
      </c>
      <c r="AF145" s="8">
        <f>Y145/士兵加成武将!X145</f>
        <v>1</v>
      </c>
      <c r="AG145" s="8">
        <f>Z145/士兵加成武将!Y145</f>
        <v>1</v>
      </c>
      <c r="AH145" s="8">
        <f>AA145/士兵加成武将!Z145</f>
        <v>1</v>
      </c>
      <c r="AI145" s="8">
        <f>AB145/士兵加成武将!AA145</f>
        <v>1</v>
      </c>
    </row>
    <row r="146" spans="23:35" x14ac:dyDescent="0.15">
      <c r="W146" s="8">
        <v>141</v>
      </c>
      <c r="X146" s="8">
        <f>MIN((IFERROR(INDEX(其他调用!$W$5:$W$43,MATCH($W146,其他调用!$T$5:$T$43,1))*求节点($G$34:$G$42,$I$34:$I$42,求节点($Q$6:$Q$14,$O$6:$O$14,$W146)),0)+IFERROR(INDEX(其他调用!$X$5:$X$43,MATCH($W146,其他调用!$T$5:$T$43,1))*求节点($G$34:$G$42,$J$34:$J$42,求节点($R$6:$R$14,$O$6:$O$14,$W146)),0)+IFERROR(INDEX(其他调用!$Y$5:$Y$43,MATCH($W146,其他调用!$T$5:$T$43,1))*求节点($G$34:$G$42,$K$34:$K$42,求节点($S$6:$S$14,$O$6:$O$14,$W146)),0))/6,1)</f>
        <v>0.94453327400796094</v>
      </c>
      <c r="Y146" s="8">
        <f>MIN((IFERROR(INDEX(其他调用!$W$50:$W$88,MATCH($W146,其他调用!$T$50:$T$88,1))*求节点($G$34:$G$42,$I$34:$I$42,求节点($Q$20:$Q$28,$O$20:$O$28,$W146)),0)+IFERROR(INDEX(其他调用!$X$50:$X$88,MATCH($W146,其他调用!$T$50:$T$88,1))*求节点($G$34:$G$42,$J$34:$J$42,求节点($R$20:$R$28,$O$20:$O$28,$W146)),0)+IFERROR(INDEX(其他调用!$Y$50:$Y$88,MATCH($W146,其他调用!$T$50:$T$88,1))*求节点($G$34:$G$42,$K$34:$K$42,求节点($S$20:$S$28,$O$20:$O$28,$W146)),0))/6,1)</f>
        <v>1</v>
      </c>
      <c r="Z146" s="8">
        <f>MIN((IFERROR(INDEX(其他调用!$W$95:$W$133,MATCH($W146,其他调用!$T$95:$T$133,1))*求节点($G$34:$G$42,$I$34:$I$42,求节点($Q$34:$Q$42,$O$34:$O$42,$W146)),0)+IFERROR(INDEX(其他调用!$X$95:$X$133,MATCH($W146,其他调用!$T$95:$T$133,1))*求节点($G$34:$G$42,$J$34:$J$42,求节点($R$34:$R$42,$O$34:$O$42,$W146)),0)+IFERROR(INDEX(其他调用!$Y$95:$Y$133,MATCH($W146,其他调用!$T$95:$T$133,1))*求节点($G$34:$G$42,$K$34:$K$42,求节点($S$34:$S$42,$O$34:$O$42,$W146)),0))/6,1)</f>
        <v>1</v>
      </c>
      <c r="AA146" s="8">
        <f>MIN((IFERROR(INDEX(其他调用!$W$140:$W$178,MATCH($W146,其他调用!$T$140:$T$178,1))*求节点($G$34:$G$42,$I$34:$I$42,求节点($Q$48:$Q$56,$O$48:$O$56,$W146)),0)+IFERROR(INDEX(其他调用!$X$140:$X$178,MATCH($W146,其他调用!$T$140:$T$178,1))*求节点($G$34:$G$42,$J$34:$J$42,求节点($R$48:$R$56,$O$48:$O$56,$W146)),0)+IFERROR(INDEX(其他调用!$Y$140:$Y$178,MATCH($W146,其他调用!$T$140:$T$178,1))*求节点($G$34:$G$42,$K$34:$K$42,求节点($S$48:$S$56,$O$48:$O$56,$W146)),0))/6,1)</f>
        <v>1</v>
      </c>
      <c r="AB146" s="8">
        <f>MIN((IFERROR(INDEX(其他调用!$W$185:$W$223,MATCH($W146,其他调用!$T$185:$T$223,1))*求节点($G$34:$G$42,$I$34:$I$42,求节点($Q$62:$Q$70,$O$62:$O$70,$W146)),0)+IFERROR(INDEX(其他调用!$X$185:$X$223,MATCH($W146,其他调用!$T$185:$T$223,1))*求节点($G$34:$G$42,$J$34:$J$42,求节点($R$62:$R$70,$O$62:$O$70,$W146)),0)+IFERROR(INDEX(其他调用!$Y$185:$Y$223,MATCH($W146,其他调用!$T$185:$T$223,1))*求节点($G$34:$G$42,$K$34:$K$42,求节点($S$62:$S$70,$O$62:$O$70,$W146)),0))/6,1)</f>
        <v>1</v>
      </c>
      <c r="AD146" s="8">
        <v>141</v>
      </c>
      <c r="AE146" s="8">
        <f>X146/士兵加成武将!W146</f>
        <v>0.94453327400796094</v>
      </c>
      <c r="AF146" s="8">
        <f>Y146/士兵加成武将!X146</f>
        <v>1</v>
      </c>
      <c r="AG146" s="8">
        <f>Z146/士兵加成武将!Y146</f>
        <v>1</v>
      </c>
      <c r="AH146" s="8">
        <f>AA146/士兵加成武将!Z146</f>
        <v>1</v>
      </c>
      <c r="AI146" s="8">
        <f>AB146/士兵加成武将!AA146</f>
        <v>1</v>
      </c>
    </row>
    <row r="147" spans="23:35" x14ac:dyDescent="0.15">
      <c r="W147" s="8">
        <v>142</v>
      </c>
      <c r="X147" s="8">
        <f>MIN((IFERROR(INDEX(其他调用!$W$5:$W$43,MATCH($W147,其他调用!$T$5:$T$43,1))*求节点($G$34:$G$42,$I$34:$I$42,求节点($Q$6:$Q$14,$O$6:$O$14,$W147)),0)+IFERROR(INDEX(其他调用!$X$5:$X$43,MATCH($W147,其他调用!$T$5:$T$43,1))*求节点($G$34:$G$42,$J$34:$J$42,求节点($R$6:$R$14,$O$6:$O$14,$W147)),0)+IFERROR(INDEX(其他调用!$Y$5:$Y$43,MATCH($W147,其他调用!$T$5:$T$43,1))*求节点($G$34:$G$42,$K$34:$K$42,求节点($S$6:$S$14,$O$6:$O$14,$W147)),0))/6,1)</f>
        <v>0.95123209155411681</v>
      </c>
      <c r="Y147" s="8">
        <f>MIN((IFERROR(INDEX(其他调用!$W$50:$W$88,MATCH($W147,其他调用!$T$50:$T$88,1))*求节点($G$34:$G$42,$I$34:$I$42,求节点($Q$20:$Q$28,$O$20:$O$28,$W147)),0)+IFERROR(INDEX(其他调用!$X$50:$X$88,MATCH($W147,其他调用!$T$50:$T$88,1))*求节点($G$34:$G$42,$J$34:$J$42,求节点($R$20:$R$28,$O$20:$O$28,$W147)),0)+IFERROR(INDEX(其他调用!$Y$50:$Y$88,MATCH($W147,其他调用!$T$50:$T$88,1))*求节点($G$34:$G$42,$K$34:$K$42,求节点($S$20:$S$28,$O$20:$O$28,$W147)),0))/6,1)</f>
        <v>1</v>
      </c>
      <c r="Z147" s="8">
        <f>MIN((IFERROR(INDEX(其他调用!$W$95:$W$133,MATCH($W147,其他调用!$T$95:$T$133,1))*求节点($G$34:$G$42,$I$34:$I$42,求节点($Q$34:$Q$42,$O$34:$O$42,$W147)),0)+IFERROR(INDEX(其他调用!$X$95:$X$133,MATCH($W147,其他调用!$T$95:$T$133,1))*求节点($G$34:$G$42,$J$34:$J$42,求节点($R$34:$R$42,$O$34:$O$42,$W147)),0)+IFERROR(INDEX(其他调用!$Y$95:$Y$133,MATCH($W147,其他调用!$T$95:$T$133,1))*求节点($G$34:$G$42,$K$34:$K$42,求节点($S$34:$S$42,$O$34:$O$42,$W147)),0))/6,1)</f>
        <v>1</v>
      </c>
      <c r="AA147" s="8">
        <f>MIN((IFERROR(INDEX(其他调用!$W$140:$W$178,MATCH($W147,其他调用!$T$140:$T$178,1))*求节点($G$34:$G$42,$I$34:$I$42,求节点($Q$48:$Q$56,$O$48:$O$56,$W147)),0)+IFERROR(INDEX(其他调用!$X$140:$X$178,MATCH($W147,其他调用!$T$140:$T$178,1))*求节点($G$34:$G$42,$J$34:$J$42,求节点($R$48:$R$56,$O$48:$O$56,$W147)),0)+IFERROR(INDEX(其他调用!$Y$140:$Y$178,MATCH($W147,其他调用!$T$140:$T$178,1))*求节点($G$34:$G$42,$K$34:$K$42,求节点($S$48:$S$56,$O$48:$O$56,$W147)),0))/6,1)</f>
        <v>1</v>
      </c>
      <c r="AB147" s="8">
        <f>MIN((IFERROR(INDEX(其他调用!$W$185:$W$223,MATCH($W147,其他调用!$T$185:$T$223,1))*求节点($G$34:$G$42,$I$34:$I$42,求节点($Q$62:$Q$70,$O$62:$O$70,$W147)),0)+IFERROR(INDEX(其他调用!$X$185:$X$223,MATCH($W147,其他调用!$T$185:$T$223,1))*求节点($G$34:$G$42,$J$34:$J$42,求节点($R$62:$R$70,$O$62:$O$70,$W147)),0)+IFERROR(INDEX(其他调用!$Y$185:$Y$223,MATCH($W147,其他调用!$T$185:$T$223,1))*求节点($G$34:$G$42,$K$34:$K$42,求节点($S$62:$S$70,$O$62:$O$70,$W147)),0))/6,1)</f>
        <v>1</v>
      </c>
      <c r="AD147" s="8">
        <v>142</v>
      </c>
      <c r="AE147" s="8">
        <f>X147/士兵加成武将!W147</f>
        <v>0.95123209155411681</v>
      </c>
      <c r="AF147" s="8">
        <f>Y147/士兵加成武将!X147</f>
        <v>1</v>
      </c>
      <c r="AG147" s="8">
        <f>Z147/士兵加成武将!Y147</f>
        <v>1</v>
      </c>
      <c r="AH147" s="8">
        <f>AA147/士兵加成武将!Z147</f>
        <v>1</v>
      </c>
      <c r="AI147" s="8">
        <f>AB147/士兵加成武将!AA147</f>
        <v>1</v>
      </c>
    </row>
    <row r="148" spans="23:35" x14ac:dyDescent="0.15">
      <c r="W148" s="8">
        <v>143</v>
      </c>
      <c r="X148" s="8">
        <f>MIN((IFERROR(INDEX(其他调用!$W$5:$W$43,MATCH($W148,其他调用!$T$5:$T$43,1))*求节点($G$34:$G$42,$I$34:$I$42,求节点($Q$6:$Q$14,$O$6:$O$14,$W148)),0)+IFERROR(INDEX(其他调用!$X$5:$X$43,MATCH($W148,其他调用!$T$5:$T$43,1))*求节点($G$34:$G$42,$J$34:$J$42,求节点($R$6:$R$14,$O$6:$O$14,$W148)),0)+IFERROR(INDEX(其他调用!$Y$5:$Y$43,MATCH($W148,其他调用!$T$5:$T$43,1))*求节点($G$34:$G$42,$K$34:$K$42,求节点($S$6:$S$14,$O$6:$O$14,$W148)),0))/6,1)</f>
        <v>0.95793090910027245</v>
      </c>
      <c r="Y148" s="8">
        <f>MIN((IFERROR(INDEX(其他调用!$W$50:$W$88,MATCH($W148,其他调用!$T$50:$T$88,1))*求节点($G$34:$G$42,$I$34:$I$42,求节点($Q$20:$Q$28,$O$20:$O$28,$W148)),0)+IFERROR(INDEX(其他调用!$X$50:$X$88,MATCH($W148,其他调用!$T$50:$T$88,1))*求节点($G$34:$G$42,$J$34:$J$42,求节点($R$20:$R$28,$O$20:$O$28,$W148)),0)+IFERROR(INDEX(其他调用!$Y$50:$Y$88,MATCH($W148,其他调用!$T$50:$T$88,1))*求节点($G$34:$G$42,$K$34:$K$42,求节点($S$20:$S$28,$O$20:$O$28,$W148)),0))/6,1)</f>
        <v>1</v>
      </c>
      <c r="Z148" s="8">
        <f>MIN((IFERROR(INDEX(其他调用!$W$95:$W$133,MATCH($W148,其他调用!$T$95:$T$133,1))*求节点($G$34:$G$42,$I$34:$I$42,求节点($Q$34:$Q$42,$O$34:$O$42,$W148)),0)+IFERROR(INDEX(其他调用!$X$95:$X$133,MATCH($W148,其他调用!$T$95:$T$133,1))*求节点($G$34:$G$42,$J$34:$J$42,求节点($R$34:$R$42,$O$34:$O$42,$W148)),0)+IFERROR(INDEX(其他调用!$Y$95:$Y$133,MATCH($W148,其他调用!$T$95:$T$133,1))*求节点($G$34:$G$42,$K$34:$K$42,求节点($S$34:$S$42,$O$34:$O$42,$W148)),0))/6,1)</f>
        <v>1</v>
      </c>
      <c r="AA148" s="8">
        <f>MIN((IFERROR(INDEX(其他调用!$W$140:$W$178,MATCH($W148,其他调用!$T$140:$T$178,1))*求节点($G$34:$G$42,$I$34:$I$42,求节点($Q$48:$Q$56,$O$48:$O$56,$W148)),0)+IFERROR(INDEX(其他调用!$X$140:$X$178,MATCH($W148,其他调用!$T$140:$T$178,1))*求节点($G$34:$G$42,$J$34:$J$42,求节点($R$48:$R$56,$O$48:$O$56,$W148)),0)+IFERROR(INDEX(其他调用!$Y$140:$Y$178,MATCH($W148,其他调用!$T$140:$T$178,1))*求节点($G$34:$G$42,$K$34:$K$42,求节点($S$48:$S$56,$O$48:$O$56,$W148)),0))/6,1)</f>
        <v>1</v>
      </c>
      <c r="AB148" s="8">
        <f>MIN((IFERROR(INDEX(其他调用!$W$185:$W$223,MATCH($W148,其他调用!$T$185:$T$223,1))*求节点($G$34:$G$42,$I$34:$I$42,求节点($Q$62:$Q$70,$O$62:$O$70,$W148)),0)+IFERROR(INDEX(其他调用!$X$185:$X$223,MATCH($W148,其他调用!$T$185:$T$223,1))*求节点($G$34:$G$42,$J$34:$J$42,求节点($R$62:$R$70,$O$62:$O$70,$W148)),0)+IFERROR(INDEX(其他调用!$Y$185:$Y$223,MATCH($W148,其他调用!$T$185:$T$223,1))*求节点($G$34:$G$42,$K$34:$K$42,求节点($S$62:$S$70,$O$62:$O$70,$W148)),0))/6,1)</f>
        <v>1</v>
      </c>
      <c r="AD148" s="8">
        <v>143</v>
      </c>
      <c r="AE148" s="8">
        <f>X148/士兵加成武将!W148</f>
        <v>0.95793090910027245</v>
      </c>
      <c r="AF148" s="8">
        <f>Y148/士兵加成武将!X148</f>
        <v>1</v>
      </c>
      <c r="AG148" s="8">
        <f>Z148/士兵加成武将!Y148</f>
        <v>1</v>
      </c>
      <c r="AH148" s="8">
        <f>AA148/士兵加成武将!Z148</f>
        <v>1</v>
      </c>
      <c r="AI148" s="8">
        <f>AB148/士兵加成武将!AA148</f>
        <v>1</v>
      </c>
    </row>
    <row r="149" spans="23:35" x14ac:dyDescent="0.15">
      <c r="W149" s="8">
        <v>144</v>
      </c>
      <c r="X149" s="8">
        <f>MIN((IFERROR(INDEX(其他调用!$W$5:$W$43,MATCH($W149,其他调用!$T$5:$T$43,1))*求节点($G$34:$G$42,$I$34:$I$42,求节点($Q$6:$Q$14,$O$6:$O$14,$W149)),0)+IFERROR(INDEX(其他调用!$X$5:$X$43,MATCH($W149,其他调用!$T$5:$T$43,1))*求节点($G$34:$G$42,$J$34:$J$42,求节点($R$6:$R$14,$O$6:$O$14,$W149)),0)+IFERROR(INDEX(其他调用!$Y$5:$Y$43,MATCH($W149,其他调用!$T$5:$T$43,1))*求节点($G$34:$G$42,$K$34:$K$42,求节点($S$6:$S$14,$O$6:$O$14,$W149)),0))/6,1)</f>
        <v>0.96462972664642821</v>
      </c>
      <c r="Y149" s="8">
        <f>MIN((IFERROR(INDEX(其他调用!$W$50:$W$88,MATCH($W149,其他调用!$T$50:$T$88,1))*求节点($G$34:$G$42,$I$34:$I$42,求节点($Q$20:$Q$28,$O$20:$O$28,$W149)),0)+IFERROR(INDEX(其他调用!$X$50:$X$88,MATCH($W149,其他调用!$T$50:$T$88,1))*求节点($G$34:$G$42,$J$34:$J$42,求节点($R$20:$R$28,$O$20:$O$28,$W149)),0)+IFERROR(INDEX(其他调用!$Y$50:$Y$88,MATCH($W149,其他调用!$T$50:$T$88,1))*求节点($G$34:$G$42,$K$34:$K$42,求节点($S$20:$S$28,$O$20:$O$28,$W149)),0))/6,1)</f>
        <v>1</v>
      </c>
      <c r="Z149" s="8">
        <f>MIN((IFERROR(INDEX(其他调用!$W$95:$W$133,MATCH($W149,其他调用!$T$95:$T$133,1))*求节点($G$34:$G$42,$I$34:$I$42,求节点($Q$34:$Q$42,$O$34:$O$42,$W149)),0)+IFERROR(INDEX(其他调用!$X$95:$X$133,MATCH($W149,其他调用!$T$95:$T$133,1))*求节点($G$34:$G$42,$J$34:$J$42,求节点($R$34:$R$42,$O$34:$O$42,$W149)),0)+IFERROR(INDEX(其他调用!$Y$95:$Y$133,MATCH($W149,其他调用!$T$95:$T$133,1))*求节点($G$34:$G$42,$K$34:$K$42,求节点($S$34:$S$42,$O$34:$O$42,$W149)),0))/6,1)</f>
        <v>1</v>
      </c>
      <c r="AA149" s="8">
        <f>MIN((IFERROR(INDEX(其他调用!$W$140:$W$178,MATCH($W149,其他调用!$T$140:$T$178,1))*求节点($G$34:$G$42,$I$34:$I$42,求节点($Q$48:$Q$56,$O$48:$O$56,$W149)),0)+IFERROR(INDEX(其他调用!$X$140:$X$178,MATCH($W149,其他调用!$T$140:$T$178,1))*求节点($G$34:$G$42,$J$34:$J$42,求节点($R$48:$R$56,$O$48:$O$56,$W149)),0)+IFERROR(INDEX(其他调用!$Y$140:$Y$178,MATCH($W149,其他调用!$T$140:$T$178,1))*求节点($G$34:$G$42,$K$34:$K$42,求节点($S$48:$S$56,$O$48:$O$56,$W149)),0))/6,1)</f>
        <v>1</v>
      </c>
      <c r="AB149" s="8">
        <f>MIN((IFERROR(INDEX(其他调用!$W$185:$W$223,MATCH($W149,其他调用!$T$185:$T$223,1))*求节点($G$34:$G$42,$I$34:$I$42,求节点($Q$62:$Q$70,$O$62:$O$70,$W149)),0)+IFERROR(INDEX(其他调用!$X$185:$X$223,MATCH($W149,其他调用!$T$185:$T$223,1))*求节点($G$34:$G$42,$J$34:$J$42,求节点($R$62:$R$70,$O$62:$O$70,$W149)),0)+IFERROR(INDEX(其他调用!$Y$185:$Y$223,MATCH($W149,其他调用!$T$185:$T$223,1))*求节点($G$34:$G$42,$K$34:$K$42,求节点($S$62:$S$70,$O$62:$O$70,$W149)),0))/6,1)</f>
        <v>1</v>
      </c>
      <c r="AD149" s="8">
        <v>144</v>
      </c>
      <c r="AE149" s="8">
        <f>X149/士兵加成武将!W149</f>
        <v>0.96462972664642821</v>
      </c>
      <c r="AF149" s="8">
        <f>Y149/士兵加成武将!X149</f>
        <v>1</v>
      </c>
      <c r="AG149" s="8">
        <f>Z149/士兵加成武将!Y149</f>
        <v>1</v>
      </c>
      <c r="AH149" s="8">
        <f>AA149/士兵加成武将!Z149</f>
        <v>1</v>
      </c>
      <c r="AI149" s="8">
        <f>AB149/士兵加成武将!AA149</f>
        <v>1</v>
      </c>
    </row>
    <row r="150" spans="23:35" x14ac:dyDescent="0.15">
      <c r="W150" s="8">
        <v>145</v>
      </c>
      <c r="X150" s="8">
        <f>MIN((IFERROR(INDEX(其他调用!$W$5:$W$43,MATCH($W150,其他调用!$T$5:$T$43,1))*求节点($G$34:$G$42,$I$34:$I$42,求节点($Q$6:$Q$14,$O$6:$O$14,$W150)),0)+IFERROR(INDEX(其他调用!$X$5:$X$43,MATCH($W150,其他调用!$T$5:$T$43,1))*求节点($G$34:$G$42,$J$34:$J$42,求节点($R$6:$R$14,$O$6:$O$14,$W150)),0)+IFERROR(INDEX(其他调用!$Y$5:$Y$43,MATCH($W150,其他调用!$T$5:$T$43,1))*求节点($G$34:$G$42,$K$34:$K$42,求节点($S$6:$S$14,$O$6:$O$14,$W150)),0))/6,1)</f>
        <v>0.97132854419258374</v>
      </c>
      <c r="Y150" s="8">
        <f>MIN((IFERROR(INDEX(其他调用!$W$50:$W$88,MATCH($W150,其他调用!$T$50:$T$88,1))*求节点($G$34:$G$42,$I$34:$I$42,求节点($Q$20:$Q$28,$O$20:$O$28,$W150)),0)+IFERROR(INDEX(其他调用!$X$50:$X$88,MATCH($W150,其他调用!$T$50:$T$88,1))*求节点($G$34:$G$42,$J$34:$J$42,求节点($R$20:$R$28,$O$20:$O$28,$W150)),0)+IFERROR(INDEX(其他调用!$Y$50:$Y$88,MATCH($W150,其他调用!$T$50:$T$88,1))*求节点($G$34:$G$42,$K$34:$K$42,求节点($S$20:$S$28,$O$20:$O$28,$W150)),0))/6,1)</f>
        <v>1</v>
      </c>
      <c r="Z150" s="8">
        <f>MIN((IFERROR(INDEX(其他调用!$W$95:$W$133,MATCH($W150,其他调用!$T$95:$T$133,1))*求节点($G$34:$G$42,$I$34:$I$42,求节点($Q$34:$Q$42,$O$34:$O$42,$W150)),0)+IFERROR(INDEX(其他调用!$X$95:$X$133,MATCH($W150,其他调用!$T$95:$T$133,1))*求节点($G$34:$G$42,$J$34:$J$42,求节点($R$34:$R$42,$O$34:$O$42,$W150)),0)+IFERROR(INDEX(其他调用!$Y$95:$Y$133,MATCH($W150,其他调用!$T$95:$T$133,1))*求节点($G$34:$G$42,$K$34:$K$42,求节点($S$34:$S$42,$O$34:$O$42,$W150)),0))/6,1)</f>
        <v>1</v>
      </c>
      <c r="AA150" s="8">
        <f>MIN((IFERROR(INDEX(其他调用!$W$140:$W$178,MATCH($W150,其他调用!$T$140:$T$178,1))*求节点($G$34:$G$42,$I$34:$I$42,求节点($Q$48:$Q$56,$O$48:$O$56,$W150)),0)+IFERROR(INDEX(其他调用!$X$140:$X$178,MATCH($W150,其他调用!$T$140:$T$178,1))*求节点($G$34:$G$42,$J$34:$J$42,求节点($R$48:$R$56,$O$48:$O$56,$W150)),0)+IFERROR(INDEX(其他调用!$Y$140:$Y$178,MATCH($W150,其他调用!$T$140:$T$178,1))*求节点($G$34:$G$42,$K$34:$K$42,求节点($S$48:$S$56,$O$48:$O$56,$W150)),0))/6,1)</f>
        <v>1</v>
      </c>
      <c r="AB150" s="8">
        <f>MIN((IFERROR(INDEX(其他调用!$W$185:$W$223,MATCH($W150,其他调用!$T$185:$T$223,1))*求节点($G$34:$G$42,$I$34:$I$42,求节点($Q$62:$Q$70,$O$62:$O$70,$W150)),0)+IFERROR(INDEX(其他调用!$X$185:$X$223,MATCH($W150,其他调用!$T$185:$T$223,1))*求节点($G$34:$G$42,$J$34:$J$42,求节点($R$62:$R$70,$O$62:$O$70,$W150)),0)+IFERROR(INDEX(其他调用!$Y$185:$Y$223,MATCH($W150,其他调用!$T$185:$T$223,1))*求节点($G$34:$G$42,$K$34:$K$42,求节点($S$62:$S$70,$O$62:$O$70,$W150)),0))/6,1)</f>
        <v>1</v>
      </c>
      <c r="AD150" s="8">
        <v>145</v>
      </c>
      <c r="AE150" s="8">
        <f>X150/士兵加成武将!W150</f>
        <v>0.97132854419258374</v>
      </c>
      <c r="AF150" s="8">
        <f>Y150/士兵加成武将!X150</f>
        <v>1</v>
      </c>
      <c r="AG150" s="8">
        <f>Z150/士兵加成武将!Y150</f>
        <v>1</v>
      </c>
      <c r="AH150" s="8">
        <f>AA150/士兵加成武将!Z150</f>
        <v>1</v>
      </c>
      <c r="AI150" s="8">
        <f>AB150/士兵加成武将!AA150</f>
        <v>1</v>
      </c>
    </row>
    <row r="151" spans="23:35" x14ac:dyDescent="0.15">
      <c r="W151" s="8">
        <v>146</v>
      </c>
      <c r="X151" s="8">
        <f>MIN((IFERROR(INDEX(其他调用!$W$5:$W$43,MATCH($W151,其他调用!$T$5:$T$43,1))*求节点($G$34:$G$42,$I$34:$I$42,求节点($Q$6:$Q$14,$O$6:$O$14,$W151)),0)+IFERROR(INDEX(其他调用!$X$5:$X$43,MATCH($W151,其他调用!$T$5:$T$43,1))*求节点($G$34:$G$42,$J$34:$J$42,求节点($R$6:$R$14,$O$6:$O$14,$W151)),0)+IFERROR(INDEX(其他调用!$Y$5:$Y$43,MATCH($W151,其他调用!$T$5:$T$43,1))*求节点($G$34:$G$42,$K$34:$K$42,求节点($S$6:$S$14,$O$6:$O$14,$W151)),0))/6,1)</f>
        <v>0.97802736173873972</v>
      </c>
      <c r="Y151" s="8">
        <f>MIN((IFERROR(INDEX(其他调用!$W$50:$W$88,MATCH($W151,其他调用!$T$50:$T$88,1))*求节点($G$34:$G$42,$I$34:$I$42,求节点($Q$20:$Q$28,$O$20:$O$28,$W151)),0)+IFERROR(INDEX(其他调用!$X$50:$X$88,MATCH($W151,其他调用!$T$50:$T$88,1))*求节点($G$34:$G$42,$J$34:$J$42,求节点($R$20:$R$28,$O$20:$O$28,$W151)),0)+IFERROR(INDEX(其他调用!$Y$50:$Y$88,MATCH($W151,其他调用!$T$50:$T$88,1))*求节点($G$34:$G$42,$K$34:$K$42,求节点($S$20:$S$28,$O$20:$O$28,$W151)),0))/6,1)</f>
        <v>1</v>
      </c>
      <c r="Z151" s="8">
        <f>MIN((IFERROR(INDEX(其他调用!$W$95:$W$133,MATCH($W151,其他调用!$T$95:$T$133,1))*求节点($G$34:$G$42,$I$34:$I$42,求节点($Q$34:$Q$42,$O$34:$O$42,$W151)),0)+IFERROR(INDEX(其他调用!$X$95:$X$133,MATCH($W151,其他调用!$T$95:$T$133,1))*求节点($G$34:$G$42,$J$34:$J$42,求节点($R$34:$R$42,$O$34:$O$42,$W151)),0)+IFERROR(INDEX(其他调用!$Y$95:$Y$133,MATCH($W151,其他调用!$T$95:$T$133,1))*求节点($G$34:$G$42,$K$34:$K$42,求节点($S$34:$S$42,$O$34:$O$42,$W151)),0))/6,1)</f>
        <v>1</v>
      </c>
      <c r="AA151" s="8">
        <f>MIN((IFERROR(INDEX(其他调用!$W$140:$W$178,MATCH($W151,其他调用!$T$140:$T$178,1))*求节点($G$34:$G$42,$I$34:$I$42,求节点($Q$48:$Q$56,$O$48:$O$56,$W151)),0)+IFERROR(INDEX(其他调用!$X$140:$X$178,MATCH($W151,其他调用!$T$140:$T$178,1))*求节点($G$34:$G$42,$J$34:$J$42,求节点($R$48:$R$56,$O$48:$O$56,$W151)),0)+IFERROR(INDEX(其他调用!$Y$140:$Y$178,MATCH($W151,其他调用!$T$140:$T$178,1))*求节点($G$34:$G$42,$K$34:$K$42,求节点($S$48:$S$56,$O$48:$O$56,$W151)),0))/6,1)</f>
        <v>1</v>
      </c>
      <c r="AB151" s="8">
        <f>MIN((IFERROR(INDEX(其他调用!$W$185:$W$223,MATCH($W151,其他调用!$T$185:$T$223,1))*求节点($G$34:$G$42,$I$34:$I$42,求节点($Q$62:$Q$70,$O$62:$O$70,$W151)),0)+IFERROR(INDEX(其他调用!$X$185:$X$223,MATCH($W151,其他调用!$T$185:$T$223,1))*求节点($G$34:$G$42,$J$34:$J$42,求节点($R$62:$R$70,$O$62:$O$70,$W151)),0)+IFERROR(INDEX(其他调用!$Y$185:$Y$223,MATCH($W151,其他调用!$T$185:$T$223,1))*求节点($G$34:$G$42,$K$34:$K$42,求节点($S$62:$S$70,$O$62:$O$70,$W151)),0))/6,1)</f>
        <v>1</v>
      </c>
      <c r="AD151" s="8">
        <v>146</v>
      </c>
      <c r="AE151" s="8">
        <f>X151/士兵加成武将!W151</f>
        <v>0.97802736173873972</v>
      </c>
      <c r="AF151" s="8">
        <f>Y151/士兵加成武将!X151</f>
        <v>1</v>
      </c>
      <c r="AG151" s="8">
        <f>Z151/士兵加成武将!Y151</f>
        <v>1</v>
      </c>
      <c r="AH151" s="8">
        <f>AA151/士兵加成武将!Z151</f>
        <v>1</v>
      </c>
      <c r="AI151" s="8">
        <f>AB151/士兵加成武将!AA151</f>
        <v>1</v>
      </c>
    </row>
    <row r="152" spans="23:35" x14ac:dyDescent="0.15">
      <c r="W152" s="8">
        <v>147</v>
      </c>
      <c r="X152" s="8">
        <f>MIN((IFERROR(INDEX(其他调用!$W$5:$W$43,MATCH($W152,其他调用!$T$5:$T$43,1))*求节点($G$34:$G$42,$I$34:$I$42,求节点($Q$6:$Q$14,$O$6:$O$14,$W152)),0)+IFERROR(INDEX(其他调用!$X$5:$X$43,MATCH($W152,其他调用!$T$5:$T$43,1))*求节点($G$34:$G$42,$J$34:$J$42,求节点($R$6:$R$14,$O$6:$O$14,$W152)),0)+IFERROR(INDEX(其他调用!$Y$5:$Y$43,MATCH($W152,其他调用!$T$5:$T$43,1))*求节点($G$34:$G$42,$K$34:$K$42,求节点($S$6:$S$14,$O$6:$O$14,$W152)),0))/6,1)</f>
        <v>0.98472617928489559</v>
      </c>
      <c r="Y152" s="8">
        <f>MIN((IFERROR(INDEX(其他调用!$W$50:$W$88,MATCH($W152,其他调用!$T$50:$T$88,1))*求节点($G$34:$G$42,$I$34:$I$42,求节点($Q$20:$Q$28,$O$20:$O$28,$W152)),0)+IFERROR(INDEX(其他调用!$X$50:$X$88,MATCH($W152,其他调用!$T$50:$T$88,1))*求节点($G$34:$G$42,$J$34:$J$42,求节点($R$20:$R$28,$O$20:$O$28,$W152)),0)+IFERROR(INDEX(其他调用!$Y$50:$Y$88,MATCH($W152,其他调用!$T$50:$T$88,1))*求节点($G$34:$G$42,$K$34:$K$42,求节点($S$20:$S$28,$O$20:$O$28,$W152)),0))/6,1)</f>
        <v>1</v>
      </c>
      <c r="Z152" s="8">
        <f>MIN((IFERROR(INDEX(其他调用!$W$95:$W$133,MATCH($W152,其他调用!$T$95:$T$133,1))*求节点($G$34:$G$42,$I$34:$I$42,求节点($Q$34:$Q$42,$O$34:$O$42,$W152)),0)+IFERROR(INDEX(其他调用!$X$95:$X$133,MATCH($W152,其他调用!$T$95:$T$133,1))*求节点($G$34:$G$42,$J$34:$J$42,求节点($R$34:$R$42,$O$34:$O$42,$W152)),0)+IFERROR(INDEX(其他调用!$Y$95:$Y$133,MATCH($W152,其他调用!$T$95:$T$133,1))*求节点($G$34:$G$42,$K$34:$K$42,求节点($S$34:$S$42,$O$34:$O$42,$W152)),0))/6,1)</f>
        <v>1</v>
      </c>
      <c r="AA152" s="8">
        <f>MIN((IFERROR(INDEX(其他调用!$W$140:$W$178,MATCH($W152,其他调用!$T$140:$T$178,1))*求节点($G$34:$G$42,$I$34:$I$42,求节点($Q$48:$Q$56,$O$48:$O$56,$W152)),0)+IFERROR(INDEX(其他调用!$X$140:$X$178,MATCH($W152,其他调用!$T$140:$T$178,1))*求节点($G$34:$G$42,$J$34:$J$42,求节点($R$48:$R$56,$O$48:$O$56,$W152)),0)+IFERROR(INDEX(其他调用!$Y$140:$Y$178,MATCH($W152,其他调用!$T$140:$T$178,1))*求节点($G$34:$G$42,$K$34:$K$42,求节点($S$48:$S$56,$O$48:$O$56,$W152)),0))/6,1)</f>
        <v>1</v>
      </c>
      <c r="AB152" s="8">
        <f>MIN((IFERROR(INDEX(其他调用!$W$185:$W$223,MATCH($W152,其他调用!$T$185:$T$223,1))*求节点($G$34:$G$42,$I$34:$I$42,求节点($Q$62:$Q$70,$O$62:$O$70,$W152)),0)+IFERROR(INDEX(其他调用!$X$185:$X$223,MATCH($W152,其他调用!$T$185:$T$223,1))*求节点($G$34:$G$42,$J$34:$J$42,求节点($R$62:$R$70,$O$62:$O$70,$W152)),0)+IFERROR(INDEX(其他调用!$Y$185:$Y$223,MATCH($W152,其他调用!$T$185:$T$223,1))*求节点($G$34:$G$42,$K$34:$K$42,求节点($S$62:$S$70,$O$62:$O$70,$W152)),0))/6,1)</f>
        <v>1</v>
      </c>
      <c r="AD152" s="8">
        <v>147</v>
      </c>
      <c r="AE152" s="8">
        <f>X152/士兵加成武将!W152</f>
        <v>0.98472617928489559</v>
      </c>
      <c r="AF152" s="8">
        <f>Y152/士兵加成武将!X152</f>
        <v>1</v>
      </c>
      <c r="AG152" s="8">
        <f>Z152/士兵加成武将!Y152</f>
        <v>1</v>
      </c>
      <c r="AH152" s="8">
        <f>AA152/士兵加成武将!Z152</f>
        <v>1</v>
      </c>
      <c r="AI152" s="8">
        <f>AB152/士兵加成武将!AA152</f>
        <v>1</v>
      </c>
    </row>
    <row r="153" spans="23:35" x14ac:dyDescent="0.15">
      <c r="W153" s="8">
        <v>148</v>
      </c>
      <c r="X153" s="8">
        <f>MIN((IFERROR(INDEX(其他调用!$W$5:$W$43,MATCH($W153,其他调用!$T$5:$T$43,1))*求节点($G$34:$G$42,$I$34:$I$42,求节点($Q$6:$Q$14,$O$6:$O$14,$W153)),0)+IFERROR(INDEX(其他调用!$X$5:$X$43,MATCH($W153,其他调用!$T$5:$T$43,1))*求节点($G$34:$G$42,$J$34:$J$42,求节点($R$6:$R$14,$O$6:$O$14,$W153)),0)+IFERROR(INDEX(其他调用!$Y$5:$Y$43,MATCH($W153,其他调用!$T$5:$T$43,1))*求节点($G$34:$G$42,$K$34:$K$42,求节点($S$6:$S$14,$O$6:$O$14,$W153)),0))/6,1)</f>
        <v>0.99142499683105123</v>
      </c>
      <c r="Y153" s="8">
        <f>MIN((IFERROR(INDEX(其他调用!$W$50:$W$88,MATCH($W153,其他调用!$T$50:$T$88,1))*求节点($G$34:$G$42,$I$34:$I$42,求节点($Q$20:$Q$28,$O$20:$O$28,$W153)),0)+IFERROR(INDEX(其他调用!$X$50:$X$88,MATCH($W153,其他调用!$T$50:$T$88,1))*求节点($G$34:$G$42,$J$34:$J$42,求节点($R$20:$R$28,$O$20:$O$28,$W153)),0)+IFERROR(INDEX(其他调用!$Y$50:$Y$88,MATCH($W153,其他调用!$T$50:$T$88,1))*求节点($G$34:$G$42,$K$34:$K$42,求节点($S$20:$S$28,$O$20:$O$28,$W153)),0))/6,1)</f>
        <v>1</v>
      </c>
      <c r="Z153" s="8">
        <f>MIN((IFERROR(INDEX(其他调用!$W$95:$W$133,MATCH($W153,其他调用!$T$95:$T$133,1))*求节点($G$34:$G$42,$I$34:$I$42,求节点($Q$34:$Q$42,$O$34:$O$42,$W153)),0)+IFERROR(INDEX(其他调用!$X$95:$X$133,MATCH($W153,其他调用!$T$95:$T$133,1))*求节点($G$34:$G$42,$J$34:$J$42,求节点($R$34:$R$42,$O$34:$O$42,$W153)),0)+IFERROR(INDEX(其他调用!$Y$95:$Y$133,MATCH($W153,其他调用!$T$95:$T$133,1))*求节点($G$34:$G$42,$K$34:$K$42,求节点($S$34:$S$42,$O$34:$O$42,$W153)),0))/6,1)</f>
        <v>1</v>
      </c>
      <c r="AA153" s="8">
        <f>MIN((IFERROR(INDEX(其他调用!$W$140:$W$178,MATCH($W153,其他调用!$T$140:$T$178,1))*求节点($G$34:$G$42,$I$34:$I$42,求节点($Q$48:$Q$56,$O$48:$O$56,$W153)),0)+IFERROR(INDEX(其他调用!$X$140:$X$178,MATCH($W153,其他调用!$T$140:$T$178,1))*求节点($G$34:$G$42,$J$34:$J$42,求节点($R$48:$R$56,$O$48:$O$56,$W153)),0)+IFERROR(INDEX(其他调用!$Y$140:$Y$178,MATCH($W153,其他调用!$T$140:$T$178,1))*求节点($G$34:$G$42,$K$34:$K$42,求节点($S$48:$S$56,$O$48:$O$56,$W153)),0))/6,1)</f>
        <v>1</v>
      </c>
      <c r="AB153" s="8">
        <f>MIN((IFERROR(INDEX(其他调用!$W$185:$W$223,MATCH($W153,其他调用!$T$185:$T$223,1))*求节点($G$34:$G$42,$I$34:$I$42,求节点($Q$62:$Q$70,$O$62:$O$70,$W153)),0)+IFERROR(INDEX(其他调用!$X$185:$X$223,MATCH($W153,其他调用!$T$185:$T$223,1))*求节点($G$34:$G$42,$J$34:$J$42,求节点($R$62:$R$70,$O$62:$O$70,$W153)),0)+IFERROR(INDEX(其他调用!$Y$185:$Y$223,MATCH($W153,其他调用!$T$185:$T$223,1))*求节点($G$34:$G$42,$K$34:$K$42,求节点($S$62:$S$70,$O$62:$O$70,$W153)),0))/6,1)</f>
        <v>1</v>
      </c>
      <c r="AD153" s="8">
        <v>148</v>
      </c>
      <c r="AE153" s="8">
        <f>X153/士兵加成武将!W153</f>
        <v>0.99142499683105123</v>
      </c>
      <c r="AF153" s="8">
        <f>Y153/士兵加成武将!X153</f>
        <v>1</v>
      </c>
      <c r="AG153" s="8">
        <f>Z153/士兵加成武将!Y153</f>
        <v>1</v>
      </c>
      <c r="AH153" s="8">
        <f>AA153/士兵加成武将!Z153</f>
        <v>1</v>
      </c>
      <c r="AI153" s="8">
        <f>AB153/士兵加成武将!AA153</f>
        <v>1</v>
      </c>
    </row>
    <row r="154" spans="23:35" x14ac:dyDescent="0.15">
      <c r="W154" s="8">
        <v>149</v>
      </c>
      <c r="X154" s="8">
        <f>MIN((IFERROR(INDEX(其他调用!$W$5:$W$43,MATCH($W154,其他调用!$T$5:$T$43,1))*求节点($G$34:$G$42,$I$34:$I$42,求节点($Q$6:$Q$14,$O$6:$O$14,$W154)),0)+IFERROR(INDEX(其他调用!$X$5:$X$43,MATCH($W154,其他调用!$T$5:$T$43,1))*求节点($G$34:$G$42,$J$34:$J$42,求节点($R$6:$R$14,$O$6:$O$14,$W154)),0)+IFERROR(INDEX(其他调用!$Y$5:$Y$43,MATCH($W154,其他调用!$T$5:$T$43,1))*求节点($G$34:$G$42,$K$34:$K$42,求节点($S$6:$S$14,$O$6:$O$14,$W154)),0))/6,1)</f>
        <v>0.99812381437720699</v>
      </c>
      <c r="Y154" s="8">
        <f>MIN((IFERROR(INDEX(其他调用!$W$50:$W$88,MATCH($W154,其他调用!$T$50:$T$88,1))*求节点($G$34:$G$42,$I$34:$I$42,求节点($Q$20:$Q$28,$O$20:$O$28,$W154)),0)+IFERROR(INDEX(其他调用!$X$50:$X$88,MATCH($W154,其他调用!$T$50:$T$88,1))*求节点($G$34:$G$42,$J$34:$J$42,求节点($R$20:$R$28,$O$20:$O$28,$W154)),0)+IFERROR(INDEX(其他调用!$Y$50:$Y$88,MATCH($W154,其他调用!$T$50:$T$88,1))*求节点($G$34:$G$42,$K$34:$K$42,求节点($S$20:$S$28,$O$20:$O$28,$W154)),0))/6,1)</f>
        <v>1</v>
      </c>
      <c r="Z154" s="8">
        <f>MIN((IFERROR(INDEX(其他调用!$W$95:$W$133,MATCH($W154,其他调用!$T$95:$T$133,1))*求节点($G$34:$G$42,$I$34:$I$42,求节点($Q$34:$Q$42,$O$34:$O$42,$W154)),0)+IFERROR(INDEX(其他调用!$X$95:$X$133,MATCH($W154,其他调用!$T$95:$T$133,1))*求节点($G$34:$G$42,$J$34:$J$42,求节点($R$34:$R$42,$O$34:$O$42,$W154)),0)+IFERROR(INDEX(其他调用!$Y$95:$Y$133,MATCH($W154,其他调用!$T$95:$T$133,1))*求节点($G$34:$G$42,$K$34:$K$42,求节点($S$34:$S$42,$O$34:$O$42,$W154)),0))/6,1)</f>
        <v>1</v>
      </c>
      <c r="AA154" s="8">
        <f>MIN((IFERROR(INDEX(其他调用!$W$140:$W$178,MATCH($W154,其他调用!$T$140:$T$178,1))*求节点($G$34:$G$42,$I$34:$I$42,求节点($Q$48:$Q$56,$O$48:$O$56,$W154)),0)+IFERROR(INDEX(其他调用!$X$140:$X$178,MATCH($W154,其他调用!$T$140:$T$178,1))*求节点($G$34:$G$42,$J$34:$J$42,求节点($R$48:$R$56,$O$48:$O$56,$W154)),0)+IFERROR(INDEX(其他调用!$Y$140:$Y$178,MATCH($W154,其他调用!$T$140:$T$178,1))*求节点($G$34:$G$42,$K$34:$K$42,求节点($S$48:$S$56,$O$48:$O$56,$W154)),0))/6,1)</f>
        <v>1</v>
      </c>
      <c r="AB154" s="8">
        <f>MIN((IFERROR(INDEX(其他调用!$W$185:$W$223,MATCH($W154,其他调用!$T$185:$T$223,1))*求节点($G$34:$G$42,$I$34:$I$42,求节点($Q$62:$Q$70,$O$62:$O$70,$W154)),0)+IFERROR(INDEX(其他调用!$X$185:$X$223,MATCH($W154,其他调用!$T$185:$T$223,1))*求节点($G$34:$G$42,$J$34:$J$42,求节点($R$62:$R$70,$O$62:$O$70,$W154)),0)+IFERROR(INDEX(其他调用!$Y$185:$Y$223,MATCH($W154,其他调用!$T$185:$T$223,1))*求节点($G$34:$G$42,$K$34:$K$42,求节点($S$62:$S$70,$O$62:$O$70,$W154)),0))/6,1)</f>
        <v>1</v>
      </c>
      <c r="AD154" s="8">
        <v>149</v>
      </c>
      <c r="AE154" s="8">
        <f>X154/士兵加成武将!W154</f>
        <v>0.99812381437720699</v>
      </c>
      <c r="AF154" s="8">
        <f>Y154/士兵加成武将!X154</f>
        <v>1</v>
      </c>
      <c r="AG154" s="8">
        <f>Z154/士兵加成武将!Y154</f>
        <v>1</v>
      </c>
      <c r="AH154" s="8">
        <f>AA154/士兵加成武将!Z154</f>
        <v>1</v>
      </c>
      <c r="AI154" s="8">
        <f>AB154/士兵加成武将!AA154</f>
        <v>1</v>
      </c>
    </row>
    <row r="155" spans="23:35" x14ac:dyDescent="0.15">
      <c r="W155" s="8">
        <v>150</v>
      </c>
      <c r="X155" s="8">
        <f>MIN((IFERROR(INDEX(其他调用!$W$5:$W$43,MATCH($W155,其他调用!$T$5:$T$43,1))*求节点($G$34:$G$42,$I$34:$I$42,求节点($Q$6:$Q$14,$O$6:$O$14,$W155)),0)+IFERROR(INDEX(其他调用!$X$5:$X$43,MATCH($W155,其他调用!$T$5:$T$43,1))*求节点($G$34:$G$42,$J$34:$J$42,求节点($R$6:$R$14,$O$6:$O$14,$W155)),0)+IFERROR(INDEX(其他调用!$Y$5:$Y$43,MATCH($W155,其他调用!$T$5:$T$43,1))*求节点($G$34:$G$42,$K$34:$K$42,求节点($S$6:$S$14,$O$6:$O$14,$W155)),0))/6,1)</f>
        <v>1</v>
      </c>
      <c r="Y155" s="8">
        <f>MIN((IFERROR(INDEX(其他调用!$W$50:$W$88,MATCH($W155,其他调用!$T$50:$T$88,1))*求节点($G$34:$G$42,$I$34:$I$42,求节点($Q$20:$Q$28,$O$20:$O$28,$W155)),0)+IFERROR(INDEX(其他调用!$X$50:$X$88,MATCH($W155,其他调用!$T$50:$T$88,1))*求节点($G$34:$G$42,$J$34:$J$42,求节点($R$20:$R$28,$O$20:$O$28,$W155)),0)+IFERROR(INDEX(其他调用!$Y$50:$Y$88,MATCH($W155,其他调用!$T$50:$T$88,1))*求节点($G$34:$G$42,$K$34:$K$42,求节点($S$20:$S$28,$O$20:$O$28,$W155)),0))/6,1)</f>
        <v>1</v>
      </c>
      <c r="Z155" s="8">
        <f>MIN((IFERROR(INDEX(其他调用!$W$95:$W$133,MATCH($W155,其他调用!$T$95:$T$133,1))*求节点($G$34:$G$42,$I$34:$I$42,求节点($Q$34:$Q$42,$O$34:$O$42,$W155)),0)+IFERROR(INDEX(其他调用!$X$95:$X$133,MATCH($W155,其他调用!$T$95:$T$133,1))*求节点($G$34:$G$42,$J$34:$J$42,求节点($R$34:$R$42,$O$34:$O$42,$W155)),0)+IFERROR(INDEX(其他调用!$Y$95:$Y$133,MATCH($W155,其他调用!$T$95:$T$133,1))*求节点($G$34:$G$42,$K$34:$K$42,求节点($S$34:$S$42,$O$34:$O$42,$W155)),0))/6,1)</f>
        <v>1</v>
      </c>
      <c r="AA155" s="8">
        <f>MIN((IFERROR(INDEX(其他调用!$W$140:$W$178,MATCH($W155,其他调用!$T$140:$T$178,1))*求节点($G$34:$G$42,$I$34:$I$42,求节点($Q$48:$Q$56,$O$48:$O$56,$W155)),0)+IFERROR(INDEX(其他调用!$X$140:$X$178,MATCH($W155,其他调用!$T$140:$T$178,1))*求节点($G$34:$G$42,$J$34:$J$42,求节点($R$48:$R$56,$O$48:$O$56,$W155)),0)+IFERROR(INDEX(其他调用!$Y$140:$Y$178,MATCH($W155,其他调用!$T$140:$T$178,1))*求节点($G$34:$G$42,$K$34:$K$42,求节点($S$48:$S$56,$O$48:$O$56,$W155)),0))/6,1)</f>
        <v>1</v>
      </c>
      <c r="AB155" s="8">
        <f>MIN((IFERROR(INDEX(其他调用!$W$185:$W$223,MATCH($W155,其他调用!$T$185:$T$223,1))*求节点($G$34:$G$42,$I$34:$I$42,求节点($Q$62:$Q$70,$O$62:$O$70,$W155)),0)+IFERROR(INDEX(其他调用!$X$185:$X$223,MATCH($W155,其他调用!$T$185:$T$223,1))*求节点($G$34:$G$42,$J$34:$J$42,求节点($R$62:$R$70,$O$62:$O$70,$W155)),0)+IFERROR(INDEX(其他调用!$Y$185:$Y$223,MATCH($W155,其他调用!$T$185:$T$223,1))*求节点($G$34:$G$42,$K$34:$K$42,求节点($S$62:$S$70,$O$62:$O$70,$W155)),0))/6,1)</f>
        <v>1</v>
      </c>
      <c r="AD155" s="8">
        <v>150</v>
      </c>
      <c r="AE155" s="8">
        <f>X155/士兵加成武将!W155</f>
        <v>1</v>
      </c>
      <c r="AF155" s="8">
        <f>Y155/士兵加成武将!X155</f>
        <v>1</v>
      </c>
      <c r="AG155" s="8">
        <f>Z155/士兵加成武将!Y155</f>
        <v>1</v>
      </c>
      <c r="AH155" s="8">
        <f>AA155/士兵加成武将!Z155</f>
        <v>1</v>
      </c>
      <c r="AI155" s="8">
        <f>AB155/士兵加成武将!AA155</f>
        <v>1</v>
      </c>
    </row>
    <row r="156" spans="23:35" x14ac:dyDescent="0.15">
      <c r="W156" s="8">
        <v>151</v>
      </c>
      <c r="X156" s="8">
        <f>MIN((IFERROR(INDEX(其他调用!$W$5:$W$43,MATCH($W156,其他调用!$T$5:$T$43,1))*求节点($G$34:$G$42,$I$34:$I$42,求节点($Q$6:$Q$14,$O$6:$O$14,$W156)),0)+IFERROR(INDEX(其他调用!$X$5:$X$43,MATCH($W156,其他调用!$T$5:$T$43,1))*求节点($G$34:$G$42,$J$34:$J$42,求节点($R$6:$R$14,$O$6:$O$14,$W156)),0)+IFERROR(INDEX(其他调用!$Y$5:$Y$43,MATCH($W156,其他调用!$T$5:$T$43,1))*求节点($G$34:$G$42,$K$34:$K$42,求节点($S$6:$S$14,$O$6:$O$14,$W156)),0))/6,1)</f>
        <v>1</v>
      </c>
      <c r="Y156" s="8">
        <f>MIN((IFERROR(INDEX(其他调用!$W$50:$W$88,MATCH($W156,其他调用!$T$50:$T$88,1))*求节点($G$34:$G$42,$I$34:$I$42,求节点($Q$20:$Q$28,$O$20:$O$28,$W156)),0)+IFERROR(INDEX(其他调用!$X$50:$X$88,MATCH($W156,其他调用!$T$50:$T$88,1))*求节点($G$34:$G$42,$J$34:$J$42,求节点($R$20:$R$28,$O$20:$O$28,$W156)),0)+IFERROR(INDEX(其他调用!$Y$50:$Y$88,MATCH($W156,其他调用!$T$50:$T$88,1))*求节点($G$34:$G$42,$K$34:$K$42,求节点($S$20:$S$28,$O$20:$O$28,$W156)),0))/6,1)</f>
        <v>1</v>
      </c>
      <c r="Z156" s="8">
        <f>MIN((IFERROR(INDEX(其他调用!$W$95:$W$133,MATCH($W156,其他调用!$T$95:$T$133,1))*求节点($G$34:$G$42,$I$34:$I$42,求节点($Q$34:$Q$42,$O$34:$O$42,$W156)),0)+IFERROR(INDEX(其他调用!$X$95:$X$133,MATCH($W156,其他调用!$T$95:$T$133,1))*求节点($G$34:$G$42,$J$34:$J$42,求节点($R$34:$R$42,$O$34:$O$42,$W156)),0)+IFERROR(INDEX(其他调用!$Y$95:$Y$133,MATCH($W156,其他调用!$T$95:$T$133,1))*求节点($G$34:$G$42,$K$34:$K$42,求节点($S$34:$S$42,$O$34:$O$42,$W156)),0))/6,1)</f>
        <v>1</v>
      </c>
      <c r="AA156" s="8">
        <f>MIN((IFERROR(INDEX(其他调用!$W$140:$W$178,MATCH($W156,其他调用!$T$140:$T$178,1))*求节点($G$34:$G$42,$I$34:$I$42,求节点($Q$48:$Q$56,$O$48:$O$56,$W156)),0)+IFERROR(INDEX(其他调用!$X$140:$X$178,MATCH($W156,其他调用!$T$140:$T$178,1))*求节点($G$34:$G$42,$J$34:$J$42,求节点($R$48:$R$56,$O$48:$O$56,$W156)),0)+IFERROR(INDEX(其他调用!$Y$140:$Y$178,MATCH($W156,其他调用!$T$140:$T$178,1))*求节点($G$34:$G$42,$K$34:$K$42,求节点($S$48:$S$56,$O$48:$O$56,$W156)),0))/6,1)</f>
        <v>1</v>
      </c>
      <c r="AB156" s="8">
        <f>MIN((IFERROR(INDEX(其他调用!$W$185:$W$223,MATCH($W156,其他调用!$T$185:$T$223,1))*求节点($G$34:$G$42,$I$34:$I$42,求节点($Q$62:$Q$70,$O$62:$O$70,$W156)),0)+IFERROR(INDEX(其他调用!$X$185:$X$223,MATCH($W156,其他调用!$T$185:$T$223,1))*求节点($G$34:$G$42,$J$34:$J$42,求节点($R$62:$R$70,$O$62:$O$70,$W156)),0)+IFERROR(INDEX(其他调用!$Y$185:$Y$223,MATCH($W156,其他调用!$T$185:$T$223,1))*求节点($G$34:$G$42,$K$34:$K$42,求节点($S$62:$S$70,$O$62:$O$70,$W156)),0))/6,1)</f>
        <v>1</v>
      </c>
      <c r="AD156" s="8">
        <v>151</v>
      </c>
      <c r="AE156" s="8">
        <f>X156/士兵加成武将!W156</f>
        <v>1</v>
      </c>
      <c r="AF156" s="8">
        <f>Y156/士兵加成武将!X156</f>
        <v>1</v>
      </c>
      <c r="AG156" s="8">
        <f>Z156/士兵加成武将!Y156</f>
        <v>1</v>
      </c>
      <c r="AH156" s="8">
        <f>AA156/士兵加成武将!Z156</f>
        <v>1</v>
      </c>
      <c r="AI156" s="8">
        <f>AB156/士兵加成武将!AA156</f>
        <v>1</v>
      </c>
    </row>
    <row r="157" spans="23:35" x14ac:dyDescent="0.15">
      <c r="W157" s="8">
        <v>152</v>
      </c>
      <c r="X157" s="8">
        <f>MIN((IFERROR(INDEX(其他调用!$W$5:$W$43,MATCH($W157,其他调用!$T$5:$T$43,1))*求节点($G$34:$G$42,$I$34:$I$42,求节点($Q$6:$Q$14,$O$6:$O$14,$W157)),0)+IFERROR(INDEX(其他调用!$X$5:$X$43,MATCH($W157,其他调用!$T$5:$T$43,1))*求节点($G$34:$G$42,$J$34:$J$42,求节点($R$6:$R$14,$O$6:$O$14,$W157)),0)+IFERROR(INDEX(其他调用!$Y$5:$Y$43,MATCH($W157,其他调用!$T$5:$T$43,1))*求节点($G$34:$G$42,$K$34:$K$42,求节点($S$6:$S$14,$O$6:$O$14,$W157)),0))/6,1)</f>
        <v>1</v>
      </c>
      <c r="Y157" s="8">
        <f>MIN((IFERROR(INDEX(其他调用!$W$50:$W$88,MATCH($W157,其他调用!$T$50:$T$88,1))*求节点($G$34:$G$42,$I$34:$I$42,求节点($Q$20:$Q$28,$O$20:$O$28,$W157)),0)+IFERROR(INDEX(其他调用!$X$50:$X$88,MATCH($W157,其他调用!$T$50:$T$88,1))*求节点($G$34:$G$42,$J$34:$J$42,求节点($R$20:$R$28,$O$20:$O$28,$W157)),0)+IFERROR(INDEX(其他调用!$Y$50:$Y$88,MATCH($W157,其他调用!$T$50:$T$88,1))*求节点($G$34:$G$42,$K$34:$K$42,求节点($S$20:$S$28,$O$20:$O$28,$W157)),0))/6,1)</f>
        <v>1</v>
      </c>
      <c r="Z157" s="8">
        <f>MIN((IFERROR(INDEX(其他调用!$W$95:$W$133,MATCH($W157,其他调用!$T$95:$T$133,1))*求节点($G$34:$G$42,$I$34:$I$42,求节点($Q$34:$Q$42,$O$34:$O$42,$W157)),0)+IFERROR(INDEX(其他调用!$X$95:$X$133,MATCH($W157,其他调用!$T$95:$T$133,1))*求节点($G$34:$G$42,$J$34:$J$42,求节点($R$34:$R$42,$O$34:$O$42,$W157)),0)+IFERROR(INDEX(其他调用!$Y$95:$Y$133,MATCH($W157,其他调用!$T$95:$T$133,1))*求节点($G$34:$G$42,$K$34:$K$42,求节点($S$34:$S$42,$O$34:$O$42,$W157)),0))/6,1)</f>
        <v>1</v>
      </c>
      <c r="AA157" s="8">
        <f>MIN((IFERROR(INDEX(其他调用!$W$140:$W$178,MATCH($W157,其他调用!$T$140:$T$178,1))*求节点($G$34:$G$42,$I$34:$I$42,求节点($Q$48:$Q$56,$O$48:$O$56,$W157)),0)+IFERROR(INDEX(其他调用!$X$140:$X$178,MATCH($W157,其他调用!$T$140:$T$178,1))*求节点($G$34:$G$42,$J$34:$J$42,求节点($R$48:$R$56,$O$48:$O$56,$W157)),0)+IFERROR(INDEX(其他调用!$Y$140:$Y$178,MATCH($W157,其他调用!$T$140:$T$178,1))*求节点($G$34:$G$42,$K$34:$K$42,求节点($S$48:$S$56,$O$48:$O$56,$W157)),0))/6,1)</f>
        <v>1</v>
      </c>
      <c r="AB157" s="8">
        <f>MIN((IFERROR(INDEX(其他调用!$W$185:$W$223,MATCH($W157,其他调用!$T$185:$T$223,1))*求节点($G$34:$G$42,$I$34:$I$42,求节点($Q$62:$Q$70,$O$62:$O$70,$W157)),0)+IFERROR(INDEX(其他调用!$X$185:$X$223,MATCH($W157,其他调用!$T$185:$T$223,1))*求节点($G$34:$G$42,$J$34:$J$42,求节点($R$62:$R$70,$O$62:$O$70,$W157)),0)+IFERROR(INDEX(其他调用!$Y$185:$Y$223,MATCH($W157,其他调用!$T$185:$T$223,1))*求节点($G$34:$G$42,$K$34:$K$42,求节点($S$62:$S$70,$O$62:$O$70,$W157)),0))/6,1)</f>
        <v>1</v>
      </c>
      <c r="AD157" s="8">
        <v>152</v>
      </c>
      <c r="AE157" s="8">
        <f>X157/士兵加成武将!W157</f>
        <v>1</v>
      </c>
      <c r="AF157" s="8">
        <f>Y157/士兵加成武将!X157</f>
        <v>1</v>
      </c>
      <c r="AG157" s="8">
        <f>Z157/士兵加成武将!Y157</f>
        <v>1</v>
      </c>
      <c r="AH157" s="8">
        <f>AA157/士兵加成武将!Z157</f>
        <v>1</v>
      </c>
      <c r="AI157" s="8">
        <f>AB157/士兵加成武将!AA157</f>
        <v>1</v>
      </c>
    </row>
    <row r="158" spans="23:35" x14ac:dyDescent="0.15">
      <c r="W158" s="8">
        <v>153</v>
      </c>
      <c r="X158" s="8">
        <f>MIN((IFERROR(INDEX(其他调用!$W$5:$W$43,MATCH($W158,其他调用!$T$5:$T$43,1))*求节点($G$34:$G$42,$I$34:$I$42,求节点($Q$6:$Q$14,$O$6:$O$14,$W158)),0)+IFERROR(INDEX(其他调用!$X$5:$X$43,MATCH($W158,其他调用!$T$5:$T$43,1))*求节点($G$34:$G$42,$J$34:$J$42,求节点($R$6:$R$14,$O$6:$O$14,$W158)),0)+IFERROR(INDEX(其他调用!$Y$5:$Y$43,MATCH($W158,其他调用!$T$5:$T$43,1))*求节点($G$34:$G$42,$K$34:$K$42,求节点($S$6:$S$14,$O$6:$O$14,$W158)),0))/6,1)</f>
        <v>1</v>
      </c>
      <c r="Y158" s="8">
        <f>MIN((IFERROR(INDEX(其他调用!$W$50:$W$88,MATCH($W158,其他调用!$T$50:$T$88,1))*求节点($G$34:$G$42,$I$34:$I$42,求节点($Q$20:$Q$28,$O$20:$O$28,$W158)),0)+IFERROR(INDEX(其他调用!$X$50:$X$88,MATCH($W158,其他调用!$T$50:$T$88,1))*求节点($G$34:$G$42,$J$34:$J$42,求节点($R$20:$R$28,$O$20:$O$28,$W158)),0)+IFERROR(INDEX(其他调用!$Y$50:$Y$88,MATCH($W158,其他调用!$T$50:$T$88,1))*求节点($G$34:$G$42,$K$34:$K$42,求节点($S$20:$S$28,$O$20:$O$28,$W158)),0))/6,1)</f>
        <v>1</v>
      </c>
      <c r="Z158" s="8">
        <f>MIN((IFERROR(INDEX(其他调用!$W$95:$W$133,MATCH($W158,其他调用!$T$95:$T$133,1))*求节点($G$34:$G$42,$I$34:$I$42,求节点($Q$34:$Q$42,$O$34:$O$42,$W158)),0)+IFERROR(INDEX(其他调用!$X$95:$X$133,MATCH($W158,其他调用!$T$95:$T$133,1))*求节点($G$34:$G$42,$J$34:$J$42,求节点($R$34:$R$42,$O$34:$O$42,$W158)),0)+IFERROR(INDEX(其他调用!$Y$95:$Y$133,MATCH($W158,其他调用!$T$95:$T$133,1))*求节点($G$34:$G$42,$K$34:$K$42,求节点($S$34:$S$42,$O$34:$O$42,$W158)),0))/6,1)</f>
        <v>1</v>
      </c>
      <c r="AA158" s="8">
        <f>MIN((IFERROR(INDEX(其他调用!$W$140:$W$178,MATCH($W158,其他调用!$T$140:$T$178,1))*求节点($G$34:$G$42,$I$34:$I$42,求节点($Q$48:$Q$56,$O$48:$O$56,$W158)),0)+IFERROR(INDEX(其他调用!$X$140:$X$178,MATCH($W158,其他调用!$T$140:$T$178,1))*求节点($G$34:$G$42,$J$34:$J$42,求节点($R$48:$R$56,$O$48:$O$56,$W158)),0)+IFERROR(INDEX(其他调用!$Y$140:$Y$178,MATCH($W158,其他调用!$T$140:$T$178,1))*求节点($G$34:$G$42,$K$34:$K$42,求节点($S$48:$S$56,$O$48:$O$56,$W158)),0))/6,1)</f>
        <v>1</v>
      </c>
      <c r="AB158" s="8">
        <f>MIN((IFERROR(INDEX(其他调用!$W$185:$W$223,MATCH($W158,其他调用!$T$185:$T$223,1))*求节点($G$34:$G$42,$I$34:$I$42,求节点($Q$62:$Q$70,$O$62:$O$70,$W158)),0)+IFERROR(INDEX(其他调用!$X$185:$X$223,MATCH($W158,其他调用!$T$185:$T$223,1))*求节点($G$34:$G$42,$J$34:$J$42,求节点($R$62:$R$70,$O$62:$O$70,$W158)),0)+IFERROR(INDEX(其他调用!$Y$185:$Y$223,MATCH($W158,其他调用!$T$185:$T$223,1))*求节点($G$34:$G$42,$K$34:$K$42,求节点($S$62:$S$70,$O$62:$O$70,$W158)),0))/6,1)</f>
        <v>1</v>
      </c>
      <c r="AD158" s="8">
        <v>153</v>
      </c>
      <c r="AE158" s="8">
        <f>X158/士兵加成武将!W158</f>
        <v>1</v>
      </c>
      <c r="AF158" s="8">
        <f>Y158/士兵加成武将!X158</f>
        <v>1</v>
      </c>
      <c r="AG158" s="8">
        <f>Z158/士兵加成武将!Y158</f>
        <v>1</v>
      </c>
      <c r="AH158" s="8">
        <f>AA158/士兵加成武将!Z158</f>
        <v>1</v>
      </c>
      <c r="AI158" s="8">
        <f>AB158/士兵加成武将!AA158</f>
        <v>1</v>
      </c>
    </row>
    <row r="159" spans="23:35" x14ac:dyDescent="0.15">
      <c r="W159" s="8">
        <v>154</v>
      </c>
      <c r="X159" s="8">
        <f>MIN((IFERROR(INDEX(其他调用!$W$5:$W$43,MATCH($W159,其他调用!$T$5:$T$43,1))*求节点($G$34:$G$42,$I$34:$I$42,求节点($Q$6:$Q$14,$O$6:$O$14,$W159)),0)+IFERROR(INDEX(其他调用!$X$5:$X$43,MATCH($W159,其他调用!$T$5:$T$43,1))*求节点($G$34:$G$42,$J$34:$J$42,求节点($R$6:$R$14,$O$6:$O$14,$W159)),0)+IFERROR(INDEX(其他调用!$Y$5:$Y$43,MATCH($W159,其他调用!$T$5:$T$43,1))*求节点($G$34:$G$42,$K$34:$K$42,求节点($S$6:$S$14,$O$6:$O$14,$W159)),0))/6,1)</f>
        <v>1</v>
      </c>
      <c r="Y159" s="8">
        <f>MIN((IFERROR(INDEX(其他调用!$W$50:$W$88,MATCH($W159,其他调用!$T$50:$T$88,1))*求节点($G$34:$G$42,$I$34:$I$42,求节点($Q$20:$Q$28,$O$20:$O$28,$W159)),0)+IFERROR(INDEX(其他调用!$X$50:$X$88,MATCH($W159,其他调用!$T$50:$T$88,1))*求节点($G$34:$G$42,$J$34:$J$42,求节点($R$20:$R$28,$O$20:$O$28,$W159)),0)+IFERROR(INDEX(其他调用!$Y$50:$Y$88,MATCH($W159,其他调用!$T$50:$T$88,1))*求节点($G$34:$G$42,$K$34:$K$42,求节点($S$20:$S$28,$O$20:$O$28,$W159)),0))/6,1)</f>
        <v>1</v>
      </c>
      <c r="Z159" s="8">
        <f>MIN((IFERROR(INDEX(其他调用!$W$95:$W$133,MATCH($W159,其他调用!$T$95:$T$133,1))*求节点($G$34:$G$42,$I$34:$I$42,求节点($Q$34:$Q$42,$O$34:$O$42,$W159)),0)+IFERROR(INDEX(其他调用!$X$95:$X$133,MATCH($W159,其他调用!$T$95:$T$133,1))*求节点($G$34:$G$42,$J$34:$J$42,求节点($R$34:$R$42,$O$34:$O$42,$W159)),0)+IFERROR(INDEX(其他调用!$Y$95:$Y$133,MATCH($W159,其他调用!$T$95:$T$133,1))*求节点($G$34:$G$42,$K$34:$K$42,求节点($S$34:$S$42,$O$34:$O$42,$W159)),0))/6,1)</f>
        <v>1</v>
      </c>
      <c r="AA159" s="8">
        <f>MIN((IFERROR(INDEX(其他调用!$W$140:$W$178,MATCH($W159,其他调用!$T$140:$T$178,1))*求节点($G$34:$G$42,$I$34:$I$42,求节点($Q$48:$Q$56,$O$48:$O$56,$W159)),0)+IFERROR(INDEX(其他调用!$X$140:$X$178,MATCH($W159,其他调用!$T$140:$T$178,1))*求节点($G$34:$G$42,$J$34:$J$42,求节点($R$48:$R$56,$O$48:$O$56,$W159)),0)+IFERROR(INDEX(其他调用!$Y$140:$Y$178,MATCH($W159,其他调用!$T$140:$T$178,1))*求节点($G$34:$G$42,$K$34:$K$42,求节点($S$48:$S$56,$O$48:$O$56,$W159)),0))/6,1)</f>
        <v>1</v>
      </c>
      <c r="AB159" s="8">
        <f>MIN((IFERROR(INDEX(其他调用!$W$185:$W$223,MATCH($W159,其他调用!$T$185:$T$223,1))*求节点($G$34:$G$42,$I$34:$I$42,求节点($Q$62:$Q$70,$O$62:$O$70,$W159)),0)+IFERROR(INDEX(其他调用!$X$185:$X$223,MATCH($W159,其他调用!$T$185:$T$223,1))*求节点($G$34:$G$42,$J$34:$J$42,求节点($R$62:$R$70,$O$62:$O$70,$W159)),0)+IFERROR(INDEX(其他调用!$Y$185:$Y$223,MATCH($W159,其他调用!$T$185:$T$223,1))*求节点($G$34:$G$42,$K$34:$K$42,求节点($S$62:$S$70,$O$62:$O$70,$W159)),0))/6,1)</f>
        <v>1</v>
      </c>
      <c r="AD159" s="8">
        <v>154</v>
      </c>
      <c r="AE159" s="8">
        <f>X159/士兵加成武将!W159</f>
        <v>1</v>
      </c>
      <c r="AF159" s="8">
        <f>Y159/士兵加成武将!X159</f>
        <v>1</v>
      </c>
      <c r="AG159" s="8">
        <f>Z159/士兵加成武将!Y159</f>
        <v>1</v>
      </c>
      <c r="AH159" s="8">
        <f>AA159/士兵加成武将!Z159</f>
        <v>1</v>
      </c>
      <c r="AI159" s="8">
        <f>AB159/士兵加成武将!AA159</f>
        <v>1</v>
      </c>
    </row>
    <row r="160" spans="23:35" x14ac:dyDescent="0.15">
      <c r="W160" s="8">
        <v>155</v>
      </c>
      <c r="X160" s="8">
        <f>MIN((IFERROR(INDEX(其他调用!$W$5:$W$43,MATCH($W160,其他调用!$T$5:$T$43,1))*求节点($G$34:$G$42,$I$34:$I$42,求节点($Q$6:$Q$14,$O$6:$O$14,$W160)),0)+IFERROR(INDEX(其他调用!$X$5:$X$43,MATCH($W160,其他调用!$T$5:$T$43,1))*求节点($G$34:$G$42,$J$34:$J$42,求节点($R$6:$R$14,$O$6:$O$14,$W160)),0)+IFERROR(INDEX(其他调用!$Y$5:$Y$43,MATCH($W160,其他调用!$T$5:$T$43,1))*求节点($G$34:$G$42,$K$34:$K$42,求节点($S$6:$S$14,$O$6:$O$14,$W160)),0))/6,1)</f>
        <v>1</v>
      </c>
      <c r="Y160" s="8">
        <f>MIN((IFERROR(INDEX(其他调用!$W$50:$W$88,MATCH($W160,其他调用!$T$50:$T$88,1))*求节点($G$34:$G$42,$I$34:$I$42,求节点($Q$20:$Q$28,$O$20:$O$28,$W160)),0)+IFERROR(INDEX(其他调用!$X$50:$X$88,MATCH($W160,其他调用!$T$50:$T$88,1))*求节点($G$34:$G$42,$J$34:$J$42,求节点($R$20:$R$28,$O$20:$O$28,$W160)),0)+IFERROR(INDEX(其他调用!$Y$50:$Y$88,MATCH($W160,其他调用!$T$50:$T$88,1))*求节点($G$34:$G$42,$K$34:$K$42,求节点($S$20:$S$28,$O$20:$O$28,$W160)),0))/6,1)</f>
        <v>1</v>
      </c>
      <c r="Z160" s="8">
        <f>MIN((IFERROR(INDEX(其他调用!$W$95:$W$133,MATCH($W160,其他调用!$T$95:$T$133,1))*求节点($G$34:$G$42,$I$34:$I$42,求节点($Q$34:$Q$42,$O$34:$O$42,$W160)),0)+IFERROR(INDEX(其他调用!$X$95:$X$133,MATCH($W160,其他调用!$T$95:$T$133,1))*求节点($G$34:$G$42,$J$34:$J$42,求节点($R$34:$R$42,$O$34:$O$42,$W160)),0)+IFERROR(INDEX(其他调用!$Y$95:$Y$133,MATCH($W160,其他调用!$T$95:$T$133,1))*求节点($G$34:$G$42,$K$34:$K$42,求节点($S$34:$S$42,$O$34:$O$42,$W160)),0))/6,1)</f>
        <v>1</v>
      </c>
      <c r="AA160" s="8">
        <f>MIN((IFERROR(INDEX(其他调用!$W$140:$W$178,MATCH($W160,其他调用!$T$140:$T$178,1))*求节点($G$34:$G$42,$I$34:$I$42,求节点($Q$48:$Q$56,$O$48:$O$56,$W160)),0)+IFERROR(INDEX(其他调用!$X$140:$X$178,MATCH($W160,其他调用!$T$140:$T$178,1))*求节点($G$34:$G$42,$J$34:$J$42,求节点($R$48:$R$56,$O$48:$O$56,$W160)),0)+IFERROR(INDEX(其他调用!$Y$140:$Y$178,MATCH($W160,其他调用!$T$140:$T$178,1))*求节点($G$34:$G$42,$K$34:$K$42,求节点($S$48:$S$56,$O$48:$O$56,$W160)),0))/6,1)</f>
        <v>1</v>
      </c>
      <c r="AB160" s="8">
        <f>MIN((IFERROR(INDEX(其他调用!$W$185:$W$223,MATCH($W160,其他调用!$T$185:$T$223,1))*求节点($G$34:$G$42,$I$34:$I$42,求节点($Q$62:$Q$70,$O$62:$O$70,$W160)),0)+IFERROR(INDEX(其他调用!$X$185:$X$223,MATCH($W160,其他调用!$T$185:$T$223,1))*求节点($G$34:$G$42,$J$34:$J$42,求节点($R$62:$R$70,$O$62:$O$70,$W160)),0)+IFERROR(INDEX(其他调用!$Y$185:$Y$223,MATCH($W160,其他调用!$T$185:$T$223,1))*求节点($G$34:$G$42,$K$34:$K$42,求节点($S$62:$S$70,$O$62:$O$70,$W160)),0))/6,1)</f>
        <v>1</v>
      </c>
      <c r="AD160" s="8">
        <v>155</v>
      </c>
      <c r="AE160" s="8">
        <f>X160/士兵加成武将!W160</f>
        <v>1</v>
      </c>
      <c r="AF160" s="8">
        <f>Y160/士兵加成武将!X160</f>
        <v>1</v>
      </c>
      <c r="AG160" s="8">
        <f>Z160/士兵加成武将!Y160</f>
        <v>1</v>
      </c>
      <c r="AH160" s="8">
        <f>AA160/士兵加成武将!Z160</f>
        <v>1</v>
      </c>
      <c r="AI160" s="8">
        <f>AB160/士兵加成武将!AA160</f>
        <v>1</v>
      </c>
    </row>
    <row r="161" spans="23:35" x14ac:dyDescent="0.15">
      <c r="W161" s="8">
        <v>156</v>
      </c>
      <c r="X161" s="8">
        <f>MIN((IFERROR(INDEX(其他调用!$W$5:$W$43,MATCH($W161,其他调用!$T$5:$T$43,1))*求节点($G$34:$G$42,$I$34:$I$42,求节点($Q$6:$Q$14,$O$6:$O$14,$W161)),0)+IFERROR(INDEX(其他调用!$X$5:$X$43,MATCH($W161,其他调用!$T$5:$T$43,1))*求节点($G$34:$G$42,$J$34:$J$42,求节点($R$6:$R$14,$O$6:$O$14,$W161)),0)+IFERROR(INDEX(其他调用!$Y$5:$Y$43,MATCH($W161,其他调用!$T$5:$T$43,1))*求节点($G$34:$G$42,$K$34:$K$42,求节点($S$6:$S$14,$O$6:$O$14,$W161)),0))/6,1)</f>
        <v>1</v>
      </c>
      <c r="Y161" s="8">
        <f>MIN((IFERROR(INDEX(其他调用!$W$50:$W$88,MATCH($W161,其他调用!$T$50:$T$88,1))*求节点($G$34:$G$42,$I$34:$I$42,求节点($Q$20:$Q$28,$O$20:$O$28,$W161)),0)+IFERROR(INDEX(其他调用!$X$50:$X$88,MATCH($W161,其他调用!$T$50:$T$88,1))*求节点($G$34:$G$42,$J$34:$J$42,求节点($R$20:$R$28,$O$20:$O$28,$W161)),0)+IFERROR(INDEX(其他调用!$Y$50:$Y$88,MATCH($W161,其他调用!$T$50:$T$88,1))*求节点($G$34:$G$42,$K$34:$K$42,求节点($S$20:$S$28,$O$20:$O$28,$W161)),0))/6,1)</f>
        <v>1</v>
      </c>
      <c r="Z161" s="8">
        <f>MIN((IFERROR(INDEX(其他调用!$W$95:$W$133,MATCH($W161,其他调用!$T$95:$T$133,1))*求节点($G$34:$G$42,$I$34:$I$42,求节点($Q$34:$Q$42,$O$34:$O$42,$W161)),0)+IFERROR(INDEX(其他调用!$X$95:$X$133,MATCH($W161,其他调用!$T$95:$T$133,1))*求节点($G$34:$G$42,$J$34:$J$42,求节点($R$34:$R$42,$O$34:$O$42,$W161)),0)+IFERROR(INDEX(其他调用!$Y$95:$Y$133,MATCH($W161,其他调用!$T$95:$T$133,1))*求节点($G$34:$G$42,$K$34:$K$42,求节点($S$34:$S$42,$O$34:$O$42,$W161)),0))/6,1)</f>
        <v>1</v>
      </c>
      <c r="AA161" s="8">
        <f>MIN((IFERROR(INDEX(其他调用!$W$140:$W$178,MATCH($W161,其他调用!$T$140:$T$178,1))*求节点($G$34:$G$42,$I$34:$I$42,求节点($Q$48:$Q$56,$O$48:$O$56,$W161)),0)+IFERROR(INDEX(其他调用!$X$140:$X$178,MATCH($W161,其他调用!$T$140:$T$178,1))*求节点($G$34:$G$42,$J$34:$J$42,求节点($R$48:$R$56,$O$48:$O$56,$W161)),0)+IFERROR(INDEX(其他调用!$Y$140:$Y$178,MATCH($W161,其他调用!$T$140:$T$178,1))*求节点($G$34:$G$42,$K$34:$K$42,求节点($S$48:$S$56,$O$48:$O$56,$W161)),0))/6,1)</f>
        <v>1</v>
      </c>
      <c r="AB161" s="8">
        <f>MIN((IFERROR(INDEX(其他调用!$W$185:$W$223,MATCH($W161,其他调用!$T$185:$T$223,1))*求节点($G$34:$G$42,$I$34:$I$42,求节点($Q$62:$Q$70,$O$62:$O$70,$W161)),0)+IFERROR(INDEX(其他调用!$X$185:$X$223,MATCH($W161,其他调用!$T$185:$T$223,1))*求节点($G$34:$G$42,$J$34:$J$42,求节点($R$62:$R$70,$O$62:$O$70,$W161)),0)+IFERROR(INDEX(其他调用!$Y$185:$Y$223,MATCH($W161,其他调用!$T$185:$T$223,1))*求节点($G$34:$G$42,$K$34:$K$42,求节点($S$62:$S$70,$O$62:$O$70,$W161)),0))/6,1)</f>
        <v>1</v>
      </c>
      <c r="AD161" s="8">
        <v>156</v>
      </c>
      <c r="AE161" s="8">
        <f>X161/士兵加成武将!W161</f>
        <v>1</v>
      </c>
      <c r="AF161" s="8">
        <f>Y161/士兵加成武将!X161</f>
        <v>1</v>
      </c>
      <c r="AG161" s="8">
        <f>Z161/士兵加成武将!Y161</f>
        <v>1</v>
      </c>
      <c r="AH161" s="8">
        <f>AA161/士兵加成武将!Z161</f>
        <v>1</v>
      </c>
      <c r="AI161" s="8">
        <f>AB161/士兵加成武将!AA161</f>
        <v>1</v>
      </c>
    </row>
    <row r="162" spans="23:35" x14ac:dyDescent="0.15">
      <c r="W162" s="8">
        <v>157</v>
      </c>
      <c r="X162" s="8">
        <f>MIN((IFERROR(INDEX(其他调用!$W$5:$W$43,MATCH($W162,其他调用!$T$5:$T$43,1))*求节点($G$34:$G$42,$I$34:$I$42,求节点($Q$6:$Q$14,$O$6:$O$14,$W162)),0)+IFERROR(INDEX(其他调用!$X$5:$X$43,MATCH($W162,其他调用!$T$5:$T$43,1))*求节点($G$34:$G$42,$J$34:$J$42,求节点($R$6:$R$14,$O$6:$O$14,$W162)),0)+IFERROR(INDEX(其他调用!$Y$5:$Y$43,MATCH($W162,其他调用!$T$5:$T$43,1))*求节点($G$34:$G$42,$K$34:$K$42,求节点($S$6:$S$14,$O$6:$O$14,$W162)),0))/6,1)</f>
        <v>1</v>
      </c>
      <c r="Y162" s="8">
        <f>MIN((IFERROR(INDEX(其他调用!$W$50:$W$88,MATCH($W162,其他调用!$T$50:$T$88,1))*求节点($G$34:$G$42,$I$34:$I$42,求节点($Q$20:$Q$28,$O$20:$O$28,$W162)),0)+IFERROR(INDEX(其他调用!$X$50:$X$88,MATCH($W162,其他调用!$T$50:$T$88,1))*求节点($G$34:$G$42,$J$34:$J$42,求节点($R$20:$R$28,$O$20:$O$28,$W162)),0)+IFERROR(INDEX(其他调用!$Y$50:$Y$88,MATCH($W162,其他调用!$T$50:$T$88,1))*求节点($G$34:$G$42,$K$34:$K$42,求节点($S$20:$S$28,$O$20:$O$28,$W162)),0))/6,1)</f>
        <v>1</v>
      </c>
      <c r="Z162" s="8">
        <f>MIN((IFERROR(INDEX(其他调用!$W$95:$W$133,MATCH($W162,其他调用!$T$95:$T$133,1))*求节点($G$34:$G$42,$I$34:$I$42,求节点($Q$34:$Q$42,$O$34:$O$42,$W162)),0)+IFERROR(INDEX(其他调用!$X$95:$X$133,MATCH($W162,其他调用!$T$95:$T$133,1))*求节点($G$34:$G$42,$J$34:$J$42,求节点($R$34:$R$42,$O$34:$O$42,$W162)),0)+IFERROR(INDEX(其他调用!$Y$95:$Y$133,MATCH($W162,其他调用!$T$95:$T$133,1))*求节点($G$34:$G$42,$K$34:$K$42,求节点($S$34:$S$42,$O$34:$O$42,$W162)),0))/6,1)</f>
        <v>1</v>
      </c>
      <c r="AA162" s="8">
        <f>MIN((IFERROR(INDEX(其他调用!$W$140:$W$178,MATCH($W162,其他调用!$T$140:$T$178,1))*求节点($G$34:$G$42,$I$34:$I$42,求节点($Q$48:$Q$56,$O$48:$O$56,$W162)),0)+IFERROR(INDEX(其他调用!$X$140:$X$178,MATCH($W162,其他调用!$T$140:$T$178,1))*求节点($G$34:$G$42,$J$34:$J$42,求节点($R$48:$R$56,$O$48:$O$56,$W162)),0)+IFERROR(INDEX(其他调用!$Y$140:$Y$178,MATCH($W162,其他调用!$T$140:$T$178,1))*求节点($G$34:$G$42,$K$34:$K$42,求节点($S$48:$S$56,$O$48:$O$56,$W162)),0))/6,1)</f>
        <v>1</v>
      </c>
      <c r="AB162" s="8">
        <f>MIN((IFERROR(INDEX(其他调用!$W$185:$W$223,MATCH($W162,其他调用!$T$185:$T$223,1))*求节点($G$34:$G$42,$I$34:$I$42,求节点($Q$62:$Q$70,$O$62:$O$70,$W162)),0)+IFERROR(INDEX(其他调用!$X$185:$X$223,MATCH($W162,其他调用!$T$185:$T$223,1))*求节点($G$34:$G$42,$J$34:$J$42,求节点($R$62:$R$70,$O$62:$O$70,$W162)),0)+IFERROR(INDEX(其他调用!$Y$185:$Y$223,MATCH($W162,其他调用!$T$185:$T$223,1))*求节点($G$34:$G$42,$K$34:$K$42,求节点($S$62:$S$70,$O$62:$O$70,$W162)),0))/6,1)</f>
        <v>1</v>
      </c>
      <c r="AD162" s="8">
        <v>157</v>
      </c>
      <c r="AE162" s="8">
        <f>X162/士兵加成武将!W162</f>
        <v>1</v>
      </c>
      <c r="AF162" s="8">
        <f>Y162/士兵加成武将!X162</f>
        <v>1</v>
      </c>
      <c r="AG162" s="8">
        <f>Z162/士兵加成武将!Y162</f>
        <v>1</v>
      </c>
      <c r="AH162" s="8">
        <f>AA162/士兵加成武将!Z162</f>
        <v>1</v>
      </c>
      <c r="AI162" s="8">
        <f>AB162/士兵加成武将!AA162</f>
        <v>1</v>
      </c>
    </row>
    <row r="163" spans="23:35" x14ac:dyDescent="0.15">
      <c r="W163" s="8">
        <v>158</v>
      </c>
      <c r="X163" s="8">
        <f>MIN((IFERROR(INDEX(其他调用!$W$5:$W$43,MATCH($W163,其他调用!$T$5:$T$43,1))*求节点($G$34:$G$42,$I$34:$I$42,求节点($Q$6:$Q$14,$O$6:$O$14,$W163)),0)+IFERROR(INDEX(其他调用!$X$5:$X$43,MATCH($W163,其他调用!$T$5:$T$43,1))*求节点($G$34:$G$42,$J$34:$J$42,求节点($R$6:$R$14,$O$6:$O$14,$W163)),0)+IFERROR(INDEX(其他调用!$Y$5:$Y$43,MATCH($W163,其他调用!$T$5:$T$43,1))*求节点($G$34:$G$42,$K$34:$K$42,求节点($S$6:$S$14,$O$6:$O$14,$W163)),0))/6,1)</f>
        <v>1</v>
      </c>
      <c r="Y163" s="8">
        <f>MIN((IFERROR(INDEX(其他调用!$W$50:$W$88,MATCH($W163,其他调用!$T$50:$T$88,1))*求节点($G$34:$G$42,$I$34:$I$42,求节点($Q$20:$Q$28,$O$20:$O$28,$W163)),0)+IFERROR(INDEX(其他调用!$X$50:$X$88,MATCH($W163,其他调用!$T$50:$T$88,1))*求节点($G$34:$G$42,$J$34:$J$42,求节点($R$20:$R$28,$O$20:$O$28,$W163)),0)+IFERROR(INDEX(其他调用!$Y$50:$Y$88,MATCH($W163,其他调用!$T$50:$T$88,1))*求节点($G$34:$G$42,$K$34:$K$42,求节点($S$20:$S$28,$O$20:$O$28,$W163)),0))/6,1)</f>
        <v>1</v>
      </c>
      <c r="Z163" s="8">
        <f>MIN((IFERROR(INDEX(其他调用!$W$95:$W$133,MATCH($W163,其他调用!$T$95:$T$133,1))*求节点($G$34:$G$42,$I$34:$I$42,求节点($Q$34:$Q$42,$O$34:$O$42,$W163)),0)+IFERROR(INDEX(其他调用!$X$95:$X$133,MATCH($W163,其他调用!$T$95:$T$133,1))*求节点($G$34:$G$42,$J$34:$J$42,求节点($R$34:$R$42,$O$34:$O$42,$W163)),0)+IFERROR(INDEX(其他调用!$Y$95:$Y$133,MATCH($W163,其他调用!$T$95:$T$133,1))*求节点($G$34:$G$42,$K$34:$K$42,求节点($S$34:$S$42,$O$34:$O$42,$W163)),0))/6,1)</f>
        <v>1</v>
      </c>
      <c r="AA163" s="8">
        <f>MIN((IFERROR(INDEX(其他调用!$W$140:$W$178,MATCH($W163,其他调用!$T$140:$T$178,1))*求节点($G$34:$G$42,$I$34:$I$42,求节点($Q$48:$Q$56,$O$48:$O$56,$W163)),0)+IFERROR(INDEX(其他调用!$X$140:$X$178,MATCH($W163,其他调用!$T$140:$T$178,1))*求节点($G$34:$G$42,$J$34:$J$42,求节点($R$48:$R$56,$O$48:$O$56,$W163)),0)+IFERROR(INDEX(其他调用!$Y$140:$Y$178,MATCH($W163,其他调用!$T$140:$T$178,1))*求节点($G$34:$G$42,$K$34:$K$42,求节点($S$48:$S$56,$O$48:$O$56,$W163)),0))/6,1)</f>
        <v>1</v>
      </c>
      <c r="AB163" s="8">
        <f>MIN((IFERROR(INDEX(其他调用!$W$185:$W$223,MATCH($W163,其他调用!$T$185:$T$223,1))*求节点($G$34:$G$42,$I$34:$I$42,求节点($Q$62:$Q$70,$O$62:$O$70,$W163)),0)+IFERROR(INDEX(其他调用!$X$185:$X$223,MATCH($W163,其他调用!$T$185:$T$223,1))*求节点($G$34:$G$42,$J$34:$J$42,求节点($R$62:$R$70,$O$62:$O$70,$W163)),0)+IFERROR(INDEX(其他调用!$Y$185:$Y$223,MATCH($W163,其他调用!$T$185:$T$223,1))*求节点($G$34:$G$42,$K$34:$K$42,求节点($S$62:$S$70,$O$62:$O$70,$W163)),0))/6,1)</f>
        <v>1</v>
      </c>
      <c r="AD163" s="8">
        <v>158</v>
      </c>
      <c r="AE163" s="8">
        <f>X163/士兵加成武将!W163</f>
        <v>1</v>
      </c>
      <c r="AF163" s="8">
        <f>Y163/士兵加成武将!X163</f>
        <v>1</v>
      </c>
      <c r="AG163" s="8">
        <f>Z163/士兵加成武将!Y163</f>
        <v>1</v>
      </c>
      <c r="AH163" s="8">
        <f>AA163/士兵加成武将!Z163</f>
        <v>1</v>
      </c>
      <c r="AI163" s="8">
        <f>AB163/士兵加成武将!AA163</f>
        <v>1</v>
      </c>
    </row>
    <row r="164" spans="23:35" x14ac:dyDescent="0.15">
      <c r="W164" s="8">
        <v>159</v>
      </c>
      <c r="X164" s="8">
        <f>MIN((IFERROR(INDEX(其他调用!$W$5:$W$43,MATCH($W164,其他调用!$T$5:$T$43,1))*求节点($G$34:$G$42,$I$34:$I$42,求节点($Q$6:$Q$14,$O$6:$O$14,$W164)),0)+IFERROR(INDEX(其他调用!$X$5:$X$43,MATCH($W164,其他调用!$T$5:$T$43,1))*求节点($G$34:$G$42,$J$34:$J$42,求节点($R$6:$R$14,$O$6:$O$14,$W164)),0)+IFERROR(INDEX(其他调用!$Y$5:$Y$43,MATCH($W164,其他调用!$T$5:$T$43,1))*求节点($G$34:$G$42,$K$34:$K$42,求节点($S$6:$S$14,$O$6:$O$14,$W164)),0))/6,1)</f>
        <v>1</v>
      </c>
      <c r="Y164" s="8">
        <f>MIN((IFERROR(INDEX(其他调用!$W$50:$W$88,MATCH($W164,其他调用!$T$50:$T$88,1))*求节点($G$34:$G$42,$I$34:$I$42,求节点($Q$20:$Q$28,$O$20:$O$28,$W164)),0)+IFERROR(INDEX(其他调用!$X$50:$X$88,MATCH($W164,其他调用!$T$50:$T$88,1))*求节点($G$34:$G$42,$J$34:$J$42,求节点($R$20:$R$28,$O$20:$O$28,$W164)),0)+IFERROR(INDEX(其他调用!$Y$50:$Y$88,MATCH($W164,其他调用!$T$50:$T$88,1))*求节点($G$34:$G$42,$K$34:$K$42,求节点($S$20:$S$28,$O$20:$O$28,$W164)),0))/6,1)</f>
        <v>1</v>
      </c>
      <c r="Z164" s="8">
        <f>MIN((IFERROR(INDEX(其他调用!$W$95:$W$133,MATCH($W164,其他调用!$T$95:$T$133,1))*求节点($G$34:$G$42,$I$34:$I$42,求节点($Q$34:$Q$42,$O$34:$O$42,$W164)),0)+IFERROR(INDEX(其他调用!$X$95:$X$133,MATCH($W164,其他调用!$T$95:$T$133,1))*求节点($G$34:$G$42,$J$34:$J$42,求节点($R$34:$R$42,$O$34:$O$42,$W164)),0)+IFERROR(INDEX(其他调用!$Y$95:$Y$133,MATCH($W164,其他调用!$T$95:$T$133,1))*求节点($G$34:$G$42,$K$34:$K$42,求节点($S$34:$S$42,$O$34:$O$42,$W164)),0))/6,1)</f>
        <v>1</v>
      </c>
      <c r="AA164" s="8">
        <f>MIN((IFERROR(INDEX(其他调用!$W$140:$W$178,MATCH($W164,其他调用!$T$140:$T$178,1))*求节点($G$34:$G$42,$I$34:$I$42,求节点($Q$48:$Q$56,$O$48:$O$56,$W164)),0)+IFERROR(INDEX(其他调用!$X$140:$X$178,MATCH($W164,其他调用!$T$140:$T$178,1))*求节点($G$34:$G$42,$J$34:$J$42,求节点($R$48:$R$56,$O$48:$O$56,$W164)),0)+IFERROR(INDEX(其他调用!$Y$140:$Y$178,MATCH($W164,其他调用!$T$140:$T$178,1))*求节点($G$34:$G$42,$K$34:$K$42,求节点($S$48:$S$56,$O$48:$O$56,$W164)),0))/6,1)</f>
        <v>1</v>
      </c>
      <c r="AB164" s="8">
        <f>MIN((IFERROR(INDEX(其他调用!$W$185:$W$223,MATCH($W164,其他调用!$T$185:$T$223,1))*求节点($G$34:$G$42,$I$34:$I$42,求节点($Q$62:$Q$70,$O$62:$O$70,$W164)),0)+IFERROR(INDEX(其他调用!$X$185:$X$223,MATCH($W164,其他调用!$T$185:$T$223,1))*求节点($G$34:$G$42,$J$34:$J$42,求节点($R$62:$R$70,$O$62:$O$70,$W164)),0)+IFERROR(INDEX(其他调用!$Y$185:$Y$223,MATCH($W164,其他调用!$T$185:$T$223,1))*求节点($G$34:$G$42,$K$34:$K$42,求节点($S$62:$S$70,$O$62:$O$70,$W164)),0))/6,1)</f>
        <v>1</v>
      </c>
      <c r="AD164" s="8">
        <v>159</v>
      </c>
      <c r="AE164" s="8">
        <f>X164/士兵加成武将!W164</f>
        <v>1</v>
      </c>
      <c r="AF164" s="8">
        <f>Y164/士兵加成武将!X164</f>
        <v>1</v>
      </c>
      <c r="AG164" s="8">
        <f>Z164/士兵加成武将!Y164</f>
        <v>1</v>
      </c>
      <c r="AH164" s="8">
        <f>AA164/士兵加成武将!Z164</f>
        <v>1</v>
      </c>
      <c r="AI164" s="8">
        <f>AB164/士兵加成武将!AA164</f>
        <v>1</v>
      </c>
    </row>
    <row r="165" spans="23:35" x14ac:dyDescent="0.15">
      <c r="W165" s="8">
        <v>160</v>
      </c>
      <c r="X165" s="8">
        <f>MIN((IFERROR(INDEX(其他调用!$W$5:$W$43,MATCH($W165,其他调用!$T$5:$T$43,1))*求节点($G$34:$G$42,$I$34:$I$42,求节点($Q$6:$Q$14,$O$6:$O$14,$W165)),0)+IFERROR(INDEX(其他调用!$X$5:$X$43,MATCH($W165,其他调用!$T$5:$T$43,1))*求节点($G$34:$G$42,$J$34:$J$42,求节点($R$6:$R$14,$O$6:$O$14,$W165)),0)+IFERROR(INDEX(其他调用!$Y$5:$Y$43,MATCH($W165,其他调用!$T$5:$T$43,1))*求节点($G$34:$G$42,$K$34:$K$42,求节点($S$6:$S$14,$O$6:$O$14,$W165)),0))/6,1)</f>
        <v>1</v>
      </c>
      <c r="Y165" s="8">
        <f>MIN((IFERROR(INDEX(其他调用!$W$50:$W$88,MATCH($W165,其他调用!$T$50:$T$88,1))*求节点($G$34:$G$42,$I$34:$I$42,求节点($Q$20:$Q$28,$O$20:$O$28,$W165)),0)+IFERROR(INDEX(其他调用!$X$50:$X$88,MATCH($W165,其他调用!$T$50:$T$88,1))*求节点($G$34:$G$42,$J$34:$J$42,求节点($R$20:$R$28,$O$20:$O$28,$W165)),0)+IFERROR(INDEX(其他调用!$Y$50:$Y$88,MATCH($W165,其他调用!$T$50:$T$88,1))*求节点($G$34:$G$42,$K$34:$K$42,求节点($S$20:$S$28,$O$20:$O$28,$W165)),0))/6,1)</f>
        <v>1</v>
      </c>
      <c r="Z165" s="8">
        <f>MIN((IFERROR(INDEX(其他调用!$W$95:$W$133,MATCH($W165,其他调用!$T$95:$T$133,1))*求节点($G$34:$G$42,$I$34:$I$42,求节点($Q$34:$Q$42,$O$34:$O$42,$W165)),0)+IFERROR(INDEX(其他调用!$X$95:$X$133,MATCH($W165,其他调用!$T$95:$T$133,1))*求节点($G$34:$G$42,$J$34:$J$42,求节点($R$34:$R$42,$O$34:$O$42,$W165)),0)+IFERROR(INDEX(其他调用!$Y$95:$Y$133,MATCH($W165,其他调用!$T$95:$T$133,1))*求节点($G$34:$G$42,$K$34:$K$42,求节点($S$34:$S$42,$O$34:$O$42,$W165)),0))/6,1)</f>
        <v>1</v>
      </c>
      <c r="AA165" s="8">
        <f>MIN((IFERROR(INDEX(其他调用!$W$140:$W$178,MATCH($W165,其他调用!$T$140:$T$178,1))*求节点($G$34:$G$42,$I$34:$I$42,求节点($Q$48:$Q$56,$O$48:$O$56,$W165)),0)+IFERROR(INDEX(其他调用!$X$140:$X$178,MATCH($W165,其他调用!$T$140:$T$178,1))*求节点($G$34:$G$42,$J$34:$J$42,求节点($R$48:$R$56,$O$48:$O$56,$W165)),0)+IFERROR(INDEX(其他调用!$Y$140:$Y$178,MATCH($W165,其他调用!$T$140:$T$178,1))*求节点($G$34:$G$42,$K$34:$K$42,求节点($S$48:$S$56,$O$48:$O$56,$W165)),0))/6,1)</f>
        <v>1</v>
      </c>
      <c r="AB165" s="8">
        <f>MIN((IFERROR(INDEX(其他调用!$W$185:$W$223,MATCH($W165,其他调用!$T$185:$T$223,1))*求节点($G$34:$G$42,$I$34:$I$42,求节点($Q$62:$Q$70,$O$62:$O$70,$W165)),0)+IFERROR(INDEX(其他调用!$X$185:$X$223,MATCH($W165,其他调用!$T$185:$T$223,1))*求节点($G$34:$G$42,$J$34:$J$42,求节点($R$62:$R$70,$O$62:$O$70,$W165)),0)+IFERROR(INDEX(其他调用!$Y$185:$Y$223,MATCH($W165,其他调用!$T$185:$T$223,1))*求节点($G$34:$G$42,$K$34:$K$42,求节点($S$62:$S$70,$O$62:$O$70,$W165)),0))/6,1)</f>
        <v>1</v>
      </c>
      <c r="AD165" s="8">
        <v>160</v>
      </c>
      <c r="AE165" s="8">
        <f>X165/士兵加成武将!W165</f>
        <v>1</v>
      </c>
      <c r="AF165" s="8">
        <f>Y165/士兵加成武将!X165</f>
        <v>1</v>
      </c>
      <c r="AG165" s="8">
        <f>Z165/士兵加成武将!Y165</f>
        <v>1</v>
      </c>
      <c r="AH165" s="8">
        <f>AA165/士兵加成武将!Z165</f>
        <v>1</v>
      </c>
      <c r="AI165" s="8">
        <f>AB165/士兵加成武将!AA165</f>
        <v>1</v>
      </c>
    </row>
  </sheetData>
  <mergeCells count="10">
    <mergeCell ref="AE4:AI4"/>
    <mergeCell ref="P46:T46"/>
    <mergeCell ref="P60:T60"/>
    <mergeCell ref="H4:L4"/>
    <mergeCell ref="H18:L18"/>
    <mergeCell ref="H32:L32"/>
    <mergeCell ref="X4:AB4"/>
    <mergeCell ref="P4:T4"/>
    <mergeCell ref="P18:T18"/>
    <mergeCell ref="P32:T3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298B-FA93-4CF8-9B2F-A14FC96A8413}">
  <dimension ref="C3:AA165"/>
  <sheetViews>
    <sheetView workbookViewId="0">
      <selection activeCell="K10" sqref="K10"/>
    </sheetView>
  </sheetViews>
  <sheetFormatPr defaultRowHeight="11.25" x14ac:dyDescent="0.15"/>
  <cols>
    <col min="1" max="2" width="6.625" style="8" customWidth="1"/>
    <col min="3" max="3" width="9" style="8"/>
    <col min="4" max="8" width="3.75" style="8" bestFit="1" customWidth="1"/>
    <col min="9" max="10" width="10.5" style="8" bestFit="1" customWidth="1"/>
    <col min="11" max="11" width="9" style="8"/>
    <col min="12" max="13" width="6.625" style="8" customWidth="1"/>
    <col min="14" max="19" width="9" style="8"/>
    <col min="20" max="21" width="6.625" style="8" customWidth="1"/>
    <col min="22" max="16384" width="9" style="8"/>
  </cols>
  <sheetData>
    <row r="3" spans="3:27" x14ac:dyDescent="0.15">
      <c r="K3" s="11"/>
      <c r="L3" s="11"/>
      <c r="M3" s="11"/>
      <c r="N3" s="11"/>
      <c r="O3" s="11"/>
    </row>
    <row r="4" spans="3:27" x14ac:dyDescent="0.15">
      <c r="D4" s="19" t="s">
        <v>52</v>
      </c>
      <c r="E4" s="19"/>
      <c r="F4" s="19"/>
      <c r="G4" s="19"/>
      <c r="H4" s="19"/>
      <c r="I4" s="11"/>
      <c r="J4" s="11"/>
      <c r="K4" s="9"/>
      <c r="L4" s="9"/>
      <c r="M4" s="9"/>
      <c r="O4" s="19" t="s">
        <v>48</v>
      </c>
      <c r="P4" s="19"/>
      <c r="Q4" s="19"/>
      <c r="R4" s="19"/>
      <c r="S4" s="19"/>
      <c r="W4" s="19" t="s">
        <v>50</v>
      </c>
      <c r="X4" s="19"/>
      <c r="Y4" s="19"/>
      <c r="Z4" s="19"/>
      <c r="AA4" s="19"/>
    </row>
    <row r="5" spans="3:27" x14ac:dyDescent="0.15">
      <c r="C5" s="8" t="s">
        <v>34</v>
      </c>
      <c r="D5" s="8" t="s">
        <v>0</v>
      </c>
      <c r="E5" s="8" t="s">
        <v>1</v>
      </c>
      <c r="F5" s="8" t="s">
        <v>2</v>
      </c>
      <c r="G5" s="8" t="s">
        <v>3</v>
      </c>
      <c r="H5" s="8" t="s">
        <v>4</v>
      </c>
      <c r="I5" s="9" t="s">
        <v>44</v>
      </c>
      <c r="J5" s="9" t="s">
        <v>46</v>
      </c>
      <c r="K5" s="8" t="s">
        <v>47</v>
      </c>
      <c r="N5" s="8" t="s">
        <v>34</v>
      </c>
      <c r="O5" s="9">
        <v>0.2</v>
      </c>
      <c r="P5" s="9">
        <v>0.4</v>
      </c>
      <c r="Q5" s="9">
        <v>0.6</v>
      </c>
      <c r="R5" s="9">
        <v>0.8</v>
      </c>
      <c r="S5" s="9">
        <v>1</v>
      </c>
      <c r="V5" s="8" t="s">
        <v>49</v>
      </c>
      <c r="W5" s="8" t="s">
        <v>0</v>
      </c>
      <c r="X5" s="8" t="s">
        <v>1</v>
      </c>
      <c r="Y5" s="8" t="s">
        <v>2</v>
      </c>
      <c r="Z5" s="8" t="s">
        <v>3</v>
      </c>
      <c r="AA5" s="8" t="s">
        <v>4</v>
      </c>
    </row>
    <row r="6" spans="3:27" x14ac:dyDescent="0.15">
      <c r="C6" s="8">
        <v>1</v>
      </c>
      <c r="D6" s="8">
        <f>[4]士兵阶位属性!E5</f>
        <v>0</v>
      </c>
      <c r="E6" s="8">
        <f>[4]士兵阶位属性!F5</f>
        <v>0</v>
      </c>
      <c r="F6" s="8">
        <f>[4]士兵阶位属性!G5</f>
        <v>0</v>
      </c>
      <c r="G6" s="8">
        <f>[4]士兵阶位属性!H5</f>
        <v>0</v>
      </c>
      <c r="H6" s="8">
        <f>[4]士兵阶位属性!I5</f>
        <v>0</v>
      </c>
      <c r="I6" s="8">
        <f>[4]士兵阶位属性!H20</f>
        <v>24</v>
      </c>
      <c r="J6" s="10">
        <f>I6/$I$11</f>
        <v>7.2727272727272724E-2</v>
      </c>
      <c r="K6" s="10">
        <v>0.05</v>
      </c>
      <c r="N6" s="8">
        <v>1</v>
      </c>
      <c r="O6" s="10">
        <f>$K6*O$5</f>
        <v>1.0000000000000002E-2</v>
      </c>
      <c r="P6" s="10">
        <f t="shared" ref="P6:S11" si="0">$K6*P$5</f>
        <v>2.0000000000000004E-2</v>
      </c>
      <c r="Q6" s="10">
        <f t="shared" si="0"/>
        <v>0.03</v>
      </c>
      <c r="R6" s="10">
        <f t="shared" si="0"/>
        <v>4.0000000000000008E-2</v>
      </c>
      <c r="S6" s="10">
        <f t="shared" si="0"/>
        <v>0.05</v>
      </c>
      <c r="V6" s="8">
        <v>1</v>
      </c>
      <c r="W6" s="10">
        <f>MIN(求节点(D$6:D$11,$S$6:$S$11,$V6),1)</f>
        <v>5.5486564354441104E-2</v>
      </c>
      <c r="X6" s="10">
        <f t="shared" ref="X6:AA6" si="1">MIN(求节点(E$6:E$11,$S$6:$S$11,$V6),1)</f>
        <v>5.5740207183564497E-2</v>
      </c>
      <c r="Y6" s="10">
        <f t="shared" si="1"/>
        <v>5.6040981439106713E-2</v>
      </c>
      <c r="Z6" s="10">
        <f t="shared" si="1"/>
        <v>5.6414521273236831E-2</v>
      </c>
      <c r="AA6" s="10">
        <f t="shared" si="1"/>
        <v>5.6815848618439205E-2</v>
      </c>
    </row>
    <row r="7" spans="3:27" x14ac:dyDescent="0.15">
      <c r="C7" s="8">
        <v>2</v>
      </c>
      <c r="D7" s="8">
        <f>[4]士兵阶位属性!E6</f>
        <v>18.226342304552581</v>
      </c>
      <c r="E7" s="8">
        <f>[4]士兵阶位属性!F6</f>
        <v>17.420973982667814</v>
      </c>
      <c r="F7" s="8">
        <f>[4]士兵阶位属性!G6</f>
        <v>16.55360159735687</v>
      </c>
      <c r="G7" s="8">
        <f>[4]士兵阶位属性!H6</f>
        <v>15.589627930182091</v>
      </c>
      <c r="H7" s="8">
        <f>[4]士兵阶位属性!I6</f>
        <v>14.671687356650759</v>
      </c>
      <c r="I7" s="8">
        <f>[4]士兵阶位属性!H21</f>
        <v>33</v>
      </c>
      <c r="J7" s="10">
        <f t="shared" ref="J7:J11" si="2">I7/$I$11</f>
        <v>0.1</v>
      </c>
      <c r="K7" s="10">
        <v>0.15</v>
      </c>
      <c r="N7" s="8">
        <v>2</v>
      </c>
      <c r="O7" s="10">
        <f t="shared" ref="O7:O11" si="3">$K7*O$5</f>
        <v>0.03</v>
      </c>
      <c r="P7" s="10">
        <f t="shared" si="0"/>
        <v>0.06</v>
      </c>
      <c r="Q7" s="10">
        <f t="shared" si="0"/>
        <v>0.09</v>
      </c>
      <c r="R7" s="10">
        <f t="shared" si="0"/>
        <v>0.12</v>
      </c>
      <c r="S7" s="10">
        <f t="shared" si="0"/>
        <v>0.15</v>
      </c>
      <c r="V7" s="8">
        <v>2</v>
      </c>
      <c r="W7" s="10">
        <f t="shared" ref="W7:W70" si="4">MIN(求节点(D$6:D$11,$S$6:$S$11,$V7),1)</f>
        <v>6.0973128708882197E-2</v>
      </c>
      <c r="X7" s="10">
        <f t="shared" ref="X7:X70" si="5">MIN(求节点(E$6:E$11,$S$6:$S$11,$V7),1)</f>
        <v>6.1480414367128998E-2</v>
      </c>
      <c r="Y7" s="10">
        <f t="shared" ref="Y7:Y70" si="6">MIN(求节点(F$6:F$11,$S$6:$S$11,$V7),1)</f>
        <v>6.2081962878213416E-2</v>
      </c>
      <c r="Z7" s="10">
        <f t="shared" ref="Z7:Z70" si="7">MIN(求节点(G$6:G$11,$S$6:$S$11,$V7),1)</f>
        <v>6.2829042546473646E-2</v>
      </c>
      <c r="AA7" s="10">
        <f t="shared" ref="AA7:AA70" si="8">MIN(求节点(H$6:H$11,$S$6:$S$11,$V7),1)</f>
        <v>6.3631697236878407E-2</v>
      </c>
    </row>
    <row r="8" spans="3:27" x14ac:dyDescent="0.15">
      <c r="C8" s="8">
        <v>3</v>
      </c>
      <c r="D8" s="8">
        <f>[4]士兵阶位属性!E7</f>
        <v>44.207309026381338</v>
      </c>
      <c r="E8" s="8">
        <f>[4]士兵阶位属性!F7</f>
        <v>43.001962251090099</v>
      </c>
      <c r="F8" s="8">
        <f>[4]士兵阶位属性!G7</f>
        <v>41.684581461949612</v>
      </c>
      <c r="G8" s="8">
        <f>[4]士兵阶位属性!H7</f>
        <v>40.269613788949812</v>
      </c>
      <c r="H8" s="8">
        <f>[4]士兵阶位属性!I7</f>
        <v>38.716188571600512</v>
      </c>
      <c r="I8" s="8">
        <f>[4]士兵阶位属性!H22</f>
        <v>52</v>
      </c>
      <c r="J8" s="10">
        <f t="shared" si="2"/>
        <v>0.15757575757575756</v>
      </c>
      <c r="K8" s="10">
        <v>0.3</v>
      </c>
      <c r="N8" s="8">
        <v>3</v>
      </c>
      <c r="O8" s="10">
        <f t="shared" si="3"/>
        <v>0.06</v>
      </c>
      <c r="P8" s="10">
        <f t="shared" si="0"/>
        <v>0.12</v>
      </c>
      <c r="Q8" s="10">
        <f t="shared" si="0"/>
        <v>0.18</v>
      </c>
      <c r="R8" s="10">
        <f t="shared" si="0"/>
        <v>0.24</v>
      </c>
      <c r="S8" s="10">
        <f t="shared" si="0"/>
        <v>0.3</v>
      </c>
      <c r="V8" s="8">
        <v>3</v>
      </c>
      <c r="W8" s="10">
        <f t="shared" si="4"/>
        <v>6.6459693063323291E-2</v>
      </c>
      <c r="X8" s="10">
        <f t="shared" si="5"/>
        <v>6.7220621550693499E-2</v>
      </c>
      <c r="Y8" s="10">
        <f t="shared" si="6"/>
        <v>6.8122944317320133E-2</v>
      </c>
      <c r="Z8" s="10">
        <f t="shared" si="7"/>
        <v>6.9243563819710474E-2</v>
      </c>
      <c r="AA8" s="10">
        <f t="shared" si="8"/>
        <v>7.0447545855317609E-2</v>
      </c>
    </row>
    <row r="9" spans="3:27" x14ac:dyDescent="0.15">
      <c r="C9" s="8">
        <v>4</v>
      </c>
      <c r="D9" s="8">
        <f>[4]士兵阶位属性!E8</f>
        <v>66.487641207576758</v>
      </c>
      <c r="E9" s="8">
        <f>[4]士兵阶位属性!F8</f>
        <v>65.328126673719694</v>
      </c>
      <c r="F9" s="8">
        <f>[4]士兵阶位属性!G8</f>
        <v>64.062055525287363</v>
      </c>
      <c r="G9" s="8">
        <f>[4]士兵阶位属性!H8</f>
        <v>62.675920173751969</v>
      </c>
      <c r="H9" s="8">
        <f>[4]士兵阶位属性!I8</f>
        <v>61.182714958690575</v>
      </c>
      <c r="I9" s="8">
        <f>[4]士兵阶位属性!H23</f>
        <v>90</v>
      </c>
      <c r="J9" s="10">
        <f t="shared" si="2"/>
        <v>0.27272727272727271</v>
      </c>
      <c r="K9" s="10">
        <v>0.5</v>
      </c>
      <c r="N9" s="8">
        <v>4</v>
      </c>
      <c r="O9" s="10">
        <f t="shared" si="3"/>
        <v>0.1</v>
      </c>
      <c r="P9" s="10">
        <f t="shared" si="0"/>
        <v>0.2</v>
      </c>
      <c r="Q9" s="10">
        <f t="shared" si="0"/>
        <v>0.3</v>
      </c>
      <c r="R9" s="10">
        <f t="shared" si="0"/>
        <v>0.4</v>
      </c>
      <c r="S9" s="10">
        <f t="shared" si="0"/>
        <v>0.5</v>
      </c>
      <c r="V9" s="8">
        <v>4</v>
      </c>
      <c r="W9" s="10">
        <f t="shared" si="4"/>
        <v>7.1946257417764392E-2</v>
      </c>
      <c r="X9" s="10">
        <f t="shared" si="5"/>
        <v>7.2960828734257993E-2</v>
      </c>
      <c r="Y9" s="10">
        <f t="shared" si="6"/>
        <v>7.4163925756426829E-2</v>
      </c>
      <c r="Z9" s="10">
        <f t="shared" si="7"/>
        <v>7.5658085092947303E-2</v>
      </c>
      <c r="AA9" s="10">
        <f t="shared" si="8"/>
        <v>7.7263394473756811E-2</v>
      </c>
    </row>
    <row r="10" spans="3:27" x14ac:dyDescent="0.15">
      <c r="C10" s="8">
        <v>5</v>
      </c>
      <c r="D10" s="8">
        <f>[4]士兵阶位属性!E9</f>
        <v>87.771500639866005</v>
      </c>
      <c r="E10" s="8">
        <f>[4]士兵阶位属性!F9</f>
        <v>86.672065508292405</v>
      </c>
      <c r="F10" s="8">
        <f>[4]士兵阶位属性!G9</f>
        <v>85.481735065071589</v>
      </c>
      <c r="G10" s="8">
        <f>[4]士兵阶位属性!H9</f>
        <v>84.173317183629351</v>
      </c>
      <c r="H10" s="8">
        <f>[4]士兵阶位属性!I9</f>
        <v>82.729418319864251</v>
      </c>
      <c r="I10" s="8">
        <f>[4]士兵阶位属性!H24</f>
        <v>190</v>
      </c>
      <c r="J10" s="10">
        <f t="shared" si="2"/>
        <v>0.5757575757575758</v>
      </c>
      <c r="K10" s="10">
        <v>0.7</v>
      </c>
      <c r="N10" s="8">
        <v>5</v>
      </c>
      <c r="O10" s="10">
        <f t="shared" si="3"/>
        <v>0.13999999999999999</v>
      </c>
      <c r="P10" s="10">
        <f t="shared" si="0"/>
        <v>0.27999999999999997</v>
      </c>
      <c r="Q10" s="10">
        <f t="shared" si="0"/>
        <v>0.42</v>
      </c>
      <c r="R10" s="10">
        <f t="shared" si="0"/>
        <v>0.55999999999999994</v>
      </c>
      <c r="S10" s="10">
        <f t="shared" si="0"/>
        <v>0.7</v>
      </c>
      <c r="V10" s="8">
        <v>5</v>
      </c>
      <c r="W10" s="10">
        <f t="shared" si="4"/>
        <v>7.7432821772205493E-2</v>
      </c>
      <c r="X10" s="10">
        <f t="shared" si="5"/>
        <v>7.8701035917822487E-2</v>
      </c>
      <c r="Y10" s="10">
        <f t="shared" si="6"/>
        <v>8.020490719553354E-2</v>
      </c>
      <c r="Z10" s="10">
        <f t="shared" si="7"/>
        <v>8.2072606366184131E-2</v>
      </c>
      <c r="AA10" s="10">
        <f t="shared" si="8"/>
        <v>8.4079243092196027E-2</v>
      </c>
    </row>
    <row r="11" spans="3:27" x14ac:dyDescent="0.15">
      <c r="C11" s="8">
        <v>6</v>
      </c>
      <c r="D11" s="8">
        <f>[4]士兵阶位属性!E10</f>
        <v>106.86832874572353</v>
      </c>
      <c r="E11" s="8">
        <f>[4]士兵阶位属性!F10</f>
        <v>105.93060744042049</v>
      </c>
      <c r="F11" s="8">
        <f>[4]士兵阶位属性!G10</f>
        <v>104.93378702762401</v>
      </c>
      <c r="G11" s="8">
        <f>[4]士兵阶位属性!H10</f>
        <v>103.87052361677672</v>
      </c>
      <c r="H11" s="8">
        <f>[4]士兵阶位属性!I10</f>
        <v>102.71853803916484</v>
      </c>
      <c r="I11" s="8">
        <f>[4]士兵阶位属性!H25</f>
        <v>330</v>
      </c>
      <c r="J11" s="10">
        <f t="shared" si="2"/>
        <v>1</v>
      </c>
      <c r="K11" s="10">
        <f t="shared" ref="K11" si="9">ROUND(J11^(1/2),2)</f>
        <v>1</v>
      </c>
      <c r="N11" s="8">
        <v>6</v>
      </c>
      <c r="O11" s="10">
        <f t="shared" si="3"/>
        <v>0.2</v>
      </c>
      <c r="P11" s="10">
        <f t="shared" si="0"/>
        <v>0.4</v>
      </c>
      <c r="Q11" s="10">
        <f t="shared" si="0"/>
        <v>0.6</v>
      </c>
      <c r="R11" s="10">
        <f t="shared" si="0"/>
        <v>0.8</v>
      </c>
      <c r="S11" s="10">
        <f t="shared" si="0"/>
        <v>1</v>
      </c>
      <c r="V11" s="8">
        <v>6</v>
      </c>
      <c r="W11" s="10">
        <f t="shared" si="4"/>
        <v>8.2919386126646594E-2</v>
      </c>
      <c r="X11" s="10">
        <f t="shared" si="5"/>
        <v>8.4441243101386981E-2</v>
      </c>
      <c r="Y11" s="10">
        <f t="shared" si="6"/>
        <v>8.624588863464025E-2</v>
      </c>
      <c r="Z11" s="10">
        <f t="shared" si="7"/>
        <v>8.8487127639420959E-2</v>
      </c>
      <c r="AA11" s="10">
        <f t="shared" si="8"/>
        <v>9.0895091710635229E-2</v>
      </c>
    </row>
    <row r="12" spans="3:27" x14ac:dyDescent="0.15">
      <c r="O12" s="10"/>
      <c r="P12" s="10"/>
      <c r="Q12" s="10"/>
      <c r="R12" s="10"/>
      <c r="S12" s="10"/>
      <c r="V12" s="8">
        <v>7</v>
      </c>
      <c r="W12" s="10">
        <f t="shared" si="4"/>
        <v>8.8405950481087681E-2</v>
      </c>
      <c r="X12" s="10">
        <f t="shared" si="5"/>
        <v>9.0181450284951475E-2</v>
      </c>
      <c r="Y12" s="10">
        <f t="shared" si="6"/>
        <v>9.2286870073746946E-2</v>
      </c>
      <c r="Z12" s="10">
        <f t="shared" si="7"/>
        <v>9.4901648912657774E-2</v>
      </c>
      <c r="AA12" s="10">
        <f t="shared" si="8"/>
        <v>9.771094032907443E-2</v>
      </c>
    </row>
    <row r="13" spans="3:27" x14ac:dyDescent="0.15">
      <c r="O13" s="10"/>
      <c r="P13" s="10"/>
      <c r="Q13" s="10"/>
      <c r="R13" s="10"/>
      <c r="S13" s="10"/>
      <c r="V13" s="8">
        <v>8</v>
      </c>
      <c r="W13" s="10">
        <f t="shared" si="4"/>
        <v>9.3892514835528781E-2</v>
      </c>
      <c r="X13" s="10">
        <f t="shared" si="5"/>
        <v>9.592165746851597E-2</v>
      </c>
      <c r="Y13" s="10">
        <f t="shared" si="6"/>
        <v>9.832785151285367E-2</v>
      </c>
      <c r="Z13" s="10">
        <f t="shared" si="7"/>
        <v>0.1013161701858946</v>
      </c>
      <c r="AA13" s="10">
        <f t="shared" si="8"/>
        <v>0.10452678894751363</v>
      </c>
    </row>
    <row r="14" spans="3:27" x14ac:dyDescent="0.15">
      <c r="O14" s="10"/>
      <c r="P14" s="10"/>
      <c r="Q14" s="10"/>
      <c r="R14" s="10"/>
      <c r="S14" s="10"/>
      <c r="V14" s="8">
        <v>9</v>
      </c>
      <c r="W14" s="10">
        <f t="shared" si="4"/>
        <v>9.9379079189969882E-2</v>
      </c>
      <c r="X14" s="10">
        <f t="shared" si="5"/>
        <v>0.10166186465208046</v>
      </c>
      <c r="Y14" s="10">
        <f t="shared" si="6"/>
        <v>0.10436883295196037</v>
      </c>
      <c r="Z14" s="10">
        <f t="shared" si="7"/>
        <v>0.10773069145913143</v>
      </c>
      <c r="AA14" s="10">
        <f t="shared" si="8"/>
        <v>0.11134263756595283</v>
      </c>
    </row>
    <row r="15" spans="3:27" x14ac:dyDescent="0.15">
      <c r="O15" s="11"/>
      <c r="P15" s="11"/>
      <c r="Q15" s="11"/>
      <c r="R15" s="11"/>
      <c r="S15" s="11"/>
      <c r="V15" s="8">
        <v>10</v>
      </c>
      <c r="W15" s="10">
        <f t="shared" si="4"/>
        <v>0.10486564354441097</v>
      </c>
      <c r="X15" s="10">
        <f t="shared" si="5"/>
        <v>0.10740207183564497</v>
      </c>
      <c r="Y15" s="10">
        <f t="shared" si="6"/>
        <v>0.11040981439106708</v>
      </c>
      <c r="Z15" s="10">
        <f t="shared" si="7"/>
        <v>0.11414521273236826</v>
      </c>
      <c r="AA15" s="10">
        <f t="shared" si="8"/>
        <v>0.11815848618439204</v>
      </c>
    </row>
    <row r="16" spans="3:27" x14ac:dyDescent="0.15">
      <c r="O16" s="9"/>
      <c r="P16" s="9"/>
      <c r="Q16" s="9"/>
      <c r="R16" s="9"/>
      <c r="S16" s="9"/>
      <c r="V16" s="8">
        <v>11</v>
      </c>
      <c r="W16" s="10">
        <f t="shared" si="4"/>
        <v>0.11035220789885207</v>
      </c>
      <c r="X16" s="10">
        <f t="shared" si="5"/>
        <v>0.11314227901920947</v>
      </c>
      <c r="Y16" s="10">
        <f t="shared" si="6"/>
        <v>0.11645079583017379</v>
      </c>
      <c r="Z16" s="10">
        <f t="shared" si="7"/>
        <v>0.12055973400560507</v>
      </c>
      <c r="AA16" s="10">
        <f t="shared" si="8"/>
        <v>0.12497433480283124</v>
      </c>
    </row>
    <row r="17" spans="15:27" x14ac:dyDescent="0.15">
      <c r="O17" s="10"/>
      <c r="P17" s="10"/>
      <c r="Q17" s="10"/>
      <c r="R17" s="10"/>
      <c r="S17" s="10"/>
      <c r="V17" s="8">
        <v>12</v>
      </c>
      <c r="W17" s="10">
        <f t="shared" si="4"/>
        <v>0.11583877225329317</v>
      </c>
      <c r="X17" s="10">
        <f t="shared" si="5"/>
        <v>0.11888248620277396</v>
      </c>
      <c r="Y17" s="10">
        <f t="shared" si="6"/>
        <v>0.1224917772692805</v>
      </c>
      <c r="Z17" s="10">
        <f t="shared" si="7"/>
        <v>0.1269742552788419</v>
      </c>
      <c r="AA17" s="10">
        <f t="shared" si="8"/>
        <v>0.13179018342127044</v>
      </c>
    </row>
    <row r="18" spans="15:27" x14ac:dyDescent="0.15">
      <c r="O18" s="10"/>
      <c r="P18" s="10"/>
      <c r="Q18" s="10"/>
      <c r="R18" s="10"/>
      <c r="S18" s="10"/>
      <c r="V18" s="8">
        <v>13</v>
      </c>
      <c r="W18" s="10">
        <f t="shared" si="4"/>
        <v>0.12132533660773427</v>
      </c>
      <c r="X18" s="10">
        <f t="shared" si="5"/>
        <v>0.12462269338633845</v>
      </c>
      <c r="Y18" s="10">
        <f t="shared" si="6"/>
        <v>0.12853275870838721</v>
      </c>
      <c r="Z18" s="10">
        <f t="shared" si="7"/>
        <v>0.13338877655207873</v>
      </c>
      <c r="AA18" s="10">
        <f t="shared" si="8"/>
        <v>0.13860603203970964</v>
      </c>
    </row>
    <row r="19" spans="15:27" x14ac:dyDescent="0.15">
      <c r="O19" s="10"/>
      <c r="P19" s="10"/>
      <c r="Q19" s="10"/>
      <c r="R19" s="10"/>
      <c r="S19" s="10"/>
      <c r="V19" s="8">
        <v>14</v>
      </c>
      <c r="W19" s="10">
        <f t="shared" si="4"/>
        <v>0.12681190096217537</v>
      </c>
      <c r="X19" s="10">
        <f t="shared" si="5"/>
        <v>0.13036290056990296</v>
      </c>
      <c r="Y19" s="10">
        <f t="shared" si="6"/>
        <v>0.1345737401474939</v>
      </c>
      <c r="Z19" s="10">
        <f t="shared" si="7"/>
        <v>0.13980329782531553</v>
      </c>
      <c r="AA19" s="10">
        <f t="shared" si="8"/>
        <v>0.14542188065814884</v>
      </c>
    </row>
    <row r="20" spans="15:27" x14ac:dyDescent="0.15">
      <c r="O20" s="10"/>
      <c r="P20" s="10"/>
      <c r="Q20" s="10"/>
      <c r="R20" s="10"/>
      <c r="S20" s="10"/>
      <c r="V20" s="8">
        <v>15</v>
      </c>
      <c r="W20" s="10">
        <f t="shared" si="4"/>
        <v>0.13229846531661646</v>
      </c>
      <c r="X20" s="10">
        <f t="shared" si="5"/>
        <v>0.13610310775346746</v>
      </c>
      <c r="Y20" s="10">
        <f t="shared" si="6"/>
        <v>0.1406147215866006</v>
      </c>
      <c r="Z20" s="10">
        <f t="shared" si="7"/>
        <v>0.14621781909855236</v>
      </c>
      <c r="AA20" s="10">
        <f t="shared" si="8"/>
        <v>0.15204815629412044</v>
      </c>
    </row>
    <row r="21" spans="15:27" x14ac:dyDescent="0.15">
      <c r="O21" s="10"/>
      <c r="P21" s="10"/>
      <c r="Q21" s="10"/>
      <c r="R21" s="10"/>
      <c r="S21" s="10"/>
      <c r="V21" s="8">
        <v>16</v>
      </c>
      <c r="W21" s="10">
        <f t="shared" si="4"/>
        <v>0.13778502967105755</v>
      </c>
      <c r="X21" s="10">
        <f t="shared" si="5"/>
        <v>0.14184331493703195</v>
      </c>
      <c r="Y21" s="10">
        <f t="shared" si="6"/>
        <v>0.14665570302570732</v>
      </c>
      <c r="Z21" s="10">
        <f t="shared" si="7"/>
        <v>0.1524941590657686</v>
      </c>
      <c r="AA21" s="10">
        <f t="shared" si="8"/>
        <v>0.15828658888455144</v>
      </c>
    </row>
    <row r="22" spans="15:27" x14ac:dyDescent="0.15">
      <c r="O22" s="10"/>
      <c r="P22" s="10"/>
      <c r="Q22" s="10"/>
      <c r="R22" s="10"/>
      <c r="S22" s="10"/>
      <c r="V22" s="8">
        <v>17</v>
      </c>
      <c r="W22" s="10">
        <f t="shared" si="4"/>
        <v>0.14327159402549866</v>
      </c>
      <c r="X22" s="10">
        <f t="shared" si="5"/>
        <v>0.14758352212059644</v>
      </c>
      <c r="Y22" s="10">
        <f t="shared" si="6"/>
        <v>0.15266443094368992</v>
      </c>
      <c r="Z22" s="10">
        <f t="shared" si="7"/>
        <v>0.15857195833430876</v>
      </c>
      <c r="AA22" s="10">
        <f t="shared" si="8"/>
        <v>0.16452502147498241</v>
      </c>
    </row>
    <row r="23" spans="15:27" x14ac:dyDescent="0.15">
      <c r="V23" s="8">
        <v>18</v>
      </c>
      <c r="W23" s="10">
        <f t="shared" si="4"/>
        <v>0.14875815837993978</v>
      </c>
      <c r="X23" s="10">
        <f t="shared" si="5"/>
        <v>0.15339525203985344</v>
      </c>
      <c r="Y23" s="10">
        <f t="shared" si="6"/>
        <v>0.15863315961277522</v>
      </c>
      <c r="Z23" s="10">
        <f t="shared" si="7"/>
        <v>0.16464975760284892</v>
      </c>
      <c r="AA23" s="10">
        <f t="shared" si="8"/>
        <v>0.17076345406541341</v>
      </c>
    </row>
    <row r="24" spans="15:27" x14ac:dyDescent="0.15">
      <c r="V24" s="8">
        <v>19</v>
      </c>
      <c r="W24" s="10">
        <f t="shared" si="4"/>
        <v>0.15446667961048619</v>
      </c>
      <c r="X24" s="10">
        <f t="shared" si="5"/>
        <v>0.15925898171386152</v>
      </c>
      <c r="Y24" s="10">
        <f t="shared" si="6"/>
        <v>0.16460188828186051</v>
      </c>
      <c r="Z24" s="10">
        <f t="shared" si="7"/>
        <v>0.17072755687138907</v>
      </c>
      <c r="AA24" s="10">
        <f t="shared" si="8"/>
        <v>0.17700188665584438</v>
      </c>
    </row>
    <row r="25" spans="15:27" x14ac:dyDescent="0.15">
      <c r="V25" s="8">
        <v>20</v>
      </c>
      <c r="W25" s="10">
        <f t="shared" si="4"/>
        <v>0.16024013683423038</v>
      </c>
      <c r="X25" s="10">
        <f t="shared" si="5"/>
        <v>0.16512271138786958</v>
      </c>
      <c r="Y25" s="10">
        <f t="shared" si="6"/>
        <v>0.1705706169509458</v>
      </c>
      <c r="Z25" s="10">
        <f t="shared" si="7"/>
        <v>0.17680535613992923</v>
      </c>
      <c r="AA25" s="10">
        <f t="shared" si="8"/>
        <v>0.18324031924627537</v>
      </c>
    </row>
    <row r="26" spans="15:27" x14ac:dyDescent="0.15">
      <c r="V26" s="8">
        <v>21</v>
      </c>
      <c r="W26" s="10">
        <f t="shared" si="4"/>
        <v>0.16601359405797458</v>
      </c>
      <c r="X26" s="10">
        <f t="shared" si="5"/>
        <v>0.17098644106187766</v>
      </c>
      <c r="Y26" s="10">
        <f t="shared" si="6"/>
        <v>0.1765393456200311</v>
      </c>
      <c r="Z26" s="10">
        <f t="shared" si="7"/>
        <v>0.18288315540846939</v>
      </c>
      <c r="AA26" s="10">
        <f t="shared" si="8"/>
        <v>0.18947875183670637</v>
      </c>
    </row>
    <row r="27" spans="15:27" x14ac:dyDescent="0.15">
      <c r="V27" s="8">
        <v>22</v>
      </c>
      <c r="W27" s="10">
        <f t="shared" si="4"/>
        <v>0.17178705128171881</v>
      </c>
      <c r="X27" s="10">
        <f t="shared" si="5"/>
        <v>0.17685017073588571</v>
      </c>
      <c r="Y27" s="10">
        <f t="shared" si="6"/>
        <v>0.18250807428911642</v>
      </c>
      <c r="Z27" s="10">
        <f t="shared" si="7"/>
        <v>0.18896095467700957</v>
      </c>
      <c r="AA27" s="10">
        <f t="shared" si="8"/>
        <v>0.19571718442713734</v>
      </c>
    </row>
    <row r="28" spans="15:27" x14ac:dyDescent="0.15">
      <c r="V28" s="8">
        <v>23</v>
      </c>
      <c r="W28" s="10">
        <f t="shared" si="4"/>
        <v>0.17756050850546301</v>
      </c>
      <c r="X28" s="10">
        <f t="shared" si="5"/>
        <v>0.18271390040989377</v>
      </c>
      <c r="Y28" s="10">
        <f t="shared" si="6"/>
        <v>0.18847680295820168</v>
      </c>
      <c r="Z28" s="10">
        <f t="shared" si="7"/>
        <v>0.19503875394554973</v>
      </c>
      <c r="AA28" s="10">
        <f t="shared" si="8"/>
        <v>0.20195561701756834</v>
      </c>
    </row>
    <row r="29" spans="15:27" x14ac:dyDescent="0.15">
      <c r="V29" s="8">
        <v>24</v>
      </c>
      <c r="W29" s="10">
        <f t="shared" si="4"/>
        <v>0.18333396572920721</v>
      </c>
      <c r="X29" s="10">
        <f t="shared" si="5"/>
        <v>0.18857763008390185</v>
      </c>
      <c r="Y29" s="10">
        <f t="shared" si="6"/>
        <v>0.194445531627287</v>
      </c>
      <c r="Z29" s="10">
        <f t="shared" si="7"/>
        <v>0.20111655321408989</v>
      </c>
      <c r="AA29" s="10">
        <f t="shared" si="8"/>
        <v>0.20819404960799931</v>
      </c>
    </row>
    <row r="30" spans="15:27" x14ac:dyDescent="0.15">
      <c r="V30" s="8">
        <v>25</v>
      </c>
      <c r="W30" s="10">
        <f t="shared" si="4"/>
        <v>0.18910742295295141</v>
      </c>
      <c r="X30" s="10">
        <f t="shared" si="5"/>
        <v>0.19444135975790991</v>
      </c>
      <c r="Y30" s="10">
        <f t="shared" si="6"/>
        <v>0.20041426029637227</v>
      </c>
      <c r="Z30" s="10">
        <f t="shared" si="7"/>
        <v>0.20719435248263005</v>
      </c>
      <c r="AA30" s="10">
        <f t="shared" si="8"/>
        <v>0.21443248219843031</v>
      </c>
    </row>
    <row r="31" spans="15:27" x14ac:dyDescent="0.15">
      <c r="V31" s="8">
        <v>26</v>
      </c>
      <c r="W31" s="10">
        <f t="shared" si="4"/>
        <v>0.19488088017669561</v>
      </c>
      <c r="X31" s="10">
        <f t="shared" si="5"/>
        <v>0.20030508943191799</v>
      </c>
      <c r="Y31" s="10">
        <f t="shared" si="6"/>
        <v>0.20638298896545759</v>
      </c>
      <c r="Z31" s="10">
        <f t="shared" si="7"/>
        <v>0.2132721517511702</v>
      </c>
      <c r="AA31" s="10">
        <f t="shared" si="8"/>
        <v>0.22067091478886131</v>
      </c>
    </row>
    <row r="32" spans="15:27" x14ac:dyDescent="0.15">
      <c r="V32" s="8">
        <v>27</v>
      </c>
      <c r="W32" s="10">
        <f t="shared" si="4"/>
        <v>0.20065433740043981</v>
      </c>
      <c r="X32" s="10">
        <f t="shared" si="5"/>
        <v>0.20616881910592605</v>
      </c>
      <c r="Y32" s="10">
        <f t="shared" si="6"/>
        <v>0.21235171763454289</v>
      </c>
      <c r="Z32" s="10">
        <f t="shared" si="7"/>
        <v>0.21934995101971039</v>
      </c>
      <c r="AA32" s="10">
        <f t="shared" si="8"/>
        <v>0.2269093473792923</v>
      </c>
    </row>
    <row r="33" spans="22:27" x14ac:dyDescent="0.15">
      <c r="V33" s="8">
        <v>28</v>
      </c>
      <c r="W33" s="10">
        <f t="shared" si="4"/>
        <v>0.20642779462418404</v>
      </c>
      <c r="X33" s="10">
        <f t="shared" si="5"/>
        <v>0.2120325487799341</v>
      </c>
      <c r="Y33" s="10">
        <f t="shared" si="6"/>
        <v>0.21832044630362818</v>
      </c>
      <c r="Z33" s="10">
        <f t="shared" si="7"/>
        <v>0.22542775028825052</v>
      </c>
      <c r="AA33" s="10">
        <f t="shared" si="8"/>
        <v>0.23314777996972327</v>
      </c>
    </row>
    <row r="34" spans="22:27" x14ac:dyDescent="0.15">
      <c r="V34" s="8">
        <v>29</v>
      </c>
      <c r="W34" s="10">
        <f t="shared" si="4"/>
        <v>0.21220125184792824</v>
      </c>
      <c r="X34" s="10">
        <f t="shared" si="5"/>
        <v>0.21789627845394219</v>
      </c>
      <c r="Y34" s="10">
        <f t="shared" si="6"/>
        <v>0.22428917497271347</v>
      </c>
      <c r="Z34" s="10">
        <f t="shared" si="7"/>
        <v>0.2315055495567907</v>
      </c>
      <c r="AA34" s="10">
        <f t="shared" si="8"/>
        <v>0.23938621256015424</v>
      </c>
    </row>
    <row r="35" spans="22:27" x14ac:dyDescent="0.15">
      <c r="V35" s="8">
        <v>30</v>
      </c>
      <c r="W35" s="10">
        <f t="shared" si="4"/>
        <v>0.21797470907167243</v>
      </c>
      <c r="X35" s="10">
        <f t="shared" si="5"/>
        <v>0.22376000812795024</v>
      </c>
      <c r="Y35" s="10">
        <f t="shared" si="6"/>
        <v>0.23025790364179877</v>
      </c>
      <c r="Z35" s="10">
        <f t="shared" si="7"/>
        <v>0.23758334882533086</v>
      </c>
      <c r="AA35" s="10">
        <f t="shared" si="8"/>
        <v>0.24562464515058524</v>
      </c>
    </row>
    <row r="36" spans="22:27" x14ac:dyDescent="0.15">
      <c r="V36" s="8">
        <v>31</v>
      </c>
      <c r="W36" s="10">
        <f t="shared" si="4"/>
        <v>0.22374816629541663</v>
      </c>
      <c r="X36" s="10">
        <f t="shared" si="5"/>
        <v>0.22962373780195833</v>
      </c>
      <c r="Y36" s="10">
        <f t="shared" si="6"/>
        <v>0.23622663231088406</v>
      </c>
      <c r="Z36" s="10">
        <f t="shared" si="7"/>
        <v>0.24366114809387102</v>
      </c>
      <c r="AA36" s="10">
        <f t="shared" si="8"/>
        <v>0.25186307774101624</v>
      </c>
    </row>
    <row r="37" spans="22:27" x14ac:dyDescent="0.15">
      <c r="V37" s="8">
        <v>32</v>
      </c>
      <c r="W37" s="10">
        <f t="shared" si="4"/>
        <v>0.22952162351916083</v>
      </c>
      <c r="X37" s="10">
        <f t="shared" si="5"/>
        <v>0.23548746747596638</v>
      </c>
      <c r="Y37" s="10">
        <f t="shared" si="6"/>
        <v>0.24219536097996935</v>
      </c>
      <c r="Z37" s="10">
        <f t="shared" si="7"/>
        <v>0.2497389473624112</v>
      </c>
      <c r="AA37" s="10">
        <f t="shared" si="8"/>
        <v>0.25810151033144724</v>
      </c>
    </row>
    <row r="38" spans="22:27" x14ac:dyDescent="0.15">
      <c r="V38" s="8">
        <v>33</v>
      </c>
      <c r="W38" s="10">
        <f t="shared" si="4"/>
        <v>0.23529508074290506</v>
      </c>
      <c r="X38" s="10">
        <f t="shared" si="5"/>
        <v>0.24135119714997444</v>
      </c>
      <c r="Y38" s="10">
        <f t="shared" si="6"/>
        <v>0.24816408964905465</v>
      </c>
      <c r="Z38" s="10">
        <f t="shared" si="7"/>
        <v>0.25581674663095133</v>
      </c>
      <c r="AA38" s="10">
        <f t="shared" si="8"/>
        <v>0.26433994292187823</v>
      </c>
    </row>
    <row r="39" spans="22:27" x14ac:dyDescent="0.15">
      <c r="V39" s="8">
        <v>34</v>
      </c>
      <c r="W39" s="10">
        <f t="shared" si="4"/>
        <v>0.24106853796664923</v>
      </c>
      <c r="X39" s="10">
        <f t="shared" si="5"/>
        <v>0.24721492682398252</v>
      </c>
      <c r="Y39" s="10">
        <f t="shared" si="6"/>
        <v>0.25413281831813994</v>
      </c>
      <c r="Z39" s="10">
        <f t="shared" si="7"/>
        <v>0.26189454589949152</v>
      </c>
      <c r="AA39" s="10">
        <f t="shared" si="8"/>
        <v>0.27057837551230923</v>
      </c>
    </row>
    <row r="40" spans="22:27" x14ac:dyDescent="0.15">
      <c r="V40" s="8">
        <v>35</v>
      </c>
      <c r="W40" s="10">
        <f t="shared" si="4"/>
        <v>0.24684199519039346</v>
      </c>
      <c r="X40" s="10">
        <f t="shared" si="5"/>
        <v>0.25307865649799055</v>
      </c>
      <c r="Y40" s="10">
        <f t="shared" si="6"/>
        <v>0.26010154698722521</v>
      </c>
      <c r="Z40" s="10">
        <f t="shared" si="7"/>
        <v>0.2679723451680317</v>
      </c>
      <c r="AA40" s="10">
        <f t="shared" si="8"/>
        <v>0.27681680810274018</v>
      </c>
    </row>
    <row r="41" spans="22:27" x14ac:dyDescent="0.15">
      <c r="V41" s="8">
        <v>36</v>
      </c>
      <c r="W41" s="10">
        <f t="shared" si="4"/>
        <v>0.25261545241413763</v>
      </c>
      <c r="X41" s="10">
        <f t="shared" si="5"/>
        <v>0.25894238617199866</v>
      </c>
      <c r="Y41" s="10">
        <f t="shared" si="6"/>
        <v>0.26607027565631053</v>
      </c>
      <c r="Z41" s="10">
        <f t="shared" si="7"/>
        <v>0.27405014443657183</v>
      </c>
      <c r="AA41" s="10">
        <f t="shared" si="8"/>
        <v>0.28305524069317117</v>
      </c>
    </row>
    <row r="42" spans="22:27" x14ac:dyDescent="0.15">
      <c r="V42" s="8">
        <v>37</v>
      </c>
      <c r="W42" s="10">
        <f t="shared" si="4"/>
        <v>0.25838890963788186</v>
      </c>
      <c r="X42" s="10">
        <f t="shared" si="5"/>
        <v>0.26480611584600672</v>
      </c>
      <c r="Y42" s="10">
        <f t="shared" si="6"/>
        <v>0.27203900432539585</v>
      </c>
      <c r="Z42" s="10">
        <f t="shared" si="7"/>
        <v>0.28012794370511196</v>
      </c>
      <c r="AA42" s="10">
        <f t="shared" si="8"/>
        <v>0.28929367328360217</v>
      </c>
    </row>
    <row r="43" spans="22:27" x14ac:dyDescent="0.15">
      <c r="V43" s="8">
        <v>38</v>
      </c>
      <c r="W43" s="10">
        <f t="shared" si="4"/>
        <v>0.26416236686162609</v>
      </c>
      <c r="X43" s="10">
        <f t="shared" si="5"/>
        <v>0.27066984552001477</v>
      </c>
      <c r="Y43" s="10">
        <f t="shared" si="6"/>
        <v>0.27800773299448112</v>
      </c>
      <c r="Z43" s="10">
        <f t="shared" si="7"/>
        <v>0.28620574297365214</v>
      </c>
      <c r="AA43" s="10">
        <f t="shared" si="8"/>
        <v>0.29553210587403311</v>
      </c>
    </row>
    <row r="44" spans="22:27" x14ac:dyDescent="0.15">
      <c r="V44" s="8">
        <v>39</v>
      </c>
      <c r="W44" s="10">
        <f t="shared" si="4"/>
        <v>0.26993582408537026</v>
      </c>
      <c r="X44" s="10">
        <f t="shared" si="5"/>
        <v>0.27653357519402288</v>
      </c>
      <c r="Y44" s="10">
        <f t="shared" si="6"/>
        <v>0.28397646166356638</v>
      </c>
      <c r="Z44" s="10">
        <f t="shared" si="7"/>
        <v>0.29228354224219233</v>
      </c>
      <c r="AA44" s="10">
        <f t="shared" si="8"/>
        <v>0.30252652700742</v>
      </c>
    </row>
    <row r="45" spans="22:27" x14ac:dyDescent="0.15">
      <c r="V45" s="8">
        <v>40</v>
      </c>
      <c r="W45" s="10">
        <f t="shared" si="4"/>
        <v>0.27570928130911443</v>
      </c>
      <c r="X45" s="10">
        <f t="shared" si="5"/>
        <v>0.28239730486803094</v>
      </c>
      <c r="Y45" s="10">
        <f t="shared" si="6"/>
        <v>0.28994519033265176</v>
      </c>
      <c r="Z45" s="10">
        <f t="shared" si="7"/>
        <v>0.29836134151073246</v>
      </c>
      <c r="AA45" s="10">
        <f t="shared" si="8"/>
        <v>0.31142865974276474</v>
      </c>
    </row>
    <row r="46" spans="22:27" x14ac:dyDescent="0.15">
      <c r="V46" s="8">
        <v>41</v>
      </c>
      <c r="W46" s="10">
        <f t="shared" si="4"/>
        <v>0.28148273853285866</v>
      </c>
      <c r="X46" s="10">
        <f t="shared" si="5"/>
        <v>0.288261034542039</v>
      </c>
      <c r="Y46" s="10">
        <f t="shared" si="6"/>
        <v>0.29591391900173702</v>
      </c>
      <c r="Z46" s="10">
        <f t="shared" si="7"/>
        <v>0.3065194699965863</v>
      </c>
      <c r="AA46" s="10">
        <f t="shared" si="8"/>
        <v>0.32033079247810942</v>
      </c>
    </row>
    <row r="47" spans="22:27" x14ac:dyDescent="0.15">
      <c r="V47" s="8">
        <v>42</v>
      </c>
      <c r="W47" s="10">
        <f t="shared" si="4"/>
        <v>0.28725619575660288</v>
      </c>
      <c r="X47" s="10">
        <f t="shared" si="5"/>
        <v>0.29412476421604705</v>
      </c>
      <c r="Y47" s="10">
        <f t="shared" si="6"/>
        <v>0.30281907186805462</v>
      </c>
      <c r="Z47" s="10">
        <f t="shared" si="7"/>
        <v>0.31544552842697787</v>
      </c>
      <c r="AA47" s="10">
        <f t="shared" si="8"/>
        <v>0.32923292521345415</v>
      </c>
    </row>
    <row r="48" spans="22:27" x14ac:dyDescent="0.15">
      <c r="V48" s="8">
        <v>43</v>
      </c>
      <c r="W48" s="10">
        <f t="shared" si="4"/>
        <v>0.29302965298034711</v>
      </c>
      <c r="X48" s="10">
        <f t="shared" si="5"/>
        <v>0.29998849389005511</v>
      </c>
      <c r="Y48" s="10">
        <f t="shared" si="6"/>
        <v>0.31175663110436141</v>
      </c>
      <c r="Z48" s="10">
        <f t="shared" si="7"/>
        <v>0.32437158685736944</v>
      </c>
      <c r="AA48" s="10">
        <f t="shared" si="8"/>
        <v>0.33813505794879883</v>
      </c>
    </row>
    <row r="49" spans="22:27" x14ac:dyDescent="0.15">
      <c r="V49" s="8">
        <v>44</v>
      </c>
      <c r="W49" s="10">
        <f t="shared" si="4"/>
        <v>0.29880311020409128</v>
      </c>
      <c r="X49" s="10">
        <f t="shared" si="5"/>
        <v>0.30894052135438271</v>
      </c>
      <c r="Y49" s="10">
        <f t="shared" si="6"/>
        <v>0.32069419034066821</v>
      </c>
      <c r="Z49" s="10">
        <f t="shared" si="7"/>
        <v>0.33329764528776101</v>
      </c>
      <c r="AA49" s="10">
        <f t="shared" si="8"/>
        <v>0.34703719068414352</v>
      </c>
    </row>
    <row r="50" spans="22:27" x14ac:dyDescent="0.15">
      <c r="V50" s="8">
        <v>45</v>
      </c>
      <c r="W50" s="10">
        <f t="shared" si="4"/>
        <v>0.30711561180661112</v>
      </c>
      <c r="X50" s="10">
        <f t="shared" si="5"/>
        <v>0.31789862074906794</v>
      </c>
      <c r="Y50" s="10">
        <f t="shared" si="6"/>
        <v>0.329631749576975</v>
      </c>
      <c r="Z50" s="10">
        <f t="shared" si="7"/>
        <v>0.34222370371815258</v>
      </c>
      <c r="AA50" s="10">
        <f t="shared" si="8"/>
        <v>0.35593932341948825</v>
      </c>
    </row>
    <row r="51" spans="22:27" x14ac:dyDescent="0.15">
      <c r="V51" s="8">
        <v>46</v>
      </c>
      <c r="W51" s="10">
        <f t="shared" si="4"/>
        <v>0.3160921386543033</v>
      </c>
      <c r="X51" s="10">
        <f t="shared" si="5"/>
        <v>0.32685672014375311</v>
      </c>
      <c r="Y51" s="10">
        <f t="shared" si="6"/>
        <v>0.33856930881328179</v>
      </c>
      <c r="Z51" s="10">
        <f t="shared" si="7"/>
        <v>0.35114976214854421</v>
      </c>
      <c r="AA51" s="10">
        <f t="shared" si="8"/>
        <v>0.36484145615483293</v>
      </c>
    </row>
    <row r="52" spans="22:27" x14ac:dyDescent="0.15">
      <c r="V52" s="8">
        <v>47</v>
      </c>
      <c r="W52" s="10">
        <f t="shared" si="4"/>
        <v>0.32506866550199542</v>
      </c>
      <c r="X52" s="10">
        <f t="shared" si="5"/>
        <v>0.33581481953843828</v>
      </c>
      <c r="Y52" s="10">
        <f t="shared" si="6"/>
        <v>0.34750686804958858</v>
      </c>
      <c r="Z52" s="10">
        <f t="shared" si="7"/>
        <v>0.36007582057893578</v>
      </c>
      <c r="AA52" s="10">
        <f t="shared" si="8"/>
        <v>0.37374358889017767</v>
      </c>
    </row>
    <row r="53" spans="22:27" x14ac:dyDescent="0.15">
      <c r="V53" s="8">
        <v>48</v>
      </c>
      <c r="W53" s="10">
        <f t="shared" si="4"/>
        <v>0.33404519234968755</v>
      </c>
      <c r="X53" s="10">
        <f t="shared" si="5"/>
        <v>0.34477291893312345</v>
      </c>
      <c r="Y53" s="10">
        <f t="shared" si="6"/>
        <v>0.35644442728589537</v>
      </c>
      <c r="Z53" s="10">
        <f t="shared" si="7"/>
        <v>0.36900187900932735</v>
      </c>
      <c r="AA53" s="10">
        <f t="shared" si="8"/>
        <v>0.38264572162552235</v>
      </c>
    </row>
    <row r="54" spans="22:27" x14ac:dyDescent="0.15">
      <c r="V54" s="8">
        <v>49</v>
      </c>
      <c r="W54" s="10">
        <f t="shared" si="4"/>
        <v>0.34302171919737973</v>
      </c>
      <c r="X54" s="10">
        <f t="shared" si="5"/>
        <v>0.35373101832780862</v>
      </c>
      <c r="Y54" s="10">
        <f t="shared" si="6"/>
        <v>0.36538198652220216</v>
      </c>
      <c r="Z54" s="10">
        <f t="shared" si="7"/>
        <v>0.37792793743971892</v>
      </c>
      <c r="AA54" s="10">
        <f t="shared" si="8"/>
        <v>0.39154785436086703</v>
      </c>
    </row>
    <row r="55" spans="22:27" x14ac:dyDescent="0.15">
      <c r="V55" s="8">
        <v>50</v>
      </c>
      <c r="W55" s="10">
        <f t="shared" si="4"/>
        <v>0.35199824604507185</v>
      </c>
      <c r="X55" s="10">
        <f t="shared" si="5"/>
        <v>0.36268911772249379</v>
      </c>
      <c r="Y55" s="10">
        <f t="shared" si="6"/>
        <v>0.37431954575850895</v>
      </c>
      <c r="Z55" s="10">
        <f t="shared" si="7"/>
        <v>0.38685399587011049</v>
      </c>
      <c r="AA55" s="10">
        <f t="shared" si="8"/>
        <v>0.40044998709621177</v>
      </c>
    </row>
    <row r="56" spans="22:27" x14ac:dyDescent="0.15">
      <c r="V56" s="8">
        <v>51</v>
      </c>
      <c r="W56" s="10">
        <f t="shared" si="4"/>
        <v>0.36097477289276403</v>
      </c>
      <c r="X56" s="10">
        <f t="shared" si="5"/>
        <v>0.37164721711717902</v>
      </c>
      <c r="Y56" s="10">
        <f t="shared" si="6"/>
        <v>0.38325710499481574</v>
      </c>
      <c r="Z56" s="10">
        <f t="shared" si="7"/>
        <v>0.39578005430050212</v>
      </c>
      <c r="AA56" s="10">
        <f t="shared" si="8"/>
        <v>0.40935211983155645</v>
      </c>
    </row>
    <row r="57" spans="22:27" x14ac:dyDescent="0.15">
      <c r="V57" s="8">
        <v>52</v>
      </c>
      <c r="W57" s="10">
        <f t="shared" si="4"/>
        <v>0.36995129974045615</v>
      </c>
      <c r="X57" s="10">
        <f t="shared" si="5"/>
        <v>0.38060531651186419</v>
      </c>
      <c r="Y57" s="10">
        <f t="shared" si="6"/>
        <v>0.39219466423112254</v>
      </c>
      <c r="Z57" s="10">
        <f t="shared" si="7"/>
        <v>0.40470611273089369</v>
      </c>
      <c r="AA57" s="10">
        <f t="shared" si="8"/>
        <v>0.41825425256690119</v>
      </c>
    </row>
    <row r="58" spans="22:27" x14ac:dyDescent="0.15">
      <c r="V58" s="8">
        <v>53</v>
      </c>
      <c r="W58" s="10">
        <f t="shared" si="4"/>
        <v>0.37892782658814833</v>
      </c>
      <c r="X58" s="10">
        <f t="shared" si="5"/>
        <v>0.38956341590654936</v>
      </c>
      <c r="Y58" s="10">
        <f t="shared" si="6"/>
        <v>0.40113222346742933</v>
      </c>
      <c r="Z58" s="10">
        <f t="shared" si="7"/>
        <v>0.41363217116128526</v>
      </c>
      <c r="AA58" s="10">
        <f t="shared" si="8"/>
        <v>0.42715638530224587</v>
      </c>
    </row>
    <row r="59" spans="22:27" x14ac:dyDescent="0.15">
      <c r="V59" s="8">
        <v>54</v>
      </c>
      <c r="W59" s="10">
        <f t="shared" si="4"/>
        <v>0.38790435343584045</v>
      </c>
      <c r="X59" s="10">
        <f t="shared" si="5"/>
        <v>0.39852151530123453</v>
      </c>
      <c r="Y59" s="10">
        <f t="shared" si="6"/>
        <v>0.41006978270373612</v>
      </c>
      <c r="Z59" s="10">
        <f t="shared" si="7"/>
        <v>0.42255822959167683</v>
      </c>
      <c r="AA59" s="10">
        <f t="shared" si="8"/>
        <v>0.43605851803759055</v>
      </c>
    </row>
    <row r="60" spans="22:27" x14ac:dyDescent="0.15">
      <c r="V60" s="8">
        <v>55</v>
      </c>
      <c r="W60" s="10">
        <f t="shared" si="4"/>
        <v>0.39688088028353263</v>
      </c>
      <c r="X60" s="10">
        <f t="shared" si="5"/>
        <v>0.40747961469591976</v>
      </c>
      <c r="Y60" s="10">
        <f t="shared" si="6"/>
        <v>0.41900734194004291</v>
      </c>
      <c r="Z60" s="10">
        <f t="shared" si="7"/>
        <v>0.4314842880220684</v>
      </c>
      <c r="AA60" s="10">
        <f t="shared" si="8"/>
        <v>0.44496065077293528</v>
      </c>
    </row>
    <row r="61" spans="22:27" x14ac:dyDescent="0.15">
      <c r="V61" s="8">
        <v>56</v>
      </c>
      <c r="W61" s="10">
        <f t="shared" si="4"/>
        <v>0.40585740713122476</v>
      </c>
      <c r="X61" s="10">
        <f t="shared" si="5"/>
        <v>0.41643771409060493</v>
      </c>
      <c r="Y61" s="10">
        <f t="shared" si="6"/>
        <v>0.42794490117634976</v>
      </c>
      <c r="Z61" s="10">
        <f t="shared" si="7"/>
        <v>0.44041034645246002</v>
      </c>
      <c r="AA61" s="10">
        <f t="shared" si="8"/>
        <v>0.45386278350827997</v>
      </c>
    </row>
    <row r="62" spans="22:27" x14ac:dyDescent="0.15">
      <c r="V62" s="8">
        <v>57</v>
      </c>
      <c r="W62" s="10">
        <f t="shared" si="4"/>
        <v>0.41483393397891688</v>
      </c>
      <c r="X62" s="10">
        <f t="shared" si="5"/>
        <v>0.4253958134852901</v>
      </c>
      <c r="Y62" s="10">
        <f t="shared" si="6"/>
        <v>0.43688246041265655</v>
      </c>
      <c r="Z62" s="10">
        <f t="shared" si="7"/>
        <v>0.44933640488285154</v>
      </c>
      <c r="AA62" s="10">
        <f t="shared" si="8"/>
        <v>0.4627649162436247</v>
      </c>
    </row>
    <row r="63" spans="22:27" x14ac:dyDescent="0.15">
      <c r="V63" s="8">
        <v>58</v>
      </c>
      <c r="W63" s="10">
        <f t="shared" si="4"/>
        <v>0.42381046082660906</v>
      </c>
      <c r="X63" s="10">
        <f t="shared" si="5"/>
        <v>0.43435391287997527</v>
      </c>
      <c r="Y63" s="10">
        <f t="shared" si="6"/>
        <v>0.44582001964896334</v>
      </c>
      <c r="Z63" s="10">
        <f t="shared" si="7"/>
        <v>0.45826246331324316</v>
      </c>
      <c r="AA63" s="10">
        <f t="shared" si="8"/>
        <v>0.47166704897896938</v>
      </c>
    </row>
    <row r="64" spans="22:27" x14ac:dyDescent="0.15">
      <c r="V64" s="8">
        <v>59</v>
      </c>
      <c r="W64" s="10">
        <f t="shared" si="4"/>
        <v>0.43278698767430124</v>
      </c>
      <c r="X64" s="10">
        <f t="shared" si="5"/>
        <v>0.44331201227466044</v>
      </c>
      <c r="Y64" s="10">
        <f t="shared" si="6"/>
        <v>0.45475757888527013</v>
      </c>
      <c r="Z64" s="10">
        <f t="shared" si="7"/>
        <v>0.46718852174363473</v>
      </c>
      <c r="AA64" s="10">
        <f t="shared" si="8"/>
        <v>0.48056918171431406</v>
      </c>
    </row>
    <row r="65" spans="22:27" x14ac:dyDescent="0.15">
      <c r="V65" s="8">
        <v>60</v>
      </c>
      <c r="W65" s="10">
        <f t="shared" si="4"/>
        <v>0.44176351452199336</v>
      </c>
      <c r="X65" s="10">
        <f t="shared" si="5"/>
        <v>0.45227011166934561</v>
      </c>
      <c r="Y65" s="10">
        <f t="shared" si="6"/>
        <v>0.46369513812157692</v>
      </c>
      <c r="Z65" s="10">
        <f t="shared" si="7"/>
        <v>0.4761145801740263</v>
      </c>
      <c r="AA65" s="10">
        <f t="shared" si="8"/>
        <v>0.4894713144496588</v>
      </c>
    </row>
    <row r="66" spans="22:27" x14ac:dyDescent="0.15">
      <c r="V66" s="8">
        <v>61</v>
      </c>
      <c r="W66" s="10">
        <f t="shared" si="4"/>
        <v>0.45074004136968548</v>
      </c>
      <c r="X66" s="10">
        <f t="shared" si="5"/>
        <v>0.46122821106403078</v>
      </c>
      <c r="Y66" s="10">
        <f t="shared" si="6"/>
        <v>0.47263269735788371</v>
      </c>
      <c r="Z66" s="10">
        <f t="shared" si="7"/>
        <v>0.48504063860441793</v>
      </c>
      <c r="AA66" s="10">
        <f t="shared" si="8"/>
        <v>0.49837344718500348</v>
      </c>
    </row>
    <row r="67" spans="22:27" x14ac:dyDescent="0.15">
      <c r="V67" s="8">
        <v>62</v>
      </c>
      <c r="W67" s="10">
        <f t="shared" si="4"/>
        <v>0.45971656821737761</v>
      </c>
      <c r="X67" s="10">
        <f t="shared" si="5"/>
        <v>0.47018631045871601</v>
      </c>
      <c r="Y67" s="10">
        <f t="shared" si="6"/>
        <v>0.4815702565941905</v>
      </c>
      <c r="Z67" s="10">
        <f t="shared" si="7"/>
        <v>0.49396669703480944</v>
      </c>
      <c r="AA67" s="10">
        <f t="shared" si="8"/>
        <v>0.50758617248875426</v>
      </c>
    </row>
    <row r="68" spans="22:27" x14ac:dyDescent="0.15">
      <c r="V68" s="8">
        <v>63</v>
      </c>
      <c r="W68" s="10">
        <f t="shared" si="4"/>
        <v>0.46869309506506979</v>
      </c>
      <c r="X68" s="10">
        <f t="shared" si="5"/>
        <v>0.47914440985340118</v>
      </c>
      <c r="Y68" s="10">
        <f t="shared" si="6"/>
        <v>0.4905078158304973</v>
      </c>
      <c r="Z68" s="10">
        <f t="shared" si="7"/>
        <v>0.50301506108948102</v>
      </c>
      <c r="AA68" s="10">
        <f t="shared" si="8"/>
        <v>0.51686833489882356</v>
      </c>
    </row>
    <row r="69" spans="22:27" x14ac:dyDescent="0.15">
      <c r="V69" s="8">
        <v>64</v>
      </c>
      <c r="W69" s="10">
        <f t="shared" si="4"/>
        <v>0.47766962191276197</v>
      </c>
      <c r="X69" s="10">
        <f t="shared" si="5"/>
        <v>0.48810250924808635</v>
      </c>
      <c r="Y69" s="10">
        <f t="shared" si="6"/>
        <v>0.49944537506680409</v>
      </c>
      <c r="Z69" s="10">
        <f t="shared" si="7"/>
        <v>0.51231851303336551</v>
      </c>
      <c r="AA69" s="10">
        <f t="shared" si="8"/>
        <v>0.52615049730889285</v>
      </c>
    </row>
    <row r="70" spans="22:27" x14ac:dyDescent="0.15">
      <c r="V70" s="8">
        <v>65</v>
      </c>
      <c r="W70" s="10">
        <f t="shared" si="4"/>
        <v>0.48664614876045409</v>
      </c>
      <c r="X70" s="10">
        <f t="shared" si="5"/>
        <v>0.49706060864277157</v>
      </c>
      <c r="Y70" s="10">
        <f t="shared" si="6"/>
        <v>0.50875778251463122</v>
      </c>
      <c r="Z70" s="10">
        <f t="shared" si="7"/>
        <v>0.52162196497724989</v>
      </c>
      <c r="AA70" s="10">
        <f t="shared" si="8"/>
        <v>0.53543265971896215</v>
      </c>
    </row>
    <row r="71" spans="22:27" x14ac:dyDescent="0.15">
      <c r="V71" s="8">
        <v>66</v>
      </c>
      <c r="W71" s="10">
        <f t="shared" ref="W71:W134" si="10">MIN(求节点(D$6:D$11,$S$6:$S$11,$V71),1)</f>
        <v>0.49562267560814621</v>
      </c>
      <c r="X71" s="10">
        <f t="shared" ref="X71:X134" si="11">MIN(求节点(E$6:E$11,$S$6:$S$11,$V71),1)</f>
        <v>0.5062956826430931</v>
      </c>
      <c r="Y71" s="10">
        <f t="shared" ref="Y71:Y134" si="12">MIN(求节点(F$6:F$11,$S$6:$S$11,$V71),1)</f>
        <v>0.51809499036727569</v>
      </c>
      <c r="Z71" s="10">
        <f t="shared" ref="Z71:Z134" si="13">MIN(求节点(G$6:G$11,$S$6:$S$11,$V71),1)</f>
        <v>0.53092541692113437</v>
      </c>
      <c r="AA71" s="10">
        <f t="shared" ref="AA71:AA134" si="14">MIN(求节点(H$6:H$11,$S$6:$S$11,$V71),1)</f>
        <v>0.54471482212903144</v>
      </c>
    </row>
    <row r="72" spans="22:27" x14ac:dyDescent="0.15">
      <c r="V72" s="8">
        <v>67</v>
      </c>
      <c r="W72" s="10">
        <f t="shared" si="10"/>
        <v>0.5048145290007503</v>
      </c>
      <c r="X72" s="10">
        <f t="shared" si="11"/>
        <v>0.51566602433822772</v>
      </c>
      <c r="Y72" s="10">
        <f t="shared" si="12"/>
        <v>0.52743219821992005</v>
      </c>
      <c r="Z72" s="10">
        <f t="shared" si="13"/>
        <v>0.54022886886501886</v>
      </c>
      <c r="AA72" s="10">
        <f t="shared" si="14"/>
        <v>0.55399698453910073</v>
      </c>
    </row>
    <row r="73" spans="22:27" x14ac:dyDescent="0.15">
      <c r="V73" s="8">
        <v>68</v>
      </c>
      <c r="W73" s="10">
        <f t="shared" si="10"/>
        <v>0.51421132099875533</v>
      </c>
      <c r="X73" s="10">
        <f t="shared" si="11"/>
        <v>0.52503636603336246</v>
      </c>
      <c r="Y73" s="10">
        <f t="shared" si="12"/>
        <v>0.53676940607256451</v>
      </c>
      <c r="Z73" s="10">
        <f t="shared" si="13"/>
        <v>0.54953232080890335</v>
      </c>
      <c r="AA73" s="10">
        <f t="shared" si="14"/>
        <v>0.56327914694917003</v>
      </c>
    </row>
    <row r="74" spans="22:27" x14ac:dyDescent="0.15">
      <c r="V74" s="8">
        <v>69</v>
      </c>
      <c r="W74" s="10">
        <f t="shared" si="10"/>
        <v>0.52360811299676036</v>
      </c>
      <c r="X74" s="10">
        <f t="shared" si="11"/>
        <v>0.53440670772849708</v>
      </c>
      <c r="Y74" s="10">
        <f t="shared" si="12"/>
        <v>0.54610661392520887</v>
      </c>
      <c r="Z74" s="10">
        <f t="shared" si="13"/>
        <v>0.55883577275278784</v>
      </c>
      <c r="AA74" s="10">
        <f t="shared" si="14"/>
        <v>0.57256130935923932</v>
      </c>
    </row>
    <row r="75" spans="22:27" x14ac:dyDescent="0.15">
      <c r="V75" s="8">
        <v>70</v>
      </c>
      <c r="W75" s="10">
        <f t="shared" si="10"/>
        <v>0.53300490499476538</v>
      </c>
      <c r="X75" s="10">
        <f t="shared" si="11"/>
        <v>0.5437770494236317</v>
      </c>
      <c r="Y75" s="10">
        <f t="shared" si="12"/>
        <v>0.55544382177785334</v>
      </c>
      <c r="Z75" s="10">
        <f t="shared" si="13"/>
        <v>0.56813922469667233</v>
      </c>
      <c r="AA75" s="10">
        <f t="shared" si="14"/>
        <v>0.58184347176930862</v>
      </c>
    </row>
    <row r="76" spans="22:27" x14ac:dyDescent="0.15">
      <c r="V76" s="8">
        <v>71</v>
      </c>
      <c r="W76" s="10">
        <f t="shared" si="10"/>
        <v>0.54240169699277052</v>
      </c>
      <c r="X76" s="10">
        <f t="shared" si="11"/>
        <v>0.55314739111876632</v>
      </c>
      <c r="Y76" s="10">
        <f t="shared" si="12"/>
        <v>0.5647810296304977</v>
      </c>
      <c r="Z76" s="10">
        <f t="shared" si="13"/>
        <v>0.57744267664055671</v>
      </c>
      <c r="AA76" s="10">
        <f t="shared" si="14"/>
        <v>0.59112563417937791</v>
      </c>
    </row>
    <row r="77" spans="22:27" x14ac:dyDescent="0.15">
      <c r="V77" s="8">
        <v>72</v>
      </c>
      <c r="W77" s="10">
        <f t="shared" si="10"/>
        <v>0.55179848899077555</v>
      </c>
      <c r="X77" s="10">
        <f t="shared" si="11"/>
        <v>0.56251773281390094</v>
      </c>
      <c r="Y77" s="10">
        <f t="shared" si="12"/>
        <v>0.57411823748314206</v>
      </c>
      <c r="Z77" s="10">
        <f t="shared" si="13"/>
        <v>0.5867461285844412</v>
      </c>
      <c r="AA77" s="10">
        <f t="shared" si="14"/>
        <v>0.60040779658944721</v>
      </c>
    </row>
    <row r="78" spans="22:27" x14ac:dyDescent="0.15">
      <c r="V78" s="8">
        <v>73</v>
      </c>
      <c r="W78" s="10">
        <f t="shared" si="10"/>
        <v>0.56119528098878058</v>
      </c>
      <c r="X78" s="10">
        <f t="shared" si="11"/>
        <v>0.57188807450903556</v>
      </c>
      <c r="Y78" s="10">
        <f t="shared" si="12"/>
        <v>0.58345544533578653</v>
      </c>
      <c r="Z78" s="10">
        <f t="shared" si="13"/>
        <v>0.59604958052832568</v>
      </c>
      <c r="AA78" s="10">
        <f t="shared" si="14"/>
        <v>0.6096899589995165</v>
      </c>
    </row>
    <row r="79" spans="22:27" x14ac:dyDescent="0.15">
      <c r="V79" s="8">
        <v>74</v>
      </c>
      <c r="W79" s="10">
        <f t="shared" si="10"/>
        <v>0.5705920729867856</v>
      </c>
      <c r="X79" s="10">
        <f t="shared" si="11"/>
        <v>0.58125841620417018</v>
      </c>
      <c r="Y79" s="10">
        <f t="shared" si="12"/>
        <v>0.59279265318843088</v>
      </c>
      <c r="Z79" s="10">
        <f t="shared" si="13"/>
        <v>0.60535303247221017</v>
      </c>
      <c r="AA79" s="10">
        <f t="shared" si="14"/>
        <v>0.6189721214095858</v>
      </c>
    </row>
    <row r="80" spans="22:27" x14ac:dyDescent="0.15">
      <c r="V80" s="8">
        <v>75</v>
      </c>
      <c r="W80" s="10">
        <f t="shared" si="10"/>
        <v>0.57998886498479063</v>
      </c>
      <c r="X80" s="10">
        <f t="shared" si="11"/>
        <v>0.5906287578993048</v>
      </c>
      <c r="Y80" s="10">
        <f t="shared" si="12"/>
        <v>0.60212986104107535</v>
      </c>
      <c r="Z80" s="10">
        <f t="shared" si="13"/>
        <v>0.61465648441609466</v>
      </c>
      <c r="AA80" s="10">
        <f t="shared" si="14"/>
        <v>0.62825428381965509</v>
      </c>
    </row>
    <row r="81" spans="22:27" x14ac:dyDescent="0.15">
      <c r="V81" s="8">
        <v>76</v>
      </c>
      <c r="W81" s="10">
        <f t="shared" si="10"/>
        <v>0.58938565698279577</v>
      </c>
      <c r="X81" s="10">
        <f t="shared" si="11"/>
        <v>0.59999909959443942</v>
      </c>
      <c r="Y81" s="10">
        <f t="shared" si="12"/>
        <v>0.61146706889371971</v>
      </c>
      <c r="Z81" s="10">
        <f t="shared" si="13"/>
        <v>0.62395993635997915</v>
      </c>
      <c r="AA81" s="10">
        <f t="shared" si="14"/>
        <v>0.63753644622972439</v>
      </c>
    </row>
    <row r="82" spans="22:27" x14ac:dyDescent="0.15">
      <c r="V82" s="8">
        <v>77</v>
      </c>
      <c r="W82" s="10">
        <f t="shared" si="10"/>
        <v>0.5987824489808008</v>
      </c>
      <c r="X82" s="10">
        <f t="shared" si="11"/>
        <v>0.60936944128957404</v>
      </c>
      <c r="Y82" s="10">
        <f t="shared" si="12"/>
        <v>0.62080427674636418</v>
      </c>
      <c r="Z82" s="10">
        <f t="shared" si="13"/>
        <v>0.63326338830386364</v>
      </c>
      <c r="AA82" s="10">
        <f t="shared" si="14"/>
        <v>0.64681860863979368</v>
      </c>
    </row>
    <row r="83" spans="22:27" x14ac:dyDescent="0.15">
      <c r="V83" s="8">
        <v>78</v>
      </c>
      <c r="W83" s="10">
        <f t="shared" si="10"/>
        <v>0.60817924097880582</v>
      </c>
      <c r="X83" s="10">
        <f t="shared" si="11"/>
        <v>0.61873978298470877</v>
      </c>
      <c r="Y83" s="10">
        <f t="shared" si="12"/>
        <v>0.63014148459900854</v>
      </c>
      <c r="Z83" s="10">
        <f t="shared" si="13"/>
        <v>0.64256684024774802</v>
      </c>
      <c r="AA83" s="10">
        <f t="shared" si="14"/>
        <v>0.65610077104986297</v>
      </c>
    </row>
    <row r="84" spans="22:27" x14ac:dyDescent="0.15">
      <c r="V84" s="8">
        <v>79</v>
      </c>
      <c r="W84" s="10">
        <f t="shared" si="10"/>
        <v>0.61757603297681085</v>
      </c>
      <c r="X84" s="10">
        <f t="shared" si="11"/>
        <v>0.62811012467984328</v>
      </c>
      <c r="Y84" s="10">
        <f t="shared" si="12"/>
        <v>0.6394786924516529</v>
      </c>
      <c r="Z84" s="10">
        <f t="shared" si="13"/>
        <v>0.65187029219163251</v>
      </c>
      <c r="AA84" s="10">
        <f t="shared" si="14"/>
        <v>0.66538293345993216</v>
      </c>
    </row>
    <row r="85" spans="22:27" x14ac:dyDescent="0.15">
      <c r="V85" s="8">
        <v>80</v>
      </c>
      <c r="W85" s="10">
        <f t="shared" si="10"/>
        <v>0.62697282497481588</v>
      </c>
      <c r="X85" s="10">
        <f t="shared" si="11"/>
        <v>0.63748046637497802</v>
      </c>
      <c r="Y85" s="10">
        <f t="shared" si="12"/>
        <v>0.64881590030429737</v>
      </c>
      <c r="Z85" s="10">
        <f t="shared" si="13"/>
        <v>0.66117374413551699</v>
      </c>
      <c r="AA85" s="10">
        <f t="shared" si="14"/>
        <v>0.67466509587000156</v>
      </c>
    </row>
    <row r="86" spans="22:27" x14ac:dyDescent="0.15">
      <c r="V86" s="8">
        <v>81</v>
      </c>
      <c r="W86" s="10">
        <f t="shared" si="10"/>
        <v>0.63636961697282102</v>
      </c>
      <c r="X86" s="10">
        <f t="shared" si="11"/>
        <v>0.64685080807011264</v>
      </c>
      <c r="Y86" s="10">
        <f t="shared" si="12"/>
        <v>0.65815310815694172</v>
      </c>
      <c r="Z86" s="10">
        <f t="shared" si="13"/>
        <v>0.67047719607940148</v>
      </c>
      <c r="AA86" s="10">
        <f t="shared" si="14"/>
        <v>0.68394725828007075</v>
      </c>
    </row>
    <row r="87" spans="22:27" x14ac:dyDescent="0.15">
      <c r="V87" s="8">
        <v>82</v>
      </c>
      <c r="W87" s="10">
        <f t="shared" si="10"/>
        <v>0.64576640897082604</v>
      </c>
      <c r="X87" s="10">
        <f t="shared" si="11"/>
        <v>0.65622114976524726</v>
      </c>
      <c r="Y87" s="10">
        <f t="shared" si="12"/>
        <v>0.66749031600958619</v>
      </c>
      <c r="Z87" s="10">
        <f t="shared" si="13"/>
        <v>0.67978064802328597</v>
      </c>
      <c r="AA87" s="10">
        <f t="shared" si="14"/>
        <v>0.69322942069014015</v>
      </c>
    </row>
    <row r="88" spans="22:27" x14ac:dyDescent="0.15">
      <c r="V88" s="8">
        <v>83</v>
      </c>
      <c r="W88" s="10">
        <f t="shared" si="10"/>
        <v>0.65516320096883107</v>
      </c>
      <c r="X88" s="10">
        <f t="shared" si="11"/>
        <v>0.66559149146038188</v>
      </c>
      <c r="Y88" s="10">
        <f t="shared" si="12"/>
        <v>0.67682752386223055</v>
      </c>
      <c r="Z88" s="10">
        <f t="shared" si="13"/>
        <v>0.68908409996717035</v>
      </c>
      <c r="AA88" s="10">
        <f t="shared" si="14"/>
        <v>0.70406093440734885</v>
      </c>
    </row>
    <row r="89" spans="22:27" x14ac:dyDescent="0.15">
      <c r="V89" s="8">
        <v>84</v>
      </c>
      <c r="W89" s="10">
        <f t="shared" si="10"/>
        <v>0.6645599929668361</v>
      </c>
      <c r="X89" s="10">
        <f t="shared" si="11"/>
        <v>0.6749618331555165</v>
      </c>
      <c r="Y89" s="10">
        <f t="shared" si="12"/>
        <v>0.68616473171487491</v>
      </c>
      <c r="Z89" s="10">
        <f t="shared" si="13"/>
        <v>0.69838755191105495</v>
      </c>
      <c r="AA89" s="10">
        <f t="shared" si="14"/>
        <v>0.71906909905955885</v>
      </c>
    </row>
    <row r="90" spans="22:27" x14ac:dyDescent="0.15">
      <c r="V90" s="8">
        <v>85</v>
      </c>
      <c r="W90" s="10">
        <f t="shared" si="10"/>
        <v>0.67395678496484113</v>
      </c>
      <c r="X90" s="10">
        <f t="shared" si="11"/>
        <v>0.68433217485065112</v>
      </c>
      <c r="Y90" s="10">
        <f t="shared" si="12"/>
        <v>0.69550193956751938</v>
      </c>
      <c r="Z90" s="10">
        <f t="shared" si="13"/>
        <v>0.71259086387467818</v>
      </c>
      <c r="AA90" s="10">
        <f t="shared" si="14"/>
        <v>0.73407726371176873</v>
      </c>
    </row>
    <row r="91" spans="22:27" x14ac:dyDescent="0.15">
      <c r="V91" s="8">
        <v>86</v>
      </c>
      <c r="W91" s="10">
        <f t="shared" si="10"/>
        <v>0.68335357696284627</v>
      </c>
      <c r="X91" s="10">
        <f t="shared" si="11"/>
        <v>0.69370251654578574</v>
      </c>
      <c r="Y91" s="10">
        <f t="shared" si="12"/>
        <v>0.70799296037137061</v>
      </c>
      <c r="Z91" s="10">
        <f t="shared" si="13"/>
        <v>0.7278214500503476</v>
      </c>
      <c r="AA91" s="10">
        <f t="shared" si="14"/>
        <v>0.74908542836397873</v>
      </c>
    </row>
    <row r="92" spans="22:27" x14ac:dyDescent="0.15">
      <c r="V92" s="8">
        <v>87</v>
      </c>
      <c r="W92" s="10">
        <f t="shared" si="10"/>
        <v>0.69275036896085129</v>
      </c>
      <c r="X92" s="10">
        <f t="shared" si="11"/>
        <v>0.70510840061822933</v>
      </c>
      <c r="Y92" s="10">
        <f t="shared" si="12"/>
        <v>0.72341549782796055</v>
      </c>
      <c r="Z92" s="10">
        <f t="shared" si="13"/>
        <v>0.7430520362260169</v>
      </c>
      <c r="AA92" s="10">
        <f t="shared" si="14"/>
        <v>0.76409359301618873</v>
      </c>
    </row>
    <row r="93" spans="22:27" x14ac:dyDescent="0.15">
      <c r="V93" s="8">
        <v>88</v>
      </c>
      <c r="W93" s="10">
        <f t="shared" si="10"/>
        <v>0.70358959130072352</v>
      </c>
      <c r="X93" s="10">
        <f t="shared" si="11"/>
        <v>0.72068590389221932</v>
      </c>
      <c r="Y93" s="10">
        <f t="shared" si="12"/>
        <v>0.73883803528455061</v>
      </c>
      <c r="Z93" s="10">
        <f t="shared" si="13"/>
        <v>0.75828262240168631</v>
      </c>
      <c r="AA93" s="10">
        <f t="shared" si="14"/>
        <v>0.77910175766839862</v>
      </c>
    </row>
    <row r="94" spans="22:27" x14ac:dyDescent="0.15">
      <c r="V94" s="8">
        <v>89</v>
      </c>
      <c r="W94" s="10">
        <f t="shared" si="10"/>
        <v>0.71929900641076372</v>
      </c>
      <c r="X94" s="10">
        <f t="shared" si="11"/>
        <v>0.73626340716620942</v>
      </c>
      <c r="Y94" s="10">
        <f t="shared" si="12"/>
        <v>0.75426057274114067</v>
      </c>
      <c r="Z94" s="10">
        <f t="shared" si="13"/>
        <v>0.77351320857735562</v>
      </c>
      <c r="AA94" s="10">
        <f t="shared" si="14"/>
        <v>0.79410992232060862</v>
      </c>
    </row>
    <row r="95" spans="22:27" x14ac:dyDescent="0.15">
      <c r="V95" s="8">
        <v>90</v>
      </c>
      <c r="W95" s="10">
        <f t="shared" si="10"/>
        <v>0.73500842152080403</v>
      </c>
      <c r="X95" s="10">
        <f t="shared" si="11"/>
        <v>0.75184091044019941</v>
      </c>
      <c r="Y95" s="10">
        <f t="shared" si="12"/>
        <v>0.76968311019773061</v>
      </c>
      <c r="Z95" s="10">
        <f t="shared" si="13"/>
        <v>0.78874379475302503</v>
      </c>
      <c r="AA95" s="10">
        <f t="shared" si="14"/>
        <v>0.80911808697281851</v>
      </c>
    </row>
    <row r="96" spans="22:27" x14ac:dyDescent="0.15">
      <c r="V96" s="8">
        <v>91</v>
      </c>
      <c r="W96" s="10">
        <f t="shared" si="10"/>
        <v>0.75071783663084435</v>
      </c>
      <c r="X96" s="10">
        <f t="shared" si="11"/>
        <v>0.76741841371418951</v>
      </c>
      <c r="Y96" s="10">
        <f t="shared" si="12"/>
        <v>0.78510564765432067</v>
      </c>
      <c r="Z96" s="10">
        <f t="shared" si="13"/>
        <v>0.80397438092869433</v>
      </c>
      <c r="AA96" s="10">
        <f t="shared" si="14"/>
        <v>0.82412625162502851</v>
      </c>
    </row>
    <row r="97" spans="22:27" x14ac:dyDescent="0.15">
      <c r="V97" s="8">
        <v>92</v>
      </c>
      <c r="W97" s="10">
        <f t="shared" si="10"/>
        <v>0.76642725174088455</v>
      </c>
      <c r="X97" s="10">
        <f t="shared" si="11"/>
        <v>0.78299591698817961</v>
      </c>
      <c r="Y97" s="10">
        <f t="shared" si="12"/>
        <v>0.80052818511091073</v>
      </c>
      <c r="Z97" s="10">
        <f t="shared" si="13"/>
        <v>0.81920496710436375</v>
      </c>
      <c r="AA97" s="10">
        <f t="shared" si="14"/>
        <v>0.8391344162772385</v>
      </c>
    </row>
    <row r="98" spans="22:27" x14ac:dyDescent="0.15">
      <c r="V98" s="8">
        <v>93</v>
      </c>
      <c r="W98" s="10">
        <f t="shared" si="10"/>
        <v>0.78213666685092487</v>
      </c>
      <c r="X98" s="10">
        <f t="shared" si="11"/>
        <v>0.7985734202621696</v>
      </c>
      <c r="Y98" s="10">
        <f t="shared" si="12"/>
        <v>0.81595072256750067</v>
      </c>
      <c r="Z98" s="10">
        <f t="shared" si="13"/>
        <v>0.83443555328003316</v>
      </c>
      <c r="AA98" s="10">
        <f t="shared" si="14"/>
        <v>0.85414258092944839</v>
      </c>
    </row>
    <row r="99" spans="22:27" x14ac:dyDescent="0.15">
      <c r="V99" s="8">
        <v>94</v>
      </c>
      <c r="W99" s="10">
        <f t="shared" si="10"/>
        <v>0.79784608196096518</v>
      </c>
      <c r="X99" s="10">
        <f t="shared" si="11"/>
        <v>0.8141509235361597</v>
      </c>
      <c r="Y99" s="10">
        <f t="shared" si="12"/>
        <v>0.83137326002409073</v>
      </c>
      <c r="Z99" s="10">
        <f t="shared" si="13"/>
        <v>0.84966613945570246</v>
      </c>
      <c r="AA99" s="10">
        <f t="shared" si="14"/>
        <v>0.86915074558165839</v>
      </c>
    </row>
    <row r="100" spans="22:27" x14ac:dyDescent="0.15">
      <c r="V100" s="8">
        <v>95</v>
      </c>
      <c r="W100" s="10">
        <f t="shared" si="10"/>
        <v>0.81355549707100538</v>
      </c>
      <c r="X100" s="10">
        <f t="shared" si="11"/>
        <v>0.82972842681014969</v>
      </c>
      <c r="Y100" s="10">
        <f t="shared" si="12"/>
        <v>0.84679579748068079</v>
      </c>
      <c r="Z100" s="10">
        <f t="shared" si="13"/>
        <v>0.86489672563137188</v>
      </c>
      <c r="AA100" s="10">
        <f t="shared" si="14"/>
        <v>0.88415891023386828</v>
      </c>
    </row>
    <row r="101" spans="22:27" x14ac:dyDescent="0.15">
      <c r="V101" s="8">
        <v>96</v>
      </c>
      <c r="W101" s="10">
        <f t="shared" si="10"/>
        <v>0.8292649121810457</v>
      </c>
      <c r="X101" s="10">
        <f t="shared" si="11"/>
        <v>0.84530593008413979</v>
      </c>
      <c r="Y101" s="10">
        <f t="shared" si="12"/>
        <v>0.86221833493727074</v>
      </c>
      <c r="Z101" s="10">
        <f t="shared" si="13"/>
        <v>0.88012731180704118</v>
      </c>
      <c r="AA101" s="10">
        <f t="shared" si="14"/>
        <v>0.89916707488607828</v>
      </c>
    </row>
    <row r="102" spans="22:27" x14ac:dyDescent="0.15">
      <c r="V102" s="8">
        <v>97</v>
      </c>
      <c r="W102" s="10">
        <f t="shared" si="10"/>
        <v>0.8449743272910859</v>
      </c>
      <c r="X102" s="10">
        <f t="shared" si="11"/>
        <v>0.86088343335812989</v>
      </c>
      <c r="Y102" s="10">
        <f t="shared" si="12"/>
        <v>0.87764087239386079</v>
      </c>
      <c r="Z102" s="10">
        <f t="shared" si="13"/>
        <v>0.89535789798271059</v>
      </c>
      <c r="AA102" s="10">
        <f t="shared" si="14"/>
        <v>0.91417523953828828</v>
      </c>
    </row>
    <row r="103" spans="22:27" x14ac:dyDescent="0.15">
      <c r="V103" s="8">
        <v>98</v>
      </c>
      <c r="W103" s="10">
        <f t="shared" si="10"/>
        <v>0.86068374240112622</v>
      </c>
      <c r="X103" s="10">
        <f t="shared" si="11"/>
        <v>0.87646093663211988</v>
      </c>
      <c r="Y103" s="10">
        <f t="shared" si="12"/>
        <v>0.89306340985045085</v>
      </c>
      <c r="Z103" s="10">
        <f t="shared" si="13"/>
        <v>0.9105884841583799</v>
      </c>
      <c r="AA103" s="10">
        <f t="shared" si="14"/>
        <v>0.92918340419049816</v>
      </c>
    </row>
    <row r="104" spans="22:27" x14ac:dyDescent="0.15">
      <c r="V104" s="8">
        <v>99</v>
      </c>
      <c r="W104" s="10">
        <f t="shared" si="10"/>
        <v>0.87639315751116653</v>
      </c>
      <c r="X104" s="10">
        <f t="shared" si="11"/>
        <v>0.89203843990610998</v>
      </c>
      <c r="Y104" s="10">
        <f t="shared" si="12"/>
        <v>0.9084859473070408</v>
      </c>
      <c r="Z104" s="10">
        <f t="shared" si="13"/>
        <v>0.92581907033404931</v>
      </c>
      <c r="AA104" s="10">
        <f t="shared" si="14"/>
        <v>0.94419156884270816</v>
      </c>
    </row>
    <row r="105" spans="22:27" x14ac:dyDescent="0.15">
      <c r="V105" s="8">
        <v>100</v>
      </c>
      <c r="W105" s="10">
        <f t="shared" si="10"/>
        <v>0.89210257262120685</v>
      </c>
      <c r="X105" s="10">
        <f t="shared" si="11"/>
        <v>0.90761594318010008</v>
      </c>
      <c r="Y105" s="10">
        <f t="shared" si="12"/>
        <v>0.92390848476363086</v>
      </c>
      <c r="Z105" s="10">
        <f t="shared" si="13"/>
        <v>0.94104965650971861</v>
      </c>
      <c r="AA105" s="10">
        <f t="shared" si="14"/>
        <v>0.95919973349491805</v>
      </c>
    </row>
    <row r="106" spans="22:27" x14ac:dyDescent="0.15">
      <c r="V106" s="8">
        <v>101</v>
      </c>
      <c r="W106" s="10">
        <f t="shared" si="10"/>
        <v>0.90781198773124705</v>
      </c>
      <c r="X106" s="10">
        <f t="shared" si="11"/>
        <v>0.92319344645409007</v>
      </c>
      <c r="Y106" s="10">
        <f t="shared" si="12"/>
        <v>0.93933102222022091</v>
      </c>
      <c r="Z106" s="10">
        <f t="shared" si="13"/>
        <v>0.95628024268538803</v>
      </c>
      <c r="AA106" s="10">
        <f t="shared" si="14"/>
        <v>0.97420789814712805</v>
      </c>
    </row>
    <row r="107" spans="22:27" x14ac:dyDescent="0.15">
      <c r="V107" s="8">
        <v>102</v>
      </c>
      <c r="W107" s="10">
        <f t="shared" si="10"/>
        <v>0.92352140284128736</v>
      </c>
      <c r="X107" s="10">
        <f t="shared" si="11"/>
        <v>0.93877094972808017</v>
      </c>
      <c r="Y107" s="10">
        <f t="shared" si="12"/>
        <v>0.95475355967681086</v>
      </c>
      <c r="Z107" s="10">
        <f t="shared" si="13"/>
        <v>0.97151082886105744</v>
      </c>
      <c r="AA107" s="10">
        <f t="shared" si="14"/>
        <v>0.98921606279933805</v>
      </c>
    </row>
    <row r="108" spans="22:27" x14ac:dyDescent="0.15">
      <c r="V108" s="8">
        <v>103</v>
      </c>
      <c r="W108" s="10">
        <f t="shared" si="10"/>
        <v>0.93923081795132757</v>
      </c>
      <c r="X108" s="10">
        <f t="shared" si="11"/>
        <v>0.95434845300207027</v>
      </c>
      <c r="Y108" s="10">
        <f t="shared" si="12"/>
        <v>0.97017609713340081</v>
      </c>
      <c r="Z108" s="10">
        <f t="shared" si="13"/>
        <v>0.98674141503672674</v>
      </c>
      <c r="AA108" s="10">
        <f t="shared" si="14"/>
        <v>1</v>
      </c>
    </row>
    <row r="109" spans="22:27" x14ac:dyDescent="0.15">
      <c r="V109" s="8">
        <v>104</v>
      </c>
      <c r="W109" s="10">
        <f t="shared" si="10"/>
        <v>0.95494023306136788</v>
      </c>
      <c r="X109" s="10">
        <f t="shared" si="11"/>
        <v>0.96992595627606026</v>
      </c>
      <c r="Y109" s="10">
        <f t="shared" si="12"/>
        <v>0.98559863458999097</v>
      </c>
      <c r="Z109" s="10">
        <f t="shared" si="13"/>
        <v>1</v>
      </c>
      <c r="AA109" s="10">
        <f t="shared" si="14"/>
        <v>1</v>
      </c>
    </row>
    <row r="110" spans="22:27" x14ac:dyDescent="0.15">
      <c r="V110" s="8">
        <v>105</v>
      </c>
      <c r="W110" s="10">
        <f t="shared" si="10"/>
        <v>0.9706496481714082</v>
      </c>
      <c r="X110" s="10">
        <f t="shared" si="11"/>
        <v>0.98550345955005036</v>
      </c>
      <c r="Y110" s="10">
        <f t="shared" si="12"/>
        <v>1</v>
      </c>
      <c r="Z110" s="10">
        <f t="shared" si="13"/>
        <v>1</v>
      </c>
      <c r="AA110" s="10">
        <f t="shared" si="14"/>
        <v>1</v>
      </c>
    </row>
    <row r="111" spans="22:27" x14ac:dyDescent="0.15">
      <c r="V111" s="8">
        <v>106</v>
      </c>
      <c r="W111" s="10">
        <f t="shared" si="10"/>
        <v>0.98635906328144851</v>
      </c>
      <c r="X111" s="10">
        <f t="shared" si="11"/>
        <v>1</v>
      </c>
      <c r="Y111" s="10">
        <f t="shared" si="12"/>
        <v>1</v>
      </c>
      <c r="Z111" s="10">
        <f t="shared" si="13"/>
        <v>1</v>
      </c>
      <c r="AA111" s="10">
        <f t="shared" si="14"/>
        <v>1</v>
      </c>
    </row>
    <row r="112" spans="22:27" x14ac:dyDescent="0.15">
      <c r="V112" s="8">
        <v>107</v>
      </c>
      <c r="W112" s="10">
        <f t="shared" si="10"/>
        <v>1</v>
      </c>
      <c r="X112" s="10">
        <f t="shared" si="11"/>
        <v>1</v>
      </c>
      <c r="Y112" s="10">
        <f t="shared" si="12"/>
        <v>1</v>
      </c>
      <c r="Z112" s="10">
        <f t="shared" si="13"/>
        <v>1</v>
      </c>
      <c r="AA112" s="10">
        <f t="shared" si="14"/>
        <v>1</v>
      </c>
    </row>
    <row r="113" spans="22:27" x14ac:dyDescent="0.15">
      <c r="V113" s="8">
        <v>108</v>
      </c>
      <c r="W113" s="10">
        <f t="shared" si="10"/>
        <v>1</v>
      </c>
      <c r="X113" s="10">
        <f t="shared" si="11"/>
        <v>1</v>
      </c>
      <c r="Y113" s="10">
        <f t="shared" si="12"/>
        <v>1</v>
      </c>
      <c r="Z113" s="10">
        <f t="shared" si="13"/>
        <v>1</v>
      </c>
      <c r="AA113" s="10">
        <f t="shared" si="14"/>
        <v>1</v>
      </c>
    </row>
    <row r="114" spans="22:27" x14ac:dyDescent="0.15">
      <c r="V114" s="8">
        <v>109</v>
      </c>
      <c r="W114" s="10">
        <f t="shared" si="10"/>
        <v>1</v>
      </c>
      <c r="X114" s="10">
        <f t="shared" si="11"/>
        <v>1</v>
      </c>
      <c r="Y114" s="10">
        <f t="shared" si="12"/>
        <v>1</v>
      </c>
      <c r="Z114" s="10">
        <f t="shared" si="13"/>
        <v>1</v>
      </c>
      <c r="AA114" s="10">
        <f t="shared" si="14"/>
        <v>1</v>
      </c>
    </row>
    <row r="115" spans="22:27" x14ac:dyDescent="0.15">
      <c r="V115" s="8">
        <v>110</v>
      </c>
      <c r="W115" s="10">
        <f t="shared" si="10"/>
        <v>1</v>
      </c>
      <c r="X115" s="10">
        <f t="shared" si="11"/>
        <v>1</v>
      </c>
      <c r="Y115" s="10">
        <f t="shared" si="12"/>
        <v>1</v>
      </c>
      <c r="Z115" s="10">
        <f t="shared" si="13"/>
        <v>1</v>
      </c>
      <c r="AA115" s="10">
        <f t="shared" si="14"/>
        <v>1</v>
      </c>
    </row>
    <row r="116" spans="22:27" x14ac:dyDescent="0.15">
      <c r="V116" s="8">
        <v>111</v>
      </c>
      <c r="W116" s="10">
        <f t="shared" si="10"/>
        <v>1</v>
      </c>
      <c r="X116" s="10">
        <f t="shared" si="11"/>
        <v>1</v>
      </c>
      <c r="Y116" s="10">
        <f t="shared" si="12"/>
        <v>1</v>
      </c>
      <c r="Z116" s="10">
        <f t="shared" si="13"/>
        <v>1</v>
      </c>
      <c r="AA116" s="10">
        <f t="shared" si="14"/>
        <v>1</v>
      </c>
    </row>
    <row r="117" spans="22:27" x14ac:dyDescent="0.15">
      <c r="V117" s="8">
        <v>112</v>
      </c>
      <c r="W117" s="10">
        <f t="shared" si="10"/>
        <v>1</v>
      </c>
      <c r="X117" s="10">
        <f t="shared" si="11"/>
        <v>1</v>
      </c>
      <c r="Y117" s="10">
        <f t="shared" si="12"/>
        <v>1</v>
      </c>
      <c r="Z117" s="10">
        <f t="shared" si="13"/>
        <v>1</v>
      </c>
      <c r="AA117" s="10">
        <f t="shared" si="14"/>
        <v>1</v>
      </c>
    </row>
    <row r="118" spans="22:27" x14ac:dyDescent="0.15">
      <c r="V118" s="8">
        <v>113</v>
      </c>
      <c r="W118" s="10">
        <f t="shared" si="10"/>
        <v>1</v>
      </c>
      <c r="X118" s="10">
        <f t="shared" si="11"/>
        <v>1</v>
      </c>
      <c r="Y118" s="10">
        <f t="shared" si="12"/>
        <v>1</v>
      </c>
      <c r="Z118" s="10">
        <f t="shared" si="13"/>
        <v>1</v>
      </c>
      <c r="AA118" s="10">
        <f t="shared" si="14"/>
        <v>1</v>
      </c>
    </row>
    <row r="119" spans="22:27" x14ac:dyDescent="0.15">
      <c r="V119" s="8">
        <v>114</v>
      </c>
      <c r="W119" s="10">
        <f t="shared" si="10"/>
        <v>1</v>
      </c>
      <c r="X119" s="10">
        <f t="shared" si="11"/>
        <v>1</v>
      </c>
      <c r="Y119" s="10">
        <f t="shared" si="12"/>
        <v>1</v>
      </c>
      <c r="Z119" s="10">
        <f t="shared" si="13"/>
        <v>1</v>
      </c>
      <c r="AA119" s="10">
        <f t="shared" si="14"/>
        <v>1</v>
      </c>
    </row>
    <row r="120" spans="22:27" x14ac:dyDescent="0.15">
      <c r="V120" s="8">
        <v>115</v>
      </c>
      <c r="W120" s="10">
        <f t="shared" si="10"/>
        <v>1</v>
      </c>
      <c r="X120" s="10">
        <f t="shared" si="11"/>
        <v>1</v>
      </c>
      <c r="Y120" s="10">
        <f t="shared" si="12"/>
        <v>1</v>
      </c>
      <c r="Z120" s="10">
        <f t="shared" si="13"/>
        <v>1</v>
      </c>
      <c r="AA120" s="10">
        <f t="shared" si="14"/>
        <v>1</v>
      </c>
    </row>
    <row r="121" spans="22:27" x14ac:dyDescent="0.15">
      <c r="V121" s="8">
        <v>116</v>
      </c>
      <c r="W121" s="10">
        <f t="shared" si="10"/>
        <v>1</v>
      </c>
      <c r="X121" s="10">
        <f t="shared" si="11"/>
        <v>1</v>
      </c>
      <c r="Y121" s="10">
        <f t="shared" si="12"/>
        <v>1</v>
      </c>
      <c r="Z121" s="10">
        <f t="shared" si="13"/>
        <v>1</v>
      </c>
      <c r="AA121" s="10">
        <f t="shared" si="14"/>
        <v>1</v>
      </c>
    </row>
    <row r="122" spans="22:27" x14ac:dyDescent="0.15">
      <c r="V122" s="8">
        <v>117</v>
      </c>
      <c r="W122" s="10">
        <f t="shared" si="10"/>
        <v>1</v>
      </c>
      <c r="X122" s="10">
        <f t="shared" si="11"/>
        <v>1</v>
      </c>
      <c r="Y122" s="10">
        <f t="shared" si="12"/>
        <v>1</v>
      </c>
      <c r="Z122" s="10">
        <f t="shared" si="13"/>
        <v>1</v>
      </c>
      <c r="AA122" s="10">
        <f t="shared" si="14"/>
        <v>1</v>
      </c>
    </row>
    <row r="123" spans="22:27" x14ac:dyDescent="0.15">
      <c r="V123" s="8">
        <v>118</v>
      </c>
      <c r="W123" s="10">
        <f t="shared" si="10"/>
        <v>1</v>
      </c>
      <c r="X123" s="10">
        <f t="shared" si="11"/>
        <v>1</v>
      </c>
      <c r="Y123" s="10">
        <f t="shared" si="12"/>
        <v>1</v>
      </c>
      <c r="Z123" s="10">
        <f t="shared" si="13"/>
        <v>1</v>
      </c>
      <c r="AA123" s="10">
        <f t="shared" si="14"/>
        <v>1</v>
      </c>
    </row>
    <row r="124" spans="22:27" x14ac:dyDescent="0.15">
      <c r="V124" s="8">
        <v>119</v>
      </c>
      <c r="W124" s="10">
        <f t="shared" si="10"/>
        <v>1</v>
      </c>
      <c r="X124" s="10">
        <f t="shared" si="11"/>
        <v>1</v>
      </c>
      <c r="Y124" s="10">
        <f t="shared" si="12"/>
        <v>1</v>
      </c>
      <c r="Z124" s="10">
        <f t="shared" si="13"/>
        <v>1</v>
      </c>
      <c r="AA124" s="10">
        <f t="shared" si="14"/>
        <v>1</v>
      </c>
    </row>
    <row r="125" spans="22:27" x14ac:dyDescent="0.15">
      <c r="V125" s="8">
        <v>120</v>
      </c>
      <c r="W125" s="10">
        <f t="shared" si="10"/>
        <v>1</v>
      </c>
      <c r="X125" s="10">
        <f t="shared" si="11"/>
        <v>1</v>
      </c>
      <c r="Y125" s="10">
        <f t="shared" si="12"/>
        <v>1</v>
      </c>
      <c r="Z125" s="10">
        <f t="shared" si="13"/>
        <v>1</v>
      </c>
      <c r="AA125" s="10">
        <f t="shared" si="14"/>
        <v>1</v>
      </c>
    </row>
    <row r="126" spans="22:27" x14ac:dyDescent="0.15">
      <c r="V126" s="8">
        <v>121</v>
      </c>
      <c r="W126" s="10">
        <f t="shared" si="10"/>
        <v>1</v>
      </c>
      <c r="X126" s="10">
        <f t="shared" si="11"/>
        <v>1</v>
      </c>
      <c r="Y126" s="10">
        <f t="shared" si="12"/>
        <v>1</v>
      </c>
      <c r="Z126" s="10">
        <f t="shared" si="13"/>
        <v>1</v>
      </c>
      <c r="AA126" s="10">
        <f t="shared" si="14"/>
        <v>1</v>
      </c>
    </row>
    <row r="127" spans="22:27" x14ac:dyDescent="0.15">
      <c r="V127" s="8">
        <v>122</v>
      </c>
      <c r="W127" s="10">
        <f t="shared" si="10"/>
        <v>1</v>
      </c>
      <c r="X127" s="10">
        <f t="shared" si="11"/>
        <v>1</v>
      </c>
      <c r="Y127" s="10">
        <f t="shared" si="12"/>
        <v>1</v>
      </c>
      <c r="Z127" s="10">
        <f t="shared" si="13"/>
        <v>1</v>
      </c>
      <c r="AA127" s="10">
        <f t="shared" si="14"/>
        <v>1</v>
      </c>
    </row>
    <row r="128" spans="22:27" x14ac:dyDescent="0.15">
      <c r="V128" s="8">
        <v>123</v>
      </c>
      <c r="W128" s="10">
        <f t="shared" si="10"/>
        <v>1</v>
      </c>
      <c r="X128" s="10">
        <f t="shared" si="11"/>
        <v>1</v>
      </c>
      <c r="Y128" s="10">
        <f t="shared" si="12"/>
        <v>1</v>
      </c>
      <c r="Z128" s="10">
        <f t="shared" si="13"/>
        <v>1</v>
      </c>
      <c r="AA128" s="10">
        <f t="shared" si="14"/>
        <v>1</v>
      </c>
    </row>
    <row r="129" spans="22:27" x14ac:dyDescent="0.15">
      <c r="V129" s="8">
        <v>124</v>
      </c>
      <c r="W129" s="10">
        <f t="shared" si="10"/>
        <v>1</v>
      </c>
      <c r="X129" s="10">
        <f t="shared" si="11"/>
        <v>1</v>
      </c>
      <c r="Y129" s="10">
        <f t="shared" si="12"/>
        <v>1</v>
      </c>
      <c r="Z129" s="10">
        <f t="shared" si="13"/>
        <v>1</v>
      </c>
      <c r="AA129" s="10">
        <f t="shared" si="14"/>
        <v>1</v>
      </c>
    </row>
    <row r="130" spans="22:27" x14ac:dyDescent="0.15">
      <c r="V130" s="8">
        <v>125</v>
      </c>
      <c r="W130" s="10">
        <f t="shared" si="10"/>
        <v>1</v>
      </c>
      <c r="X130" s="10">
        <f t="shared" si="11"/>
        <v>1</v>
      </c>
      <c r="Y130" s="10">
        <f t="shared" si="12"/>
        <v>1</v>
      </c>
      <c r="Z130" s="10">
        <f t="shared" si="13"/>
        <v>1</v>
      </c>
      <c r="AA130" s="10">
        <f t="shared" si="14"/>
        <v>1</v>
      </c>
    </row>
    <row r="131" spans="22:27" x14ac:dyDescent="0.15">
      <c r="V131" s="8">
        <v>126</v>
      </c>
      <c r="W131" s="10">
        <f t="shared" si="10"/>
        <v>1</v>
      </c>
      <c r="X131" s="10">
        <f t="shared" si="11"/>
        <v>1</v>
      </c>
      <c r="Y131" s="10">
        <f t="shared" si="12"/>
        <v>1</v>
      </c>
      <c r="Z131" s="10">
        <f t="shared" si="13"/>
        <v>1</v>
      </c>
      <c r="AA131" s="10">
        <f t="shared" si="14"/>
        <v>1</v>
      </c>
    </row>
    <row r="132" spans="22:27" x14ac:dyDescent="0.15">
      <c r="V132" s="8">
        <v>127</v>
      </c>
      <c r="W132" s="10">
        <f t="shared" si="10"/>
        <v>1</v>
      </c>
      <c r="X132" s="10">
        <f t="shared" si="11"/>
        <v>1</v>
      </c>
      <c r="Y132" s="10">
        <f t="shared" si="12"/>
        <v>1</v>
      </c>
      <c r="Z132" s="10">
        <f t="shared" si="13"/>
        <v>1</v>
      </c>
      <c r="AA132" s="10">
        <f t="shared" si="14"/>
        <v>1</v>
      </c>
    </row>
    <row r="133" spans="22:27" x14ac:dyDescent="0.15">
      <c r="V133" s="8">
        <v>128</v>
      </c>
      <c r="W133" s="10">
        <f t="shared" si="10"/>
        <v>1</v>
      </c>
      <c r="X133" s="10">
        <f t="shared" si="11"/>
        <v>1</v>
      </c>
      <c r="Y133" s="10">
        <f t="shared" si="12"/>
        <v>1</v>
      </c>
      <c r="Z133" s="10">
        <f t="shared" si="13"/>
        <v>1</v>
      </c>
      <c r="AA133" s="10">
        <f t="shared" si="14"/>
        <v>1</v>
      </c>
    </row>
    <row r="134" spans="22:27" x14ac:dyDescent="0.15">
      <c r="V134" s="8">
        <v>129</v>
      </c>
      <c r="W134" s="10">
        <f t="shared" si="10"/>
        <v>1</v>
      </c>
      <c r="X134" s="10">
        <f t="shared" si="11"/>
        <v>1</v>
      </c>
      <c r="Y134" s="10">
        <f t="shared" si="12"/>
        <v>1</v>
      </c>
      <c r="Z134" s="10">
        <f t="shared" si="13"/>
        <v>1</v>
      </c>
      <c r="AA134" s="10">
        <f t="shared" si="14"/>
        <v>1</v>
      </c>
    </row>
    <row r="135" spans="22:27" x14ac:dyDescent="0.15">
      <c r="V135" s="8">
        <v>130</v>
      </c>
      <c r="W135" s="10">
        <f t="shared" ref="W135:W165" si="15">MIN(求节点(D$6:D$11,$S$6:$S$11,$V135),1)</f>
        <v>1</v>
      </c>
      <c r="X135" s="10">
        <f t="shared" ref="X135:X165" si="16">MIN(求节点(E$6:E$11,$S$6:$S$11,$V135),1)</f>
        <v>1</v>
      </c>
      <c r="Y135" s="10">
        <f t="shared" ref="Y135:Y165" si="17">MIN(求节点(F$6:F$11,$S$6:$S$11,$V135),1)</f>
        <v>1</v>
      </c>
      <c r="Z135" s="10">
        <f t="shared" ref="Z135:Z165" si="18">MIN(求节点(G$6:G$11,$S$6:$S$11,$V135),1)</f>
        <v>1</v>
      </c>
      <c r="AA135" s="10">
        <f t="shared" ref="AA135:AA165" si="19">MIN(求节点(H$6:H$11,$S$6:$S$11,$V135),1)</f>
        <v>1</v>
      </c>
    </row>
    <row r="136" spans="22:27" x14ac:dyDescent="0.15">
      <c r="V136" s="8">
        <v>131</v>
      </c>
      <c r="W136" s="10">
        <f t="shared" si="15"/>
        <v>1</v>
      </c>
      <c r="X136" s="10">
        <f t="shared" si="16"/>
        <v>1</v>
      </c>
      <c r="Y136" s="10">
        <f t="shared" si="17"/>
        <v>1</v>
      </c>
      <c r="Z136" s="10">
        <f t="shared" si="18"/>
        <v>1</v>
      </c>
      <c r="AA136" s="10">
        <f t="shared" si="19"/>
        <v>1</v>
      </c>
    </row>
    <row r="137" spans="22:27" x14ac:dyDescent="0.15">
      <c r="V137" s="8">
        <v>132</v>
      </c>
      <c r="W137" s="10">
        <f t="shared" si="15"/>
        <v>1</v>
      </c>
      <c r="X137" s="10">
        <f t="shared" si="16"/>
        <v>1</v>
      </c>
      <c r="Y137" s="10">
        <f t="shared" si="17"/>
        <v>1</v>
      </c>
      <c r="Z137" s="10">
        <f t="shared" si="18"/>
        <v>1</v>
      </c>
      <c r="AA137" s="10">
        <f t="shared" si="19"/>
        <v>1</v>
      </c>
    </row>
    <row r="138" spans="22:27" x14ac:dyDescent="0.15">
      <c r="V138" s="8">
        <v>133</v>
      </c>
      <c r="W138" s="10">
        <f t="shared" si="15"/>
        <v>1</v>
      </c>
      <c r="X138" s="10">
        <f t="shared" si="16"/>
        <v>1</v>
      </c>
      <c r="Y138" s="10">
        <f t="shared" si="17"/>
        <v>1</v>
      </c>
      <c r="Z138" s="10">
        <f t="shared" si="18"/>
        <v>1</v>
      </c>
      <c r="AA138" s="10">
        <f t="shared" si="19"/>
        <v>1</v>
      </c>
    </row>
    <row r="139" spans="22:27" x14ac:dyDescent="0.15">
      <c r="V139" s="8">
        <v>134</v>
      </c>
      <c r="W139" s="10">
        <f t="shared" si="15"/>
        <v>1</v>
      </c>
      <c r="X139" s="10">
        <f t="shared" si="16"/>
        <v>1</v>
      </c>
      <c r="Y139" s="10">
        <f t="shared" si="17"/>
        <v>1</v>
      </c>
      <c r="Z139" s="10">
        <f t="shared" si="18"/>
        <v>1</v>
      </c>
      <c r="AA139" s="10">
        <f t="shared" si="19"/>
        <v>1</v>
      </c>
    </row>
    <row r="140" spans="22:27" x14ac:dyDescent="0.15">
      <c r="V140" s="8">
        <v>135</v>
      </c>
      <c r="W140" s="10">
        <f t="shared" si="15"/>
        <v>1</v>
      </c>
      <c r="X140" s="10">
        <f t="shared" si="16"/>
        <v>1</v>
      </c>
      <c r="Y140" s="10">
        <f t="shared" si="17"/>
        <v>1</v>
      </c>
      <c r="Z140" s="10">
        <f t="shared" si="18"/>
        <v>1</v>
      </c>
      <c r="AA140" s="10">
        <f t="shared" si="19"/>
        <v>1</v>
      </c>
    </row>
    <row r="141" spans="22:27" x14ac:dyDescent="0.15">
      <c r="V141" s="8">
        <v>136</v>
      </c>
      <c r="W141" s="10">
        <f t="shared" si="15"/>
        <v>1</v>
      </c>
      <c r="X141" s="10">
        <f t="shared" si="16"/>
        <v>1</v>
      </c>
      <c r="Y141" s="10">
        <f t="shared" si="17"/>
        <v>1</v>
      </c>
      <c r="Z141" s="10">
        <f t="shared" si="18"/>
        <v>1</v>
      </c>
      <c r="AA141" s="10">
        <f t="shared" si="19"/>
        <v>1</v>
      </c>
    </row>
    <row r="142" spans="22:27" x14ac:dyDescent="0.15">
      <c r="V142" s="8">
        <v>137</v>
      </c>
      <c r="W142" s="10">
        <f t="shared" si="15"/>
        <v>1</v>
      </c>
      <c r="X142" s="10">
        <f t="shared" si="16"/>
        <v>1</v>
      </c>
      <c r="Y142" s="10">
        <f t="shared" si="17"/>
        <v>1</v>
      </c>
      <c r="Z142" s="10">
        <f t="shared" si="18"/>
        <v>1</v>
      </c>
      <c r="AA142" s="10">
        <f t="shared" si="19"/>
        <v>1</v>
      </c>
    </row>
    <row r="143" spans="22:27" x14ac:dyDescent="0.15">
      <c r="V143" s="8">
        <v>138</v>
      </c>
      <c r="W143" s="10">
        <f t="shared" si="15"/>
        <v>1</v>
      </c>
      <c r="X143" s="10">
        <f t="shared" si="16"/>
        <v>1</v>
      </c>
      <c r="Y143" s="10">
        <f t="shared" si="17"/>
        <v>1</v>
      </c>
      <c r="Z143" s="10">
        <f t="shared" si="18"/>
        <v>1</v>
      </c>
      <c r="AA143" s="10">
        <f t="shared" si="19"/>
        <v>1</v>
      </c>
    </row>
    <row r="144" spans="22:27" x14ac:dyDescent="0.15">
      <c r="V144" s="8">
        <v>139</v>
      </c>
      <c r="W144" s="10">
        <f t="shared" si="15"/>
        <v>1</v>
      </c>
      <c r="X144" s="10">
        <f t="shared" si="16"/>
        <v>1</v>
      </c>
      <c r="Y144" s="10">
        <f t="shared" si="17"/>
        <v>1</v>
      </c>
      <c r="Z144" s="10">
        <f t="shared" si="18"/>
        <v>1</v>
      </c>
      <c r="AA144" s="10">
        <f t="shared" si="19"/>
        <v>1</v>
      </c>
    </row>
    <row r="145" spans="22:27" x14ac:dyDescent="0.15">
      <c r="V145" s="8">
        <v>140</v>
      </c>
      <c r="W145" s="10">
        <f t="shared" si="15"/>
        <v>1</v>
      </c>
      <c r="X145" s="10">
        <f t="shared" si="16"/>
        <v>1</v>
      </c>
      <c r="Y145" s="10">
        <f t="shared" si="17"/>
        <v>1</v>
      </c>
      <c r="Z145" s="10">
        <f t="shared" si="18"/>
        <v>1</v>
      </c>
      <c r="AA145" s="10">
        <f t="shared" si="19"/>
        <v>1</v>
      </c>
    </row>
    <row r="146" spans="22:27" x14ac:dyDescent="0.15">
      <c r="V146" s="8">
        <v>141</v>
      </c>
      <c r="W146" s="10">
        <f t="shared" si="15"/>
        <v>1</v>
      </c>
      <c r="X146" s="10">
        <f t="shared" si="16"/>
        <v>1</v>
      </c>
      <c r="Y146" s="10">
        <f t="shared" si="17"/>
        <v>1</v>
      </c>
      <c r="Z146" s="10">
        <f t="shared" si="18"/>
        <v>1</v>
      </c>
      <c r="AA146" s="10">
        <f t="shared" si="19"/>
        <v>1</v>
      </c>
    </row>
    <row r="147" spans="22:27" x14ac:dyDescent="0.15">
      <c r="V147" s="8">
        <v>142</v>
      </c>
      <c r="W147" s="10">
        <f t="shared" si="15"/>
        <v>1</v>
      </c>
      <c r="X147" s="10">
        <f t="shared" si="16"/>
        <v>1</v>
      </c>
      <c r="Y147" s="10">
        <f t="shared" si="17"/>
        <v>1</v>
      </c>
      <c r="Z147" s="10">
        <f t="shared" si="18"/>
        <v>1</v>
      </c>
      <c r="AA147" s="10">
        <f t="shared" si="19"/>
        <v>1</v>
      </c>
    </row>
    <row r="148" spans="22:27" x14ac:dyDescent="0.15">
      <c r="V148" s="8">
        <v>143</v>
      </c>
      <c r="W148" s="10">
        <f t="shared" si="15"/>
        <v>1</v>
      </c>
      <c r="X148" s="10">
        <f t="shared" si="16"/>
        <v>1</v>
      </c>
      <c r="Y148" s="10">
        <f t="shared" si="17"/>
        <v>1</v>
      </c>
      <c r="Z148" s="10">
        <f t="shared" si="18"/>
        <v>1</v>
      </c>
      <c r="AA148" s="10">
        <f t="shared" si="19"/>
        <v>1</v>
      </c>
    </row>
    <row r="149" spans="22:27" x14ac:dyDescent="0.15">
      <c r="V149" s="8">
        <v>144</v>
      </c>
      <c r="W149" s="10">
        <f t="shared" si="15"/>
        <v>1</v>
      </c>
      <c r="X149" s="10">
        <f t="shared" si="16"/>
        <v>1</v>
      </c>
      <c r="Y149" s="10">
        <f t="shared" si="17"/>
        <v>1</v>
      </c>
      <c r="Z149" s="10">
        <f t="shared" si="18"/>
        <v>1</v>
      </c>
      <c r="AA149" s="10">
        <f t="shared" si="19"/>
        <v>1</v>
      </c>
    </row>
    <row r="150" spans="22:27" x14ac:dyDescent="0.15">
      <c r="V150" s="8">
        <v>145</v>
      </c>
      <c r="W150" s="10">
        <f t="shared" si="15"/>
        <v>1</v>
      </c>
      <c r="X150" s="10">
        <f t="shared" si="16"/>
        <v>1</v>
      </c>
      <c r="Y150" s="10">
        <f t="shared" si="17"/>
        <v>1</v>
      </c>
      <c r="Z150" s="10">
        <f t="shared" si="18"/>
        <v>1</v>
      </c>
      <c r="AA150" s="10">
        <f t="shared" si="19"/>
        <v>1</v>
      </c>
    </row>
    <row r="151" spans="22:27" x14ac:dyDescent="0.15">
      <c r="V151" s="8">
        <v>146</v>
      </c>
      <c r="W151" s="10">
        <f t="shared" si="15"/>
        <v>1</v>
      </c>
      <c r="X151" s="10">
        <f t="shared" si="16"/>
        <v>1</v>
      </c>
      <c r="Y151" s="10">
        <f t="shared" si="17"/>
        <v>1</v>
      </c>
      <c r="Z151" s="10">
        <f t="shared" si="18"/>
        <v>1</v>
      </c>
      <c r="AA151" s="10">
        <f t="shared" si="19"/>
        <v>1</v>
      </c>
    </row>
    <row r="152" spans="22:27" x14ac:dyDescent="0.15">
      <c r="V152" s="8">
        <v>147</v>
      </c>
      <c r="W152" s="10">
        <f t="shared" si="15"/>
        <v>1</v>
      </c>
      <c r="X152" s="10">
        <f t="shared" si="16"/>
        <v>1</v>
      </c>
      <c r="Y152" s="10">
        <f t="shared" si="17"/>
        <v>1</v>
      </c>
      <c r="Z152" s="10">
        <f t="shared" si="18"/>
        <v>1</v>
      </c>
      <c r="AA152" s="10">
        <f t="shared" si="19"/>
        <v>1</v>
      </c>
    </row>
    <row r="153" spans="22:27" x14ac:dyDescent="0.15">
      <c r="V153" s="8">
        <v>148</v>
      </c>
      <c r="W153" s="10">
        <f t="shared" si="15"/>
        <v>1</v>
      </c>
      <c r="X153" s="10">
        <f t="shared" si="16"/>
        <v>1</v>
      </c>
      <c r="Y153" s="10">
        <f t="shared" si="17"/>
        <v>1</v>
      </c>
      <c r="Z153" s="10">
        <f t="shared" si="18"/>
        <v>1</v>
      </c>
      <c r="AA153" s="10">
        <f t="shared" si="19"/>
        <v>1</v>
      </c>
    </row>
    <row r="154" spans="22:27" x14ac:dyDescent="0.15">
      <c r="V154" s="8">
        <v>149</v>
      </c>
      <c r="W154" s="10">
        <f t="shared" si="15"/>
        <v>1</v>
      </c>
      <c r="X154" s="10">
        <f t="shared" si="16"/>
        <v>1</v>
      </c>
      <c r="Y154" s="10">
        <f t="shared" si="17"/>
        <v>1</v>
      </c>
      <c r="Z154" s="10">
        <f t="shared" si="18"/>
        <v>1</v>
      </c>
      <c r="AA154" s="10">
        <f t="shared" si="19"/>
        <v>1</v>
      </c>
    </row>
    <row r="155" spans="22:27" x14ac:dyDescent="0.15">
      <c r="V155" s="8">
        <v>150</v>
      </c>
      <c r="W155" s="10">
        <f t="shared" si="15"/>
        <v>1</v>
      </c>
      <c r="X155" s="10">
        <f t="shared" si="16"/>
        <v>1</v>
      </c>
      <c r="Y155" s="10">
        <f t="shared" si="17"/>
        <v>1</v>
      </c>
      <c r="Z155" s="10">
        <f t="shared" si="18"/>
        <v>1</v>
      </c>
      <c r="AA155" s="10">
        <f t="shared" si="19"/>
        <v>1</v>
      </c>
    </row>
    <row r="156" spans="22:27" x14ac:dyDescent="0.15">
      <c r="V156" s="8">
        <v>151</v>
      </c>
      <c r="W156" s="10">
        <f t="shared" si="15"/>
        <v>1</v>
      </c>
      <c r="X156" s="10">
        <f t="shared" si="16"/>
        <v>1</v>
      </c>
      <c r="Y156" s="10">
        <f t="shared" si="17"/>
        <v>1</v>
      </c>
      <c r="Z156" s="10">
        <f t="shared" si="18"/>
        <v>1</v>
      </c>
      <c r="AA156" s="10">
        <f t="shared" si="19"/>
        <v>1</v>
      </c>
    </row>
    <row r="157" spans="22:27" x14ac:dyDescent="0.15">
      <c r="V157" s="8">
        <v>152</v>
      </c>
      <c r="W157" s="10">
        <f t="shared" si="15"/>
        <v>1</v>
      </c>
      <c r="X157" s="10">
        <f t="shared" si="16"/>
        <v>1</v>
      </c>
      <c r="Y157" s="10">
        <f t="shared" si="17"/>
        <v>1</v>
      </c>
      <c r="Z157" s="10">
        <f t="shared" si="18"/>
        <v>1</v>
      </c>
      <c r="AA157" s="10">
        <f t="shared" si="19"/>
        <v>1</v>
      </c>
    </row>
    <row r="158" spans="22:27" x14ac:dyDescent="0.15">
      <c r="V158" s="8">
        <v>153</v>
      </c>
      <c r="W158" s="10">
        <f t="shared" si="15"/>
        <v>1</v>
      </c>
      <c r="X158" s="10">
        <f t="shared" si="16"/>
        <v>1</v>
      </c>
      <c r="Y158" s="10">
        <f t="shared" si="17"/>
        <v>1</v>
      </c>
      <c r="Z158" s="10">
        <f t="shared" si="18"/>
        <v>1</v>
      </c>
      <c r="AA158" s="10">
        <f t="shared" si="19"/>
        <v>1</v>
      </c>
    </row>
    <row r="159" spans="22:27" x14ac:dyDescent="0.15">
      <c r="V159" s="8">
        <v>154</v>
      </c>
      <c r="W159" s="10">
        <f t="shared" si="15"/>
        <v>1</v>
      </c>
      <c r="X159" s="10">
        <f t="shared" si="16"/>
        <v>1</v>
      </c>
      <c r="Y159" s="10">
        <f t="shared" si="17"/>
        <v>1</v>
      </c>
      <c r="Z159" s="10">
        <f t="shared" si="18"/>
        <v>1</v>
      </c>
      <c r="AA159" s="10">
        <f t="shared" si="19"/>
        <v>1</v>
      </c>
    </row>
    <row r="160" spans="22:27" x14ac:dyDescent="0.15">
      <c r="V160" s="8">
        <v>155</v>
      </c>
      <c r="W160" s="10">
        <f t="shared" si="15"/>
        <v>1</v>
      </c>
      <c r="X160" s="10">
        <f t="shared" si="16"/>
        <v>1</v>
      </c>
      <c r="Y160" s="10">
        <f t="shared" si="17"/>
        <v>1</v>
      </c>
      <c r="Z160" s="10">
        <f t="shared" si="18"/>
        <v>1</v>
      </c>
      <c r="AA160" s="10">
        <f t="shared" si="19"/>
        <v>1</v>
      </c>
    </row>
    <row r="161" spans="22:27" x14ac:dyDescent="0.15">
      <c r="V161" s="8">
        <v>156</v>
      </c>
      <c r="W161" s="10">
        <f t="shared" si="15"/>
        <v>1</v>
      </c>
      <c r="X161" s="10">
        <f t="shared" si="16"/>
        <v>1</v>
      </c>
      <c r="Y161" s="10">
        <f t="shared" si="17"/>
        <v>1</v>
      </c>
      <c r="Z161" s="10">
        <f t="shared" si="18"/>
        <v>1</v>
      </c>
      <c r="AA161" s="10">
        <f t="shared" si="19"/>
        <v>1</v>
      </c>
    </row>
    <row r="162" spans="22:27" x14ac:dyDescent="0.15">
      <c r="V162" s="8">
        <v>157</v>
      </c>
      <c r="W162" s="10">
        <f t="shared" si="15"/>
        <v>1</v>
      </c>
      <c r="X162" s="10">
        <f t="shared" si="16"/>
        <v>1</v>
      </c>
      <c r="Y162" s="10">
        <f t="shared" si="17"/>
        <v>1</v>
      </c>
      <c r="Z162" s="10">
        <f t="shared" si="18"/>
        <v>1</v>
      </c>
      <c r="AA162" s="10">
        <f t="shared" si="19"/>
        <v>1</v>
      </c>
    </row>
    <row r="163" spans="22:27" x14ac:dyDescent="0.15">
      <c r="V163" s="8">
        <v>158</v>
      </c>
      <c r="W163" s="10">
        <f t="shared" si="15"/>
        <v>1</v>
      </c>
      <c r="X163" s="10">
        <f t="shared" si="16"/>
        <v>1</v>
      </c>
      <c r="Y163" s="10">
        <f t="shared" si="17"/>
        <v>1</v>
      </c>
      <c r="Z163" s="10">
        <f t="shared" si="18"/>
        <v>1</v>
      </c>
      <c r="AA163" s="10">
        <f t="shared" si="19"/>
        <v>1</v>
      </c>
    </row>
    <row r="164" spans="22:27" x14ac:dyDescent="0.15">
      <c r="V164" s="8">
        <v>159</v>
      </c>
      <c r="W164" s="10">
        <f t="shared" si="15"/>
        <v>1</v>
      </c>
      <c r="X164" s="10">
        <f t="shared" si="16"/>
        <v>1</v>
      </c>
      <c r="Y164" s="10">
        <f t="shared" si="17"/>
        <v>1</v>
      </c>
      <c r="Z164" s="10">
        <f t="shared" si="18"/>
        <v>1</v>
      </c>
      <c r="AA164" s="10">
        <f t="shared" si="19"/>
        <v>1</v>
      </c>
    </row>
    <row r="165" spans="22:27" x14ac:dyDescent="0.15">
      <c r="V165" s="8">
        <v>160</v>
      </c>
      <c r="W165" s="10">
        <f t="shared" si="15"/>
        <v>1</v>
      </c>
      <c r="X165" s="10">
        <f t="shared" si="16"/>
        <v>1</v>
      </c>
      <c r="Y165" s="10">
        <f t="shared" si="17"/>
        <v>1</v>
      </c>
      <c r="Z165" s="10">
        <f t="shared" si="18"/>
        <v>1</v>
      </c>
      <c r="AA165" s="10">
        <f t="shared" si="19"/>
        <v>1</v>
      </c>
    </row>
  </sheetData>
  <mergeCells count="3">
    <mergeCell ref="D4:H4"/>
    <mergeCell ref="O4:S4"/>
    <mergeCell ref="W4:AA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节奏总纲</vt:lpstr>
      <vt:lpstr>其他调用</vt:lpstr>
      <vt:lpstr>设计思路</vt:lpstr>
      <vt:lpstr>武将加成士兵</vt:lpstr>
      <vt:lpstr>士兵加成武将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2022-08-13T02:23:29Z</dcterms:modified>
</cp:coreProperties>
</file>